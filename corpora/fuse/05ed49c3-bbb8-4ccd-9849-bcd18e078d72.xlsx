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 tabRatio="497" activeTab="5"/>
  </bookViews>
  <sheets>
    <sheet name="Sheet1" sheetId="1" r:id="rId1"/>
    <sheet name="Sheet2" sheetId="2" r:id="rId2"/>
    <sheet name="Sheet2 (2)" sheetId="4" r:id="rId3"/>
    <sheet name="Sheet2 (3)" sheetId="5" r:id="rId4"/>
    <sheet name="Sheet2 (4)" sheetId="6" r:id="rId5"/>
    <sheet name="Sheet2 (5)" sheetId="7" r:id="rId6"/>
    <sheet name="Sheet3" sheetId="3" r:id="rId7"/>
  </sheets>
  <calcPr calcId="145621"/>
</workbook>
</file>

<file path=xl/calcChain.xml><?xml version="1.0" encoding="utf-8"?>
<calcChain xmlns="http://schemas.openxmlformats.org/spreadsheetml/2006/main">
  <c r="BB26" i="7" l="1"/>
  <c r="BB26" i="6"/>
  <c r="BB26" i="5"/>
  <c r="BB26" i="4"/>
  <c r="BB25" i="7"/>
  <c r="BB25" i="6"/>
  <c r="BB25" i="5"/>
  <c r="BB25" i="4"/>
  <c r="BB24" i="7"/>
  <c r="BB24" i="6"/>
  <c r="BB24" i="5"/>
  <c r="BB24" i="4"/>
  <c r="BB23" i="7"/>
  <c r="BB23" i="6"/>
  <c r="BB23" i="5"/>
  <c r="BB23" i="4"/>
  <c r="BB22" i="7"/>
  <c r="BB22" i="6"/>
  <c r="BB22" i="5"/>
  <c r="BB22" i="4"/>
  <c r="BA26" i="7"/>
  <c r="BA26" i="6"/>
  <c r="BA26" i="4"/>
  <c r="AZ26" i="7"/>
  <c r="AZ26" i="6"/>
  <c r="AZ26" i="4"/>
  <c r="BA24" i="7"/>
  <c r="BA24" i="6"/>
  <c r="BA24" i="4"/>
  <c r="AZ24" i="7"/>
  <c r="AZ24" i="6"/>
  <c r="AZ24" i="4"/>
  <c r="BA22" i="7"/>
  <c r="BA22" i="6"/>
  <c r="BA22" i="4"/>
  <c r="AZ22" i="7"/>
  <c r="AZ22" i="6"/>
  <c r="AZ22" i="4"/>
  <c r="AD22" i="2"/>
  <c r="BA25" i="7"/>
  <c r="BA25" i="6"/>
  <c r="BA25" i="5"/>
  <c r="BA25" i="4"/>
  <c r="AC25" i="2"/>
  <c r="AZ25" i="7"/>
  <c r="AZ25" i="6"/>
  <c r="AZ25" i="5"/>
  <c r="AZ25" i="4"/>
  <c r="AB25" i="2"/>
  <c r="BA23" i="5"/>
  <c r="BA24" i="5"/>
  <c r="BA23" i="7"/>
  <c r="BA23" i="6"/>
  <c r="BA23" i="4"/>
  <c r="AC23" i="2"/>
  <c r="AZ23" i="7"/>
  <c r="AZ23" i="6"/>
  <c r="AZ23" i="4"/>
  <c r="AZ23" i="5"/>
  <c r="AB23" i="2"/>
  <c r="BA26" i="5"/>
  <c r="AZ26" i="5"/>
  <c r="AZ24" i="5"/>
  <c r="BA22" i="5"/>
  <c r="AZ22" i="5"/>
  <c r="AD26" i="2"/>
  <c r="AD25" i="2"/>
  <c r="AD24" i="2"/>
  <c r="AD23" i="2"/>
  <c r="AC26" i="2"/>
  <c r="AB26" i="2"/>
  <c r="AC22" i="2"/>
  <c r="AB22" i="2"/>
  <c r="AC24" i="2"/>
  <c r="AB24" i="2"/>
  <c r="B25" i="1"/>
  <c r="B24" i="1"/>
  <c r="B17" i="1"/>
  <c r="B22" i="1"/>
  <c r="E23" i="1"/>
  <c r="F22" i="1"/>
  <c r="G22" i="1" s="1"/>
  <c r="F23" i="1" l="1"/>
  <c r="F24" i="1" s="1"/>
  <c r="H22" i="1"/>
  <c r="G23" i="1"/>
  <c r="G24" i="1" s="1"/>
  <c r="E24" i="1"/>
  <c r="O3" i="1"/>
  <c r="G4" i="1"/>
  <c r="K4" i="1" s="1"/>
  <c r="G5" i="1"/>
  <c r="K5" i="1" s="1"/>
  <c r="G6" i="1"/>
  <c r="K6" i="1" s="1"/>
  <c r="G7" i="1"/>
  <c r="K7" i="1" s="1"/>
  <c r="G8" i="1"/>
  <c r="K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3" i="1"/>
  <c r="K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Q11" i="1" s="1"/>
  <c r="I12" i="1"/>
  <c r="M12" i="1" s="1"/>
  <c r="I13" i="1"/>
  <c r="M13" i="1" s="1"/>
  <c r="I14" i="1"/>
  <c r="M14" i="1" s="1"/>
  <c r="I15" i="1"/>
  <c r="M15" i="1" s="1"/>
  <c r="Q15" i="1" s="1"/>
  <c r="I16" i="1"/>
  <c r="M16" i="1" s="1"/>
  <c r="I17" i="1"/>
  <c r="M17" i="1" s="1"/>
  <c r="I18" i="1"/>
  <c r="M18" i="1" s="1"/>
  <c r="I19" i="1"/>
  <c r="M19" i="1" s="1"/>
  <c r="Q19" i="1" s="1"/>
  <c r="I3" i="1"/>
  <c r="M3" i="1" s="1"/>
  <c r="B8" i="1"/>
  <c r="O13" i="1"/>
  <c r="O14" i="1"/>
  <c r="O15" i="1"/>
  <c r="O16" i="1"/>
  <c r="O17" i="1"/>
  <c r="O18" i="1"/>
  <c r="O19" i="1"/>
  <c r="O1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3" i="1"/>
  <c r="J3" i="1"/>
  <c r="N3" i="1" s="1"/>
  <c r="R3" i="1" s="1"/>
  <c r="O4" i="1"/>
  <c r="O5" i="1"/>
  <c r="O6" i="1"/>
  <c r="O7" i="1"/>
  <c r="O8" i="1"/>
  <c r="O9" i="1"/>
  <c r="O10" i="1"/>
  <c r="O11" i="1"/>
  <c r="J4" i="1"/>
  <c r="N4" i="1" s="1"/>
  <c r="R4" i="1" s="1"/>
  <c r="J5" i="1"/>
  <c r="N5" i="1" s="1"/>
  <c r="R5" i="1" s="1"/>
  <c r="J6" i="1"/>
  <c r="N6" i="1" s="1"/>
  <c r="R6" i="1" s="1"/>
  <c r="J7" i="1"/>
  <c r="N7" i="1" s="1"/>
  <c r="R7" i="1" s="1"/>
  <c r="J8" i="1"/>
  <c r="N8" i="1" s="1"/>
  <c r="R8" i="1" s="1"/>
  <c r="J9" i="1"/>
  <c r="N9" i="1" s="1"/>
  <c r="R9" i="1" s="1"/>
  <c r="J10" i="1"/>
  <c r="N10" i="1" s="1"/>
  <c r="R10" i="1" s="1"/>
  <c r="J11" i="1"/>
  <c r="N11" i="1" s="1"/>
  <c r="R11" i="1" s="1"/>
  <c r="J12" i="1"/>
  <c r="N12" i="1" s="1"/>
  <c r="R12" i="1" s="1"/>
  <c r="J13" i="1"/>
  <c r="N13" i="1" s="1"/>
  <c r="R13" i="1" s="1"/>
  <c r="J14" i="1"/>
  <c r="N14" i="1" s="1"/>
  <c r="R14" i="1" s="1"/>
  <c r="J15" i="1"/>
  <c r="N15" i="1" s="1"/>
  <c r="R15" i="1" s="1"/>
  <c r="J16" i="1"/>
  <c r="N16" i="1" s="1"/>
  <c r="R16" i="1" s="1"/>
  <c r="J17" i="1"/>
  <c r="N17" i="1" s="1"/>
  <c r="R17" i="1" s="1"/>
  <c r="J18" i="1"/>
  <c r="N18" i="1" s="1"/>
  <c r="R18" i="1" s="1"/>
  <c r="J19" i="1"/>
  <c r="N19" i="1" s="1"/>
  <c r="R19" i="1" s="1"/>
  <c r="Q17" i="1" l="1"/>
  <c r="Q13" i="1"/>
  <c r="Q9" i="1"/>
  <c r="Q5" i="1"/>
  <c r="F4" i="5" s="1"/>
  <c r="Q3" i="1"/>
  <c r="Q18" i="1"/>
  <c r="Q14" i="1"/>
  <c r="F13" i="5" s="1"/>
  <c r="Q10" i="1"/>
  <c r="F9" i="7" s="1"/>
  <c r="Q6" i="1"/>
  <c r="Q16" i="1"/>
  <c r="F13" i="7"/>
  <c r="F13" i="6"/>
  <c r="F13" i="4"/>
  <c r="F13" i="2"/>
  <c r="F16" i="7"/>
  <c r="F16" i="6"/>
  <c r="F16" i="5"/>
  <c r="F16" i="4"/>
  <c r="F16" i="2"/>
  <c r="F4" i="7"/>
  <c r="F4" i="2"/>
  <c r="F18" i="7"/>
  <c r="F18" i="6"/>
  <c r="F18" i="5"/>
  <c r="F18" i="4"/>
  <c r="F18" i="2"/>
  <c r="F14" i="7"/>
  <c r="F14" i="6"/>
  <c r="F14" i="5"/>
  <c r="F14" i="4"/>
  <c r="F14" i="2"/>
  <c r="F10" i="7"/>
  <c r="F10" i="6"/>
  <c r="F10" i="5"/>
  <c r="F10" i="4"/>
  <c r="F10" i="2"/>
  <c r="Q7" i="1"/>
  <c r="U7" i="1" s="1"/>
  <c r="Q8" i="1"/>
  <c r="F5" i="7"/>
  <c r="F5" i="6"/>
  <c r="F5" i="5"/>
  <c r="F5" i="4"/>
  <c r="F5" i="2"/>
  <c r="F2" i="7"/>
  <c r="F2" i="6"/>
  <c r="F2" i="5"/>
  <c r="F2" i="4"/>
  <c r="F2" i="2"/>
  <c r="Q4" i="1"/>
  <c r="F12" i="7"/>
  <c r="F12" i="6"/>
  <c r="F12" i="5"/>
  <c r="F12" i="4"/>
  <c r="F12" i="2"/>
  <c r="F15" i="7"/>
  <c r="F15" i="6"/>
  <c r="F15" i="5"/>
  <c r="F15" i="4"/>
  <c r="F15" i="2"/>
  <c r="F17" i="7"/>
  <c r="F17" i="6"/>
  <c r="F17" i="5"/>
  <c r="F17" i="4"/>
  <c r="F17" i="2"/>
  <c r="F8" i="7"/>
  <c r="F8" i="6"/>
  <c r="F8" i="5"/>
  <c r="F8" i="4"/>
  <c r="F8" i="2"/>
  <c r="Q12" i="1"/>
  <c r="G10" i="7"/>
  <c r="G10" i="6"/>
  <c r="G10" i="5"/>
  <c r="G10" i="2"/>
  <c r="G10" i="4"/>
  <c r="G6" i="7"/>
  <c r="G6" i="6"/>
  <c r="G6" i="5"/>
  <c r="G6" i="2"/>
  <c r="G6" i="4"/>
  <c r="D10" i="7"/>
  <c r="D10" i="5"/>
  <c r="D10" i="6"/>
  <c r="D10" i="4"/>
  <c r="D10" i="2"/>
  <c r="D6" i="7"/>
  <c r="D6" i="5"/>
  <c r="D6" i="6"/>
  <c r="D6" i="4"/>
  <c r="D6" i="2"/>
  <c r="G2" i="7"/>
  <c r="G2" i="6"/>
  <c r="G2" i="5"/>
  <c r="G2" i="2"/>
  <c r="G2" i="4"/>
  <c r="D17" i="7"/>
  <c r="D17" i="6"/>
  <c r="D17" i="5"/>
  <c r="D17" i="4"/>
  <c r="D17" i="2"/>
  <c r="D13" i="7"/>
  <c r="D13" i="6"/>
  <c r="D13" i="5"/>
  <c r="D13" i="4"/>
  <c r="D13" i="2"/>
  <c r="G18" i="7"/>
  <c r="G18" i="6"/>
  <c r="G18" i="5"/>
  <c r="G18" i="4"/>
  <c r="G18" i="2"/>
  <c r="G14" i="7"/>
  <c r="G14" i="6"/>
  <c r="G14" i="5"/>
  <c r="G14" i="4"/>
  <c r="G14" i="2"/>
  <c r="G17" i="7"/>
  <c r="G17" i="6"/>
  <c r="G17" i="5"/>
  <c r="G17" i="2"/>
  <c r="G17" i="4"/>
  <c r="G13" i="7"/>
  <c r="G13" i="6"/>
  <c r="G13" i="5"/>
  <c r="G13" i="2"/>
  <c r="G13" i="4"/>
  <c r="G9" i="7"/>
  <c r="G9" i="6"/>
  <c r="G9" i="5"/>
  <c r="G9" i="4"/>
  <c r="G9" i="2"/>
  <c r="G5" i="7"/>
  <c r="G5" i="6"/>
  <c r="G5" i="5"/>
  <c r="G5" i="4"/>
  <c r="G5" i="2"/>
  <c r="D9" i="7"/>
  <c r="D9" i="6"/>
  <c r="D9" i="5"/>
  <c r="D9" i="4"/>
  <c r="D9" i="2"/>
  <c r="D5" i="7"/>
  <c r="D5" i="6"/>
  <c r="D5" i="5"/>
  <c r="D5" i="4"/>
  <c r="D5" i="2"/>
  <c r="D16" i="7"/>
  <c r="D16" i="6"/>
  <c r="D16" i="5"/>
  <c r="D16" i="4"/>
  <c r="D16" i="2"/>
  <c r="D12" i="7"/>
  <c r="D12" i="6"/>
  <c r="D12" i="5"/>
  <c r="D12" i="4"/>
  <c r="D12" i="2"/>
  <c r="G16" i="7"/>
  <c r="G16" i="6"/>
  <c r="G16" i="5"/>
  <c r="G16" i="4"/>
  <c r="G16" i="2"/>
  <c r="G4" i="7"/>
  <c r="G4" i="6"/>
  <c r="G4" i="5"/>
  <c r="G4" i="4"/>
  <c r="G4" i="2"/>
  <c r="D11" i="7"/>
  <c r="D11" i="5"/>
  <c r="D11" i="6"/>
  <c r="D11" i="4"/>
  <c r="D11" i="2"/>
  <c r="G12" i="7"/>
  <c r="G12" i="6"/>
  <c r="G12" i="5"/>
  <c r="G12" i="4"/>
  <c r="G12" i="2"/>
  <c r="G8" i="7"/>
  <c r="G8" i="6"/>
  <c r="G8" i="5"/>
  <c r="G8" i="4"/>
  <c r="G8" i="2"/>
  <c r="D8" i="7"/>
  <c r="D8" i="6"/>
  <c r="D8" i="5"/>
  <c r="D8" i="2"/>
  <c r="D8" i="4"/>
  <c r="D4" i="7"/>
  <c r="D4" i="6"/>
  <c r="D4" i="5"/>
  <c r="D4" i="4"/>
  <c r="D4" i="2"/>
  <c r="D15" i="7"/>
  <c r="D15" i="5"/>
  <c r="D15" i="4"/>
  <c r="D15" i="6"/>
  <c r="D15" i="2"/>
  <c r="G15" i="7"/>
  <c r="G15" i="6"/>
  <c r="G15" i="5"/>
  <c r="G15" i="4"/>
  <c r="G15" i="2"/>
  <c r="G11" i="7"/>
  <c r="G11" i="6"/>
  <c r="G11" i="5"/>
  <c r="G11" i="4"/>
  <c r="G11" i="2"/>
  <c r="G7" i="7"/>
  <c r="G7" i="6"/>
  <c r="G7" i="5"/>
  <c r="G7" i="4"/>
  <c r="G7" i="2"/>
  <c r="G3" i="7"/>
  <c r="G3" i="6"/>
  <c r="G3" i="5"/>
  <c r="G3" i="4"/>
  <c r="G3" i="2"/>
  <c r="D7" i="7"/>
  <c r="D7" i="5"/>
  <c r="D7" i="6"/>
  <c r="D7" i="4"/>
  <c r="D7" i="2"/>
  <c r="D3" i="7"/>
  <c r="D3" i="5"/>
  <c r="D3" i="6"/>
  <c r="D3" i="4"/>
  <c r="D3" i="2"/>
  <c r="D18" i="7"/>
  <c r="D18" i="5"/>
  <c r="D18" i="4"/>
  <c r="D18" i="6"/>
  <c r="D18" i="2"/>
  <c r="D14" i="7"/>
  <c r="D14" i="5"/>
  <c r="D14" i="4"/>
  <c r="D14" i="6"/>
  <c r="D14" i="2"/>
  <c r="D2" i="7"/>
  <c r="D2" i="5"/>
  <c r="D2" i="6"/>
  <c r="D2" i="4"/>
  <c r="D2" i="2"/>
  <c r="I22" i="1"/>
  <c r="I23" i="1" s="1"/>
  <c r="H23" i="1"/>
  <c r="V17" i="1"/>
  <c r="V13" i="1"/>
  <c r="V9" i="1"/>
  <c r="V16" i="1"/>
  <c r="V18" i="1"/>
  <c r="V14" i="1"/>
  <c r="V12" i="1"/>
  <c r="V19" i="1"/>
  <c r="V6" i="1"/>
  <c r="V4" i="1"/>
  <c r="U15" i="1"/>
  <c r="V11" i="1"/>
  <c r="V3" i="1"/>
  <c r="U19" i="1"/>
  <c r="U11" i="1"/>
  <c r="U18" i="1"/>
  <c r="U14" i="1"/>
  <c r="U6" i="1"/>
  <c r="V15" i="1"/>
  <c r="U17" i="1"/>
  <c r="U13" i="1"/>
  <c r="U9" i="1"/>
  <c r="U3" i="1"/>
  <c r="U16" i="1"/>
  <c r="U12" i="1"/>
  <c r="U4" i="1"/>
  <c r="L3" i="1"/>
  <c r="P3" i="1" s="1"/>
  <c r="L16" i="1"/>
  <c r="P16" i="1" s="1"/>
  <c r="L12" i="1"/>
  <c r="P12" i="1" s="1"/>
  <c r="L4" i="1"/>
  <c r="P4" i="1" s="1"/>
  <c r="L19" i="1"/>
  <c r="P19" i="1" s="1"/>
  <c r="L15" i="1"/>
  <c r="P15" i="1" s="1"/>
  <c r="L11" i="1"/>
  <c r="P11" i="1" s="1"/>
  <c r="L7" i="1"/>
  <c r="P7" i="1" s="1"/>
  <c r="L5" i="1"/>
  <c r="P5" i="1" s="1"/>
  <c r="L18" i="1"/>
  <c r="P18" i="1" s="1"/>
  <c r="L14" i="1"/>
  <c r="P14" i="1" s="1"/>
  <c r="L10" i="1"/>
  <c r="P10" i="1" s="1"/>
  <c r="L6" i="1"/>
  <c r="P6" i="1" s="1"/>
  <c r="L8" i="1"/>
  <c r="P8" i="1" s="1"/>
  <c r="L17" i="1"/>
  <c r="P17" i="1" s="1"/>
  <c r="L13" i="1"/>
  <c r="P13" i="1" s="1"/>
  <c r="L9" i="1"/>
  <c r="P9" i="1" s="1"/>
  <c r="U5" i="1" l="1"/>
  <c r="V7" i="1"/>
  <c r="F9" i="4"/>
  <c r="F4" i="6"/>
  <c r="F9" i="5"/>
  <c r="V5" i="1"/>
  <c r="F9" i="6"/>
  <c r="F4" i="4"/>
  <c r="U10" i="1"/>
  <c r="V10" i="1"/>
  <c r="F9" i="2"/>
  <c r="I24" i="1"/>
  <c r="S12" i="1"/>
  <c r="E11" i="7"/>
  <c r="E11" i="5"/>
  <c r="E11" i="6"/>
  <c r="E11" i="4"/>
  <c r="E11" i="2"/>
  <c r="F36" i="7"/>
  <c r="F36" i="5"/>
  <c r="F36" i="6"/>
  <c r="F36" i="4"/>
  <c r="F36" i="2"/>
  <c r="G23" i="7"/>
  <c r="G23" i="6"/>
  <c r="G23" i="5"/>
  <c r="G23" i="4"/>
  <c r="G23" i="2"/>
  <c r="G31" i="7"/>
  <c r="G31" i="6"/>
  <c r="G31" i="5"/>
  <c r="G31" i="4"/>
  <c r="G31" i="2"/>
  <c r="G37" i="7"/>
  <c r="G37" i="6"/>
  <c r="G37" i="5"/>
  <c r="G37" i="4"/>
  <c r="G37" i="2"/>
  <c r="G36" i="7"/>
  <c r="G36" i="6"/>
  <c r="G36" i="5"/>
  <c r="G36" i="4"/>
  <c r="G36" i="2"/>
  <c r="F3" i="7"/>
  <c r="F3" i="6"/>
  <c r="F3" i="5"/>
  <c r="F3" i="4"/>
  <c r="F3" i="2"/>
  <c r="F7" i="7"/>
  <c r="F7" i="6"/>
  <c r="F7" i="5"/>
  <c r="F7" i="4"/>
  <c r="F7" i="2"/>
  <c r="E7" i="7"/>
  <c r="E7" i="5"/>
  <c r="E7" i="6"/>
  <c r="E7" i="4"/>
  <c r="E7" i="2"/>
  <c r="S18" i="1"/>
  <c r="E17" i="7"/>
  <c r="E17" i="6"/>
  <c r="E17" i="5"/>
  <c r="E17" i="4"/>
  <c r="E17" i="2"/>
  <c r="E14" i="7"/>
  <c r="E14" i="5"/>
  <c r="E14" i="6"/>
  <c r="E14" i="4"/>
  <c r="E14" i="2"/>
  <c r="T16" i="1"/>
  <c r="E15" i="7"/>
  <c r="E15" i="5"/>
  <c r="E15" i="6"/>
  <c r="E15" i="2"/>
  <c r="E15" i="4"/>
  <c r="U8" i="1"/>
  <c r="F24" i="7"/>
  <c r="F24" i="5"/>
  <c r="F24" i="6"/>
  <c r="F24" i="4"/>
  <c r="F24" i="2"/>
  <c r="G34" i="7"/>
  <c r="G34" i="6"/>
  <c r="G34" i="5"/>
  <c r="G34" i="4"/>
  <c r="G34" i="2"/>
  <c r="F37" i="7"/>
  <c r="F37" i="6"/>
  <c r="F37" i="5"/>
  <c r="F37" i="4"/>
  <c r="F37" i="2"/>
  <c r="G26" i="7"/>
  <c r="G26" i="6"/>
  <c r="G26" i="5"/>
  <c r="G26" i="4"/>
  <c r="G26" i="2"/>
  <c r="V8" i="1"/>
  <c r="G35" i="7"/>
  <c r="G35" i="6"/>
  <c r="G35" i="5"/>
  <c r="G35" i="4"/>
  <c r="G35" i="2"/>
  <c r="G24" i="7"/>
  <c r="G24" i="6"/>
  <c r="G24" i="5"/>
  <c r="G24" i="4"/>
  <c r="G24" i="2"/>
  <c r="H24" i="1"/>
  <c r="B12" i="1" s="1"/>
  <c r="F25" i="1" s="1"/>
  <c r="F6" i="7"/>
  <c r="F6" i="6"/>
  <c r="F6" i="5"/>
  <c r="F6" i="4"/>
  <c r="F6" i="2"/>
  <c r="S17" i="1"/>
  <c r="E16" i="7"/>
  <c r="E16" i="5"/>
  <c r="E16" i="6"/>
  <c r="E16" i="2"/>
  <c r="E16" i="4"/>
  <c r="E10" i="7"/>
  <c r="E10" i="5"/>
  <c r="E10" i="6"/>
  <c r="E10" i="2"/>
  <c r="E10" i="4"/>
  <c r="F22" i="7"/>
  <c r="F22" i="6"/>
  <c r="F22" i="5"/>
  <c r="F22" i="4"/>
  <c r="F22" i="2"/>
  <c r="G22" i="7"/>
  <c r="G22" i="6"/>
  <c r="G22" i="5"/>
  <c r="G22" i="2"/>
  <c r="G22" i="4"/>
  <c r="S6" i="1"/>
  <c r="E5" i="7"/>
  <c r="E5" i="6"/>
  <c r="E5" i="5"/>
  <c r="E5" i="4"/>
  <c r="E5" i="2"/>
  <c r="S3" i="1"/>
  <c r="E2" i="7"/>
  <c r="E2" i="5"/>
  <c r="E2" i="6"/>
  <c r="E2" i="4"/>
  <c r="E2" i="2"/>
  <c r="F28" i="7"/>
  <c r="F28" i="5"/>
  <c r="F28" i="6"/>
  <c r="F28" i="4"/>
  <c r="F28" i="2"/>
  <c r="F25" i="7"/>
  <c r="F25" i="6"/>
  <c r="F25" i="5"/>
  <c r="F25" i="4"/>
  <c r="F25" i="2"/>
  <c r="F30" i="7"/>
  <c r="F30" i="6"/>
  <c r="F30" i="5"/>
  <c r="F30" i="4"/>
  <c r="F30" i="2"/>
  <c r="G30" i="7"/>
  <c r="G30" i="6"/>
  <c r="G30" i="5"/>
  <c r="G30" i="4"/>
  <c r="G30" i="2"/>
  <c r="G25" i="7"/>
  <c r="G25" i="6"/>
  <c r="G25" i="5"/>
  <c r="G25" i="4"/>
  <c r="G25" i="2"/>
  <c r="G29" i="7"/>
  <c r="G29" i="6"/>
  <c r="G29" i="5"/>
  <c r="G29" i="4"/>
  <c r="G29" i="2"/>
  <c r="G28" i="7"/>
  <c r="G28" i="6"/>
  <c r="G28" i="5"/>
  <c r="G28" i="4"/>
  <c r="G28" i="2"/>
  <c r="F11" i="7"/>
  <c r="F11" i="6"/>
  <c r="F11" i="5"/>
  <c r="F11" i="4"/>
  <c r="F11" i="2"/>
  <c r="T14" i="1"/>
  <c r="E13" i="7"/>
  <c r="E13" i="6"/>
  <c r="E13" i="5"/>
  <c r="E13" i="4"/>
  <c r="E13" i="2"/>
  <c r="F23" i="7"/>
  <c r="F23" i="5"/>
  <c r="F23" i="6"/>
  <c r="F23" i="4"/>
  <c r="F23" i="2"/>
  <c r="F33" i="7"/>
  <c r="F33" i="6"/>
  <c r="F33" i="5"/>
  <c r="F33" i="4"/>
  <c r="F33" i="2"/>
  <c r="S9" i="1"/>
  <c r="E8" i="7"/>
  <c r="E8" i="5"/>
  <c r="E8" i="6"/>
  <c r="E8" i="2"/>
  <c r="E8" i="4"/>
  <c r="S5" i="1"/>
  <c r="E4" i="7"/>
  <c r="E4" i="5"/>
  <c r="E4" i="6"/>
  <c r="E4" i="2"/>
  <c r="E4" i="4"/>
  <c r="E18" i="7"/>
  <c r="E18" i="5"/>
  <c r="E18" i="6"/>
  <c r="E18" i="2"/>
  <c r="E18" i="4"/>
  <c r="F31" i="7"/>
  <c r="F31" i="6"/>
  <c r="F31" i="5"/>
  <c r="F31" i="4"/>
  <c r="F31" i="2"/>
  <c r="S13" i="1"/>
  <c r="E12" i="7"/>
  <c r="E12" i="5"/>
  <c r="E12" i="6"/>
  <c r="E12" i="2"/>
  <c r="E12" i="4"/>
  <c r="S10" i="1"/>
  <c r="E9" i="7"/>
  <c r="E9" i="6"/>
  <c r="E9" i="5"/>
  <c r="E9" i="4"/>
  <c r="E9" i="2"/>
  <c r="E6" i="7"/>
  <c r="E6" i="5"/>
  <c r="E6" i="6"/>
  <c r="E6" i="2"/>
  <c r="E6" i="4"/>
  <c r="E3" i="7"/>
  <c r="E3" i="5"/>
  <c r="E3" i="6"/>
  <c r="E3" i="4"/>
  <c r="E3" i="2"/>
  <c r="F26" i="7"/>
  <c r="F26" i="6"/>
  <c r="F26" i="5"/>
  <c r="F26" i="4"/>
  <c r="F26" i="2"/>
  <c r="F35" i="7"/>
  <c r="F35" i="6"/>
  <c r="F35" i="5"/>
  <c r="F35" i="4"/>
  <c r="F35" i="2"/>
  <c r="F32" i="7"/>
  <c r="F32" i="5"/>
  <c r="F32" i="6"/>
  <c r="F32" i="4"/>
  <c r="F32" i="2"/>
  <c r="F29" i="7"/>
  <c r="F29" i="6"/>
  <c r="F29" i="5"/>
  <c r="F29" i="4"/>
  <c r="F29" i="2"/>
  <c r="F38" i="7"/>
  <c r="F38" i="6"/>
  <c r="F38" i="5"/>
  <c r="F38" i="4"/>
  <c r="F38" i="2"/>
  <c r="F34" i="7"/>
  <c r="F34" i="6"/>
  <c r="F34" i="5"/>
  <c r="F34" i="4"/>
  <c r="F34" i="2"/>
  <c r="G38" i="7"/>
  <c r="G38" i="6"/>
  <c r="G38" i="5"/>
  <c r="G38" i="4"/>
  <c r="G38" i="2"/>
  <c r="G33" i="7"/>
  <c r="G33" i="6"/>
  <c r="G33" i="5"/>
  <c r="G33" i="4"/>
  <c r="G33" i="2"/>
  <c r="G32" i="7"/>
  <c r="G32" i="6"/>
  <c r="G32" i="5"/>
  <c r="G32" i="4"/>
  <c r="K32" i="4" s="1"/>
  <c r="G32" i="2"/>
  <c r="B2" i="4"/>
  <c r="J28" i="4" s="1"/>
  <c r="B3" i="5"/>
  <c r="I25" i="1"/>
  <c r="B2" i="7" s="1"/>
  <c r="H9" i="4"/>
  <c r="I7" i="4"/>
  <c r="J26" i="4"/>
  <c r="K6" i="4"/>
  <c r="J17" i="4"/>
  <c r="I8" i="4"/>
  <c r="I12" i="4"/>
  <c r="J8" i="4"/>
  <c r="J36" i="4"/>
  <c r="H7" i="4"/>
  <c r="J24" i="4"/>
  <c r="H16" i="4"/>
  <c r="K38" i="4"/>
  <c r="O38" i="4" s="1"/>
  <c r="K4" i="4"/>
  <c r="K8" i="4"/>
  <c r="K31" i="4"/>
  <c r="J33" i="4"/>
  <c r="H25" i="1"/>
  <c r="E25" i="1"/>
  <c r="B14" i="1"/>
  <c r="G25" i="1"/>
  <c r="T6" i="1"/>
  <c r="S14" i="1"/>
  <c r="T15" i="1"/>
  <c r="S15" i="1"/>
  <c r="S16" i="1"/>
  <c r="T17" i="1"/>
  <c r="T19" i="1"/>
  <c r="S19" i="1"/>
  <c r="T12" i="1"/>
  <c r="T5" i="1"/>
  <c r="T3" i="1"/>
  <c r="T18" i="1"/>
  <c r="T8" i="1"/>
  <c r="S8" i="1"/>
  <c r="T7" i="1"/>
  <c r="S7" i="1"/>
  <c r="T4" i="1"/>
  <c r="S4" i="1"/>
  <c r="T9" i="1"/>
  <c r="T11" i="1"/>
  <c r="S11" i="1"/>
  <c r="T13" i="1"/>
  <c r="T10" i="1"/>
  <c r="H8" i="4" l="1"/>
  <c r="J5" i="4"/>
  <c r="H11" i="4"/>
  <c r="K33" i="4"/>
  <c r="J2" i="4"/>
  <c r="J23" i="4"/>
  <c r="J10" i="4"/>
  <c r="J14" i="4"/>
  <c r="H17" i="4"/>
  <c r="K37" i="4"/>
  <c r="O37" i="4" s="1"/>
  <c r="J37" i="4"/>
  <c r="K25" i="4"/>
  <c r="K11" i="4"/>
  <c r="K15" i="4"/>
  <c r="H10" i="4"/>
  <c r="J11" i="4"/>
  <c r="I17" i="4"/>
  <c r="K2" i="4"/>
  <c r="K29" i="4"/>
  <c r="J32" i="4"/>
  <c r="K7" i="4"/>
  <c r="K28" i="4"/>
  <c r="K14" i="4"/>
  <c r="K10" i="4"/>
  <c r="J7" i="4"/>
  <c r="K13" i="4"/>
  <c r="J22" i="4"/>
  <c r="I14" i="4"/>
  <c r="H12" i="4"/>
  <c r="K16" i="4"/>
  <c r="J9" i="4"/>
  <c r="H18" i="4"/>
  <c r="I15" i="4"/>
  <c r="K24" i="4"/>
  <c r="J12" i="4"/>
  <c r="K23" i="4"/>
  <c r="K34" i="4"/>
  <c r="H6" i="4"/>
  <c r="I2" i="4"/>
  <c r="K30" i="4"/>
  <c r="J3" i="4"/>
  <c r="J16" i="4"/>
  <c r="K5" i="4"/>
  <c r="I10" i="4"/>
  <c r="K22" i="4"/>
  <c r="J34" i="4"/>
  <c r="H5" i="4"/>
  <c r="J6" i="4"/>
  <c r="H15" i="4"/>
  <c r="J35" i="4"/>
  <c r="I9" i="4"/>
  <c r="J31" i="4"/>
  <c r="I18" i="4"/>
  <c r="I13" i="4"/>
  <c r="J25" i="4"/>
  <c r="I5" i="4"/>
  <c r="I16" i="4"/>
  <c r="K26" i="4"/>
  <c r="J15" i="4"/>
  <c r="H4" i="4"/>
  <c r="K12" i="4"/>
  <c r="J13" i="4"/>
  <c r="K36" i="4"/>
  <c r="J18" i="4"/>
  <c r="I3" i="4"/>
  <c r="H3" i="4"/>
  <c r="J4" i="4"/>
  <c r="K17" i="4"/>
  <c r="I4" i="4"/>
  <c r="H14" i="4"/>
  <c r="K18" i="4"/>
  <c r="K35" i="4"/>
  <c r="K3" i="4"/>
  <c r="I11" i="4"/>
  <c r="J30" i="4"/>
  <c r="H13" i="4"/>
  <c r="K9" i="4"/>
  <c r="H2" i="4"/>
  <c r="J38" i="4"/>
  <c r="N38" i="4" s="1"/>
  <c r="AA38" i="4" s="1"/>
  <c r="J29" i="4"/>
  <c r="I6" i="4"/>
  <c r="D30" i="7"/>
  <c r="D30" i="5"/>
  <c r="D30" i="4"/>
  <c r="H30" i="4" s="1"/>
  <c r="D30" i="6"/>
  <c r="D30" i="2"/>
  <c r="E31" i="7"/>
  <c r="E31" i="6"/>
  <c r="E31" i="4"/>
  <c r="I31" i="4" s="1"/>
  <c r="E31" i="5"/>
  <c r="E31" i="2"/>
  <c r="E30" i="7"/>
  <c r="I30" i="7" s="1"/>
  <c r="E30" i="6"/>
  <c r="E30" i="5"/>
  <c r="E30" i="4"/>
  <c r="I30" i="4" s="1"/>
  <c r="E30" i="2"/>
  <c r="D38" i="7"/>
  <c r="D38" i="6"/>
  <c r="D38" i="5"/>
  <c r="D38" i="4"/>
  <c r="H38" i="4" s="1"/>
  <c r="L38" i="4" s="1"/>
  <c r="X38" i="4" s="1"/>
  <c r="D38" i="2"/>
  <c r="E29" i="7"/>
  <c r="E29" i="4"/>
  <c r="I29" i="4" s="1"/>
  <c r="E29" i="6"/>
  <c r="E29" i="5"/>
  <c r="E29" i="2"/>
  <c r="E26" i="7"/>
  <c r="E26" i="5"/>
  <c r="Q26" i="5" s="1"/>
  <c r="E26" i="4"/>
  <c r="I26" i="4" s="1"/>
  <c r="E26" i="6"/>
  <c r="E26" i="2"/>
  <c r="E22" i="7"/>
  <c r="I22" i="7" s="1"/>
  <c r="E22" i="5"/>
  <c r="E22" i="6"/>
  <c r="E22" i="2"/>
  <c r="E22" i="4"/>
  <c r="I22" i="4" s="1"/>
  <c r="M22" i="4" s="1"/>
  <c r="E38" i="7"/>
  <c r="E38" i="6"/>
  <c r="E38" i="5"/>
  <c r="E38" i="4"/>
  <c r="I38" i="4" s="1"/>
  <c r="M38" i="4" s="1"/>
  <c r="E38" i="2"/>
  <c r="E34" i="7"/>
  <c r="E34" i="6"/>
  <c r="E34" i="5"/>
  <c r="E34" i="4"/>
  <c r="I34" i="4" s="1"/>
  <c r="E34" i="2"/>
  <c r="N33" i="4"/>
  <c r="AA33" i="4" s="1"/>
  <c r="E32" i="7"/>
  <c r="E32" i="6"/>
  <c r="E32" i="4"/>
  <c r="I32" i="4" s="1"/>
  <c r="E32" i="5"/>
  <c r="E32" i="2"/>
  <c r="D23" i="7"/>
  <c r="D23" i="6"/>
  <c r="D23" i="4"/>
  <c r="H23" i="4" s="1"/>
  <c r="D23" i="5"/>
  <c r="D23" i="2"/>
  <c r="D27" i="7"/>
  <c r="D27" i="6"/>
  <c r="D27" i="4"/>
  <c r="H27" i="4" s="1"/>
  <c r="L27" i="4" s="1"/>
  <c r="X27" i="4" s="1"/>
  <c r="D27" i="5"/>
  <c r="D27" i="2"/>
  <c r="E24" i="7"/>
  <c r="E24" i="6"/>
  <c r="E24" i="5"/>
  <c r="E24" i="2"/>
  <c r="E24" i="4"/>
  <c r="I24" i="4" s="1"/>
  <c r="E36" i="7"/>
  <c r="I36" i="7" s="1"/>
  <c r="E36" i="6"/>
  <c r="E36" i="4"/>
  <c r="I36" i="4" s="1"/>
  <c r="E36" i="5"/>
  <c r="E36" i="2"/>
  <c r="D33" i="7"/>
  <c r="D33" i="5"/>
  <c r="D33" i="6"/>
  <c r="D33" i="4"/>
  <c r="H33" i="4" s="1"/>
  <c r="L33" i="4" s="1"/>
  <c r="X33" i="4" s="1"/>
  <c r="D33" i="2"/>
  <c r="N30" i="4"/>
  <c r="AA30" i="4" s="1"/>
  <c r="F27" i="7"/>
  <c r="F27" i="5"/>
  <c r="R27" i="5" s="1"/>
  <c r="F27" i="6"/>
  <c r="F27" i="4"/>
  <c r="J27" i="4" s="1"/>
  <c r="F27" i="2"/>
  <c r="D28" i="7"/>
  <c r="H28" i="7" s="1"/>
  <c r="D28" i="6"/>
  <c r="D28" i="4"/>
  <c r="H28" i="4" s="1"/>
  <c r="D28" i="5"/>
  <c r="D28" i="2"/>
  <c r="E33" i="7"/>
  <c r="E33" i="6"/>
  <c r="E33" i="4"/>
  <c r="I33" i="4" s="1"/>
  <c r="E33" i="5"/>
  <c r="Q33" i="5" s="1"/>
  <c r="E33" i="2"/>
  <c r="D25" i="7"/>
  <c r="D25" i="5"/>
  <c r="D25" i="4"/>
  <c r="H25" i="4" s="1"/>
  <c r="L25" i="4" s="1"/>
  <c r="X25" i="4" s="1"/>
  <c r="D25" i="6"/>
  <c r="D25" i="2"/>
  <c r="D37" i="7"/>
  <c r="D37" i="6"/>
  <c r="D37" i="5"/>
  <c r="D37" i="4"/>
  <c r="H37" i="4" s="1"/>
  <c r="D37" i="2"/>
  <c r="E23" i="7"/>
  <c r="I23" i="7" s="1"/>
  <c r="E23" i="5"/>
  <c r="E23" i="6"/>
  <c r="E23" i="4"/>
  <c r="I23" i="4" s="1"/>
  <c r="E23" i="2"/>
  <c r="D35" i="7"/>
  <c r="D35" i="6"/>
  <c r="D35" i="4"/>
  <c r="H35" i="4" s="1"/>
  <c r="D35" i="5"/>
  <c r="D35" i="2"/>
  <c r="D29" i="7"/>
  <c r="D29" i="5"/>
  <c r="D29" i="4"/>
  <c r="H29" i="4" s="1"/>
  <c r="L29" i="4" s="1"/>
  <c r="X29" i="4" s="1"/>
  <c r="D29" i="6"/>
  <c r="D29" i="2"/>
  <c r="E37" i="7"/>
  <c r="I37" i="7" s="1"/>
  <c r="E37" i="6"/>
  <c r="E37" i="4"/>
  <c r="I37" i="4" s="1"/>
  <c r="E37" i="5"/>
  <c r="E37" i="2"/>
  <c r="D36" i="7"/>
  <c r="H36" i="7" s="1"/>
  <c r="D36" i="4"/>
  <c r="H36" i="4" s="1"/>
  <c r="D36" i="6"/>
  <c r="D36" i="5"/>
  <c r="D36" i="2"/>
  <c r="E35" i="7"/>
  <c r="E35" i="6"/>
  <c r="E35" i="4"/>
  <c r="I35" i="4" s="1"/>
  <c r="E35" i="5"/>
  <c r="Q35" i="5" s="1"/>
  <c r="E35" i="2"/>
  <c r="E27" i="7"/>
  <c r="E27" i="4"/>
  <c r="I27" i="4" s="1"/>
  <c r="E27" i="5"/>
  <c r="Q27" i="5" s="1"/>
  <c r="E27" i="6"/>
  <c r="E27" i="2"/>
  <c r="E25" i="7"/>
  <c r="E25" i="4"/>
  <c r="I25" i="4" s="1"/>
  <c r="M25" i="4" s="1"/>
  <c r="E25" i="6"/>
  <c r="E25" i="5"/>
  <c r="E25" i="2"/>
  <c r="D26" i="7"/>
  <c r="H26" i="7" s="1"/>
  <c r="D26" i="5"/>
  <c r="D26" i="4"/>
  <c r="H26" i="4" s="1"/>
  <c r="L26" i="4" s="1"/>
  <c r="X26" i="4" s="1"/>
  <c r="D26" i="6"/>
  <c r="D26" i="2"/>
  <c r="D34" i="7"/>
  <c r="D34" i="5"/>
  <c r="D34" i="4"/>
  <c r="H34" i="4" s="1"/>
  <c r="D34" i="6"/>
  <c r="D34" i="2"/>
  <c r="E28" i="7"/>
  <c r="E28" i="6"/>
  <c r="E28" i="4"/>
  <c r="I28" i="4" s="1"/>
  <c r="M28" i="4" s="1"/>
  <c r="E28" i="5"/>
  <c r="E28" i="2"/>
  <c r="D32" i="7"/>
  <c r="H32" i="7" s="1"/>
  <c r="D32" i="4"/>
  <c r="H32" i="4" s="1"/>
  <c r="L32" i="4" s="1"/>
  <c r="X32" i="4" s="1"/>
  <c r="D32" i="6"/>
  <c r="D32" i="5"/>
  <c r="D32" i="2"/>
  <c r="D24" i="7"/>
  <c r="H24" i="7" s="1"/>
  <c r="D24" i="6"/>
  <c r="D24" i="4"/>
  <c r="H24" i="4" s="1"/>
  <c r="D24" i="5"/>
  <c r="D24" i="2"/>
  <c r="D22" i="7"/>
  <c r="D22" i="5"/>
  <c r="D22" i="4"/>
  <c r="H22" i="4" s="1"/>
  <c r="D22" i="6"/>
  <c r="D22" i="2"/>
  <c r="G27" i="7"/>
  <c r="G27" i="6"/>
  <c r="G27" i="5"/>
  <c r="G27" i="4"/>
  <c r="K27" i="4" s="1"/>
  <c r="G27" i="2"/>
  <c r="D31" i="7"/>
  <c r="H31" i="7" s="1"/>
  <c r="D31" i="6"/>
  <c r="D31" i="4"/>
  <c r="H31" i="4" s="1"/>
  <c r="L31" i="4" s="1"/>
  <c r="X31" i="4" s="1"/>
  <c r="D31" i="5"/>
  <c r="D31" i="2"/>
  <c r="B3" i="7"/>
  <c r="B4" i="7" s="1"/>
  <c r="B2" i="6"/>
  <c r="B2" i="5"/>
  <c r="B3" i="6"/>
  <c r="K31" i="7"/>
  <c r="H5" i="7"/>
  <c r="H9" i="7"/>
  <c r="H13" i="7"/>
  <c r="H17" i="7"/>
  <c r="K3" i="7"/>
  <c r="I7" i="7"/>
  <c r="I11" i="7"/>
  <c r="I15" i="7"/>
  <c r="J7" i="7"/>
  <c r="J11" i="7"/>
  <c r="J15" i="7"/>
  <c r="J22" i="7"/>
  <c r="K5" i="7"/>
  <c r="K9" i="7"/>
  <c r="K13" i="7"/>
  <c r="K17" i="7"/>
  <c r="K25" i="7"/>
  <c r="K29" i="7"/>
  <c r="J26" i="7"/>
  <c r="J30" i="7"/>
  <c r="K24" i="7"/>
  <c r="K28" i="7"/>
  <c r="J27" i="7"/>
  <c r="J35" i="7"/>
  <c r="I32" i="7"/>
  <c r="H33" i="7"/>
  <c r="H37" i="7"/>
  <c r="I33" i="7"/>
  <c r="K2" i="7"/>
  <c r="H6" i="7"/>
  <c r="H10" i="7"/>
  <c r="H14" i="7"/>
  <c r="H18" i="7"/>
  <c r="J4" i="7"/>
  <c r="I8" i="7"/>
  <c r="I12" i="7"/>
  <c r="I16" i="7"/>
  <c r="K4" i="7"/>
  <c r="J8" i="7"/>
  <c r="J12" i="7"/>
  <c r="J16" i="7"/>
  <c r="J23" i="7"/>
  <c r="J2" i="7"/>
  <c r="K6" i="7"/>
  <c r="K10" i="7"/>
  <c r="K14" i="7"/>
  <c r="K18" i="7"/>
  <c r="I26" i="7"/>
  <c r="H27" i="7"/>
  <c r="I25" i="7"/>
  <c r="I29" i="7"/>
  <c r="K33" i="7"/>
  <c r="K37" i="7"/>
  <c r="J34" i="7"/>
  <c r="J38" i="7"/>
  <c r="N38" i="7" s="1"/>
  <c r="AA38" i="7" s="1"/>
  <c r="K34" i="7"/>
  <c r="K38" i="7"/>
  <c r="O38" i="7" s="1"/>
  <c r="J3" i="7"/>
  <c r="H7" i="7"/>
  <c r="H11" i="7"/>
  <c r="H15" i="7"/>
  <c r="H22" i="7"/>
  <c r="I5" i="7"/>
  <c r="I9" i="7"/>
  <c r="I13" i="7"/>
  <c r="I17" i="7"/>
  <c r="I2" i="7"/>
  <c r="J5" i="7"/>
  <c r="J9" i="7"/>
  <c r="J13" i="7"/>
  <c r="J17" i="7"/>
  <c r="I3" i="7"/>
  <c r="K7" i="7"/>
  <c r="K11" i="7"/>
  <c r="K15" i="7"/>
  <c r="K22" i="7"/>
  <c r="K27" i="7"/>
  <c r="O27" i="7" s="1"/>
  <c r="J28" i="7"/>
  <c r="K26" i="7"/>
  <c r="K30" i="7"/>
  <c r="J25" i="7"/>
  <c r="J29" i="7"/>
  <c r="J33" i="7"/>
  <c r="N33" i="7" s="1"/>
  <c r="AA33" i="7" s="1"/>
  <c r="J37" i="7"/>
  <c r="I34" i="7"/>
  <c r="M34" i="7" s="1"/>
  <c r="I38" i="7"/>
  <c r="H35" i="7"/>
  <c r="L35" i="7" s="1"/>
  <c r="X35" i="7" s="1"/>
  <c r="I31" i="7"/>
  <c r="I35" i="7"/>
  <c r="M35" i="7" s="1"/>
  <c r="H8" i="7"/>
  <c r="I14" i="7"/>
  <c r="H3" i="7"/>
  <c r="J18" i="7"/>
  <c r="K8" i="7"/>
  <c r="H34" i="7"/>
  <c r="L34" i="7" s="1"/>
  <c r="X34" i="7" s="1"/>
  <c r="J36" i="7"/>
  <c r="H12" i="7"/>
  <c r="H2" i="7"/>
  <c r="I18" i="7"/>
  <c r="J6" i="7"/>
  <c r="K12" i="7"/>
  <c r="I24" i="7"/>
  <c r="H25" i="7"/>
  <c r="L25" i="7" s="1"/>
  <c r="X25" i="7" s="1"/>
  <c r="I27" i="7"/>
  <c r="H30" i="7"/>
  <c r="H38" i="7"/>
  <c r="K32" i="7"/>
  <c r="I4" i="7"/>
  <c r="H23" i="7"/>
  <c r="L23" i="7" s="1"/>
  <c r="X23" i="7" s="1"/>
  <c r="I10" i="7"/>
  <c r="J14" i="7"/>
  <c r="H4" i="7"/>
  <c r="K23" i="7"/>
  <c r="O23" i="7" s="1"/>
  <c r="J31" i="7"/>
  <c r="N31" i="7" s="1"/>
  <c r="AA31" i="7" s="1"/>
  <c r="J32" i="7"/>
  <c r="N32" i="7" s="1"/>
  <c r="AA32" i="7" s="1"/>
  <c r="J24" i="7"/>
  <c r="I28" i="7"/>
  <c r="M28" i="7" s="1"/>
  <c r="K35" i="7"/>
  <c r="O35" i="7" s="1"/>
  <c r="J10" i="7"/>
  <c r="H29" i="7"/>
  <c r="K36" i="7"/>
  <c r="O36" i="7" s="1"/>
  <c r="H16" i="7"/>
  <c r="I6" i="7"/>
  <c r="K16" i="7"/>
  <c r="P25" i="5"/>
  <c r="P34" i="5"/>
  <c r="S29" i="5"/>
  <c r="S25" i="5"/>
  <c r="P23" i="5"/>
  <c r="P29" i="5"/>
  <c r="P36" i="5"/>
  <c r="R25" i="5"/>
  <c r="S27" i="5"/>
  <c r="R31" i="5"/>
  <c r="R26" i="5"/>
  <c r="Q22" i="5"/>
  <c r="R22" i="5"/>
  <c r="S24" i="5"/>
  <c r="S22" i="5"/>
  <c r="R24" i="5"/>
  <c r="Q24" i="5"/>
  <c r="R23" i="5"/>
  <c r="P24" i="5"/>
  <c r="R30" i="5"/>
  <c r="S28" i="5"/>
  <c r="S26" i="5"/>
  <c r="S30" i="5"/>
  <c r="R29" i="5"/>
  <c r="R36" i="5"/>
  <c r="S31" i="5"/>
  <c r="P37" i="5"/>
  <c r="R32" i="5"/>
  <c r="S38" i="5"/>
  <c r="W38" i="5" s="1"/>
  <c r="R34" i="5"/>
  <c r="S34" i="5"/>
  <c r="P31" i="5"/>
  <c r="P33" i="5"/>
  <c r="Q30" i="5"/>
  <c r="P22" i="5"/>
  <c r="P27" i="5"/>
  <c r="P35" i="5"/>
  <c r="P26" i="5"/>
  <c r="P30" i="5"/>
  <c r="S37" i="5"/>
  <c r="Q32" i="5"/>
  <c r="R38" i="5"/>
  <c r="V38" i="5" s="1"/>
  <c r="S33" i="5"/>
  <c r="Q31" i="5"/>
  <c r="S35" i="5"/>
  <c r="S36" i="5"/>
  <c r="Q28" i="5"/>
  <c r="Q25" i="5"/>
  <c r="R28" i="5"/>
  <c r="P28" i="5"/>
  <c r="T28" i="5" s="1"/>
  <c r="P32" i="5"/>
  <c r="R37" i="5"/>
  <c r="R33" i="5"/>
  <c r="Q38" i="5"/>
  <c r="P38" i="5"/>
  <c r="Q34" i="5"/>
  <c r="S32" i="5"/>
  <c r="W32" i="5" s="1"/>
  <c r="Q36" i="5"/>
  <c r="U36" i="5" s="1"/>
  <c r="Q23" i="5"/>
  <c r="S23" i="5"/>
  <c r="R35" i="5"/>
  <c r="Q29" i="5"/>
  <c r="U29" i="5" s="1"/>
  <c r="Q37" i="5"/>
  <c r="N37" i="4"/>
  <c r="AA37" i="4" s="1"/>
  <c r="L24" i="4"/>
  <c r="X24" i="4" s="1"/>
  <c r="N24" i="4"/>
  <c r="AA24" i="4" s="1"/>
  <c r="N25" i="4"/>
  <c r="AA25" i="4" s="1"/>
  <c r="L35" i="4"/>
  <c r="X35" i="4" s="1"/>
  <c r="L36" i="4"/>
  <c r="X36" i="4" s="1"/>
  <c r="N23" i="4"/>
  <c r="AA23" i="4" s="1"/>
  <c r="O31" i="4"/>
  <c r="N34" i="4"/>
  <c r="AA34" i="4" s="1"/>
  <c r="O36" i="4"/>
  <c r="M23" i="4"/>
  <c r="L37" i="4"/>
  <c r="X37" i="4" s="1"/>
  <c r="N36" i="4"/>
  <c r="AA36" i="4" s="1"/>
  <c r="L23" i="4"/>
  <c r="X23" i="4" s="1"/>
  <c r="L34" i="4"/>
  <c r="X34" i="4" s="1"/>
  <c r="N27" i="4"/>
  <c r="AA27" i="4" s="1"/>
  <c r="N32" i="4"/>
  <c r="AA32" i="4" s="1"/>
  <c r="N31" i="4"/>
  <c r="AA31" i="4" s="1"/>
  <c r="L28" i="4"/>
  <c r="X28" i="4" s="1"/>
  <c r="O33" i="4"/>
  <c r="O24" i="4"/>
  <c r="O23" i="4"/>
  <c r="O29" i="4"/>
  <c r="O25" i="4"/>
  <c r="N26" i="4"/>
  <c r="AA26" i="4" s="1"/>
  <c r="B15" i="1"/>
  <c r="B19" i="1"/>
  <c r="B20" i="1"/>
  <c r="B4" i="2" s="1"/>
  <c r="M29" i="4"/>
  <c r="O28" i="4"/>
  <c r="M36" i="4"/>
  <c r="M30" i="4"/>
  <c r="M31" i="4"/>
  <c r="M35" i="4"/>
  <c r="B3" i="4"/>
  <c r="B3" i="2"/>
  <c r="B2" i="2"/>
  <c r="M37" i="4"/>
  <c r="O30" i="4"/>
  <c r="M33" i="4"/>
  <c r="M32" i="4"/>
  <c r="M24" i="4"/>
  <c r="N22" i="4"/>
  <c r="AA22" i="4" s="1"/>
  <c r="M27" i="4"/>
  <c r="M26" i="4"/>
  <c r="O27" i="4"/>
  <c r="O26" i="4"/>
  <c r="O22" i="4"/>
  <c r="O34" i="4"/>
  <c r="O35" i="4"/>
  <c r="O32" i="4"/>
  <c r="M34" i="4"/>
  <c r="N35" i="4"/>
  <c r="AA35" i="4" s="1"/>
  <c r="N28" i="4"/>
  <c r="AA28" i="4" s="1"/>
  <c r="L22" i="4"/>
  <c r="X22" i="4" s="1"/>
  <c r="L26" i="7" l="1"/>
  <c r="X26" i="7" s="1"/>
  <c r="L38" i="7"/>
  <c r="X38" i="7" s="1"/>
  <c r="L30" i="7"/>
  <c r="X30" i="7" s="1"/>
  <c r="M27" i="7"/>
  <c r="M31" i="7"/>
  <c r="N37" i="7"/>
  <c r="AA37" i="7" s="1"/>
  <c r="O30" i="7"/>
  <c r="O22" i="7"/>
  <c r="V35" i="5"/>
  <c r="V23" i="5"/>
  <c r="U35" i="5"/>
  <c r="L28" i="7"/>
  <c r="X28" i="7" s="1"/>
  <c r="L30" i="4"/>
  <c r="X30" i="4" s="1"/>
  <c r="N29" i="4"/>
  <c r="AA29" i="4" s="1"/>
  <c r="W28" i="5"/>
  <c r="U25" i="5"/>
  <c r="U31" i="5"/>
  <c r="W37" i="5"/>
  <c r="T27" i="5"/>
  <c r="T31" i="5"/>
  <c r="V32" i="5"/>
  <c r="V29" i="5"/>
  <c r="O34" i="7"/>
  <c r="O33" i="7"/>
  <c r="U37" i="5"/>
  <c r="U23" i="5"/>
  <c r="T32" i="5"/>
  <c r="U28" i="5"/>
  <c r="W33" i="5"/>
  <c r="T30" i="5"/>
  <c r="W22" i="5"/>
  <c r="W29" i="5"/>
  <c r="O32" i="7"/>
  <c r="U38" i="5"/>
  <c r="M38" i="7"/>
  <c r="M30" i="7"/>
  <c r="M23" i="7"/>
  <c r="M29" i="7"/>
  <c r="M26" i="7"/>
  <c r="W36" i="5"/>
  <c r="W34" i="5"/>
  <c r="U33" i="5"/>
  <c r="U24" i="5"/>
  <c r="W24" i="5"/>
  <c r="M24" i="7"/>
  <c r="O26" i="7"/>
  <c r="L29" i="7"/>
  <c r="X29" i="7" s="1"/>
  <c r="N24" i="7"/>
  <c r="AA24" i="7" s="1"/>
  <c r="N36" i="7"/>
  <c r="AA36" i="7" s="1"/>
  <c r="V26" i="5"/>
  <c r="T36" i="5"/>
  <c r="L37" i="7"/>
  <c r="X37" i="7" s="1"/>
  <c r="N35" i="7"/>
  <c r="AA35" i="7" s="1"/>
  <c r="N30" i="7"/>
  <c r="AA30" i="7" s="1"/>
  <c r="N22" i="7"/>
  <c r="AA22" i="7" s="1"/>
  <c r="N25" i="7"/>
  <c r="AA25" i="7" s="1"/>
  <c r="N2" i="7"/>
  <c r="O10" i="7"/>
  <c r="N14" i="7"/>
  <c r="M17" i="7"/>
  <c r="L5" i="7"/>
  <c r="O5" i="7"/>
  <c r="N9" i="7"/>
  <c r="M12" i="7"/>
  <c r="L16" i="7"/>
  <c r="O16" i="7"/>
  <c r="O4" i="7"/>
  <c r="M7" i="7"/>
  <c r="L11" i="7"/>
  <c r="O11" i="7"/>
  <c r="N15" i="7"/>
  <c r="M18" i="7"/>
  <c r="O2" i="7"/>
  <c r="L6" i="7"/>
  <c r="O6" i="7"/>
  <c r="N10" i="7"/>
  <c r="M13" i="7"/>
  <c r="L17" i="7"/>
  <c r="O17" i="7"/>
  <c r="N5" i="7"/>
  <c r="M8" i="7"/>
  <c r="L12" i="7"/>
  <c r="O12" i="7"/>
  <c r="N16" i="7"/>
  <c r="N3" i="7"/>
  <c r="L7" i="7"/>
  <c r="O7" i="7"/>
  <c r="N11" i="7"/>
  <c r="M14" i="7"/>
  <c r="L18" i="7"/>
  <c r="O18" i="7"/>
  <c r="M2" i="7"/>
  <c r="N6" i="7"/>
  <c r="M9" i="7"/>
  <c r="L13" i="7"/>
  <c r="O13" i="7"/>
  <c r="N17" i="7"/>
  <c r="N4" i="7"/>
  <c r="L8" i="7"/>
  <c r="O8" i="7"/>
  <c r="N12" i="7"/>
  <c r="M15" i="7"/>
  <c r="M3" i="7"/>
  <c r="L3" i="7"/>
  <c r="N7" i="7"/>
  <c r="M10" i="7"/>
  <c r="L14" i="7"/>
  <c r="O14" i="7"/>
  <c r="L9" i="7"/>
  <c r="O9" i="7"/>
  <c r="M4" i="7"/>
  <c r="N8" i="7"/>
  <c r="O3" i="7"/>
  <c r="L2" i="7"/>
  <c r="L15" i="7"/>
  <c r="O15" i="7"/>
  <c r="N18" i="7"/>
  <c r="N13" i="7"/>
  <c r="M11" i="7"/>
  <c r="M6" i="7"/>
  <c r="M5" i="7"/>
  <c r="L4" i="7"/>
  <c r="M16" i="7"/>
  <c r="L10" i="7"/>
  <c r="T26" i="5"/>
  <c r="T22" i="5"/>
  <c r="T37" i="5"/>
  <c r="V30" i="5"/>
  <c r="V31" i="5"/>
  <c r="T29" i="5"/>
  <c r="AE29" i="5" s="1"/>
  <c r="T34" i="5"/>
  <c r="L36" i="7"/>
  <c r="X36" i="7" s="1"/>
  <c r="L33" i="7"/>
  <c r="X33" i="7" s="1"/>
  <c r="N27" i="7"/>
  <c r="AA27" i="7" s="1"/>
  <c r="N26" i="7"/>
  <c r="AA26" i="7" s="1"/>
  <c r="M22" i="7"/>
  <c r="K26" i="5"/>
  <c r="H17" i="5"/>
  <c r="I5" i="5"/>
  <c r="J24" i="5"/>
  <c r="H23" i="5"/>
  <c r="H11" i="5"/>
  <c r="H13" i="5"/>
  <c r="I8" i="5"/>
  <c r="J35" i="5"/>
  <c r="J3" i="5"/>
  <c r="H7" i="5"/>
  <c r="I6" i="5"/>
  <c r="H3" i="5"/>
  <c r="J6" i="5"/>
  <c r="H10" i="5"/>
  <c r="H18" i="5"/>
  <c r="I3" i="5"/>
  <c r="K7" i="5"/>
  <c r="K10" i="5"/>
  <c r="K14" i="5"/>
  <c r="H15" i="5"/>
  <c r="H22" i="5"/>
  <c r="I9" i="5"/>
  <c r="I28" i="5"/>
  <c r="I4" i="5"/>
  <c r="H8" i="5"/>
  <c r="B4" i="5"/>
  <c r="J7" i="5"/>
  <c r="H12" i="5"/>
  <c r="K29" i="5"/>
  <c r="H4" i="5"/>
  <c r="K8" i="5"/>
  <c r="J4" i="5"/>
  <c r="I7" i="5"/>
  <c r="J37" i="5"/>
  <c r="K2" i="5"/>
  <c r="H6" i="5"/>
  <c r="K3" i="5"/>
  <c r="I2" i="5"/>
  <c r="J5" i="5"/>
  <c r="J9" i="5"/>
  <c r="H16" i="5"/>
  <c r="H36" i="5"/>
  <c r="J2" i="5"/>
  <c r="K6" i="5"/>
  <c r="I10" i="5"/>
  <c r="K13" i="5"/>
  <c r="K17" i="5"/>
  <c r="I24" i="5"/>
  <c r="H34" i="5"/>
  <c r="J33" i="5"/>
  <c r="H2" i="5"/>
  <c r="H14" i="5"/>
  <c r="H25" i="5"/>
  <c r="K16" i="5"/>
  <c r="K25" i="5"/>
  <c r="I11" i="5"/>
  <c r="I15" i="5"/>
  <c r="I22" i="5"/>
  <c r="J10" i="5"/>
  <c r="J14" i="5"/>
  <c r="J18" i="5"/>
  <c r="J25" i="5"/>
  <c r="H27" i="5"/>
  <c r="K28" i="5"/>
  <c r="H30" i="5"/>
  <c r="I32" i="5"/>
  <c r="I36" i="5"/>
  <c r="J32" i="5"/>
  <c r="J36" i="5"/>
  <c r="K32" i="5"/>
  <c r="K36" i="5"/>
  <c r="I14" i="5"/>
  <c r="H32" i="5"/>
  <c r="J13" i="5"/>
  <c r="J30" i="5"/>
  <c r="H31" i="5"/>
  <c r="I35" i="5"/>
  <c r="K27" i="5"/>
  <c r="K5" i="5"/>
  <c r="K11" i="5"/>
  <c r="K18" i="5"/>
  <c r="I12" i="5"/>
  <c r="I16" i="5"/>
  <c r="I23" i="5"/>
  <c r="J31" i="5"/>
  <c r="J11" i="5"/>
  <c r="J15" i="5"/>
  <c r="J22" i="5"/>
  <c r="J28" i="5"/>
  <c r="I29" i="5"/>
  <c r="J27" i="5"/>
  <c r="K33" i="5"/>
  <c r="K37" i="5"/>
  <c r="H33" i="5"/>
  <c r="H37" i="5"/>
  <c r="I33" i="5"/>
  <c r="I37" i="5"/>
  <c r="H24" i="5"/>
  <c r="J29" i="5"/>
  <c r="K35" i="5"/>
  <c r="I31" i="5"/>
  <c r="H5" i="5"/>
  <c r="K4" i="5"/>
  <c r="K9" i="5"/>
  <c r="K12" i="5"/>
  <c r="K22" i="5"/>
  <c r="I13" i="5"/>
  <c r="I17" i="5"/>
  <c r="K24" i="5"/>
  <c r="J12" i="5"/>
  <c r="J16" i="5"/>
  <c r="J23" i="5"/>
  <c r="H26" i="5"/>
  <c r="H29" i="5"/>
  <c r="K30" i="5"/>
  <c r="H28" i="5"/>
  <c r="I34" i="5"/>
  <c r="I38" i="5"/>
  <c r="J34" i="5"/>
  <c r="J38" i="5"/>
  <c r="N38" i="5" s="1"/>
  <c r="AA38" i="5" s="1"/>
  <c r="K34" i="5"/>
  <c r="K38" i="5"/>
  <c r="O38" i="5" s="1"/>
  <c r="H9" i="5"/>
  <c r="J8" i="5"/>
  <c r="I30" i="5"/>
  <c r="K15" i="5"/>
  <c r="K23" i="5"/>
  <c r="I18" i="5"/>
  <c r="I25" i="5"/>
  <c r="H38" i="5"/>
  <c r="J17" i="5"/>
  <c r="I26" i="5"/>
  <c r="J26" i="5"/>
  <c r="I27" i="5"/>
  <c r="M27" i="5" s="1"/>
  <c r="K31" i="5"/>
  <c r="H35" i="5"/>
  <c r="L35" i="5" s="1"/>
  <c r="X35" i="5" s="1"/>
  <c r="R23" i="6"/>
  <c r="P27" i="6"/>
  <c r="Q25" i="6"/>
  <c r="Q22" i="6"/>
  <c r="S22" i="6"/>
  <c r="P22" i="6"/>
  <c r="Q23" i="6"/>
  <c r="S23" i="6"/>
  <c r="P23" i="6"/>
  <c r="P25" i="6"/>
  <c r="P29" i="6"/>
  <c r="P24" i="6"/>
  <c r="Q27" i="6"/>
  <c r="R25" i="6"/>
  <c r="R29" i="6"/>
  <c r="S27" i="6"/>
  <c r="P32" i="6"/>
  <c r="P36" i="6"/>
  <c r="Q33" i="6"/>
  <c r="Q37" i="6"/>
  <c r="R34" i="6"/>
  <c r="R38" i="6"/>
  <c r="V38" i="6" s="1"/>
  <c r="S31" i="6"/>
  <c r="S35" i="6"/>
  <c r="P26" i="6"/>
  <c r="Q28" i="6"/>
  <c r="R26" i="6"/>
  <c r="R30" i="6"/>
  <c r="S24" i="6"/>
  <c r="S28" i="6"/>
  <c r="P33" i="6"/>
  <c r="P37" i="6"/>
  <c r="Q34" i="6"/>
  <c r="Q38" i="6"/>
  <c r="R31" i="6"/>
  <c r="R35" i="6"/>
  <c r="S32" i="6"/>
  <c r="S36" i="6"/>
  <c r="P30" i="6"/>
  <c r="Q26" i="6"/>
  <c r="Q30" i="6"/>
  <c r="R24" i="6"/>
  <c r="V24" i="6" s="1"/>
  <c r="R28" i="6"/>
  <c r="S26" i="6"/>
  <c r="S30" i="6"/>
  <c r="P31" i="6"/>
  <c r="T31" i="6" s="1"/>
  <c r="P35" i="6"/>
  <c r="Q32" i="6"/>
  <c r="Q36" i="6"/>
  <c r="R33" i="6"/>
  <c r="V33" i="6" s="1"/>
  <c r="R37" i="6"/>
  <c r="S34" i="6"/>
  <c r="S38" i="6"/>
  <c r="W38" i="6" s="1"/>
  <c r="R22" i="6"/>
  <c r="V22" i="6" s="1"/>
  <c r="P28" i="6"/>
  <c r="Q24" i="6"/>
  <c r="Q31" i="6"/>
  <c r="U31" i="6" s="1"/>
  <c r="R32" i="6"/>
  <c r="V32" i="6" s="1"/>
  <c r="S33" i="6"/>
  <c r="Q29" i="6"/>
  <c r="S25" i="6"/>
  <c r="W25" i="6" s="1"/>
  <c r="P34" i="6"/>
  <c r="T34" i="6" s="1"/>
  <c r="Q35" i="6"/>
  <c r="R36" i="6"/>
  <c r="S37" i="6"/>
  <c r="W37" i="6" s="1"/>
  <c r="S29" i="6"/>
  <c r="P38" i="6"/>
  <c r="R27" i="6"/>
  <c r="W23" i="5"/>
  <c r="U34" i="5"/>
  <c r="V33" i="5"/>
  <c r="V28" i="5"/>
  <c r="W35" i="5"/>
  <c r="U32" i="5"/>
  <c r="AE32" i="5" s="1"/>
  <c r="T35" i="5"/>
  <c r="U30" i="5"/>
  <c r="AE31" i="5" s="1"/>
  <c r="V34" i="5"/>
  <c r="W31" i="5"/>
  <c r="W30" i="5"/>
  <c r="T24" i="5"/>
  <c r="V24" i="5"/>
  <c r="AO24" i="5" s="1"/>
  <c r="V22" i="5"/>
  <c r="W27" i="5"/>
  <c r="T23" i="5"/>
  <c r="T25" i="5"/>
  <c r="N29" i="7"/>
  <c r="AA29" i="7" s="1"/>
  <c r="N28" i="7"/>
  <c r="AA28" i="7" s="1"/>
  <c r="L22" i="7"/>
  <c r="X22" i="7" s="1"/>
  <c r="N34" i="7"/>
  <c r="AA34" i="7" s="1"/>
  <c r="L32" i="7"/>
  <c r="X32" i="7" s="1"/>
  <c r="M25" i="7"/>
  <c r="M37" i="7"/>
  <c r="M36" i="7"/>
  <c r="O28" i="7"/>
  <c r="O29" i="7"/>
  <c r="L24" i="7"/>
  <c r="X24" i="7" s="1"/>
  <c r="B4" i="6"/>
  <c r="H4" i="6"/>
  <c r="K8" i="6"/>
  <c r="K12" i="6"/>
  <c r="K16" i="6"/>
  <c r="K23" i="6"/>
  <c r="K2" i="6"/>
  <c r="H6" i="6"/>
  <c r="H10" i="6"/>
  <c r="H14" i="6"/>
  <c r="H18" i="6"/>
  <c r="K5" i="6"/>
  <c r="J2" i="6"/>
  <c r="K6" i="6"/>
  <c r="K10" i="6"/>
  <c r="K14" i="6"/>
  <c r="K18" i="6"/>
  <c r="I3" i="6"/>
  <c r="K13" i="6"/>
  <c r="J3" i="6"/>
  <c r="H8" i="6"/>
  <c r="H13" i="6"/>
  <c r="H22" i="6"/>
  <c r="H2" i="6"/>
  <c r="I6" i="6"/>
  <c r="I10" i="6"/>
  <c r="I14" i="6"/>
  <c r="I18" i="6"/>
  <c r="K4" i="6"/>
  <c r="J8" i="6"/>
  <c r="J12" i="6"/>
  <c r="J16" i="6"/>
  <c r="J23" i="6"/>
  <c r="J24" i="6"/>
  <c r="J28" i="6"/>
  <c r="I25" i="6"/>
  <c r="I29" i="6"/>
  <c r="H26" i="6"/>
  <c r="H30" i="6"/>
  <c r="K27" i="6"/>
  <c r="J31" i="6"/>
  <c r="J35" i="6"/>
  <c r="K31" i="6"/>
  <c r="K35" i="6"/>
  <c r="H31" i="6"/>
  <c r="H35" i="6"/>
  <c r="I31" i="6"/>
  <c r="I35" i="6"/>
  <c r="K7" i="6"/>
  <c r="K15" i="6"/>
  <c r="I4" i="6"/>
  <c r="H9" i="6"/>
  <c r="H15" i="6"/>
  <c r="H23" i="6"/>
  <c r="K3" i="6"/>
  <c r="I7" i="6"/>
  <c r="I11" i="6"/>
  <c r="I15" i="6"/>
  <c r="I22" i="6"/>
  <c r="J5" i="6"/>
  <c r="J9" i="6"/>
  <c r="J13" i="6"/>
  <c r="J17" i="6"/>
  <c r="H25" i="6"/>
  <c r="H29" i="6"/>
  <c r="K26" i="6"/>
  <c r="K30" i="6"/>
  <c r="J27" i="6"/>
  <c r="I24" i="6"/>
  <c r="I28" i="6"/>
  <c r="H32" i="6"/>
  <c r="H36" i="6"/>
  <c r="I32" i="6"/>
  <c r="I36" i="6"/>
  <c r="J32" i="6"/>
  <c r="J36" i="6"/>
  <c r="K32" i="6"/>
  <c r="K36" i="6"/>
  <c r="K11" i="6"/>
  <c r="K22" i="6"/>
  <c r="H7" i="6"/>
  <c r="H12" i="6"/>
  <c r="H17" i="6"/>
  <c r="I5" i="6"/>
  <c r="I9" i="6"/>
  <c r="I13" i="6"/>
  <c r="I17" i="6"/>
  <c r="H3" i="6"/>
  <c r="J7" i="6"/>
  <c r="J11" i="6"/>
  <c r="J15" i="6"/>
  <c r="J22" i="6"/>
  <c r="H27" i="6"/>
  <c r="K24" i="6"/>
  <c r="K28" i="6"/>
  <c r="J25" i="6"/>
  <c r="J29" i="6"/>
  <c r="I26" i="6"/>
  <c r="I30" i="6"/>
  <c r="H34" i="6"/>
  <c r="H38" i="6"/>
  <c r="I34" i="6"/>
  <c r="I38" i="6"/>
  <c r="J34" i="6"/>
  <c r="J38" i="6"/>
  <c r="N38" i="6" s="1"/>
  <c r="AA38" i="6" s="1"/>
  <c r="K34" i="6"/>
  <c r="K38" i="6"/>
  <c r="O38" i="6" s="1"/>
  <c r="I12" i="6"/>
  <c r="I2" i="6"/>
  <c r="J18" i="6"/>
  <c r="J30" i="6"/>
  <c r="K33" i="6"/>
  <c r="I33" i="6"/>
  <c r="H5" i="6"/>
  <c r="I16" i="6"/>
  <c r="J6" i="6"/>
  <c r="K37" i="6"/>
  <c r="I37" i="6"/>
  <c r="K9" i="6"/>
  <c r="H11" i="6"/>
  <c r="J4" i="6"/>
  <c r="I23" i="6"/>
  <c r="J10" i="6"/>
  <c r="H24" i="6"/>
  <c r="K25" i="6"/>
  <c r="J33" i="6"/>
  <c r="H33" i="6"/>
  <c r="K17" i="6"/>
  <c r="H16" i="6"/>
  <c r="I8" i="6"/>
  <c r="J14" i="6"/>
  <c r="J26" i="6"/>
  <c r="I27" i="6"/>
  <c r="H28" i="6"/>
  <c r="K29" i="6"/>
  <c r="O29" i="6" s="1"/>
  <c r="J37" i="6"/>
  <c r="H37" i="6"/>
  <c r="L37" i="6" s="1"/>
  <c r="X37" i="6" s="1"/>
  <c r="B5" i="4"/>
  <c r="AC33" i="4" s="1"/>
  <c r="B5" i="6"/>
  <c r="B5" i="7"/>
  <c r="AC22" i="7" s="1"/>
  <c r="B5" i="5"/>
  <c r="T38" i="5"/>
  <c r="V37" i="5"/>
  <c r="V27" i="5"/>
  <c r="T33" i="5"/>
  <c r="V36" i="5"/>
  <c r="W26" i="5"/>
  <c r="U27" i="5"/>
  <c r="AE28" i="5" s="1"/>
  <c r="U26" i="5"/>
  <c r="U22" i="5"/>
  <c r="V25" i="5"/>
  <c r="W25" i="5"/>
  <c r="O37" i="7"/>
  <c r="L31" i="7"/>
  <c r="X31" i="7" s="1"/>
  <c r="L27" i="7"/>
  <c r="X27" i="7" s="1"/>
  <c r="N23" i="7"/>
  <c r="AA23" i="7" s="1"/>
  <c r="M33" i="7"/>
  <c r="M32" i="7"/>
  <c r="O24" i="7"/>
  <c r="O25" i="7"/>
  <c r="O31" i="7"/>
  <c r="S31" i="7"/>
  <c r="R23" i="7"/>
  <c r="P23" i="7"/>
  <c r="Q23" i="7"/>
  <c r="P28" i="7"/>
  <c r="Q25" i="7"/>
  <c r="Q29" i="7"/>
  <c r="R27" i="7"/>
  <c r="R31" i="7"/>
  <c r="S24" i="7"/>
  <c r="S28" i="7"/>
  <c r="P32" i="7"/>
  <c r="P36" i="7"/>
  <c r="Q35" i="7"/>
  <c r="R33" i="7"/>
  <c r="R37" i="7"/>
  <c r="P31" i="7"/>
  <c r="S34" i="7"/>
  <c r="S38" i="7"/>
  <c r="W38" i="7" s="1"/>
  <c r="R24" i="7"/>
  <c r="S22" i="7"/>
  <c r="P24" i="7"/>
  <c r="P25" i="7"/>
  <c r="P29" i="7"/>
  <c r="Q26" i="7"/>
  <c r="Q30" i="7"/>
  <c r="R28" i="7"/>
  <c r="S25" i="7"/>
  <c r="S29" i="7"/>
  <c r="P33" i="7"/>
  <c r="P37" i="7"/>
  <c r="Q32" i="7"/>
  <c r="Q36" i="7"/>
  <c r="R34" i="7"/>
  <c r="R38" i="7"/>
  <c r="V38" i="7" s="1"/>
  <c r="S35" i="7"/>
  <c r="S23" i="7"/>
  <c r="P26" i="7"/>
  <c r="P30" i="7"/>
  <c r="T30" i="7" s="1"/>
  <c r="Q24" i="7"/>
  <c r="Q27" i="7"/>
  <c r="R25" i="7"/>
  <c r="R29" i="7"/>
  <c r="V29" i="7" s="1"/>
  <c r="S26" i="7"/>
  <c r="S30" i="7"/>
  <c r="Q31" i="7"/>
  <c r="P34" i="7"/>
  <c r="T34" i="7" s="1"/>
  <c r="P38" i="7"/>
  <c r="Q33" i="7"/>
  <c r="Q37" i="7"/>
  <c r="R35" i="7"/>
  <c r="V35" i="7" s="1"/>
  <c r="S32" i="7"/>
  <c r="S36" i="7"/>
  <c r="R22" i="7"/>
  <c r="P22" i="7"/>
  <c r="T22" i="7" s="1"/>
  <c r="P27" i="7"/>
  <c r="S27" i="7"/>
  <c r="P35" i="7"/>
  <c r="Q38" i="7"/>
  <c r="U38" i="7" s="1"/>
  <c r="R26" i="7"/>
  <c r="Q28" i="7"/>
  <c r="Q34" i="7"/>
  <c r="R36" i="7"/>
  <c r="V36" i="7" s="1"/>
  <c r="S37" i="7"/>
  <c r="Q22" i="7"/>
  <c r="R30" i="7"/>
  <c r="R32" i="7"/>
  <c r="V32" i="7" s="1"/>
  <c r="S33" i="7"/>
  <c r="AC24" i="4"/>
  <c r="Z34" i="4"/>
  <c r="AC34" i="4"/>
  <c r="AB30" i="4"/>
  <c r="AC28" i="4"/>
  <c r="AB25" i="4"/>
  <c r="AB27" i="4"/>
  <c r="I23" i="2"/>
  <c r="J24" i="2"/>
  <c r="K25" i="2"/>
  <c r="I27" i="2"/>
  <c r="J28" i="2"/>
  <c r="K29" i="2"/>
  <c r="I31" i="2"/>
  <c r="J32" i="2"/>
  <c r="K33" i="2"/>
  <c r="I35" i="2"/>
  <c r="J36" i="2"/>
  <c r="K37" i="2"/>
  <c r="H23" i="2"/>
  <c r="H27" i="2"/>
  <c r="H31" i="2"/>
  <c r="H35" i="2"/>
  <c r="H22" i="2"/>
  <c r="I22" i="2"/>
  <c r="J23" i="2"/>
  <c r="K24" i="2"/>
  <c r="I26" i="2"/>
  <c r="J27" i="2"/>
  <c r="K28" i="2"/>
  <c r="I30" i="2"/>
  <c r="J31" i="2"/>
  <c r="K32" i="2"/>
  <c r="I34" i="2"/>
  <c r="J35" i="2"/>
  <c r="K36" i="2"/>
  <c r="I38" i="2"/>
  <c r="H24" i="2"/>
  <c r="H28" i="2"/>
  <c r="H32" i="2"/>
  <c r="H36" i="2"/>
  <c r="J22" i="2"/>
  <c r="K23" i="2"/>
  <c r="I25" i="2"/>
  <c r="J26" i="2"/>
  <c r="K27" i="2"/>
  <c r="I29" i="2"/>
  <c r="J30" i="2"/>
  <c r="K31" i="2"/>
  <c r="I33" i="2"/>
  <c r="J34" i="2"/>
  <c r="K35" i="2"/>
  <c r="I37" i="2"/>
  <c r="J38" i="2"/>
  <c r="N38" i="2" s="1"/>
  <c r="S38" i="2" s="1"/>
  <c r="H25" i="2"/>
  <c r="H29" i="2"/>
  <c r="H33" i="2"/>
  <c r="H37" i="2"/>
  <c r="K22" i="2"/>
  <c r="I24" i="2"/>
  <c r="J25" i="2"/>
  <c r="K26" i="2"/>
  <c r="I28" i="2"/>
  <c r="J29" i="2"/>
  <c r="K30" i="2"/>
  <c r="I32" i="2"/>
  <c r="J33" i="2"/>
  <c r="K34" i="2"/>
  <c r="I36" i="2"/>
  <c r="J37" i="2"/>
  <c r="N37" i="2" s="1"/>
  <c r="S37" i="2" s="1"/>
  <c r="K38" i="2"/>
  <c r="O38" i="2" s="1"/>
  <c r="H26" i="2"/>
  <c r="H30" i="2"/>
  <c r="H34" i="2"/>
  <c r="L34" i="2" s="1"/>
  <c r="P34" i="2" s="1"/>
  <c r="H38" i="2"/>
  <c r="I2" i="2"/>
  <c r="J3" i="2"/>
  <c r="K4" i="2"/>
  <c r="I6" i="2"/>
  <c r="J7" i="2"/>
  <c r="K8" i="2"/>
  <c r="I10" i="2"/>
  <c r="J11" i="2"/>
  <c r="K12" i="2"/>
  <c r="I14" i="2"/>
  <c r="J15" i="2"/>
  <c r="K16" i="2"/>
  <c r="I18" i="2"/>
  <c r="H4" i="2"/>
  <c r="K2" i="2"/>
  <c r="J4" i="2"/>
  <c r="J6" i="2"/>
  <c r="I8" i="2"/>
  <c r="K9" i="2"/>
  <c r="K11" i="2"/>
  <c r="J13" i="2"/>
  <c r="I15" i="2"/>
  <c r="I17" i="2"/>
  <c r="K18" i="2"/>
  <c r="H7" i="2"/>
  <c r="H11" i="2"/>
  <c r="H15" i="2"/>
  <c r="I3" i="2"/>
  <c r="I5" i="2"/>
  <c r="K6" i="2"/>
  <c r="J8" i="2"/>
  <c r="J10" i="2"/>
  <c r="I12" i="2"/>
  <c r="K13" i="2"/>
  <c r="K15" i="2"/>
  <c r="J17" i="2"/>
  <c r="H3" i="2"/>
  <c r="H8" i="2"/>
  <c r="H12" i="2"/>
  <c r="H16" i="2"/>
  <c r="H2" i="2"/>
  <c r="K3" i="2"/>
  <c r="J5" i="2"/>
  <c r="I7" i="2"/>
  <c r="I9" i="2"/>
  <c r="K10" i="2"/>
  <c r="J12" i="2"/>
  <c r="J14" i="2"/>
  <c r="I16" i="2"/>
  <c r="K17" i="2"/>
  <c r="H5" i="2"/>
  <c r="H9" i="2"/>
  <c r="H13" i="2"/>
  <c r="H17" i="2"/>
  <c r="J2" i="2"/>
  <c r="I4" i="2"/>
  <c r="K5" i="2"/>
  <c r="K7" i="2"/>
  <c r="J9" i="2"/>
  <c r="I11" i="2"/>
  <c r="I13" i="2"/>
  <c r="K14" i="2"/>
  <c r="J16" i="2"/>
  <c r="J18" i="2"/>
  <c r="H6" i="2"/>
  <c r="H10" i="2"/>
  <c r="H14" i="2"/>
  <c r="H18" i="2"/>
  <c r="Z31" i="4"/>
  <c r="Y31" i="4"/>
  <c r="Y28" i="4"/>
  <c r="Z28" i="4"/>
  <c r="AB37" i="4"/>
  <c r="AB22" i="4"/>
  <c r="AC22" i="4"/>
  <c r="Z26" i="4"/>
  <c r="Y26" i="4"/>
  <c r="Z22" i="4"/>
  <c r="Y22" i="4"/>
  <c r="Y32" i="4"/>
  <c r="Z32" i="4"/>
  <c r="Z37" i="4"/>
  <c r="Y37" i="4"/>
  <c r="M3" i="2"/>
  <c r="N4" i="2"/>
  <c r="O5" i="2"/>
  <c r="M7" i="2"/>
  <c r="N8" i="2"/>
  <c r="O9" i="2"/>
  <c r="M11" i="2"/>
  <c r="N12" i="2"/>
  <c r="O13" i="2"/>
  <c r="M15" i="2"/>
  <c r="N16" i="2"/>
  <c r="O17" i="2"/>
  <c r="L3" i="2"/>
  <c r="L7" i="2"/>
  <c r="L11" i="2"/>
  <c r="L15" i="2"/>
  <c r="L2" i="2"/>
  <c r="M2" i="2"/>
  <c r="N3" i="2"/>
  <c r="O4" i="2"/>
  <c r="M6" i="2"/>
  <c r="N7" i="2"/>
  <c r="O8" i="2"/>
  <c r="M10" i="2"/>
  <c r="N11" i="2"/>
  <c r="O12" i="2"/>
  <c r="M14" i="2"/>
  <c r="N15" i="2"/>
  <c r="O16" i="2"/>
  <c r="M18" i="2"/>
  <c r="L4" i="2"/>
  <c r="L8" i="2"/>
  <c r="L12" i="2"/>
  <c r="L16" i="2"/>
  <c r="N2" i="2"/>
  <c r="O3" i="2"/>
  <c r="M5" i="2"/>
  <c r="N6" i="2"/>
  <c r="O7" i="2"/>
  <c r="M9" i="2"/>
  <c r="N10" i="2"/>
  <c r="O11" i="2"/>
  <c r="M13" i="2"/>
  <c r="N14" i="2"/>
  <c r="O15" i="2"/>
  <c r="O2" i="2"/>
  <c r="M4" i="2"/>
  <c r="N5" i="2"/>
  <c r="O6" i="2"/>
  <c r="M8" i="2"/>
  <c r="N9" i="2"/>
  <c r="O10" i="2"/>
  <c r="M12" i="2"/>
  <c r="N13" i="2"/>
  <c r="O14" i="2"/>
  <c r="M16" i="2"/>
  <c r="N17" i="2"/>
  <c r="O18" i="2"/>
  <c r="L6" i="2"/>
  <c r="L10" i="2"/>
  <c r="L14" i="2"/>
  <c r="L18" i="2"/>
  <c r="M17" i="2"/>
  <c r="L13" i="2"/>
  <c r="N18" i="2"/>
  <c r="L17" i="2"/>
  <c r="L5" i="2"/>
  <c r="L9" i="2"/>
  <c r="Y30" i="4"/>
  <c r="Z30" i="4"/>
  <c r="Z29" i="4"/>
  <c r="Y29" i="4"/>
  <c r="AC37" i="4"/>
  <c r="AB29" i="4"/>
  <c r="AC35" i="4"/>
  <c r="AB35" i="4"/>
  <c r="AC26" i="4"/>
  <c r="AB26" i="4"/>
  <c r="Z27" i="4"/>
  <c r="Y27" i="4"/>
  <c r="Z33" i="4"/>
  <c r="Y33" i="4"/>
  <c r="S24" i="4"/>
  <c r="S28" i="4"/>
  <c r="S32" i="4"/>
  <c r="S36" i="4"/>
  <c r="R25" i="4"/>
  <c r="R29" i="4"/>
  <c r="R33" i="4"/>
  <c r="R37" i="4"/>
  <c r="Q25" i="4"/>
  <c r="Q29" i="4"/>
  <c r="Q33" i="4"/>
  <c r="Q37" i="4"/>
  <c r="P25" i="4"/>
  <c r="P29" i="4"/>
  <c r="P33" i="4"/>
  <c r="P37" i="4"/>
  <c r="Q22" i="4"/>
  <c r="S25" i="4"/>
  <c r="S29" i="4"/>
  <c r="S33" i="4"/>
  <c r="S37" i="4"/>
  <c r="R26" i="4"/>
  <c r="R30" i="4"/>
  <c r="R34" i="4"/>
  <c r="R38" i="4"/>
  <c r="V38" i="4" s="1"/>
  <c r="Q26" i="4"/>
  <c r="Q30" i="4"/>
  <c r="Q34" i="4"/>
  <c r="Q38" i="4"/>
  <c r="P26" i="4"/>
  <c r="P30" i="4"/>
  <c r="P34" i="4"/>
  <c r="P38" i="4"/>
  <c r="T38" i="4" s="1"/>
  <c r="P22" i="4"/>
  <c r="S38" i="4"/>
  <c r="W38" i="4" s="1"/>
  <c r="S26" i="4"/>
  <c r="S30" i="4"/>
  <c r="S34" i="4"/>
  <c r="R23" i="4"/>
  <c r="R27" i="4"/>
  <c r="R31" i="4"/>
  <c r="V31" i="4" s="1"/>
  <c r="R35" i="4"/>
  <c r="Q23" i="4"/>
  <c r="U23" i="4" s="1"/>
  <c r="Q27" i="4"/>
  <c r="Q31" i="4"/>
  <c r="Q35" i="4"/>
  <c r="P23" i="4"/>
  <c r="P27" i="4"/>
  <c r="P31" i="4"/>
  <c r="T31" i="4" s="1"/>
  <c r="P35" i="4"/>
  <c r="S22" i="4"/>
  <c r="W22" i="4" s="1"/>
  <c r="S23" i="4"/>
  <c r="S27" i="4"/>
  <c r="S31" i="4"/>
  <c r="S35" i="4"/>
  <c r="W35" i="4" s="1"/>
  <c r="R24" i="4"/>
  <c r="R28" i="4"/>
  <c r="V28" i="4" s="1"/>
  <c r="R32" i="4"/>
  <c r="R36" i="4"/>
  <c r="Q24" i="4"/>
  <c r="Q28" i="4"/>
  <c r="Q32" i="4"/>
  <c r="Q36" i="4"/>
  <c r="U36" i="4" s="1"/>
  <c r="P24" i="4"/>
  <c r="P28" i="4"/>
  <c r="T28" i="4" s="1"/>
  <c r="P32" i="4"/>
  <c r="P36" i="4"/>
  <c r="R22" i="4"/>
  <c r="B4" i="4"/>
  <c r="Z36" i="4"/>
  <c r="Y36" i="4"/>
  <c r="AB38" i="4"/>
  <c r="AB36" i="4"/>
  <c r="AB27" i="7" l="1"/>
  <c r="AB33" i="4"/>
  <c r="AC30" i="4"/>
  <c r="AC25" i="4"/>
  <c r="Y24" i="4"/>
  <c r="AB23" i="4"/>
  <c r="Z38" i="4"/>
  <c r="AC29" i="4"/>
  <c r="U22" i="7"/>
  <c r="U28" i="7"/>
  <c r="Z35" i="7"/>
  <c r="V30" i="7"/>
  <c r="U34" i="7"/>
  <c r="T35" i="7"/>
  <c r="V22" i="7"/>
  <c r="U37" i="7"/>
  <c r="U31" i="7"/>
  <c r="V25" i="7"/>
  <c r="T26" i="7"/>
  <c r="V34" i="7"/>
  <c r="T33" i="7"/>
  <c r="U30" i="7"/>
  <c r="T24" i="7"/>
  <c r="W34" i="7"/>
  <c r="U35" i="7"/>
  <c r="W24" i="7"/>
  <c r="U25" i="7"/>
  <c r="Y35" i="7"/>
  <c r="L37" i="2"/>
  <c r="P37" i="2" s="1"/>
  <c r="AB32" i="4"/>
  <c r="AB28" i="4"/>
  <c r="Z25" i="4"/>
  <c r="AC36" i="4"/>
  <c r="Z23" i="4"/>
  <c r="AB38" i="7"/>
  <c r="T26" i="6"/>
  <c r="V34" i="6"/>
  <c r="Z34" i="7"/>
  <c r="AO27" i="5"/>
  <c r="AB33" i="7"/>
  <c r="Z38" i="7"/>
  <c r="Z24" i="7"/>
  <c r="V23" i="7"/>
  <c r="T32" i="6"/>
  <c r="T23" i="6"/>
  <c r="V23" i="6"/>
  <c r="W27" i="7"/>
  <c r="W36" i="7"/>
  <c r="U33" i="7"/>
  <c r="W30" i="7"/>
  <c r="U27" i="7"/>
  <c r="W23" i="7"/>
  <c r="U36" i="7"/>
  <c r="W29" i="7"/>
  <c r="AO30" i="7" s="1"/>
  <c r="U26" i="7"/>
  <c r="W22" i="7"/>
  <c r="T31" i="7"/>
  <c r="T36" i="7"/>
  <c r="V31" i="7"/>
  <c r="T28" i="7"/>
  <c r="W31" i="7"/>
  <c r="AC27" i="7"/>
  <c r="Z27" i="7"/>
  <c r="V27" i="6"/>
  <c r="V36" i="6"/>
  <c r="AC32" i="7"/>
  <c r="N37" i="6"/>
  <c r="AA37" i="6" s="1"/>
  <c r="N26" i="6"/>
  <c r="AA26" i="6" s="1"/>
  <c r="L24" i="6"/>
  <c r="X24" i="6" s="1"/>
  <c r="N34" i="6"/>
  <c r="AA34" i="6" s="1"/>
  <c r="L34" i="6"/>
  <c r="X34" i="6" s="1"/>
  <c r="N25" i="6"/>
  <c r="AA25" i="6" s="1"/>
  <c r="N22" i="6"/>
  <c r="AA22" i="6" s="1"/>
  <c r="AC23" i="7"/>
  <c r="AE25" i="5"/>
  <c r="U29" i="6"/>
  <c r="U24" i="6"/>
  <c r="W34" i="6"/>
  <c r="U32" i="6"/>
  <c r="W26" i="6"/>
  <c r="V35" i="6"/>
  <c r="T37" i="6"/>
  <c r="V30" i="6"/>
  <c r="T24" i="6"/>
  <c r="Z30" i="7"/>
  <c r="N34" i="5"/>
  <c r="AA34" i="5" s="1"/>
  <c r="Z26" i="7"/>
  <c r="Y23" i="7"/>
  <c r="AN36" i="4"/>
  <c r="AC27" i="4"/>
  <c r="AN27" i="4" s="1"/>
  <c r="Y23" i="4"/>
  <c r="Z35" i="4"/>
  <c r="Y38" i="4"/>
  <c r="AD38" i="4" s="1"/>
  <c r="Y34" i="4"/>
  <c r="AC38" i="7"/>
  <c r="AP38" i="7" s="1"/>
  <c r="Y34" i="7"/>
  <c r="Y27" i="7"/>
  <c r="AB32" i="7"/>
  <c r="L33" i="6"/>
  <c r="X33" i="6" s="1"/>
  <c r="N30" i="6"/>
  <c r="AA30" i="6" s="1"/>
  <c r="N32" i="6"/>
  <c r="AA32" i="6" s="1"/>
  <c r="L32" i="6"/>
  <c r="X32" i="6" s="1"/>
  <c r="L30" i="6"/>
  <c r="X30" i="6" s="1"/>
  <c r="N28" i="6"/>
  <c r="AA28" i="6" s="1"/>
  <c r="L22" i="6"/>
  <c r="X22" i="6" s="1"/>
  <c r="Z28" i="7"/>
  <c r="AO30" i="5"/>
  <c r="T38" i="6"/>
  <c r="U35" i="6"/>
  <c r="W33" i="6"/>
  <c r="T28" i="6"/>
  <c r="V37" i="6"/>
  <c r="T35" i="6"/>
  <c r="V28" i="6"/>
  <c r="T30" i="6"/>
  <c r="V31" i="6"/>
  <c r="T33" i="6"/>
  <c r="V26" i="6"/>
  <c r="W31" i="6"/>
  <c r="U33" i="6"/>
  <c r="V29" i="6"/>
  <c r="T29" i="6"/>
  <c r="U23" i="6"/>
  <c r="U25" i="6"/>
  <c r="AB30" i="7"/>
  <c r="L38" i="5"/>
  <c r="X38" i="5" s="1"/>
  <c r="L29" i="5"/>
  <c r="X29" i="5" s="1"/>
  <c r="L24" i="5"/>
  <c r="X24" i="5" s="1"/>
  <c r="L33" i="5"/>
  <c r="X33" i="5" s="1"/>
  <c r="N25" i="5"/>
  <c r="AA25" i="5" s="1"/>
  <c r="N33" i="5"/>
  <c r="AA33" i="5" s="1"/>
  <c r="L36" i="5"/>
  <c r="X36" i="5" s="1"/>
  <c r="N37" i="5"/>
  <c r="AA37" i="5" s="1"/>
  <c r="Z31" i="7"/>
  <c r="AB36" i="7"/>
  <c r="AE30" i="5"/>
  <c r="AC26" i="7"/>
  <c r="AQ31" i="7"/>
  <c r="M38" i="6"/>
  <c r="M22" i="6"/>
  <c r="Z25" i="7"/>
  <c r="Y25" i="7"/>
  <c r="AN26" i="4"/>
  <c r="AN29" i="4"/>
  <c r="AN37" i="4"/>
  <c r="AN28" i="4"/>
  <c r="AO23" i="7"/>
  <c r="AE34" i="7"/>
  <c r="AC24" i="7"/>
  <c r="AB24" i="7"/>
  <c r="AO37" i="5"/>
  <c r="AC31" i="4"/>
  <c r="AB31" i="4"/>
  <c r="O33" i="6"/>
  <c r="O22" i="6"/>
  <c r="N36" i="6"/>
  <c r="AA36" i="6" s="1"/>
  <c r="L36" i="6"/>
  <c r="X36" i="6" s="1"/>
  <c r="N27" i="6"/>
  <c r="AA27" i="6" s="1"/>
  <c r="L25" i="6"/>
  <c r="X25" i="6" s="1"/>
  <c r="M35" i="6"/>
  <c r="O35" i="6"/>
  <c r="O27" i="6"/>
  <c r="M25" i="6"/>
  <c r="Z37" i="7"/>
  <c r="Y37" i="7"/>
  <c r="AE24" i="5"/>
  <c r="AO29" i="5"/>
  <c r="U26" i="6"/>
  <c r="W35" i="6"/>
  <c r="U37" i="6"/>
  <c r="W27" i="6"/>
  <c r="W23" i="6"/>
  <c r="U22" i="6"/>
  <c r="Y30" i="7"/>
  <c r="AC30" i="7"/>
  <c r="AP30" i="7" s="1"/>
  <c r="O31" i="5"/>
  <c r="O23" i="5"/>
  <c r="O30" i="5"/>
  <c r="N29" i="5"/>
  <c r="AA29" i="5" s="1"/>
  <c r="L37" i="5"/>
  <c r="X37" i="5" s="1"/>
  <c r="N27" i="5"/>
  <c r="AA27" i="5" s="1"/>
  <c r="N30" i="5"/>
  <c r="AA30" i="5" s="1"/>
  <c r="O36" i="5"/>
  <c r="M36" i="5"/>
  <c r="L27" i="5"/>
  <c r="X27" i="5" s="1"/>
  <c r="O25" i="5"/>
  <c r="M28" i="5"/>
  <c r="N24" i="5"/>
  <c r="AA24" i="5" s="1"/>
  <c r="Z22" i="7"/>
  <c r="Y22" i="7"/>
  <c r="Y26" i="7"/>
  <c r="AF26" i="7" s="1"/>
  <c r="AC35" i="7"/>
  <c r="AO31" i="5"/>
  <c r="AB22" i="7"/>
  <c r="AP22" i="7" s="1"/>
  <c r="Y32" i="7"/>
  <c r="Z32" i="7"/>
  <c r="AE34" i="5"/>
  <c r="AC38" i="6"/>
  <c r="AB38" i="6"/>
  <c r="O28" i="6"/>
  <c r="O30" i="6"/>
  <c r="O31" i="6"/>
  <c r="AC29" i="7"/>
  <c r="AB29" i="7"/>
  <c r="AE36" i="5"/>
  <c r="Z27" i="5"/>
  <c r="Y27" i="5"/>
  <c r="AC38" i="5"/>
  <c r="AB38" i="5"/>
  <c r="M38" i="5"/>
  <c r="O22" i="5"/>
  <c r="M29" i="5"/>
  <c r="O27" i="5"/>
  <c r="O32" i="5"/>
  <c r="M32" i="5"/>
  <c r="M22" i="5"/>
  <c r="L7" i="5"/>
  <c r="O13" i="5"/>
  <c r="O16" i="5"/>
  <c r="O17" i="5"/>
  <c r="N8" i="5"/>
  <c r="M18" i="5"/>
  <c r="N11" i="5"/>
  <c r="O7" i="5"/>
  <c r="M9" i="5"/>
  <c r="L13" i="5"/>
  <c r="M2" i="5"/>
  <c r="L18" i="5"/>
  <c r="M16" i="5"/>
  <c r="O5" i="5"/>
  <c r="M7" i="5"/>
  <c r="M4" i="5"/>
  <c r="O11" i="5"/>
  <c r="M17" i="5"/>
  <c r="L4" i="5"/>
  <c r="M6" i="5"/>
  <c r="N2" i="5"/>
  <c r="M15" i="5"/>
  <c r="N10" i="5"/>
  <c r="L16" i="5"/>
  <c r="L10" i="5"/>
  <c r="M14" i="5"/>
  <c r="L3" i="5"/>
  <c r="N3" i="5"/>
  <c r="L11" i="5"/>
  <c r="O4" i="5"/>
  <c r="L6" i="5"/>
  <c r="M12" i="5"/>
  <c r="N18" i="5"/>
  <c r="M11" i="5"/>
  <c r="L2" i="5"/>
  <c r="M13" i="5"/>
  <c r="O9" i="5"/>
  <c r="L5" i="5"/>
  <c r="O18" i="5"/>
  <c r="L17" i="5"/>
  <c r="N17" i="5"/>
  <c r="N7" i="5"/>
  <c r="M10" i="5"/>
  <c r="O6" i="5"/>
  <c r="O10" i="5"/>
  <c r="N15" i="5"/>
  <c r="N14" i="5"/>
  <c r="N5" i="5"/>
  <c r="L12" i="5"/>
  <c r="L15" i="5"/>
  <c r="N12" i="5"/>
  <c r="O2" i="5"/>
  <c r="N13" i="5"/>
  <c r="O3" i="5"/>
  <c r="L9" i="5"/>
  <c r="O15" i="5"/>
  <c r="O12" i="5"/>
  <c r="N9" i="5"/>
  <c r="O8" i="5"/>
  <c r="M3" i="5"/>
  <c r="L8" i="5"/>
  <c r="M8" i="5"/>
  <c r="O14" i="5"/>
  <c r="M5" i="5"/>
  <c r="L14" i="5"/>
  <c r="N4" i="5"/>
  <c r="N16" i="5"/>
  <c r="N6" i="5"/>
  <c r="AE35" i="5"/>
  <c r="AE38" i="5"/>
  <c r="Z24" i="4"/>
  <c r="AC32" i="4"/>
  <c r="AB24" i="4"/>
  <c r="AN25" i="4" s="1"/>
  <c r="Y35" i="4"/>
  <c r="Y25" i="4"/>
  <c r="AD25" i="4" s="1"/>
  <c r="AB34" i="4"/>
  <c r="AN34" i="4" s="1"/>
  <c r="AC23" i="4"/>
  <c r="AN23" i="4" s="1"/>
  <c r="AC38" i="4"/>
  <c r="W33" i="7"/>
  <c r="W37" i="7"/>
  <c r="V26" i="7"/>
  <c r="T27" i="7"/>
  <c r="W32" i="7"/>
  <c r="AO32" i="7" s="1"/>
  <c r="T38" i="7"/>
  <c r="W26" i="7"/>
  <c r="U24" i="7"/>
  <c r="W35" i="7"/>
  <c r="U32" i="7"/>
  <c r="W25" i="7"/>
  <c r="T29" i="7"/>
  <c r="V24" i="7"/>
  <c r="V37" i="7"/>
  <c r="AO37" i="7" s="1"/>
  <c r="T32" i="7"/>
  <c r="V27" i="7"/>
  <c r="U23" i="7"/>
  <c r="AB31" i="7"/>
  <c r="AC31" i="7"/>
  <c r="Z33" i="7"/>
  <c r="Y33" i="7"/>
  <c r="AC37" i="7"/>
  <c r="AB37" i="7"/>
  <c r="AO28" i="5"/>
  <c r="AC33" i="7"/>
  <c r="AO34" i="5"/>
  <c r="L28" i="6"/>
  <c r="X28" i="6" s="1"/>
  <c r="N33" i="6"/>
  <c r="AA33" i="6" s="1"/>
  <c r="M23" i="6"/>
  <c r="M37" i="6"/>
  <c r="O34" i="6"/>
  <c r="M34" i="6"/>
  <c r="M26" i="6"/>
  <c r="O24" i="6"/>
  <c r="O36" i="6"/>
  <c r="M36" i="6"/>
  <c r="M28" i="6"/>
  <c r="O26" i="6"/>
  <c r="L23" i="6"/>
  <c r="X23" i="6" s="1"/>
  <c r="L35" i="6"/>
  <c r="X35" i="6" s="1"/>
  <c r="N35" i="6"/>
  <c r="AA35" i="6" s="1"/>
  <c r="L26" i="6"/>
  <c r="X26" i="6" s="1"/>
  <c r="N24" i="6"/>
  <c r="AA24" i="6" s="1"/>
  <c r="O23" i="6"/>
  <c r="AC28" i="7"/>
  <c r="AB28" i="7"/>
  <c r="AB23" i="7"/>
  <c r="AQ22" i="7" s="1"/>
  <c r="AC36" i="7"/>
  <c r="AO23" i="5"/>
  <c r="W29" i="6"/>
  <c r="AO34" i="6"/>
  <c r="AE32" i="6"/>
  <c r="W36" i="6"/>
  <c r="U38" i="6"/>
  <c r="W28" i="6"/>
  <c r="U28" i="6"/>
  <c r="T36" i="6"/>
  <c r="V25" i="6"/>
  <c r="T25" i="6"/>
  <c r="AE25" i="6" s="1"/>
  <c r="T22" i="6"/>
  <c r="T27" i="6"/>
  <c r="AB34" i="7"/>
  <c r="AE33" i="5"/>
  <c r="N26" i="5"/>
  <c r="AA26" i="5" s="1"/>
  <c r="M25" i="5"/>
  <c r="M30" i="5"/>
  <c r="O34" i="5"/>
  <c r="M34" i="5"/>
  <c r="L26" i="5"/>
  <c r="X26" i="5" s="1"/>
  <c r="O24" i="5"/>
  <c r="M31" i="5"/>
  <c r="M37" i="5"/>
  <c r="O37" i="5"/>
  <c r="N28" i="5"/>
  <c r="AA28" i="5" s="1"/>
  <c r="N31" i="5"/>
  <c r="AA31" i="5" s="1"/>
  <c r="M35" i="5"/>
  <c r="L32" i="5"/>
  <c r="X32" i="5" s="1"/>
  <c r="N36" i="5"/>
  <c r="AA36" i="5" s="1"/>
  <c r="L30" i="5"/>
  <c r="X30" i="5" s="1"/>
  <c r="L25" i="5"/>
  <c r="X25" i="5" s="1"/>
  <c r="L34" i="5"/>
  <c r="X34" i="5" s="1"/>
  <c r="O29" i="5"/>
  <c r="L22" i="5"/>
  <c r="X22" i="5" s="1"/>
  <c r="Y29" i="7"/>
  <c r="AB26" i="7"/>
  <c r="Y24" i="7"/>
  <c r="AE23" i="5"/>
  <c r="AO36" i="5"/>
  <c r="Z23" i="7"/>
  <c r="AG22" i="7" s="1"/>
  <c r="Y31" i="7"/>
  <c r="AO33" i="5"/>
  <c r="AO38" i="5"/>
  <c r="AB29" i="6"/>
  <c r="AC29" i="6"/>
  <c r="M30" i="6"/>
  <c r="M31" i="6"/>
  <c r="AN33" i="4"/>
  <c r="AO36" i="7"/>
  <c r="AG34" i="7"/>
  <c r="AE31" i="7"/>
  <c r="T37" i="7"/>
  <c r="V28" i="7"/>
  <c r="T25" i="7"/>
  <c r="V33" i="7"/>
  <c r="W28" i="7"/>
  <c r="U29" i="7"/>
  <c r="T23" i="7"/>
  <c r="AC25" i="7"/>
  <c r="AB25" i="7"/>
  <c r="AG26" i="7"/>
  <c r="AO26" i="5"/>
  <c r="M27" i="6"/>
  <c r="O25" i="6"/>
  <c r="O37" i="6"/>
  <c r="M33" i="6"/>
  <c r="L38" i="6"/>
  <c r="X38" i="6" s="1"/>
  <c r="N29" i="6"/>
  <c r="AA29" i="6" s="1"/>
  <c r="L27" i="6"/>
  <c r="X27" i="6" s="1"/>
  <c r="O32" i="6"/>
  <c r="M32" i="6"/>
  <c r="M24" i="6"/>
  <c r="L29" i="6"/>
  <c r="X29" i="6" s="1"/>
  <c r="L31" i="6"/>
  <c r="X31" i="6" s="1"/>
  <c r="N31" i="6"/>
  <c r="AA31" i="6" s="1"/>
  <c r="M29" i="6"/>
  <c r="N23" i="6"/>
  <c r="AA23" i="6" s="1"/>
  <c r="M4" i="6"/>
  <c r="L8" i="6"/>
  <c r="L12" i="6"/>
  <c r="L16" i="6"/>
  <c r="N3" i="6"/>
  <c r="M7" i="6"/>
  <c r="M11" i="6"/>
  <c r="M15" i="6"/>
  <c r="L2" i="6"/>
  <c r="N6" i="6"/>
  <c r="N10" i="6"/>
  <c r="N14" i="6"/>
  <c r="N18" i="6"/>
  <c r="O5" i="6"/>
  <c r="O9" i="6"/>
  <c r="O13" i="6"/>
  <c r="O17" i="6"/>
  <c r="L5" i="6"/>
  <c r="L9" i="6"/>
  <c r="L13" i="6"/>
  <c r="L17" i="6"/>
  <c r="N4" i="6"/>
  <c r="M8" i="6"/>
  <c r="M12" i="6"/>
  <c r="M16" i="6"/>
  <c r="O3" i="6"/>
  <c r="N7" i="6"/>
  <c r="N11" i="6"/>
  <c r="N15" i="6"/>
  <c r="M2" i="6"/>
  <c r="O6" i="6"/>
  <c r="O10" i="6"/>
  <c r="O14" i="6"/>
  <c r="O18" i="6"/>
  <c r="N2" i="6"/>
  <c r="L6" i="6"/>
  <c r="L10" i="6"/>
  <c r="L14" i="6"/>
  <c r="L18" i="6"/>
  <c r="M5" i="6"/>
  <c r="M9" i="6"/>
  <c r="M13" i="6"/>
  <c r="M17" i="6"/>
  <c r="O4" i="6"/>
  <c r="N8" i="6"/>
  <c r="N12" i="6"/>
  <c r="N16" i="6"/>
  <c r="L3" i="6"/>
  <c r="O7" i="6"/>
  <c r="O11" i="6"/>
  <c r="O15" i="6"/>
  <c r="L7" i="6"/>
  <c r="M6" i="6"/>
  <c r="N5" i="6"/>
  <c r="L4" i="6"/>
  <c r="L11" i="6"/>
  <c r="M10" i="6"/>
  <c r="N9" i="6"/>
  <c r="O8" i="6"/>
  <c r="M3" i="6"/>
  <c r="O2" i="6"/>
  <c r="M18" i="6"/>
  <c r="N17" i="6"/>
  <c r="O16" i="6"/>
  <c r="N13" i="6"/>
  <c r="O12" i="6"/>
  <c r="L15" i="6"/>
  <c r="M14" i="6"/>
  <c r="Y36" i="7"/>
  <c r="Z36" i="7"/>
  <c r="Y38" i="7"/>
  <c r="Y28" i="7"/>
  <c r="AG27" i="7" s="1"/>
  <c r="AE26" i="5"/>
  <c r="AO25" i="5"/>
  <c r="AO35" i="5"/>
  <c r="U36" i="6"/>
  <c r="W30" i="6"/>
  <c r="U30" i="6"/>
  <c r="W32" i="6"/>
  <c r="U34" i="6"/>
  <c r="AE35" i="6" s="1"/>
  <c r="W24" i="6"/>
  <c r="U27" i="6"/>
  <c r="AE24" i="6"/>
  <c r="W22" i="6"/>
  <c r="AC34" i="7"/>
  <c r="M26" i="5"/>
  <c r="L28" i="5"/>
  <c r="X28" i="5" s="1"/>
  <c r="N23" i="5"/>
  <c r="AA23" i="5" s="1"/>
  <c r="O35" i="5"/>
  <c r="M33" i="5"/>
  <c r="O33" i="5"/>
  <c r="N22" i="5"/>
  <c r="AA22" i="5" s="1"/>
  <c r="M23" i="5"/>
  <c r="L31" i="5"/>
  <c r="X31" i="5" s="1"/>
  <c r="N32" i="5"/>
  <c r="AA32" i="5" s="1"/>
  <c r="O28" i="5"/>
  <c r="M24" i="5"/>
  <c r="N35" i="5"/>
  <c r="AA35" i="5" s="1"/>
  <c r="L23" i="5"/>
  <c r="X23" i="5" s="1"/>
  <c r="O26" i="5"/>
  <c r="Z29" i="7"/>
  <c r="AB35" i="7"/>
  <c r="AQ34" i="7" s="1"/>
  <c r="AO32" i="5"/>
  <c r="AE27" i="5"/>
  <c r="AE37" i="5"/>
  <c r="AP38" i="4"/>
  <c r="L30" i="2"/>
  <c r="P30" i="2" s="1"/>
  <c r="AN38" i="4"/>
  <c r="AN30" i="4"/>
  <c r="L38" i="2"/>
  <c r="P38" i="2" s="1"/>
  <c r="N33" i="2"/>
  <c r="S33" i="2" s="1"/>
  <c r="L25" i="2"/>
  <c r="P25" i="2" s="1"/>
  <c r="N34" i="2"/>
  <c r="S34" i="2" s="1"/>
  <c r="L26" i="2"/>
  <c r="P26" i="2" s="1"/>
  <c r="AD27" i="4"/>
  <c r="AD29" i="4"/>
  <c r="AD28" i="4"/>
  <c r="AD36" i="4"/>
  <c r="AD34" i="4"/>
  <c r="AD37" i="4"/>
  <c r="AD33" i="4"/>
  <c r="AD26" i="4"/>
  <c r="AD30" i="4"/>
  <c r="AD32" i="4"/>
  <c r="AD31" i="4"/>
  <c r="T36" i="4"/>
  <c r="V36" i="4"/>
  <c r="T32" i="4"/>
  <c r="V32" i="4"/>
  <c r="T35" i="4"/>
  <c r="V35" i="4"/>
  <c r="T22" i="4"/>
  <c r="T26" i="4"/>
  <c r="V26" i="4"/>
  <c r="T29" i="4"/>
  <c r="V29" i="4"/>
  <c r="T23" i="4"/>
  <c r="V23" i="4"/>
  <c r="T30" i="4"/>
  <c r="V30" i="4"/>
  <c r="T33" i="4"/>
  <c r="V33" i="4"/>
  <c r="U32" i="4"/>
  <c r="W31" i="4"/>
  <c r="U28" i="4"/>
  <c r="AF28" i="4" s="1"/>
  <c r="W27" i="4"/>
  <c r="W37" i="4"/>
  <c r="U22" i="4"/>
  <c r="U25" i="4"/>
  <c r="V25" i="4"/>
  <c r="V22" i="4"/>
  <c r="T24" i="4"/>
  <c r="U24" i="4"/>
  <c r="V24" i="4"/>
  <c r="W23" i="4"/>
  <c r="T27" i="4"/>
  <c r="U27" i="4"/>
  <c r="V27" i="4"/>
  <c r="W26" i="4"/>
  <c r="T34" i="4"/>
  <c r="U34" i="4"/>
  <c r="V34" i="4"/>
  <c r="W33" i="4"/>
  <c r="T37" i="4"/>
  <c r="U37" i="4"/>
  <c r="V37" i="4"/>
  <c r="W36" i="4"/>
  <c r="O34" i="2"/>
  <c r="N29" i="2"/>
  <c r="S29" i="2" s="1"/>
  <c r="M24" i="2"/>
  <c r="L29" i="2"/>
  <c r="P29" i="2" s="1"/>
  <c r="O35" i="2"/>
  <c r="N30" i="2"/>
  <c r="S30" i="2" s="1"/>
  <c r="M25" i="2"/>
  <c r="L32" i="2"/>
  <c r="P32" i="2" s="1"/>
  <c r="O36" i="2"/>
  <c r="N31" i="2"/>
  <c r="S31" i="2" s="1"/>
  <c r="M26" i="2"/>
  <c r="L22" i="2"/>
  <c r="P22" i="2" s="1"/>
  <c r="L23" i="2"/>
  <c r="P23" i="2" s="1"/>
  <c r="O33" i="2"/>
  <c r="N28" i="2"/>
  <c r="S28" i="2" s="1"/>
  <c r="M23" i="2"/>
  <c r="U30" i="4"/>
  <c r="W29" i="4"/>
  <c r="U33" i="4"/>
  <c r="W32" i="4"/>
  <c r="T38" i="2"/>
  <c r="U38" i="2"/>
  <c r="Y38" i="2" s="1"/>
  <c r="M28" i="2"/>
  <c r="O22" i="2"/>
  <c r="M29" i="2"/>
  <c r="O23" i="2"/>
  <c r="L28" i="2"/>
  <c r="P28" i="2" s="1"/>
  <c r="N35" i="2"/>
  <c r="S35" i="2" s="1"/>
  <c r="M30" i="2"/>
  <c r="O24" i="2"/>
  <c r="L35" i="2"/>
  <c r="P35" i="2" s="1"/>
  <c r="O37" i="2"/>
  <c r="N32" i="2"/>
  <c r="S32" i="2" s="1"/>
  <c r="M27" i="2"/>
  <c r="W34" i="4"/>
  <c r="U26" i="4"/>
  <c r="W25" i="4"/>
  <c r="U29" i="4"/>
  <c r="W28" i="4"/>
  <c r="AQ28" i="4" s="1"/>
  <c r="M32" i="2"/>
  <c r="O26" i="2"/>
  <c r="M33" i="2"/>
  <c r="O27" i="2"/>
  <c r="N22" i="2"/>
  <c r="S22" i="2" s="1"/>
  <c r="L24" i="2"/>
  <c r="P24" i="2" s="1"/>
  <c r="M34" i="2"/>
  <c r="O28" i="2"/>
  <c r="N23" i="2"/>
  <c r="S23" i="2" s="1"/>
  <c r="L31" i="2"/>
  <c r="P31" i="2" s="1"/>
  <c r="N36" i="2"/>
  <c r="S36" i="2" s="1"/>
  <c r="M31" i="2"/>
  <c r="O25" i="2"/>
  <c r="U35" i="4"/>
  <c r="N5" i="4"/>
  <c r="O2" i="4"/>
  <c r="M6" i="4"/>
  <c r="M10" i="4"/>
  <c r="M14" i="4"/>
  <c r="M2" i="4"/>
  <c r="O6" i="4"/>
  <c r="O10" i="4"/>
  <c r="O15" i="4"/>
  <c r="N7" i="4"/>
  <c r="M3" i="4"/>
  <c r="L7" i="4"/>
  <c r="L11" i="4"/>
  <c r="L16" i="4"/>
  <c r="M16" i="4"/>
  <c r="M18" i="4"/>
  <c r="N14" i="4"/>
  <c r="L17" i="4"/>
  <c r="N18" i="4"/>
  <c r="N8" i="4"/>
  <c r="N3" i="4"/>
  <c r="M7" i="4"/>
  <c r="M11" i="4"/>
  <c r="O3" i="4"/>
  <c r="L3" i="4"/>
  <c r="O7" i="4"/>
  <c r="O11" i="4"/>
  <c r="O16" i="4"/>
  <c r="N10" i="4"/>
  <c r="L4" i="4"/>
  <c r="L8" i="4"/>
  <c r="L12" i="4"/>
  <c r="L18" i="4"/>
  <c r="N15" i="4"/>
  <c r="N17" i="4"/>
  <c r="O18" i="4"/>
  <c r="M15" i="4"/>
  <c r="M17" i="4"/>
  <c r="N9" i="4"/>
  <c r="M4" i="4"/>
  <c r="M8" i="4"/>
  <c r="M12" i="4"/>
  <c r="N6" i="4"/>
  <c r="O4" i="4"/>
  <c r="O8" i="4"/>
  <c r="O12" i="4"/>
  <c r="O17" i="4"/>
  <c r="N13" i="4"/>
  <c r="L5" i="4"/>
  <c r="L9" i="4"/>
  <c r="L13" i="4"/>
  <c r="O14" i="4"/>
  <c r="N16" i="4"/>
  <c r="L2" i="4"/>
  <c r="N12" i="4"/>
  <c r="M5" i="4"/>
  <c r="M9" i="4"/>
  <c r="M13" i="4"/>
  <c r="N11" i="4"/>
  <c r="O5" i="4"/>
  <c r="O9" i="4"/>
  <c r="O13" i="4"/>
  <c r="N4" i="4"/>
  <c r="N2" i="4"/>
  <c r="L6" i="4"/>
  <c r="L10" i="4"/>
  <c r="L14" i="4"/>
  <c r="L15" i="4"/>
  <c r="U31" i="4"/>
  <c r="AF31" i="4" s="1"/>
  <c r="W30" i="4"/>
  <c r="U38" i="4"/>
  <c r="T25" i="4"/>
  <c r="W24" i="4"/>
  <c r="M36" i="2"/>
  <c r="O30" i="2"/>
  <c r="N25" i="2"/>
  <c r="S25" i="2" s="1"/>
  <c r="L33" i="2"/>
  <c r="P33" i="2" s="1"/>
  <c r="M37" i="2"/>
  <c r="O31" i="2"/>
  <c r="N26" i="2"/>
  <c r="S26" i="2" s="1"/>
  <c r="L36" i="2"/>
  <c r="P36" i="2" s="1"/>
  <c r="M38" i="2"/>
  <c r="O32" i="2"/>
  <c r="N27" i="2"/>
  <c r="S27" i="2" s="1"/>
  <c r="M22" i="2"/>
  <c r="L27" i="2"/>
  <c r="P27" i="2" s="1"/>
  <c r="M35" i="2"/>
  <c r="O29" i="2"/>
  <c r="N24" i="2"/>
  <c r="S24" i="2" s="1"/>
  <c r="AQ36" i="7" l="1"/>
  <c r="AQ29" i="7"/>
  <c r="AP38" i="6"/>
  <c r="AO27" i="6"/>
  <c r="AP32" i="7"/>
  <c r="AD35" i="4"/>
  <c r="AO31" i="7"/>
  <c r="AF30" i="7"/>
  <c r="AF35" i="7"/>
  <c r="AE30" i="6"/>
  <c r="AE37" i="7"/>
  <c r="AN33" i="7"/>
  <c r="AO24" i="7"/>
  <c r="AD24" i="4"/>
  <c r="AE36" i="7"/>
  <c r="AG33" i="7"/>
  <c r="AP34" i="7"/>
  <c r="AO24" i="6"/>
  <c r="AE35" i="7"/>
  <c r="AE29" i="6"/>
  <c r="AD23" i="4"/>
  <c r="AO33" i="6"/>
  <c r="AN23" i="7"/>
  <c r="AR22" i="7" s="1"/>
  <c r="AV23" i="7" s="1"/>
  <c r="AN27" i="7"/>
  <c r="AN31" i="7"/>
  <c r="AN28" i="7"/>
  <c r="AE33" i="6"/>
  <c r="AP29" i="7"/>
  <c r="AE32" i="7"/>
  <c r="AQ37" i="6"/>
  <c r="AN31" i="4"/>
  <c r="AO29" i="6"/>
  <c r="AO37" i="6"/>
  <c r="AO30" i="6"/>
  <c r="AG35" i="7"/>
  <c r="AQ23" i="7"/>
  <c r="AD25" i="7"/>
  <c r="AD28" i="7"/>
  <c r="AP31" i="7"/>
  <c r="AF38" i="4"/>
  <c r="AG28" i="7"/>
  <c r="AF34" i="7"/>
  <c r="AD34" i="7"/>
  <c r="AP35" i="7"/>
  <c r="AE34" i="6"/>
  <c r="AO38" i="6"/>
  <c r="AD32" i="7"/>
  <c r="AO35" i="6"/>
  <c r="AD37" i="7"/>
  <c r="AQ30" i="7"/>
  <c r="AR30" i="7" s="1"/>
  <c r="AS30" i="7" s="1"/>
  <c r="AD35" i="7"/>
  <c r="AN34" i="7"/>
  <c r="AD31" i="7"/>
  <c r="AD24" i="7"/>
  <c r="AP36" i="7"/>
  <c r="AG24" i="7"/>
  <c r="AE31" i="6"/>
  <c r="AN32" i="4"/>
  <c r="AF24" i="7"/>
  <c r="AF36" i="7"/>
  <c r="AE27" i="6"/>
  <c r="AE38" i="6"/>
  <c r="AQ25" i="7"/>
  <c r="AO26" i="7"/>
  <c r="AD23" i="7"/>
  <c r="AD30" i="7"/>
  <c r="AO28" i="6"/>
  <c r="AC28" i="5"/>
  <c r="AB28" i="5"/>
  <c r="Z29" i="6"/>
  <c r="Y29" i="6"/>
  <c r="Z24" i="6"/>
  <c r="Y24" i="6"/>
  <c r="AC25" i="6"/>
  <c r="AB25" i="6"/>
  <c r="AE24" i="7"/>
  <c r="AG23" i="7"/>
  <c r="Y25" i="5"/>
  <c r="Z25" i="5"/>
  <c r="AE37" i="6"/>
  <c r="Y26" i="6"/>
  <c r="Z26" i="6"/>
  <c r="AF33" i="4"/>
  <c r="AD33" i="7"/>
  <c r="Y24" i="5"/>
  <c r="Z24" i="5"/>
  <c r="Y23" i="5"/>
  <c r="Z23" i="5"/>
  <c r="AB35" i="5"/>
  <c r="AC35" i="5"/>
  <c r="Z26" i="5"/>
  <c r="Y26" i="5"/>
  <c r="AN35" i="7"/>
  <c r="AR34" i="7" s="1"/>
  <c r="AB37" i="6"/>
  <c r="AC37" i="6"/>
  <c r="AQ37" i="5"/>
  <c r="AO34" i="7"/>
  <c r="AP33" i="7"/>
  <c r="AQ33" i="7"/>
  <c r="AG30" i="7"/>
  <c r="AQ35" i="7"/>
  <c r="AE23" i="7"/>
  <c r="AO33" i="7"/>
  <c r="AG36" i="7"/>
  <c r="AB29" i="5"/>
  <c r="AC29" i="5"/>
  <c r="AB24" i="5"/>
  <c r="AC24" i="5"/>
  <c r="Y30" i="5"/>
  <c r="Z30" i="5"/>
  <c r="AO26" i="6"/>
  <c r="AC26" i="6"/>
  <c r="AB26" i="6"/>
  <c r="AC24" i="6"/>
  <c r="AB24" i="6"/>
  <c r="Z37" i="6"/>
  <c r="Y37" i="6"/>
  <c r="AO38" i="7"/>
  <c r="AQ37" i="7"/>
  <c r="AP37" i="7"/>
  <c r="AF38" i="7"/>
  <c r="Z32" i="5"/>
  <c r="Y32" i="5"/>
  <c r="Z38" i="5"/>
  <c r="Y38" i="5"/>
  <c r="AG26" i="5"/>
  <c r="AO32" i="6"/>
  <c r="AC30" i="6"/>
  <c r="AB30" i="6"/>
  <c r="AG31" i="7"/>
  <c r="AF31" i="7"/>
  <c r="AD26" i="7"/>
  <c r="Y28" i="5"/>
  <c r="Z28" i="5"/>
  <c r="AC36" i="5"/>
  <c r="AB36" i="5"/>
  <c r="AO31" i="6"/>
  <c r="Z25" i="6"/>
  <c r="Y25" i="6"/>
  <c r="AC22" i="6"/>
  <c r="AB22" i="6"/>
  <c r="AC33" i="6"/>
  <c r="AB33" i="6"/>
  <c r="AD27" i="7"/>
  <c r="AF33" i="7"/>
  <c r="AO35" i="7"/>
  <c r="Z22" i="6"/>
  <c r="Y22" i="6"/>
  <c r="AN32" i="7"/>
  <c r="AR31" i="7" s="1"/>
  <c r="AS31" i="7" s="1"/>
  <c r="AC26" i="5"/>
  <c r="AB26" i="5"/>
  <c r="AE28" i="6"/>
  <c r="AO23" i="6"/>
  <c r="Y23" i="6"/>
  <c r="Z23" i="6"/>
  <c r="AO25" i="7"/>
  <c r="AP24" i="7"/>
  <c r="AQ24" i="7"/>
  <c r="AN26" i="7"/>
  <c r="AB32" i="5"/>
  <c r="AC32" i="5"/>
  <c r="AP32" i="5" s="1"/>
  <c r="AE36" i="6"/>
  <c r="AC28" i="6"/>
  <c r="AB28" i="6"/>
  <c r="AC25" i="5"/>
  <c r="AB25" i="5"/>
  <c r="AB30" i="5"/>
  <c r="AC30" i="5"/>
  <c r="AO36" i="6"/>
  <c r="AC27" i="6"/>
  <c r="AB27" i="6"/>
  <c r="AP38" i="5"/>
  <c r="AP31" i="4"/>
  <c r="AO29" i="4"/>
  <c r="AB33" i="5"/>
  <c r="AC33" i="5"/>
  <c r="Y32" i="6"/>
  <c r="Z32" i="6"/>
  <c r="Z27" i="6"/>
  <c r="Y27" i="6"/>
  <c r="AN24" i="7"/>
  <c r="AO29" i="7"/>
  <c r="AQ28" i="7"/>
  <c r="AP28" i="7"/>
  <c r="Y30" i="6"/>
  <c r="Z30" i="6"/>
  <c r="AF23" i="7"/>
  <c r="AD29" i="7"/>
  <c r="Z35" i="5"/>
  <c r="Y35" i="5"/>
  <c r="Y37" i="5"/>
  <c r="Z37" i="5"/>
  <c r="Z34" i="5"/>
  <c r="Y34" i="5"/>
  <c r="AP26" i="5"/>
  <c r="AE23" i="6"/>
  <c r="AN29" i="7"/>
  <c r="AB23" i="6"/>
  <c r="AC23" i="6"/>
  <c r="Z36" i="6"/>
  <c r="Y36" i="6"/>
  <c r="Z34" i="6"/>
  <c r="Y34" i="6"/>
  <c r="AO28" i="7"/>
  <c r="AQ27" i="7"/>
  <c r="AP27" i="7"/>
  <c r="AE30" i="7"/>
  <c r="AG29" i="7"/>
  <c r="AF29" i="7"/>
  <c r="AE28" i="7"/>
  <c r="AF27" i="7"/>
  <c r="AN35" i="4"/>
  <c r="Y22" i="5"/>
  <c r="Z22" i="5"/>
  <c r="AB27" i="5"/>
  <c r="AC27" i="5"/>
  <c r="AC22" i="5"/>
  <c r="AB22" i="5"/>
  <c r="AP29" i="6"/>
  <c r="AQ28" i="6"/>
  <c r="AN38" i="6"/>
  <c r="AF28" i="7"/>
  <c r="AF27" i="5"/>
  <c r="AC23" i="5"/>
  <c r="AB23" i="5"/>
  <c r="AC35" i="6"/>
  <c r="AB35" i="6"/>
  <c r="AE27" i="7"/>
  <c r="AF25" i="7"/>
  <c r="Y38" i="6"/>
  <c r="Z38" i="6"/>
  <c r="AN30" i="7"/>
  <c r="AE26" i="7"/>
  <c r="AG25" i="7"/>
  <c r="Y31" i="6"/>
  <c r="Z31" i="6"/>
  <c r="AC37" i="5"/>
  <c r="AB37" i="5"/>
  <c r="Y28" i="6"/>
  <c r="Z28" i="6"/>
  <c r="AF26" i="4"/>
  <c r="Y33" i="5"/>
  <c r="Z33" i="5"/>
  <c r="AD38" i="7"/>
  <c r="AB32" i="6"/>
  <c r="AC32" i="6"/>
  <c r="Y33" i="6"/>
  <c r="Z33" i="6"/>
  <c r="AP25" i="7"/>
  <c r="AN25" i="7"/>
  <c r="AE38" i="7"/>
  <c r="AF37" i="7"/>
  <c r="AG37" i="7"/>
  <c r="AF22" i="7"/>
  <c r="Y31" i="5"/>
  <c r="Z31" i="5"/>
  <c r="AC34" i="5"/>
  <c r="AB34" i="5"/>
  <c r="AE26" i="6"/>
  <c r="AO25" i="6"/>
  <c r="AD23" i="6"/>
  <c r="AC36" i="6"/>
  <c r="AB36" i="6"/>
  <c r="AC34" i="6"/>
  <c r="AB34" i="6"/>
  <c r="AN37" i="7"/>
  <c r="AR36" i="7" s="1"/>
  <c r="AE33" i="7"/>
  <c r="AG32" i="7"/>
  <c r="AF32" i="7"/>
  <c r="AP26" i="7"/>
  <c r="AO27" i="7"/>
  <c r="AQ26" i="7"/>
  <c r="AN24" i="4"/>
  <c r="Y29" i="5"/>
  <c r="Z29" i="5"/>
  <c r="AN36" i="7"/>
  <c r="AC31" i="6"/>
  <c r="AB31" i="6"/>
  <c r="AE29" i="7"/>
  <c r="AD36" i="7"/>
  <c r="Y36" i="5"/>
  <c r="Z36" i="5"/>
  <c r="AB31" i="5"/>
  <c r="AC31" i="5"/>
  <c r="Y35" i="6"/>
  <c r="Z35" i="6"/>
  <c r="AP23" i="7"/>
  <c r="AE25" i="7"/>
  <c r="AD30" i="6"/>
  <c r="AQ32" i="7"/>
  <c r="AN38" i="7"/>
  <c r="AP22" i="4"/>
  <c r="AQ22" i="4"/>
  <c r="AO23" i="4"/>
  <c r="AO36" i="4"/>
  <c r="AP35" i="4"/>
  <c r="AQ35" i="4"/>
  <c r="AQ36" i="4"/>
  <c r="AO37" i="4"/>
  <c r="AP36" i="4"/>
  <c r="AQ31" i="4"/>
  <c r="AR31" i="4" s="1"/>
  <c r="AP37" i="4"/>
  <c r="AQ37" i="4"/>
  <c r="AO38" i="4"/>
  <c r="AP34" i="4"/>
  <c r="AQ34" i="4"/>
  <c r="AO35" i="4"/>
  <c r="AO28" i="4"/>
  <c r="AP27" i="4"/>
  <c r="AQ27" i="4"/>
  <c r="AQ24" i="4"/>
  <c r="AO25" i="4"/>
  <c r="AP24" i="4"/>
  <c r="AP25" i="4"/>
  <c r="AQ25" i="4"/>
  <c r="AO26" i="4"/>
  <c r="AP33" i="4"/>
  <c r="AQ33" i="4"/>
  <c r="AO34" i="4"/>
  <c r="AO24" i="4"/>
  <c r="AP23" i="4"/>
  <c r="AQ23" i="4"/>
  <c r="AP26" i="4"/>
  <c r="AQ26" i="4"/>
  <c r="AO27" i="4"/>
  <c r="AP28" i="4"/>
  <c r="AQ32" i="4"/>
  <c r="AO33" i="4"/>
  <c r="AP32" i="4"/>
  <c r="AO32" i="4"/>
  <c r="AP30" i="4"/>
  <c r="AQ30" i="4"/>
  <c r="AO31" i="4"/>
  <c r="AP29" i="4"/>
  <c r="AQ29" i="4"/>
  <c r="AO30" i="4"/>
  <c r="AG22" i="4"/>
  <c r="AF22" i="4"/>
  <c r="AE23" i="4"/>
  <c r="AE32" i="4"/>
  <c r="AE31" i="4"/>
  <c r="AG30" i="4"/>
  <c r="AG32" i="4"/>
  <c r="AE33" i="4"/>
  <c r="AG28" i="4"/>
  <c r="AG29" i="4"/>
  <c r="AE30" i="4"/>
  <c r="AG37" i="4"/>
  <c r="AE38" i="4"/>
  <c r="AE35" i="4"/>
  <c r="AG34" i="4"/>
  <c r="AG27" i="4"/>
  <c r="AE28" i="4"/>
  <c r="AG24" i="4"/>
  <c r="AE25" i="4"/>
  <c r="AG35" i="4"/>
  <c r="AE36" i="4"/>
  <c r="AF36" i="4"/>
  <c r="AG36" i="4"/>
  <c r="AE37" i="4"/>
  <c r="AG31" i="4"/>
  <c r="AF25" i="4"/>
  <c r="AG25" i="4"/>
  <c r="AE26" i="4"/>
  <c r="AG33" i="4"/>
  <c r="AE34" i="4"/>
  <c r="AF23" i="4"/>
  <c r="AG23" i="4"/>
  <c r="AE24" i="4"/>
  <c r="AE27" i="4"/>
  <c r="AG26" i="4"/>
  <c r="AE29" i="4"/>
  <c r="AF35" i="4"/>
  <c r="AF29" i="4"/>
  <c r="AF32" i="4"/>
  <c r="AF30" i="4"/>
  <c r="Q35" i="2"/>
  <c r="R35" i="2"/>
  <c r="W35" i="2" s="1"/>
  <c r="T30" i="2"/>
  <c r="U30" i="2"/>
  <c r="Y30" i="2" s="1"/>
  <c r="R34" i="2"/>
  <c r="W34" i="2" s="1"/>
  <c r="Q34" i="2"/>
  <c r="Q33" i="2"/>
  <c r="R33" i="2"/>
  <c r="W33" i="2" s="1"/>
  <c r="Q28" i="2"/>
  <c r="R28" i="2"/>
  <c r="W28" i="2" s="1"/>
  <c r="R26" i="2"/>
  <c r="W26" i="2" s="1"/>
  <c r="Q26" i="2"/>
  <c r="Q25" i="2"/>
  <c r="R25" i="2"/>
  <c r="W25" i="2" s="1"/>
  <c r="Q24" i="2"/>
  <c r="R24" i="2"/>
  <c r="W24" i="2" s="1"/>
  <c r="R38" i="2"/>
  <c r="W38" i="2" s="1"/>
  <c r="Q38" i="2"/>
  <c r="R37" i="2"/>
  <c r="W37" i="2" s="1"/>
  <c r="Q37" i="2"/>
  <c r="Q36" i="2"/>
  <c r="R36" i="2"/>
  <c r="W36" i="2" s="1"/>
  <c r="T26" i="2"/>
  <c r="U26" i="2"/>
  <c r="Y26" i="2" s="1"/>
  <c r="Q27" i="2"/>
  <c r="R27" i="2"/>
  <c r="W27" i="2" s="1"/>
  <c r="U24" i="2"/>
  <c r="Y24" i="2" s="1"/>
  <c r="T24" i="2"/>
  <c r="T23" i="2"/>
  <c r="U23" i="2"/>
  <c r="Y23" i="2" s="1"/>
  <c r="U33" i="2"/>
  <c r="Y33" i="2" s="1"/>
  <c r="T33" i="2"/>
  <c r="U32" i="2"/>
  <c r="Y32" i="2" s="1"/>
  <c r="T32" i="2"/>
  <c r="R22" i="2"/>
  <c r="W22" i="2" s="1"/>
  <c r="Q22" i="2"/>
  <c r="U25" i="2"/>
  <c r="Y25" i="2" s="1"/>
  <c r="T25" i="2"/>
  <c r="R32" i="2"/>
  <c r="W32" i="2" s="1"/>
  <c r="Q32" i="2"/>
  <c r="R30" i="2"/>
  <c r="W30" i="2" s="1"/>
  <c r="Q30" i="2"/>
  <c r="Q29" i="2"/>
  <c r="R29" i="2"/>
  <c r="W29" i="2" s="1"/>
  <c r="U36" i="2"/>
  <c r="Y36" i="2" s="1"/>
  <c r="T36" i="2"/>
  <c r="T35" i="2"/>
  <c r="U35" i="2"/>
  <c r="Y35" i="2" s="1"/>
  <c r="T34" i="2"/>
  <c r="U34" i="2"/>
  <c r="Y34" i="2" s="1"/>
  <c r="AF37" i="4"/>
  <c r="AF34" i="4"/>
  <c r="AF27" i="4"/>
  <c r="AF24" i="4"/>
  <c r="T31" i="2"/>
  <c r="U31" i="2"/>
  <c r="Y31" i="2" s="1"/>
  <c r="U29" i="2"/>
  <c r="Y29" i="2" s="1"/>
  <c r="T29" i="2"/>
  <c r="Q31" i="2"/>
  <c r="R31" i="2"/>
  <c r="W31" i="2" s="1"/>
  <c r="U28" i="2"/>
  <c r="Y28" i="2" s="1"/>
  <c r="T28" i="2"/>
  <c r="T27" i="2"/>
  <c r="U27" i="2"/>
  <c r="Y27" i="2" s="1"/>
  <c r="U37" i="2"/>
  <c r="Y37" i="2" s="1"/>
  <c r="T37" i="2"/>
  <c r="T22" i="2"/>
  <c r="U22" i="2"/>
  <c r="Y22" i="2" s="1"/>
  <c r="Q23" i="2"/>
  <c r="R23" i="2"/>
  <c r="W23" i="2" s="1"/>
  <c r="AQ35" i="6" l="1"/>
  <c r="AQ27" i="6"/>
  <c r="AF22" i="6"/>
  <c r="AF28" i="5"/>
  <c r="AQ29" i="6"/>
  <c r="AQ36" i="6"/>
  <c r="AP25" i="6"/>
  <c r="AG28" i="6"/>
  <c r="AR32" i="7"/>
  <c r="AN33" i="6"/>
  <c r="AF29" i="6"/>
  <c r="AR29" i="7"/>
  <c r="AS29" i="7" s="1"/>
  <c r="AP35" i="6"/>
  <c r="AQ30" i="6"/>
  <c r="AN30" i="6"/>
  <c r="AG32" i="5"/>
  <c r="AG27" i="6"/>
  <c r="AG30" i="6"/>
  <c r="AP23" i="6"/>
  <c r="AN33" i="5"/>
  <c r="AN38" i="5"/>
  <c r="AN27" i="5"/>
  <c r="AP27" i="6"/>
  <c r="AG33" i="5"/>
  <c r="AN24" i="5"/>
  <c r="AG25" i="5"/>
  <c r="AN24" i="6"/>
  <c r="AG37" i="6"/>
  <c r="AQ34" i="6"/>
  <c r="AP30" i="5"/>
  <c r="AN29" i="6"/>
  <c r="AF37" i="6"/>
  <c r="AF30" i="5"/>
  <c r="AD36" i="6"/>
  <c r="AN31" i="6"/>
  <c r="AF31" i="5"/>
  <c r="AQ34" i="5"/>
  <c r="AF26" i="6"/>
  <c r="AP28" i="5"/>
  <c r="AR35" i="7"/>
  <c r="AS35" i="7" s="1"/>
  <c r="AD31" i="6"/>
  <c r="AN23" i="5"/>
  <c r="AF36" i="6"/>
  <c r="AF30" i="6"/>
  <c r="AF23" i="6"/>
  <c r="AN36" i="5"/>
  <c r="AQ23" i="5"/>
  <c r="AP36" i="6"/>
  <c r="AR25" i="7"/>
  <c r="AP35" i="5"/>
  <c r="AF31" i="6"/>
  <c r="AQ22" i="5"/>
  <c r="AP27" i="5"/>
  <c r="AF34" i="6"/>
  <c r="AR28" i="7"/>
  <c r="AS28" i="7" s="1"/>
  <c r="AF27" i="6"/>
  <c r="AS34" i="7"/>
  <c r="AF25" i="6"/>
  <c r="AN28" i="5"/>
  <c r="AD34" i="5"/>
  <c r="AF35" i="6"/>
  <c r="AR26" i="7"/>
  <c r="AP22" i="5"/>
  <c r="AF37" i="5"/>
  <c r="AQ31" i="5"/>
  <c r="AP22" i="6"/>
  <c r="AD28" i="5"/>
  <c r="AG31" i="5"/>
  <c r="AQ22" i="6"/>
  <c r="AP37" i="6"/>
  <c r="AD25" i="5"/>
  <c r="AN31" i="5"/>
  <c r="AP31" i="5"/>
  <c r="AV22" i="7"/>
  <c r="AH22" i="7"/>
  <c r="AI22" i="7" s="1"/>
  <c r="AH23" i="7" s="1"/>
  <c r="AL22" i="7"/>
  <c r="AN26" i="5"/>
  <c r="AD33" i="5"/>
  <c r="AP29" i="5"/>
  <c r="AQ28" i="5"/>
  <c r="AN36" i="6"/>
  <c r="AR35" i="6" s="1"/>
  <c r="AG28" i="5"/>
  <c r="AF29" i="5"/>
  <c r="AF33" i="6"/>
  <c r="AD33" i="6"/>
  <c r="AG32" i="6"/>
  <c r="AD31" i="5"/>
  <c r="AD38" i="6"/>
  <c r="AD27" i="5"/>
  <c r="AR29" i="6"/>
  <c r="AG35" i="6"/>
  <c r="AG31" i="6"/>
  <c r="AF32" i="6"/>
  <c r="AD32" i="6"/>
  <c r="AG27" i="5"/>
  <c r="AN34" i="5"/>
  <c r="AP33" i="5"/>
  <c r="AQ32" i="5"/>
  <c r="AN27" i="6"/>
  <c r="AQ24" i="5"/>
  <c r="AN25" i="5"/>
  <c r="AP25" i="5"/>
  <c r="AF38" i="6"/>
  <c r="AQ25" i="5"/>
  <c r="AQ32" i="6"/>
  <c r="AP33" i="6"/>
  <c r="AD25" i="6"/>
  <c r="AG24" i="6"/>
  <c r="AQ27" i="5"/>
  <c r="AG34" i="6"/>
  <c r="AS32" i="7"/>
  <c r="AR37" i="6"/>
  <c r="AS37" i="6" s="1"/>
  <c r="AF24" i="5"/>
  <c r="AG23" i="5"/>
  <c r="AD24" i="5"/>
  <c r="AD32" i="5"/>
  <c r="AF34" i="5"/>
  <c r="AF36" i="5"/>
  <c r="AD36" i="5"/>
  <c r="AG35" i="5"/>
  <c r="AN35" i="6"/>
  <c r="AQ33" i="6"/>
  <c r="AP34" i="6"/>
  <c r="AD37" i="6"/>
  <c r="AD27" i="6"/>
  <c r="AG24" i="5"/>
  <c r="AF25" i="5"/>
  <c r="AG23" i="6"/>
  <c r="AF24" i="6"/>
  <c r="AD24" i="6"/>
  <c r="AN37" i="6"/>
  <c r="AD37" i="5"/>
  <c r="AN32" i="6"/>
  <c r="AD29" i="5"/>
  <c r="AQ33" i="5"/>
  <c r="AP34" i="5"/>
  <c r="AS25" i="7"/>
  <c r="AP32" i="6"/>
  <c r="AQ31" i="6"/>
  <c r="AF33" i="5"/>
  <c r="AN35" i="5"/>
  <c r="AD28" i="6"/>
  <c r="AQ26" i="5"/>
  <c r="AR26" i="5" s="1"/>
  <c r="AS26" i="5" s="1"/>
  <c r="AF22" i="5"/>
  <c r="AR27" i="7"/>
  <c r="AS27" i="7" s="1"/>
  <c r="AS26" i="7"/>
  <c r="AD35" i="6"/>
  <c r="AD34" i="6"/>
  <c r="AG33" i="6"/>
  <c r="AG22" i="6"/>
  <c r="AG34" i="5"/>
  <c r="AF35" i="5"/>
  <c r="AD35" i="5"/>
  <c r="AG26" i="6"/>
  <c r="AN32" i="5"/>
  <c r="AQ29" i="5"/>
  <c r="AN28" i="6"/>
  <c r="AR27" i="6" s="1"/>
  <c r="AR24" i="7"/>
  <c r="AS24" i="7" s="1"/>
  <c r="AD26" i="5"/>
  <c r="AP23" i="5"/>
  <c r="AN29" i="5"/>
  <c r="AG29" i="5"/>
  <c r="AD29" i="6"/>
  <c r="AF23" i="5"/>
  <c r="AG22" i="5"/>
  <c r="AG36" i="6"/>
  <c r="AF32" i="5"/>
  <c r="AQ30" i="5"/>
  <c r="AR30" i="5" s="1"/>
  <c r="AF28" i="6"/>
  <c r="AP30" i="6"/>
  <c r="AR30" i="6" s="1"/>
  <c r="AS22" i="7"/>
  <c r="AR23" i="7"/>
  <c r="AS23" i="7" s="1"/>
  <c r="AR37" i="7"/>
  <c r="AS37" i="7" s="1"/>
  <c r="AS36" i="7"/>
  <c r="AN26" i="6"/>
  <c r="AP26" i="6"/>
  <c r="AN34" i="6"/>
  <c r="AG36" i="5"/>
  <c r="AD30" i="5"/>
  <c r="AG30" i="5"/>
  <c r="AQ36" i="5"/>
  <c r="AP37" i="5"/>
  <c r="AP31" i="6"/>
  <c r="AR31" i="6" s="1"/>
  <c r="AN37" i="5"/>
  <c r="AL22" i="6"/>
  <c r="AH22" i="6"/>
  <c r="AV22" i="6"/>
  <c r="AG29" i="6"/>
  <c r="AD23" i="5"/>
  <c r="AN30" i="5"/>
  <c r="AP36" i="5"/>
  <c r="AD38" i="5"/>
  <c r="AG37" i="5"/>
  <c r="AF38" i="5"/>
  <c r="AP24" i="6"/>
  <c r="AQ23" i="6"/>
  <c r="AR23" i="6" s="1"/>
  <c r="AD26" i="6"/>
  <c r="AQ25" i="6"/>
  <c r="AP24" i="5"/>
  <c r="AQ35" i="5"/>
  <c r="AR35" i="5" s="1"/>
  <c r="AR33" i="7"/>
  <c r="AS33" i="7" s="1"/>
  <c r="AN23" i="6"/>
  <c r="AR22" i="6" s="1"/>
  <c r="AG25" i="6"/>
  <c r="AN25" i="6"/>
  <c r="AQ26" i="6"/>
  <c r="AF26" i="5"/>
  <c r="AQ24" i="6"/>
  <c r="AP28" i="6"/>
  <c r="AR30" i="4"/>
  <c r="AS30" i="4" s="1"/>
  <c r="AR26" i="4"/>
  <c r="AR36" i="4"/>
  <c r="AS36" i="4" s="1"/>
  <c r="AR35" i="4"/>
  <c r="AS35" i="4" s="1"/>
  <c r="AR22" i="4"/>
  <c r="AV23" i="4" s="1"/>
  <c r="AV22" i="4"/>
  <c r="AL22" i="4"/>
  <c r="AH22" i="4"/>
  <c r="AR29" i="4"/>
  <c r="AS29" i="4" s="1"/>
  <c r="AR28" i="4"/>
  <c r="AS28" i="4" s="1"/>
  <c r="AR25" i="4"/>
  <c r="AS25" i="4" s="1"/>
  <c r="AR37" i="4"/>
  <c r="AS37" i="4" s="1"/>
  <c r="AS31" i="4"/>
  <c r="AR32" i="4"/>
  <c r="AS32" i="4" s="1"/>
  <c r="AR23" i="4"/>
  <c r="AS23" i="4" s="1"/>
  <c r="AS22" i="4"/>
  <c r="AR33" i="4"/>
  <c r="AS33" i="4" s="1"/>
  <c r="AR24" i="4"/>
  <c r="AS24" i="4" s="1"/>
  <c r="AS26" i="4"/>
  <c r="AR27" i="4"/>
  <c r="AS27" i="4" s="1"/>
  <c r="AR34" i="4"/>
  <c r="AS34" i="4" s="1"/>
  <c r="X23" i="2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V23" i="2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AR32" i="6" l="1"/>
  <c r="AR36" i="6"/>
  <c r="AS36" i="6" s="1"/>
  <c r="AR32" i="5"/>
  <c r="AS35" i="6"/>
  <c r="AR25" i="6"/>
  <c r="AS25" i="6" s="1"/>
  <c r="AR22" i="5"/>
  <c r="AV23" i="5" s="1"/>
  <c r="AR27" i="5"/>
  <c r="AS27" i="5" s="1"/>
  <c r="AR28" i="5"/>
  <c r="AV23" i="6"/>
  <c r="AS22" i="6"/>
  <c r="AI23" i="7"/>
  <c r="AH24" i="7" s="1"/>
  <c r="AS30" i="6"/>
  <c r="AR23" i="5"/>
  <c r="AS23" i="5" s="1"/>
  <c r="AS22" i="5"/>
  <c r="AT23" i="5" s="1"/>
  <c r="AL22" i="5"/>
  <c r="AV22" i="5"/>
  <c r="AH22" i="5"/>
  <c r="AR24" i="6"/>
  <c r="AS24" i="6" s="1"/>
  <c r="AS23" i="6"/>
  <c r="AR36" i="5"/>
  <c r="AS36" i="5" s="1"/>
  <c r="AS35" i="5"/>
  <c r="AR26" i="6"/>
  <c r="AS26" i="6" s="1"/>
  <c r="AR34" i="5"/>
  <c r="AS34" i="5" s="1"/>
  <c r="AR34" i="6"/>
  <c r="AS34" i="6" s="1"/>
  <c r="AS29" i="6"/>
  <c r="AW23" i="7"/>
  <c r="AL23" i="7"/>
  <c r="AJ23" i="7" s="1"/>
  <c r="AL24" i="7" s="1"/>
  <c r="AJ24" i="7" s="1"/>
  <c r="AM23" i="7"/>
  <c r="AK23" i="7" s="1"/>
  <c r="AM24" i="7" s="1"/>
  <c r="AK24" i="7" s="1"/>
  <c r="AM23" i="6"/>
  <c r="AW23" i="6"/>
  <c r="AL23" i="6"/>
  <c r="AI22" i="6"/>
  <c r="AR37" i="5"/>
  <c r="AS37" i="5" s="1"/>
  <c r="AR29" i="5"/>
  <c r="AS32" i="6"/>
  <c r="AR33" i="6"/>
  <c r="AS33" i="6" s="1"/>
  <c r="AR25" i="5"/>
  <c r="AS25" i="5" s="1"/>
  <c r="AS29" i="5"/>
  <c r="AR31" i="5"/>
  <c r="AS31" i="5" s="1"/>
  <c r="AS30" i="5"/>
  <c r="AR28" i="6"/>
  <c r="AS28" i="6" s="1"/>
  <c r="AS27" i="6"/>
  <c r="AU23" i="7"/>
  <c r="AT23" i="7"/>
  <c r="AV24" i="7" s="1"/>
  <c r="AT24" i="7" s="1"/>
  <c r="AV25" i="7" s="1"/>
  <c r="AT25" i="7" s="1"/>
  <c r="AV26" i="7" s="1"/>
  <c r="AT26" i="7" s="1"/>
  <c r="AV27" i="7" s="1"/>
  <c r="AT27" i="7" s="1"/>
  <c r="AV28" i="7" s="1"/>
  <c r="AT28" i="7" s="1"/>
  <c r="AV29" i="7" s="1"/>
  <c r="AT29" i="7" s="1"/>
  <c r="AV30" i="7" s="1"/>
  <c r="AT30" i="7" s="1"/>
  <c r="AV31" i="7" s="1"/>
  <c r="AT31" i="7" s="1"/>
  <c r="AV32" i="7" s="1"/>
  <c r="AT32" i="7" s="1"/>
  <c r="AV33" i="7" s="1"/>
  <c r="AT33" i="7" s="1"/>
  <c r="AV34" i="7" s="1"/>
  <c r="AT34" i="7" s="1"/>
  <c r="AV35" i="7" s="1"/>
  <c r="AT35" i="7" s="1"/>
  <c r="AV36" i="7" s="1"/>
  <c r="AT36" i="7" s="1"/>
  <c r="AV37" i="7" s="1"/>
  <c r="AT37" i="7" s="1"/>
  <c r="AV38" i="7" s="1"/>
  <c r="AT38" i="7" s="1"/>
  <c r="AS31" i="6"/>
  <c r="AR24" i="5"/>
  <c r="AS24" i="5" s="1"/>
  <c r="AS32" i="5"/>
  <c r="AR33" i="5"/>
  <c r="AS33" i="5" s="1"/>
  <c r="AS28" i="5"/>
  <c r="AT23" i="4"/>
  <c r="AV24" i="4" s="1"/>
  <c r="AT24" i="4" s="1"/>
  <c r="AV25" i="4" s="1"/>
  <c r="AT25" i="4" s="1"/>
  <c r="AV26" i="4" s="1"/>
  <c r="AT26" i="4" s="1"/>
  <c r="AV27" i="4" s="1"/>
  <c r="AT27" i="4" s="1"/>
  <c r="AV28" i="4" s="1"/>
  <c r="AT28" i="4" s="1"/>
  <c r="AV29" i="4" s="1"/>
  <c r="AT29" i="4" s="1"/>
  <c r="AV30" i="4" s="1"/>
  <c r="AT30" i="4" s="1"/>
  <c r="AV31" i="4" s="1"/>
  <c r="AT31" i="4" s="1"/>
  <c r="AV32" i="4" s="1"/>
  <c r="AT32" i="4" s="1"/>
  <c r="AV33" i="4" s="1"/>
  <c r="AT33" i="4" s="1"/>
  <c r="AV34" i="4" s="1"/>
  <c r="AT34" i="4" s="1"/>
  <c r="AV35" i="4" s="1"/>
  <c r="AT35" i="4" s="1"/>
  <c r="AV36" i="4" s="1"/>
  <c r="AT36" i="4" s="1"/>
  <c r="AV37" i="4" s="1"/>
  <c r="AT37" i="4" s="1"/>
  <c r="AV38" i="4" s="1"/>
  <c r="AT38" i="4" s="1"/>
  <c r="AM23" i="4"/>
  <c r="AL23" i="4"/>
  <c r="AW23" i="4"/>
  <c r="AU23" i="4" s="1"/>
  <c r="AI22" i="4"/>
  <c r="AH23" i="4" s="1"/>
  <c r="AV24" i="5" l="1"/>
  <c r="AT24" i="5" s="1"/>
  <c r="AV25" i="5" s="1"/>
  <c r="AT25" i="5" s="1"/>
  <c r="AV26" i="5" s="1"/>
  <c r="AT26" i="5" s="1"/>
  <c r="AV27" i="5" s="1"/>
  <c r="AT27" i="5" s="1"/>
  <c r="AV28" i="5" s="1"/>
  <c r="AT28" i="5" s="1"/>
  <c r="AV29" i="5" s="1"/>
  <c r="AT29" i="5" s="1"/>
  <c r="AV30" i="5" s="1"/>
  <c r="AT30" i="5" s="1"/>
  <c r="AV31" i="5" s="1"/>
  <c r="AT31" i="5" s="1"/>
  <c r="AV32" i="5" s="1"/>
  <c r="AT32" i="5" s="1"/>
  <c r="AV33" i="5" s="1"/>
  <c r="AT33" i="5" s="1"/>
  <c r="AV34" i="5" s="1"/>
  <c r="AT34" i="5" s="1"/>
  <c r="AV35" i="5" s="1"/>
  <c r="AT35" i="5" s="1"/>
  <c r="AV36" i="5" s="1"/>
  <c r="AT36" i="5" s="1"/>
  <c r="AV37" i="5" s="1"/>
  <c r="AT37" i="5" s="1"/>
  <c r="AV38" i="5" s="1"/>
  <c r="AT38" i="5" s="1"/>
  <c r="AL23" i="5"/>
  <c r="AW23" i="5"/>
  <c r="AU23" i="5" s="1"/>
  <c r="AM23" i="5"/>
  <c r="AL25" i="7"/>
  <c r="AW25" i="7"/>
  <c r="AU25" i="7" s="1"/>
  <c r="AM25" i="7"/>
  <c r="AI24" i="7"/>
  <c r="AI22" i="5"/>
  <c r="AK23" i="6"/>
  <c r="AJ23" i="6"/>
  <c r="AW24" i="7"/>
  <c r="AU24" i="7" s="1"/>
  <c r="AT23" i="6"/>
  <c r="AV24" i="6" s="1"/>
  <c r="AT24" i="6" s="1"/>
  <c r="AV25" i="6" s="1"/>
  <c r="AT25" i="6" s="1"/>
  <c r="AV26" i="6" s="1"/>
  <c r="AT26" i="6" s="1"/>
  <c r="AV27" i="6" s="1"/>
  <c r="AT27" i="6" s="1"/>
  <c r="AV28" i="6" s="1"/>
  <c r="AT28" i="6" s="1"/>
  <c r="AV29" i="6" s="1"/>
  <c r="AT29" i="6" s="1"/>
  <c r="AV30" i="6" s="1"/>
  <c r="AT30" i="6" s="1"/>
  <c r="AV31" i="6" s="1"/>
  <c r="AT31" i="6" s="1"/>
  <c r="AV32" i="6" s="1"/>
  <c r="AT32" i="6" s="1"/>
  <c r="AV33" i="6" s="1"/>
  <c r="AT33" i="6" s="1"/>
  <c r="AV34" i="6" s="1"/>
  <c r="AT34" i="6" s="1"/>
  <c r="AV35" i="6" s="1"/>
  <c r="AT35" i="6" s="1"/>
  <c r="AV36" i="6" s="1"/>
  <c r="AT36" i="6" s="1"/>
  <c r="AV37" i="6" s="1"/>
  <c r="AT37" i="6" s="1"/>
  <c r="AV38" i="6" s="1"/>
  <c r="AT38" i="6" s="1"/>
  <c r="AU23" i="6"/>
  <c r="AH23" i="6"/>
  <c r="AK23" i="4"/>
  <c r="AW24" i="4" s="1"/>
  <c r="AU24" i="4" s="1"/>
  <c r="AJ23" i="4"/>
  <c r="AL24" i="4" s="1"/>
  <c r="AI23" i="4"/>
  <c r="AM24" i="4" l="1"/>
  <c r="AJ24" i="4"/>
  <c r="AK23" i="5"/>
  <c r="AJ23" i="5"/>
  <c r="AH23" i="5"/>
  <c r="AM24" i="6"/>
  <c r="AW24" i="6"/>
  <c r="AU24" i="6" s="1"/>
  <c r="AL24" i="6"/>
  <c r="AI23" i="6"/>
  <c r="AK25" i="7"/>
  <c r="AH25" i="7"/>
  <c r="AJ25" i="7"/>
  <c r="AH24" i="4"/>
  <c r="AL25" i="4" s="1"/>
  <c r="AK24" i="4"/>
  <c r="AM25" i="4" l="1"/>
  <c r="AI24" i="4"/>
  <c r="AH25" i="4" s="1"/>
  <c r="AK24" i="6"/>
  <c r="AH24" i="6"/>
  <c r="AJ24" i="6"/>
  <c r="AW24" i="5"/>
  <c r="AU24" i="5" s="1"/>
  <c r="AL24" i="5"/>
  <c r="AM24" i="5"/>
  <c r="AI23" i="5"/>
  <c r="AL26" i="7"/>
  <c r="AM26" i="7"/>
  <c r="AW26" i="7"/>
  <c r="AU26" i="7" s="1"/>
  <c r="AI25" i="7"/>
  <c r="AW25" i="4"/>
  <c r="AU25" i="4" s="1"/>
  <c r="AI25" i="4"/>
  <c r="AH26" i="4" s="1"/>
  <c r="AK25" i="4" l="1"/>
  <c r="AJ25" i="4"/>
  <c r="AL26" i="4" s="1"/>
  <c r="AH26" i="7"/>
  <c r="AK26" i="7"/>
  <c r="AJ26" i="7"/>
  <c r="AJ24" i="5"/>
  <c r="AK24" i="5"/>
  <c r="AH24" i="5"/>
  <c r="AM25" i="6"/>
  <c r="AW25" i="6"/>
  <c r="AU25" i="6" s="1"/>
  <c r="AI24" i="6"/>
  <c r="AL25" i="6"/>
  <c r="AI26" i="4"/>
  <c r="AH27" i="4" s="1"/>
  <c r="AJ26" i="4"/>
  <c r="AL27" i="4" s="1"/>
  <c r="AM26" i="4" l="1"/>
  <c r="AK26" i="4" s="1"/>
  <c r="AM27" i="4" s="1"/>
  <c r="AW26" i="4"/>
  <c r="AU26" i="4" s="1"/>
  <c r="AW27" i="4"/>
  <c r="AU27" i="4" s="1"/>
  <c r="AM25" i="5"/>
  <c r="AI24" i="5"/>
  <c r="AW25" i="5"/>
  <c r="AU25" i="5" s="1"/>
  <c r="AL25" i="5"/>
  <c r="AK25" i="6"/>
  <c r="AH25" i="6"/>
  <c r="AJ25" i="6"/>
  <c r="AW27" i="7"/>
  <c r="AU27" i="7" s="1"/>
  <c r="AL27" i="7"/>
  <c r="AM27" i="7"/>
  <c r="AI26" i="7"/>
  <c r="AI27" i="4"/>
  <c r="AH28" i="4" s="1"/>
  <c r="AJ27" i="4"/>
  <c r="AL28" i="4" s="1"/>
  <c r="AK27" i="4"/>
  <c r="AM28" i="4" s="1"/>
  <c r="AJ28" i="4" l="1"/>
  <c r="AL29" i="4" s="1"/>
  <c r="AM26" i="6"/>
  <c r="AI25" i="6"/>
  <c r="AL26" i="6"/>
  <c r="AW26" i="6"/>
  <c r="AU26" i="6" s="1"/>
  <c r="AK25" i="5"/>
  <c r="AJ25" i="5"/>
  <c r="AH25" i="5"/>
  <c r="AJ27" i="7"/>
  <c r="AH27" i="7"/>
  <c r="AK27" i="7"/>
  <c r="AK28" i="4"/>
  <c r="AM29" i="4" s="1"/>
  <c r="AW28" i="4"/>
  <c r="AU28" i="4" s="1"/>
  <c r="AI28" i="4"/>
  <c r="AH29" i="4" s="1"/>
  <c r="AH26" i="6" l="1"/>
  <c r="AJ26" i="6"/>
  <c r="AK26" i="6"/>
  <c r="AI25" i="5"/>
  <c r="AM26" i="5"/>
  <c r="AL26" i="5"/>
  <c r="AW26" i="5"/>
  <c r="AU26" i="5" s="1"/>
  <c r="AW29" i="4"/>
  <c r="AU29" i="4" s="1"/>
  <c r="AW28" i="7"/>
  <c r="AU28" i="7" s="1"/>
  <c r="AM28" i="7"/>
  <c r="AI27" i="7"/>
  <c r="AL28" i="7"/>
  <c r="AI29" i="4"/>
  <c r="AH30" i="4" s="1"/>
  <c r="AK29" i="4"/>
  <c r="AM30" i="4" s="1"/>
  <c r="AJ29" i="4"/>
  <c r="AL30" i="4" s="1"/>
  <c r="AK30" i="4" l="1"/>
  <c r="AM31" i="4" s="1"/>
  <c r="AH26" i="5"/>
  <c r="AJ26" i="5"/>
  <c r="AK26" i="5"/>
  <c r="AJ28" i="7"/>
  <c r="AH28" i="7"/>
  <c r="AK28" i="7"/>
  <c r="AJ30" i="4"/>
  <c r="AL31" i="4" s="1"/>
  <c r="AW27" i="6"/>
  <c r="AU27" i="6" s="1"/>
  <c r="AI26" i="6"/>
  <c r="AM27" i="6"/>
  <c r="AL27" i="6"/>
  <c r="AW30" i="4"/>
  <c r="AU30" i="4" s="1"/>
  <c r="AI30" i="4"/>
  <c r="AH31" i="4" s="1"/>
  <c r="AW31" i="4" l="1"/>
  <c r="AU31" i="4" s="1"/>
  <c r="AJ27" i="6"/>
  <c r="AH27" i="6"/>
  <c r="AK27" i="6"/>
  <c r="AW29" i="7"/>
  <c r="AU29" i="7" s="1"/>
  <c r="AI28" i="7"/>
  <c r="AM29" i="7"/>
  <c r="AL29" i="7"/>
  <c r="AM27" i="5"/>
  <c r="AI26" i="5"/>
  <c r="AW27" i="5"/>
  <c r="AU27" i="5" s="1"/>
  <c r="AL27" i="5"/>
  <c r="AI31" i="4"/>
  <c r="AH32" i="4" s="1"/>
  <c r="AJ31" i="4"/>
  <c r="AL32" i="4" s="1"/>
  <c r="AK31" i="4"/>
  <c r="AM32" i="4" s="1"/>
  <c r="AK32" i="4" l="1"/>
  <c r="AM33" i="4" s="1"/>
  <c r="AJ32" i="4"/>
  <c r="AL33" i="4" s="1"/>
  <c r="AM28" i="6"/>
  <c r="AL28" i="6"/>
  <c r="AI27" i="6"/>
  <c r="AW28" i="6"/>
  <c r="AU28" i="6" s="1"/>
  <c r="AJ27" i="5"/>
  <c r="AH27" i="5"/>
  <c r="AK27" i="5"/>
  <c r="AK29" i="7"/>
  <c r="AJ29" i="7"/>
  <c r="AH29" i="7"/>
  <c r="AW32" i="4"/>
  <c r="AU32" i="4" s="1"/>
  <c r="AI32" i="4"/>
  <c r="AW33" i="4"/>
  <c r="AU33" i="4" s="1"/>
  <c r="AM30" i="7" l="1"/>
  <c r="AL30" i="7"/>
  <c r="AI29" i="7"/>
  <c r="AW30" i="7"/>
  <c r="AU30" i="7" s="1"/>
  <c r="AW28" i="5"/>
  <c r="AU28" i="5" s="1"/>
  <c r="AI27" i="5"/>
  <c r="AL28" i="5"/>
  <c r="AM28" i="5"/>
  <c r="AJ28" i="6"/>
  <c r="AH28" i="6"/>
  <c r="AK28" i="6"/>
  <c r="AH33" i="4"/>
  <c r="AK33" i="4"/>
  <c r="AJ33" i="4"/>
  <c r="AL34" i="4" l="1"/>
  <c r="AM34" i="4"/>
  <c r="AK30" i="7"/>
  <c r="AH30" i="7"/>
  <c r="AJ30" i="7"/>
  <c r="AL29" i="6"/>
  <c r="AW29" i="6"/>
  <c r="AU29" i="6" s="1"/>
  <c r="AM29" i="6"/>
  <c r="AI28" i="6"/>
  <c r="AK28" i="5"/>
  <c r="AH28" i="5"/>
  <c r="AJ28" i="5"/>
  <c r="AI33" i="4"/>
  <c r="AH34" i="4" s="1"/>
  <c r="AW34" i="4"/>
  <c r="AU34" i="4" s="1"/>
  <c r="AM31" i="7" l="1"/>
  <c r="AL31" i="7"/>
  <c r="AI30" i="7"/>
  <c r="AW31" i="7"/>
  <c r="AU31" i="7" s="1"/>
  <c r="AH29" i="6"/>
  <c r="AJ29" i="6"/>
  <c r="AK29" i="6"/>
  <c r="AI28" i="5"/>
  <c r="AL29" i="5"/>
  <c r="AW29" i="5"/>
  <c r="AU29" i="5" s="1"/>
  <c r="AM29" i="5"/>
  <c r="AK34" i="4"/>
  <c r="AM35" i="4" s="1"/>
  <c r="AI34" i="4"/>
  <c r="AJ34" i="4"/>
  <c r="AL35" i="4" s="1"/>
  <c r="AW35" i="4" l="1"/>
  <c r="AU35" i="4" s="1"/>
  <c r="AJ31" i="7"/>
  <c r="AK31" i="7"/>
  <c r="AH31" i="7"/>
  <c r="AJ29" i="5"/>
  <c r="AH29" i="5"/>
  <c r="AK29" i="5"/>
  <c r="AM30" i="6"/>
  <c r="AI29" i="6"/>
  <c r="AW30" i="6"/>
  <c r="AU30" i="6" s="1"/>
  <c r="AL30" i="6"/>
  <c r="AH35" i="4"/>
  <c r="AK35" i="4"/>
  <c r="AJ35" i="4"/>
  <c r="AL36" i="4" l="1"/>
  <c r="AM36" i="4"/>
  <c r="AH30" i="6"/>
  <c r="AJ30" i="6"/>
  <c r="AK30" i="6"/>
  <c r="AL32" i="7"/>
  <c r="AW32" i="7"/>
  <c r="AU32" i="7" s="1"/>
  <c r="AI31" i="7"/>
  <c r="AM32" i="7"/>
  <c r="AI29" i="5"/>
  <c r="AL30" i="5"/>
  <c r="AW30" i="5"/>
  <c r="AU30" i="5" s="1"/>
  <c r="AM30" i="5"/>
  <c r="AI35" i="4"/>
  <c r="AW36" i="4"/>
  <c r="AU36" i="4" s="1"/>
  <c r="AK30" i="5" l="1"/>
  <c r="AH30" i="5"/>
  <c r="AJ30" i="5"/>
  <c r="AJ32" i="7"/>
  <c r="AK32" i="7"/>
  <c r="AH32" i="7"/>
  <c r="AM31" i="6"/>
  <c r="AL31" i="6"/>
  <c r="AI30" i="6"/>
  <c r="AW31" i="6"/>
  <c r="AU31" i="6" s="1"/>
  <c r="AH36" i="4"/>
  <c r="AK36" i="4"/>
  <c r="AJ36" i="4"/>
  <c r="AL37" i="4" l="1"/>
  <c r="AM37" i="4"/>
  <c r="AL33" i="7"/>
  <c r="AI32" i="7"/>
  <c r="AW33" i="7"/>
  <c r="AU33" i="7" s="1"/>
  <c r="AM33" i="7"/>
  <c r="AI30" i="5"/>
  <c r="AL31" i="5"/>
  <c r="AW31" i="5"/>
  <c r="AU31" i="5" s="1"/>
  <c r="AM31" i="5"/>
  <c r="AH31" i="6"/>
  <c r="AK31" i="6"/>
  <c r="AJ31" i="6"/>
  <c r="AI36" i="4"/>
  <c r="AW37" i="4"/>
  <c r="AU37" i="4" s="1"/>
  <c r="AJ33" i="7" l="1"/>
  <c r="AK33" i="7"/>
  <c r="AH33" i="7"/>
  <c r="AW32" i="6"/>
  <c r="AU32" i="6" s="1"/>
  <c r="AI31" i="6"/>
  <c r="AM32" i="6"/>
  <c r="AL32" i="6"/>
  <c r="AH31" i="5"/>
  <c r="AJ31" i="5"/>
  <c r="AK31" i="5"/>
  <c r="AH37" i="4"/>
  <c r="AJ37" i="4"/>
  <c r="AK37" i="4"/>
  <c r="AM38" i="4" l="1"/>
  <c r="AL38" i="4"/>
  <c r="AW34" i="7"/>
  <c r="AU34" i="7" s="1"/>
  <c r="AI33" i="7"/>
  <c r="AM34" i="7"/>
  <c r="AL34" i="7"/>
  <c r="AI31" i="5"/>
  <c r="AW32" i="5"/>
  <c r="AU32" i="5" s="1"/>
  <c r="AM32" i="5"/>
  <c r="AL32" i="5"/>
  <c r="AH32" i="6"/>
  <c r="AJ32" i="6"/>
  <c r="AK32" i="6"/>
  <c r="AI37" i="4"/>
  <c r="AJ38" i="4" s="1"/>
  <c r="AW38" i="4"/>
  <c r="AU38" i="4" s="1"/>
  <c r="AK34" i="7" l="1"/>
  <c r="AJ34" i="7"/>
  <c r="AH34" i="7"/>
  <c r="AL33" i="6"/>
  <c r="AI32" i="6"/>
  <c r="AM33" i="6"/>
  <c r="AW33" i="6"/>
  <c r="AU33" i="6" s="1"/>
  <c r="AH32" i="5"/>
  <c r="AK32" i="5"/>
  <c r="AJ32" i="5"/>
  <c r="AK38" i="4"/>
  <c r="AL35" i="7" l="1"/>
  <c r="AM35" i="7"/>
  <c r="AI34" i="7"/>
  <c r="AW35" i="7"/>
  <c r="AU35" i="7" s="1"/>
  <c r="AL33" i="5"/>
  <c r="AM33" i="5"/>
  <c r="AI32" i="5"/>
  <c r="AW33" i="5"/>
  <c r="AU33" i="5" s="1"/>
  <c r="AJ33" i="6"/>
  <c r="AH33" i="6"/>
  <c r="AK33" i="6"/>
  <c r="AH33" i="5" l="1"/>
  <c r="AJ33" i="5"/>
  <c r="AK33" i="5"/>
  <c r="AK35" i="7"/>
  <c r="AJ35" i="7"/>
  <c r="AH35" i="7"/>
  <c r="AW34" i="6"/>
  <c r="AU34" i="6" s="1"/>
  <c r="AI33" i="6"/>
  <c r="AM34" i="6"/>
  <c r="AL34" i="6"/>
  <c r="AJ34" i="6" l="1"/>
  <c r="AH34" i="6"/>
  <c r="AK34" i="6"/>
  <c r="AW36" i="7"/>
  <c r="AU36" i="7" s="1"/>
  <c r="AI35" i="7"/>
  <c r="AM36" i="7"/>
  <c r="AL36" i="7"/>
  <c r="AW34" i="5"/>
  <c r="AU34" i="5" s="1"/>
  <c r="AM34" i="5"/>
  <c r="AL34" i="5"/>
  <c r="AI33" i="5"/>
  <c r="AH34" i="5" l="1"/>
  <c r="AK34" i="5"/>
  <c r="AJ34" i="5"/>
  <c r="AL35" i="6"/>
  <c r="AI34" i="6"/>
  <c r="AM35" i="6"/>
  <c r="AW35" i="6"/>
  <c r="AU35" i="6" s="1"/>
  <c r="AJ36" i="7"/>
  <c r="AH36" i="7"/>
  <c r="AK36" i="7"/>
  <c r="AL37" i="7" l="1"/>
  <c r="AI36" i="7"/>
  <c r="AW37" i="7"/>
  <c r="AU37" i="7" s="1"/>
  <c r="AM37" i="7"/>
  <c r="AH35" i="6"/>
  <c r="AK35" i="6"/>
  <c r="AJ35" i="6"/>
  <c r="AI34" i="5"/>
  <c r="AW35" i="5"/>
  <c r="AU35" i="5" s="1"/>
  <c r="AM35" i="5"/>
  <c r="AL35" i="5"/>
  <c r="AH35" i="5" l="1"/>
  <c r="AK35" i="5"/>
  <c r="AJ35" i="5"/>
  <c r="AJ37" i="7"/>
  <c r="AK37" i="7"/>
  <c r="AH37" i="7"/>
  <c r="AW36" i="6"/>
  <c r="AU36" i="6" s="1"/>
  <c r="AM36" i="6"/>
  <c r="AL36" i="6"/>
  <c r="AI35" i="6"/>
  <c r="AH36" i="6" l="1"/>
  <c r="AJ36" i="6"/>
  <c r="AK36" i="6"/>
  <c r="AM38" i="7"/>
  <c r="AI37" i="7"/>
  <c r="AL38" i="7"/>
  <c r="AW38" i="7"/>
  <c r="AU38" i="7" s="1"/>
  <c r="AI35" i="5"/>
  <c r="AM36" i="5"/>
  <c r="AW36" i="5"/>
  <c r="AU36" i="5" s="1"/>
  <c r="AL36" i="5"/>
  <c r="AH36" i="5" l="1"/>
  <c r="AJ36" i="5"/>
  <c r="AK36" i="5"/>
  <c r="AJ38" i="7"/>
  <c r="AK38" i="7"/>
  <c r="AL37" i="6"/>
  <c r="AI36" i="6"/>
  <c r="AM37" i="6"/>
  <c r="AW37" i="6"/>
  <c r="AU37" i="6" s="1"/>
  <c r="AH37" i="6" l="1"/>
  <c r="AK37" i="6"/>
  <c r="AJ37" i="6"/>
  <c r="AW37" i="5"/>
  <c r="AU37" i="5" s="1"/>
  <c r="AM37" i="5"/>
  <c r="AL37" i="5"/>
  <c r="AI36" i="5"/>
  <c r="AH37" i="5" l="1"/>
  <c r="AK37" i="5"/>
  <c r="AJ37" i="5"/>
  <c r="AM38" i="6"/>
  <c r="AI37" i="6"/>
  <c r="AW38" i="6"/>
  <c r="AU38" i="6" s="1"/>
  <c r="AL38" i="6"/>
  <c r="AJ38" i="6" l="1"/>
  <c r="AK38" i="6"/>
  <c r="AI37" i="5"/>
  <c r="AW38" i="5"/>
  <c r="AU38" i="5" s="1"/>
  <c r="AL38" i="5"/>
  <c r="AM38" i="5"/>
  <c r="AK38" i="5" l="1"/>
  <c r="AJ38" i="5"/>
</calcChain>
</file>

<file path=xl/sharedStrings.xml><?xml version="1.0" encoding="utf-8"?>
<sst xmlns="http://schemas.openxmlformats.org/spreadsheetml/2006/main" count="225" uniqueCount="95">
  <si>
    <t>x</t>
  </si>
  <si>
    <t>upper y</t>
  </si>
  <si>
    <t>lower y</t>
  </si>
  <si>
    <t>Thickness</t>
  </si>
  <si>
    <t>C of Thickness</t>
  </si>
  <si>
    <t>LE adj upper Y</t>
  </si>
  <si>
    <t>T adj upper Y</t>
  </si>
  <si>
    <t>T adj lower Y</t>
  </si>
  <si>
    <t>LE adj lower Y</t>
  </si>
  <si>
    <t>C of T asj upper Y</t>
  </si>
  <si>
    <t>C of T adj lower Y</t>
  </si>
  <si>
    <t>AoA y upper</t>
  </si>
  <si>
    <t>AoA y lower</t>
  </si>
  <si>
    <t xml:space="preserve"> AoA x upper</t>
  </si>
  <si>
    <t>AoA x lower</t>
  </si>
  <si>
    <t>a rad</t>
  </si>
  <si>
    <t>a deg</t>
  </si>
  <si>
    <t>LE Hight Upper</t>
  </si>
  <si>
    <t>Le hight lower</t>
  </si>
  <si>
    <t>LE x Lower</t>
  </si>
  <si>
    <t>LE adjust Lower x</t>
  </si>
  <si>
    <t>C of T adj Upper X</t>
  </si>
  <si>
    <t>LE adjust upper x</t>
  </si>
  <si>
    <t>T adjust upper X</t>
  </si>
  <si>
    <t>T adj lower x</t>
  </si>
  <si>
    <t>C of T adj lower  X</t>
  </si>
  <si>
    <t>B</t>
  </si>
  <si>
    <t>Taper</t>
  </si>
  <si>
    <t>cells</t>
  </si>
  <si>
    <t>Rib</t>
  </si>
  <si>
    <t>cord</t>
  </si>
  <si>
    <t>s</t>
  </si>
  <si>
    <t>unit  S</t>
  </si>
  <si>
    <t>B unit</t>
  </si>
  <si>
    <t>S</t>
  </si>
  <si>
    <t>cord unit</t>
  </si>
  <si>
    <t>AR</t>
  </si>
  <si>
    <t>line length</t>
  </si>
  <si>
    <t>slider width</t>
  </si>
  <si>
    <t>rib 0</t>
  </si>
  <si>
    <t>rib 1</t>
  </si>
  <si>
    <t>c 1</t>
  </si>
  <si>
    <t>c 0</t>
  </si>
  <si>
    <t>arc</t>
  </si>
  <si>
    <t>cell width</t>
  </si>
  <si>
    <t>t</t>
  </si>
  <si>
    <t>Panel 0</t>
  </si>
  <si>
    <t>upper x</t>
  </si>
  <si>
    <t>lower x</t>
  </si>
  <si>
    <t>rib 2</t>
  </si>
  <si>
    <t>c 2</t>
  </si>
  <si>
    <t>c 1.5</t>
  </si>
  <si>
    <t>rib 1.5</t>
  </si>
  <si>
    <t>rib 2 upper tilted</t>
  </si>
  <si>
    <t>rib 2 lower tilted</t>
  </si>
  <si>
    <t>upper x1</t>
  </si>
  <si>
    <t>upper y1</t>
  </si>
  <si>
    <t>upper x2</t>
  </si>
  <si>
    <t>upper y2</t>
  </si>
  <si>
    <t>upper s2</t>
  </si>
  <si>
    <t>upper a2</t>
  </si>
  <si>
    <t>upper s1</t>
  </si>
  <si>
    <t>upper c</t>
  </si>
  <si>
    <t>gama 1</t>
  </si>
  <si>
    <t>gama 2</t>
  </si>
  <si>
    <t>lower s2</t>
  </si>
  <si>
    <t>lower s1</t>
  </si>
  <si>
    <t>lower a2</t>
  </si>
  <si>
    <t>lower c</t>
  </si>
  <si>
    <t>lower x1</t>
  </si>
  <si>
    <t>lower y1</t>
  </si>
  <si>
    <t>lower x2</t>
  </si>
  <si>
    <t>lower y2</t>
  </si>
  <si>
    <t>c 3</t>
  </si>
  <si>
    <t>c 2.5</t>
  </si>
  <si>
    <t>c 4</t>
  </si>
  <si>
    <t>c 3.5</t>
  </si>
  <si>
    <t>c 5</t>
  </si>
  <si>
    <t>c 4.5</t>
  </si>
  <si>
    <t>expected glide</t>
  </si>
  <si>
    <t>theta</t>
  </si>
  <si>
    <t>riser</t>
  </si>
  <si>
    <t>hight above stream line</t>
  </si>
  <si>
    <t>upper</t>
  </si>
  <si>
    <t>lower</t>
  </si>
  <si>
    <t>CG x</t>
  </si>
  <si>
    <t>CG y</t>
  </si>
  <si>
    <t>A</t>
  </si>
  <si>
    <t>C</t>
  </si>
  <si>
    <t>D</t>
  </si>
  <si>
    <t>y</t>
  </si>
  <si>
    <t>length to CG</t>
  </si>
  <si>
    <t>X</t>
  </si>
  <si>
    <t>Y</t>
  </si>
  <si>
    <t>length to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</si>
</sst>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5">
    <xf numFmtId="0" fontId="0" fillId="0" borderId="0" xfId="0"/>
    <xf numFmtId="0" fontId="1" fillId="2" borderId="0" xfId="1"/>
    <xf numFmtId="0" fontId="4" fillId="5" borderId="1" xfId="4"/>
    <xf numFmtId="0" fontId="3" fillId="4" borderId="0" xfId="3"/>
    <xf numFmtId="0" fontId="2" fillId="3" borderId="0" xfId="2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Sheet1!$D$3:$D$21</c:f>
              <c:numCache>
                <c:formatCode>General</c:formatCode>
                <c:ptCount val="19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Sheet1!$E$3:$E$21</c:f>
              <c:numCache>
                <c:formatCode>General</c:formatCode>
                <c:ptCount val="19"/>
                <c:pt idx="0">
                  <c:v>3.5000000000000003E-2</c:v>
                </c:pt>
                <c:pt idx="1">
                  <c:v>5.45E-2</c:v>
                </c:pt>
                <c:pt idx="2">
                  <c:v>6.5000000000000002E-2</c:v>
                </c:pt>
                <c:pt idx="3">
                  <c:v>7.9000000000000001E-2</c:v>
                </c:pt>
                <c:pt idx="4">
                  <c:v>8.8499999999999995E-2</c:v>
                </c:pt>
                <c:pt idx="5">
                  <c:v>9.6000000000000002E-2</c:v>
                </c:pt>
                <c:pt idx="6">
                  <c:v>0.1069</c:v>
                </c:pt>
                <c:pt idx="7">
                  <c:v>0.11360000000000001</c:v>
                </c:pt>
                <c:pt idx="8">
                  <c:v>0.11700000000000001</c:v>
                </c:pt>
                <c:pt idx="9">
                  <c:v>0.114</c:v>
                </c:pt>
                <c:pt idx="10">
                  <c:v>0.1052</c:v>
                </c:pt>
                <c:pt idx="11">
                  <c:v>9.1499999999999998E-2</c:v>
                </c:pt>
                <c:pt idx="12">
                  <c:v>7.3499999999999996E-2</c:v>
                </c:pt>
                <c:pt idx="13">
                  <c:v>5.2200000000000003E-2</c:v>
                </c:pt>
                <c:pt idx="14">
                  <c:v>2.8000000000000001E-2</c:v>
                </c:pt>
                <c:pt idx="15">
                  <c:v>1.49E-2</c:v>
                </c:pt>
                <c:pt idx="16">
                  <c:v>1.1999999999999999E-3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Sheet1!$D$3:$D$21</c:f>
              <c:numCache>
                <c:formatCode>General</c:formatCode>
                <c:ptCount val="19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Sheet1!$F$3:$F$21</c:f>
              <c:numCache>
                <c:formatCode>General</c:formatCode>
                <c:ptCount val="19"/>
                <c:pt idx="0">
                  <c:v>3.5000000000000003E-2</c:v>
                </c:pt>
                <c:pt idx="1">
                  <c:v>1.9300000000000001E-2</c:v>
                </c:pt>
                <c:pt idx="2">
                  <c:v>1.47E-2</c:v>
                </c:pt>
                <c:pt idx="3">
                  <c:v>9.2999999999999992E-3</c:v>
                </c:pt>
                <c:pt idx="4">
                  <c:v>6.3E-3</c:v>
                </c:pt>
                <c:pt idx="5">
                  <c:v>4.1999999999999997E-3</c:v>
                </c:pt>
                <c:pt idx="6">
                  <c:v>1.5E-3</c:v>
                </c:pt>
                <c:pt idx="7">
                  <c:v>2.9999999999999997E-4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5632"/>
        <c:axId val="74046208"/>
      </c:scatterChart>
      <c:valAx>
        <c:axId val="7404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046208"/>
        <c:crosses val="autoZero"/>
        <c:crossBetween val="midCat"/>
      </c:valAx>
      <c:valAx>
        <c:axId val="7404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045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Sheet1!$G$3:$G$19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Sheet1!$H$3:$H$19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5.45E-2</c:v>
                </c:pt>
                <c:pt idx="2">
                  <c:v>6.5000000000000002E-2</c:v>
                </c:pt>
                <c:pt idx="3">
                  <c:v>7.9000000000000001E-2</c:v>
                </c:pt>
                <c:pt idx="4">
                  <c:v>8.8499999999999995E-2</c:v>
                </c:pt>
                <c:pt idx="5">
                  <c:v>9.6000000000000002E-2</c:v>
                </c:pt>
                <c:pt idx="6">
                  <c:v>0.1069</c:v>
                </c:pt>
                <c:pt idx="7">
                  <c:v>0.11360000000000001</c:v>
                </c:pt>
                <c:pt idx="8">
                  <c:v>0.11700000000000001</c:v>
                </c:pt>
                <c:pt idx="9">
                  <c:v>0.114</c:v>
                </c:pt>
                <c:pt idx="10">
                  <c:v>0.1052</c:v>
                </c:pt>
                <c:pt idx="11">
                  <c:v>9.1499999999999998E-2</c:v>
                </c:pt>
                <c:pt idx="12">
                  <c:v>7.3499999999999996E-2</c:v>
                </c:pt>
                <c:pt idx="13">
                  <c:v>5.2200000000000003E-2</c:v>
                </c:pt>
                <c:pt idx="14">
                  <c:v>2.8000000000000001E-2</c:v>
                </c:pt>
                <c:pt idx="15">
                  <c:v>1.49E-2</c:v>
                </c:pt>
                <c:pt idx="16">
                  <c:v>1.1999999999999999E-3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88160"/>
        <c:axId val="75588736"/>
      </c:scatterChart>
      <c:valAx>
        <c:axId val="7558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588736"/>
        <c:crosses val="autoZero"/>
        <c:crossBetween val="midCat"/>
      </c:valAx>
      <c:valAx>
        <c:axId val="7558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588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Sheet1!$I$3:$I$19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Sheet1!$J$3:$J$19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1.9300000000000001E-2</c:v>
                </c:pt>
                <c:pt idx="2">
                  <c:v>1.4699999999999998E-2</c:v>
                </c:pt>
                <c:pt idx="3">
                  <c:v>9.2999999999999992E-3</c:v>
                </c:pt>
                <c:pt idx="4">
                  <c:v>6.3E-3</c:v>
                </c:pt>
                <c:pt idx="5">
                  <c:v>4.1999999999999997E-3</c:v>
                </c:pt>
                <c:pt idx="6">
                  <c:v>1.5E-3</c:v>
                </c:pt>
                <c:pt idx="7">
                  <c:v>2.9999999999999997E-4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93344"/>
        <c:axId val="75594496"/>
      </c:scatterChart>
      <c:valAx>
        <c:axId val="75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594496"/>
        <c:crosses val="autoZero"/>
        <c:crossBetween val="midCat"/>
      </c:valAx>
      <c:valAx>
        <c:axId val="7559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593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Sheet1!$K$3:$K$19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Sheet1!$L$3:$L$19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5.45E-2</c:v>
                </c:pt>
                <c:pt idx="2">
                  <c:v>6.5000000000000002E-2</c:v>
                </c:pt>
                <c:pt idx="3">
                  <c:v>7.8999999999999987E-2</c:v>
                </c:pt>
                <c:pt idx="4">
                  <c:v>8.8499999999999995E-2</c:v>
                </c:pt>
                <c:pt idx="5">
                  <c:v>9.6000000000000002E-2</c:v>
                </c:pt>
                <c:pt idx="6">
                  <c:v>0.1069</c:v>
                </c:pt>
                <c:pt idx="7">
                  <c:v>0.11360000000000003</c:v>
                </c:pt>
                <c:pt idx="8">
                  <c:v>0.11699999999999999</c:v>
                </c:pt>
                <c:pt idx="9">
                  <c:v>0.11399999999999999</c:v>
                </c:pt>
                <c:pt idx="10">
                  <c:v>0.1052</c:v>
                </c:pt>
                <c:pt idx="11">
                  <c:v>9.1499999999999998E-2</c:v>
                </c:pt>
                <c:pt idx="12">
                  <c:v>7.350000000000001E-2</c:v>
                </c:pt>
                <c:pt idx="13">
                  <c:v>5.220000000000001E-2</c:v>
                </c:pt>
                <c:pt idx="14">
                  <c:v>2.8000000000000001E-2</c:v>
                </c:pt>
                <c:pt idx="15">
                  <c:v>1.49E-2</c:v>
                </c:pt>
                <c:pt idx="16">
                  <c:v>1.1999999999999999E-3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5040"/>
        <c:axId val="122815616"/>
      </c:scatterChart>
      <c:valAx>
        <c:axId val="12281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815616"/>
        <c:crosses val="autoZero"/>
        <c:crossBetween val="midCat"/>
      </c:valAx>
      <c:valAx>
        <c:axId val="12281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815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Sheet1!$M$3:$M$19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Sheet1!$N$3:$N$19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1.9300000000000001E-2</c:v>
                </c:pt>
                <c:pt idx="2">
                  <c:v>1.4699999999999998E-2</c:v>
                </c:pt>
                <c:pt idx="3">
                  <c:v>9.2999999999999992E-3</c:v>
                </c:pt>
                <c:pt idx="4">
                  <c:v>6.3E-3</c:v>
                </c:pt>
                <c:pt idx="5">
                  <c:v>4.1999999999999997E-3</c:v>
                </c:pt>
                <c:pt idx="6">
                  <c:v>1.5E-3</c:v>
                </c:pt>
                <c:pt idx="7">
                  <c:v>2.9999999999999997E-4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9648"/>
        <c:axId val="122820224"/>
      </c:scatterChart>
      <c:valAx>
        <c:axId val="12281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820224"/>
        <c:crosses val="autoZero"/>
        <c:crossBetween val="midCat"/>
      </c:valAx>
      <c:valAx>
        <c:axId val="12282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819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Sheet1!$O$3:$O$19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0.90000000000000013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Sheet1!$P$3:$P$19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5.45E-2</c:v>
                </c:pt>
                <c:pt idx="2">
                  <c:v>6.5000000000000002E-2</c:v>
                </c:pt>
                <c:pt idx="3">
                  <c:v>7.8999999999999987E-2</c:v>
                </c:pt>
                <c:pt idx="4">
                  <c:v>8.8499999999999995E-2</c:v>
                </c:pt>
                <c:pt idx="5">
                  <c:v>9.6000000000000002E-2</c:v>
                </c:pt>
                <c:pt idx="6">
                  <c:v>0.1069</c:v>
                </c:pt>
                <c:pt idx="7">
                  <c:v>0.11360000000000003</c:v>
                </c:pt>
                <c:pt idx="8">
                  <c:v>0.11699999999999999</c:v>
                </c:pt>
                <c:pt idx="9">
                  <c:v>0.11399999999999999</c:v>
                </c:pt>
                <c:pt idx="10">
                  <c:v>0.1052</c:v>
                </c:pt>
                <c:pt idx="11">
                  <c:v>9.1499999999999998E-2</c:v>
                </c:pt>
                <c:pt idx="12">
                  <c:v>7.350000000000001E-2</c:v>
                </c:pt>
                <c:pt idx="13">
                  <c:v>5.220000000000001E-2</c:v>
                </c:pt>
                <c:pt idx="14">
                  <c:v>2.8000000000000001E-2</c:v>
                </c:pt>
                <c:pt idx="15">
                  <c:v>1.49E-2</c:v>
                </c:pt>
                <c:pt idx="16">
                  <c:v>1.1999999999999999E-3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21952"/>
        <c:axId val="188473920"/>
      </c:scatterChart>
      <c:valAx>
        <c:axId val="12282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473920"/>
        <c:crosses val="autoZero"/>
        <c:crossBetween val="midCat"/>
      </c:valAx>
      <c:valAx>
        <c:axId val="18847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821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Sheet1!$Q$3:$Q$19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0.90000000000000013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Sheet1!$R$3:$R$19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1.9300000000000001E-2</c:v>
                </c:pt>
                <c:pt idx="2">
                  <c:v>1.4699999999999998E-2</c:v>
                </c:pt>
                <c:pt idx="3">
                  <c:v>9.2999999999999992E-3</c:v>
                </c:pt>
                <c:pt idx="4">
                  <c:v>6.3E-3</c:v>
                </c:pt>
                <c:pt idx="5">
                  <c:v>4.1999999999999997E-3</c:v>
                </c:pt>
                <c:pt idx="6">
                  <c:v>1.5E-3</c:v>
                </c:pt>
                <c:pt idx="7">
                  <c:v>2.9999999999999997E-4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92192"/>
        <c:axId val="221192768"/>
      </c:scatterChart>
      <c:valAx>
        <c:axId val="22119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1192768"/>
        <c:crosses val="autoZero"/>
        <c:crossBetween val="midCat"/>
      </c:valAx>
      <c:valAx>
        <c:axId val="22119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192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Sheet1!$S$3:$S$19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0.90000000000000013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Sheet1!$T$3:$T$19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5.45E-2</c:v>
                </c:pt>
                <c:pt idx="2">
                  <c:v>6.5000000000000002E-2</c:v>
                </c:pt>
                <c:pt idx="3">
                  <c:v>7.8999999999999987E-2</c:v>
                </c:pt>
                <c:pt idx="4">
                  <c:v>8.8499999999999995E-2</c:v>
                </c:pt>
                <c:pt idx="5">
                  <c:v>9.6000000000000002E-2</c:v>
                </c:pt>
                <c:pt idx="6">
                  <c:v>0.1069</c:v>
                </c:pt>
                <c:pt idx="7">
                  <c:v>0.11360000000000003</c:v>
                </c:pt>
                <c:pt idx="8">
                  <c:v>0.11699999999999999</c:v>
                </c:pt>
                <c:pt idx="9">
                  <c:v>0.11399999999999999</c:v>
                </c:pt>
                <c:pt idx="10">
                  <c:v>0.1052</c:v>
                </c:pt>
                <c:pt idx="11">
                  <c:v>9.1499999999999998E-2</c:v>
                </c:pt>
                <c:pt idx="12">
                  <c:v>7.350000000000001E-2</c:v>
                </c:pt>
                <c:pt idx="13">
                  <c:v>5.220000000000001E-2</c:v>
                </c:pt>
                <c:pt idx="14">
                  <c:v>2.8000000000000001E-2</c:v>
                </c:pt>
                <c:pt idx="15">
                  <c:v>1.49E-2</c:v>
                </c:pt>
                <c:pt idx="16">
                  <c:v>1.1999999999999999E-3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94496"/>
        <c:axId val="221195072"/>
      </c:scatterChart>
      <c:valAx>
        <c:axId val="22119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1195072"/>
        <c:crosses val="autoZero"/>
        <c:crossBetween val="midCat"/>
      </c:valAx>
      <c:valAx>
        <c:axId val="22119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194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Sheet1!$U$3:$U$19</c:f>
              <c:numCache>
                <c:formatCode>General</c:formatCode>
                <c:ptCount val="17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0.90000000000000013</c:v>
                </c:pt>
                <c:pt idx="15">
                  <c:v>0.95</c:v>
                </c:pt>
                <c:pt idx="16">
                  <c:v>1</c:v>
                </c:pt>
              </c:numCache>
            </c:numRef>
          </c:xVal>
          <c:yVal>
            <c:numRef>
              <c:f>Sheet1!$V$3:$V$19</c:f>
              <c:numCache>
                <c:formatCode>General</c:formatCode>
                <c:ptCount val="17"/>
                <c:pt idx="0">
                  <c:v>3.5000000000000003E-2</c:v>
                </c:pt>
                <c:pt idx="1">
                  <c:v>1.9300000000000001E-2</c:v>
                </c:pt>
                <c:pt idx="2">
                  <c:v>1.4699999999999998E-2</c:v>
                </c:pt>
                <c:pt idx="3">
                  <c:v>9.2999999999999992E-3</c:v>
                </c:pt>
                <c:pt idx="4">
                  <c:v>6.3E-3</c:v>
                </c:pt>
                <c:pt idx="5">
                  <c:v>4.1999999999999997E-3</c:v>
                </c:pt>
                <c:pt idx="6">
                  <c:v>1.5E-3</c:v>
                </c:pt>
                <c:pt idx="7">
                  <c:v>2.9999999999999997E-4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99680"/>
        <c:axId val="281020096"/>
      </c:scatterChart>
      <c:valAx>
        <c:axId val="22119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1020096"/>
        <c:crosses val="autoZero"/>
        <c:crossBetween val="midCat"/>
      </c:valAx>
      <c:valAx>
        <c:axId val="28102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199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(2)'!$AJ$22:$AJ$38</c:f>
              <c:numCache>
                <c:formatCode>General</c:formatCode>
                <c:ptCount val="17"/>
                <c:pt idx="0">
                  <c:v>0</c:v>
                </c:pt>
                <c:pt idx="1">
                  <c:v>-8.5599135589236042E-3</c:v>
                </c:pt>
                <c:pt idx="2">
                  <c:v>-1.3169097782959049E-2</c:v>
                </c:pt>
                <c:pt idx="3">
                  <c:v>-1.9314676748340087E-2</c:v>
                </c:pt>
                <c:pt idx="4">
                  <c:v>-2.3484891046277045E-2</c:v>
                </c:pt>
                <c:pt idx="5">
                  <c:v>-2.6777165492015698E-2</c:v>
                </c:pt>
                <c:pt idx="6">
                  <c:v>-3.1561937686489738E-2</c:v>
                </c:pt>
                <c:pt idx="7">
                  <c:v>-3.4503036191349423E-2</c:v>
                </c:pt>
                <c:pt idx="8">
                  <c:v>-3.5995533940081703E-2</c:v>
                </c:pt>
                <c:pt idx="9">
                  <c:v>-3.467862416178269E-2</c:v>
                </c:pt>
                <c:pt idx="10">
                  <c:v>-3.0815688812110942E-2</c:v>
                </c:pt>
                <c:pt idx="11">
                  <c:v>-2.4801800824556075E-2</c:v>
                </c:pt>
                <c:pt idx="12">
                  <c:v>-1.6900342154777093E-2</c:v>
                </c:pt>
                <c:pt idx="13">
                  <c:v>-7.5502827288720376E-3</c:v>
                </c:pt>
                <c:pt idx="14">
                  <c:v>3.0727894827187185E-3</c:v>
                </c:pt>
                <c:pt idx="15">
                  <c:v>8.8232955146128056E-3</c:v>
                </c:pt>
                <c:pt idx="16">
                  <c:v>1.483718350216634E-2</c:v>
                </c:pt>
              </c:numCache>
            </c:numRef>
          </c:xVal>
          <c:yVal>
            <c:numRef>
              <c:f>'Sheet2 (2)'!$AK$22:$AK$38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0.17921140555183585</c:v>
                </c:pt>
                <c:pt idx="2">
                  <c:v>0.30557894656134088</c:v>
                </c:pt>
                <c:pt idx="3">
                  <c:v>0.52743978551040016</c:v>
                </c:pt>
                <c:pt idx="4">
                  <c:v>0.73455716602857879</c:v>
                </c:pt>
                <c:pt idx="5">
                  <c:v>0.93670602437057526</c:v>
                </c:pt>
                <c:pt idx="6">
                  <c:v>1.3330716459310827</c:v>
                </c:pt>
                <c:pt idx="7">
                  <c:v>1.7238206061850865</c:v>
                </c:pt>
                <c:pt idx="8">
                  <c:v>2.4988634259379499</c:v>
                </c:pt>
                <c:pt idx="9">
                  <c:v>3.2738074663361161</c:v>
                </c:pt>
                <c:pt idx="10">
                  <c:v>4.051387994468401</c:v>
                </c:pt>
                <c:pt idx="11">
                  <c:v>4.8331969437336753</c:v>
                </c:pt>
                <c:pt idx="12">
                  <c:v>5.6202023865044941</c:v>
                </c:pt>
                <c:pt idx="13">
                  <c:v>6.4121202966370605</c:v>
                </c:pt>
                <c:pt idx="14">
                  <c:v>7.2090052007084005</c:v>
                </c:pt>
                <c:pt idx="15">
                  <c:v>7.6093344797779885</c:v>
                </c:pt>
                <c:pt idx="16">
                  <c:v>8.0108631003659525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881408"/>
        <c:axId val="283884288"/>
      </c:scatterChart>
      <c:valAx>
        <c:axId val="28388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3884288"/>
        <c:crosses val="autoZero"/>
        <c:crossBetween val="midCat"/>
      </c:valAx>
      <c:valAx>
        <c:axId val="28388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881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(2)'!$AL$22:$AL$38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2.1897924711237189</c:v>
                </c:pt>
                <c:pt idx="2">
                  <c:v>2.1944016553477552</c:v>
                </c:pt>
                <c:pt idx="3">
                  <c:v>2.2005472343131363</c:v>
                </c:pt>
                <c:pt idx="4">
                  <c:v>2.2047174486110737</c:v>
                </c:pt>
                <c:pt idx="5">
                  <c:v>2.208009723056815</c:v>
                </c:pt>
                <c:pt idx="6">
                  <c:v>2.2127944952512917</c:v>
                </c:pt>
                <c:pt idx="7">
                  <c:v>2.2157355937561536</c:v>
                </c:pt>
                <c:pt idx="8">
                  <c:v>2.2172280915048925</c:v>
                </c:pt>
                <c:pt idx="9">
                  <c:v>2.2159111817265993</c:v>
                </c:pt>
                <c:pt idx="10">
                  <c:v>2.2120482463769346</c:v>
                </c:pt>
                <c:pt idx="11">
                  <c:v>2.2060343583893869</c:v>
                </c:pt>
                <c:pt idx="12">
                  <c:v>2.1981328997196137</c:v>
                </c:pt>
                <c:pt idx="13">
                  <c:v>2.1887828402937166</c:v>
                </c:pt>
                <c:pt idx="14">
                  <c:v>2.1781597680821325</c:v>
                </c:pt>
                <c:pt idx="15">
                  <c:v>2.172409262050242</c:v>
                </c:pt>
                <c:pt idx="16">
                  <c:v>2.166395374062692</c:v>
                </c:pt>
              </c:numCache>
            </c:numRef>
          </c:xVal>
          <c:yVal>
            <c:numRef>
              <c:f>'Sheet2 (2)'!$AM$22:$AM$38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97824"/>
        <c:axId val="294250176"/>
      </c:scatterChart>
      <c:valAx>
        <c:axId val="28499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50176"/>
        <c:crosses val="autoZero"/>
        <c:crossBetween val="midCat"/>
      </c:valAx>
      <c:valAx>
        <c:axId val="29425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4997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(2)'!$AT$22:$AT$38</c:f>
              <c:numCache>
                <c:formatCode>General</c:formatCode>
                <c:ptCount val="17"/>
                <c:pt idx="0">
                  <c:v>0</c:v>
                </c:pt>
                <c:pt idx="1">
                  <c:v>6.891827839748732E-3</c:v>
                </c:pt>
                <c:pt idx="2">
                  <c:v>8.9110894998025714E-3</c:v>
                </c:pt>
                <c:pt idx="3">
                  <c:v>1.1281527100734934E-2</c:v>
                </c:pt>
                <c:pt idx="4">
                  <c:v>1.2598436879030839E-2</c:v>
                </c:pt>
                <c:pt idx="5">
                  <c:v>1.3520273723838461E-2</c:v>
                </c:pt>
                <c:pt idx="6">
                  <c:v>1.4705492524304642E-2</c:v>
                </c:pt>
                <c:pt idx="7">
                  <c:v>1.5232256435623093E-2</c:v>
                </c:pt>
                <c:pt idx="8">
                  <c:v>1.5363947413452816E-2</c:v>
                </c:pt>
                <c:pt idx="9">
                  <c:v>1.5363947413452816E-2</c:v>
                </c:pt>
                <c:pt idx="10">
                  <c:v>1.5363947413452816E-2</c:v>
                </c:pt>
                <c:pt idx="11">
                  <c:v>1.5363947413452816E-2</c:v>
                </c:pt>
                <c:pt idx="12">
                  <c:v>1.5363947413452816E-2</c:v>
                </c:pt>
                <c:pt idx="13">
                  <c:v>1.5363947413453261E-2</c:v>
                </c:pt>
                <c:pt idx="14">
                  <c:v>1.5363947413453705E-2</c:v>
                </c:pt>
                <c:pt idx="15">
                  <c:v>1.5363947413454149E-2</c:v>
                </c:pt>
                <c:pt idx="16">
                  <c:v>1.5363947413454149E-2</c:v>
                </c:pt>
              </c:numCache>
            </c:numRef>
          </c:xVal>
          <c:yVal>
            <c:numRef>
              <c:f>'Sheet2 (2)'!$AU$22:$AU$38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0.30557894656132784</c:v>
                </c:pt>
                <c:pt idx="3">
                  <c:v>0.52743978551039472</c:v>
                </c:pt>
                <c:pt idx="4">
                  <c:v>0.7345571660285708</c:v>
                </c:pt>
                <c:pt idx="5">
                  <c:v>0.93670602437057271</c:v>
                </c:pt>
                <c:pt idx="6">
                  <c:v>1.3330716459310745</c:v>
                </c:pt>
                <c:pt idx="7">
                  <c:v>1.7238206061850794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51904"/>
        <c:axId val="294252480"/>
      </c:scatterChart>
      <c:valAx>
        <c:axId val="29425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52480"/>
        <c:crosses val="autoZero"/>
        <c:crossBetween val="midCat"/>
      </c:valAx>
      <c:valAx>
        <c:axId val="29425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51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(2)'!$AV$22:$AV$38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2.1743407297250457</c:v>
                </c:pt>
                <c:pt idx="2">
                  <c:v>2.1723214680649918</c:v>
                </c:pt>
                <c:pt idx="3">
                  <c:v>2.169951030464059</c:v>
                </c:pt>
                <c:pt idx="4">
                  <c:v>2.1686341206857631</c:v>
                </c:pt>
                <c:pt idx="5">
                  <c:v>2.1677122838409559</c:v>
                </c:pt>
                <c:pt idx="6">
                  <c:v>2.1665270650404898</c:v>
                </c:pt>
                <c:pt idx="7">
                  <c:v>2.1660003011291713</c:v>
                </c:pt>
                <c:pt idx="8">
                  <c:v>2.1658686101513416</c:v>
                </c:pt>
                <c:pt idx="9">
                  <c:v>2.1658686101513416</c:v>
                </c:pt>
                <c:pt idx="10">
                  <c:v>2.1658686101513416</c:v>
                </c:pt>
                <c:pt idx="11">
                  <c:v>2.1658686101513416</c:v>
                </c:pt>
                <c:pt idx="12">
                  <c:v>2.1658686101513416</c:v>
                </c:pt>
                <c:pt idx="13">
                  <c:v>2.165868610151342</c:v>
                </c:pt>
                <c:pt idx="14">
                  <c:v>2.1658686101513425</c:v>
                </c:pt>
                <c:pt idx="15">
                  <c:v>2.1658686101513429</c:v>
                </c:pt>
                <c:pt idx="16">
                  <c:v>2.1658686101513429</c:v>
                </c:pt>
              </c:numCache>
            </c:numRef>
          </c:xVal>
          <c:yVal>
            <c:numRef>
              <c:f>'Sheet2 (2)'!$AW$22:$AW$38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54208"/>
        <c:axId val="294254784"/>
      </c:scatterChart>
      <c:valAx>
        <c:axId val="29425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54784"/>
        <c:crosses val="autoZero"/>
        <c:crossBetween val="midCat"/>
      </c:valAx>
      <c:valAx>
        <c:axId val="29425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5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(3)'!$AJ$22:$AJ$38</c:f>
              <c:numCache>
                <c:formatCode>General</c:formatCode>
                <c:ptCount val="17"/>
                <c:pt idx="0">
                  <c:v>0</c:v>
                </c:pt>
                <c:pt idx="1">
                  <c:v>-8.5599135589236042E-3</c:v>
                </c:pt>
                <c:pt idx="2">
                  <c:v>-1.3169097782959049E-2</c:v>
                </c:pt>
                <c:pt idx="3">
                  <c:v>-1.9314676748340087E-2</c:v>
                </c:pt>
                <c:pt idx="4">
                  <c:v>-2.3484891046277045E-2</c:v>
                </c:pt>
                <c:pt idx="5">
                  <c:v>-2.6777165492015698E-2</c:v>
                </c:pt>
                <c:pt idx="6">
                  <c:v>-3.1561937686489738E-2</c:v>
                </c:pt>
                <c:pt idx="7">
                  <c:v>-3.4503036191349423E-2</c:v>
                </c:pt>
                <c:pt idx="8">
                  <c:v>-3.5995533940081703E-2</c:v>
                </c:pt>
                <c:pt idx="9">
                  <c:v>-3.467862416178269E-2</c:v>
                </c:pt>
                <c:pt idx="10">
                  <c:v>-3.0815688812110942E-2</c:v>
                </c:pt>
                <c:pt idx="11">
                  <c:v>-2.4801800824556075E-2</c:v>
                </c:pt>
                <c:pt idx="12">
                  <c:v>-1.6900342154777093E-2</c:v>
                </c:pt>
                <c:pt idx="13">
                  <c:v>-7.5502827288720376E-3</c:v>
                </c:pt>
                <c:pt idx="14">
                  <c:v>3.0727894827187185E-3</c:v>
                </c:pt>
                <c:pt idx="15">
                  <c:v>8.8232955146128056E-3</c:v>
                </c:pt>
                <c:pt idx="16">
                  <c:v>1.483718350216634E-2</c:v>
                </c:pt>
              </c:numCache>
            </c:numRef>
          </c:xVal>
          <c:yVal>
            <c:numRef>
              <c:f>'Sheet2 (3)'!$AK$22:$AK$38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0.17921140555183585</c:v>
                </c:pt>
                <c:pt idx="2">
                  <c:v>0.30557894656134088</c:v>
                </c:pt>
                <c:pt idx="3">
                  <c:v>0.52743978551040016</c:v>
                </c:pt>
                <c:pt idx="4">
                  <c:v>0.73455716602857879</c:v>
                </c:pt>
                <c:pt idx="5">
                  <c:v>0.93670602437057526</c:v>
                </c:pt>
                <c:pt idx="6">
                  <c:v>1.3330716459310827</c:v>
                </c:pt>
                <c:pt idx="7">
                  <c:v>1.7238206061850865</c:v>
                </c:pt>
                <c:pt idx="8">
                  <c:v>2.4988634259379499</c:v>
                </c:pt>
                <c:pt idx="9">
                  <c:v>3.2738074663361161</c:v>
                </c:pt>
                <c:pt idx="10">
                  <c:v>4.051387994468401</c:v>
                </c:pt>
                <c:pt idx="11">
                  <c:v>4.8331969437336753</c:v>
                </c:pt>
                <c:pt idx="12">
                  <c:v>5.6202023865044941</c:v>
                </c:pt>
                <c:pt idx="13">
                  <c:v>6.4121202966370605</c:v>
                </c:pt>
                <c:pt idx="14">
                  <c:v>7.2090052007084005</c:v>
                </c:pt>
                <c:pt idx="15">
                  <c:v>7.6093344797779885</c:v>
                </c:pt>
                <c:pt idx="16">
                  <c:v>8.0108631003659525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93280"/>
        <c:axId val="122593856"/>
      </c:scatterChart>
      <c:valAx>
        <c:axId val="12259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593856"/>
        <c:crosses val="autoZero"/>
        <c:crossBetween val="midCat"/>
      </c:valAx>
      <c:valAx>
        <c:axId val="12259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593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(3)'!$AL$22:$AL$38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2.1897924711237189</c:v>
                </c:pt>
                <c:pt idx="2">
                  <c:v>2.1944016553477552</c:v>
                </c:pt>
                <c:pt idx="3">
                  <c:v>2.2005472343131363</c:v>
                </c:pt>
                <c:pt idx="4">
                  <c:v>2.2047174486110737</c:v>
                </c:pt>
                <c:pt idx="5">
                  <c:v>2.208009723056815</c:v>
                </c:pt>
                <c:pt idx="6">
                  <c:v>2.2127944952512917</c:v>
                </c:pt>
                <c:pt idx="7">
                  <c:v>2.2157355937561536</c:v>
                </c:pt>
                <c:pt idx="8">
                  <c:v>2.2172280915048925</c:v>
                </c:pt>
                <c:pt idx="9">
                  <c:v>2.2159111817265993</c:v>
                </c:pt>
                <c:pt idx="10">
                  <c:v>2.2120482463769346</c:v>
                </c:pt>
                <c:pt idx="11">
                  <c:v>2.2060343583893869</c:v>
                </c:pt>
                <c:pt idx="12">
                  <c:v>2.1981328997196137</c:v>
                </c:pt>
                <c:pt idx="13">
                  <c:v>2.1887828402937166</c:v>
                </c:pt>
                <c:pt idx="14">
                  <c:v>2.1781597680821325</c:v>
                </c:pt>
                <c:pt idx="15">
                  <c:v>2.172409262050242</c:v>
                </c:pt>
                <c:pt idx="16">
                  <c:v>2.166395374062692</c:v>
                </c:pt>
              </c:numCache>
            </c:numRef>
          </c:xVal>
          <c:yVal>
            <c:numRef>
              <c:f>'Sheet2 (3)'!$AM$22:$AM$38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95584"/>
        <c:axId val="122596160"/>
      </c:scatterChart>
      <c:valAx>
        <c:axId val="12259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596160"/>
        <c:crosses val="autoZero"/>
        <c:crossBetween val="midCat"/>
      </c:valAx>
      <c:valAx>
        <c:axId val="1225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595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(3)'!$AT$22:$AT$38</c:f>
              <c:numCache>
                <c:formatCode>General</c:formatCode>
                <c:ptCount val="17"/>
                <c:pt idx="0">
                  <c:v>0</c:v>
                </c:pt>
                <c:pt idx="1">
                  <c:v>6.891827839748732E-3</c:v>
                </c:pt>
                <c:pt idx="2">
                  <c:v>8.9110894998025714E-3</c:v>
                </c:pt>
                <c:pt idx="3">
                  <c:v>1.1281527100734934E-2</c:v>
                </c:pt>
                <c:pt idx="4">
                  <c:v>1.2598436879030839E-2</c:v>
                </c:pt>
                <c:pt idx="5">
                  <c:v>1.3520273723838461E-2</c:v>
                </c:pt>
                <c:pt idx="6">
                  <c:v>1.4705492524304642E-2</c:v>
                </c:pt>
                <c:pt idx="7">
                  <c:v>1.5232256435623093E-2</c:v>
                </c:pt>
                <c:pt idx="8">
                  <c:v>1.5363947413452816E-2</c:v>
                </c:pt>
                <c:pt idx="9">
                  <c:v>1.5363947413452816E-2</c:v>
                </c:pt>
                <c:pt idx="10">
                  <c:v>1.5363947413452816E-2</c:v>
                </c:pt>
                <c:pt idx="11">
                  <c:v>1.5363947413452816E-2</c:v>
                </c:pt>
                <c:pt idx="12">
                  <c:v>1.5363947413452816E-2</c:v>
                </c:pt>
                <c:pt idx="13">
                  <c:v>1.5363947413453261E-2</c:v>
                </c:pt>
                <c:pt idx="14">
                  <c:v>1.5363947413453705E-2</c:v>
                </c:pt>
                <c:pt idx="15">
                  <c:v>1.5363947413454149E-2</c:v>
                </c:pt>
                <c:pt idx="16">
                  <c:v>1.5363947413454149E-2</c:v>
                </c:pt>
              </c:numCache>
            </c:numRef>
          </c:xVal>
          <c:yVal>
            <c:numRef>
              <c:f>'Sheet2 (3)'!$AU$22:$AU$38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0.30557894656132784</c:v>
                </c:pt>
                <c:pt idx="3">
                  <c:v>0.52743978551039472</c:v>
                </c:pt>
                <c:pt idx="4">
                  <c:v>0.7345571660285708</c:v>
                </c:pt>
                <c:pt idx="5">
                  <c:v>0.93670602437057271</c:v>
                </c:pt>
                <c:pt idx="6">
                  <c:v>1.3330716459310745</c:v>
                </c:pt>
                <c:pt idx="7">
                  <c:v>1.7238206061850794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97888"/>
        <c:axId val="122598464"/>
      </c:scatterChart>
      <c:valAx>
        <c:axId val="12259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598464"/>
        <c:crosses val="autoZero"/>
        <c:crossBetween val="midCat"/>
      </c:valAx>
      <c:valAx>
        <c:axId val="122598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597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(3)'!$AV$22:$AV$38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2.1743407297250457</c:v>
                </c:pt>
                <c:pt idx="2">
                  <c:v>2.1723214680649918</c:v>
                </c:pt>
                <c:pt idx="3">
                  <c:v>2.169951030464059</c:v>
                </c:pt>
                <c:pt idx="4">
                  <c:v>2.1686341206857631</c:v>
                </c:pt>
                <c:pt idx="5">
                  <c:v>2.1677122838409559</c:v>
                </c:pt>
                <c:pt idx="6">
                  <c:v>2.1665270650404898</c:v>
                </c:pt>
                <c:pt idx="7">
                  <c:v>2.1660003011291713</c:v>
                </c:pt>
                <c:pt idx="8">
                  <c:v>2.1658686101513416</c:v>
                </c:pt>
                <c:pt idx="9">
                  <c:v>2.1658686101513416</c:v>
                </c:pt>
                <c:pt idx="10">
                  <c:v>2.1658686101513416</c:v>
                </c:pt>
                <c:pt idx="11">
                  <c:v>2.1658686101513416</c:v>
                </c:pt>
                <c:pt idx="12">
                  <c:v>2.1658686101513416</c:v>
                </c:pt>
                <c:pt idx="13">
                  <c:v>2.165868610151342</c:v>
                </c:pt>
                <c:pt idx="14">
                  <c:v>2.1658686101513425</c:v>
                </c:pt>
                <c:pt idx="15">
                  <c:v>2.1658686101513429</c:v>
                </c:pt>
                <c:pt idx="16">
                  <c:v>2.1658686101513429</c:v>
                </c:pt>
              </c:numCache>
            </c:numRef>
          </c:xVal>
          <c:yVal>
            <c:numRef>
              <c:f>'Sheet2 (3)'!$AW$22:$AW$38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00192"/>
        <c:axId val="122600768"/>
      </c:scatterChart>
      <c:valAx>
        <c:axId val="12260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600768"/>
        <c:crosses val="autoZero"/>
        <c:crossBetween val="midCat"/>
      </c:valAx>
      <c:valAx>
        <c:axId val="12260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60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(4)'!$AJ$22:$AJ$38</c:f>
              <c:numCache>
                <c:formatCode>General</c:formatCode>
                <c:ptCount val="17"/>
                <c:pt idx="0">
                  <c:v>0</c:v>
                </c:pt>
                <c:pt idx="1">
                  <c:v>-8.5599135589236042E-3</c:v>
                </c:pt>
                <c:pt idx="2">
                  <c:v>-1.3169097782959049E-2</c:v>
                </c:pt>
                <c:pt idx="3">
                  <c:v>-1.9314676748340087E-2</c:v>
                </c:pt>
                <c:pt idx="4">
                  <c:v>-2.3484891046277045E-2</c:v>
                </c:pt>
                <c:pt idx="5">
                  <c:v>-2.6777165492015698E-2</c:v>
                </c:pt>
                <c:pt idx="6">
                  <c:v>-3.1561937686489738E-2</c:v>
                </c:pt>
                <c:pt idx="7">
                  <c:v>-3.4503036191349423E-2</c:v>
                </c:pt>
                <c:pt idx="8">
                  <c:v>-3.5995533940081703E-2</c:v>
                </c:pt>
                <c:pt idx="9">
                  <c:v>-3.467862416178269E-2</c:v>
                </c:pt>
                <c:pt idx="10">
                  <c:v>-3.0815688812110942E-2</c:v>
                </c:pt>
                <c:pt idx="11">
                  <c:v>-2.4801800824556075E-2</c:v>
                </c:pt>
                <c:pt idx="12">
                  <c:v>-1.6900342154777093E-2</c:v>
                </c:pt>
                <c:pt idx="13">
                  <c:v>-7.5502827288720376E-3</c:v>
                </c:pt>
                <c:pt idx="14">
                  <c:v>3.0727894827187185E-3</c:v>
                </c:pt>
                <c:pt idx="15">
                  <c:v>8.8232955146128056E-3</c:v>
                </c:pt>
                <c:pt idx="16">
                  <c:v>1.483718350216634E-2</c:v>
                </c:pt>
              </c:numCache>
            </c:numRef>
          </c:xVal>
          <c:yVal>
            <c:numRef>
              <c:f>'Sheet2 (4)'!$AK$22:$AK$38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0.17921140555183585</c:v>
                </c:pt>
                <c:pt idx="2">
                  <c:v>0.30557894656134088</c:v>
                </c:pt>
                <c:pt idx="3">
                  <c:v>0.52743978551040016</c:v>
                </c:pt>
                <c:pt idx="4">
                  <c:v>0.73455716602857879</c:v>
                </c:pt>
                <c:pt idx="5">
                  <c:v>0.93670602437057526</c:v>
                </c:pt>
                <c:pt idx="6">
                  <c:v>1.3330716459310827</c:v>
                </c:pt>
                <c:pt idx="7">
                  <c:v>1.7238206061850865</c:v>
                </c:pt>
                <c:pt idx="8">
                  <c:v>2.4988634259379499</c:v>
                </c:pt>
                <c:pt idx="9">
                  <c:v>3.2738074663361161</c:v>
                </c:pt>
                <c:pt idx="10">
                  <c:v>4.051387994468401</c:v>
                </c:pt>
                <c:pt idx="11">
                  <c:v>4.8331969437336753</c:v>
                </c:pt>
                <c:pt idx="12">
                  <c:v>5.6202023865044941</c:v>
                </c:pt>
                <c:pt idx="13">
                  <c:v>6.4121202966370605</c:v>
                </c:pt>
                <c:pt idx="14">
                  <c:v>7.2090052007084005</c:v>
                </c:pt>
                <c:pt idx="15">
                  <c:v>7.6093344797779885</c:v>
                </c:pt>
                <c:pt idx="16">
                  <c:v>8.0108631003659525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97952"/>
        <c:axId val="289998528"/>
      </c:scatterChart>
      <c:valAx>
        <c:axId val="28999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9998528"/>
        <c:crosses val="autoZero"/>
        <c:crossBetween val="midCat"/>
      </c:valAx>
      <c:valAx>
        <c:axId val="28999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997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(4)'!$AL$22:$AL$38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2.1897924711237189</c:v>
                </c:pt>
                <c:pt idx="2">
                  <c:v>2.1944016553477552</c:v>
                </c:pt>
                <c:pt idx="3">
                  <c:v>2.2005472343131363</c:v>
                </c:pt>
                <c:pt idx="4">
                  <c:v>2.2047174486110737</c:v>
                </c:pt>
                <c:pt idx="5">
                  <c:v>2.208009723056815</c:v>
                </c:pt>
                <c:pt idx="6">
                  <c:v>2.2127944952512917</c:v>
                </c:pt>
                <c:pt idx="7">
                  <c:v>2.2157355937561536</c:v>
                </c:pt>
                <c:pt idx="8">
                  <c:v>2.2172280915048925</c:v>
                </c:pt>
                <c:pt idx="9">
                  <c:v>2.2159111817265993</c:v>
                </c:pt>
                <c:pt idx="10">
                  <c:v>2.2120482463769346</c:v>
                </c:pt>
                <c:pt idx="11">
                  <c:v>2.2060343583893869</c:v>
                </c:pt>
                <c:pt idx="12">
                  <c:v>2.1981328997196137</c:v>
                </c:pt>
                <c:pt idx="13">
                  <c:v>2.1887828402937166</c:v>
                </c:pt>
                <c:pt idx="14">
                  <c:v>2.1781597680821325</c:v>
                </c:pt>
                <c:pt idx="15">
                  <c:v>2.172409262050242</c:v>
                </c:pt>
                <c:pt idx="16">
                  <c:v>2.166395374062692</c:v>
                </c:pt>
              </c:numCache>
            </c:numRef>
          </c:xVal>
          <c:yVal>
            <c:numRef>
              <c:f>'Sheet2 (4)'!$AM$22:$AM$38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000256"/>
        <c:axId val="290000832"/>
      </c:scatterChart>
      <c:valAx>
        <c:axId val="29000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0000832"/>
        <c:crosses val="autoZero"/>
        <c:crossBetween val="midCat"/>
      </c:valAx>
      <c:valAx>
        <c:axId val="29000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0000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(4)'!$AT$22:$AT$38</c:f>
              <c:numCache>
                <c:formatCode>General</c:formatCode>
                <c:ptCount val="17"/>
                <c:pt idx="0">
                  <c:v>0</c:v>
                </c:pt>
                <c:pt idx="1">
                  <c:v>6.891827839748732E-3</c:v>
                </c:pt>
                <c:pt idx="2">
                  <c:v>8.9110894998025714E-3</c:v>
                </c:pt>
                <c:pt idx="3">
                  <c:v>1.1281527100734934E-2</c:v>
                </c:pt>
                <c:pt idx="4">
                  <c:v>1.2598436879030839E-2</c:v>
                </c:pt>
                <c:pt idx="5">
                  <c:v>1.3520273723838461E-2</c:v>
                </c:pt>
                <c:pt idx="6">
                  <c:v>1.4705492524304642E-2</c:v>
                </c:pt>
                <c:pt idx="7">
                  <c:v>1.5232256435623093E-2</c:v>
                </c:pt>
                <c:pt idx="8">
                  <c:v>1.5363947413452816E-2</c:v>
                </c:pt>
                <c:pt idx="9">
                  <c:v>1.5363947413452816E-2</c:v>
                </c:pt>
                <c:pt idx="10">
                  <c:v>1.5363947413452816E-2</c:v>
                </c:pt>
                <c:pt idx="11">
                  <c:v>1.5363947413452816E-2</c:v>
                </c:pt>
                <c:pt idx="12">
                  <c:v>1.5363947413452816E-2</c:v>
                </c:pt>
                <c:pt idx="13">
                  <c:v>1.5363947413453261E-2</c:v>
                </c:pt>
                <c:pt idx="14">
                  <c:v>1.5363947413453705E-2</c:v>
                </c:pt>
                <c:pt idx="15">
                  <c:v>1.5363947413454149E-2</c:v>
                </c:pt>
                <c:pt idx="16">
                  <c:v>1.5363947413454149E-2</c:v>
                </c:pt>
              </c:numCache>
            </c:numRef>
          </c:xVal>
          <c:yVal>
            <c:numRef>
              <c:f>'Sheet2 (4)'!$AU$22:$AU$38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0.30557894656132784</c:v>
                </c:pt>
                <c:pt idx="3">
                  <c:v>0.52743978551039472</c:v>
                </c:pt>
                <c:pt idx="4">
                  <c:v>0.7345571660285708</c:v>
                </c:pt>
                <c:pt idx="5">
                  <c:v>0.93670602437057271</c:v>
                </c:pt>
                <c:pt idx="6">
                  <c:v>1.3330716459310745</c:v>
                </c:pt>
                <c:pt idx="7">
                  <c:v>1.7238206061850794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002560"/>
        <c:axId val="290003136"/>
      </c:scatterChart>
      <c:valAx>
        <c:axId val="2900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0003136"/>
        <c:crosses val="autoZero"/>
        <c:crossBetween val="midCat"/>
      </c:valAx>
      <c:valAx>
        <c:axId val="29000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0002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(4)'!$AV$22:$AV$38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2.1743407297250457</c:v>
                </c:pt>
                <c:pt idx="2">
                  <c:v>2.1723214680649918</c:v>
                </c:pt>
                <c:pt idx="3">
                  <c:v>2.169951030464059</c:v>
                </c:pt>
                <c:pt idx="4">
                  <c:v>2.1686341206857631</c:v>
                </c:pt>
                <c:pt idx="5">
                  <c:v>2.1677122838409559</c:v>
                </c:pt>
                <c:pt idx="6">
                  <c:v>2.1665270650404898</c:v>
                </c:pt>
                <c:pt idx="7">
                  <c:v>2.1660003011291713</c:v>
                </c:pt>
                <c:pt idx="8">
                  <c:v>2.1658686101513416</c:v>
                </c:pt>
                <c:pt idx="9">
                  <c:v>2.1658686101513416</c:v>
                </c:pt>
                <c:pt idx="10">
                  <c:v>2.1658686101513416</c:v>
                </c:pt>
                <c:pt idx="11">
                  <c:v>2.1658686101513416</c:v>
                </c:pt>
                <c:pt idx="12">
                  <c:v>2.1658686101513416</c:v>
                </c:pt>
                <c:pt idx="13">
                  <c:v>2.165868610151342</c:v>
                </c:pt>
                <c:pt idx="14">
                  <c:v>2.1658686101513425</c:v>
                </c:pt>
                <c:pt idx="15">
                  <c:v>2.1658686101513429</c:v>
                </c:pt>
                <c:pt idx="16">
                  <c:v>2.1658686101513429</c:v>
                </c:pt>
              </c:numCache>
            </c:numRef>
          </c:xVal>
          <c:yVal>
            <c:numRef>
              <c:f>'Sheet2 (4)'!$AW$22:$AW$38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32064"/>
        <c:axId val="294232640"/>
      </c:scatterChart>
      <c:valAx>
        <c:axId val="2942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32640"/>
        <c:crosses val="autoZero"/>
        <c:crossBetween val="midCat"/>
      </c:valAx>
      <c:valAx>
        <c:axId val="29423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32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(5)'!$AJ$22:$AJ$38</c:f>
              <c:numCache>
                <c:formatCode>General</c:formatCode>
                <c:ptCount val="17"/>
                <c:pt idx="0">
                  <c:v>0</c:v>
                </c:pt>
                <c:pt idx="1">
                  <c:v>-8.5599135589236042E-3</c:v>
                </c:pt>
                <c:pt idx="2">
                  <c:v>-1.3169097782959049E-2</c:v>
                </c:pt>
                <c:pt idx="3">
                  <c:v>-1.9314676748340087E-2</c:v>
                </c:pt>
                <c:pt idx="4">
                  <c:v>-2.3484891046277045E-2</c:v>
                </c:pt>
                <c:pt idx="5">
                  <c:v>-2.6777165492015698E-2</c:v>
                </c:pt>
                <c:pt idx="6">
                  <c:v>-3.1561937686489738E-2</c:v>
                </c:pt>
                <c:pt idx="7">
                  <c:v>-3.4503036191349423E-2</c:v>
                </c:pt>
                <c:pt idx="8">
                  <c:v>-3.5995533940081703E-2</c:v>
                </c:pt>
                <c:pt idx="9">
                  <c:v>-3.467862416178269E-2</c:v>
                </c:pt>
                <c:pt idx="10">
                  <c:v>-3.0815688812110942E-2</c:v>
                </c:pt>
                <c:pt idx="11">
                  <c:v>-2.4801800824556075E-2</c:v>
                </c:pt>
                <c:pt idx="12">
                  <c:v>-1.6900342154777093E-2</c:v>
                </c:pt>
                <c:pt idx="13">
                  <c:v>-7.5502827288720376E-3</c:v>
                </c:pt>
                <c:pt idx="14">
                  <c:v>3.0727894827187185E-3</c:v>
                </c:pt>
                <c:pt idx="15">
                  <c:v>8.8232955146128056E-3</c:v>
                </c:pt>
                <c:pt idx="16">
                  <c:v>1.483718350216634E-2</c:v>
                </c:pt>
              </c:numCache>
            </c:numRef>
          </c:xVal>
          <c:yVal>
            <c:numRef>
              <c:f>'Sheet2 (5)'!$AK$22:$AK$38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0.17921140555183585</c:v>
                </c:pt>
                <c:pt idx="2">
                  <c:v>0.30557894656134088</c:v>
                </c:pt>
                <c:pt idx="3">
                  <c:v>0.52743978551040016</c:v>
                </c:pt>
                <c:pt idx="4">
                  <c:v>0.73455716602857879</c:v>
                </c:pt>
                <c:pt idx="5">
                  <c:v>0.93670602437057526</c:v>
                </c:pt>
                <c:pt idx="6">
                  <c:v>1.3330716459310827</c:v>
                </c:pt>
                <c:pt idx="7">
                  <c:v>1.7238206061850865</c:v>
                </c:pt>
                <c:pt idx="8">
                  <c:v>2.4988634259379499</c:v>
                </c:pt>
                <c:pt idx="9">
                  <c:v>3.2738074663361161</c:v>
                </c:pt>
                <c:pt idx="10">
                  <c:v>4.051387994468401</c:v>
                </c:pt>
                <c:pt idx="11">
                  <c:v>4.8331969437336753</c:v>
                </c:pt>
                <c:pt idx="12">
                  <c:v>5.6202023865044941</c:v>
                </c:pt>
                <c:pt idx="13">
                  <c:v>6.4121202966370605</c:v>
                </c:pt>
                <c:pt idx="14">
                  <c:v>7.2090052007084005</c:v>
                </c:pt>
                <c:pt idx="15">
                  <c:v>7.6093344797779885</c:v>
                </c:pt>
                <c:pt idx="16">
                  <c:v>8.0108631003659525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34368"/>
        <c:axId val="294234944"/>
      </c:scatterChart>
      <c:valAx>
        <c:axId val="29423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34944"/>
        <c:crosses val="autoZero"/>
        <c:crossBetween val="midCat"/>
      </c:valAx>
      <c:valAx>
        <c:axId val="29423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34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(5)'!$AL$22:$AL$38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2.1897924711237189</c:v>
                </c:pt>
                <c:pt idx="2">
                  <c:v>2.1944016553477552</c:v>
                </c:pt>
                <c:pt idx="3">
                  <c:v>2.2005472343131363</c:v>
                </c:pt>
                <c:pt idx="4">
                  <c:v>2.2047174486110737</c:v>
                </c:pt>
                <c:pt idx="5">
                  <c:v>2.208009723056815</c:v>
                </c:pt>
                <c:pt idx="6">
                  <c:v>2.2127944952512917</c:v>
                </c:pt>
                <c:pt idx="7">
                  <c:v>2.2157355937561536</c:v>
                </c:pt>
                <c:pt idx="8">
                  <c:v>2.2172280915048925</c:v>
                </c:pt>
                <c:pt idx="9">
                  <c:v>2.2159111817265993</c:v>
                </c:pt>
                <c:pt idx="10">
                  <c:v>2.2120482463769346</c:v>
                </c:pt>
                <c:pt idx="11">
                  <c:v>2.2060343583893869</c:v>
                </c:pt>
                <c:pt idx="12">
                  <c:v>2.1981328997196137</c:v>
                </c:pt>
                <c:pt idx="13">
                  <c:v>2.1887828402937166</c:v>
                </c:pt>
                <c:pt idx="14">
                  <c:v>2.1781597680821325</c:v>
                </c:pt>
                <c:pt idx="15">
                  <c:v>2.172409262050242</c:v>
                </c:pt>
                <c:pt idx="16">
                  <c:v>2.166395374062692</c:v>
                </c:pt>
              </c:numCache>
            </c:numRef>
          </c:xVal>
          <c:yVal>
            <c:numRef>
              <c:f>'Sheet2 (5)'!$AM$22:$AM$38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36672"/>
        <c:axId val="294237248"/>
      </c:scatterChart>
      <c:valAx>
        <c:axId val="29423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37248"/>
        <c:crosses val="autoZero"/>
        <c:crossBetween val="midCat"/>
      </c:valAx>
      <c:valAx>
        <c:axId val="29423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36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(5)'!$AT$22:$AT$38</c:f>
              <c:numCache>
                <c:formatCode>General</c:formatCode>
                <c:ptCount val="17"/>
                <c:pt idx="0">
                  <c:v>0</c:v>
                </c:pt>
                <c:pt idx="1">
                  <c:v>6.891827839748732E-3</c:v>
                </c:pt>
                <c:pt idx="2">
                  <c:v>8.9110894998025714E-3</c:v>
                </c:pt>
                <c:pt idx="3">
                  <c:v>1.1281527100734934E-2</c:v>
                </c:pt>
                <c:pt idx="4">
                  <c:v>1.2598436879030839E-2</c:v>
                </c:pt>
                <c:pt idx="5">
                  <c:v>1.3520273723838461E-2</c:v>
                </c:pt>
                <c:pt idx="6">
                  <c:v>1.4705492524304642E-2</c:v>
                </c:pt>
                <c:pt idx="7">
                  <c:v>1.5232256435623093E-2</c:v>
                </c:pt>
                <c:pt idx="8">
                  <c:v>1.5363947413452816E-2</c:v>
                </c:pt>
                <c:pt idx="9">
                  <c:v>1.5363947413452816E-2</c:v>
                </c:pt>
                <c:pt idx="10">
                  <c:v>1.5363947413452816E-2</c:v>
                </c:pt>
                <c:pt idx="11">
                  <c:v>1.5363947413452816E-2</c:v>
                </c:pt>
                <c:pt idx="12">
                  <c:v>1.5363947413452816E-2</c:v>
                </c:pt>
                <c:pt idx="13">
                  <c:v>1.5363947413453261E-2</c:v>
                </c:pt>
                <c:pt idx="14">
                  <c:v>1.5363947413453705E-2</c:v>
                </c:pt>
                <c:pt idx="15">
                  <c:v>1.5363947413454149E-2</c:v>
                </c:pt>
                <c:pt idx="16">
                  <c:v>1.5363947413454149E-2</c:v>
                </c:pt>
              </c:numCache>
            </c:numRef>
          </c:xVal>
          <c:yVal>
            <c:numRef>
              <c:f>'Sheet2 (5)'!$AU$22:$AU$38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0.30557894656132784</c:v>
                </c:pt>
                <c:pt idx="3">
                  <c:v>0.52743978551039472</c:v>
                </c:pt>
                <c:pt idx="4">
                  <c:v>0.7345571660285708</c:v>
                </c:pt>
                <c:pt idx="5">
                  <c:v>0.93670602437057271</c:v>
                </c:pt>
                <c:pt idx="6">
                  <c:v>1.3330716459310745</c:v>
                </c:pt>
                <c:pt idx="7">
                  <c:v>1.7238206061850794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38976"/>
        <c:axId val="294239552"/>
      </c:scatterChart>
      <c:valAx>
        <c:axId val="29423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4239552"/>
        <c:crosses val="autoZero"/>
        <c:crossBetween val="midCat"/>
      </c:valAx>
      <c:valAx>
        <c:axId val="29423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42389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'Sheet2 (5)'!$AV$22:$AV$38</c:f>
              <c:numCache>
                <c:formatCode>General</c:formatCode>
                <c:ptCount val="17"/>
                <c:pt idx="0">
                  <c:v>2.1812325575647944</c:v>
                </c:pt>
                <c:pt idx="1">
                  <c:v>2.1743407297250457</c:v>
                </c:pt>
                <c:pt idx="2">
                  <c:v>2.1723214680649918</c:v>
                </c:pt>
                <c:pt idx="3">
                  <c:v>2.169951030464059</c:v>
                </c:pt>
                <c:pt idx="4">
                  <c:v>2.1686341206857631</c:v>
                </c:pt>
                <c:pt idx="5">
                  <c:v>2.1677122838409559</c:v>
                </c:pt>
                <c:pt idx="6">
                  <c:v>2.1665270650404898</c:v>
                </c:pt>
                <c:pt idx="7">
                  <c:v>2.1660003011291713</c:v>
                </c:pt>
                <c:pt idx="8">
                  <c:v>2.1658686101513416</c:v>
                </c:pt>
                <c:pt idx="9">
                  <c:v>2.1658686101513416</c:v>
                </c:pt>
                <c:pt idx="10">
                  <c:v>2.1658686101513416</c:v>
                </c:pt>
                <c:pt idx="11">
                  <c:v>2.1658686101513416</c:v>
                </c:pt>
                <c:pt idx="12">
                  <c:v>2.1658686101513416</c:v>
                </c:pt>
                <c:pt idx="13">
                  <c:v>2.165868610151342</c:v>
                </c:pt>
                <c:pt idx="14">
                  <c:v>2.1658686101513425</c:v>
                </c:pt>
                <c:pt idx="15">
                  <c:v>2.1658686101513429</c:v>
                </c:pt>
                <c:pt idx="16">
                  <c:v>2.1658686101513429</c:v>
                </c:pt>
              </c:numCache>
            </c:numRef>
          </c:xVal>
          <c:yVal>
            <c:numRef>
              <c:f>'Sheet2 (5)'!$AW$22:$AW$38</c:f>
              <c:numCache>
                <c:formatCode>General</c:formatCode>
                <c:ptCount val="17"/>
                <c:pt idx="0">
                  <c:v>0</c:v>
                </c:pt>
                <c:pt idx="1">
                  <c:v>0.1792114055518329</c:v>
                </c:pt>
                <c:pt idx="2">
                  <c:v>0.30557894656133794</c:v>
                </c:pt>
                <c:pt idx="3">
                  <c:v>0.52743978551039716</c:v>
                </c:pt>
                <c:pt idx="4">
                  <c:v>0.73455716602856791</c:v>
                </c:pt>
                <c:pt idx="5">
                  <c:v>0.93670602437056982</c:v>
                </c:pt>
                <c:pt idx="6">
                  <c:v>1.3330716459310759</c:v>
                </c:pt>
                <c:pt idx="7">
                  <c:v>1.723820606185078</c:v>
                </c:pt>
                <c:pt idx="8">
                  <c:v>2.498863425937941</c:v>
                </c:pt>
                <c:pt idx="9">
                  <c:v>3.2738074663361072</c:v>
                </c:pt>
                <c:pt idx="10">
                  <c:v>4.0513879944683922</c:v>
                </c:pt>
                <c:pt idx="11">
                  <c:v>4.8331969437336664</c:v>
                </c:pt>
                <c:pt idx="12">
                  <c:v>5.6202023865044834</c:v>
                </c:pt>
                <c:pt idx="13">
                  <c:v>6.4121202966370516</c:v>
                </c:pt>
                <c:pt idx="14">
                  <c:v>7.2090052007083907</c:v>
                </c:pt>
                <c:pt idx="15">
                  <c:v>7.6093344797779778</c:v>
                </c:pt>
                <c:pt idx="16">
                  <c:v>8.0108631003659454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26944"/>
        <c:axId val="299427520"/>
      </c:scatterChart>
      <c:valAx>
        <c:axId val="29942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427520"/>
        <c:crosses val="autoZero"/>
        <c:crossBetween val="midCat"/>
      </c:valAx>
      <c:valAx>
        <c:axId val="29942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426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32</xdr:row>
      <xdr:rowOff>85725</xdr:rowOff>
    </xdr:from>
    <xdr:to>
      <xdr:col>33</xdr:col>
      <xdr:colOff>304800</xdr:colOff>
      <xdr:row>46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333374</xdr:colOff>
      <xdr:row>49</xdr:row>
      <xdr:rowOff>23812</xdr:rowOff>
    </xdr:from>
    <xdr:to>
      <xdr:col>28</xdr:col>
      <xdr:colOff>419099</xdr:colOff>
      <xdr:row>63</xdr:row>
      <xdr:rowOff>100012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257174</xdr:colOff>
      <xdr:row>65</xdr:row>
      <xdr:rowOff>4762</xdr:rowOff>
    </xdr:from>
    <xdr:to>
      <xdr:col>28</xdr:col>
      <xdr:colOff>457199</xdr:colOff>
      <xdr:row>71</xdr:row>
      <xdr:rowOff>85725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295275</xdr:colOff>
      <xdr:row>75</xdr:row>
      <xdr:rowOff>157162</xdr:rowOff>
    </xdr:from>
    <xdr:to>
      <xdr:col>28</xdr:col>
      <xdr:colOff>600075</xdr:colOff>
      <xdr:row>90</xdr:row>
      <xdr:rowOff>42862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92</xdr:row>
      <xdr:rowOff>100012</xdr:rowOff>
    </xdr:from>
    <xdr:to>
      <xdr:col>28</xdr:col>
      <xdr:colOff>581025</xdr:colOff>
      <xdr:row>98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304799</xdr:colOff>
      <xdr:row>104</xdr:row>
      <xdr:rowOff>23812</xdr:rowOff>
    </xdr:from>
    <xdr:to>
      <xdr:col>29</xdr:col>
      <xdr:colOff>561974</xdr:colOff>
      <xdr:row>118</xdr:row>
      <xdr:rowOff>100012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285750</xdr:colOff>
      <xdr:row>120</xdr:row>
      <xdr:rowOff>42862</xdr:rowOff>
    </xdr:from>
    <xdr:to>
      <xdr:col>29</xdr:col>
      <xdr:colOff>571500</xdr:colOff>
      <xdr:row>126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257175</xdr:colOff>
      <xdr:row>130</xdr:row>
      <xdr:rowOff>4762</xdr:rowOff>
    </xdr:from>
    <xdr:to>
      <xdr:col>29</xdr:col>
      <xdr:colOff>581025</xdr:colOff>
      <xdr:row>144</xdr:row>
      <xdr:rowOff>80962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257175</xdr:colOff>
      <xdr:row>146</xdr:row>
      <xdr:rowOff>166687</xdr:rowOff>
    </xdr:from>
    <xdr:to>
      <xdr:col>29</xdr:col>
      <xdr:colOff>581025</xdr:colOff>
      <xdr:row>152</xdr:row>
      <xdr:rowOff>133350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40</xdr:row>
      <xdr:rowOff>4761</xdr:rowOff>
    </xdr:from>
    <xdr:to>
      <xdr:col>5</xdr:col>
      <xdr:colOff>609599</xdr:colOff>
      <xdr:row>79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40</xdr:row>
      <xdr:rowOff>19051</xdr:rowOff>
    </xdr:from>
    <xdr:to>
      <xdr:col>12</xdr:col>
      <xdr:colOff>238125</xdr:colOff>
      <xdr:row>79</xdr:row>
      <xdr:rowOff>152401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40</xdr:row>
      <xdr:rowOff>4761</xdr:rowOff>
    </xdr:from>
    <xdr:to>
      <xdr:col>20</xdr:col>
      <xdr:colOff>190500</xdr:colOff>
      <xdr:row>80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</xdr:colOff>
      <xdr:row>40</xdr:row>
      <xdr:rowOff>14286</xdr:rowOff>
    </xdr:from>
    <xdr:to>
      <xdr:col>26</xdr:col>
      <xdr:colOff>247651</xdr:colOff>
      <xdr:row>79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40</xdr:row>
      <xdr:rowOff>4761</xdr:rowOff>
    </xdr:from>
    <xdr:to>
      <xdr:col>5</xdr:col>
      <xdr:colOff>609599</xdr:colOff>
      <xdr:row>79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40</xdr:row>
      <xdr:rowOff>19051</xdr:rowOff>
    </xdr:from>
    <xdr:to>
      <xdr:col>12</xdr:col>
      <xdr:colOff>238125</xdr:colOff>
      <xdr:row>79</xdr:row>
      <xdr:rowOff>152401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40</xdr:row>
      <xdr:rowOff>4761</xdr:rowOff>
    </xdr:from>
    <xdr:to>
      <xdr:col>20</xdr:col>
      <xdr:colOff>190500</xdr:colOff>
      <xdr:row>80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</xdr:colOff>
      <xdr:row>40</xdr:row>
      <xdr:rowOff>14286</xdr:rowOff>
    </xdr:from>
    <xdr:to>
      <xdr:col>26</xdr:col>
      <xdr:colOff>247651</xdr:colOff>
      <xdr:row>79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40</xdr:row>
      <xdr:rowOff>4761</xdr:rowOff>
    </xdr:from>
    <xdr:to>
      <xdr:col>5</xdr:col>
      <xdr:colOff>609599</xdr:colOff>
      <xdr:row>79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40</xdr:row>
      <xdr:rowOff>19051</xdr:rowOff>
    </xdr:from>
    <xdr:to>
      <xdr:col>12</xdr:col>
      <xdr:colOff>238125</xdr:colOff>
      <xdr:row>79</xdr:row>
      <xdr:rowOff>152401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40</xdr:row>
      <xdr:rowOff>4761</xdr:rowOff>
    </xdr:from>
    <xdr:to>
      <xdr:col>20</xdr:col>
      <xdr:colOff>190500</xdr:colOff>
      <xdr:row>80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</xdr:colOff>
      <xdr:row>40</xdr:row>
      <xdr:rowOff>14286</xdr:rowOff>
    </xdr:from>
    <xdr:to>
      <xdr:col>26</xdr:col>
      <xdr:colOff>247651</xdr:colOff>
      <xdr:row>79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40</xdr:row>
      <xdr:rowOff>4761</xdr:rowOff>
    </xdr:from>
    <xdr:to>
      <xdr:col>5</xdr:col>
      <xdr:colOff>609599</xdr:colOff>
      <xdr:row>79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40</xdr:row>
      <xdr:rowOff>19051</xdr:rowOff>
    </xdr:from>
    <xdr:to>
      <xdr:col>12</xdr:col>
      <xdr:colOff>238125</xdr:colOff>
      <xdr:row>79</xdr:row>
      <xdr:rowOff>152401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40</xdr:row>
      <xdr:rowOff>4761</xdr:rowOff>
    </xdr:from>
    <xdr:to>
      <xdr:col>20</xdr:col>
      <xdr:colOff>190500</xdr:colOff>
      <xdr:row>80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</xdr:colOff>
      <xdr:row>40</xdr:row>
      <xdr:rowOff>14286</xdr:rowOff>
    </xdr:from>
    <xdr:to>
      <xdr:col>26</xdr:col>
      <xdr:colOff>247651</xdr:colOff>
      <xdr:row>79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5"/>
  <sheetViews>
    <sheetView topLeftCell="H1" workbookViewId="0">
      <selection activeCell="B28" sqref="B28"/>
    </sheetView>
  </sheetViews>
  <sheetFormatPr defaultRowHeight="15" x14ac:dyDescent="0.25"/>
  <cols>
    <col min="5" max="5" width="12" bestFit="1" customWidth="1"/>
  </cols>
  <sheetData>
    <row r="2" spans="1:22" x14ac:dyDescent="0.25">
      <c r="A2" t="s">
        <v>17</v>
      </c>
      <c r="B2">
        <v>3.5000000000000003E-2</v>
      </c>
      <c r="D2" s="1" t="s">
        <v>0</v>
      </c>
      <c r="E2" s="1" t="s">
        <v>1</v>
      </c>
      <c r="F2" s="1" t="s">
        <v>2</v>
      </c>
      <c r="G2" s="2" t="s">
        <v>22</v>
      </c>
      <c r="H2" s="2" t="s">
        <v>5</v>
      </c>
      <c r="I2" s="2" t="s">
        <v>20</v>
      </c>
      <c r="J2" s="2" t="s">
        <v>8</v>
      </c>
      <c r="K2" s="3" t="s">
        <v>23</v>
      </c>
      <c r="L2" s="3" t="s">
        <v>6</v>
      </c>
      <c r="M2" s="3" t="s">
        <v>24</v>
      </c>
      <c r="N2" s="3" t="s">
        <v>7</v>
      </c>
      <c r="O2" s="4" t="s">
        <v>21</v>
      </c>
      <c r="P2" s="4" t="s">
        <v>9</v>
      </c>
      <c r="Q2" s="4" t="s">
        <v>25</v>
      </c>
      <c r="R2" s="4" t="s">
        <v>10</v>
      </c>
      <c r="S2" t="s">
        <v>13</v>
      </c>
      <c r="T2" t="s">
        <v>11</v>
      </c>
      <c r="U2" t="s">
        <v>14</v>
      </c>
      <c r="V2" t="s">
        <v>12</v>
      </c>
    </row>
    <row r="3" spans="1:22" x14ac:dyDescent="0.25">
      <c r="A3" t="s">
        <v>18</v>
      </c>
      <c r="B3">
        <v>3.5000000000000003E-2</v>
      </c>
      <c r="D3" s="1">
        <v>0</v>
      </c>
      <c r="E3" s="1">
        <v>3.5000000000000003E-2</v>
      </c>
      <c r="F3" s="1">
        <v>3.5000000000000003E-2</v>
      </c>
      <c r="G3" s="2">
        <f>D3</f>
        <v>0</v>
      </c>
      <c r="H3" s="2">
        <f t="shared" ref="H3:H19" si="0">E3+(($B$2-$E$3)*(1-D3))</f>
        <v>3.5000000000000003E-2</v>
      </c>
      <c r="I3" s="2">
        <f>D3*(1-$B$4)+$B$4</f>
        <v>0</v>
      </c>
      <c r="J3" s="2">
        <f t="shared" ref="J3:J19" si="1">F3*$B$2/$E$3</f>
        <v>3.5000000000000003E-2</v>
      </c>
      <c r="K3" s="3">
        <f>G3</f>
        <v>0</v>
      </c>
      <c r="L3" s="3">
        <f t="shared" ref="L3:L19" si="2">(H3-($H$3*(1-D3)))*($B$5-(0.7*$H$3))/($H$11-(0.7*$H$3))+($H$3*(1-D3))</f>
        <v>3.5000000000000003E-2</v>
      </c>
      <c r="M3" s="3">
        <f>I3</f>
        <v>0</v>
      </c>
      <c r="N3" s="3">
        <f>J3</f>
        <v>3.5000000000000003E-2</v>
      </c>
      <c r="O3" s="4">
        <f t="shared" ref="O3:O11" si="3">D3*$B$6/0.3</f>
        <v>0</v>
      </c>
      <c r="P3" s="4">
        <f>L3</f>
        <v>3.5000000000000003E-2</v>
      </c>
      <c r="Q3" s="4">
        <f>(M3-$B$4)*($B$6-$B$4)/($M$11-$B$4)+$B$4</f>
        <v>0</v>
      </c>
      <c r="R3" s="4">
        <f>N3</f>
        <v>3.5000000000000003E-2</v>
      </c>
      <c r="S3">
        <f t="shared" ref="S3:S19" si="4">(O3*COS($B$8))-(P3*SIN($B$8))</f>
        <v>0</v>
      </c>
      <c r="T3">
        <f t="shared" ref="T3:T19" si="5">(O3*SIN($B$8))+(P3*COS($B$8))</f>
        <v>3.5000000000000003E-2</v>
      </c>
      <c r="U3">
        <f>(Q3*COS($B$8))-(R3*SIN($B$8))</f>
        <v>0</v>
      </c>
      <c r="V3">
        <f>(Q3*SIN($B$8))+(R3*COS($B$8))</f>
        <v>3.5000000000000003E-2</v>
      </c>
    </row>
    <row r="4" spans="1:22" x14ac:dyDescent="0.25">
      <c r="A4" t="s">
        <v>19</v>
      </c>
      <c r="B4">
        <v>0</v>
      </c>
      <c r="D4" s="1">
        <v>1.2500000000000001E-2</v>
      </c>
      <c r="E4" s="1">
        <v>5.45E-2</v>
      </c>
      <c r="F4" s="1">
        <v>1.9300000000000001E-2</v>
      </c>
      <c r="G4" s="2">
        <f t="shared" ref="G4:G19" si="6">D4</f>
        <v>1.2500000000000001E-2</v>
      </c>
      <c r="H4" s="2">
        <f t="shared" si="0"/>
        <v>5.45E-2</v>
      </c>
      <c r="I4" s="2">
        <f t="shared" ref="I4:I19" si="7">D4*(1-$B$4)+$B$4</f>
        <v>1.2500000000000001E-2</v>
      </c>
      <c r="J4" s="2">
        <f t="shared" si="1"/>
        <v>1.9300000000000001E-2</v>
      </c>
      <c r="K4" s="3">
        <f t="shared" ref="K4:K19" si="8">G4</f>
        <v>1.2500000000000001E-2</v>
      </c>
      <c r="L4" s="3">
        <f t="shared" si="2"/>
        <v>5.45E-2</v>
      </c>
      <c r="M4" s="3">
        <f t="shared" ref="M4:M19" si="9">I4</f>
        <v>1.2500000000000001E-2</v>
      </c>
      <c r="N4" s="3">
        <f t="shared" ref="N4:N19" si="10">J4</f>
        <v>1.9300000000000001E-2</v>
      </c>
      <c r="O4" s="4">
        <f t="shared" si="3"/>
        <v>1.2500000000000001E-2</v>
      </c>
      <c r="P4" s="4">
        <f t="shared" ref="P4:P19" si="11">L4</f>
        <v>5.45E-2</v>
      </c>
      <c r="Q4" s="4">
        <f t="shared" ref="Q4:Q11" si="12">(M4-$B$4)*($B$6-$B$4)/($M$11-$B$4)+$B$4</f>
        <v>1.2500000000000001E-2</v>
      </c>
      <c r="R4" s="4">
        <f t="shared" ref="R4:R19" si="13">N4</f>
        <v>1.9300000000000001E-2</v>
      </c>
      <c r="S4">
        <f t="shared" si="4"/>
        <v>1.2500000000000001E-2</v>
      </c>
      <c r="T4">
        <f t="shared" si="5"/>
        <v>5.45E-2</v>
      </c>
      <c r="U4">
        <f t="shared" ref="U4:U19" si="14">(Q4*COS($B$8))-(R4*SIN($B$8))</f>
        <v>1.2500000000000001E-2</v>
      </c>
      <c r="V4">
        <f t="shared" ref="V4:V19" si="15">(Q4*SIN($B$8))+(R4*COS($B$8))</f>
        <v>1.9300000000000001E-2</v>
      </c>
    </row>
    <row r="5" spans="1:22" x14ac:dyDescent="0.25">
      <c r="A5" t="s">
        <v>3</v>
      </c>
      <c r="B5">
        <v>0.11700000000000001</v>
      </c>
      <c r="D5" s="1">
        <v>2.5000000000000001E-2</v>
      </c>
      <c r="E5" s="1">
        <v>6.5000000000000002E-2</v>
      </c>
      <c r="F5" s="1">
        <v>1.47E-2</v>
      </c>
      <c r="G5" s="2">
        <f t="shared" si="6"/>
        <v>2.5000000000000001E-2</v>
      </c>
      <c r="H5" s="2">
        <f t="shared" si="0"/>
        <v>6.5000000000000002E-2</v>
      </c>
      <c r="I5" s="2">
        <f t="shared" si="7"/>
        <v>2.5000000000000001E-2</v>
      </c>
      <c r="J5" s="2">
        <f t="shared" si="1"/>
        <v>1.4699999999999998E-2</v>
      </c>
      <c r="K5" s="3">
        <f t="shared" si="8"/>
        <v>2.5000000000000001E-2</v>
      </c>
      <c r="L5" s="3">
        <f t="shared" si="2"/>
        <v>6.5000000000000002E-2</v>
      </c>
      <c r="M5" s="3">
        <f t="shared" si="9"/>
        <v>2.5000000000000001E-2</v>
      </c>
      <c r="N5" s="3">
        <f t="shared" si="10"/>
        <v>1.4699999999999998E-2</v>
      </c>
      <c r="O5" s="4">
        <f t="shared" si="3"/>
        <v>2.5000000000000001E-2</v>
      </c>
      <c r="P5" s="4">
        <f t="shared" si="11"/>
        <v>6.5000000000000002E-2</v>
      </c>
      <c r="Q5" s="4">
        <f t="shared" si="12"/>
        <v>2.5000000000000001E-2</v>
      </c>
      <c r="R5" s="4">
        <f t="shared" si="13"/>
        <v>1.4699999999999998E-2</v>
      </c>
      <c r="S5">
        <f t="shared" si="4"/>
        <v>2.5000000000000001E-2</v>
      </c>
      <c r="T5">
        <f t="shared" si="5"/>
        <v>6.5000000000000002E-2</v>
      </c>
      <c r="U5">
        <f t="shared" si="14"/>
        <v>2.5000000000000001E-2</v>
      </c>
      <c r="V5">
        <f t="shared" si="15"/>
        <v>1.4699999999999998E-2</v>
      </c>
    </row>
    <row r="6" spans="1:22" x14ac:dyDescent="0.25">
      <c r="A6" t="s">
        <v>4</v>
      </c>
      <c r="B6">
        <v>0.3</v>
      </c>
      <c r="D6" s="1">
        <v>0.05</v>
      </c>
      <c r="E6" s="1">
        <v>7.9000000000000001E-2</v>
      </c>
      <c r="F6" s="1">
        <v>9.2999999999999992E-3</v>
      </c>
      <c r="G6" s="2">
        <f t="shared" si="6"/>
        <v>0.05</v>
      </c>
      <c r="H6" s="2">
        <f t="shared" si="0"/>
        <v>7.9000000000000001E-2</v>
      </c>
      <c r="I6" s="2">
        <f t="shared" si="7"/>
        <v>0.05</v>
      </c>
      <c r="J6" s="2">
        <f t="shared" si="1"/>
        <v>9.2999999999999992E-3</v>
      </c>
      <c r="K6" s="3">
        <f t="shared" si="8"/>
        <v>0.05</v>
      </c>
      <c r="L6" s="3">
        <f t="shared" si="2"/>
        <v>7.8999999999999987E-2</v>
      </c>
      <c r="M6" s="3">
        <f t="shared" si="9"/>
        <v>0.05</v>
      </c>
      <c r="N6" s="3">
        <f t="shared" si="10"/>
        <v>9.2999999999999992E-3</v>
      </c>
      <c r="O6" s="4">
        <f t="shared" si="3"/>
        <v>0.05</v>
      </c>
      <c r="P6" s="4">
        <f t="shared" si="11"/>
        <v>7.8999999999999987E-2</v>
      </c>
      <c r="Q6" s="4">
        <f t="shared" si="12"/>
        <v>0.05</v>
      </c>
      <c r="R6" s="4">
        <f t="shared" si="13"/>
        <v>9.2999999999999992E-3</v>
      </c>
      <c r="S6">
        <f t="shared" si="4"/>
        <v>0.05</v>
      </c>
      <c r="T6">
        <f t="shared" si="5"/>
        <v>7.8999999999999987E-2</v>
      </c>
      <c r="U6">
        <f t="shared" si="14"/>
        <v>0.05</v>
      </c>
      <c r="V6">
        <f t="shared" si="15"/>
        <v>9.2999999999999992E-3</v>
      </c>
    </row>
    <row r="7" spans="1:22" x14ac:dyDescent="0.25">
      <c r="A7" t="s">
        <v>16</v>
      </c>
      <c r="B7">
        <v>0</v>
      </c>
      <c r="D7" s="1">
        <v>7.4999999999999997E-2</v>
      </c>
      <c r="E7" s="1">
        <v>8.8499999999999995E-2</v>
      </c>
      <c r="F7" s="1">
        <v>6.3E-3</v>
      </c>
      <c r="G7" s="2">
        <f t="shared" si="6"/>
        <v>7.4999999999999997E-2</v>
      </c>
      <c r="H7" s="2">
        <f t="shared" si="0"/>
        <v>8.8499999999999995E-2</v>
      </c>
      <c r="I7" s="2">
        <f t="shared" si="7"/>
        <v>7.4999999999999997E-2</v>
      </c>
      <c r="J7" s="2">
        <f t="shared" si="1"/>
        <v>6.3E-3</v>
      </c>
      <c r="K7" s="3">
        <f t="shared" si="8"/>
        <v>7.4999999999999997E-2</v>
      </c>
      <c r="L7" s="3">
        <f t="shared" si="2"/>
        <v>8.8499999999999995E-2</v>
      </c>
      <c r="M7" s="3">
        <f t="shared" si="9"/>
        <v>7.4999999999999997E-2</v>
      </c>
      <c r="N7" s="3">
        <f t="shared" si="10"/>
        <v>6.3E-3</v>
      </c>
      <c r="O7" s="4">
        <f t="shared" si="3"/>
        <v>7.4999999999999997E-2</v>
      </c>
      <c r="P7" s="4">
        <f t="shared" si="11"/>
        <v>8.8499999999999995E-2</v>
      </c>
      <c r="Q7" s="4">
        <f t="shared" si="12"/>
        <v>7.4999999999999997E-2</v>
      </c>
      <c r="R7" s="4">
        <f t="shared" si="13"/>
        <v>6.3E-3</v>
      </c>
      <c r="S7">
        <f t="shared" si="4"/>
        <v>7.4999999999999997E-2</v>
      </c>
      <c r="T7">
        <f t="shared" si="5"/>
        <v>8.8499999999999995E-2</v>
      </c>
      <c r="U7">
        <f t="shared" si="14"/>
        <v>7.4999999999999997E-2</v>
      </c>
      <c r="V7">
        <f t="shared" si="15"/>
        <v>6.3E-3</v>
      </c>
    </row>
    <row r="8" spans="1:22" x14ac:dyDescent="0.25">
      <c r="A8" t="s">
        <v>15</v>
      </c>
      <c r="B8">
        <f>B7/180*3.1415</f>
        <v>0</v>
      </c>
      <c r="D8" s="1">
        <v>0.1</v>
      </c>
      <c r="E8" s="1">
        <v>9.6000000000000002E-2</v>
      </c>
      <c r="F8" s="1">
        <v>4.1999999999999997E-3</v>
      </c>
      <c r="G8" s="2">
        <f t="shared" si="6"/>
        <v>0.1</v>
      </c>
      <c r="H8" s="2">
        <f t="shared" si="0"/>
        <v>9.6000000000000002E-2</v>
      </c>
      <c r="I8" s="2">
        <f t="shared" si="7"/>
        <v>0.1</v>
      </c>
      <c r="J8" s="2">
        <f t="shared" si="1"/>
        <v>4.1999999999999997E-3</v>
      </c>
      <c r="K8" s="3">
        <f t="shared" si="8"/>
        <v>0.1</v>
      </c>
      <c r="L8" s="3">
        <f t="shared" si="2"/>
        <v>9.6000000000000002E-2</v>
      </c>
      <c r="M8" s="3">
        <f t="shared" si="9"/>
        <v>0.1</v>
      </c>
      <c r="N8" s="3">
        <f t="shared" si="10"/>
        <v>4.1999999999999997E-3</v>
      </c>
      <c r="O8" s="4">
        <f t="shared" si="3"/>
        <v>0.1</v>
      </c>
      <c r="P8" s="4">
        <f t="shared" si="11"/>
        <v>9.6000000000000002E-2</v>
      </c>
      <c r="Q8" s="4">
        <f t="shared" si="12"/>
        <v>0.1</v>
      </c>
      <c r="R8" s="4">
        <f t="shared" si="13"/>
        <v>4.1999999999999997E-3</v>
      </c>
      <c r="S8">
        <f t="shared" si="4"/>
        <v>0.1</v>
      </c>
      <c r="T8">
        <f t="shared" si="5"/>
        <v>9.6000000000000002E-2</v>
      </c>
      <c r="U8">
        <f t="shared" si="14"/>
        <v>0.1</v>
      </c>
      <c r="V8">
        <f t="shared" si="15"/>
        <v>4.1999999999999997E-3</v>
      </c>
    </row>
    <row r="9" spans="1:22" x14ac:dyDescent="0.25">
      <c r="A9" t="s">
        <v>33</v>
      </c>
      <c r="B9">
        <v>2.5</v>
      </c>
      <c r="D9" s="1">
        <v>0.15</v>
      </c>
      <c r="E9" s="1">
        <v>0.1069</v>
      </c>
      <c r="F9" s="1">
        <v>1.5E-3</v>
      </c>
      <c r="G9" s="2">
        <f t="shared" si="6"/>
        <v>0.15</v>
      </c>
      <c r="H9" s="2">
        <f t="shared" si="0"/>
        <v>0.1069</v>
      </c>
      <c r="I9" s="2">
        <f t="shared" si="7"/>
        <v>0.15</v>
      </c>
      <c r="J9" s="2">
        <f t="shared" si="1"/>
        <v>1.5E-3</v>
      </c>
      <c r="K9" s="3">
        <f t="shared" si="8"/>
        <v>0.15</v>
      </c>
      <c r="L9" s="3">
        <f t="shared" si="2"/>
        <v>0.1069</v>
      </c>
      <c r="M9" s="3">
        <f t="shared" si="9"/>
        <v>0.15</v>
      </c>
      <c r="N9" s="3">
        <f t="shared" si="10"/>
        <v>1.5E-3</v>
      </c>
      <c r="O9" s="4">
        <f t="shared" si="3"/>
        <v>0.15</v>
      </c>
      <c r="P9" s="4">
        <f t="shared" si="11"/>
        <v>0.1069</v>
      </c>
      <c r="Q9" s="4">
        <f t="shared" si="12"/>
        <v>0.15</v>
      </c>
      <c r="R9" s="4">
        <f t="shared" si="13"/>
        <v>1.5E-3</v>
      </c>
      <c r="S9">
        <f t="shared" si="4"/>
        <v>0.15</v>
      </c>
      <c r="T9">
        <f t="shared" si="5"/>
        <v>0.1069</v>
      </c>
      <c r="U9">
        <f t="shared" si="14"/>
        <v>0.15</v>
      </c>
      <c r="V9">
        <f t="shared" si="15"/>
        <v>1.5E-3</v>
      </c>
    </row>
    <row r="10" spans="1:22" x14ac:dyDescent="0.25">
      <c r="A10" t="s">
        <v>27</v>
      </c>
      <c r="B10">
        <v>1</v>
      </c>
      <c r="D10" s="1">
        <v>0.2</v>
      </c>
      <c r="E10" s="1">
        <v>0.11360000000000001</v>
      </c>
      <c r="F10" s="1">
        <v>2.9999999999999997E-4</v>
      </c>
      <c r="G10" s="2">
        <f t="shared" si="6"/>
        <v>0.2</v>
      </c>
      <c r="H10" s="2">
        <f t="shared" si="0"/>
        <v>0.11360000000000001</v>
      </c>
      <c r="I10" s="2">
        <f t="shared" si="7"/>
        <v>0.2</v>
      </c>
      <c r="J10" s="2">
        <f t="shared" si="1"/>
        <v>2.9999999999999997E-4</v>
      </c>
      <c r="K10" s="3">
        <f t="shared" si="8"/>
        <v>0.2</v>
      </c>
      <c r="L10" s="3">
        <f t="shared" si="2"/>
        <v>0.11360000000000003</v>
      </c>
      <c r="M10" s="3">
        <f t="shared" si="9"/>
        <v>0.2</v>
      </c>
      <c r="N10" s="3">
        <f t="shared" si="10"/>
        <v>2.9999999999999997E-4</v>
      </c>
      <c r="O10" s="4">
        <f t="shared" si="3"/>
        <v>0.2</v>
      </c>
      <c r="P10" s="4">
        <f t="shared" si="11"/>
        <v>0.11360000000000003</v>
      </c>
      <c r="Q10" s="4">
        <f t="shared" si="12"/>
        <v>0.2</v>
      </c>
      <c r="R10" s="4">
        <f t="shared" si="13"/>
        <v>2.9999999999999997E-4</v>
      </c>
      <c r="S10">
        <f t="shared" si="4"/>
        <v>0.2</v>
      </c>
      <c r="T10">
        <f t="shared" si="5"/>
        <v>0.11360000000000003</v>
      </c>
      <c r="U10">
        <f t="shared" si="14"/>
        <v>0.2</v>
      </c>
      <c r="V10">
        <f t="shared" si="15"/>
        <v>2.9999999999999997E-4</v>
      </c>
    </row>
    <row r="11" spans="1:22" x14ac:dyDescent="0.25">
      <c r="A11" t="s">
        <v>28</v>
      </c>
      <c r="B11">
        <v>9</v>
      </c>
      <c r="D11" s="1">
        <v>0.3</v>
      </c>
      <c r="E11" s="1">
        <v>0.11700000000000001</v>
      </c>
      <c r="F11" s="1">
        <v>0</v>
      </c>
      <c r="G11" s="2">
        <f t="shared" si="6"/>
        <v>0.3</v>
      </c>
      <c r="H11" s="2">
        <f t="shared" si="0"/>
        <v>0.11700000000000001</v>
      </c>
      <c r="I11" s="2">
        <f t="shared" si="7"/>
        <v>0.3</v>
      </c>
      <c r="J11" s="2">
        <f t="shared" si="1"/>
        <v>0</v>
      </c>
      <c r="K11" s="3">
        <f t="shared" si="8"/>
        <v>0.3</v>
      </c>
      <c r="L11" s="3">
        <f t="shared" si="2"/>
        <v>0.11699999999999999</v>
      </c>
      <c r="M11" s="3">
        <f t="shared" si="9"/>
        <v>0.3</v>
      </c>
      <c r="N11" s="3">
        <f t="shared" si="10"/>
        <v>0</v>
      </c>
      <c r="O11" s="4">
        <f t="shared" si="3"/>
        <v>0.3</v>
      </c>
      <c r="P11" s="4">
        <f t="shared" si="11"/>
        <v>0.11699999999999999</v>
      </c>
      <c r="Q11" s="4">
        <f t="shared" si="12"/>
        <v>0.3</v>
      </c>
      <c r="R11" s="4">
        <f t="shared" si="13"/>
        <v>0</v>
      </c>
      <c r="S11">
        <f t="shared" si="4"/>
        <v>0.3</v>
      </c>
      <c r="T11">
        <f t="shared" si="5"/>
        <v>0.11699999999999999</v>
      </c>
      <c r="U11">
        <f t="shared" si="14"/>
        <v>0.3</v>
      </c>
      <c r="V11">
        <f t="shared" si="15"/>
        <v>0</v>
      </c>
    </row>
    <row r="12" spans="1:22" x14ac:dyDescent="0.25">
      <c r="A12" t="s">
        <v>32</v>
      </c>
      <c r="B12">
        <f>2*SUM(E24:I24)</f>
        <v>2.5</v>
      </c>
      <c r="D12" s="1">
        <v>0.4</v>
      </c>
      <c r="E12" s="1">
        <v>0.114</v>
      </c>
      <c r="F12" s="1">
        <v>0</v>
      </c>
      <c r="G12" s="2">
        <f t="shared" si="6"/>
        <v>0.4</v>
      </c>
      <c r="H12" s="2">
        <f t="shared" si="0"/>
        <v>0.114</v>
      </c>
      <c r="I12" s="2">
        <f t="shared" si="7"/>
        <v>0.4</v>
      </c>
      <c r="J12" s="2">
        <f t="shared" si="1"/>
        <v>0</v>
      </c>
      <c r="K12" s="3">
        <f t="shared" si="8"/>
        <v>0.4</v>
      </c>
      <c r="L12" s="3">
        <f t="shared" si="2"/>
        <v>0.11399999999999999</v>
      </c>
      <c r="M12" s="3">
        <f t="shared" si="9"/>
        <v>0.4</v>
      </c>
      <c r="N12" s="3">
        <f t="shared" si="10"/>
        <v>0</v>
      </c>
      <c r="O12" s="4">
        <f t="shared" ref="O12:O19" si="16">(D12-0.3)*(1-$B$6)/0.7+$B$6</f>
        <v>0.4</v>
      </c>
      <c r="P12" s="4">
        <f t="shared" si="11"/>
        <v>0.11399999999999999</v>
      </c>
      <c r="Q12" s="4">
        <f>(M12-$M$11)*(1-$B$6)/(1-$M$11)+$B$6</f>
        <v>0.4</v>
      </c>
      <c r="R12" s="4">
        <f t="shared" si="13"/>
        <v>0</v>
      </c>
      <c r="S12">
        <f t="shared" si="4"/>
        <v>0.4</v>
      </c>
      <c r="T12">
        <f t="shared" si="5"/>
        <v>0.11399999999999999</v>
      </c>
      <c r="U12">
        <f t="shared" si="14"/>
        <v>0.4</v>
      </c>
      <c r="V12">
        <f t="shared" si="15"/>
        <v>0</v>
      </c>
    </row>
    <row r="13" spans="1:22" x14ac:dyDescent="0.25">
      <c r="A13" t="s">
        <v>34</v>
      </c>
      <c r="B13">
        <v>150</v>
      </c>
      <c r="D13" s="1">
        <v>0.5</v>
      </c>
      <c r="E13" s="1">
        <v>0.1052</v>
      </c>
      <c r="F13" s="1">
        <v>0</v>
      </c>
      <c r="G13" s="2">
        <f t="shared" si="6"/>
        <v>0.5</v>
      </c>
      <c r="H13" s="2">
        <f t="shared" si="0"/>
        <v>0.1052</v>
      </c>
      <c r="I13" s="2">
        <f t="shared" si="7"/>
        <v>0.5</v>
      </c>
      <c r="J13" s="2">
        <f t="shared" si="1"/>
        <v>0</v>
      </c>
      <c r="K13" s="3">
        <f t="shared" si="8"/>
        <v>0.5</v>
      </c>
      <c r="L13" s="3">
        <f t="shared" si="2"/>
        <v>0.1052</v>
      </c>
      <c r="M13" s="3">
        <f t="shared" si="9"/>
        <v>0.5</v>
      </c>
      <c r="N13" s="3">
        <f t="shared" si="10"/>
        <v>0</v>
      </c>
      <c r="O13" s="4">
        <f t="shared" si="16"/>
        <v>0.5</v>
      </c>
      <c r="P13" s="4">
        <f t="shared" si="11"/>
        <v>0.1052</v>
      </c>
      <c r="Q13" s="4">
        <f t="shared" ref="Q13:Q19" si="17">(M13-$M$11)*(1-$B$6)/(1-$M$11)+$B$6</f>
        <v>0.5</v>
      </c>
      <c r="R13" s="4">
        <f t="shared" si="13"/>
        <v>0</v>
      </c>
      <c r="S13">
        <f t="shared" si="4"/>
        <v>0.5</v>
      </c>
      <c r="T13">
        <f t="shared" si="5"/>
        <v>0.1052</v>
      </c>
      <c r="U13">
        <f t="shared" si="14"/>
        <v>0.5</v>
      </c>
      <c r="V13">
        <f>(Q13*SIN($B$8))+(R13*COS($B$8))</f>
        <v>0</v>
      </c>
    </row>
    <row r="14" spans="1:22" x14ac:dyDescent="0.25">
      <c r="A14" t="s">
        <v>26</v>
      </c>
      <c r="B14">
        <f>B9*SQRT(B13/B12)</f>
        <v>19.364916731037084</v>
      </c>
      <c r="D14" s="1">
        <v>0.6</v>
      </c>
      <c r="E14" s="1">
        <v>9.1499999999999998E-2</v>
      </c>
      <c r="F14" s="1">
        <v>0</v>
      </c>
      <c r="G14" s="2">
        <f t="shared" si="6"/>
        <v>0.6</v>
      </c>
      <c r="H14" s="2">
        <f t="shared" si="0"/>
        <v>9.1499999999999998E-2</v>
      </c>
      <c r="I14" s="2">
        <f t="shared" si="7"/>
        <v>0.6</v>
      </c>
      <c r="J14" s="2">
        <f t="shared" si="1"/>
        <v>0</v>
      </c>
      <c r="K14" s="3">
        <f t="shared" si="8"/>
        <v>0.6</v>
      </c>
      <c r="L14" s="3">
        <f t="shared" si="2"/>
        <v>9.1499999999999998E-2</v>
      </c>
      <c r="M14" s="3">
        <f t="shared" si="9"/>
        <v>0.6</v>
      </c>
      <c r="N14" s="3">
        <f t="shared" si="10"/>
        <v>0</v>
      </c>
      <c r="O14" s="4">
        <f t="shared" si="16"/>
        <v>0.6</v>
      </c>
      <c r="P14" s="4">
        <f t="shared" si="11"/>
        <v>9.1499999999999998E-2</v>
      </c>
      <c r="Q14" s="4">
        <f t="shared" si="17"/>
        <v>0.6</v>
      </c>
      <c r="R14" s="4">
        <f t="shared" si="13"/>
        <v>0</v>
      </c>
      <c r="S14">
        <f t="shared" si="4"/>
        <v>0.6</v>
      </c>
      <c r="T14">
        <f t="shared" si="5"/>
        <v>9.1499999999999998E-2</v>
      </c>
      <c r="U14">
        <f t="shared" si="14"/>
        <v>0.6</v>
      </c>
      <c r="V14">
        <f t="shared" si="15"/>
        <v>0</v>
      </c>
    </row>
    <row r="15" spans="1:22" x14ac:dyDescent="0.25">
      <c r="A15" t="s">
        <v>36</v>
      </c>
      <c r="B15">
        <f>(B14^2)/B13</f>
        <v>2.5</v>
      </c>
      <c r="D15" s="1">
        <v>0.7</v>
      </c>
      <c r="E15" s="1">
        <v>7.3499999999999996E-2</v>
      </c>
      <c r="F15" s="1">
        <v>0</v>
      </c>
      <c r="G15" s="2">
        <f t="shared" si="6"/>
        <v>0.7</v>
      </c>
      <c r="H15" s="2">
        <f t="shared" si="0"/>
        <v>7.3499999999999996E-2</v>
      </c>
      <c r="I15" s="2">
        <f t="shared" si="7"/>
        <v>0.7</v>
      </c>
      <c r="J15" s="2">
        <f t="shared" si="1"/>
        <v>0</v>
      </c>
      <c r="K15" s="3">
        <f t="shared" si="8"/>
        <v>0.7</v>
      </c>
      <c r="L15" s="3">
        <f t="shared" si="2"/>
        <v>7.350000000000001E-2</v>
      </c>
      <c r="M15" s="3">
        <f t="shared" si="9"/>
        <v>0.7</v>
      </c>
      <c r="N15" s="3">
        <f t="shared" si="10"/>
        <v>0</v>
      </c>
      <c r="O15" s="4">
        <f t="shared" si="16"/>
        <v>0.7</v>
      </c>
      <c r="P15" s="4">
        <f t="shared" si="11"/>
        <v>7.350000000000001E-2</v>
      </c>
      <c r="Q15" s="4">
        <f t="shared" si="17"/>
        <v>0.7</v>
      </c>
      <c r="R15" s="4">
        <f t="shared" si="13"/>
        <v>0</v>
      </c>
      <c r="S15">
        <f t="shared" si="4"/>
        <v>0.7</v>
      </c>
      <c r="T15">
        <f t="shared" si="5"/>
        <v>7.350000000000001E-2</v>
      </c>
      <c r="U15">
        <f t="shared" si="14"/>
        <v>0.7</v>
      </c>
      <c r="V15">
        <f t="shared" si="15"/>
        <v>0</v>
      </c>
    </row>
    <row r="16" spans="1:22" x14ac:dyDescent="0.25">
      <c r="A16" t="s">
        <v>37</v>
      </c>
      <c r="B16">
        <v>20</v>
      </c>
      <c r="D16" s="1">
        <v>0.8</v>
      </c>
      <c r="E16" s="1">
        <v>5.2200000000000003E-2</v>
      </c>
      <c r="F16" s="1">
        <v>0</v>
      </c>
      <c r="G16" s="2">
        <f t="shared" si="6"/>
        <v>0.8</v>
      </c>
      <c r="H16" s="2">
        <f t="shared" si="0"/>
        <v>5.2200000000000003E-2</v>
      </c>
      <c r="I16" s="2">
        <f t="shared" si="7"/>
        <v>0.8</v>
      </c>
      <c r="J16" s="2">
        <f t="shared" si="1"/>
        <v>0</v>
      </c>
      <c r="K16" s="3">
        <f t="shared" si="8"/>
        <v>0.8</v>
      </c>
      <c r="L16" s="3">
        <f t="shared" si="2"/>
        <v>5.220000000000001E-2</v>
      </c>
      <c r="M16" s="3">
        <f t="shared" si="9"/>
        <v>0.8</v>
      </c>
      <c r="N16" s="3">
        <f t="shared" si="10"/>
        <v>0</v>
      </c>
      <c r="O16" s="4">
        <f t="shared" si="16"/>
        <v>0.8</v>
      </c>
      <c r="P16" s="4">
        <f t="shared" si="11"/>
        <v>5.220000000000001E-2</v>
      </c>
      <c r="Q16" s="4">
        <f t="shared" si="17"/>
        <v>0.8</v>
      </c>
      <c r="R16" s="4">
        <f t="shared" si="13"/>
        <v>0</v>
      </c>
      <c r="S16">
        <f t="shared" si="4"/>
        <v>0.8</v>
      </c>
      <c r="T16">
        <f t="shared" si="5"/>
        <v>5.220000000000001E-2</v>
      </c>
      <c r="U16">
        <f t="shared" si="14"/>
        <v>0.8</v>
      </c>
      <c r="V16">
        <f t="shared" si="15"/>
        <v>0</v>
      </c>
    </row>
    <row r="17" spans="1:22" x14ac:dyDescent="0.25">
      <c r="A17" t="s">
        <v>82</v>
      </c>
      <c r="B17">
        <f>SIN(B22)*B16</f>
        <v>18.973665961010276</v>
      </c>
      <c r="D17" s="1">
        <v>0.9</v>
      </c>
      <c r="E17" s="1">
        <v>2.8000000000000001E-2</v>
      </c>
      <c r="F17" s="1">
        <v>0</v>
      </c>
      <c r="G17" s="2">
        <f t="shared" si="6"/>
        <v>0.9</v>
      </c>
      <c r="H17" s="2">
        <f t="shared" si="0"/>
        <v>2.8000000000000001E-2</v>
      </c>
      <c r="I17" s="2">
        <f t="shared" si="7"/>
        <v>0.9</v>
      </c>
      <c r="J17" s="2">
        <f t="shared" si="1"/>
        <v>0</v>
      </c>
      <c r="K17" s="3">
        <f t="shared" si="8"/>
        <v>0.9</v>
      </c>
      <c r="L17" s="3">
        <f t="shared" si="2"/>
        <v>2.8000000000000001E-2</v>
      </c>
      <c r="M17" s="3">
        <f t="shared" si="9"/>
        <v>0.9</v>
      </c>
      <c r="N17" s="3">
        <f t="shared" si="10"/>
        <v>0</v>
      </c>
      <c r="O17" s="4">
        <f t="shared" si="16"/>
        <v>0.90000000000000013</v>
      </c>
      <c r="P17" s="4">
        <f t="shared" si="11"/>
        <v>2.8000000000000001E-2</v>
      </c>
      <c r="Q17" s="4">
        <f t="shared" si="17"/>
        <v>0.90000000000000013</v>
      </c>
      <c r="R17" s="4">
        <f t="shared" si="13"/>
        <v>0</v>
      </c>
      <c r="S17">
        <f t="shared" si="4"/>
        <v>0.90000000000000013</v>
      </c>
      <c r="T17">
        <f t="shared" si="5"/>
        <v>2.8000000000000001E-2</v>
      </c>
      <c r="U17">
        <f t="shared" si="14"/>
        <v>0.90000000000000013</v>
      </c>
      <c r="V17">
        <f t="shared" si="15"/>
        <v>0</v>
      </c>
    </row>
    <row r="18" spans="1:22" x14ac:dyDescent="0.25">
      <c r="A18" t="s">
        <v>38</v>
      </c>
      <c r="B18">
        <v>2</v>
      </c>
      <c r="D18" s="1">
        <v>0.95</v>
      </c>
      <c r="E18" s="1">
        <v>1.49E-2</v>
      </c>
      <c r="F18" s="1">
        <v>0</v>
      </c>
      <c r="G18" s="2">
        <f t="shared" si="6"/>
        <v>0.95</v>
      </c>
      <c r="H18" s="2">
        <f t="shared" si="0"/>
        <v>1.49E-2</v>
      </c>
      <c r="I18" s="2">
        <f t="shared" si="7"/>
        <v>0.95</v>
      </c>
      <c r="J18" s="2">
        <f t="shared" si="1"/>
        <v>0</v>
      </c>
      <c r="K18" s="3">
        <f t="shared" si="8"/>
        <v>0.95</v>
      </c>
      <c r="L18" s="3">
        <f t="shared" si="2"/>
        <v>1.49E-2</v>
      </c>
      <c r="M18" s="3">
        <f t="shared" si="9"/>
        <v>0.95</v>
      </c>
      <c r="N18" s="3">
        <f t="shared" si="10"/>
        <v>0</v>
      </c>
      <c r="O18" s="4">
        <f t="shared" si="16"/>
        <v>0.95</v>
      </c>
      <c r="P18" s="4">
        <f t="shared" si="11"/>
        <v>1.49E-2</v>
      </c>
      <c r="Q18" s="4">
        <f t="shared" si="17"/>
        <v>0.95</v>
      </c>
      <c r="R18" s="4">
        <f t="shared" si="13"/>
        <v>0</v>
      </c>
      <c r="S18">
        <f t="shared" si="4"/>
        <v>0.95</v>
      </c>
      <c r="T18">
        <f t="shared" si="5"/>
        <v>1.49E-2</v>
      </c>
      <c r="U18">
        <f t="shared" si="14"/>
        <v>0.95</v>
      </c>
      <c r="V18">
        <f t="shared" si="15"/>
        <v>0</v>
      </c>
    </row>
    <row r="19" spans="1:22" x14ac:dyDescent="0.25">
      <c r="A19" t="s">
        <v>43</v>
      </c>
      <c r="B19">
        <f>B14/B17</f>
        <v>1.0206207261596576</v>
      </c>
      <c r="D19" s="1">
        <v>1</v>
      </c>
      <c r="E19" s="1">
        <v>1.1999999999999999E-3</v>
      </c>
      <c r="F19" s="1">
        <v>0</v>
      </c>
      <c r="G19" s="2">
        <f t="shared" si="6"/>
        <v>1</v>
      </c>
      <c r="H19" s="2">
        <f t="shared" si="0"/>
        <v>1.1999999999999999E-3</v>
      </c>
      <c r="I19" s="2">
        <f t="shared" si="7"/>
        <v>1</v>
      </c>
      <c r="J19" s="2">
        <f t="shared" si="1"/>
        <v>0</v>
      </c>
      <c r="K19" s="3">
        <f t="shared" si="8"/>
        <v>1</v>
      </c>
      <c r="L19" s="3">
        <f t="shared" si="2"/>
        <v>1.1999999999999999E-3</v>
      </c>
      <c r="M19" s="3">
        <f t="shared" si="9"/>
        <v>1</v>
      </c>
      <c r="N19" s="3">
        <f t="shared" si="10"/>
        <v>0</v>
      </c>
      <c r="O19" s="4">
        <f t="shared" si="16"/>
        <v>1</v>
      </c>
      <c r="P19" s="4">
        <f t="shared" si="11"/>
        <v>1.1999999999999999E-3</v>
      </c>
      <c r="Q19" s="4">
        <f t="shared" si="17"/>
        <v>1</v>
      </c>
      <c r="R19" s="4">
        <f t="shared" si="13"/>
        <v>0</v>
      </c>
      <c r="S19">
        <f t="shared" si="4"/>
        <v>1</v>
      </c>
      <c r="T19">
        <f t="shared" si="5"/>
        <v>1.1999999999999999E-3</v>
      </c>
      <c r="U19">
        <f t="shared" si="14"/>
        <v>1</v>
      </c>
      <c r="V19">
        <f t="shared" si="15"/>
        <v>0</v>
      </c>
    </row>
    <row r="20" spans="1:22" x14ac:dyDescent="0.25">
      <c r="A20" t="s">
        <v>44</v>
      </c>
      <c r="B20">
        <f>B14/9</f>
        <v>2.1516574145596761</v>
      </c>
    </row>
    <row r="21" spans="1:22" x14ac:dyDescent="0.25">
      <c r="A21" t="s">
        <v>79</v>
      </c>
      <c r="B21">
        <v>3</v>
      </c>
    </row>
    <row r="22" spans="1:22" x14ac:dyDescent="0.25">
      <c r="A22" t="s">
        <v>80</v>
      </c>
      <c r="B22">
        <f>ATAN(B21)</f>
        <v>1.2490457723982544</v>
      </c>
      <c r="D22" t="s">
        <v>29</v>
      </c>
      <c r="E22">
        <v>1</v>
      </c>
      <c r="F22">
        <f>E22+1</f>
        <v>2</v>
      </c>
      <c r="G22">
        <f t="shared" ref="G22:I22" si="18">F22+1</f>
        <v>3</v>
      </c>
      <c r="H22">
        <f t="shared" si="18"/>
        <v>4</v>
      </c>
      <c r="I22">
        <f t="shared" si="18"/>
        <v>5</v>
      </c>
    </row>
    <row r="23" spans="1:22" x14ac:dyDescent="0.25">
      <c r="A23" t="s">
        <v>81</v>
      </c>
      <c r="B23">
        <v>1.5</v>
      </c>
      <c r="D23" t="s">
        <v>35</v>
      </c>
      <c r="E23">
        <f>SIN(ACOS((2*E22-1)*COS(ASIN($B$10))/$B$11))</f>
        <v>1</v>
      </c>
      <c r="F23">
        <f t="shared" ref="F23:I23" si="19">SIN(ACOS((2*F22-1)*COS(ASIN($B$10))/$B$11))</f>
        <v>1</v>
      </c>
      <c r="G23">
        <f t="shared" si="19"/>
        <v>1</v>
      </c>
      <c r="H23">
        <f t="shared" si="19"/>
        <v>1</v>
      </c>
      <c r="I23">
        <f t="shared" si="19"/>
        <v>1</v>
      </c>
    </row>
    <row r="24" spans="1:22" x14ac:dyDescent="0.25">
      <c r="A24" t="s">
        <v>85</v>
      </c>
      <c r="B24">
        <f>-COS(B22)*(B16+B23)</f>
        <v>-6.7988969693620156</v>
      </c>
      <c r="D24" t="s">
        <v>31</v>
      </c>
      <c r="E24">
        <f>E23*B9/18</f>
        <v>0.1388888888888889</v>
      </c>
      <c r="F24">
        <f>(E23+F23)*$B$9/18</f>
        <v>0.27777777777777779</v>
      </c>
      <c r="G24">
        <f t="shared" ref="G24:I24" si="20">(F23+G23)*$B$9/18</f>
        <v>0.27777777777777779</v>
      </c>
      <c r="H24">
        <f t="shared" si="20"/>
        <v>0.27777777777777779</v>
      </c>
      <c r="I24">
        <f t="shared" si="20"/>
        <v>0.27777777777777779</v>
      </c>
    </row>
    <row r="25" spans="1:22" x14ac:dyDescent="0.25">
      <c r="A25" t="s">
        <v>86</v>
      </c>
      <c r="B25">
        <f>-(SIN(B22)*B23)</f>
        <v>-1.4230249470757705</v>
      </c>
      <c r="D25" t="s">
        <v>30</v>
      </c>
      <c r="E25">
        <f>E23*SQRT($B$13/$B$12)</f>
        <v>7.745966692414834</v>
      </c>
      <c r="F25">
        <f t="shared" ref="F25:I25" si="21">F23*SQRT($B$13/$B$12)</f>
        <v>7.745966692414834</v>
      </c>
      <c r="G25">
        <f t="shared" si="21"/>
        <v>7.745966692414834</v>
      </c>
      <c r="H25">
        <f t="shared" si="21"/>
        <v>7.745966692414834</v>
      </c>
      <c r="I25">
        <f t="shared" si="21"/>
        <v>7.745966692414834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topLeftCell="B1" workbookViewId="0">
      <selection activeCell="AD22" sqref="AD22"/>
    </sheetView>
  </sheetViews>
  <sheetFormatPr defaultRowHeight="15" x14ac:dyDescent="0.25"/>
  <sheetData>
    <row r="1" spans="1:15" x14ac:dyDescent="0.25">
      <c r="H1" t="s">
        <v>40</v>
      </c>
      <c r="L1" s="1" t="s">
        <v>39</v>
      </c>
      <c r="M1" s="1"/>
      <c r="N1" s="1"/>
      <c r="O1" s="1"/>
    </row>
    <row r="2" spans="1:15" x14ac:dyDescent="0.25">
      <c r="A2" t="s">
        <v>41</v>
      </c>
      <c r="B2">
        <f>Sheet1!E25</f>
        <v>7.745966692414834</v>
      </c>
      <c r="D2" s="1">
        <f>Sheet1!O3</f>
        <v>0</v>
      </c>
      <c r="E2" s="1">
        <f>Sheet1!P3</f>
        <v>3.5000000000000003E-2</v>
      </c>
      <c r="F2" s="1">
        <f>Sheet1!Q3</f>
        <v>0</v>
      </c>
      <c r="G2" s="1">
        <f>Sheet1!R3</f>
        <v>3.5000000000000003E-2</v>
      </c>
      <c r="H2">
        <f>D2*$B$2</f>
        <v>0</v>
      </c>
      <c r="I2">
        <f t="shared" ref="I2:K17" si="0">E2*$B$2</f>
        <v>0.2711088342345192</v>
      </c>
      <c r="J2">
        <f t="shared" si="0"/>
        <v>0</v>
      </c>
      <c r="K2">
        <f t="shared" si="0"/>
        <v>0.2711088342345192</v>
      </c>
      <c r="L2" s="1">
        <f>D2*$B$3</f>
        <v>0</v>
      </c>
      <c r="M2" s="1">
        <f t="shared" ref="M2:O17" si="1">E2*$B$3</f>
        <v>0.2711088342345192</v>
      </c>
      <c r="N2" s="1">
        <f t="shared" si="1"/>
        <v>0</v>
      </c>
      <c r="O2" s="1">
        <f t="shared" si="1"/>
        <v>0.2711088342345192</v>
      </c>
    </row>
    <row r="3" spans="1:15" x14ac:dyDescent="0.25">
      <c r="A3" t="s">
        <v>42</v>
      </c>
      <c r="B3">
        <f>Sheet1!E25</f>
        <v>7.745966692414834</v>
      </c>
      <c r="D3" s="1">
        <f>Sheet1!O4</f>
        <v>1.2500000000000001E-2</v>
      </c>
      <c r="E3" s="1">
        <f>Sheet1!P4</f>
        <v>5.45E-2</v>
      </c>
      <c r="F3" s="1">
        <f>Sheet1!Q4</f>
        <v>1.2500000000000001E-2</v>
      </c>
      <c r="G3" s="1">
        <f>Sheet1!R4</f>
        <v>1.9300000000000001E-2</v>
      </c>
      <c r="H3">
        <f t="shared" ref="H3:H18" si="2">D3*$B$2</f>
        <v>9.6824583655185426E-2</v>
      </c>
      <c r="I3">
        <f t="shared" si="0"/>
        <v>0.42215518473660846</v>
      </c>
      <c r="J3">
        <f t="shared" si="0"/>
        <v>9.6824583655185426E-2</v>
      </c>
      <c r="K3">
        <f t="shared" si="0"/>
        <v>0.14949715716360631</v>
      </c>
      <c r="L3" s="1">
        <f t="shared" ref="L3:L18" si="3">D3*$B$3</f>
        <v>9.6824583655185426E-2</v>
      </c>
      <c r="M3" s="1">
        <f t="shared" si="1"/>
        <v>0.42215518473660846</v>
      </c>
      <c r="N3" s="1">
        <f t="shared" si="1"/>
        <v>9.6824583655185426E-2</v>
      </c>
      <c r="O3" s="1">
        <f t="shared" si="1"/>
        <v>0.14949715716360631</v>
      </c>
    </row>
    <row r="4" spans="1:15" x14ac:dyDescent="0.25">
      <c r="A4" t="s">
        <v>45</v>
      </c>
      <c r="B4">
        <f>ATAN((Sheet1!B20-Sheet1!B18)/2/Sheet1!B17)</f>
        <v>3.996502506283031E-3</v>
      </c>
      <c r="D4" s="1">
        <f>Sheet1!O5</f>
        <v>2.5000000000000001E-2</v>
      </c>
      <c r="E4" s="1">
        <f>Sheet1!P5</f>
        <v>6.5000000000000002E-2</v>
      </c>
      <c r="F4" s="1">
        <f>Sheet1!Q5</f>
        <v>2.5000000000000001E-2</v>
      </c>
      <c r="G4" s="1">
        <f>Sheet1!R5</f>
        <v>1.4699999999999998E-2</v>
      </c>
      <c r="H4">
        <f t="shared" si="2"/>
        <v>0.19364916731037085</v>
      </c>
      <c r="I4">
        <f t="shared" si="0"/>
        <v>0.50348783500696426</v>
      </c>
      <c r="J4">
        <f t="shared" si="0"/>
        <v>0.19364916731037085</v>
      </c>
      <c r="K4">
        <f t="shared" si="0"/>
        <v>0.11386571037849805</v>
      </c>
      <c r="L4" s="1">
        <f t="shared" si="3"/>
        <v>0.19364916731037085</v>
      </c>
      <c r="M4" s="1">
        <f t="shared" si="1"/>
        <v>0.50348783500696426</v>
      </c>
      <c r="N4" s="1">
        <f t="shared" si="1"/>
        <v>0.19364916731037085</v>
      </c>
      <c r="O4" s="1">
        <f t="shared" si="1"/>
        <v>0.11386571037849805</v>
      </c>
    </row>
    <row r="5" spans="1:15" x14ac:dyDescent="0.25">
      <c r="D5" s="1">
        <f>Sheet1!O6</f>
        <v>0.05</v>
      </c>
      <c r="E5" s="1">
        <f>Sheet1!P6</f>
        <v>7.8999999999999987E-2</v>
      </c>
      <c r="F5" s="1">
        <f>Sheet1!Q6</f>
        <v>0.05</v>
      </c>
      <c r="G5" s="1">
        <f>Sheet1!R6</f>
        <v>9.2999999999999992E-3</v>
      </c>
      <c r="H5">
        <f t="shared" si="2"/>
        <v>0.3872983346207417</v>
      </c>
      <c r="I5">
        <f t="shared" si="0"/>
        <v>0.61193136870077181</v>
      </c>
      <c r="J5">
        <f t="shared" si="0"/>
        <v>0.3872983346207417</v>
      </c>
      <c r="K5">
        <f t="shared" si="0"/>
        <v>7.2037490239457949E-2</v>
      </c>
      <c r="L5" s="1">
        <f t="shared" si="3"/>
        <v>0.3872983346207417</v>
      </c>
      <c r="M5" s="1">
        <f t="shared" si="1"/>
        <v>0.61193136870077181</v>
      </c>
      <c r="N5" s="1">
        <f t="shared" si="1"/>
        <v>0.3872983346207417</v>
      </c>
      <c r="O5" s="1">
        <f t="shared" si="1"/>
        <v>7.2037490239457949E-2</v>
      </c>
    </row>
    <row r="6" spans="1:15" x14ac:dyDescent="0.25">
      <c r="D6" s="1">
        <f>Sheet1!O7</f>
        <v>7.4999999999999997E-2</v>
      </c>
      <c r="E6" s="1">
        <f>Sheet1!P7</f>
        <v>8.8499999999999995E-2</v>
      </c>
      <c r="F6" s="1">
        <f>Sheet1!Q7</f>
        <v>7.4999999999999997E-2</v>
      </c>
      <c r="G6" s="1">
        <f>Sheet1!R7</f>
        <v>6.3E-3</v>
      </c>
      <c r="H6">
        <f t="shared" si="2"/>
        <v>0.58094750193111255</v>
      </c>
      <c r="I6">
        <f t="shared" si="0"/>
        <v>0.68551805227871276</v>
      </c>
      <c r="J6">
        <f t="shared" si="0"/>
        <v>0.58094750193111255</v>
      </c>
      <c r="K6">
        <f t="shared" si="0"/>
        <v>4.8799590162213455E-2</v>
      </c>
      <c r="L6" s="1">
        <f t="shared" si="3"/>
        <v>0.58094750193111255</v>
      </c>
      <c r="M6" s="1">
        <f t="shared" si="1"/>
        <v>0.68551805227871276</v>
      </c>
      <c r="N6" s="1">
        <f t="shared" si="1"/>
        <v>0.58094750193111255</v>
      </c>
      <c r="O6" s="1">
        <f t="shared" si="1"/>
        <v>4.8799590162213455E-2</v>
      </c>
    </row>
    <row r="7" spans="1:15" x14ac:dyDescent="0.25">
      <c r="D7" s="1">
        <f>Sheet1!O8</f>
        <v>0.1</v>
      </c>
      <c r="E7" s="1">
        <f>Sheet1!P8</f>
        <v>9.6000000000000002E-2</v>
      </c>
      <c r="F7" s="1">
        <f>Sheet1!Q8</f>
        <v>0.1</v>
      </c>
      <c r="G7" s="1">
        <f>Sheet1!R8</f>
        <v>4.1999999999999997E-3</v>
      </c>
      <c r="H7">
        <f t="shared" si="2"/>
        <v>0.7745966692414834</v>
      </c>
      <c r="I7">
        <f t="shared" si="0"/>
        <v>0.74361280247182404</v>
      </c>
      <c r="J7">
        <f t="shared" si="0"/>
        <v>0.7745966692414834</v>
      </c>
      <c r="K7">
        <f t="shared" si="0"/>
        <v>3.2533060108142303E-2</v>
      </c>
      <c r="L7" s="1">
        <f t="shared" si="3"/>
        <v>0.7745966692414834</v>
      </c>
      <c r="M7" s="1">
        <f t="shared" si="1"/>
        <v>0.74361280247182404</v>
      </c>
      <c r="N7" s="1">
        <f t="shared" si="1"/>
        <v>0.7745966692414834</v>
      </c>
      <c r="O7" s="1">
        <f t="shared" si="1"/>
        <v>3.2533060108142303E-2</v>
      </c>
    </row>
    <row r="8" spans="1:15" x14ac:dyDescent="0.25">
      <c r="D8" s="1">
        <f>Sheet1!O9</f>
        <v>0.15</v>
      </c>
      <c r="E8" s="1">
        <f>Sheet1!P9</f>
        <v>0.1069</v>
      </c>
      <c r="F8" s="1">
        <f>Sheet1!Q9</f>
        <v>0.15</v>
      </c>
      <c r="G8" s="1">
        <f>Sheet1!R9</f>
        <v>1.5E-3</v>
      </c>
      <c r="H8">
        <f t="shared" si="2"/>
        <v>1.1618950038622251</v>
      </c>
      <c r="I8">
        <f t="shared" si="0"/>
        <v>0.82804383941914572</v>
      </c>
      <c r="J8">
        <f t="shared" si="0"/>
        <v>1.1618950038622251</v>
      </c>
      <c r="K8">
        <f t="shared" si="0"/>
        <v>1.1618950038622251E-2</v>
      </c>
      <c r="L8" s="1">
        <f t="shared" si="3"/>
        <v>1.1618950038622251</v>
      </c>
      <c r="M8" s="1">
        <f t="shared" si="1"/>
        <v>0.82804383941914572</v>
      </c>
      <c r="N8" s="1">
        <f t="shared" si="1"/>
        <v>1.1618950038622251</v>
      </c>
      <c r="O8" s="1">
        <f t="shared" si="1"/>
        <v>1.1618950038622251E-2</v>
      </c>
    </row>
    <row r="9" spans="1:15" x14ac:dyDescent="0.25">
      <c r="D9" s="1">
        <f>Sheet1!O10</f>
        <v>0.2</v>
      </c>
      <c r="E9" s="1">
        <f>Sheet1!P10</f>
        <v>0.11360000000000003</v>
      </c>
      <c r="F9" s="1">
        <f>Sheet1!Q10</f>
        <v>0.2</v>
      </c>
      <c r="G9" s="1">
        <f>Sheet1!R10</f>
        <v>2.9999999999999997E-4</v>
      </c>
      <c r="H9">
        <f t="shared" si="2"/>
        <v>1.5491933384829668</v>
      </c>
      <c r="I9">
        <f t="shared" si="0"/>
        <v>0.87994181625832546</v>
      </c>
      <c r="J9">
        <f t="shared" si="0"/>
        <v>1.5491933384829668</v>
      </c>
      <c r="K9">
        <f t="shared" si="0"/>
        <v>2.32379000772445E-3</v>
      </c>
      <c r="L9" s="1">
        <f t="shared" si="3"/>
        <v>1.5491933384829668</v>
      </c>
      <c r="M9" s="1">
        <f t="shared" si="1"/>
        <v>0.87994181625832546</v>
      </c>
      <c r="N9" s="1">
        <f t="shared" si="1"/>
        <v>1.5491933384829668</v>
      </c>
      <c r="O9" s="1">
        <f t="shared" si="1"/>
        <v>2.32379000772445E-3</v>
      </c>
    </row>
    <row r="10" spans="1:15" x14ac:dyDescent="0.25">
      <c r="D10" s="1">
        <f>Sheet1!O11</f>
        <v>0.3</v>
      </c>
      <c r="E10" s="1">
        <f>Sheet1!P11</f>
        <v>0.11699999999999999</v>
      </c>
      <c r="F10" s="1">
        <f>Sheet1!Q11</f>
        <v>0.3</v>
      </c>
      <c r="G10" s="1">
        <f>Sheet1!R11</f>
        <v>0</v>
      </c>
      <c r="H10">
        <f t="shared" si="2"/>
        <v>2.3237900077244502</v>
      </c>
      <c r="I10">
        <f t="shared" si="0"/>
        <v>0.90627810301253553</v>
      </c>
      <c r="J10">
        <f t="shared" si="0"/>
        <v>2.3237900077244502</v>
      </c>
      <c r="K10">
        <f t="shared" si="0"/>
        <v>0</v>
      </c>
      <c r="L10" s="1">
        <f t="shared" si="3"/>
        <v>2.3237900077244502</v>
      </c>
      <c r="M10" s="1">
        <f t="shared" si="1"/>
        <v>0.90627810301253553</v>
      </c>
      <c r="N10" s="1">
        <f t="shared" si="1"/>
        <v>2.3237900077244502</v>
      </c>
      <c r="O10" s="1">
        <f t="shared" si="1"/>
        <v>0</v>
      </c>
    </row>
    <row r="11" spans="1:15" x14ac:dyDescent="0.25">
      <c r="D11" s="1">
        <f>Sheet1!O12</f>
        <v>0.4</v>
      </c>
      <c r="E11" s="1">
        <f>Sheet1!P12</f>
        <v>0.11399999999999999</v>
      </c>
      <c r="F11" s="1">
        <f>Sheet1!Q12</f>
        <v>0.4</v>
      </c>
      <c r="G11" s="1">
        <f>Sheet1!R12</f>
        <v>0</v>
      </c>
      <c r="H11">
        <f t="shared" si="2"/>
        <v>3.0983866769659336</v>
      </c>
      <c r="I11">
        <f t="shared" si="0"/>
        <v>0.88304020293529095</v>
      </c>
      <c r="J11">
        <f t="shared" si="0"/>
        <v>3.0983866769659336</v>
      </c>
      <c r="K11">
        <f t="shared" si="0"/>
        <v>0</v>
      </c>
      <c r="L11" s="1">
        <f t="shared" si="3"/>
        <v>3.0983866769659336</v>
      </c>
      <c r="M11" s="1">
        <f t="shared" si="1"/>
        <v>0.88304020293529095</v>
      </c>
      <c r="N11" s="1">
        <f t="shared" si="1"/>
        <v>3.0983866769659336</v>
      </c>
      <c r="O11" s="1">
        <f t="shared" si="1"/>
        <v>0</v>
      </c>
    </row>
    <row r="12" spans="1:15" x14ac:dyDescent="0.25">
      <c r="D12" s="1">
        <f>Sheet1!O13</f>
        <v>0.5</v>
      </c>
      <c r="E12" s="1">
        <f>Sheet1!P13</f>
        <v>0.1052</v>
      </c>
      <c r="F12" s="1">
        <f>Sheet1!Q13</f>
        <v>0.5</v>
      </c>
      <c r="G12" s="1">
        <f>Sheet1!R13</f>
        <v>0</v>
      </c>
      <c r="H12">
        <f t="shared" si="2"/>
        <v>3.872983346207417</v>
      </c>
      <c r="I12">
        <f t="shared" si="0"/>
        <v>0.81487569604204058</v>
      </c>
      <c r="J12">
        <f t="shared" si="0"/>
        <v>3.872983346207417</v>
      </c>
      <c r="K12">
        <f t="shared" si="0"/>
        <v>0</v>
      </c>
      <c r="L12" s="1">
        <f t="shared" si="3"/>
        <v>3.872983346207417</v>
      </c>
      <c r="M12" s="1">
        <f t="shared" si="1"/>
        <v>0.81487569604204058</v>
      </c>
      <c r="N12" s="1">
        <f t="shared" si="1"/>
        <v>3.872983346207417</v>
      </c>
      <c r="O12" s="1">
        <f t="shared" si="1"/>
        <v>0</v>
      </c>
    </row>
    <row r="13" spans="1:15" x14ac:dyDescent="0.25">
      <c r="D13" s="1">
        <f>Sheet1!O14</f>
        <v>0.6</v>
      </c>
      <c r="E13" s="1">
        <f>Sheet1!P14</f>
        <v>9.1499999999999998E-2</v>
      </c>
      <c r="F13" s="1">
        <f>Sheet1!Q14</f>
        <v>0.6</v>
      </c>
      <c r="G13" s="1">
        <f>Sheet1!R14</f>
        <v>0</v>
      </c>
      <c r="H13">
        <f t="shared" si="2"/>
        <v>4.6475800154489004</v>
      </c>
      <c r="I13">
        <f t="shared" si="0"/>
        <v>0.70875595235595734</v>
      </c>
      <c r="J13">
        <f t="shared" si="0"/>
        <v>4.6475800154489004</v>
      </c>
      <c r="K13">
        <f t="shared" si="0"/>
        <v>0</v>
      </c>
      <c r="L13" s="1">
        <f t="shared" si="3"/>
        <v>4.6475800154489004</v>
      </c>
      <c r="M13" s="1">
        <f t="shared" si="1"/>
        <v>0.70875595235595734</v>
      </c>
      <c r="N13" s="1">
        <f t="shared" si="1"/>
        <v>4.6475800154489004</v>
      </c>
      <c r="O13" s="1">
        <f t="shared" si="1"/>
        <v>0</v>
      </c>
    </row>
    <row r="14" spans="1:15" x14ac:dyDescent="0.25">
      <c r="D14" s="1">
        <f>Sheet1!O15</f>
        <v>0.7</v>
      </c>
      <c r="E14" s="1">
        <f>Sheet1!P15</f>
        <v>7.350000000000001E-2</v>
      </c>
      <c r="F14" s="1">
        <f>Sheet1!Q15</f>
        <v>0.7</v>
      </c>
      <c r="G14" s="1">
        <f>Sheet1!R15</f>
        <v>0</v>
      </c>
      <c r="H14">
        <f t="shared" si="2"/>
        <v>5.4221766846903838</v>
      </c>
      <c r="I14">
        <f t="shared" si="0"/>
        <v>0.56932855189249043</v>
      </c>
      <c r="J14">
        <f t="shared" si="0"/>
        <v>5.4221766846903838</v>
      </c>
      <c r="K14">
        <f t="shared" si="0"/>
        <v>0</v>
      </c>
      <c r="L14" s="1">
        <f t="shared" si="3"/>
        <v>5.4221766846903838</v>
      </c>
      <c r="M14" s="1">
        <f t="shared" si="1"/>
        <v>0.56932855189249043</v>
      </c>
      <c r="N14" s="1">
        <f t="shared" si="1"/>
        <v>5.4221766846903838</v>
      </c>
      <c r="O14" s="1">
        <f t="shared" si="1"/>
        <v>0</v>
      </c>
    </row>
    <row r="15" spans="1:15" x14ac:dyDescent="0.25">
      <c r="D15" s="1">
        <f>Sheet1!O16</f>
        <v>0.8</v>
      </c>
      <c r="E15" s="1">
        <f>Sheet1!P16</f>
        <v>5.220000000000001E-2</v>
      </c>
      <c r="F15" s="1">
        <f>Sheet1!Q16</f>
        <v>0.8</v>
      </c>
      <c r="G15" s="1">
        <f>Sheet1!R16</f>
        <v>0</v>
      </c>
      <c r="H15">
        <f t="shared" si="2"/>
        <v>6.1967733539318672</v>
      </c>
      <c r="I15">
        <f t="shared" si="0"/>
        <v>0.40433946134405441</v>
      </c>
      <c r="J15">
        <f t="shared" si="0"/>
        <v>6.1967733539318672</v>
      </c>
      <c r="K15">
        <f t="shared" si="0"/>
        <v>0</v>
      </c>
      <c r="L15" s="1">
        <f t="shared" si="3"/>
        <v>6.1967733539318672</v>
      </c>
      <c r="M15" s="1">
        <f t="shared" si="1"/>
        <v>0.40433946134405441</v>
      </c>
      <c r="N15" s="1">
        <f t="shared" si="1"/>
        <v>6.1967733539318672</v>
      </c>
      <c r="O15" s="1">
        <f t="shared" si="1"/>
        <v>0</v>
      </c>
    </row>
    <row r="16" spans="1:15" x14ac:dyDescent="0.25">
      <c r="D16" s="1">
        <f>Sheet1!O17</f>
        <v>0.90000000000000013</v>
      </c>
      <c r="E16" s="1">
        <f>Sheet1!P17</f>
        <v>2.8000000000000001E-2</v>
      </c>
      <c r="F16" s="1">
        <f>Sheet1!Q17</f>
        <v>0.90000000000000013</v>
      </c>
      <c r="G16" s="1">
        <f>Sheet1!R17</f>
        <v>0</v>
      </c>
      <c r="H16">
        <f t="shared" si="2"/>
        <v>6.9713700231733515</v>
      </c>
      <c r="I16">
        <f t="shared" si="0"/>
        <v>0.21688706738761535</v>
      </c>
      <c r="J16">
        <f t="shared" si="0"/>
        <v>6.9713700231733515</v>
      </c>
      <c r="K16">
        <f t="shared" si="0"/>
        <v>0</v>
      </c>
      <c r="L16" s="1">
        <f t="shared" si="3"/>
        <v>6.9713700231733515</v>
      </c>
      <c r="M16" s="1">
        <f t="shared" si="1"/>
        <v>0.21688706738761535</v>
      </c>
      <c r="N16" s="1">
        <f t="shared" si="1"/>
        <v>6.9713700231733515</v>
      </c>
      <c r="O16" s="1">
        <f t="shared" si="1"/>
        <v>0</v>
      </c>
    </row>
    <row r="17" spans="4:30" x14ac:dyDescent="0.25">
      <c r="D17" s="1">
        <f>Sheet1!O18</f>
        <v>0.95</v>
      </c>
      <c r="E17" s="1">
        <f>Sheet1!P18</f>
        <v>1.49E-2</v>
      </c>
      <c r="F17" s="1">
        <f>Sheet1!Q18</f>
        <v>0.95</v>
      </c>
      <c r="G17" s="1">
        <f>Sheet1!R18</f>
        <v>0</v>
      </c>
      <c r="H17">
        <f t="shared" si="2"/>
        <v>7.3586683577940919</v>
      </c>
      <c r="I17">
        <f t="shared" si="0"/>
        <v>0.11541490371698103</v>
      </c>
      <c r="J17">
        <f t="shared" si="0"/>
        <v>7.3586683577940919</v>
      </c>
      <c r="K17">
        <f t="shared" si="0"/>
        <v>0</v>
      </c>
      <c r="L17" s="1">
        <f t="shared" si="3"/>
        <v>7.3586683577940919</v>
      </c>
      <c r="M17" s="1">
        <f t="shared" si="1"/>
        <v>0.11541490371698103</v>
      </c>
      <c r="N17" s="1">
        <f t="shared" si="1"/>
        <v>7.3586683577940919</v>
      </c>
      <c r="O17" s="1">
        <f t="shared" si="1"/>
        <v>0</v>
      </c>
    </row>
    <row r="18" spans="4:30" x14ac:dyDescent="0.25">
      <c r="D18" s="1">
        <f>Sheet1!O19</f>
        <v>1</v>
      </c>
      <c r="E18" s="1">
        <f>Sheet1!P19</f>
        <v>1.1999999999999999E-3</v>
      </c>
      <c r="F18" s="1">
        <f>Sheet1!Q19</f>
        <v>1</v>
      </c>
      <c r="G18" s="1">
        <f>Sheet1!R19</f>
        <v>0</v>
      </c>
      <c r="H18">
        <f t="shared" si="2"/>
        <v>7.745966692414834</v>
      </c>
      <c r="I18">
        <f t="shared" ref="I18" si="4">E18*$B$2</f>
        <v>9.2951600308978002E-3</v>
      </c>
      <c r="J18">
        <f t="shared" ref="J18" si="5">F18*$B$2</f>
        <v>7.745966692414834</v>
      </c>
      <c r="K18">
        <f t="shared" ref="K18" si="6">G18*$B$2</f>
        <v>0</v>
      </c>
      <c r="L18" s="1">
        <f t="shared" si="3"/>
        <v>7.745966692414834</v>
      </c>
      <c r="M18" s="1">
        <f t="shared" ref="M18" si="7">E18*$B$3</f>
        <v>9.2951600308978002E-3</v>
      </c>
      <c r="N18" s="1">
        <f t="shared" ref="N18" si="8">F18*$B$3</f>
        <v>7.745966692414834</v>
      </c>
      <c r="O18" s="1">
        <f t="shared" ref="O18" si="9">G18*$B$3</f>
        <v>0</v>
      </c>
    </row>
    <row r="21" spans="4:30" x14ac:dyDescent="0.25">
      <c r="D21" t="s">
        <v>46</v>
      </c>
      <c r="L21" t="s">
        <v>83</v>
      </c>
      <c r="N21" t="s">
        <v>84</v>
      </c>
      <c r="P21" t="s">
        <v>83</v>
      </c>
      <c r="S21" t="s">
        <v>84</v>
      </c>
      <c r="V21" t="s">
        <v>47</v>
      </c>
      <c r="W21" t="s">
        <v>1</v>
      </c>
      <c r="X21" t="s">
        <v>48</v>
      </c>
      <c r="Y21" t="s">
        <v>2</v>
      </c>
      <c r="AB21" t="s">
        <v>0</v>
      </c>
      <c r="AC21" t="s">
        <v>90</v>
      </c>
      <c r="AD21" t="s">
        <v>91</v>
      </c>
    </row>
    <row r="22" spans="4:30" x14ac:dyDescent="0.25">
      <c r="D22">
        <f>Sheet1!S3</f>
        <v>0</v>
      </c>
      <c r="E22">
        <f>Sheet1!T3</f>
        <v>3.5000000000000003E-2</v>
      </c>
      <c r="F22">
        <f>Sheet1!U3</f>
        <v>0</v>
      </c>
      <c r="G22">
        <f>Sheet1!V3</f>
        <v>3.5000000000000003E-2</v>
      </c>
      <c r="H22" s="1">
        <f>D22*$B$2</f>
        <v>0</v>
      </c>
      <c r="I22" s="1">
        <f t="shared" ref="I22:K37" si="10">E22*$B$2</f>
        <v>0.2711088342345192</v>
      </c>
      <c r="J22" s="1">
        <f t="shared" si="10"/>
        <v>0</v>
      </c>
      <c r="K22" s="1">
        <f t="shared" si="10"/>
        <v>0.2711088342345192</v>
      </c>
      <c r="L22">
        <f>H22-(0.25*$J$38)</f>
        <v>-1.9364916731037085</v>
      </c>
      <c r="M22">
        <f>I22-(0.25*$K$38)+Sheet1!$B$17</f>
        <v>19.244774795244794</v>
      </c>
      <c r="N22">
        <f>J22-(0.25*$J$38)</f>
        <v>-1.9364916731037085</v>
      </c>
      <c r="O22">
        <f>K22-(0.25*$K$38)+Sheet1!$B$17</f>
        <v>19.244774795244794</v>
      </c>
      <c r="P22" s="4">
        <f>L22</f>
        <v>-1.9364916731037085</v>
      </c>
      <c r="Q22" s="4">
        <f>M22*COS($B$4)</f>
        <v>19.244621106367202</v>
      </c>
      <c r="R22" s="4">
        <f>M22*SIN($B$4)+(Sheet1!$B$18/2)</f>
        <v>1.0769115859626113</v>
      </c>
      <c r="S22">
        <f>N22</f>
        <v>-1.9364916731037085</v>
      </c>
      <c r="T22">
        <f>O22*COS($B$4)</f>
        <v>19.244621106367202</v>
      </c>
      <c r="U22">
        <f>O22*SIN($B$4)+(Sheet1!$B$18/2)</f>
        <v>1.0769115859626113</v>
      </c>
      <c r="V22" s="3">
        <v>0</v>
      </c>
      <c r="W22" s="3">
        <f>R22*2</f>
        <v>2.1538231719252225</v>
      </c>
      <c r="X22" s="1">
        <v>0</v>
      </c>
      <c r="Y22" s="1">
        <f>U22*2</f>
        <v>2.1538231719252225</v>
      </c>
      <c r="AA22" t="s">
        <v>87</v>
      </c>
      <c r="AB22">
        <f>N22</f>
        <v>-1.9364916731037085</v>
      </c>
      <c r="AC22">
        <f>O22</f>
        <v>19.244774795244794</v>
      </c>
      <c r="AD22">
        <f>SQRT(((AB22-Sheet1!$B$24)^2)+((AC22-Sheet1!$B$25)^2))</f>
        <v>21.232073178419174</v>
      </c>
    </row>
    <row r="23" spans="4:30" x14ac:dyDescent="0.25">
      <c r="D23">
        <f>Sheet1!S4</f>
        <v>1.2500000000000001E-2</v>
      </c>
      <c r="E23">
        <f>Sheet1!T4</f>
        <v>5.45E-2</v>
      </c>
      <c r="F23">
        <f>Sheet1!U4</f>
        <v>1.2500000000000001E-2</v>
      </c>
      <c r="G23">
        <f>Sheet1!V4</f>
        <v>1.9300000000000001E-2</v>
      </c>
      <c r="H23" s="1">
        <f t="shared" ref="H23:H38" si="11">D23*$B$2</f>
        <v>9.6824583655185426E-2</v>
      </c>
      <c r="I23" s="1">
        <f t="shared" si="10"/>
        <v>0.42215518473660846</v>
      </c>
      <c r="J23" s="1">
        <f t="shared" si="10"/>
        <v>9.6824583655185426E-2</v>
      </c>
      <c r="K23" s="1">
        <f t="shared" si="10"/>
        <v>0.14949715716360631</v>
      </c>
      <c r="L23">
        <f t="shared" ref="L23:L38" si="12">H23-(0.25*$J$38)</f>
        <v>-1.8396670894485232</v>
      </c>
      <c r="M23">
        <f>I23-(0.25*$K$38)+Sheet1!$B$17</f>
        <v>19.395821145746886</v>
      </c>
      <c r="N23">
        <f t="shared" ref="N23:N38" si="13">J23-(0.25*$J$38)</f>
        <v>-1.8396670894485232</v>
      </c>
      <c r="O23">
        <f>K23-(0.25*$K$38)+Sheet1!$B$17</f>
        <v>19.123163118173881</v>
      </c>
      <c r="P23" s="4">
        <f t="shared" ref="P23:P38" si="14">L23</f>
        <v>-1.8396670894485232</v>
      </c>
      <c r="Q23" s="4">
        <f t="shared" ref="Q23:Q38" si="15">M23*COS($B$4)</f>
        <v>19.395666250612308</v>
      </c>
      <c r="R23" s="4">
        <f>M23*SIN($B$4)+(Sheet1!$B$18/2)</f>
        <v>1.0775152414740206</v>
      </c>
      <c r="S23">
        <f t="shared" ref="S23:S38" si="16">N23</f>
        <v>-1.8396670894485232</v>
      </c>
      <c r="T23">
        <f t="shared" ref="T23:T38" si="17">O23*COS($B$4)</f>
        <v>19.123010400487814</v>
      </c>
      <c r="U23">
        <f>O23*SIN($B$4)+(Sheet1!$B$18/2)</f>
        <v>1.0764255658841944</v>
      </c>
      <c r="V23" s="3">
        <f>SQRT(((P23-P22)^2)+((Q23-Q22)^2))+V22</f>
        <v>0.17941470285354258</v>
      </c>
      <c r="W23" s="3">
        <f t="shared" ref="W23:W38" si="18">R23*2</f>
        <v>2.1550304829480411</v>
      </c>
      <c r="X23" s="1">
        <f>SQRT(((S23-S22)^2)+((T23-T22)^2))+X22</f>
        <v>0.15544826722894933</v>
      </c>
      <c r="Y23" s="1">
        <f t="shared" ref="Y23:Y38" si="19">U23*2</f>
        <v>2.1528511317683887</v>
      </c>
      <c r="AA23" t="s">
        <v>26</v>
      </c>
      <c r="AB23">
        <f>(N29+N30)/2</f>
        <v>0</v>
      </c>
      <c r="AC23">
        <f>(O29+O30)/2</f>
        <v>18.974827856014137</v>
      </c>
      <c r="AD23">
        <f>SQRT(((AB23-Sheet1!$B$24)^2)+((AC23-Sheet1!$B$25)^2))</f>
        <v>21.501102273523628</v>
      </c>
    </row>
    <row r="24" spans="4:30" x14ac:dyDescent="0.25">
      <c r="D24">
        <f>Sheet1!S5</f>
        <v>2.5000000000000001E-2</v>
      </c>
      <c r="E24">
        <f>Sheet1!T5</f>
        <v>6.5000000000000002E-2</v>
      </c>
      <c r="F24">
        <f>Sheet1!U5</f>
        <v>2.5000000000000001E-2</v>
      </c>
      <c r="G24">
        <f>Sheet1!V5</f>
        <v>1.4699999999999998E-2</v>
      </c>
      <c r="H24" s="1">
        <f t="shared" si="11"/>
        <v>0.19364916731037085</v>
      </c>
      <c r="I24" s="1">
        <f t="shared" si="10"/>
        <v>0.50348783500696426</v>
      </c>
      <c r="J24" s="1">
        <f t="shared" si="10"/>
        <v>0.19364916731037085</v>
      </c>
      <c r="K24" s="1">
        <f t="shared" si="10"/>
        <v>0.11386571037849805</v>
      </c>
      <c r="L24">
        <f t="shared" si="12"/>
        <v>-1.7428425057933377</v>
      </c>
      <c r="M24">
        <f>I24-(0.25*$K$38)+Sheet1!$B$17</f>
        <v>19.477153796017241</v>
      </c>
      <c r="N24">
        <f t="shared" si="13"/>
        <v>-1.7428425057933377</v>
      </c>
      <c r="O24">
        <f>K24-(0.25*$K$38)+Sheet1!$B$17</f>
        <v>19.087531671388774</v>
      </c>
      <c r="P24" s="4">
        <f t="shared" si="14"/>
        <v>-1.7428425057933377</v>
      </c>
      <c r="Q24" s="4">
        <f t="shared" si="15"/>
        <v>19.476998251359667</v>
      </c>
      <c r="R24" s="4">
        <f>M24*SIN($B$4)+(Sheet1!$B$18/2)</f>
        <v>1.0778402867493946</v>
      </c>
      <c r="S24">
        <f t="shared" si="16"/>
        <v>-1.7428425057933377</v>
      </c>
      <c r="T24">
        <f t="shared" si="17"/>
        <v>19.087379238255636</v>
      </c>
      <c r="U24">
        <f>O24*SIN($B$4)+(Sheet1!$B$18/2)</f>
        <v>1.0762831650968876</v>
      </c>
      <c r="V24" s="3">
        <f t="shared" ref="V24:V38" si="20">SQRT(((P24-P23)^2)+((Q24-Q23)^2))+V23</f>
        <v>0.30586585684419809</v>
      </c>
      <c r="W24" s="3">
        <f t="shared" si="18"/>
        <v>2.1556805734987892</v>
      </c>
      <c r="X24" s="1">
        <f t="shared" ref="X24:X38" si="21">SQRT(((S24-S23)^2)+((T24-T23)^2))+X23</f>
        <v>0.25862083975680594</v>
      </c>
      <c r="Y24" s="1">
        <f t="shared" si="19"/>
        <v>2.1525663301937752</v>
      </c>
      <c r="AA24" t="s">
        <v>88</v>
      </c>
      <c r="AB24">
        <f>L32</f>
        <v>1.9364916731037085</v>
      </c>
      <c r="AC24">
        <f>M32</f>
        <v>19.788541657052317</v>
      </c>
      <c r="AD24">
        <f>SQRT(((AB24-Sheet1!$B$24)^2)+((AC24-Sheet1!$B$25)^2))</f>
        <v>22.939868625087655</v>
      </c>
    </row>
    <row r="25" spans="4:30" x14ac:dyDescent="0.25">
      <c r="D25">
        <f>Sheet1!S6</f>
        <v>0.05</v>
      </c>
      <c r="E25">
        <f>Sheet1!T6</f>
        <v>7.8999999999999987E-2</v>
      </c>
      <c r="F25">
        <f>Sheet1!U6</f>
        <v>0.05</v>
      </c>
      <c r="G25">
        <f>Sheet1!V6</f>
        <v>9.2999999999999992E-3</v>
      </c>
      <c r="H25" s="1">
        <f t="shared" si="11"/>
        <v>0.3872983346207417</v>
      </c>
      <c r="I25" s="1">
        <f t="shared" si="10"/>
        <v>0.61193136870077181</v>
      </c>
      <c r="J25" s="1">
        <f t="shared" si="10"/>
        <v>0.3872983346207417</v>
      </c>
      <c r="K25" s="1">
        <f t="shared" si="10"/>
        <v>7.2037490239457949E-2</v>
      </c>
      <c r="L25">
        <f t="shared" si="12"/>
        <v>-1.5491933384829668</v>
      </c>
      <c r="M25">
        <f>I25-(0.25*$K$38)+Sheet1!$B$17</f>
        <v>19.585597329711049</v>
      </c>
      <c r="N25">
        <f t="shared" si="13"/>
        <v>-1.5491933384829668</v>
      </c>
      <c r="O25">
        <f>K25-(0.25*$K$38)+Sheet1!$B$17</f>
        <v>19.045703451249736</v>
      </c>
      <c r="P25" s="4">
        <f t="shared" si="14"/>
        <v>-1.5491933384829668</v>
      </c>
      <c r="Q25" s="4">
        <f t="shared" si="15"/>
        <v>19.585440919022819</v>
      </c>
      <c r="R25" s="4">
        <f>M25*SIN($B$4)+(Sheet1!$B$18/2)</f>
        <v>1.0782736804498936</v>
      </c>
      <c r="S25">
        <f t="shared" si="16"/>
        <v>-1.5491933384829668</v>
      </c>
      <c r="T25">
        <f t="shared" si="17"/>
        <v>19.045551352156995</v>
      </c>
      <c r="U25">
        <f>O25*SIN($B$4)+(Sheet1!$B$18/2)</f>
        <v>1.0761159989552667</v>
      </c>
      <c r="V25" s="3">
        <f t="shared" si="20"/>
        <v>0.52781137306360892</v>
      </c>
      <c r="W25" s="3">
        <f t="shared" si="18"/>
        <v>2.1565473608997872</v>
      </c>
      <c r="X25" s="1">
        <f t="shared" si="21"/>
        <v>0.4567358872809173</v>
      </c>
      <c r="Y25" s="1">
        <f t="shared" si="19"/>
        <v>2.1522319979105333</v>
      </c>
      <c r="AA25" t="s">
        <v>89</v>
      </c>
      <c r="AB25">
        <f>(N34+N35)/2</f>
        <v>3.872983346207417</v>
      </c>
      <c r="AC25">
        <f>(O34+O35)/2</f>
        <v>18.973665961010276</v>
      </c>
      <c r="AD25">
        <f>SQRT(((AB25-Sheet1!$B$24)^2)+((AC25-Sheet1!$B$25)^2))</f>
        <v>23.019861630119287</v>
      </c>
    </row>
    <row r="26" spans="4:30" x14ac:dyDescent="0.25">
      <c r="D26">
        <f>Sheet1!S7</f>
        <v>7.4999999999999997E-2</v>
      </c>
      <c r="E26">
        <f>Sheet1!T7</f>
        <v>8.8499999999999995E-2</v>
      </c>
      <c r="F26">
        <f>Sheet1!U7</f>
        <v>7.4999999999999997E-2</v>
      </c>
      <c r="G26">
        <f>Sheet1!V7</f>
        <v>6.3E-3</v>
      </c>
      <c r="H26" s="1">
        <f t="shared" si="11"/>
        <v>0.58094750193111255</v>
      </c>
      <c r="I26" s="1">
        <f t="shared" si="10"/>
        <v>0.68551805227871276</v>
      </c>
      <c r="J26" s="1">
        <f t="shared" si="10"/>
        <v>0.58094750193111255</v>
      </c>
      <c r="K26" s="1">
        <f t="shared" si="10"/>
        <v>4.8799590162213455E-2</v>
      </c>
      <c r="L26">
        <f t="shared" si="12"/>
        <v>-1.355544171172596</v>
      </c>
      <c r="M26">
        <f>I26-(0.25*$K$38)+Sheet1!$B$17</f>
        <v>19.659184013288989</v>
      </c>
      <c r="N26">
        <f t="shared" si="13"/>
        <v>-1.355544171172596</v>
      </c>
      <c r="O26">
        <f>K26-(0.25*$K$38)+Sheet1!$B$17</f>
        <v>19.022465551172491</v>
      </c>
      <c r="P26" s="4">
        <f t="shared" si="14"/>
        <v>-1.355544171172596</v>
      </c>
      <c r="Q26" s="4">
        <f t="shared" si="15"/>
        <v>19.659027014937099</v>
      </c>
      <c r="R26" s="4">
        <f>M26*SIN($B$4)+(Sheet1!$B$18/2)</f>
        <v>1.0785677690323752</v>
      </c>
      <c r="S26">
        <f t="shared" si="16"/>
        <v>-1.355544171172596</v>
      </c>
      <c r="T26">
        <f t="shared" si="17"/>
        <v>19.022313637657749</v>
      </c>
      <c r="U26">
        <f>O26*SIN($B$4)+(Sheet1!$B$18/2)</f>
        <v>1.0760231288765882</v>
      </c>
      <c r="V26" s="3">
        <f t="shared" si="20"/>
        <v>0.73497052326437995</v>
      </c>
      <c r="W26" s="3">
        <f t="shared" si="18"/>
        <v>2.1571355380647503</v>
      </c>
      <c r="X26" s="1">
        <f t="shared" si="21"/>
        <v>0.651774322916431</v>
      </c>
      <c r="Y26" s="1">
        <f t="shared" si="19"/>
        <v>2.1520462577531765</v>
      </c>
      <c r="AA26" t="s">
        <v>26</v>
      </c>
      <c r="AB26">
        <f>N38</f>
        <v>5.809475019311126</v>
      </c>
      <c r="AC26">
        <f>O38</f>
        <v>18.973665961010276</v>
      </c>
      <c r="AD26">
        <f>SQRT(((AB26-Sheet1!$B$24)^2)+((AC26-Sheet1!$B$25)^2))</f>
        <v>23.979075132389021</v>
      </c>
    </row>
    <row r="27" spans="4:30" x14ac:dyDescent="0.25">
      <c r="D27">
        <f>Sheet1!S8</f>
        <v>0.1</v>
      </c>
      <c r="E27">
        <f>Sheet1!T8</f>
        <v>9.6000000000000002E-2</v>
      </c>
      <c r="F27">
        <f>Sheet1!U8</f>
        <v>0.1</v>
      </c>
      <c r="G27">
        <f>Sheet1!V8</f>
        <v>4.1999999999999997E-3</v>
      </c>
      <c r="H27" s="1">
        <f t="shared" si="11"/>
        <v>0.7745966692414834</v>
      </c>
      <c r="I27" s="1">
        <f t="shared" si="10"/>
        <v>0.74361280247182404</v>
      </c>
      <c r="J27" s="1">
        <f t="shared" si="10"/>
        <v>0.7745966692414834</v>
      </c>
      <c r="K27" s="1">
        <f t="shared" si="10"/>
        <v>3.2533060108142303E-2</v>
      </c>
      <c r="L27">
        <f t="shared" si="12"/>
        <v>-1.1618950038622251</v>
      </c>
      <c r="M27">
        <f>I27-(0.25*$K$38)+Sheet1!$B$17</f>
        <v>19.717278763482099</v>
      </c>
      <c r="N27">
        <f t="shared" si="13"/>
        <v>-1.1618950038622251</v>
      </c>
      <c r="O27">
        <f>K27-(0.25*$K$38)+Sheet1!$B$17</f>
        <v>19.00619902111842</v>
      </c>
      <c r="P27" s="4">
        <f t="shared" si="14"/>
        <v>-1.1618950038622251</v>
      </c>
      <c r="Q27" s="4">
        <f t="shared" si="15"/>
        <v>19.717121301185212</v>
      </c>
      <c r="R27" s="4">
        <f>M27*SIN($B$4)+(Sheet1!$B$18/2)</f>
        <v>1.078799944229071</v>
      </c>
      <c r="S27">
        <f t="shared" si="16"/>
        <v>-1.1618950038622251</v>
      </c>
      <c r="T27">
        <f t="shared" si="17"/>
        <v>19.006047237508273</v>
      </c>
      <c r="U27">
        <f>O27*SIN($B$4)+(Sheet1!$B$18/2)</f>
        <v>1.0759581198215133</v>
      </c>
      <c r="V27" s="3">
        <f t="shared" si="20"/>
        <v>0.93714605614281155</v>
      </c>
      <c r="W27" s="3">
        <f t="shared" si="18"/>
        <v>2.157599888458142</v>
      </c>
      <c r="X27" s="1">
        <f t="shared" si="21"/>
        <v>0.84610547269387371</v>
      </c>
      <c r="Y27" s="1">
        <f t="shared" si="19"/>
        <v>2.1519162396430267</v>
      </c>
    </row>
    <row r="28" spans="4:30" x14ac:dyDescent="0.25">
      <c r="D28">
        <f>Sheet1!S9</f>
        <v>0.15</v>
      </c>
      <c r="E28">
        <f>Sheet1!T9</f>
        <v>0.1069</v>
      </c>
      <c r="F28">
        <f>Sheet1!U9</f>
        <v>0.15</v>
      </c>
      <c r="G28">
        <f>Sheet1!V9</f>
        <v>1.5E-3</v>
      </c>
      <c r="H28" s="1">
        <f t="shared" si="11"/>
        <v>1.1618950038622251</v>
      </c>
      <c r="I28" s="1">
        <f t="shared" si="10"/>
        <v>0.82804383941914572</v>
      </c>
      <c r="J28" s="1">
        <f t="shared" si="10"/>
        <v>1.1618950038622251</v>
      </c>
      <c r="K28" s="1">
        <f t="shared" si="10"/>
        <v>1.1618950038622251E-2</v>
      </c>
      <c r="L28">
        <f t="shared" si="12"/>
        <v>-0.7745966692414834</v>
      </c>
      <c r="M28">
        <f>I28-(0.25*$K$38)+Sheet1!$B$17</f>
        <v>19.801709800429421</v>
      </c>
      <c r="N28">
        <f t="shared" si="13"/>
        <v>-0.7745966692414834</v>
      </c>
      <c r="O28">
        <f>K28-(0.25*$K$38)+Sheet1!$B$17</f>
        <v>18.985284911048897</v>
      </c>
      <c r="P28" s="4">
        <f t="shared" si="14"/>
        <v>-0.7745966692414834</v>
      </c>
      <c r="Q28" s="4">
        <f t="shared" si="15"/>
        <v>19.801551663865808</v>
      </c>
      <c r="R28" s="4">
        <f>M28*SIN($B$4)+(Sheet1!$B$18/2)</f>
        <v>1.0791373721816024</v>
      </c>
      <c r="S28">
        <f t="shared" si="16"/>
        <v>-0.7745966692414834</v>
      </c>
      <c r="T28">
        <f t="shared" si="17"/>
        <v>18.985133294458951</v>
      </c>
      <c r="U28">
        <f>O28*SIN($B$4)+(Sheet1!$B$18/2)</f>
        <v>1.075874536750703</v>
      </c>
      <c r="V28" s="3">
        <f t="shared" si="20"/>
        <v>1.3335404129926247</v>
      </c>
      <c r="W28" s="3">
        <f t="shared" si="18"/>
        <v>2.1582747443632049</v>
      </c>
      <c r="X28" s="1">
        <f t="shared" si="21"/>
        <v>1.2339680682272278</v>
      </c>
      <c r="Y28" s="1">
        <f t="shared" si="19"/>
        <v>2.151749073501406</v>
      </c>
    </row>
    <row r="29" spans="4:30" x14ac:dyDescent="0.25">
      <c r="D29">
        <f>Sheet1!S10</f>
        <v>0.2</v>
      </c>
      <c r="E29">
        <f>Sheet1!T10</f>
        <v>0.11360000000000003</v>
      </c>
      <c r="F29">
        <f>Sheet1!U10</f>
        <v>0.2</v>
      </c>
      <c r="G29">
        <f>Sheet1!V10</f>
        <v>2.9999999999999997E-4</v>
      </c>
      <c r="H29" s="1">
        <f t="shared" si="11"/>
        <v>1.5491933384829668</v>
      </c>
      <c r="I29" s="1">
        <f t="shared" si="10"/>
        <v>0.87994181625832546</v>
      </c>
      <c r="J29" s="1">
        <f t="shared" si="10"/>
        <v>1.5491933384829668</v>
      </c>
      <c r="K29" s="1">
        <f t="shared" si="10"/>
        <v>2.32379000772445E-3</v>
      </c>
      <c r="L29">
        <f t="shared" si="12"/>
        <v>-0.3872983346207417</v>
      </c>
      <c r="M29">
        <f>I29-(0.25*$K$38)+Sheet1!$B$17</f>
        <v>19.8536077772686</v>
      </c>
      <c r="N29">
        <f t="shared" si="13"/>
        <v>-0.3872983346207417</v>
      </c>
      <c r="O29">
        <f>K29-(0.25*$K$38)+Sheet1!$B$17</f>
        <v>18.975989751018002</v>
      </c>
      <c r="P29" s="4">
        <f t="shared" si="14"/>
        <v>-0.3872983346207417</v>
      </c>
      <c r="Q29" s="4">
        <f t="shared" si="15"/>
        <v>19.853449226247459</v>
      </c>
      <c r="R29" s="4">
        <f>M29*SIN($B$4)+(Sheet1!$B$18/2)</f>
        <v>1.0793447820239841</v>
      </c>
      <c r="S29">
        <f t="shared" si="16"/>
        <v>-0.3872983346207417</v>
      </c>
      <c r="T29">
        <f t="shared" si="17"/>
        <v>18.975838208659255</v>
      </c>
      <c r="U29">
        <f>O29*SIN($B$4)+(Sheet1!$B$18/2)</f>
        <v>1.0758373887192316</v>
      </c>
      <c r="V29" s="3">
        <f t="shared" si="20"/>
        <v>1.7243003866096234</v>
      </c>
      <c r="W29" s="3">
        <f t="shared" si="18"/>
        <v>2.1586895640479682</v>
      </c>
      <c r="X29" s="1">
        <f t="shared" si="21"/>
        <v>1.6213779269298991</v>
      </c>
      <c r="Y29" s="1">
        <f t="shared" si="19"/>
        <v>2.1516747774384632</v>
      </c>
    </row>
    <row r="30" spans="4:30" x14ac:dyDescent="0.25">
      <c r="D30">
        <f>Sheet1!S11</f>
        <v>0.3</v>
      </c>
      <c r="E30">
        <f>Sheet1!T11</f>
        <v>0.11699999999999999</v>
      </c>
      <c r="F30">
        <f>Sheet1!U11</f>
        <v>0.3</v>
      </c>
      <c r="G30">
        <f>Sheet1!V11</f>
        <v>0</v>
      </c>
      <c r="H30" s="1">
        <f t="shared" si="11"/>
        <v>2.3237900077244502</v>
      </c>
      <c r="I30" s="1">
        <f t="shared" si="10"/>
        <v>0.90627810301253553</v>
      </c>
      <c r="J30" s="1">
        <f t="shared" si="10"/>
        <v>2.3237900077244502</v>
      </c>
      <c r="K30" s="1">
        <f t="shared" si="10"/>
        <v>0</v>
      </c>
      <c r="L30">
        <f t="shared" si="12"/>
        <v>0.3872983346207417</v>
      </c>
      <c r="M30">
        <f>I30-(0.25*$K$38)+Sheet1!$B$17</f>
        <v>19.879944064022812</v>
      </c>
      <c r="N30">
        <f t="shared" si="13"/>
        <v>0.3872983346207417</v>
      </c>
      <c r="O30">
        <f>K30-(0.25*$K$38)+Sheet1!$B$17</f>
        <v>18.973665961010276</v>
      </c>
      <c r="P30" s="4">
        <f t="shared" si="14"/>
        <v>0.3872983346207417</v>
      </c>
      <c r="Q30" s="4">
        <f t="shared" si="15"/>
        <v>19.879785302679938</v>
      </c>
      <c r="R30" s="4">
        <f>M30*SIN($B$4)+(Sheet1!$B$18/2)</f>
        <v>1.0794500347798195</v>
      </c>
      <c r="S30">
        <f t="shared" si="16"/>
        <v>0.3872983346207417</v>
      </c>
      <c r="T30">
        <f t="shared" si="17"/>
        <v>18.973514437209328</v>
      </c>
      <c r="U30">
        <f>O30*SIN($B$4)+(Sheet1!$B$18/2)</f>
        <v>1.0758281017113638</v>
      </c>
      <c r="V30" s="3">
        <f t="shared" si="20"/>
        <v>2.4993446362637046</v>
      </c>
      <c r="W30" s="3">
        <f t="shared" si="18"/>
        <v>2.158900069559639</v>
      </c>
      <c r="X30" s="1">
        <f t="shared" si="21"/>
        <v>2.3959780817928786</v>
      </c>
      <c r="Y30" s="1">
        <f t="shared" si="19"/>
        <v>2.1516562034227276</v>
      </c>
    </row>
    <row r="31" spans="4:30" x14ac:dyDescent="0.25">
      <c r="D31">
        <f>Sheet1!S12</f>
        <v>0.4</v>
      </c>
      <c r="E31">
        <f>Sheet1!T12</f>
        <v>0.11399999999999999</v>
      </c>
      <c r="F31">
        <f>Sheet1!U12</f>
        <v>0.4</v>
      </c>
      <c r="G31">
        <f>Sheet1!V12</f>
        <v>0</v>
      </c>
      <c r="H31" s="1">
        <f t="shared" si="11"/>
        <v>3.0983866769659336</v>
      </c>
      <c r="I31" s="1">
        <f t="shared" si="10"/>
        <v>0.88304020293529095</v>
      </c>
      <c r="J31" s="1">
        <f t="shared" si="10"/>
        <v>3.0983866769659336</v>
      </c>
      <c r="K31" s="1">
        <f t="shared" si="10"/>
        <v>0</v>
      </c>
      <c r="L31">
        <f t="shared" si="12"/>
        <v>1.1618950038622251</v>
      </c>
      <c r="M31">
        <f>I31-(0.25*$K$38)+Sheet1!$B$17</f>
        <v>19.856706163945567</v>
      </c>
      <c r="N31">
        <f t="shared" si="13"/>
        <v>1.1618950038622251</v>
      </c>
      <c r="O31">
        <f>K31-(0.25*$K$38)+Sheet1!$B$17</f>
        <v>18.973665961010276</v>
      </c>
      <c r="P31" s="4">
        <f t="shared" si="14"/>
        <v>1.1618950038622251</v>
      </c>
      <c r="Q31" s="4">
        <f t="shared" si="15"/>
        <v>19.856547588180693</v>
      </c>
      <c r="R31" s="4">
        <f>M31*SIN($B$4)+(Sheet1!$B$18/2)</f>
        <v>1.0793571647011411</v>
      </c>
      <c r="S31">
        <f t="shared" si="16"/>
        <v>1.1618950038622251</v>
      </c>
      <c r="T31">
        <f t="shared" si="17"/>
        <v>18.973514437209328</v>
      </c>
      <c r="U31">
        <f>O31*SIN($B$4)+(Sheet1!$B$18/2)</f>
        <v>1.0758281017113638</v>
      </c>
      <c r="V31" s="3">
        <f t="shared" si="20"/>
        <v>3.2742897900488925</v>
      </c>
      <c r="W31" s="3">
        <f t="shared" si="18"/>
        <v>2.1587143294022821</v>
      </c>
      <c r="X31" s="1">
        <f t="shared" si="21"/>
        <v>3.170574751034362</v>
      </c>
      <c r="Y31" s="1">
        <f t="shared" si="19"/>
        <v>2.1516562034227276</v>
      </c>
    </row>
    <row r="32" spans="4:30" x14ac:dyDescent="0.25">
      <c r="D32">
        <f>Sheet1!S13</f>
        <v>0.5</v>
      </c>
      <c r="E32">
        <f>Sheet1!T13</f>
        <v>0.1052</v>
      </c>
      <c r="F32">
        <f>Sheet1!U13</f>
        <v>0.5</v>
      </c>
      <c r="G32">
        <f>Sheet1!V13</f>
        <v>0</v>
      </c>
      <c r="H32" s="1">
        <f t="shared" si="11"/>
        <v>3.872983346207417</v>
      </c>
      <c r="I32" s="1">
        <f t="shared" si="10"/>
        <v>0.81487569604204058</v>
      </c>
      <c r="J32" s="1">
        <f t="shared" si="10"/>
        <v>3.872983346207417</v>
      </c>
      <c r="K32" s="1">
        <f t="shared" si="10"/>
        <v>0</v>
      </c>
      <c r="L32">
        <f t="shared" si="12"/>
        <v>1.9364916731037085</v>
      </c>
      <c r="M32">
        <f>I32-(0.25*$K$38)+Sheet1!$B$17</f>
        <v>19.788541657052317</v>
      </c>
      <c r="N32">
        <f t="shared" si="13"/>
        <v>1.9364916731037085</v>
      </c>
      <c r="O32">
        <f>K32-(0.25*$K$38)+Sheet1!$B$17</f>
        <v>18.973665961010276</v>
      </c>
      <c r="P32" s="4">
        <f t="shared" si="14"/>
        <v>1.9364916731037085</v>
      </c>
      <c r="Q32" s="4">
        <f t="shared" si="15"/>
        <v>19.788383625649569</v>
      </c>
      <c r="R32" s="4">
        <f>M32*SIN($B$4)+(Sheet1!$B$18/2)</f>
        <v>1.0790847458036845</v>
      </c>
      <c r="S32">
        <f t="shared" si="16"/>
        <v>1.9364916731037085</v>
      </c>
      <c r="T32">
        <f t="shared" si="17"/>
        <v>18.973514437209328</v>
      </c>
      <c r="U32">
        <f>O32*SIN($B$4)+(Sheet1!$B$18/2)</f>
        <v>1.0758281017113638</v>
      </c>
      <c r="V32" s="3">
        <f t="shared" si="20"/>
        <v>4.051879865723695</v>
      </c>
      <c r="W32" s="3">
        <f t="shared" si="18"/>
        <v>2.158169491607369</v>
      </c>
      <c r="X32" s="1">
        <f t="shared" si="21"/>
        <v>3.9451714202758454</v>
      </c>
      <c r="Y32" s="1">
        <f t="shared" si="19"/>
        <v>2.1516562034227276</v>
      </c>
    </row>
    <row r="33" spans="4:25" x14ac:dyDescent="0.25">
      <c r="D33">
        <f>Sheet1!S14</f>
        <v>0.6</v>
      </c>
      <c r="E33">
        <f>Sheet1!T14</f>
        <v>9.1499999999999998E-2</v>
      </c>
      <c r="F33">
        <f>Sheet1!U14</f>
        <v>0.6</v>
      </c>
      <c r="G33">
        <f>Sheet1!V14</f>
        <v>0</v>
      </c>
      <c r="H33" s="1">
        <f t="shared" si="11"/>
        <v>4.6475800154489004</v>
      </c>
      <c r="I33" s="1">
        <f t="shared" si="10"/>
        <v>0.70875595235595734</v>
      </c>
      <c r="J33" s="1">
        <f t="shared" si="10"/>
        <v>4.6475800154489004</v>
      </c>
      <c r="K33" s="1">
        <f t="shared" si="10"/>
        <v>0</v>
      </c>
      <c r="L33">
        <f t="shared" si="12"/>
        <v>2.7110883423451919</v>
      </c>
      <c r="M33">
        <f>I33-(0.25*$K$38)+Sheet1!$B$17</f>
        <v>19.682421913366234</v>
      </c>
      <c r="N33">
        <f t="shared" si="13"/>
        <v>2.7110883423451919</v>
      </c>
      <c r="O33">
        <f>K33-(0.25*$K$38)+Sheet1!$B$17</f>
        <v>18.973665961010276</v>
      </c>
      <c r="P33" s="4">
        <f t="shared" si="14"/>
        <v>2.7110883423451919</v>
      </c>
      <c r="Q33" s="4">
        <f t="shared" si="15"/>
        <v>19.682264729436344</v>
      </c>
      <c r="R33" s="4">
        <f>M33*SIN($B$4)+(Sheet1!$B$18/2)</f>
        <v>1.0786606391110536</v>
      </c>
      <c r="S33">
        <f t="shared" si="16"/>
        <v>2.7110883423451919</v>
      </c>
      <c r="T33">
        <f t="shared" si="17"/>
        <v>18.973514437209328</v>
      </c>
      <c r="U33">
        <f>O33*SIN($B$4)+(Sheet1!$B$18/2)</f>
        <v>1.0758281017113638</v>
      </c>
      <c r="V33" s="3">
        <f t="shared" si="20"/>
        <v>4.833711829852505</v>
      </c>
      <c r="W33" s="3">
        <f t="shared" si="18"/>
        <v>2.1573212782221072</v>
      </c>
      <c r="X33" s="1">
        <f t="shared" si="21"/>
        <v>4.7197680895173288</v>
      </c>
      <c r="Y33" s="1">
        <f t="shared" si="19"/>
        <v>2.1516562034227276</v>
      </c>
    </row>
    <row r="34" spans="4:25" x14ac:dyDescent="0.25">
      <c r="D34">
        <f>Sheet1!S15</f>
        <v>0.7</v>
      </c>
      <c r="E34">
        <f>Sheet1!T15</f>
        <v>7.350000000000001E-2</v>
      </c>
      <c r="F34">
        <f>Sheet1!U15</f>
        <v>0.7</v>
      </c>
      <c r="G34">
        <f>Sheet1!V15</f>
        <v>0</v>
      </c>
      <c r="H34" s="1">
        <f t="shared" si="11"/>
        <v>5.4221766846903838</v>
      </c>
      <c r="I34" s="1">
        <f t="shared" si="10"/>
        <v>0.56932855189249043</v>
      </c>
      <c r="J34" s="1">
        <f t="shared" si="10"/>
        <v>5.4221766846903838</v>
      </c>
      <c r="K34" s="1">
        <f t="shared" si="10"/>
        <v>0</v>
      </c>
      <c r="L34">
        <f t="shared" si="12"/>
        <v>3.4856850115866753</v>
      </c>
      <c r="M34">
        <f>I34-(0.25*$K$38)+Sheet1!$B$17</f>
        <v>19.542994512902766</v>
      </c>
      <c r="N34">
        <f t="shared" si="13"/>
        <v>3.4856850115866753</v>
      </c>
      <c r="O34">
        <f>K34-(0.25*$K$38)+Sheet1!$B$17</f>
        <v>18.973665961010276</v>
      </c>
      <c r="P34" s="4">
        <f t="shared" si="14"/>
        <v>3.4856850115866753</v>
      </c>
      <c r="Q34" s="4">
        <f t="shared" si="15"/>
        <v>19.542838442440864</v>
      </c>
      <c r="R34" s="4">
        <f>M34*SIN($B$4)+(Sheet1!$B$18/2)</f>
        <v>1.0781034186389833</v>
      </c>
      <c r="S34">
        <f t="shared" si="16"/>
        <v>3.4856850115866753</v>
      </c>
      <c r="T34">
        <f t="shared" si="17"/>
        <v>18.973514437209328</v>
      </c>
      <c r="U34">
        <f>O34*SIN($B$4)+(Sheet1!$B$18/2)</f>
        <v>1.0758281017113638</v>
      </c>
      <c r="V34" s="3">
        <f t="shared" si="20"/>
        <v>5.6207567393115179</v>
      </c>
      <c r="W34" s="3">
        <f t="shared" si="18"/>
        <v>2.1562068372779666</v>
      </c>
      <c r="X34" s="1">
        <f t="shared" si="21"/>
        <v>5.4943647587588123</v>
      </c>
      <c r="Y34" s="1">
        <f t="shared" si="19"/>
        <v>2.1516562034227276</v>
      </c>
    </row>
    <row r="35" spans="4:25" x14ac:dyDescent="0.25">
      <c r="D35">
        <f>Sheet1!S16</f>
        <v>0.8</v>
      </c>
      <c r="E35">
        <f>Sheet1!T16</f>
        <v>5.220000000000001E-2</v>
      </c>
      <c r="F35">
        <f>Sheet1!U16</f>
        <v>0.8</v>
      </c>
      <c r="G35">
        <f>Sheet1!V16</f>
        <v>0</v>
      </c>
      <c r="H35" s="1">
        <f t="shared" si="11"/>
        <v>6.1967733539318672</v>
      </c>
      <c r="I35" s="1">
        <f t="shared" si="10"/>
        <v>0.40433946134405441</v>
      </c>
      <c r="J35" s="1">
        <f t="shared" si="10"/>
        <v>6.1967733539318672</v>
      </c>
      <c r="K35" s="1">
        <f t="shared" si="10"/>
        <v>0</v>
      </c>
      <c r="L35">
        <f t="shared" si="12"/>
        <v>4.2602816808281592</v>
      </c>
      <c r="M35">
        <f>I35-(0.25*$K$38)+Sheet1!$B$17</f>
        <v>19.378005422354331</v>
      </c>
      <c r="N35">
        <f t="shared" si="13"/>
        <v>4.2602816808281592</v>
      </c>
      <c r="O35">
        <f>K35-(0.25*$K$38)+Sheet1!$B$17</f>
        <v>18.973665961010276</v>
      </c>
      <c r="P35" s="4">
        <f t="shared" si="14"/>
        <v>4.2602816808281592</v>
      </c>
      <c r="Q35" s="4">
        <f t="shared" si="15"/>
        <v>19.377850669496215</v>
      </c>
      <c r="R35" s="4">
        <f>M35*SIN($B$4)+(Sheet1!$B$18/2)</f>
        <v>1.077444041080367</v>
      </c>
      <c r="S35">
        <f t="shared" si="16"/>
        <v>4.2602816808281592</v>
      </c>
      <c r="T35">
        <f t="shared" si="17"/>
        <v>18.973514437209328</v>
      </c>
      <c r="U35">
        <f>O35*SIN($B$4)+(Sheet1!$B$18/2)</f>
        <v>1.0758281017113638</v>
      </c>
      <c r="V35" s="3">
        <f t="shared" si="20"/>
        <v>6.4127295704245784</v>
      </c>
      <c r="W35" s="3">
        <f t="shared" si="18"/>
        <v>2.1548880821607339</v>
      </c>
      <c r="X35" s="1">
        <f t="shared" si="21"/>
        <v>6.2689614280002957</v>
      </c>
      <c r="Y35" s="1">
        <f t="shared" si="19"/>
        <v>2.1516562034227276</v>
      </c>
    </row>
    <row r="36" spans="4:25" x14ac:dyDescent="0.25">
      <c r="D36">
        <f>Sheet1!S17</f>
        <v>0.90000000000000013</v>
      </c>
      <c r="E36">
        <f>Sheet1!T17</f>
        <v>2.8000000000000001E-2</v>
      </c>
      <c r="F36">
        <f>Sheet1!U17</f>
        <v>0.90000000000000013</v>
      </c>
      <c r="G36">
        <f>Sheet1!V17</f>
        <v>0</v>
      </c>
      <c r="H36" s="1">
        <f t="shared" si="11"/>
        <v>6.9713700231733515</v>
      </c>
      <c r="I36" s="1">
        <f t="shared" si="10"/>
        <v>0.21688706738761535</v>
      </c>
      <c r="J36" s="1">
        <f t="shared" si="10"/>
        <v>6.9713700231733515</v>
      </c>
      <c r="K36" s="1">
        <f t="shared" si="10"/>
        <v>0</v>
      </c>
      <c r="L36">
        <f t="shared" si="12"/>
        <v>5.0348783500696435</v>
      </c>
      <c r="M36">
        <f>I36-(0.25*$K$38)+Sheet1!$B$17</f>
        <v>19.190553028397893</v>
      </c>
      <c r="N36">
        <f t="shared" si="13"/>
        <v>5.0348783500696435</v>
      </c>
      <c r="O36">
        <f>K36-(0.25*$K$38)+Sheet1!$B$17</f>
        <v>18.973665961010276</v>
      </c>
      <c r="P36" s="4">
        <f t="shared" si="14"/>
        <v>5.0348783500696435</v>
      </c>
      <c r="Q36" s="4">
        <f t="shared" si="15"/>
        <v>19.190399772535631</v>
      </c>
      <c r="R36" s="4">
        <f>M36*SIN($B$4)+(Sheet1!$B$18/2)</f>
        <v>1.0766948891123618</v>
      </c>
      <c r="S36">
        <f t="shared" si="16"/>
        <v>5.0348783500696435</v>
      </c>
      <c r="T36">
        <f t="shared" si="17"/>
        <v>18.973514437209328</v>
      </c>
      <c r="U36">
        <f>O36*SIN($B$4)+(Sheet1!$B$18/2)</f>
        <v>1.0758281017113638</v>
      </c>
      <c r="V36" s="3">
        <f t="shared" si="20"/>
        <v>7.2096849259943419</v>
      </c>
      <c r="W36" s="3">
        <f t="shared" si="18"/>
        <v>2.1533897782247235</v>
      </c>
      <c r="X36" s="1">
        <f t="shared" si="21"/>
        <v>7.0435580972417799</v>
      </c>
      <c r="Y36" s="1">
        <f t="shared" si="19"/>
        <v>2.1516562034227276</v>
      </c>
    </row>
    <row r="37" spans="4:25" x14ac:dyDescent="0.25">
      <c r="D37">
        <f>Sheet1!S18</f>
        <v>0.95</v>
      </c>
      <c r="E37">
        <f>Sheet1!T18</f>
        <v>1.49E-2</v>
      </c>
      <c r="F37">
        <f>Sheet1!U18</f>
        <v>0.95</v>
      </c>
      <c r="G37">
        <f>Sheet1!V18</f>
        <v>0</v>
      </c>
      <c r="H37" s="1">
        <f t="shared" si="11"/>
        <v>7.3586683577940919</v>
      </c>
      <c r="I37" s="1">
        <f t="shared" si="10"/>
        <v>0.11541490371698103</v>
      </c>
      <c r="J37" s="1">
        <f t="shared" si="10"/>
        <v>7.3586683577940919</v>
      </c>
      <c r="K37" s="1">
        <f t="shared" si="10"/>
        <v>0</v>
      </c>
      <c r="L37">
        <f t="shared" si="12"/>
        <v>5.4221766846903829</v>
      </c>
      <c r="M37">
        <f>I37-(0.25*$K$38)+Sheet1!$B$17</f>
        <v>19.089080864727258</v>
      </c>
      <c r="N37">
        <f t="shared" si="13"/>
        <v>5.4221766846903829</v>
      </c>
      <c r="O37">
        <f>K37-(0.25*$K$38)+Sheet1!$B$17</f>
        <v>18.973665961010276</v>
      </c>
      <c r="P37" s="4">
        <f t="shared" si="14"/>
        <v>5.4221766846903829</v>
      </c>
      <c r="Q37" s="4">
        <f t="shared" si="15"/>
        <v>19.088928419222253</v>
      </c>
      <c r="R37" s="4">
        <f>M37*SIN($B$4)+(Sheet1!$B$18/2)</f>
        <v>1.0762893564354663</v>
      </c>
      <c r="S37">
        <f t="shared" si="16"/>
        <v>5.4221766846903829</v>
      </c>
      <c r="T37">
        <f t="shared" si="17"/>
        <v>18.973514437209328</v>
      </c>
      <c r="U37">
        <f>O37*SIN($B$4)+(Sheet1!$B$18/2)</f>
        <v>1.0758281017113638</v>
      </c>
      <c r="V37" s="3">
        <f t="shared" si="20"/>
        <v>7.61005529895324</v>
      </c>
      <c r="W37" s="3">
        <f t="shared" si="18"/>
        <v>2.1525787128709326</v>
      </c>
      <c r="X37" s="1">
        <f t="shared" si="21"/>
        <v>7.4308564318625194</v>
      </c>
      <c r="Y37" s="1">
        <f t="shared" si="19"/>
        <v>2.1516562034227276</v>
      </c>
    </row>
    <row r="38" spans="4:25" x14ac:dyDescent="0.25">
      <c r="D38">
        <f>Sheet1!S19</f>
        <v>1</v>
      </c>
      <c r="E38">
        <f>Sheet1!T19</f>
        <v>1.1999999999999999E-3</v>
      </c>
      <c r="F38">
        <f>Sheet1!U19</f>
        <v>1</v>
      </c>
      <c r="G38">
        <f>Sheet1!V19</f>
        <v>0</v>
      </c>
      <c r="H38" s="1">
        <f t="shared" si="11"/>
        <v>7.745966692414834</v>
      </c>
      <c r="I38" s="1">
        <f t="shared" ref="I38" si="22">E38*$B$2</f>
        <v>9.2951600308978002E-3</v>
      </c>
      <c r="J38" s="1">
        <f t="shared" ref="J38" si="23">F38*$B$2</f>
        <v>7.745966692414834</v>
      </c>
      <c r="K38" s="1">
        <f t="shared" ref="K38" si="24">G38*$B$2</f>
        <v>0</v>
      </c>
      <c r="L38">
        <f t="shared" si="12"/>
        <v>5.809475019311126</v>
      </c>
      <c r="M38">
        <f>I38-(0.25*$K$38)+Sheet1!$B$17</f>
        <v>18.982961121041175</v>
      </c>
      <c r="N38">
        <f t="shared" si="13"/>
        <v>5.809475019311126</v>
      </c>
      <c r="O38">
        <f>K38-(0.25*$K$38)+Sheet1!$B$17</f>
        <v>18.973665961010276</v>
      </c>
      <c r="P38" s="4">
        <f t="shared" si="14"/>
        <v>5.809475019311126</v>
      </c>
      <c r="Q38" s="4">
        <f t="shared" si="15"/>
        <v>18.982809523009028</v>
      </c>
      <c r="R38" s="4">
        <f>M38*SIN($B$4)+(Sheet1!$B$18/2)</f>
        <v>1.0758652497428352</v>
      </c>
      <c r="S38">
        <f t="shared" si="16"/>
        <v>5.809475019311126</v>
      </c>
      <c r="T38">
        <f t="shared" si="17"/>
        <v>18.973514437209328</v>
      </c>
      <c r="U38">
        <f>O38*SIN($B$4)+(Sheet1!$B$18/2)</f>
        <v>1.0758281017113638</v>
      </c>
      <c r="V38" s="3">
        <f t="shared" si="20"/>
        <v>8.0116287295154649</v>
      </c>
      <c r="W38" s="3">
        <f t="shared" si="18"/>
        <v>2.1517304994856703</v>
      </c>
      <c r="X38" s="1">
        <f t="shared" si="21"/>
        <v>7.8181547664832625</v>
      </c>
      <c r="Y38" s="1">
        <f t="shared" si="19"/>
        <v>2.1516562034227276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"/>
  <sheetViews>
    <sheetView topLeftCell="AA1" workbookViewId="0">
      <selection activeCell="AO11" sqref="AO11"/>
    </sheetView>
  </sheetViews>
  <sheetFormatPr defaultRowHeight="15" x14ac:dyDescent="0.25"/>
  <cols>
    <col min="34" max="34" width="11" bestFit="1" customWidth="1"/>
    <col min="35" max="35" width="11" customWidth="1"/>
  </cols>
  <sheetData>
    <row r="1" spans="1:23" x14ac:dyDescent="0.25">
      <c r="H1" t="s">
        <v>49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t="s">
        <v>50</v>
      </c>
      <c r="B2">
        <f>Sheet1!F25</f>
        <v>7.745966692414834</v>
      </c>
      <c r="D2" s="1">
        <f>Sheet1!O3</f>
        <v>0</v>
      </c>
      <c r="E2" s="1">
        <f>Sheet1!P3</f>
        <v>3.5000000000000003E-2</v>
      </c>
      <c r="F2" s="1">
        <f>Sheet1!Q3</f>
        <v>0</v>
      </c>
      <c r="G2" s="1">
        <f>Sheet1!R3</f>
        <v>3.5000000000000003E-2</v>
      </c>
      <c r="H2">
        <f>D2*$B$2</f>
        <v>0</v>
      </c>
      <c r="I2">
        <f t="shared" ref="I2:K17" si="0">E2*$B$2</f>
        <v>0.2711088342345192</v>
      </c>
      <c r="J2">
        <f t="shared" si="0"/>
        <v>0</v>
      </c>
      <c r="K2">
        <f t="shared" si="0"/>
        <v>0.2711088342345192</v>
      </c>
      <c r="L2" s="1">
        <f t="shared" ref="L2:L18" si="1">D2*$B$4</f>
        <v>0</v>
      </c>
      <c r="M2" s="1">
        <f t="shared" ref="M2:M18" si="2">E2*$B$4</f>
        <v>0.2711088342345192</v>
      </c>
      <c r="N2" s="1">
        <f t="shared" ref="N2:N18" si="3">F2*$B$4</f>
        <v>0</v>
      </c>
      <c r="O2" s="1">
        <f t="shared" ref="O2:O18" si="4">G2*$B$4</f>
        <v>0.2711088342345192</v>
      </c>
      <c r="P2" s="1"/>
      <c r="Q2" s="1"/>
      <c r="R2" s="1"/>
      <c r="S2" s="1"/>
      <c r="T2" s="1"/>
      <c r="U2" s="1"/>
      <c r="V2" s="1"/>
      <c r="W2" s="1"/>
    </row>
    <row r="3" spans="1:23" x14ac:dyDescent="0.25">
      <c r="A3" t="s">
        <v>41</v>
      </c>
      <c r="B3">
        <f>Sheet1!E25</f>
        <v>7.745966692414834</v>
      </c>
      <c r="D3" s="1">
        <f>Sheet1!O4</f>
        <v>1.2500000000000001E-2</v>
      </c>
      <c r="E3" s="1">
        <f>Sheet1!P4</f>
        <v>5.45E-2</v>
      </c>
      <c r="F3" s="1">
        <f>Sheet1!Q4</f>
        <v>1.2500000000000001E-2</v>
      </c>
      <c r="G3" s="1">
        <f>Sheet1!R4</f>
        <v>1.9300000000000001E-2</v>
      </c>
      <c r="H3">
        <f t="shared" ref="H3:K18" si="5">D3*$B$2</f>
        <v>9.6824583655185426E-2</v>
      </c>
      <c r="I3">
        <f t="shared" si="0"/>
        <v>0.42215518473660846</v>
      </c>
      <c r="J3">
        <f t="shared" si="0"/>
        <v>9.6824583655185426E-2</v>
      </c>
      <c r="K3">
        <f t="shared" si="0"/>
        <v>0.14949715716360631</v>
      </c>
      <c r="L3" s="1">
        <f t="shared" si="1"/>
        <v>9.6824583655185426E-2</v>
      </c>
      <c r="M3" s="1">
        <f t="shared" si="2"/>
        <v>0.42215518473660846</v>
      </c>
      <c r="N3" s="1">
        <f t="shared" si="3"/>
        <v>9.6824583655185426E-2</v>
      </c>
      <c r="O3" s="1">
        <f t="shared" si="4"/>
        <v>0.14949715716360631</v>
      </c>
      <c r="P3" s="1"/>
      <c r="Q3" s="1"/>
      <c r="R3" s="1"/>
      <c r="S3" s="1"/>
      <c r="T3" s="1"/>
      <c r="U3" s="1"/>
      <c r="V3" s="1"/>
      <c r="W3" s="1"/>
    </row>
    <row r="4" spans="1:23" x14ac:dyDescent="0.25">
      <c r="A4" t="s">
        <v>51</v>
      </c>
      <c r="B4">
        <f>(B2+B3)/2</f>
        <v>7.745966692414834</v>
      </c>
      <c r="D4" s="1">
        <f>Sheet1!O5</f>
        <v>2.5000000000000001E-2</v>
      </c>
      <c r="E4" s="1">
        <f>Sheet1!P5</f>
        <v>6.5000000000000002E-2</v>
      </c>
      <c r="F4" s="1">
        <f>Sheet1!Q5</f>
        <v>2.5000000000000001E-2</v>
      </c>
      <c r="G4" s="1">
        <f>Sheet1!R5</f>
        <v>1.4699999999999998E-2</v>
      </c>
      <c r="H4">
        <f t="shared" si="5"/>
        <v>0.19364916731037085</v>
      </c>
      <c r="I4">
        <f t="shared" si="0"/>
        <v>0.50348783500696426</v>
      </c>
      <c r="J4">
        <f t="shared" si="0"/>
        <v>0.19364916731037085</v>
      </c>
      <c r="K4">
        <f t="shared" si="0"/>
        <v>0.11386571037849805</v>
      </c>
      <c r="L4" s="1">
        <f t="shared" si="1"/>
        <v>0.19364916731037085</v>
      </c>
      <c r="M4" s="1">
        <f t="shared" si="2"/>
        <v>0.50348783500696426</v>
      </c>
      <c r="N4" s="1">
        <f t="shared" si="3"/>
        <v>0.19364916731037085</v>
      </c>
      <c r="O4" s="1">
        <f t="shared" si="4"/>
        <v>0.11386571037849805</v>
      </c>
      <c r="P4" s="1"/>
      <c r="Q4" s="1"/>
      <c r="R4" s="1"/>
      <c r="S4" s="1"/>
      <c r="T4" s="1"/>
      <c r="U4" s="1"/>
      <c r="V4" s="1"/>
      <c r="W4" s="1"/>
    </row>
    <row r="5" spans="1:23" x14ac:dyDescent="0.25">
      <c r="A5" t="s">
        <v>45</v>
      </c>
      <c r="B5">
        <f>Sheet1!B19/9</f>
        <v>0.11340230290662862</v>
      </c>
      <c r="D5" s="1">
        <f>Sheet1!O6</f>
        <v>0.05</v>
      </c>
      <c r="E5" s="1">
        <f>Sheet1!P6</f>
        <v>7.8999999999999987E-2</v>
      </c>
      <c r="F5" s="1">
        <f>Sheet1!Q6</f>
        <v>0.05</v>
      </c>
      <c r="G5" s="1">
        <f>Sheet1!R6</f>
        <v>9.2999999999999992E-3</v>
      </c>
      <c r="H5">
        <f t="shared" si="5"/>
        <v>0.3872983346207417</v>
      </c>
      <c r="I5">
        <f t="shared" si="0"/>
        <v>0.61193136870077181</v>
      </c>
      <c r="J5">
        <f t="shared" si="0"/>
        <v>0.3872983346207417</v>
      </c>
      <c r="K5">
        <f t="shared" si="0"/>
        <v>7.2037490239457949E-2</v>
      </c>
      <c r="L5" s="1">
        <f t="shared" si="1"/>
        <v>0.3872983346207417</v>
      </c>
      <c r="M5" s="1">
        <f t="shared" si="2"/>
        <v>0.61193136870077181</v>
      </c>
      <c r="N5" s="1">
        <f t="shared" si="3"/>
        <v>0.3872983346207417</v>
      </c>
      <c r="O5" s="1">
        <f t="shared" si="4"/>
        <v>7.2037490239457949E-2</v>
      </c>
      <c r="P5" s="1"/>
      <c r="Q5" s="1"/>
      <c r="R5" s="1"/>
      <c r="S5" s="1"/>
      <c r="T5" s="1"/>
      <c r="U5" s="1"/>
      <c r="V5" s="1"/>
      <c r="W5" s="1"/>
    </row>
    <row r="6" spans="1:23" x14ac:dyDescent="0.25">
      <c r="D6" s="1">
        <f>Sheet1!O7</f>
        <v>7.4999999999999997E-2</v>
      </c>
      <c r="E6" s="1">
        <f>Sheet1!P7</f>
        <v>8.8499999999999995E-2</v>
      </c>
      <c r="F6" s="1">
        <f>Sheet1!Q7</f>
        <v>7.4999999999999997E-2</v>
      </c>
      <c r="G6" s="1">
        <f>Sheet1!R7</f>
        <v>6.3E-3</v>
      </c>
      <c r="H6">
        <f t="shared" si="5"/>
        <v>0.58094750193111255</v>
      </c>
      <c r="I6">
        <f t="shared" si="0"/>
        <v>0.68551805227871276</v>
      </c>
      <c r="J6">
        <f t="shared" si="0"/>
        <v>0.58094750193111255</v>
      </c>
      <c r="K6">
        <f t="shared" si="0"/>
        <v>4.8799590162213455E-2</v>
      </c>
      <c r="L6" s="1">
        <f t="shared" si="1"/>
        <v>0.58094750193111255</v>
      </c>
      <c r="M6" s="1">
        <f t="shared" si="2"/>
        <v>0.68551805227871276</v>
      </c>
      <c r="N6" s="1">
        <f t="shared" si="3"/>
        <v>0.58094750193111255</v>
      </c>
      <c r="O6" s="1">
        <f t="shared" si="4"/>
        <v>4.8799590162213455E-2</v>
      </c>
      <c r="P6" s="1"/>
      <c r="Q6" s="1"/>
      <c r="R6" s="1"/>
      <c r="S6" s="1"/>
      <c r="T6" s="1"/>
      <c r="U6" s="1"/>
      <c r="V6" s="1"/>
      <c r="W6" s="1"/>
    </row>
    <row r="7" spans="1:23" x14ac:dyDescent="0.25">
      <c r="D7" s="1">
        <f>Sheet1!O8</f>
        <v>0.1</v>
      </c>
      <c r="E7" s="1">
        <f>Sheet1!P8</f>
        <v>9.6000000000000002E-2</v>
      </c>
      <c r="F7" s="1">
        <f>Sheet1!Q8</f>
        <v>0.1</v>
      </c>
      <c r="G7" s="1">
        <f>Sheet1!R8</f>
        <v>4.1999999999999997E-3</v>
      </c>
      <c r="H7">
        <f t="shared" si="5"/>
        <v>0.7745966692414834</v>
      </c>
      <c r="I7">
        <f t="shared" si="0"/>
        <v>0.74361280247182404</v>
      </c>
      <c r="J7">
        <f t="shared" si="0"/>
        <v>0.7745966692414834</v>
      </c>
      <c r="K7">
        <f t="shared" si="0"/>
        <v>3.2533060108142303E-2</v>
      </c>
      <c r="L7" s="1">
        <f t="shared" si="1"/>
        <v>0.7745966692414834</v>
      </c>
      <c r="M7" s="1">
        <f t="shared" si="2"/>
        <v>0.74361280247182404</v>
      </c>
      <c r="N7" s="1">
        <f t="shared" si="3"/>
        <v>0.7745966692414834</v>
      </c>
      <c r="O7" s="1">
        <f t="shared" si="4"/>
        <v>3.2533060108142303E-2</v>
      </c>
      <c r="P7" s="1"/>
      <c r="Q7" s="1"/>
      <c r="R7" s="1"/>
      <c r="S7" s="1"/>
      <c r="T7" s="1"/>
      <c r="U7" s="1"/>
      <c r="V7" s="1"/>
      <c r="W7" s="1"/>
    </row>
    <row r="8" spans="1:23" x14ac:dyDescent="0.25">
      <c r="D8" s="1">
        <f>Sheet1!O9</f>
        <v>0.15</v>
      </c>
      <c r="E8" s="1">
        <f>Sheet1!P9</f>
        <v>0.1069</v>
      </c>
      <c r="F8" s="1">
        <f>Sheet1!Q9</f>
        <v>0.15</v>
      </c>
      <c r="G8" s="1">
        <f>Sheet1!R9</f>
        <v>1.5E-3</v>
      </c>
      <c r="H8">
        <f t="shared" si="5"/>
        <v>1.1618950038622251</v>
      </c>
      <c r="I8">
        <f t="shared" si="0"/>
        <v>0.82804383941914572</v>
      </c>
      <c r="J8">
        <f t="shared" si="0"/>
        <v>1.1618950038622251</v>
      </c>
      <c r="K8">
        <f t="shared" si="0"/>
        <v>1.1618950038622251E-2</v>
      </c>
      <c r="L8" s="1">
        <f t="shared" si="1"/>
        <v>1.1618950038622251</v>
      </c>
      <c r="M8" s="1">
        <f t="shared" si="2"/>
        <v>0.82804383941914572</v>
      </c>
      <c r="N8" s="1">
        <f t="shared" si="3"/>
        <v>1.1618950038622251</v>
      </c>
      <c r="O8" s="1">
        <f t="shared" si="4"/>
        <v>1.1618950038622251E-2</v>
      </c>
      <c r="P8" s="1"/>
      <c r="Q8" s="1"/>
      <c r="R8" s="1"/>
      <c r="S8" s="1"/>
      <c r="T8" s="1"/>
      <c r="U8" s="1"/>
      <c r="V8" s="1"/>
      <c r="W8" s="1"/>
    </row>
    <row r="9" spans="1:23" x14ac:dyDescent="0.25">
      <c r="D9" s="1">
        <f>Sheet1!O10</f>
        <v>0.2</v>
      </c>
      <c r="E9" s="1">
        <f>Sheet1!P10</f>
        <v>0.11360000000000003</v>
      </c>
      <c r="F9" s="1">
        <f>Sheet1!Q10</f>
        <v>0.2</v>
      </c>
      <c r="G9" s="1">
        <f>Sheet1!R10</f>
        <v>2.9999999999999997E-4</v>
      </c>
      <c r="H9">
        <f t="shared" si="5"/>
        <v>1.5491933384829668</v>
      </c>
      <c r="I9">
        <f t="shared" si="0"/>
        <v>0.87994181625832546</v>
      </c>
      <c r="J9">
        <f t="shared" si="0"/>
        <v>1.5491933384829668</v>
      </c>
      <c r="K9">
        <f t="shared" si="0"/>
        <v>2.32379000772445E-3</v>
      </c>
      <c r="L9" s="1">
        <f t="shared" si="1"/>
        <v>1.5491933384829668</v>
      </c>
      <c r="M9" s="1">
        <f t="shared" si="2"/>
        <v>0.87994181625832546</v>
      </c>
      <c r="N9" s="1">
        <f t="shared" si="3"/>
        <v>1.5491933384829668</v>
      </c>
      <c r="O9" s="1">
        <f t="shared" si="4"/>
        <v>2.32379000772445E-3</v>
      </c>
      <c r="P9" s="1"/>
      <c r="Q9" s="1"/>
      <c r="R9" s="1"/>
      <c r="S9" s="1"/>
      <c r="T9" s="1"/>
      <c r="U9" s="1"/>
      <c r="V9" s="1"/>
      <c r="W9" s="1"/>
    </row>
    <row r="10" spans="1:23" x14ac:dyDescent="0.25">
      <c r="D10" s="1">
        <f>Sheet1!O11</f>
        <v>0.3</v>
      </c>
      <c r="E10" s="1">
        <f>Sheet1!P11</f>
        <v>0.11699999999999999</v>
      </c>
      <c r="F10" s="1">
        <f>Sheet1!Q11</f>
        <v>0.3</v>
      </c>
      <c r="G10" s="1">
        <f>Sheet1!R11</f>
        <v>0</v>
      </c>
      <c r="H10">
        <f t="shared" si="5"/>
        <v>2.3237900077244502</v>
      </c>
      <c r="I10">
        <f t="shared" si="0"/>
        <v>0.90627810301253553</v>
      </c>
      <c r="J10">
        <f t="shared" si="0"/>
        <v>2.3237900077244502</v>
      </c>
      <c r="K10">
        <f t="shared" si="0"/>
        <v>0</v>
      </c>
      <c r="L10" s="1">
        <f t="shared" si="1"/>
        <v>2.3237900077244502</v>
      </c>
      <c r="M10" s="1">
        <f t="shared" si="2"/>
        <v>0.90627810301253553</v>
      </c>
      <c r="N10" s="1">
        <f t="shared" si="3"/>
        <v>2.3237900077244502</v>
      </c>
      <c r="O10" s="1">
        <f t="shared" si="4"/>
        <v>0</v>
      </c>
      <c r="P10" s="1"/>
      <c r="Q10" s="1"/>
      <c r="R10" s="1"/>
      <c r="S10" s="1"/>
      <c r="T10" s="1"/>
      <c r="U10" s="1"/>
      <c r="V10" s="1"/>
      <c r="W10" s="1"/>
    </row>
    <row r="11" spans="1:23" x14ac:dyDescent="0.25">
      <c r="D11" s="1">
        <f>Sheet1!O12</f>
        <v>0.4</v>
      </c>
      <c r="E11" s="1">
        <f>Sheet1!P12</f>
        <v>0.11399999999999999</v>
      </c>
      <c r="F11" s="1">
        <f>Sheet1!Q12</f>
        <v>0.4</v>
      </c>
      <c r="G11" s="1">
        <f>Sheet1!R12</f>
        <v>0</v>
      </c>
      <c r="H11">
        <f t="shared" si="5"/>
        <v>3.0983866769659336</v>
      </c>
      <c r="I11">
        <f t="shared" si="0"/>
        <v>0.88304020293529095</v>
      </c>
      <c r="J11">
        <f t="shared" si="0"/>
        <v>3.0983866769659336</v>
      </c>
      <c r="K11">
        <f t="shared" si="0"/>
        <v>0</v>
      </c>
      <c r="L11" s="1">
        <f t="shared" si="1"/>
        <v>3.0983866769659336</v>
      </c>
      <c r="M11" s="1">
        <f t="shared" si="2"/>
        <v>0.88304020293529095</v>
      </c>
      <c r="N11" s="1">
        <f t="shared" si="3"/>
        <v>3.0983866769659336</v>
      </c>
      <c r="O11" s="1">
        <f t="shared" si="4"/>
        <v>0</v>
      </c>
      <c r="P11" s="1"/>
      <c r="Q11" s="1"/>
      <c r="R11" s="1"/>
      <c r="S11" s="1"/>
      <c r="T11" s="1"/>
      <c r="U11" s="1"/>
      <c r="V11" s="1"/>
      <c r="W11" s="1"/>
    </row>
    <row r="12" spans="1:23" x14ac:dyDescent="0.25">
      <c r="D12" s="1">
        <f>Sheet1!O13</f>
        <v>0.5</v>
      </c>
      <c r="E12" s="1">
        <f>Sheet1!P13</f>
        <v>0.1052</v>
      </c>
      <c r="F12" s="1">
        <f>Sheet1!Q13</f>
        <v>0.5</v>
      </c>
      <c r="G12" s="1">
        <f>Sheet1!R13</f>
        <v>0</v>
      </c>
      <c r="H12">
        <f t="shared" si="5"/>
        <v>3.872983346207417</v>
      </c>
      <c r="I12">
        <f t="shared" si="0"/>
        <v>0.81487569604204058</v>
      </c>
      <c r="J12">
        <f t="shared" si="0"/>
        <v>3.872983346207417</v>
      </c>
      <c r="K12">
        <f t="shared" si="0"/>
        <v>0</v>
      </c>
      <c r="L12" s="1">
        <f t="shared" si="1"/>
        <v>3.872983346207417</v>
      </c>
      <c r="M12" s="1">
        <f t="shared" si="2"/>
        <v>0.81487569604204058</v>
      </c>
      <c r="N12" s="1">
        <f t="shared" si="3"/>
        <v>3.872983346207417</v>
      </c>
      <c r="O12" s="1">
        <f t="shared" si="4"/>
        <v>0</v>
      </c>
      <c r="P12" s="1"/>
      <c r="Q12" s="1"/>
      <c r="R12" s="1"/>
      <c r="S12" s="1"/>
      <c r="T12" s="1"/>
      <c r="U12" s="1"/>
      <c r="V12" s="1"/>
      <c r="W12" s="1"/>
    </row>
    <row r="13" spans="1:23" x14ac:dyDescent="0.25">
      <c r="D13" s="1">
        <f>Sheet1!O14</f>
        <v>0.6</v>
      </c>
      <c r="E13" s="1">
        <f>Sheet1!P14</f>
        <v>9.1499999999999998E-2</v>
      </c>
      <c r="F13" s="1">
        <f>Sheet1!Q14</f>
        <v>0.6</v>
      </c>
      <c r="G13" s="1">
        <f>Sheet1!R14</f>
        <v>0</v>
      </c>
      <c r="H13">
        <f t="shared" si="5"/>
        <v>4.6475800154489004</v>
      </c>
      <c r="I13">
        <f t="shared" si="0"/>
        <v>0.70875595235595734</v>
      </c>
      <c r="J13">
        <f t="shared" si="0"/>
        <v>4.6475800154489004</v>
      </c>
      <c r="K13">
        <f t="shared" si="0"/>
        <v>0</v>
      </c>
      <c r="L13" s="1">
        <f t="shared" si="1"/>
        <v>4.6475800154489004</v>
      </c>
      <c r="M13" s="1">
        <f t="shared" si="2"/>
        <v>0.70875595235595734</v>
      </c>
      <c r="N13" s="1">
        <f t="shared" si="3"/>
        <v>4.6475800154489004</v>
      </c>
      <c r="O13" s="1">
        <f t="shared" si="4"/>
        <v>0</v>
      </c>
      <c r="P13" s="1"/>
      <c r="Q13" s="1"/>
      <c r="R13" s="1"/>
      <c r="S13" s="1"/>
      <c r="T13" s="1"/>
      <c r="U13" s="1"/>
      <c r="V13" s="1"/>
      <c r="W13" s="1"/>
    </row>
    <row r="14" spans="1:23" x14ac:dyDescent="0.25">
      <c r="D14" s="1">
        <f>Sheet1!O15</f>
        <v>0.7</v>
      </c>
      <c r="E14" s="1">
        <f>Sheet1!P15</f>
        <v>7.350000000000001E-2</v>
      </c>
      <c r="F14" s="1">
        <f>Sheet1!Q15</f>
        <v>0.7</v>
      </c>
      <c r="G14" s="1">
        <f>Sheet1!R15</f>
        <v>0</v>
      </c>
      <c r="H14">
        <f t="shared" si="5"/>
        <v>5.4221766846903838</v>
      </c>
      <c r="I14">
        <f t="shared" si="0"/>
        <v>0.56932855189249043</v>
      </c>
      <c r="J14">
        <f t="shared" si="0"/>
        <v>5.4221766846903838</v>
      </c>
      <c r="K14">
        <f t="shared" si="0"/>
        <v>0</v>
      </c>
      <c r="L14" s="1">
        <f t="shared" si="1"/>
        <v>5.4221766846903838</v>
      </c>
      <c r="M14" s="1">
        <f t="shared" si="2"/>
        <v>0.56932855189249043</v>
      </c>
      <c r="N14" s="1">
        <f t="shared" si="3"/>
        <v>5.4221766846903838</v>
      </c>
      <c r="O14" s="1">
        <f t="shared" si="4"/>
        <v>0</v>
      </c>
      <c r="P14" s="1"/>
      <c r="Q14" s="1"/>
      <c r="R14" s="1"/>
      <c r="S14" s="1"/>
      <c r="T14" s="1"/>
      <c r="U14" s="1"/>
      <c r="V14" s="1"/>
      <c r="W14" s="1"/>
    </row>
    <row r="15" spans="1:23" x14ac:dyDescent="0.25">
      <c r="D15" s="1">
        <f>Sheet1!O16</f>
        <v>0.8</v>
      </c>
      <c r="E15" s="1">
        <f>Sheet1!P16</f>
        <v>5.220000000000001E-2</v>
      </c>
      <c r="F15" s="1">
        <f>Sheet1!Q16</f>
        <v>0.8</v>
      </c>
      <c r="G15" s="1">
        <f>Sheet1!R16</f>
        <v>0</v>
      </c>
      <c r="H15">
        <f t="shared" si="5"/>
        <v>6.1967733539318672</v>
      </c>
      <c r="I15">
        <f t="shared" si="0"/>
        <v>0.40433946134405441</v>
      </c>
      <c r="J15">
        <f t="shared" si="0"/>
        <v>6.1967733539318672</v>
      </c>
      <c r="K15">
        <f t="shared" si="0"/>
        <v>0</v>
      </c>
      <c r="L15" s="1">
        <f t="shared" si="1"/>
        <v>6.1967733539318672</v>
      </c>
      <c r="M15" s="1">
        <f t="shared" si="2"/>
        <v>0.40433946134405441</v>
      </c>
      <c r="N15" s="1">
        <f t="shared" si="3"/>
        <v>6.1967733539318672</v>
      </c>
      <c r="O15" s="1">
        <f t="shared" si="4"/>
        <v>0</v>
      </c>
      <c r="P15" s="1"/>
      <c r="Q15" s="1"/>
      <c r="R15" s="1"/>
      <c r="S15" s="1"/>
      <c r="T15" s="1"/>
      <c r="U15" s="1"/>
      <c r="V15" s="1"/>
      <c r="W15" s="1"/>
    </row>
    <row r="16" spans="1:23" x14ac:dyDescent="0.25">
      <c r="D16" s="1">
        <f>Sheet1!O17</f>
        <v>0.90000000000000013</v>
      </c>
      <c r="E16" s="1">
        <f>Sheet1!P17</f>
        <v>2.8000000000000001E-2</v>
      </c>
      <c r="F16" s="1">
        <f>Sheet1!Q17</f>
        <v>0.90000000000000013</v>
      </c>
      <c r="G16" s="1">
        <f>Sheet1!R17</f>
        <v>0</v>
      </c>
      <c r="H16">
        <f t="shared" si="5"/>
        <v>6.9713700231733515</v>
      </c>
      <c r="I16">
        <f t="shared" si="0"/>
        <v>0.21688706738761535</v>
      </c>
      <c r="J16">
        <f t="shared" si="0"/>
        <v>6.9713700231733515</v>
      </c>
      <c r="K16">
        <f t="shared" si="0"/>
        <v>0</v>
      </c>
      <c r="L16" s="1">
        <f t="shared" si="1"/>
        <v>6.9713700231733515</v>
      </c>
      <c r="M16" s="1">
        <f t="shared" si="2"/>
        <v>0.21688706738761535</v>
      </c>
      <c r="N16" s="1">
        <f t="shared" si="3"/>
        <v>6.9713700231733515</v>
      </c>
      <c r="O16" s="1">
        <f t="shared" si="4"/>
        <v>0</v>
      </c>
      <c r="P16" s="1"/>
      <c r="Q16" s="1"/>
      <c r="R16" s="1"/>
      <c r="S16" s="1"/>
      <c r="T16" s="1"/>
      <c r="U16" s="1"/>
      <c r="V16" s="1"/>
      <c r="W16" s="1"/>
    </row>
    <row r="17" spans="4:54" x14ac:dyDescent="0.25">
      <c r="D17" s="1">
        <f>Sheet1!O18</f>
        <v>0.95</v>
      </c>
      <c r="E17" s="1">
        <f>Sheet1!P18</f>
        <v>1.49E-2</v>
      </c>
      <c r="F17" s="1">
        <f>Sheet1!Q18</f>
        <v>0.95</v>
      </c>
      <c r="G17" s="1">
        <f>Sheet1!R18</f>
        <v>0</v>
      </c>
      <c r="H17">
        <f t="shared" si="5"/>
        <v>7.3586683577940919</v>
      </c>
      <c r="I17">
        <f t="shared" si="0"/>
        <v>0.11541490371698103</v>
      </c>
      <c r="J17">
        <f t="shared" si="0"/>
        <v>7.3586683577940919</v>
      </c>
      <c r="K17">
        <f t="shared" si="0"/>
        <v>0</v>
      </c>
      <c r="L17" s="1">
        <f t="shared" si="1"/>
        <v>7.3586683577940919</v>
      </c>
      <c r="M17" s="1">
        <f t="shared" si="2"/>
        <v>0.11541490371698103</v>
      </c>
      <c r="N17" s="1">
        <f t="shared" si="3"/>
        <v>7.3586683577940919</v>
      </c>
      <c r="O17" s="1">
        <f t="shared" si="4"/>
        <v>0</v>
      </c>
      <c r="P17" s="1"/>
      <c r="Q17" s="1"/>
      <c r="R17" s="1"/>
      <c r="S17" s="1"/>
      <c r="T17" s="1"/>
      <c r="U17" s="1"/>
      <c r="V17" s="1"/>
      <c r="W17" s="1"/>
    </row>
    <row r="18" spans="4:54" x14ac:dyDescent="0.25">
      <c r="D18" s="1">
        <f>Sheet1!O19</f>
        <v>1</v>
      </c>
      <c r="E18" s="1">
        <f>Sheet1!P19</f>
        <v>1.1999999999999999E-3</v>
      </c>
      <c r="F18" s="1">
        <f>Sheet1!Q19</f>
        <v>1</v>
      </c>
      <c r="G18" s="1">
        <f>Sheet1!R19</f>
        <v>0</v>
      </c>
      <c r="H18">
        <f t="shared" si="5"/>
        <v>7.745966692414834</v>
      </c>
      <c r="I18">
        <f t="shared" si="5"/>
        <v>9.2951600308978002E-3</v>
      </c>
      <c r="J18">
        <f t="shared" si="5"/>
        <v>7.745966692414834</v>
      </c>
      <c r="K18">
        <f t="shared" si="5"/>
        <v>0</v>
      </c>
      <c r="L18" s="1">
        <f t="shared" si="1"/>
        <v>7.745966692414834</v>
      </c>
      <c r="M18" s="1">
        <f t="shared" si="2"/>
        <v>9.2951600308978002E-3</v>
      </c>
      <c r="N18" s="1">
        <f t="shared" si="3"/>
        <v>7.745966692414834</v>
      </c>
      <c r="O18" s="1">
        <f t="shared" si="4"/>
        <v>0</v>
      </c>
      <c r="P18" s="1"/>
      <c r="Q18" s="1"/>
      <c r="R18" s="1"/>
      <c r="S18" s="1"/>
      <c r="T18" s="1"/>
      <c r="U18" s="1"/>
      <c r="V18" s="1"/>
      <c r="W18" s="1"/>
    </row>
    <row r="21" spans="4:54" x14ac:dyDescent="0.25">
      <c r="D21" t="s">
        <v>46</v>
      </c>
      <c r="L21" t="s">
        <v>49</v>
      </c>
      <c r="T21" t="s">
        <v>40</v>
      </c>
      <c r="X21" t="s">
        <v>53</v>
      </c>
      <c r="AA21" t="s">
        <v>54</v>
      </c>
      <c r="AD21" t="s">
        <v>59</v>
      </c>
      <c r="AE21" t="s">
        <v>61</v>
      </c>
      <c r="AF21" t="s">
        <v>60</v>
      </c>
      <c r="AG21" t="s">
        <v>62</v>
      </c>
      <c r="AH21" t="s">
        <v>63</v>
      </c>
      <c r="AI21" t="s">
        <v>64</v>
      </c>
      <c r="AJ21" t="s">
        <v>55</v>
      </c>
      <c r="AK21" t="s">
        <v>56</v>
      </c>
      <c r="AL21" t="s">
        <v>57</v>
      </c>
      <c r="AM21" t="s">
        <v>58</v>
      </c>
      <c r="AN21" t="s">
        <v>65</v>
      </c>
      <c r="AO21" t="s">
        <v>66</v>
      </c>
      <c r="AP21" t="s">
        <v>67</v>
      </c>
      <c r="AQ21" t="s">
        <v>68</v>
      </c>
      <c r="AR21" t="s">
        <v>63</v>
      </c>
      <c r="AS21" t="s">
        <v>64</v>
      </c>
      <c r="AT21" t="s">
        <v>69</v>
      </c>
      <c r="AU21" t="s">
        <v>70</v>
      </c>
      <c r="AV21" t="s">
        <v>71</v>
      </c>
      <c r="AW21" t="s">
        <v>72</v>
      </c>
      <c r="AZ21" t="s">
        <v>92</v>
      </c>
      <c r="BA21" t="s">
        <v>93</v>
      </c>
      <c r="BB21" t="s">
        <v>94</v>
      </c>
    </row>
    <row r="22" spans="4:54" x14ac:dyDescent="0.25">
      <c r="D22">
        <f>Sheet1!S3</f>
        <v>0</v>
      </c>
      <c r="E22">
        <f>Sheet1!T3</f>
        <v>3.5000000000000003E-2</v>
      </c>
      <c r="F22">
        <f>Sheet1!U3</f>
        <v>0</v>
      </c>
      <c r="G22">
        <f>Sheet1!V3</f>
        <v>3.5000000000000003E-2</v>
      </c>
      <c r="H22" s="1">
        <f>D22*$B$2</f>
        <v>0</v>
      </c>
      <c r="I22" s="1">
        <f>E22*$B$2</f>
        <v>0.2711088342345192</v>
      </c>
      <c r="J22" s="1">
        <f>F22*$B$2</f>
        <v>0</v>
      </c>
      <c r="K22" s="1">
        <f>G22*$B$2</f>
        <v>0.2711088342345192</v>
      </c>
      <c r="L22">
        <f>H22-(0.25*$J$38)</f>
        <v>-1.9364916731037085</v>
      </c>
      <c r="M22">
        <f>I22-(0.25*$K$38)+Sheet1!$B$17</f>
        <v>19.244774795244794</v>
      </c>
      <c r="N22">
        <f>J22-(0.25*$J$38)</f>
        <v>-1.9364916731037085</v>
      </c>
      <c r="O22">
        <f>K22-(0.25*$K$38)+Sheet1!$B$17</f>
        <v>19.244774795244794</v>
      </c>
      <c r="P22" s="1">
        <f>D22*$B$3</f>
        <v>0</v>
      </c>
      <c r="Q22" s="1">
        <f>E22*$B$3</f>
        <v>0.2711088342345192</v>
      </c>
      <c r="R22" s="1">
        <f>F22*$B$3</f>
        <v>0</v>
      </c>
      <c r="S22" s="1">
        <f>G22*$B$3</f>
        <v>0.2711088342345192</v>
      </c>
      <c r="T22">
        <f>P22-(0.25*$R$38)</f>
        <v>-1.9364916731037085</v>
      </c>
      <c r="U22">
        <f>Q22-(0.25*$S$38)+Sheet1!$B$17</f>
        <v>19.244774795244794</v>
      </c>
      <c r="V22">
        <f>R22-(0.25*$R$38)</f>
        <v>-1.9364916731037085</v>
      </c>
      <c r="W22">
        <f>S22-(0.25*$S$38)+Sheet1!$B$17</f>
        <v>19.244774795244794</v>
      </c>
      <c r="X22" s="4">
        <f>L22</f>
        <v>-1.9364916731037085</v>
      </c>
      <c r="Y22" s="4">
        <f>M22*COS($B$5)</f>
        <v>19.121162658423213</v>
      </c>
      <c r="Z22" s="4">
        <f>M22*SIN($B$5)</f>
        <v>2.1777271431038043</v>
      </c>
      <c r="AA22">
        <f>N22</f>
        <v>-1.9364916731037085</v>
      </c>
      <c r="AB22">
        <f>O22*COS($B$5)</f>
        <v>19.121162658423213</v>
      </c>
      <c r="AC22">
        <f>O22*SIN($B$5)</f>
        <v>2.1777271431038043</v>
      </c>
      <c r="AD22" s="3"/>
      <c r="AE22" s="3"/>
      <c r="AF22" s="3">
        <f t="shared" ref="AF22:AF38" si="6">SQRT(((T22-X22)^2)+((U22-Y22)^2)+(Z22^2))</f>
        <v>2.1812325575647944</v>
      </c>
      <c r="AG22" s="3">
        <f>SQRT(((T22-X23)^2)+((U22-Y23)^2)+(Z23^2))</f>
        <v>2.1971135142431732</v>
      </c>
      <c r="AH22" s="3">
        <f>ACOS(((AF22^2)+(AG22^2)-(AD23^2))/(2*AF22*AG22))</f>
        <v>8.1657466171357163E-2</v>
      </c>
      <c r="AI22" s="3">
        <f>ACOS(((AF23^2)+(AG22^2)-(AE23^2))/(2*AF23*AG22))-AH22</f>
        <v>1.3322676295501878E-15</v>
      </c>
      <c r="AJ22" s="3">
        <v>0</v>
      </c>
      <c r="AK22" s="3">
        <v>0</v>
      </c>
      <c r="AL22" s="3">
        <f>AF22</f>
        <v>2.1812325575647944</v>
      </c>
      <c r="AM22" s="3">
        <v>0</v>
      </c>
      <c r="AN22" s="1"/>
      <c r="AO22" s="1"/>
      <c r="AP22" s="1">
        <f>SQRT(((V22-AA22)^2)+((W22-AB22)^2)+(AC22^2))</f>
        <v>2.1812325575647944</v>
      </c>
      <c r="AQ22" s="1">
        <f>SQRT(((V22-AA23)^2)+((W22-AB23)^2)+(AC23^2))</f>
        <v>2.1798794718172543</v>
      </c>
      <c r="AR22" s="1">
        <f>ACOS(((AP22^2)+(AQ22^2)-(AN23^2))/(2*AP22*AQ22))</f>
        <v>7.130111604770728E-2</v>
      </c>
      <c r="AS22" s="1">
        <f>ACOS(((AP23^2)+(AQ22^2)-(AO23^2))/(2*AP23*AQ22))-AR22</f>
        <v>0</v>
      </c>
      <c r="AT22" s="1">
        <v>0</v>
      </c>
      <c r="AU22" s="1">
        <v>0</v>
      </c>
      <c r="AV22" s="1">
        <f>AF22</f>
        <v>2.1812325575647944</v>
      </c>
      <c r="AW22" s="1">
        <v>0</v>
      </c>
      <c r="AY22" t="s">
        <v>87</v>
      </c>
      <c r="AZ22">
        <f>N22</f>
        <v>-1.9364916731037085</v>
      </c>
      <c r="BA22">
        <f>O22</f>
        <v>19.244774795244794</v>
      </c>
      <c r="BB22">
        <f>SQRT(((AZ22-Sheet1!$B$24)^2)+((BA22-Sheet1!$B$25)^2))</f>
        <v>21.232073178419174</v>
      </c>
    </row>
    <row r="23" spans="4:54" x14ac:dyDescent="0.25">
      <c r="D23">
        <f>Sheet1!S4</f>
        <v>1.2500000000000001E-2</v>
      </c>
      <c r="E23">
        <f>Sheet1!T4</f>
        <v>5.45E-2</v>
      </c>
      <c r="F23">
        <f>Sheet1!U4</f>
        <v>1.2500000000000001E-2</v>
      </c>
      <c r="G23">
        <f>Sheet1!V4</f>
        <v>1.9300000000000001E-2</v>
      </c>
      <c r="H23" s="1">
        <f t="shared" ref="H23:K38" si="7">D23*$B$2</f>
        <v>9.6824583655185426E-2</v>
      </c>
      <c r="I23" s="1">
        <f t="shared" ref="I23:K37" si="8">E23*$B$2</f>
        <v>0.42215518473660846</v>
      </c>
      <c r="J23" s="1">
        <f t="shared" si="8"/>
        <v>9.6824583655185426E-2</v>
      </c>
      <c r="K23" s="1">
        <f t="shared" si="8"/>
        <v>0.14949715716360631</v>
      </c>
      <c r="L23">
        <f t="shared" ref="L23:L38" si="9">H23-(0.25*$J$38)</f>
        <v>-1.8396670894485232</v>
      </c>
      <c r="M23">
        <f>I23-(0.25*$K$38)+Sheet1!$B$17</f>
        <v>19.395821145746886</v>
      </c>
      <c r="N23">
        <f t="shared" ref="N23:N38" si="10">J23-(0.25*$J$38)</f>
        <v>-1.8396670894485232</v>
      </c>
      <c r="O23">
        <f>K23-(0.25*$K$38)+Sheet1!$B$17</f>
        <v>19.123163118173881</v>
      </c>
      <c r="P23" s="1">
        <f t="shared" ref="P23:P38" si="11">D23*$B$3</f>
        <v>9.6824583655185426E-2</v>
      </c>
      <c r="Q23" s="1">
        <f t="shared" ref="Q23:Q38" si="12">E23*$B$3</f>
        <v>0.42215518473660846</v>
      </c>
      <c r="R23" s="1">
        <f t="shared" ref="R23:R38" si="13">F23*$B$3</f>
        <v>9.6824583655185426E-2</v>
      </c>
      <c r="S23" s="1">
        <f t="shared" ref="S23:S38" si="14">G23*$B$3</f>
        <v>0.14949715716360631</v>
      </c>
      <c r="T23">
        <f t="shared" ref="T23:T38" si="15">P23-(0.25*$R$38)</f>
        <v>-1.8396670894485232</v>
      </c>
      <c r="U23">
        <f>Q23-(0.25*$S$38)+Sheet1!$B$17</f>
        <v>19.395821145746886</v>
      </c>
      <c r="V23">
        <f t="shared" ref="V23:V38" si="16">R23-(0.25*$R$38)</f>
        <v>-1.8396670894485232</v>
      </c>
      <c r="W23">
        <f>S23-(0.25*$S$38)+Sheet1!$B$17</f>
        <v>19.123163118173881</v>
      </c>
      <c r="X23" s="4">
        <f t="shared" ref="X23:X38" si="17">L23</f>
        <v>-1.8396670894485232</v>
      </c>
      <c r="Y23" s="4">
        <f t="shared" ref="Y23:Y38" si="18">M23*COS($B$5)</f>
        <v>19.271238815075634</v>
      </c>
      <c r="Z23" s="4">
        <f t="shared" ref="Z23:Z38" si="19">M23*SIN($B$5)</f>
        <v>2.1948194572958339</v>
      </c>
      <c r="AA23">
        <f t="shared" ref="AA23:AA38" si="20">N23</f>
        <v>-1.8396670894485232</v>
      </c>
      <c r="AB23">
        <f t="shared" ref="AB23:AB38" si="21">O23*COS($B$5)</f>
        <v>19.000332111785113</v>
      </c>
      <c r="AC23">
        <f t="shared" ref="AC23:AC38" si="22">O23*SIN($B$5)</f>
        <v>2.1639656388568884</v>
      </c>
      <c r="AD23" s="3">
        <f t="shared" ref="AD23:AD38" si="23">SQRT(((X23-X22)^2)+((Y23-Y22)^2)+((Z22-Z23)^2))</f>
        <v>0.17941571837495476</v>
      </c>
      <c r="AE23" s="3">
        <f>SQRT(((T22-T23)^2)+((U22-U23)^2))</f>
        <v>0.17941571837495421</v>
      </c>
      <c r="AF23" s="3">
        <f t="shared" si="6"/>
        <v>2.1983523846826425</v>
      </c>
      <c r="AG23" s="3">
        <f t="shared" ref="AG23:AG37" si="24">SQRT(((T23-X24)^2)+((U23-Y24)^2)+(Z24^2))</f>
        <v>2.2065829758929447</v>
      </c>
      <c r="AH23" s="3">
        <f>ACOS(((AF23^2)+(AG23^2)-(AD24^2))/(2*AF23*AG23))-AI22</f>
        <v>5.7299779146543717E-2</v>
      </c>
      <c r="AI23" s="3">
        <f>ACOS(((AF24^2)+(AG23^2)-(AE24^2))/(2*AF24*AG23))-AH23</f>
        <v>1.3322676295501878E-15</v>
      </c>
      <c r="AJ23" s="3">
        <f>-COS(AI22)*AF23+AL23</f>
        <v>-8.5599135589236042E-3</v>
      </c>
      <c r="AK23" s="3">
        <f>SIN(AI22)*AF23+AM23</f>
        <v>0.17921140555183585</v>
      </c>
      <c r="AL23" s="3">
        <f>COS(AH22)*AG22+AJ22</f>
        <v>2.1897924711237189</v>
      </c>
      <c r="AM23" s="3">
        <f>SIN(AH22)*AG22+AK22</f>
        <v>0.1792114055518329</v>
      </c>
      <c r="AN23" s="1">
        <f>SQRT(((AA23-AA22)^2)+((AB23-AB22)^2)+((AC22-AC23)^2))</f>
        <v>0.15544902701528851</v>
      </c>
      <c r="AO23" s="1">
        <f>SQRT(((V22-V23)^2)+((W22-W23)^2))</f>
        <v>0.1554490270152887</v>
      </c>
      <c r="AP23" s="1">
        <f t="shared" ref="AP23:AP38" si="25">SQRT(((V23-AA23)^2)+((W23-AB23)^2)+(AC23^2))</f>
        <v>2.1674489018852969</v>
      </c>
      <c r="AQ23" s="1">
        <f t="shared" ref="AQ23:AQ37" si="26">SQRT(((V23-AA24)^2)+((W23-AB24)^2)+(AC24^2))</f>
        <v>2.1678851559407786</v>
      </c>
      <c r="AR23" s="1">
        <f t="shared" ref="AR23:AR37" si="27">ACOS(((AP23^2)+(AQ23^2)-(AN24^2))/(2*AP23*AQ23))</f>
        <v>4.7600248775639509E-2</v>
      </c>
      <c r="AS23" s="1">
        <f t="shared" ref="AS23:AS37" si="28">ACOS(((AP24^2)+(AQ23^2)-(AO24^2))/(2*AP24*AQ23))-AR23</f>
        <v>-4.6629367034256575E-15</v>
      </c>
      <c r="AT23" s="1">
        <f>-COS(AS22)*AP23+AV23</f>
        <v>6.891827839748732E-3</v>
      </c>
      <c r="AU23" s="1">
        <f>SIN(AS22)*AP23+AW23</f>
        <v>0.1792114055518329</v>
      </c>
      <c r="AV23" s="1">
        <f>COS(AR22)*AQ22+AT22</f>
        <v>2.1743407297250457</v>
      </c>
      <c r="AW23" s="1">
        <f>SIN(AH22)*AG22+AK22</f>
        <v>0.1792114055518329</v>
      </c>
      <c r="AY23" t="s">
        <v>26</v>
      </c>
      <c r="AZ23">
        <f>(N29+N30)/2</f>
        <v>0</v>
      </c>
      <c r="BA23">
        <f>(O29+O30)/2</f>
        <v>18.974827856014137</v>
      </c>
      <c r="BB23">
        <f>SQRT(((AZ23-Sheet1!$B$24)^2)+((BA23-Sheet1!$B$25)^2))</f>
        <v>21.501102273523628</v>
      </c>
    </row>
    <row r="24" spans="4:54" x14ac:dyDescent="0.25">
      <c r="D24">
        <f>Sheet1!S5</f>
        <v>2.5000000000000001E-2</v>
      </c>
      <c r="E24">
        <f>Sheet1!T5</f>
        <v>6.5000000000000002E-2</v>
      </c>
      <c r="F24">
        <f>Sheet1!U5</f>
        <v>2.5000000000000001E-2</v>
      </c>
      <c r="G24">
        <f>Sheet1!V5</f>
        <v>1.4699999999999998E-2</v>
      </c>
      <c r="H24" s="1">
        <f t="shared" si="7"/>
        <v>0.19364916731037085</v>
      </c>
      <c r="I24" s="1">
        <f t="shared" si="8"/>
        <v>0.50348783500696426</v>
      </c>
      <c r="J24" s="1">
        <f t="shared" si="8"/>
        <v>0.19364916731037085</v>
      </c>
      <c r="K24" s="1">
        <f t="shared" si="8"/>
        <v>0.11386571037849805</v>
      </c>
      <c r="L24">
        <f t="shared" si="9"/>
        <v>-1.7428425057933377</v>
      </c>
      <c r="M24">
        <f>I24-(0.25*$K$38)+Sheet1!$B$17</f>
        <v>19.477153796017241</v>
      </c>
      <c r="N24">
        <f t="shared" si="10"/>
        <v>-1.7428425057933377</v>
      </c>
      <c r="O24">
        <f>K24-(0.25*$K$38)+Sheet1!$B$17</f>
        <v>19.087531671388774</v>
      </c>
      <c r="P24" s="1">
        <f t="shared" si="11"/>
        <v>0.19364916731037085</v>
      </c>
      <c r="Q24" s="1">
        <f t="shared" si="12"/>
        <v>0.50348783500696426</v>
      </c>
      <c r="R24" s="1">
        <f t="shared" si="13"/>
        <v>0.19364916731037085</v>
      </c>
      <c r="S24" s="1">
        <f t="shared" si="14"/>
        <v>0.11386571037849805</v>
      </c>
      <c r="T24">
        <f t="shared" si="15"/>
        <v>-1.7428425057933377</v>
      </c>
      <c r="U24">
        <f>Q24-(0.25*$S$38)+Sheet1!$B$17</f>
        <v>19.477153796017241</v>
      </c>
      <c r="V24">
        <f t="shared" si="16"/>
        <v>-1.7428425057933377</v>
      </c>
      <c r="W24">
        <f>S24-(0.25*$S$38)+Sheet1!$B$17</f>
        <v>19.087531671388774</v>
      </c>
      <c r="X24" s="4">
        <f t="shared" si="17"/>
        <v>-1.7428425057933377</v>
      </c>
      <c r="Y24" s="4">
        <f t="shared" si="18"/>
        <v>19.352049053273088</v>
      </c>
      <c r="Z24" s="4">
        <f t="shared" si="19"/>
        <v>2.2040230110915422</v>
      </c>
      <c r="AA24">
        <f t="shared" si="20"/>
        <v>-1.7428425057933377</v>
      </c>
      <c r="AB24">
        <f t="shared" si="21"/>
        <v>18.964929531241467</v>
      </c>
      <c r="AC24">
        <f t="shared" si="22"/>
        <v>2.1599336057654357</v>
      </c>
      <c r="AD24" s="3">
        <f t="shared" si="23"/>
        <v>0.12645157175772792</v>
      </c>
      <c r="AE24" s="3">
        <f t="shared" ref="AE24:AE38" si="29">SQRT(((T23-T24)^2)+((U23-U24)^2))</f>
        <v>0.12645157175772803</v>
      </c>
      <c r="AF24" s="3">
        <f t="shared" si="6"/>
        <v>2.2075707531307143</v>
      </c>
      <c r="AG24" s="3">
        <f t="shared" si="24"/>
        <v>2.2248061108438573</v>
      </c>
      <c r="AH24" s="3">
        <f t="shared" ref="AH24:AH37" si="30">ACOS(((AF24^2)+(AG24^2)-(AD25^2))/(2*AF24*AG24))-AI23</f>
        <v>9.9887448145275393E-2</v>
      </c>
      <c r="AI24" s="3">
        <f t="shared" ref="AI24:AI37" si="31">ACOS(((AF25^2)+(AG24^2)-(AE25^2))/(2*AF25*AG24))-AH24</f>
        <v>1.3322676295501878E-15</v>
      </c>
      <c r="AJ24" s="3">
        <f t="shared" ref="AJ24:AJ38" si="32">-COS(AI23)*AF24+AL24</f>
        <v>-1.3169097782959049E-2</v>
      </c>
      <c r="AK24" s="3">
        <f t="shared" ref="AK24:AK38" si="33">SIN(AI23)*AF24+AM24</f>
        <v>0.30557894656134088</v>
      </c>
      <c r="AL24" s="3">
        <f t="shared" ref="AL24:AL38" si="34">COS(AH23)*AG23+AJ23</f>
        <v>2.1944016553477552</v>
      </c>
      <c r="AM24" s="3">
        <f t="shared" ref="AM24:AM38" si="35">SIN(AH23)*AG23+AK23</f>
        <v>0.30557894656133794</v>
      </c>
      <c r="AN24" s="1">
        <f t="shared" ref="AN24:AN38" si="36">SQRT(((AA24-AA23)^2)+((AB24-AB23)^2)+((AC23-AC24)^2))</f>
        <v>0.10317267079997476</v>
      </c>
      <c r="AO24" s="1">
        <f t="shared" ref="AO24:AO38" si="37">SQRT(((V23-V24)^2)+((W23-W24)^2))</f>
        <v>0.10317267079997465</v>
      </c>
      <c r="AP24" s="1">
        <f t="shared" si="25"/>
        <v>2.1634103785651893</v>
      </c>
      <c r="AQ24" s="1">
        <f t="shared" si="26"/>
        <v>2.1701008288714094</v>
      </c>
      <c r="AR24" s="1">
        <f t="shared" si="27"/>
        <v>9.1413775528812469E-2</v>
      </c>
      <c r="AS24" s="1">
        <f t="shared" si="28"/>
        <v>-1.1102230246251565E-15</v>
      </c>
      <c r="AT24" s="1">
        <f t="shared" ref="AT24:AT38" si="38">-COS(AS23)*AP24+AV24</f>
        <v>8.9110894998025714E-3</v>
      </c>
      <c r="AU24" s="1">
        <f t="shared" ref="AU24:AU38" si="39">SIN(AS23)*AP24+AW24</f>
        <v>0.30557894656132784</v>
      </c>
      <c r="AV24" s="1">
        <f t="shared" ref="AV24:AV38" si="40">COS(AR23)*AQ23+AT23</f>
        <v>2.1723214680649918</v>
      </c>
      <c r="AW24" s="1">
        <f t="shared" ref="AW24:AW38" si="41">SIN(AH23)*AG23+AK23</f>
        <v>0.30557894656133794</v>
      </c>
      <c r="AY24" t="s">
        <v>88</v>
      </c>
      <c r="AZ24">
        <f>N32</f>
        <v>1.9364916731037085</v>
      </c>
      <c r="BA24">
        <f>O32</f>
        <v>18.973665961010276</v>
      </c>
      <c r="BB24">
        <f>SQRT(((AZ24-Sheet1!$B$24)^2)+((BA24-Sheet1!$B$25)^2))</f>
        <v>22.188555940730328</v>
      </c>
    </row>
    <row r="25" spans="4:54" x14ac:dyDescent="0.25">
      <c r="D25">
        <f>Sheet1!S6</f>
        <v>0.05</v>
      </c>
      <c r="E25">
        <f>Sheet1!T6</f>
        <v>7.8999999999999987E-2</v>
      </c>
      <c r="F25">
        <f>Sheet1!U6</f>
        <v>0.05</v>
      </c>
      <c r="G25">
        <f>Sheet1!V6</f>
        <v>9.2999999999999992E-3</v>
      </c>
      <c r="H25" s="1">
        <f t="shared" si="7"/>
        <v>0.3872983346207417</v>
      </c>
      <c r="I25" s="1">
        <f t="shared" si="8"/>
        <v>0.61193136870077181</v>
      </c>
      <c r="J25" s="1">
        <f t="shared" si="8"/>
        <v>0.3872983346207417</v>
      </c>
      <c r="K25" s="1">
        <f t="shared" si="8"/>
        <v>7.2037490239457949E-2</v>
      </c>
      <c r="L25">
        <f t="shared" si="9"/>
        <v>-1.5491933384829668</v>
      </c>
      <c r="M25">
        <f>I25-(0.25*$K$38)+Sheet1!$B$17</f>
        <v>19.585597329711049</v>
      </c>
      <c r="N25">
        <f t="shared" si="10"/>
        <v>-1.5491933384829668</v>
      </c>
      <c r="O25">
        <f>K25-(0.25*$K$38)+Sheet1!$B$17</f>
        <v>19.045703451249736</v>
      </c>
      <c r="P25" s="1">
        <f t="shared" si="11"/>
        <v>0.3872983346207417</v>
      </c>
      <c r="Q25" s="1">
        <f t="shared" si="12"/>
        <v>0.61193136870077181</v>
      </c>
      <c r="R25" s="1">
        <f t="shared" si="13"/>
        <v>0.3872983346207417</v>
      </c>
      <c r="S25" s="1">
        <f t="shared" si="14"/>
        <v>7.2037490239457949E-2</v>
      </c>
      <c r="T25">
        <f t="shared" si="15"/>
        <v>-1.5491933384829668</v>
      </c>
      <c r="U25">
        <f>Q25-(0.25*$S$38)+Sheet1!$B$17</f>
        <v>19.585597329711049</v>
      </c>
      <c r="V25">
        <f t="shared" si="16"/>
        <v>-1.5491933384829668</v>
      </c>
      <c r="W25">
        <f>S25-(0.25*$S$38)+Sheet1!$B$17</f>
        <v>19.045703451249736</v>
      </c>
      <c r="X25" s="4">
        <f>L25</f>
        <v>-1.5491933384829668</v>
      </c>
      <c r="Y25" s="4">
        <f t="shared" si="18"/>
        <v>19.459796037536364</v>
      </c>
      <c r="Z25" s="4">
        <f t="shared" si="19"/>
        <v>2.2162944161524862</v>
      </c>
      <c r="AA25">
        <f t="shared" si="20"/>
        <v>-1.5491933384829668</v>
      </c>
      <c r="AB25">
        <f t="shared" si="21"/>
        <v>18.923369980168491</v>
      </c>
      <c r="AC25">
        <f t="shared" si="22"/>
        <v>2.1552003495276431</v>
      </c>
      <c r="AD25" s="3">
        <f t="shared" si="23"/>
        <v>0.22194593936362159</v>
      </c>
      <c r="AE25" s="3">
        <f t="shared" si="29"/>
        <v>0.22194593936362114</v>
      </c>
      <c r="AF25" s="3">
        <f t="shared" si="6"/>
        <v>2.2198619110614763</v>
      </c>
      <c r="AG25" s="3">
        <f t="shared" si="24"/>
        <v>2.2336554129819173</v>
      </c>
      <c r="AH25" s="3">
        <f t="shared" si="30"/>
        <v>9.2859146960746264E-2</v>
      </c>
      <c r="AI25" s="3">
        <f t="shared" si="31"/>
        <v>4.8849813083506888E-15</v>
      </c>
      <c r="AJ25" s="3">
        <f t="shared" si="32"/>
        <v>-1.9314676748340087E-2</v>
      </c>
      <c r="AK25" s="3">
        <f t="shared" si="33"/>
        <v>0.52743978551040016</v>
      </c>
      <c r="AL25" s="3">
        <f t="shared" si="34"/>
        <v>2.2005472343131363</v>
      </c>
      <c r="AM25" s="3">
        <f t="shared" si="35"/>
        <v>0.52743978551039716</v>
      </c>
      <c r="AN25" s="1">
        <f t="shared" si="36"/>
        <v>0.19811511805008683</v>
      </c>
      <c r="AO25" s="1">
        <f t="shared" si="37"/>
        <v>0.19811511805008686</v>
      </c>
      <c r="AP25" s="1">
        <f t="shared" si="25"/>
        <v>2.1586695033633241</v>
      </c>
      <c r="AQ25" s="1">
        <f t="shared" si="26"/>
        <v>2.1661506131376655</v>
      </c>
      <c r="AR25" s="1">
        <f t="shared" si="27"/>
        <v>9.0159239083342335E-2</v>
      </c>
      <c r="AS25" s="1">
        <f t="shared" si="28"/>
        <v>1.3322676295501878E-15</v>
      </c>
      <c r="AT25" s="1">
        <f t="shared" si="38"/>
        <v>1.1281527100734934E-2</v>
      </c>
      <c r="AU25" s="1">
        <f t="shared" si="39"/>
        <v>0.52743978551039472</v>
      </c>
      <c r="AV25" s="1">
        <f t="shared" si="40"/>
        <v>2.169951030464059</v>
      </c>
      <c r="AW25" s="1">
        <f t="shared" si="41"/>
        <v>0.52743978551039716</v>
      </c>
      <c r="AY25" t="s">
        <v>89</v>
      </c>
      <c r="AZ25">
        <f>(N34+N35)/2</f>
        <v>3.872983346207417</v>
      </c>
      <c r="BA25">
        <f>(O34+O35)/2</f>
        <v>18.973665961010276</v>
      </c>
      <c r="BB25">
        <f>SQRT(((AZ25-Sheet1!$B$24)^2)+((BA25-Sheet1!$B$25)^2))</f>
        <v>23.019861630119287</v>
      </c>
    </row>
    <row r="26" spans="4:54" x14ac:dyDescent="0.25">
      <c r="D26">
        <f>Sheet1!S7</f>
        <v>7.4999999999999997E-2</v>
      </c>
      <c r="E26">
        <f>Sheet1!T7</f>
        <v>8.8499999999999995E-2</v>
      </c>
      <c r="F26">
        <f>Sheet1!U7</f>
        <v>7.4999999999999997E-2</v>
      </c>
      <c r="G26">
        <f>Sheet1!V7</f>
        <v>6.3E-3</v>
      </c>
      <c r="H26" s="1">
        <f t="shared" si="7"/>
        <v>0.58094750193111255</v>
      </c>
      <c r="I26" s="1">
        <f t="shared" si="8"/>
        <v>0.68551805227871276</v>
      </c>
      <c r="J26" s="1">
        <f t="shared" si="8"/>
        <v>0.58094750193111255</v>
      </c>
      <c r="K26" s="1">
        <f t="shared" si="8"/>
        <v>4.8799590162213455E-2</v>
      </c>
      <c r="L26">
        <f t="shared" si="9"/>
        <v>-1.355544171172596</v>
      </c>
      <c r="M26">
        <f>I26-(0.25*$K$38)+Sheet1!$B$17</f>
        <v>19.659184013288989</v>
      </c>
      <c r="N26">
        <f t="shared" si="10"/>
        <v>-1.355544171172596</v>
      </c>
      <c r="O26">
        <f>K26-(0.25*$K$38)+Sheet1!$B$17</f>
        <v>19.022465551172491</v>
      </c>
      <c r="P26" s="1">
        <f t="shared" si="11"/>
        <v>0.58094750193111255</v>
      </c>
      <c r="Q26" s="1">
        <f t="shared" si="12"/>
        <v>0.68551805227871276</v>
      </c>
      <c r="R26" s="1">
        <f t="shared" si="13"/>
        <v>0.58094750193111255</v>
      </c>
      <c r="S26" s="1">
        <f t="shared" si="14"/>
        <v>4.8799590162213455E-2</v>
      </c>
      <c r="T26">
        <f t="shared" si="15"/>
        <v>-1.355544171172596</v>
      </c>
      <c r="U26">
        <f>Q26-(0.25*$S$38)+Sheet1!$B$17</f>
        <v>19.659184013288989</v>
      </c>
      <c r="V26">
        <f t="shared" si="16"/>
        <v>-1.355544171172596</v>
      </c>
      <c r="W26">
        <f>S26-(0.25*$S$38)+Sheet1!$B$17</f>
        <v>19.022465551172491</v>
      </c>
      <c r="X26" s="4">
        <f t="shared" si="17"/>
        <v>-1.355544171172596</v>
      </c>
      <c r="Y26" s="4">
        <f t="shared" si="18"/>
        <v>19.532910062572157</v>
      </c>
      <c r="Z26" s="4">
        <f t="shared" si="19"/>
        <v>2.2246214410152696</v>
      </c>
      <c r="AA26">
        <f t="shared" si="20"/>
        <v>-1.355544171172596</v>
      </c>
      <c r="AB26">
        <f t="shared" si="21"/>
        <v>18.900281340683502</v>
      </c>
      <c r="AC26">
        <f t="shared" si="22"/>
        <v>2.1525707627288693</v>
      </c>
      <c r="AD26" s="3">
        <f t="shared" si="23"/>
        <v>0.20715935894861209</v>
      </c>
      <c r="AE26" s="3">
        <f t="shared" si="29"/>
        <v>0.2071593589486119</v>
      </c>
      <c r="AF26" s="3">
        <f t="shared" si="6"/>
        <v>2.2282023396573507</v>
      </c>
      <c r="AG26" s="3">
        <f t="shared" si="24"/>
        <v>2.2406321370765165</v>
      </c>
      <c r="AH26" s="3">
        <f t="shared" si="30"/>
        <v>9.0342407611001985E-2</v>
      </c>
      <c r="AI26" s="3">
        <f t="shared" si="31"/>
        <v>2.4424906541753444E-15</v>
      </c>
      <c r="AJ26" s="3">
        <f t="shared" si="32"/>
        <v>-2.3484891046277045E-2</v>
      </c>
      <c r="AK26" s="3">
        <f t="shared" si="33"/>
        <v>0.73455716602857879</v>
      </c>
      <c r="AL26" s="3">
        <f t="shared" si="34"/>
        <v>2.2047174486110737</v>
      </c>
      <c r="AM26" s="3">
        <f t="shared" si="35"/>
        <v>0.73455716602856791</v>
      </c>
      <c r="AN26" s="1">
        <f t="shared" si="36"/>
        <v>0.19503845774615858</v>
      </c>
      <c r="AO26" s="1">
        <f t="shared" si="37"/>
        <v>0.19503845774615838</v>
      </c>
      <c r="AP26" s="1">
        <f t="shared" si="25"/>
        <v>2.1560356838067323</v>
      </c>
      <c r="AQ26" s="1">
        <f t="shared" si="26"/>
        <v>2.1638575377283638</v>
      </c>
      <c r="AR26" s="1">
        <f t="shared" si="27"/>
        <v>8.9927891299323326E-2</v>
      </c>
      <c r="AS26" s="1">
        <f t="shared" si="28"/>
        <v>1.3322676295501878E-15</v>
      </c>
      <c r="AT26" s="1">
        <f t="shared" si="38"/>
        <v>1.2598436879030839E-2</v>
      </c>
      <c r="AU26" s="1">
        <f t="shared" si="39"/>
        <v>0.7345571660285708</v>
      </c>
      <c r="AV26" s="1">
        <f t="shared" si="40"/>
        <v>2.1686341206857631</v>
      </c>
      <c r="AW26" s="1">
        <f t="shared" si="41"/>
        <v>0.73455716602856791</v>
      </c>
      <c r="AY26" t="s">
        <v>26</v>
      </c>
      <c r="AZ26">
        <f>N38</f>
        <v>5.809475019311126</v>
      </c>
      <c r="BA26">
        <f>O38</f>
        <v>18.973665961010276</v>
      </c>
      <c r="BB26">
        <f>SQRT(((AZ26-Sheet1!$B$24)^2)+((BA26-Sheet1!$B$25)^2))</f>
        <v>23.979075132389021</v>
      </c>
    </row>
    <row r="27" spans="4:54" x14ac:dyDescent="0.25">
      <c r="D27">
        <f>Sheet1!S8</f>
        <v>0.1</v>
      </c>
      <c r="E27">
        <f>Sheet1!T8</f>
        <v>9.6000000000000002E-2</v>
      </c>
      <c r="F27">
        <f>Sheet1!U8</f>
        <v>0.1</v>
      </c>
      <c r="G27">
        <f>Sheet1!V8</f>
        <v>4.1999999999999997E-3</v>
      </c>
      <c r="H27" s="1">
        <f t="shared" si="7"/>
        <v>0.7745966692414834</v>
      </c>
      <c r="I27" s="1">
        <f t="shared" si="8"/>
        <v>0.74361280247182404</v>
      </c>
      <c r="J27" s="1">
        <f t="shared" si="8"/>
        <v>0.7745966692414834</v>
      </c>
      <c r="K27" s="1">
        <f t="shared" si="8"/>
        <v>3.2533060108142303E-2</v>
      </c>
      <c r="L27">
        <f t="shared" si="9"/>
        <v>-1.1618950038622251</v>
      </c>
      <c r="M27">
        <f>I27-(0.25*$K$38)+Sheet1!$B$17</f>
        <v>19.717278763482099</v>
      </c>
      <c r="N27">
        <f t="shared" si="10"/>
        <v>-1.1618950038622251</v>
      </c>
      <c r="O27">
        <f>K27-(0.25*$K$38)+Sheet1!$B$17</f>
        <v>19.00619902111842</v>
      </c>
      <c r="P27" s="1">
        <f t="shared" si="11"/>
        <v>0.7745966692414834</v>
      </c>
      <c r="Q27" s="1">
        <f t="shared" si="12"/>
        <v>0.74361280247182404</v>
      </c>
      <c r="R27" s="1">
        <f t="shared" si="13"/>
        <v>0.7745966692414834</v>
      </c>
      <c r="S27" s="1">
        <f t="shared" si="14"/>
        <v>3.2533060108142303E-2</v>
      </c>
      <c r="T27">
        <f t="shared" si="15"/>
        <v>-1.1618950038622251</v>
      </c>
      <c r="U27">
        <f>Q27-(0.25*$S$38)+Sheet1!$B$17</f>
        <v>19.717278763482099</v>
      </c>
      <c r="V27">
        <f t="shared" si="16"/>
        <v>-1.1618950038622251</v>
      </c>
      <c r="W27">
        <f>S27-(0.25*$S$38)+Sheet1!$B$17</f>
        <v>19.00619902111842</v>
      </c>
      <c r="X27" s="4">
        <f t="shared" si="17"/>
        <v>-1.1618950038622251</v>
      </c>
      <c r="Y27" s="4">
        <f t="shared" si="18"/>
        <v>19.590631661284622</v>
      </c>
      <c r="Z27" s="4">
        <f t="shared" si="19"/>
        <v>2.2311954080122041</v>
      </c>
      <c r="AA27">
        <f t="shared" si="20"/>
        <v>-1.1618950038622251</v>
      </c>
      <c r="AB27">
        <f t="shared" si="21"/>
        <v>18.884119293044012</v>
      </c>
      <c r="AC27">
        <f t="shared" si="22"/>
        <v>2.1507300519697274</v>
      </c>
      <c r="AD27" s="3">
        <f t="shared" si="23"/>
        <v>0.20217566619155647</v>
      </c>
      <c r="AE27" s="3">
        <f t="shared" si="29"/>
        <v>0.20217566619155694</v>
      </c>
      <c r="AF27" s="3">
        <f t="shared" si="6"/>
        <v>2.2347868885488307</v>
      </c>
      <c r="AG27" s="3">
        <f t="shared" si="24"/>
        <v>2.2743761627223358</v>
      </c>
      <c r="AH27" s="3">
        <f t="shared" si="30"/>
        <v>0.17516887962900851</v>
      </c>
      <c r="AI27" s="3">
        <f t="shared" si="31"/>
        <v>3.1086244689504383E-15</v>
      </c>
      <c r="AJ27" s="3">
        <f t="shared" si="32"/>
        <v>-2.6777165492015698E-2</v>
      </c>
      <c r="AK27" s="3">
        <f t="shared" si="33"/>
        <v>0.93670602437057526</v>
      </c>
      <c r="AL27" s="3">
        <f t="shared" si="34"/>
        <v>2.208009723056815</v>
      </c>
      <c r="AM27" s="3">
        <f t="shared" si="35"/>
        <v>0.93670602437056982</v>
      </c>
      <c r="AN27" s="1">
        <f t="shared" si="36"/>
        <v>0.19433116065109057</v>
      </c>
      <c r="AO27" s="1">
        <f t="shared" si="37"/>
        <v>0.19433116065109071</v>
      </c>
      <c r="AP27" s="1">
        <f t="shared" si="25"/>
        <v>2.1541920101171175</v>
      </c>
      <c r="AQ27" s="1">
        <f t="shared" si="26"/>
        <v>2.1876641055500312</v>
      </c>
      <c r="AR27" s="1">
        <f t="shared" si="27"/>
        <v>0.17823670649344336</v>
      </c>
      <c r="AS27" s="1">
        <f t="shared" si="28"/>
        <v>-6.6613381477509392E-16</v>
      </c>
      <c r="AT27" s="1">
        <f t="shared" si="38"/>
        <v>1.3520273723838461E-2</v>
      </c>
      <c r="AU27" s="1">
        <f t="shared" si="39"/>
        <v>0.93670602437057271</v>
      </c>
      <c r="AV27" s="1">
        <f t="shared" si="40"/>
        <v>2.1677122838409559</v>
      </c>
      <c r="AW27" s="1">
        <f t="shared" si="41"/>
        <v>0.93670602437056982</v>
      </c>
    </row>
    <row r="28" spans="4:54" x14ac:dyDescent="0.25">
      <c r="D28">
        <f>Sheet1!S9</f>
        <v>0.15</v>
      </c>
      <c r="E28">
        <f>Sheet1!T9</f>
        <v>0.1069</v>
      </c>
      <c r="F28">
        <f>Sheet1!U9</f>
        <v>0.15</v>
      </c>
      <c r="G28">
        <f>Sheet1!V9</f>
        <v>1.5E-3</v>
      </c>
      <c r="H28" s="1">
        <f t="shared" si="7"/>
        <v>1.1618950038622251</v>
      </c>
      <c r="I28" s="1">
        <f t="shared" si="8"/>
        <v>0.82804383941914572</v>
      </c>
      <c r="J28" s="1">
        <f t="shared" si="8"/>
        <v>1.1618950038622251</v>
      </c>
      <c r="K28" s="1">
        <f t="shared" si="8"/>
        <v>1.1618950038622251E-2</v>
      </c>
      <c r="L28">
        <f t="shared" si="9"/>
        <v>-0.7745966692414834</v>
      </c>
      <c r="M28">
        <f>I28-(0.25*$K$38)+Sheet1!$B$17</f>
        <v>19.801709800429421</v>
      </c>
      <c r="N28">
        <f t="shared" si="10"/>
        <v>-0.7745966692414834</v>
      </c>
      <c r="O28">
        <f>K28-(0.25*$K$38)+Sheet1!$B$17</f>
        <v>18.985284911048897</v>
      </c>
      <c r="P28" s="1">
        <f t="shared" si="11"/>
        <v>1.1618950038622251</v>
      </c>
      <c r="Q28" s="1">
        <f t="shared" si="12"/>
        <v>0.82804383941914572</v>
      </c>
      <c r="R28" s="1">
        <f t="shared" si="13"/>
        <v>1.1618950038622251</v>
      </c>
      <c r="S28" s="1">
        <f t="shared" si="14"/>
        <v>1.1618950038622251E-2</v>
      </c>
      <c r="T28">
        <f t="shared" si="15"/>
        <v>-0.7745966692414834</v>
      </c>
      <c r="U28">
        <f>Q28-(0.25*$S$38)+Sheet1!$B$17</f>
        <v>19.801709800429421</v>
      </c>
      <c r="V28">
        <f t="shared" si="16"/>
        <v>-0.7745966692414834</v>
      </c>
      <c r="W28">
        <f>S28-(0.25*$S$38)+Sheet1!$B$17</f>
        <v>18.985284911048897</v>
      </c>
      <c r="X28" s="4">
        <f t="shared" si="17"/>
        <v>-0.7745966692414834</v>
      </c>
      <c r="Y28" s="4">
        <f t="shared" si="18"/>
        <v>19.674520384746742</v>
      </c>
      <c r="Z28" s="4">
        <f t="shared" si="19"/>
        <v>2.2407495733810818</v>
      </c>
      <c r="AA28">
        <f t="shared" si="20"/>
        <v>-0.7745966692414834</v>
      </c>
      <c r="AB28">
        <f t="shared" si="21"/>
        <v>18.863339517507519</v>
      </c>
      <c r="AC28">
        <f t="shared" si="22"/>
        <v>2.1483634238508311</v>
      </c>
      <c r="AD28" s="3">
        <f t="shared" si="23"/>
        <v>0.39639450046639146</v>
      </c>
      <c r="AE28" s="3">
        <f t="shared" si="29"/>
        <v>0.39639450046639157</v>
      </c>
      <c r="AF28" s="3">
        <f t="shared" si="6"/>
        <v>2.2443564329377814</v>
      </c>
      <c r="AG28" s="3">
        <f t="shared" si="24"/>
        <v>2.2810153319887565</v>
      </c>
      <c r="AH28" s="3">
        <f t="shared" si="30"/>
        <v>0.17215393172517834</v>
      </c>
      <c r="AI28" s="3">
        <f t="shared" si="31"/>
        <v>3.7747582837255322E-15</v>
      </c>
      <c r="AJ28" s="3">
        <f t="shared" si="32"/>
        <v>-3.1561937686489738E-2</v>
      </c>
      <c r="AK28" s="3">
        <f t="shared" si="33"/>
        <v>1.3330716459310827</v>
      </c>
      <c r="AL28" s="3">
        <f t="shared" si="34"/>
        <v>2.2127944952512917</v>
      </c>
      <c r="AM28" s="3">
        <f t="shared" si="35"/>
        <v>1.3330716459310759</v>
      </c>
      <c r="AN28" s="1">
        <f t="shared" si="36"/>
        <v>0.38786260453928811</v>
      </c>
      <c r="AO28" s="1">
        <f t="shared" si="37"/>
        <v>0.38786260453928806</v>
      </c>
      <c r="AP28" s="1">
        <f t="shared" si="25"/>
        <v>2.1518215725161851</v>
      </c>
      <c r="AQ28" s="1">
        <f t="shared" si="26"/>
        <v>2.1858992373963697</v>
      </c>
      <c r="AR28" s="1">
        <f t="shared" si="27"/>
        <v>0.17817237746868453</v>
      </c>
      <c r="AS28" s="1">
        <f t="shared" si="28"/>
        <v>6.6613381477509392E-16</v>
      </c>
      <c r="AT28" s="1">
        <f t="shared" si="38"/>
        <v>1.4705492524304642E-2</v>
      </c>
      <c r="AU28" s="1">
        <f t="shared" si="39"/>
        <v>1.3330716459310745</v>
      </c>
      <c r="AV28" s="1">
        <f t="shared" si="40"/>
        <v>2.1665270650404898</v>
      </c>
      <c r="AW28" s="1">
        <f t="shared" si="41"/>
        <v>1.3330716459310759</v>
      </c>
    </row>
    <row r="29" spans="4:54" x14ac:dyDescent="0.25">
      <c r="D29">
        <f>Sheet1!S10</f>
        <v>0.2</v>
      </c>
      <c r="E29">
        <f>Sheet1!T10</f>
        <v>0.11360000000000003</v>
      </c>
      <c r="F29">
        <f>Sheet1!U10</f>
        <v>0.2</v>
      </c>
      <c r="G29">
        <f>Sheet1!V10</f>
        <v>2.9999999999999997E-4</v>
      </c>
      <c r="H29" s="1">
        <f t="shared" si="7"/>
        <v>1.5491933384829668</v>
      </c>
      <c r="I29" s="1">
        <f t="shared" si="8"/>
        <v>0.87994181625832546</v>
      </c>
      <c r="J29" s="1">
        <f t="shared" si="8"/>
        <v>1.5491933384829668</v>
      </c>
      <c r="K29" s="1">
        <f t="shared" si="8"/>
        <v>2.32379000772445E-3</v>
      </c>
      <c r="L29">
        <f t="shared" si="9"/>
        <v>-0.3872983346207417</v>
      </c>
      <c r="M29">
        <f>I29-(0.25*$K$38)+Sheet1!$B$17</f>
        <v>19.8536077772686</v>
      </c>
      <c r="N29">
        <f t="shared" si="10"/>
        <v>-0.3872983346207417</v>
      </c>
      <c r="O29">
        <f>K29-(0.25*$K$38)+Sheet1!$B$17</f>
        <v>18.975989751018002</v>
      </c>
      <c r="P29" s="1">
        <f t="shared" si="11"/>
        <v>1.5491933384829668</v>
      </c>
      <c r="Q29" s="1">
        <f t="shared" si="12"/>
        <v>0.87994181625832546</v>
      </c>
      <c r="R29" s="1">
        <f t="shared" si="13"/>
        <v>1.5491933384829668</v>
      </c>
      <c r="S29" s="1">
        <f t="shared" si="14"/>
        <v>2.32379000772445E-3</v>
      </c>
      <c r="T29">
        <f t="shared" si="15"/>
        <v>-0.3872983346207417</v>
      </c>
      <c r="U29">
        <f>Q29-(0.25*$S$38)+Sheet1!$B$17</f>
        <v>19.8536077772686</v>
      </c>
      <c r="V29">
        <f t="shared" si="16"/>
        <v>-0.3872983346207417</v>
      </c>
      <c r="W29">
        <f>S29-(0.25*$S$38)+Sheet1!$B$17</f>
        <v>18.975989751018002</v>
      </c>
      <c r="X29" s="4">
        <f t="shared" si="17"/>
        <v>-0.3872983346207417</v>
      </c>
      <c r="Y29" s="4">
        <f t="shared" si="18"/>
        <v>19.726085012929879</v>
      </c>
      <c r="Z29" s="4">
        <f t="shared" si="19"/>
        <v>2.2466223172316764</v>
      </c>
      <c r="AA29">
        <f t="shared" si="20"/>
        <v>-0.3872983346207417</v>
      </c>
      <c r="AB29">
        <f t="shared" si="21"/>
        <v>18.854104061713528</v>
      </c>
      <c r="AC29">
        <f t="shared" si="22"/>
        <v>2.1473115891313217</v>
      </c>
      <c r="AD29" s="3">
        <f t="shared" si="23"/>
        <v>0.39076002866209314</v>
      </c>
      <c r="AE29" s="3">
        <f t="shared" si="29"/>
        <v>0.39076002866209325</v>
      </c>
      <c r="AF29" s="3">
        <f t="shared" si="6"/>
        <v>2.250238629947503</v>
      </c>
      <c r="AG29" s="3">
        <f t="shared" si="24"/>
        <v>2.3813828847723428</v>
      </c>
      <c r="AH29" s="3">
        <f t="shared" si="30"/>
        <v>0.33149726158660253</v>
      </c>
      <c r="AI29" s="3">
        <f t="shared" si="31"/>
        <v>3.9968028886505635E-15</v>
      </c>
      <c r="AJ29" s="3">
        <f t="shared" si="32"/>
        <v>-3.4503036191349423E-2</v>
      </c>
      <c r="AK29" s="3">
        <f t="shared" si="33"/>
        <v>1.7238206061850865</v>
      </c>
      <c r="AL29" s="3">
        <f t="shared" si="34"/>
        <v>2.2157355937561536</v>
      </c>
      <c r="AM29" s="3">
        <f t="shared" si="35"/>
        <v>1.723820606185078</v>
      </c>
      <c r="AN29" s="1">
        <f t="shared" si="36"/>
        <v>0.38740986048370007</v>
      </c>
      <c r="AO29" s="1">
        <f t="shared" si="37"/>
        <v>0.38740986048370013</v>
      </c>
      <c r="AP29" s="1">
        <f t="shared" si="25"/>
        <v>2.1507680446935482</v>
      </c>
      <c r="AQ29" s="1">
        <f t="shared" si="26"/>
        <v>2.2858788481853383</v>
      </c>
      <c r="AR29" s="1">
        <f t="shared" si="27"/>
        <v>0.345708310585223</v>
      </c>
      <c r="AS29" s="1">
        <f t="shared" si="28"/>
        <v>0</v>
      </c>
      <c r="AT29" s="1">
        <f t="shared" si="38"/>
        <v>1.5232256435623093E-2</v>
      </c>
      <c r="AU29" s="1">
        <f t="shared" si="39"/>
        <v>1.7238206061850794</v>
      </c>
      <c r="AV29" s="1">
        <f t="shared" si="40"/>
        <v>2.1660003011291713</v>
      </c>
      <c r="AW29" s="1">
        <f t="shared" si="41"/>
        <v>1.723820606185078</v>
      </c>
    </row>
    <row r="30" spans="4:54" x14ac:dyDescent="0.25">
      <c r="D30">
        <f>Sheet1!S11</f>
        <v>0.3</v>
      </c>
      <c r="E30">
        <f>Sheet1!T11</f>
        <v>0.11699999999999999</v>
      </c>
      <c r="F30">
        <f>Sheet1!U11</f>
        <v>0.3</v>
      </c>
      <c r="G30">
        <f>Sheet1!V11</f>
        <v>0</v>
      </c>
      <c r="H30" s="1">
        <f t="shared" si="7"/>
        <v>2.3237900077244502</v>
      </c>
      <c r="I30" s="1">
        <f t="shared" si="8"/>
        <v>0.90627810301253553</v>
      </c>
      <c r="J30" s="1">
        <f t="shared" si="8"/>
        <v>2.3237900077244502</v>
      </c>
      <c r="K30" s="1">
        <f t="shared" si="8"/>
        <v>0</v>
      </c>
      <c r="L30">
        <f t="shared" si="9"/>
        <v>0.3872983346207417</v>
      </c>
      <c r="M30">
        <f>I30-(0.25*$K$38)+Sheet1!$B$17</f>
        <v>19.879944064022812</v>
      </c>
      <c r="N30">
        <f t="shared" si="10"/>
        <v>0.3872983346207417</v>
      </c>
      <c r="O30">
        <f>K30-(0.25*$K$38)+Sheet1!$B$17</f>
        <v>18.973665961010276</v>
      </c>
      <c r="P30" s="1">
        <f t="shared" si="11"/>
        <v>2.3237900077244502</v>
      </c>
      <c r="Q30" s="1">
        <f t="shared" si="12"/>
        <v>0.90627810301253553</v>
      </c>
      <c r="R30" s="1">
        <f t="shared" si="13"/>
        <v>2.3237900077244502</v>
      </c>
      <c r="S30" s="1">
        <f t="shared" si="14"/>
        <v>0</v>
      </c>
      <c r="T30">
        <f t="shared" si="15"/>
        <v>0.3872983346207417</v>
      </c>
      <c r="U30">
        <f>Q30-(0.25*$S$38)+Sheet1!$B$17</f>
        <v>19.879944064022812</v>
      </c>
      <c r="V30">
        <f t="shared" si="16"/>
        <v>0.3872983346207417</v>
      </c>
      <c r="W30">
        <f>S30-(0.25*$S$38)+Sheet1!$B$17</f>
        <v>18.973665961010276</v>
      </c>
      <c r="X30" s="4">
        <f t="shared" si="17"/>
        <v>0.3872983346207417</v>
      </c>
      <c r="Y30" s="4">
        <f t="shared" si="18"/>
        <v>19.752252137679534</v>
      </c>
      <c r="Z30" s="4">
        <f t="shared" si="19"/>
        <v>2.2496025156036201</v>
      </c>
      <c r="AA30">
        <f t="shared" si="20"/>
        <v>0.3872983346207417</v>
      </c>
      <c r="AB30">
        <f t="shared" si="21"/>
        <v>18.851795197765028</v>
      </c>
      <c r="AC30">
        <f t="shared" si="22"/>
        <v>2.1470486304514442</v>
      </c>
      <c r="AD30" s="3">
        <f t="shared" si="23"/>
        <v>0.77504425680086186</v>
      </c>
      <c r="AE30" s="3">
        <f t="shared" si="29"/>
        <v>0.77504425680086175</v>
      </c>
      <c r="AF30" s="3">
        <f t="shared" si="6"/>
        <v>2.2532236254449742</v>
      </c>
      <c r="AG30" s="3">
        <f t="shared" si="24"/>
        <v>2.3815167691648362</v>
      </c>
      <c r="AH30" s="3">
        <f t="shared" si="30"/>
        <v>0.33143404635610008</v>
      </c>
      <c r="AI30" s="3">
        <f t="shared" si="31"/>
        <v>3.9968028886505635E-15</v>
      </c>
      <c r="AJ30" s="3">
        <f t="shared" si="32"/>
        <v>-3.5995533940081703E-2</v>
      </c>
      <c r="AK30" s="3">
        <f t="shared" si="33"/>
        <v>2.4988634259379499</v>
      </c>
      <c r="AL30" s="3">
        <f t="shared" si="34"/>
        <v>2.2172280915048925</v>
      </c>
      <c r="AM30" s="3">
        <f t="shared" si="35"/>
        <v>2.498863425937941</v>
      </c>
      <c r="AN30" s="1">
        <f t="shared" si="36"/>
        <v>0.77460015491865231</v>
      </c>
      <c r="AO30" s="1">
        <f t="shared" si="37"/>
        <v>0.77460015491865231</v>
      </c>
      <c r="AP30" s="1">
        <f t="shared" si="25"/>
        <v>2.1505046627378888</v>
      </c>
      <c r="AQ30" s="1">
        <f t="shared" si="26"/>
        <v>2.2857537716161382</v>
      </c>
      <c r="AR30" s="1">
        <f t="shared" si="27"/>
        <v>0.34572640365586538</v>
      </c>
      <c r="AS30" s="1">
        <f t="shared" si="28"/>
        <v>0</v>
      </c>
      <c r="AT30" s="1">
        <f t="shared" si="38"/>
        <v>1.5363947413452816E-2</v>
      </c>
      <c r="AU30" s="1">
        <f t="shared" si="39"/>
        <v>2.498863425937941</v>
      </c>
      <c r="AV30" s="1">
        <f t="shared" si="40"/>
        <v>2.1658686101513416</v>
      </c>
      <c r="AW30" s="1">
        <f t="shared" si="41"/>
        <v>2.498863425937941</v>
      </c>
    </row>
    <row r="31" spans="4:54" x14ac:dyDescent="0.25">
      <c r="D31">
        <f>Sheet1!S12</f>
        <v>0.4</v>
      </c>
      <c r="E31">
        <f>Sheet1!T12</f>
        <v>0.11399999999999999</v>
      </c>
      <c r="F31">
        <f>Sheet1!U12</f>
        <v>0.4</v>
      </c>
      <c r="G31">
        <f>Sheet1!V12</f>
        <v>0</v>
      </c>
      <c r="H31" s="1">
        <f t="shared" si="7"/>
        <v>3.0983866769659336</v>
      </c>
      <c r="I31" s="1">
        <f t="shared" si="8"/>
        <v>0.88304020293529095</v>
      </c>
      <c r="J31" s="1">
        <f t="shared" si="8"/>
        <v>3.0983866769659336</v>
      </c>
      <c r="K31" s="1">
        <f t="shared" si="8"/>
        <v>0</v>
      </c>
      <c r="L31">
        <f t="shared" si="9"/>
        <v>1.1618950038622251</v>
      </c>
      <c r="M31">
        <f>I31-(0.25*$K$38)+Sheet1!$B$17</f>
        <v>19.856706163945567</v>
      </c>
      <c r="N31">
        <f t="shared" si="10"/>
        <v>1.1618950038622251</v>
      </c>
      <c r="O31">
        <f>K31-(0.25*$K$38)+Sheet1!$B$17</f>
        <v>18.973665961010276</v>
      </c>
      <c r="P31" s="1">
        <f t="shared" si="11"/>
        <v>3.0983866769659336</v>
      </c>
      <c r="Q31" s="1">
        <f t="shared" si="12"/>
        <v>0.88304020293529095</v>
      </c>
      <c r="R31" s="1">
        <f t="shared" si="13"/>
        <v>3.0983866769659336</v>
      </c>
      <c r="S31" s="1">
        <f t="shared" si="14"/>
        <v>0</v>
      </c>
      <c r="T31">
        <f t="shared" si="15"/>
        <v>1.1618950038622251</v>
      </c>
      <c r="U31">
        <f>Q31-(0.25*$S$38)+Sheet1!$B$17</f>
        <v>19.856706163945567</v>
      </c>
      <c r="V31">
        <f t="shared" si="16"/>
        <v>1.1618950038622251</v>
      </c>
      <c r="W31">
        <f>S31-(0.25*$S$38)+Sheet1!$B$17</f>
        <v>18.973665961010276</v>
      </c>
      <c r="X31" s="4">
        <f t="shared" si="17"/>
        <v>1.1618950038622251</v>
      </c>
      <c r="Y31" s="4">
        <f t="shared" si="18"/>
        <v>19.729163498194549</v>
      </c>
      <c r="Z31" s="4">
        <f t="shared" si="19"/>
        <v>2.2469729288048463</v>
      </c>
      <c r="AA31">
        <f t="shared" si="20"/>
        <v>1.1618950038622251</v>
      </c>
      <c r="AB31">
        <f t="shared" si="21"/>
        <v>18.851795197765028</v>
      </c>
      <c r="AC31">
        <f t="shared" si="22"/>
        <v>2.1470486304514442</v>
      </c>
      <c r="AD31" s="3">
        <f t="shared" si="23"/>
        <v>0.77494515935000208</v>
      </c>
      <c r="AE31" s="3">
        <f t="shared" si="29"/>
        <v>0.77494515935000208</v>
      </c>
      <c r="AF31" s="3">
        <f t="shared" si="6"/>
        <v>2.250589805888382</v>
      </c>
      <c r="AG31" s="3">
        <f t="shared" si="24"/>
        <v>2.3774804118080906</v>
      </c>
      <c r="AH31" s="3">
        <f t="shared" si="30"/>
        <v>0.33319158839551544</v>
      </c>
      <c r="AI31" s="3">
        <f t="shared" si="31"/>
        <v>3.9968028886505635E-15</v>
      </c>
      <c r="AJ31" s="3">
        <f t="shared" si="32"/>
        <v>-3.467862416178269E-2</v>
      </c>
      <c r="AK31" s="3">
        <f t="shared" si="33"/>
        <v>3.2738074663361161</v>
      </c>
      <c r="AL31" s="3">
        <f t="shared" si="34"/>
        <v>2.2159111817265993</v>
      </c>
      <c r="AM31" s="3">
        <f t="shared" si="35"/>
        <v>3.2738074663361072</v>
      </c>
      <c r="AN31" s="1">
        <f t="shared" si="36"/>
        <v>0.7745966692414834</v>
      </c>
      <c r="AO31" s="1">
        <f t="shared" si="37"/>
        <v>0.7745966692414834</v>
      </c>
      <c r="AP31" s="1">
        <f t="shared" si="25"/>
        <v>2.1505046627378888</v>
      </c>
      <c r="AQ31" s="1">
        <f t="shared" si="26"/>
        <v>2.2857537716161382</v>
      </c>
      <c r="AR31" s="1">
        <f t="shared" si="27"/>
        <v>0.34572640365586538</v>
      </c>
      <c r="AS31" s="1">
        <f t="shared" si="28"/>
        <v>0</v>
      </c>
      <c r="AT31" s="1">
        <f t="shared" si="38"/>
        <v>1.5363947413452816E-2</v>
      </c>
      <c r="AU31" s="1">
        <f t="shared" si="39"/>
        <v>3.2738074663361072</v>
      </c>
      <c r="AV31" s="1">
        <f t="shared" si="40"/>
        <v>2.1658686101513416</v>
      </c>
      <c r="AW31" s="1">
        <f t="shared" si="41"/>
        <v>3.2738074663361072</v>
      </c>
    </row>
    <row r="32" spans="4:54" x14ac:dyDescent="0.25">
      <c r="D32">
        <f>Sheet1!S13</f>
        <v>0.5</v>
      </c>
      <c r="E32">
        <f>Sheet1!T13</f>
        <v>0.1052</v>
      </c>
      <c r="F32">
        <f>Sheet1!U13</f>
        <v>0.5</v>
      </c>
      <c r="G32">
        <f>Sheet1!V13</f>
        <v>0</v>
      </c>
      <c r="H32" s="1">
        <f t="shared" si="7"/>
        <v>3.872983346207417</v>
      </c>
      <c r="I32" s="1">
        <f t="shared" si="8"/>
        <v>0.81487569604204058</v>
      </c>
      <c r="J32" s="1">
        <f t="shared" si="8"/>
        <v>3.872983346207417</v>
      </c>
      <c r="K32" s="1">
        <f t="shared" si="8"/>
        <v>0</v>
      </c>
      <c r="L32">
        <f t="shared" si="9"/>
        <v>1.9364916731037085</v>
      </c>
      <c r="M32">
        <f>I32-(0.25*$K$38)+Sheet1!$B$17</f>
        <v>19.788541657052317</v>
      </c>
      <c r="N32">
        <f t="shared" si="10"/>
        <v>1.9364916731037085</v>
      </c>
      <c r="O32">
        <f>K32-(0.25*$K$38)+Sheet1!$B$17</f>
        <v>18.973665961010276</v>
      </c>
      <c r="P32" s="1">
        <f t="shared" si="11"/>
        <v>3.872983346207417</v>
      </c>
      <c r="Q32" s="1">
        <f t="shared" si="12"/>
        <v>0.81487569604204058</v>
      </c>
      <c r="R32" s="1">
        <f t="shared" si="13"/>
        <v>3.872983346207417</v>
      </c>
      <c r="S32" s="1">
        <f t="shared" si="14"/>
        <v>0</v>
      </c>
      <c r="T32">
        <f t="shared" si="15"/>
        <v>1.9364916731037085</v>
      </c>
      <c r="U32">
        <f>Q32-(0.25*$S$38)+Sheet1!$B$17</f>
        <v>19.788541657052317</v>
      </c>
      <c r="V32">
        <f t="shared" si="16"/>
        <v>1.9364916731037085</v>
      </c>
      <c r="W32">
        <f>S32-(0.25*$S$38)+Sheet1!$B$17</f>
        <v>18.973665961010276</v>
      </c>
      <c r="X32" s="4">
        <f t="shared" si="17"/>
        <v>1.9364916731037085</v>
      </c>
      <c r="Y32" s="4">
        <f t="shared" si="18"/>
        <v>19.661436822371918</v>
      </c>
      <c r="Z32" s="4">
        <f t="shared" si="19"/>
        <v>2.23925947419511</v>
      </c>
      <c r="AA32">
        <f t="shared" si="20"/>
        <v>1.9364916731037085</v>
      </c>
      <c r="AB32">
        <f t="shared" si="21"/>
        <v>18.851795197765028</v>
      </c>
      <c r="AC32">
        <f t="shared" si="22"/>
        <v>2.1470486304514442</v>
      </c>
      <c r="AD32" s="3">
        <f t="shared" si="23"/>
        <v>0.77759012339406697</v>
      </c>
      <c r="AE32" s="3">
        <f t="shared" si="29"/>
        <v>0.77759012339406675</v>
      </c>
      <c r="AF32" s="3">
        <f t="shared" si="6"/>
        <v>2.2428639351890456</v>
      </c>
      <c r="AG32" s="3">
        <f t="shared" si="24"/>
        <v>2.3695407501911845</v>
      </c>
      <c r="AH32" s="3">
        <f t="shared" si="30"/>
        <v>0.3362412107507684</v>
      </c>
      <c r="AI32" s="3">
        <f t="shared" si="31"/>
        <v>3.9968028886505635E-15</v>
      </c>
      <c r="AJ32" s="3">
        <f t="shared" si="32"/>
        <v>-3.0815688812110942E-2</v>
      </c>
      <c r="AK32" s="3">
        <f t="shared" si="33"/>
        <v>4.051387994468401</v>
      </c>
      <c r="AL32" s="3">
        <f t="shared" si="34"/>
        <v>2.2120482463769346</v>
      </c>
      <c r="AM32" s="3">
        <f t="shared" si="35"/>
        <v>4.0513879944683922</v>
      </c>
      <c r="AN32" s="1">
        <f t="shared" si="36"/>
        <v>0.7745966692414834</v>
      </c>
      <c r="AO32" s="1">
        <f t="shared" si="37"/>
        <v>0.7745966692414834</v>
      </c>
      <c r="AP32" s="1">
        <f t="shared" si="25"/>
        <v>2.1505046627378888</v>
      </c>
      <c r="AQ32" s="1">
        <f t="shared" si="26"/>
        <v>2.2857537716161382</v>
      </c>
      <c r="AR32" s="1">
        <f t="shared" si="27"/>
        <v>0.34572640365586538</v>
      </c>
      <c r="AS32" s="1">
        <f t="shared" si="28"/>
        <v>0</v>
      </c>
      <c r="AT32" s="1">
        <f t="shared" si="38"/>
        <v>1.5363947413452816E-2</v>
      </c>
      <c r="AU32" s="1">
        <f t="shared" si="39"/>
        <v>4.0513879944683922</v>
      </c>
      <c r="AV32" s="1">
        <f t="shared" si="40"/>
        <v>2.1658686101513416</v>
      </c>
      <c r="AW32" s="1">
        <f t="shared" si="41"/>
        <v>4.0513879944683922</v>
      </c>
    </row>
    <row r="33" spans="4:49" x14ac:dyDescent="0.25">
      <c r="D33">
        <f>Sheet1!S14</f>
        <v>0.6</v>
      </c>
      <c r="E33">
        <f>Sheet1!T14</f>
        <v>9.1499999999999998E-2</v>
      </c>
      <c r="F33">
        <f>Sheet1!U14</f>
        <v>0.6</v>
      </c>
      <c r="G33">
        <f>Sheet1!V14</f>
        <v>0</v>
      </c>
      <c r="H33" s="1">
        <f t="shared" si="7"/>
        <v>4.6475800154489004</v>
      </c>
      <c r="I33" s="1">
        <f t="shared" si="8"/>
        <v>0.70875595235595734</v>
      </c>
      <c r="J33" s="1">
        <f t="shared" si="8"/>
        <v>4.6475800154489004</v>
      </c>
      <c r="K33" s="1">
        <f t="shared" si="8"/>
        <v>0</v>
      </c>
      <c r="L33">
        <f t="shared" si="9"/>
        <v>2.7110883423451919</v>
      </c>
      <c r="M33">
        <f>I33-(0.25*$K$38)+Sheet1!$B$17</f>
        <v>19.682421913366234</v>
      </c>
      <c r="N33">
        <f t="shared" si="10"/>
        <v>2.7110883423451919</v>
      </c>
      <c r="O33">
        <f>K33-(0.25*$K$38)+Sheet1!$B$17</f>
        <v>18.973665961010276</v>
      </c>
      <c r="P33" s="1">
        <f t="shared" si="11"/>
        <v>4.6475800154489004</v>
      </c>
      <c r="Q33" s="1">
        <f t="shared" si="12"/>
        <v>0.70875595235595734</v>
      </c>
      <c r="R33" s="1">
        <f t="shared" si="13"/>
        <v>4.6475800154489004</v>
      </c>
      <c r="S33" s="1">
        <f t="shared" si="14"/>
        <v>0</v>
      </c>
      <c r="T33">
        <f t="shared" si="15"/>
        <v>2.7110883423451919</v>
      </c>
      <c r="U33">
        <f>Q33-(0.25*$S$38)+Sheet1!$B$17</f>
        <v>19.682421913366234</v>
      </c>
      <c r="V33">
        <f t="shared" si="16"/>
        <v>2.7110883423451919</v>
      </c>
      <c r="W33">
        <f>S33-(0.25*$S$38)+Sheet1!$B$17</f>
        <v>18.973665961010276</v>
      </c>
      <c r="X33" s="4">
        <f t="shared" si="17"/>
        <v>2.7110883423451919</v>
      </c>
      <c r="Y33" s="4">
        <f t="shared" si="18"/>
        <v>19.555998702057142</v>
      </c>
      <c r="Z33" s="4">
        <f t="shared" si="19"/>
        <v>2.2272510278140434</v>
      </c>
      <c r="AA33">
        <f t="shared" si="20"/>
        <v>2.7110883423451919</v>
      </c>
      <c r="AB33">
        <f t="shared" si="21"/>
        <v>18.851795197765028</v>
      </c>
      <c r="AC33">
        <f t="shared" si="22"/>
        <v>2.1470486304514442</v>
      </c>
      <c r="AD33" s="3">
        <f t="shared" si="23"/>
        <v>0.78183207915766684</v>
      </c>
      <c r="AE33" s="3">
        <f t="shared" si="29"/>
        <v>0.78183207915766673</v>
      </c>
      <c r="AF33" s="3">
        <f t="shared" si="6"/>
        <v>2.230836159213943</v>
      </c>
      <c r="AG33" s="3">
        <f t="shared" si="24"/>
        <v>2.3581383016766155</v>
      </c>
      <c r="AH33" s="3">
        <f t="shared" si="30"/>
        <v>0.34026844213172169</v>
      </c>
      <c r="AI33" s="3">
        <f t="shared" si="31"/>
        <v>4.6629367034256575E-15</v>
      </c>
      <c r="AJ33" s="3">
        <f t="shared" si="32"/>
        <v>-2.4801800824556075E-2</v>
      </c>
      <c r="AK33" s="3">
        <f t="shared" si="33"/>
        <v>4.8331969437336753</v>
      </c>
      <c r="AL33" s="3">
        <f t="shared" si="34"/>
        <v>2.2060343583893869</v>
      </c>
      <c r="AM33" s="3">
        <f t="shared" si="35"/>
        <v>4.8331969437336664</v>
      </c>
      <c r="AN33" s="1">
        <f t="shared" si="36"/>
        <v>0.7745966692414834</v>
      </c>
      <c r="AO33" s="1">
        <f t="shared" si="37"/>
        <v>0.7745966692414834</v>
      </c>
      <c r="AP33" s="1">
        <f t="shared" si="25"/>
        <v>2.1505046627378888</v>
      </c>
      <c r="AQ33" s="1">
        <f t="shared" si="26"/>
        <v>2.2857537716161382</v>
      </c>
      <c r="AR33" s="1">
        <f t="shared" si="27"/>
        <v>0.34572640365586538</v>
      </c>
      <c r="AS33" s="1">
        <f t="shared" si="28"/>
        <v>0</v>
      </c>
      <c r="AT33" s="1">
        <f t="shared" si="38"/>
        <v>1.5363947413452816E-2</v>
      </c>
      <c r="AU33" s="1">
        <f t="shared" si="39"/>
        <v>4.8331969437336664</v>
      </c>
      <c r="AV33" s="1">
        <f t="shared" si="40"/>
        <v>2.1658686101513416</v>
      </c>
      <c r="AW33" s="1">
        <f t="shared" si="41"/>
        <v>4.8331969437336664</v>
      </c>
    </row>
    <row r="34" spans="4:49" x14ac:dyDescent="0.25">
      <c r="D34">
        <f>Sheet1!S15</f>
        <v>0.7</v>
      </c>
      <c r="E34">
        <f>Sheet1!T15</f>
        <v>7.350000000000001E-2</v>
      </c>
      <c r="F34">
        <f>Sheet1!U15</f>
        <v>0.7</v>
      </c>
      <c r="G34">
        <f>Sheet1!V15</f>
        <v>0</v>
      </c>
      <c r="H34" s="1">
        <f t="shared" si="7"/>
        <v>5.4221766846903838</v>
      </c>
      <c r="I34" s="1">
        <f t="shared" si="8"/>
        <v>0.56932855189249043</v>
      </c>
      <c r="J34" s="1">
        <f t="shared" si="8"/>
        <v>5.4221766846903838</v>
      </c>
      <c r="K34" s="1">
        <f t="shared" si="8"/>
        <v>0</v>
      </c>
      <c r="L34">
        <f t="shared" si="9"/>
        <v>3.4856850115866753</v>
      </c>
      <c r="M34">
        <f>I34-(0.25*$K$38)+Sheet1!$B$17</f>
        <v>19.542994512902766</v>
      </c>
      <c r="N34">
        <f t="shared" si="10"/>
        <v>3.4856850115866753</v>
      </c>
      <c r="O34">
        <f>K34-(0.25*$K$38)+Sheet1!$B$17</f>
        <v>18.973665961010276</v>
      </c>
      <c r="P34" s="1">
        <f t="shared" si="11"/>
        <v>5.4221766846903838</v>
      </c>
      <c r="Q34" s="1">
        <f t="shared" si="12"/>
        <v>0.56932855189249043</v>
      </c>
      <c r="R34" s="1">
        <f t="shared" si="13"/>
        <v>5.4221766846903838</v>
      </c>
      <c r="S34" s="1">
        <f t="shared" si="14"/>
        <v>0</v>
      </c>
      <c r="T34">
        <f t="shared" si="15"/>
        <v>3.4856850115866753</v>
      </c>
      <c r="U34">
        <f>Q34-(0.25*$S$38)+Sheet1!$B$17</f>
        <v>19.542994512902766</v>
      </c>
      <c r="V34">
        <f t="shared" si="16"/>
        <v>3.4856850115866753</v>
      </c>
      <c r="W34">
        <f>S34-(0.25*$S$38)+Sheet1!$B$17</f>
        <v>18.973665961010276</v>
      </c>
      <c r="X34" s="4">
        <f t="shared" si="17"/>
        <v>3.4856850115866753</v>
      </c>
      <c r="Y34" s="4">
        <f t="shared" si="18"/>
        <v>19.417466865147219</v>
      </c>
      <c r="Z34" s="4">
        <f t="shared" si="19"/>
        <v>2.2114735070214007</v>
      </c>
      <c r="AA34">
        <f t="shared" si="20"/>
        <v>3.4856850115866753</v>
      </c>
      <c r="AB34">
        <f t="shared" si="21"/>
        <v>18.851795197765028</v>
      </c>
      <c r="AC34">
        <f t="shared" si="22"/>
        <v>2.1470486304514442</v>
      </c>
      <c r="AD34" s="3">
        <f t="shared" si="23"/>
        <v>0.78704510671244243</v>
      </c>
      <c r="AE34" s="3">
        <f t="shared" si="29"/>
        <v>0.78704510671244277</v>
      </c>
      <c r="AF34" s="3">
        <f t="shared" si="6"/>
        <v>2.2150332418743908</v>
      </c>
      <c r="AG34" s="3">
        <f t="shared" si="24"/>
        <v>2.3435384096969334</v>
      </c>
      <c r="AH34" s="3">
        <f t="shared" si="30"/>
        <v>0.34470121348652327</v>
      </c>
      <c r="AI34" s="3">
        <f t="shared" si="31"/>
        <v>4.2188474935755949E-15</v>
      </c>
      <c r="AJ34" s="3">
        <f t="shared" si="32"/>
        <v>-1.6900342154777093E-2</v>
      </c>
      <c r="AK34" s="3">
        <f t="shared" si="33"/>
        <v>5.6202023865044941</v>
      </c>
      <c r="AL34" s="3">
        <f t="shared" si="34"/>
        <v>2.1981328997196137</v>
      </c>
      <c r="AM34" s="3">
        <f t="shared" si="35"/>
        <v>5.6202023865044834</v>
      </c>
      <c r="AN34" s="1">
        <f t="shared" si="36"/>
        <v>0.7745966692414834</v>
      </c>
      <c r="AO34" s="1">
        <f t="shared" si="37"/>
        <v>0.7745966692414834</v>
      </c>
      <c r="AP34" s="1">
        <f t="shared" si="25"/>
        <v>2.1505046627378888</v>
      </c>
      <c r="AQ34" s="1">
        <f t="shared" si="26"/>
        <v>2.2857537716161387</v>
      </c>
      <c r="AR34" s="1">
        <f t="shared" si="27"/>
        <v>0.34572640365586538</v>
      </c>
      <c r="AS34" s="1">
        <f t="shared" si="28"/>
        <v>0</v>
      </c>
      <c r="AT34" s="1">
        <f t="shared" si="38"/>
        <v>1.5363947413452816E-2</v>
      </c>
      <c r="AU34" s="1">
        <f t="shared" si="39"/>
        <v>5.6202023865044834</v>
      </c>
      <c r="AV34" s="1">
        <f t="shared" si="40"/>
        <v>2.1658686101513416</v>
      </c>
      <c r="AW34" s="1">
        <f t="shared" si="41"/>
        <v>5.6202023865044834</v>
      </c>
    </row>
    <row r="35" spans="4:49" x14ac:dyDescent="0.25">
      <c r="D35">
        <f>Sheet1!S16</f>
        <v>0.8</v>
      </c>
      <c r="E35">
        <f>Sheet1!T16</f>
        <v>5.220000000000001E-2</v>
      </c>
      <c r="F35">
        <f>Sheet1!U16</f>
        <v>0.8</v>
      </c>
      <c r="G35">
        <f>Sheet1!V16</f>
        <v>0</v>
      </c>
      <c r="H35" s="1">
        <f t="shared" si="7"/>
        <v>6.1967733539318672</v>
      </c>
      <c r="I35" s="1">
        <f t="shared" si="8"/>
        <v>0.40433946134405441</v>
      </c>
      <c r="J35" s="1">
        <f t="shared" si="8"/>
        <v>6.1967733539318672</v>
      </c>
      <c r="K35" s="1">
        <f t="shared" si="8"/>
        <v>0</v>
      </c>
      <c r="L35">
        <f t="shared" si="9"/>
        <v>4.2602816808281592</v>
      </c>
      <c r="M35">
        <f>I35-(0.25*$K$38)+Sheet1!$B$17</f>
        <v>19.378005422354331</v>
      </c>
      <c r="N35">
        <f t="shared" si="10"/>
        <v>4.2602816808281592</v>
      </c>
      <c r="O35">
        <f>K35-(0.25*$K$38)+Sheet1!$B$17</f>
        <v>18.973665961010276</v>
      </c>
      <c r="P35" s="1">
        <f t="shared" si="11"/>
        <v>6.1967733539318672</v>
      </c>
      <c r="Q35" s="1">
        <f t="shared" si="12"/>
        <v>0.40433946134405441</v>
      </c>
      <c r="R35" s="1">
        <f t="shared" si="13"/>
        <v>6.1967733539318672</v>
      </c>
      <c r="S35" s="1">
        <f t="shared" si="14"/>
        <v>0</v>
      </c>
      <c r="T35">
        <f t="shared" si="15"/>
        <v>4.2602816808281592</v>
      </c>
      <c r="U35">
        <f>Q35-(0.25*$S$38)+Sheet1!$B$17</f>
        <v>19.378005422354331</v>
      </c>
      <c r="V35">
        <f t="shared" si="16"/>
        <v>4.2602816808281592</v>
      </c>
      <c r="W35">
        <f>S35-(0.25*$S$38)+Sheet1!$B$17</f>
        <v>18.973665961010276</v>
      </c>
      <c r="X35" s="4">
        <f t="shared" si="17"/>
        <v>4.2602816808281592</v>
      </c>
      <c r="Y35" s="4">
        <f t="shared" si="18"/>
        <v>19.253537524803807</v>
      </c>
      <c r="Z35" s="4">
        <f t="shared" si="19"/>
        <v>2.1928034407501076</v>
      </c>
      <c r="AA35">
        <f t="shared" si="20"/>
        <v>4.2602816808281592</v>
      </c>
      <c r="AB35">
        <f t="shared" si="21"/>
        <v>18.851795197765028</v>
      </c>
      <c r="AC35">
        <f t="shared" si="22"/>
        <v>2.1470486304514442</v>
      </c>
      <c r="AD35" s="3">
        <f t="shared" si="23"/>
        <v>0.79197310560397272</v>
      </c>
      <c r="AE35" s="3">
        <f t="shared" si="29"/>
        <v>0.79197310560397216</v>
      </c>
      <c r="AF35" s="3">
        <f t="shared" si="6"/>
        <v>2.1963331230225887</v>
      </c>
      <c r="AG35" s="3">
        <f t="shared" si="24"/>
        <v>2.3264466416733089</v>
      </c>
      <c r="AH35" s="3">
        <f t="shared" si="30"/>
        <v>0.34961174694560326</v>
      </c>
      <c r="AI35" s="3">
        <f t="shared" si="31"/>
        <v>4.4408920985006262E-15</v>
      </c>
      <c r="AJ35" s="3">
        <f t="shared" si="32"/>
        <v>-7.5502827288720376E-3</v>
      </c>
      <c r="AK35" s="3">
        <f t="shared" si="33"/>
        <v>6.4121202966370605</v>
      </c>
      <c r="AL35" s="3">
        <f t="shared" si="34"/>
        <v>2.1887828402937166</v>
      </c>
      <c r="AM35" s="3">
        <f t="shared" si="35"/>
        <v>6.4121202966370516</v>
      </c>
      <c r="AN35" s="1">
        <f t="shared" si="36"/>
        <v>0.77459666924148385</v>
      </c>
      <c r="AO35" s="1">
        <f t="shared" si="37"/>
        <v>0.77459666924148385</v>
      </c>
      <c r="AP35" s="1">
        <f t="shared" si="25"/>
        <v>2.1505046627378888</v>
      </c>
      <c r="AQ35" s="1">
        <f t="shared" si="26"/>
        <v>2.2857537716161387</v>
      </c>
      <c r="AR35" s="1">
        <f t="shared" si="27"/>
        <v>0.34572640365586538</v>
      </c>
      <c r="AS35" s="1">
        <f t="shared" si="28"/>
        <v>0</v>
      </c>
      <c r="AT35" s="1">
        <f t="shared" si="38"/>
        <v>1.5363947413453261E-2</v>
      </c>
      <c r="AU35" s="1">
        <f t="shared" si="39"/>
        <v>6.4121202966370516</v>
      </c>
      <c r="AV35" s="1">
        <f t="shared" si="40"/>
        <v>2.165868610151342</v>
      </c>
      <c r="AW35" s="1">
        <f t="shared" si="41"/>
        <v>6.4121202966370516</v>
      </c>
    </row>
    <row r="36" spans="4:49" x14ac:dyDescent="0.25">
      <c r="D36">
        <f>Sheet1!S17</f>
        <v>0.90000000000000013</v>
      </c>
      <c r="E36">
        <f>Sheet1!T17</f>
        <v>2.8000000000000001E-2</v>
      </c>
      <c r="F36">
        <f>Sheet1!U17</f>
        <v>0.90000000000000013</v>
      </c>
      <c r="G36">
        <f>Sheet1!V17</f>
        <v>0</v>
      </c>
      <c r="H36" s="1">
        <f t="shared" si="7"/>
        <v>6.9713700231733515</v>
      </c>
      <c r="I36" s="1">
        <f t="shared" si="8"/>
        <v>0.21688706738761535</v>
      </c>
      <c r="J36" s="1">
        <f t="shared" si="8"/>
        <v>6.9713700231733515</v>
      </c>
      <c r="K36" s="1">
        <f t="shared" si="8"/>
        <v>0</v>
      </c>
      <c r="L36">
        <f t="shared" si="9"/>
        <v>5.0348783500696435</v>
      </c>
      <c r="M36">
        <f>I36-(0.25*$K$38)+Sheet1!$B$17</f>
        <v>19.190553028397893</v>
      </c>
      <c r="N36">
        <f t="shared" si="10"/>
        <v>5.0348783500696435</v>
      </c>
      <c r="O36">
        <f>K36-(0.25*$K$38)+Sheet1!$B$17</f>
        <v>18.973665961010276</v>
      </c>
      <c r="P36" s="1">
        <f t="shared" si="11"/>
        <v>6.9713700231733515</v>
      </c>
      <c r="Q36" s="1">
        <f t="shared" si="12"/>
        <v>0.21688706738761535</v>
      </c>
      <c r="R36" s="1">
        <f t="shared" si="13"/>
        <v>6.9713700231733515</v>
      </c>
      <c r="S36" s="1">
        <f t="shared" si="14"/>
        <v>0</v>
      </c>
      <c r="T36">
        <f t="shared" si="15"/>
        <v>5.0348783500696435</v>
      </c>
      <c r="U36">
        <f>Q36-(0.25*$S$38)+Sheet1!$B$17</f>
        <v>19.190553028397893</v>
      </c>
      <c r="V36">
        <f t="shared" si="16"/>
        <v>5.0348783500696435</v>
      </c>
      <c r="W36">
        <f>S36-(0.25*$S$38)+Sheet1!$B$17</f>
        <v>18.973665961010276</v>
      </c>
      <c r="X36" s="4">
        <f t="shared" si="17"/>
        <v>5.0348783500696435</v>
      </c>
      <c r="Y36" s="4">
        <f t="shared" si="18"/>
        <v>19.06728916629158</v>
      </c>
      <c r="Z36" s="4">
        <f t="shared" si="19"/>
        <v>2.1715914405733328</v>
      </c>
      <c r="AA36">
        <f t="shared" si="20"/>
        <v>5.0348783500696435</v>
      </c>
      <c r="AB36">
        <f t="shared" si="21"/>
        <v>18.851795197765028</v>
      </c>
      <c r="AC36">
        <f t="shared" si="22"/>
        <v>2.1470486304514442</v>
      </c>
      <c r="AD36" s="3">
        <f t="shared" si="23"/>
        <v>0.79695570767766011</v>
      </c>
      <c r="AE36" s="3">
        <f t="shared" si="29"/>
        <v>0.79695570767766066</v>
      </c>
      <c r="AF36" s="3">
        <f t="shared" si="6"/>
        <v>2.1750869785994138</v>
      </c>
      <c r="AG36" s="3">
        <f t="shared" si="24"/>
        <v>2.2059656078216796</v>
      </c>
      <c r="AH36" s="3">
        <f t="shared" si="30"/>
        <v>0.18248691937250494</v>
      </c>
      <c r="AI36" s="3">
        <f t="shared" si="31"/>
        <v>4.8849813083506888E-15</v>
      </c>
      <c r="AJ36" s="3">
        <f t="shared" si="32"/>
        <v>3.0727894827187185E-3</v>
      </c>
      <c r="AK36" s="3">
        <f t="shared" si="33"/>
        <v>7.2090052007084005</v>
      </c>
      <c r="AL36" s="3">
        <f t="shared" si="34"/>
        <v>2.1781597680821325</v>
      </c>
      <c r="AM36" s="3">
        <f t="shared" si="35"/>
        <v>7.2090052007083907</v>
      </c>
      <c r="AN36" s="1">
        <f t="shared" si="36"/>
        <v>0.77459666924148429</v>
      </c>
      <c r="AO36" s="1">
        <f t="shared" si="37"/>
        <v>0.77459666924148429</v>
      </c>
      <c r="AP36" s="1">
        <f t="shared" si="25"/>
        <v>2.1505046627378888</v>
      </c>
      <c r="AQ36" s="1">
        <f t="shared" si="26"/>
        <v>2.1851018979574843</v>
      </c>
      <c r="AR36" s="1">
        <f t="shared" si="27"/>
        <v>0.17818639540224668</v>
      </c>
      <c r="AS36" s="1">
        <f t="shared" si="28"/>
        <v>0</v>
      </c>
      <c r="AT36" s="1">
        <f t="shared" si="38"/>
        <v>1.5363947413453705E-2</v>
      </c>
      <c r="AU36" s="1">
        <f t="shared" si="39"/>
        <v>7.2090052007083907</v>
      </c>
      <c r="AV36" s="1">
        <f t="shared" si="40"/>
        <v>2.1658686101513425</v>
      </c>
      <c r="AW36" s="1">
        <f t="shared" si="41"/>
        <v>7.2090052007083907</v>
      </c>
    </row>
    <row r="37" spans="4:49" x14ac:dyDescent="0.25">
      <c r="D37">
        <f>Sheet1!S18</f>
        <v>0.95</v>
      </c>
      <c r="E37">
        <f>Sheet1!T18</f>
        <v>1.49E-2</v>
      </c>
      <c r="F37">
        <f>Sheet1!U18</f>
        <v>0.95</v>
      </c>
      <c r="G37">
        <f>Sheet1!V18</f>
        <v>0</v>
      </c>
      <c r="H37" s="1">
        <f t="shared" si="7"/>
        <v>7.3586683577940919</v>
      </c>
      <c r="I37" s="1">
        <f t="shared" si="8"/>
        <v>0.11541490371698103</v>
      </c>
      <c r="J37" s="1">
        <f t="shared" si="8"/>
        <v>7.3586683577940919</v>
      </c>
      <c r="K37" s="1">
        <f t="shared" si="8"/>
        <v>0</v>
      </c>
      <c r="L37">
        <f t="shared" si="9"/>
        <v>5.4221766846903829</v>
      </c>
      <c r="M37">
        <f>I37-(0.25*$K$38)+Sheet1!$B$17</f>
        <v>19.089080864727258</v>
      </c>
      <c r="N37">
        <f t="shared" si="10"/>
        <v>5.4221766846903829</v>
      </c>
      <c r="O37">
        <f>K37-(0.25*$K$38)+Sheet1!$B$17</f>
        <v>18.973665961010276</v>
      </c>
      <c r="P37" s="1">
        <f t="shared" si="11"/>
        <v>7.3586683577940919</v>
      </c>
      <c r="Q37" s="1">
        <f t="shared" si="12"/>
        <v>0.11541490371698103</v>
      </c>
      <c r="R37" s="1">
        <f t="shared" si="13"/>
        <v>7.3586683577940919</v>
      </c>
      <c r="S37" s="1">
        <f t="shared" si="14"/>
        <v>0</v>
      </c>
      <c r="T37">
        <f t="shared" si="15"/>
        <v>5.4221766846903829</v>
      </c>
      <c r="U37">
        <f>Q37-(0.25*$S$38)+Sheet1!$B$17</f>
        <v>19.089080864727258</v>
      </c>
      <c r="V37">
        <f t="shared" si="16"/>
        <v>5.4221766846903829</v>
      </c>
      <c r="W37">
        <f>S37-(0.25*$S$38)+Sheet1!$B$17</f>
        <v>18.973665961010276</v>
      </c>
      <c r="X37" s="4">
        <f t="shared" si="17"/>
        <v>5.4221766846903829</v>
      </c>
      <c r="Y37" s="4">
        <f t="shared" si="18"/>
        <v>18.9664687738738</v>
      </c>
      <c r="Z37" s="4">
        <f t="shared" si="19"/>
        <v>2.1601089115520207</v>
      </c>
      <c r="AA37">
        <f t="shared" si="20"/>
        <v>5.4221766846903829</v>
      </c>
      <c r="AB37">
        <f t="shared" si="21"/>
        <v>18.851795197765028</v>
      </c>
      <c r="AC37">
        <f t="shared" si="22"/>
        <v>2.1470486304514442</v>
      </c>
      <c r="AD37" s="3">
        <f t="shared" si="23"/>
        <v>0.40037057833961631</v>
      </c>
      <c r="AE37" s="3">
        <f t="shared" si="29"/>
        <v>0.40037057833961592</v>
      </c>
      <c r="AF37" s="3">
        <f t="shared" si="6"/>
        <v>2.1635859665356292</v>
      </c>
      <c r="AG37" s="3">
        <f t="shared" si="24"/>
        <v>2.194616710790644</v>
      </c>
      <c r="AH37" s="3">
        <f t="shared" si="30"/>
        <v>0.18399715143768036</v>
      </c>
      <c r="AI37" s="3">
        <f t="shared" si="31"/>
        <v>3.5527136788005009E-15</v>
      </c>
      <c r="AJ37" s="3">
        <f t="shared" si="32"/>
        <v>8.8232955146128056E-3</v>
      </c>
      <c r="AK37" s="3">
        <f t="shared" si="33"/>
        <v>7.6093344797779885</v>
      </c>
      <c r="AL37" s="3">
        <f t="shared" si="34"/>
        <v>2.172409262050242</v>
      </c>
      <c r="AM37" s="3">
        <f t="shared" si="35"/>
        <v>7.6093344797779778</v>
      </c>
      <c r="AN37" s="1">
        <f t="shared" si="36"/>
        <v>0.38729833462073948</v>
      </c>
      <c r="AO37" s="1">
        <f t="shared" si="37"/>
        <v>0.38729833462073948</v>
      </c>
      <c r="AP37" s="1">
        <f t="shared" si="25"/>
        <v>2.1505046627378888</v>
      </c>
      <c r="AQ37" s="1">
        <f t="shared" si="26"/>
        <v>2.1851018979574848</v>
      </c>
      <c r="AR37" s="1">
        <f t="shared" si="27"/>
        <v>0.17818639540224868</v>
      </c>
      <c r="AS37" s="1">
        <f t="shared" si="28"/>
        <v>0</v>
      </c>
      <c r="AT37" s="1">
        <f t="shared" si="38"/>
        <v>1.5363947413454149E-2</v>
      </c>
      <c r="AU37" s="1">
        <f t="shared" si="39"/>
        <v>7.6093344797779778</v>
      </c>
      <c r="AV37" s="1">
        <f t="shared" si="40"/>
        <v>2.1658686101513429</v>
      </c>
      <c r="AW37" s="1">
        <f t="shared" si="41"/>
        <v>7.6093344797779778</v>
      </c>
    </row>
    <row r="38" spans="4:49" x14ac:dyDescent="0.25">
      <c r="D38">
        <f>Sheet1!S19</f>
        <v>1</v>
      </c>
      <c r="E38">
        <f>Sheet1!T19</f>
        <v>1.1999999999999999E-3</v>
      </c>
      <c r="F38">
        <f>Sheet1!U19</f>
        <v>1</v>
      </c>
      <c r="G38">
        <f>Sheet1!V19</f>
        <v>0</v>
      </c>
      <c r="H38" s="1">
        <f t="shared" si="7"/>
        <v>7.745966692414834</v>
      </c>
      <c r="I38" s="1">
        <f t="shared" si="7"/>
        <v>9.2951600308978002E-3</v>
      </c>
      <c r="J38" s="1">
        <f t="shared" si="7"/>
        <v>7.745966692414834</v>
      </c>
      <c r="K38" s="1">
        <f t="shared" si="7"/>
        <v>0</v>
      </c>
      <c r="L38">
        <f t="shared" si="9"/>
        <v>5.809475019311126</v>
      </c>
      <c r="M38">
        <f>I38-(0.25*$K$38)+Sheet1!$B$17</f>
        <v>18.982961121041175</v>
      </c>
      <c r="N38">
        <f t="shared" si="10"/>
        <v>5.809475019311126</v>
      </c>
      <c r="O38">
        <f>K38-(0.25*$K$38)+Sheet1!$B$17</f>
        <v>18.973665961010276</v>
      </c>
      <c r="P38" s="1">
        <f t="shared" si="11"/>
        <v>7.745966692414834</v>
      </c>
      <c r="Q38" s="1">
        <f t="shared" si="12"/>
        <v>9.2951600308978002E-3</v>
      </c>
      <c r="R38" s="1">
        <f t="shared" si="13"/>
        <v>7.745966692414834</v>
      </c>
      <c r="S38" s="1">
        <f t="shared" si="14"/>
        <v>0</v>
      </c>
      <c r="T38">
        <f t="shared" si="15"/>
        <v>5.809475019311126</v>
      </c>
      <c r="U38">
        <f>Q38-(0.25*$S$38)+Sheet1!$B$17</f>
        <v>18.982961121041175</v>
      </c>
      <c r="V38">
        <f t="shared" si="16"/>
        <v>5.809475019311126</v>
      </c>
      <c r="W38">
        <f>S38-(0.25*$S$38)+Sheet1!$B$17</f>
        <v>18.973665961010276</v>
      </c>
      <c r="X38" s="4">
        <f t="shared" si="17"/>
        <v>5.809475019311126</v>
      </c>
      <c r="Y38" s="4">
        <f t="shared" si="18"/>
        <v>18.861030653559023</v>
      </c>
      <c r="Z38" s="4">
        <f t="shared" si="19"/>
        <v>2.1481004651709537</v>
      </c>
      <c r="AA38">
        <f t="shared" si="20"/>
        <v>5.809475019311126</v>
      </c>
      <c r="AB38">
        <f t="shared" si="21"/>
        <v>18.851795197765028</v>
      </c>
      <c r="AC38">
        <f t="shared" si="22"/>
        <v>2.1470486304514442</v>
      </c>
      <c r="AD38" s="3">
        <f t="shared" si="23"/>
        <v>0.40157365451433846</v>
      </c>
      <c r="AE38" s="3">
        <f t="shared" si="29"/>
        <v>0.40157365451433813</v>
      </c>
      <c r="AF38" s="3">
        <f t="shared" si="6"/>
        <v>2.1515581905605257</v>
      </c>
      <c r="AG38" s="3"/>
      <c r="AH38" s="3"/>
      <c r="AI38" s="3"/>
      <c r="AJ38" s="3">
        <f t="shared" si="32"/>
        <v>1.483718350216634E-2</v>
      </c>
      <c r="AK38" s="3">
        <f t="shared" si="33"/>
        <v>8.0108631003659525</v>
      </c>
      <c r="AL38" s="3">
        <f t="shared" si="34"/>
        <v>2.166395374062692</v>
      </c>
      <c r="AM38" s="3">
        <f t="shared" si="35"/>
        <v>8.0108631003659454</v>
      </c>
      <c r="AN38" s="1">
        <f t="shared" si="36"/>
        <v>0.38729833462074303</v>
      </c>
      <c r="AO38" s="1">
        <f t="shared" si="37"/>
        <v>0.38729833462074303</v>
      </c>
      <c r="AP38" s="1">
        <f t="shared" si="25"/>
        <v>2.1505046627378888</v>
      </c>
      <c r="AQ38" s="1"/>
      <c r="AR38" s="1"/>
      <c r="AS38" s="1"/>
      <c r="AT38" s="1">
        <f t="shared" si="38"/>
        <v>1.5363947413454149E-2</v>
      </c>
      <c r="AU38" s="1">
        <f t="shared" si="39"/>
        <v>8.0108631003659454</v>
      </c>
      <c r="AV38" s="1">
        <f t="shared" si="40"/>
        <v>2.1658686101513429</v>
      </c>
      <c r="AW38" s="1">
        <f t="shared" si="41"/>
        <v>8.0108631003659454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"/>
  <sheetViews>
    <sheetView topLeftCell="AA7" workbookViewId="0">
      <selection activeCell="BB27" sqref="BB27"/>
    </sheetView>
  </sheetViews>
  <sheetFormatPr defaultRowHeight="15" x14ac:dyDescent="0.25"/>
  <cols>
    <col min="34" max="34" width="11" bestFit="1" customWidth="1"/>
    <col min="35" max="35" width="11" customWidth="1"/>
  </cols>
  <sheetData>
    <row r="1" spans="1:23" x14ac:dyDescent="0.25">
      <c r="H1" t="s">
        <v>49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t="s">
        <v>73</v>
      </c>
      <c r="B2">
        <f>Sheet1!G25</f>
        <v>7.745966692414834</v>
      </c>
      <c r="D2" s="1">
        <f>Sheet1!O3</f>
        <v>0</v>
      </c>
      <c r="E2" s="1">
        <f>Sheet1!P3</f>
        <v>3.5000000000000003E-2</v>
      </c>
      <c r="F2" s="1">
        <f>Sheet1!Q3</f>
        <v>0</v>
      </c>
      <c r="G2" s="1">
        <f>Sheet1!R3</f>
        <v>3.5000000000000003E-2</v>
      </c>
      <c r="H2">
        <f>D2*$B$2</f>
        <v>0</v>
      </c>
      <c r="I2">
        <f t="shared" ref="I2:K17" si="0">E2*$B$2</f>
        <v>0.2711088342345192</v>
      </c>
      <c r="J2">
        <f t="shared" si="0"/>
        <v>0</v>
      </c>
      <c r="K2">
        <f t="shared" si="0"/>
        <v>0.2711088342345192</v>
      </c>
      <c r="L2" s="1">
        <f t="shared" ref="L2:L18" si="1">D2*$B$4</f>
        <v>0</v>
      </c>
      <c r="M2" s="1">
        <f t="shared" ref="M2:M18" si="2">E2*$B$4</f>
        <v>0.2711088342345192</v>
      </c>
      <c r="N2" s="1">
        <f t="shared" ref="N2:N18" si="3">F2*$B$4</f>
        <v>0</v>
      </c>
      <c r="O2" s="1">
        <f t="shared" ref="O2:O18" si="4">G2*$B$4</f>
        <v>0.2711088342345192</v>
      </c>
      <c r="P2" s="1"/>
      <c r="Q2" s="1"/>
      <c r="R2" s="1"/>
      <c r="S2" s="1"/>
      <c r="T2" s="1"/>
      <c r="U2" s="1"/>
      <c r="V2" s="1"/>
      <c r="W2" s="1"/>
    </row>
    <row r="3" spans="1:23" x14ac:dyDescent="0.25">
      <c r="A3" t="s">
        <v>50</v>
      </c>
      <c r="B3">
        <f>Sheet1!F25</f>
        <v>7.745966692414834</v>
      </c>
      <c r="D3" s="1">
        <f>Sheet1!O4</f>
        <v>1.2500000000000001E-2</v>
      </c>
      <c r="E3" s="1">
        <f>Sheet1!P4</f>
        <v>5.45E-2</v>
      </c>
      <c r="F3" s="1">
        <f>Sheet1!Q4</f>
        <v>1.2500000000000001E-2</v>
      </c>
      <c r="G3" s="1">
        <f>Sheet1!R4</f>
        <v>1.9300000000000001E-2</v>
      </c>
      <c r="H3">
        <f t="shared" ref="H3:K18" si="5">D3*$B$2</f>
        <v>9.6824583655185426E-2</v>
      </c>
      <c r="I3">
        <f t="shared" si="0"/>
        <v>0.42215518473660846</v>
      </c>
      <c r="J3">
        <f t="shared" si="0"/>
        <v>9.6824583655185426E-2</v>
      </c>
      <c r="K3">
        <f t="shared" si="0"/>
        <v>0.14949715716360631</v>
      </c>
      <c r="L3" s="1">
        <f t="shared" si="1"/>
        <v>9.6824583655185426E-2</v>
      </c>
      <c r="M3" s="1">
        <f t="shared" si="2"/>
        <v>0.42215518473660846</v>
      </c>
      <c r="N3" s="1">
        <f t="shared" si="3"/>
        <v>9.6824583655185426E-2</v>
      </c>
      <c r="O3" s="1">
        <f t="shared" si="4"/>
        <v>0.14949715716360631</v>
      </c>
      <c r="P3" s="1"/>
      <c r="Q3" s="1"/>
      <c r="R3" s="1"/>
      <c r="S3" s="1"/>
      <c r="T3" s="1"/>
      <c r="U3" s="1"/>
      <c r="V3" s="1"/>
      <c r="W3" s="1"/>
    </row>
    <row r="4" spans="1:23" x14ac:dyDescent="0.25">
      <c r="A4" t="s">
        <v>74</v>
      </c>
      <c r="B4">
        <f>(B2+B3)/2</f>
        <v>7.745966692414834</v>
      </c>
      <c r="D4" s="1">
        <f>Sheet1!O5</f>
        <v>2.5000000000000001E-2</v>
      </c>
      <c r="E4" s="1">
        <f>Sheet1!P5</f>
        <v>6.5000000000000002E-2</v>
      </c>
      <c r="F4" s="1">
        <f>Sheet1!Q5</f>
        <v>2.5000000000000001E-2</v>
      </c>
      <c r="G4" s="1">
        <f>Sheet1!R5</f>
        <v>1.4699999999999998E-2</v>
      </c>
      <c r="H4">
        <f t="shared" si="5"/>
        <v>0.19364916731037085</v>
      </c>
      <c r="I4">
        <f t="shared" si="0"/>
        <v>0.50348783500696426</v>
      </c>
      <c r="J4">
        <f t="shared" si="0"/>
        <v>0.19364916731037085</v>
      </c>
      <c r="K4">
        <f t="shared" si="0"/>
        <v>0.11386571037849805</v>
      </c>
      <c r="L4" s="1">
        <f t="shared" si="1"/>
        <v>0.19364916731037085</v>
      </c>
      <c r="M4" s="1">
        <f t="shared" si="2"/>
        <v>0.50348783500696426</v>
      </c>
      <c r="N4" s="1">
        <f t="shared" si="3"/>
        <v>0.19364916731037085</v>
      </c>
      <c r="O4" s="1">
        <f t="shared" si="4"/>
        <v>0.11386571037849805</v>
      </c>
      <c r="P4" s="1"/>
      <c r="Q4" s="1"/>
      <c r="R4" s="1"/>
      <c r="S4" s="1"/>
      <c r="T4" s="1"/>
      <c r="U4" s="1"/>
      <c r="V4" s="1"/>
      <c r="W4" s="1"/>
    </row>
    <row r="5" spans="1:23" x14ac:dyDescent="0.25">
      <c r="A5" t="s">
        <v>45</v>
      </c>
      <c r="B5">
        <f>Sheet1!B19/9</f>
        <v>0.11340230290662862</v>
      </c>
      <c r="D5" s="1">
        <f>Sheet1!O6</f>
        <v>0.05</v>
      </c>
      <c r="E5" s="1">
        <f>Sheet1!P6</f>
        <v>7.8999999999999987E-2</v>
      </c>
      <c r="F5" s="1">
        <f>Sheet1!Q6</f>
        <v>0.05</v>
      </c>
      <c r="G5" s="1">
        <f>Sheet1!R6</f>
        <v>9.2999999999999992E-3</v>
      </c>
      <c r="H5">
        <f t="shared" si="5"/>
        <v>0.3872983346207417</v>
      </c>
      <c r="I5">
        <f t="shared" si="0"/>
        <v>0.61193136870077181</v>
      </c>
      <c r="J5">
        <f t="shared" si="0"/>
        <v>0.3872983346207417</v>
      </c>
      <c r="K5">
        <f t="shared" si="0"/>
        <v>7.2037490239457949E-2</v>
      </c>
      <c r="L5" s="1">
        <f t="shared" si="1"/>
        <v>0.3872983346207417</v>
      </c>
      <c r="M5" s="1">
        <f t="shared" si="2"/>
        <v>0.61193136870077181</v>
      </c>
      <c r="N5" s="1">
        <f t="shared" si="3"/>
        <v>0.3872983346207417</v>
      </c>
      <c r="O5" s="1">
        <f t="shared" si="4"/>
        <v>7.2037490239457949E-2</v>
      </c>
      <c r="P5" s="1"/>
      <c r="Q5" s="1"/>
      <c r="R5" s="1"/>
      <c r="S5" s="1"/>
      <c r="T5" s="1"/>
      <c r="U5" s="1"/>
      <c r="V5" s="1"/>
      <c r="W5" s="1"/>
    </row>
    <row r="6" spans="1:23" x14ac:dyDescent="0.25">
      <c r="D6" s="1">
        <f>Sheet1!O7</f>
        <v>7.4999999999999997E-2</v>
      </c>
      <c r="E6" s="1">
        <f>Sheet1!P7</f>
        <v>8.8499999999999995E-2</v>
      </c>
      <c r="F6" s="1">
        <f>Sheet1!Q7</f>
        <v>7.4999999999999997E-2</v>
      </c>
      <c r="G6" s="1">
        <f>Sheet1!R7</f>
        <v>6.3E-3</v>
      </c>
      <c r="H6">
        <f t="shared" si="5"/>
        <v>0.58094750193111255</v>
      </c>
      <c r="I6">
        <f t="shared" si="0"/>
        <v>0.68551805227871276</v>
      </c>
      <c r="J6">
        <f t="shared" si="0"/>
        <v>0.58094750193111255</v>
      </c>
      <c r="K6">
        <f t="shared" si="0"/>
        <v>4.8799590162213455E-2</v>
      </c>
      <c r="L6" s="1">
        <f t="shared" si="1"/>
        <v>0.58094750193111255</v>
      </c>
      <c r="M6" s="1">
        <f t="shared" si="2"/>
        <v>0.68551805227871276</v>
      </c>
      <c r="N6" s="1">
        <f t="shared" si="3"/>
        <v>0.58094750193111255</v>
      </c>
      <c r="O6" s="1">
        <f t="shared" si="4"/>
        <v>4.8799590162213455E-2</v>
      </c>
      <c r="P6" s="1"/>
      <c r="Q6" s="1"/>
      <c r="R6" s="1"/>
      <c r="S6" s="1"/>
      <c r="T6" s="1"/>
      <c r="U6" s="1"/>
      <c r="V6" s="1"/>
      <c r="W6" s="1"/>
    </row>
    <row r="7" spans="1:23" x14ac:dyDescent="0.25">
      <c r="D7" s="1">
        <f>Sheet1!O8</f>
        <v>0.1</v>
      </c>
      <c r="E7" s="1">
        <f>Sheet1!P8</f>
        <v>9.6000000000000002E-2</v>
      </c>
      <c r="F7" s="1">
        <f>Sheet1!Q8</f>
        <v>0.1</v>
      </c>
      <c r="G7" s="1">
        <f>Sheet1!R8</f>
        <v>4.1999999999999997E-3</v>
      </c>
      <c r="H7">
        <f t="shared" si="5"/>
        <v>0.7745966692414834</v>
      </c>
      <c r="I7">
        <f t="shared" si="0"/>
        <v>0.74361280247182404</v>
      </c>
      <c r="J7">
        <f t="shared" si="0"/>
        <v>0.7745966692414834</v>
      </c>
      <c r="K7">
        <f t="shared" si="0"/>
        <v>3.2533060108142303E-2</v>
      </c>
      <c r="L7" s="1">
        <f t="shared" si="1"/>
        <v>0.7745966692414834</v>
      </c>
      <c r="M7" s="1">
        <f t="shared" si="2"/>
        <v>0.74361280247182404</v>
      </c>
      <c r="N7" s="1">
        <f t="shared" si="3"/>
        <v>0.7745966692414834</v>
      </c>
      <c r="O7" s="1">
        <f t="shared" si="4"/>
        <v>3.2533060108142303E-2</v>
      </c>
      <c r="P7" s="1"/>
      <c r="Q7" s="1"/>
      <c r="R7" s="1"/>
      <c r="S7" s="1"/>
      <c r="T7" s="1"/>
      <c r="U7" s="1"/>
      <c r="V7" s="1"/>
      <c r="W7" s="1"/>
    </row>
    <row r="8" spans="1:23" x14ac:dyDescent="0.25">
      <c r="D8" s="1">
        <f>Sheet1!O9</f>
        <v>0.15</v>
      </c>
      <c r="E8" s="1">
        <f>Sheet1!P9</f>
        <v>0.1069</v>
      </c>
      <c r="F8" s="1">
        <f>Sheet1!Q9</f>
        <v>0.15</v>
      </c>
      <c r="G8" s="1">
        <f>Sheet1!R9</f>
        <v>1.5E-3</v>
      </c>
      <c r="H8">
        <f t="shared" si="5"/>
        <v>1.1618950038622251</v>
      </c>
      <c r="I8">
        <f t="shared" si="0"/>
        <v>0.82804383941914572</v>
      </c>
      <c r="J8">
        <f t="shared" si="0"/>
        <v>1.1618950038622251</v>
      </c>
      <c r="K8">
        <f t="shared" si="0"/>
        <v>1.1618950038622251E-2</v>
      </c>
      <c r="L8" s="1">
        <f t="shared" si="1"/>
        <v>1.1618950038622251</v>
      </c>
      <c r="M8" s="1">
        <f t="shared" si="2"/>
        <v>0.82804383941914572</v>
      </c>
      <c r="N8" s="1">
        <f t="shared" si="3"/>
        <v>1.1618950038622251</v>
      </c>
      <c r="O8" s="1">
        <f t="shared" si="4"/>
        <v>1.1618950038622251E-2</v>
      </c>
      <c r="P8" s="1"/>
      <c r="Q8" s="1"/>
      <c r="R8" s="1"/>
      <c r="S8" s="1"/>
      <c r="T8" s="1"/>
      <c r="U8" s="1"/>
      <c r="V8" s="1"/>
      <c r="W8" s="1"/>
    </row>
    <row r="9" spans="1:23" x14ac:dyDescent="0.25">
      <c r="D9" s="1">
        <f>Sheet1!O10</f>
        <v>0.2</v>
      </c>
      <c r="E9" s="1">
        <f>Sheet1!P10</f>
        <v>0.11360000000000003</v>
      </c>
      <c r="F9" s="1">
        <f>Sheet1!Q10</f>
        <v>0.2</v>
      </c>
      <c r="G9" s="1">
        <f>Sheet1!R10</f>
        <v>2.9999999999999997E-4</v>
      </c>
      <c r="H9">
        <f t="shared" si="5"/>
        <v>1.5491933384829668</v>
      </c>
      <c r="I9">
        <f t="shared" si="0"/>
        <v>0.87994181625832546</v>
      </c>
      <c r="J9">
        <f t="shared" si="0"/>
        <v>1.5491933384829668</v>
      </c>
      <c r="K9">
        <f t="shared" si="0"/>
        <v>2.32379000772445E-3</v>
      </c>
      <c r="L9" s="1">
        <f t="shared" si="1"/>
        <v>1.5491933384829668</v>
      </c>
      <c r="M9" s="1">
        <f t="shared" si="2"/>
        <v>0.87994181625832546</v>
      </c>
      <c r="N9" s="1">
        <f t="shared" si="3"/>
        <v>1.5491933384829668</v>
      </c>
      <c r="O9" s="1">
        <f t="shared" si="4"/>
        <v>2.32379000772445E-3</v>
      </c>
      <c r="P9" s="1"/>
      <c r="Q9" s="1"/>
      <c r="R9" s="1"/>
      <c r="S9" s="1"/>
      <c r="T9" s="1"/>
      <c r="U9" s="1"/>
      <c r="V9" s="1"/>
      <c r="W9" s="1"/>
    </row>
    <row r="10" spans="1:23" x14ac:dyDescent="0.25">
      <c r="D10" s="1">
        <f>Sheet1!O11</f>
        <v>0.3</v>
      </c>
      <c r="E10" s="1">
        <f>Sheet1!P11</f>
        <v>0.11699999999999999</v>
      </c>
      <c r="F10" s="1">
        <f>Sheet1!Q11</f>
        <v>0.3</v>
      </c>
      <c r="G10" s="1">
        <f>Sheet1!R11</f>
        <v>0</v>
      </c>
      <c r="H10">
        <f t="shared" si="5"/>
        <v>2.3237900077244502</v>
      </c>
      <c r="I10">
        <f t="shared" si="0"/>
        <v>0.90627810301253553</v>
      </c>
      <c r="J10">
        <f t="shared" si="0"/>
        <v>2.3237900077244502</v>
      </c>
      <c r="K10">
        <f t="shared" si="0"/>
        <v>0</v>
      </c>
      <c r="L10" s="1">
        <f t="shared" si="1"/>
        <v>2.3237900077244502</v>
      </c>
      <c r="M10" s="1">
        <f t="shared" si="2"/>
        <v>0.90627810301253553</v>
      </c>
      <c r="N10" s="1">
        <f t="shared" si="3"/>
        <v>2.3237900077244502</v>
      </c>
      <c r="O10" s="1">
        <f t="shared" si="4"/>
        <v>0</v>
      </c>
      <c r="P10" s="1"/>
      <c r="Q10" s="1"/>
      <c r="R10" s="1"/>
      <c r="S10" s="1"/>
      <c r="T10" s="1"/>
      <c r="U10" s="1"/>
      <c r="V10" s="1"/>
      <c r="W10" s="1"/>
    </row>
    <row r="11" spans="1:23" x14ac:dyDescent="0.25">
      <c r="D11" s="1">
        <f>Sheet1!O12</f>
        <v>0.4</v>
      </c>
      <c r="E11" s="1">
        <f>Sheet1!P12</f>
        <v>0.11399999999999999</v>
      </c>
      <c r="F11" s="1">
        <f>Sheet1!Q12</f>
        <v>0.4</v>
      </c>
      <c r="G11" s="1">
        <f>Sheet1!R12</f>
        <v>0</v>
      </c>
      <c r="H11">
        <f t="shared" si="5"/>
        <v>3.0983866769659336</v>
      </c>
      <c r="I11">
        <f t="shared" si="0"/>
        <v>0.88304020293529095</v>
      </c>
      <c r="J11">
        <f t="shared" si="0"/>
        <v>3.0983866769659336</v>
      </c>
      <c r="K11">
        <f t="shared" si="0"/>
        <v>0</v>
      </c>
      <c r="L11" s="1">
        <f t="shared" si="1"/>
        <v>3.0983866769659336</v>
      </c>
      <c r="M11" s="1">
        <f t="shared" si="2"/>
        <v>0.88304020293529095</v>
      </c>
      <c r="N11" s="1">
        <f t="shared" si="3"/>
        <v>3.0983866769659336</v>
      </c>
      <c r="O11" s="1">
        <f t="shared" si="4"/>
        <v>0</v>
      </c>
      <c r="P11" s="1"/>
      <c r="Q11" s="1"/>
      <c r="R11" s="1"/>
      <c r="S11" s="1"/>
      <c r="T11" s="1"/>
      <c r="U11" s="1"/>
      <c r="V11" s="1"/>
      <c r="W11" s="1"/>
    </row>
    <row r="12" spans="1:23" x14ac:dyDescent="0.25">
      <c r="D12" s="1">
        <f>Sheet1!O13</f>
        <v>0.5</v>
      </c>
      <c r="E12" s="1">
        <f>Sheet1!P13</f>
        <v>0.1052</v>
      </c>
      <c r="F12" s="1">
        <f>Sheet1!Q13</f>
        <v>0.5</v>
      </c>
      <c r="G12" s="1">
        <f>Sheet1!R13</f>
        <v>0</v>
      </c>
      <c r="H12">
        <f t="shared" si="5"/>
        <v>3.872983346207417</v>
      </c>
      <c r="I12">
        <f t="shared" si="0"/>
        <v>0.81487569604204058</v>
      </c>
      <c r="J12">
        <f t="shared" si="0"/>
        <v>3.872983346207417</v>
      </c>
      <c r="K12">
        <f t="shared" si="0"/>
        <v>0</v>
      </c>
      <c r="L12" s="1">
        <f t="shared" si="1"/>
        <v>3.872983346207417</v>
      </c>
      <c r="M12" s="1">
        <f t="shared" si="2"/>
        <v>0.81487569604204058</v>
      </c>
      <c r="N12" s="1">
        <f t="shared" si="3"/>
        <v>3.872983346207417</v>
      </c>
      <c r="O12" s="1">
        <f t="shared" si="4"/>
        <v>0</v>
      </c>
      <c r="P12" s="1"/>
      <c r="Q12" s="1"/>
      <c r="R12" s="1"/>
      <c r="S12" s="1"/>
      <c r="T12" s="1"/>
      <c r="U12" s="1"/>
      <c r="V12" s="1"/>
      <c r="W12" s="1"/>
    </row>
    <row r="13" spans="1:23" x14ac:dyDescent="0.25">
      <c r="D13" s="1">
        <f>Sheet1!O14</f>
        <v>0.6</v>
      </c>
      <c r="E13" s="1">
        <f>Sheet1!P14</f>
        <v>9.1499999999999998E-2</v>
      </c>
      <c r="F13" s="1">
        <f>Sheet1!Q14</f>
        <v>0.6</v>
      </c>
      <c r="G13" s="1">
        <f>Sheet1!R14</f>
        <v>0</v>
      </c>
      <c r="H13">
        <f t="shared" si="5"/>
        <v>4.6475800154489004</v>
      </c>
      <c r="I13">
        <f t="shared" si="0"/>
        <v>0.70875595235595734</v>
      </c>
      <c r="J13">
        <f t="shared" si="0"/>
        <v>4.6475800154489004</v>
      </c>
      <c r="K13">
        <f t="shared" si="0"/>
        <v>0</v>
      </c>
      <c r="L13" s="1">
        <f t="shared" si="1"/>
        <v>4.6475800154489004</v>
      </c>
      <c r="M13" s="1">
        <f t="shared" si="2"/>
        <v>0.70875595235595734</v>
      </c>
      <c r="N13" s="1">
        <f t="shared" si="3"/>
        <v>4.6475800154489004</v>
      </c>
      <c r="O13" s="1">
        <f t="shared" si="4"/>
        <v>0</v>
      </c>
      <c r="P13" s="1"/>
      <c r="Q13" s="1"/>
      <c r="R13" s="1"/>
      <c r="S13" s="1"/>
      <c r="T13" s="1"/>
      <c r="U13" s="1"/>
      <c r="V13" s="1"/>
      <c r="W13" s="1"/>
    </row>
    <row r="14" spans="1:23" x14ac:dyDescent="0.25">
      <c r="D14" s="1">
        <f>Sheet1!O15</f>
        <v>0.7</v>
      </c>
      <c r="E14" s="1">
        <f>Sheet1!P15</f>
        <v>7.350000000000001E-2</v>
      </c>
      <c r="F14" s="1">
        <f>Sheet1!Q15</f>
        <v>0.7</v>
      </c>
      <c r="G14" s="1">
        <f>Sheet1!R15</f>
        <v>0</v>
      </c>
      <c r="H14">
        <f t="shared" si="5"/>
        <v>5.4221766846903838</v>
      </c>
      <c r="I14">
        <f t="shared" si="0"/>
        <v>0.56932855189249043</v>
      </c>
      <c r="J14">
        <f t="shared" si="0"/>
        <v>5.4221766846903838</v>
      </c>
      <c r="K14">
        <f t="shared" si="0"/>
        <v>0</v>
      </c>
      <c r="L14" s="1">
        <f t="shared" si="1"/>
        <v>5.4221766846903838</v>
      </c>
      <c r="M14" s="1">
        <f t="shared" si="2"/>
        <v>0.56932855189249043</v>
      </c>
      <c r="N14" s="1">
        <f t="shared" si="3"/>
        <v>5.4221766846903838</v>
      </c>
      <c r="O14" s="1">
        <f t="shared" si="4"/>
        <v>0</v>
      </c>
      <c r="P14" s="1"/>
      <c r="Q14" s="1"/>
      <c r="R14" s="1"/>
      <c r="S14" s="1"/>
      <c r="T14" s="1"/>
      <c r="U14" s="1"/>
      <c r="V14" s="1"/>
      <c r="W14" s="1"/>
    </row>
    <row r="15" spans="1:23" x14ac:dyDescent="0.25">
      <c r="D15" s="1">
        <f>Sheet1!O16</f>
        <v>0.8</v>
      </c>
      <c r="E15" s="1">
        <f>Sheet1!P16</f>
        <v>5.220000000000001E-2</v>
      </c>
      <c r="F15" s="1">
        <f>Sheet1!Q16</f>
        <v>0.8</v>
      </c>
      <c r="G15" s="1">
        <f>Sheet1!R16</f>
        <v>0</v>
      </c>
      <c r="H15">
        <f t="shared" si="5"/>
        <v>6.1967733539318672</v>
      </c>
      <c r="I15">
        <f t="shared" si="0"/>
        <v>0.40433946134405441</v>
      </c>
      <c r="J15">
        <f t="shared" si="0"/>
        <v>6.1967733539318672</v>
      </c>
      <c r="K15">
        <f t="shared" si="0"/>
        <v>0</v>
      </c>
      <c r="L15" s="1">
        <f t="shared" si="1"/>
        <v>6.1967733539318672</v>
      </c>
      <c r="M15" s="1">
        <f t="shared" si="2"/>
        <v>0.40433946134405441</v>
      </c>
      <c r="N15" s="1">
        <f t="shared" si="3"/>
        <v>6.1967733539318672</v>
      </c>
      <c r="O15" s="1">
        <f t="shared" si="4"/>
        <v>0</v>
      </c>
      <c r="P15" s="1"/>
      <c r="Q15" s="1"/>
      <c r="R15" s="1"/>
      <c r="S15" s="1"/>
      <c r="T15" s="1"/>
      <c r="U15" s="1"/>
      <c r="V15" s="1"/>
      <c r="W15" s="1"/>
    </row>
    <row r="16" spans="1:23" x14ac:dyDescent="0.25">
      <c r="D16" s="1">
        <f>Sheet1!O17</f>
        <v>0.90000000000000013</v>
      </c>
      <c r="E16" s="1">
        <f>Sheet1!P17</f>
        <v>2.8000000000000001E-2</v>
      </c>
      <c r="F16" s="1">
        <f>Sheet1!Q17</f>
        <v>0.90000000000000013</v>
      </c>
      <c r="G16" s="1">
        <f>Sheet1!R17</f>
        <v>0</v>
      </c>
      <c r="H16">
        <f t="shared" si="5"/>
        <v>6.9713700231733515</v>
      </c>
      <c r="I16">
        <f t="shared" si="0"/>
        <v>0.21688706738761535</v>
      </c>
      <c r="J16">
        <f t="shared" si="0"/>
        <v>6.9713700231733515</v>
      </c>
      <c r="K16">
        <f t="shared" si="0"/>
        <v>0</v>
      </c>
      <c r="L16" s="1">
        <f t="shared" si="1"/>
        <v>6.9713700231733515</v>
      </c>
      <c r="M16" s="1">
        <f t="shared" si="2"/>
        <v>0.21688706738761535</v>
      </c>
      <c r="N16" s="1">
        <f t="shared" si="3"/>
        <v>6.9713700231733515</v>
      </c>
      <c r="O16" s="1">
        <f t="shared" si="4"/>
        <v>0</v>
      </c>
      <c r="P16" s="1"/>
      <c r="Q16" s="1"/>
      <c r="R16" s="1"/>
      <c r="S16" s="1"/>
      <c r="T16" s="1"/>
      <c r="U16" s="1"/>
      <c r="V16" s="1"/>
      <c r="W16" s="1"/>
    </row>
    <row r="17" spans="4:54" x14ac:dyDescent="0.25">
      <c r="D17" s="1">
        <f>Sheet1!O18</f>
        <v>0.95</v>
      </c>
      <c r="E17" s="1">
        <f>Sheet1!P18</f>
        <v>1.49E-2</v>
      </c>
      <c r="F17" s="1">
        <f>Sheet1!Q18</f>
        <v>0.95</v>
      </c>
      <c r="G17" s="1">
        <f>Sheet1!R18</f>
        <v>0</v>
      </c>
      <c r="H17">
        <f t="shared" si="5"/>
        <v>7.3586683577940919</v>
      </c>
      <c r="I17">
        <f t="shared" si="0"/>
        <v>0.11541490371698103</v>
      </c>
      <c r="J17">
        <f t="shared" si="0"/>
        <v>7.3586683577940919</v>
      </c>
      <c r="K17">
        <f t="shared" si="0"/>
        <v>0</v>
      </c>
      <c r="L17" s="1">
        <f t="shared" si="1"/>
        <v>7.3586683577940919</v>
      </c>
      <c r="M17" s="1">
        <f t="shared" si="2"/>
        <v>0.11541490371698103</v>
      </c>
      <c r="N17" s="1">
        <f t="shared" si="3"/>
        <v>7.3586683577940919</v>
      </c>
      <c r="O17" s="1">
        <f t="shared" si="4"/>
        <v>0</v>
      </c>
      <c r="P17" s="1"/>
      <c r="Q17" s="1"/>
      <c r="R17" s="1"/>
      <c r="S17" s="1"/>
      <c r="T17" s="1"/>
      <c r="U17" s="1"/>
      <c r="V17" s="1"/>
      <c r="W17" s="1"/>
    </row>
    <row r="18" spans="4:54" x14ac:dyDescent="0.25">
      <c r="D18" s="1">
        <f>Sheet1!O19</f>
        <v>1</v>
      </c>
      <c r="E18" s="1">
        <f>Sheet1!P19</f>
        <v>1.1999999999999999E-3</v>
      </c>
      <c r="F18" s="1">
        <f>Sheet1!Q19</f>
        <v>1</v>
      </c>
      <c r="G18" s="1">
        <f>Sheet1!R19</f>
        <v>0</v>
      </c>
      <c r="H18">
        <f t="shared" si="5"/>
        <v>7.745966692414834</v>
      </c>
      <c r="I18">
        <f t="shared" si="5"/>
        <v>9.2951600308978002E-3</v>
      </c>
      <c r="J18">
        <f t="shared" si="5"/>
        <v>7.745966692414834</v>
      </c>
      <c r="K18">
        <f t="shared" si="5"/>
        <v>0</v>
      </c>
      <c r="L18" s="1">
        <f t="shared" si="1"/>
        <v>7.745966692414834</v>
      </c>
      <c r="M18" s="1">
        <f t="shared" si="2"/>
        <v>9.2951600308978002E-3</v>
      </c>
      <c r="N18" s="1">
        <f t="shared" si="3"/>
        <v>7.745966692414834</v>
      </c>
      <c r="O18" s="1">
        <f t="shared" si="4"/>
        <v>0</v>
      </c>
      <c r="P18" s="1"/>
      <c r="Q18" s="1"/>
      <c r="R18" s="1"/>
      <c r="S18" s="1"/>
      <c r="T18" s="1"/>
      <c r="U18" s="1"/>
      <c r="V18" s="1"/>
      <c r="W18" s="1"/>
    </row>
    <row r="21" spans="4:54" x14ac:dyDescent="0.25">
      <c r="D21" t="s">
        <v>46</v>
      </c>
      <c r="L21" t="s">
        <v>49</v>
      </c>
      <c r="T21" t="s">
        <v>40</v>
      </c>
      <c r="X21" t="s">
        <v>53</v>
      </c>
      <c r="AA21" t="s">
        <v>54</v>
      </c>
      <c r="AD21" t="s">
        <v>59</v>
      </c>
      <c r="AE21" t="s">
        <v>61</v>
      </c>
      <c r="AF21" t="s">
        <v>60</v>
      </c>
      <c r="AG21" t="s">
        <v>62</v>
      </c>
      <c r="AH21" t="s">
        <v>63</v>
      </c>
      <c r="AI21" t="s">
        <v>64</v>
      </c>
      <c r="AJ21" t="s">
        <v>55</v>
      </c>
      <c r="AK21" t="s">
        <v>56</v>
      </c>
      <c r="AL21" t="s">
        <v>57</v>
      </c>
      <c r="AM21" t="s">
        <v>58</v>
      </c>
      <c r="AN21" t="s">
        <v>65</v>
      </c>
      <c r="AO21" t="s">
        <v>66</v>
      </c>
      <c r="AP21" t="s">
        <v>67</v>
      </c>
      <c r="AQ21" t="s">
        <v>68</v>
      </c>
      <c r="AR21" t="s">
        <v>63</v>
      </c>
      <c r="AS21" t="s">
        <v>64</v>
      </c>
      <c r="AT21" t="s">
        <v>69</v>
      </c>
      <c r="AU21" t="s">
        <v>70</v>
      </c>
      <c r="AV21" t="s">
        <v>71</v>
      </c>
      <c r="AW21" t="s">
        <v>72</v>
      </c>
      <c r="AZ21" t="s">
        <v>92</v>
      </c>
      <c r="BA21" t="s">
        <v>93</v>
      </c>
      <c r="BB21" t="s">
        <v>94</v>
      </c>
    </row>
    <row r="22" spans="4:54" x14ac:dyDescent="0.25">
      <c r="D22">
        <f>Sheet1!S3</f>
        <v>0</v>
      </c>
      <c r="E22">
        <f>Sheet1!T3</f>
        <v>3.5000000000000003E-2</v>
      </c>
      <c r="F22">
        <f>Sheet1!U3</f>
        <v>0</v>
      </c>
      <c r="G22">
        <f>Sheet1!V3</f>
        <v>3.5000000000000003E-2</v>
      </c>
      <c r="H22" s="1">
        <f>D22*$B$2</f>
        <v>0</v>
      </c>
      <c r="I22" s="1">
        <f>E22*$B$2</f>
        <v>0.2711088342345192</v>
      </c>
      <c r="J22" s="1">
        <f>F22*$B$2</f>
        <v>0</v>
      </c>
      <c r="K22" s="1">
        <f>G22*$B$2</f>
        <v>0.2711088342345192</v>
      </c>
      <c r="L22">
        <f>H22-(0.25*$J$38)</f>
        <v>-1.9364916731037085</v>
      </c>
      <c r="M22">
        <f>I22-(0.25*$K$38)+Sheet1!$B$17</f>
        <v>19.244774795244794</v>
      </c>
      <c r="N22">
        <f>J22-(0.25*$J$38)</f>
        <v>-1.9364916731037085</v>
      </c>
      <c r="O22">
        <f>K22-(0.25*$K$38)+Sheet1!$B$17</f>
        <v>19.244774795244794</v>
      </c>
      <c r="P22" s="1">
        <f>D22*$B$3</f>
        <v>0</v>
      </c>
      <c r="Q22" s="1">
        <f>E22*$B$3</f>
        <v>0.2711088342345192</v>
      </c>
      <c r="R22" s="1">
        <f>F22*$B$3</f>
        <v>0</v>
      </c>
      <c r="S22" s="1">
        <f>G22*$B$3</f>
        <v>0.2711088342345192</v>
      </c>
      <c r="T22">
        <f>P22-(0.25*$R$38)</f>
        <v>-1.9364916731037085</v>
      </c>
      <c r="U22">
        <f>Q22-(0.25*$S$38)+Sheet1!$B$17</f>
        <v>19.244774795244794</v>
      </c>
      <c r="V22">
        <f>R22-(0.25*$R$38)</f>
        <v>-1.9364916731037085</v>
      </c>
      <c r="W22">
        <f>S22-(0.25*$S$38)+Sheet1!$B$17</f>
        <v>19.244774795244794</v>
      </c>
      <c r="X22" s="4">
        <f>L22</f>
        <v>-1.9364916731037085</v>
      </c>
      <c r="Y22" s="4">
        <f>M22*COS($B$5)</f>
        <v>19.121162658423213</v>
      </c>
      <c r="Z22" s="4">
        <f>M22*SIN($B$5)</f>
        <v>2.1777271431038043</v>
      </c>
      <c r="AA22">
        <f>N22</f>
        <v>-1.9364916731037085</v>
      </c>
      <c r="AB22">
        <f>O22*COS($B$5)</f>
        <v>19.121162658423213</v>
      </c>
      <c r="AC22">
        <f>O22*SIN($B$5)</f>
        <v>2.1777271431038043</v>
      </c>
      <c r="AD22" s="3"/>
      <c r="AE22" s="3"/>
      <c r="AF22" s="3">
        <f t="shared" ref="AF22:AF38" si="6">SQRT(((T22-X22)^2)+((U22-Y22)^2)+(Z22^2))</f>
        <v>2.1812325575647944</v>
      </c>
      <c r="AG22" s="3">
        <f>SQRT(((T22-X23)^2)+((U22-Y23)^2)+(Z23^2))</f>
        <v>2.1971135142431732</v>
      </c>
      <c r="AH22" s="3">
        <f>ACOS(((AF22^2)+(AG22^2)-(AD23^2))/(2*AF22*AG22))</f>
        <v>8.1657466171357163E-2</v>
      </c>
      <c r="AI22" s="3">
        <f>ACOS(((AF23^2)+(AG22^2)-(AE23^2))/(2*AF23*AG22))-AH22</f>
        <v>1.3322676295501878E-15</v>
      </c>
      <c r="AJ22" s="3">
        <v>0</v>
      </c>
      <c r="AK22" s="3">
        <v>0</v>
      </c>
      <c r="AL22" s="3">
        <f>AF22</f>
        <v>2.1812325575647944</v>
      </c>
      <c r="AM22" s="3">
        <v>0</v>
      </c>
      <c r="AN22" s="1"/>
      <c r="AO22" s="1"/>
      <c r="AP22" s="1">
        <f>SQRT(((V22-AA22)^2)+((W22-AB22)^2)+(AC22^2))</f>
        <v>2.1812325575647944</v>
      </c>
      <c r="AQ22" s="1">
        <f>SQRT(((V22-AA23)^2)+((W22-AB23)^2)+(AC23^2))</f>
        <v>2.1798794718172543</v>
      </c>
      <c r="AR22" s="1">
        <f>ACOS(((AP22^2)+(AQ22^2)-(AN23^2))/(2*AP22*AQ22))</f>
        <v>7.130111604770728E-2</v>
      </c>
      <c r="AS22" s="1">
        <f>ACOS(((AP23^2)+(AQ22^2)-(AO23^2))/(2*AP23*AQ22))-AR22</f>
        <v>0</v>
      </c>
      <c r="AT22" s="1">
        <v>0</v>
      </c>
      <c r="AU22" s="1">
        <v>0</v>
      </c>
      <c r="AV22" s="1">
        <f>AF22</f>
        <v>2.1812325575647944</v>
      </c>
      <c r="AW22" s="1">
        <v>0</v>
      </c>
      <c r="AY22" t="s">
        <v>87</v>
      </c>
      <c r="AZ22">
        <f>N22</f>
        <v>-1.9364916731037085</v>
      </c>
      <c r="BA22">
        <f>O22</f>
        <v>19.244774795244794</v>
      </c>
      <c r="BB22">
        <f>SQRT(((AZ22-Sheet1!$B$24)^2)+((BA22-Sheet1!$B$25)^2))</f>
        <v>21.232073178419174</v>
      </c>
    </row>
    <row r="23" spans="4:54" x14ac:dyDescent="0.25">
      <c r="D23">
        <f>Sheet1!S4</f>
        <v>1.2500000000000001E-2</v>
      </c>
      <c r="E23">
        <f>Sheet1!T4</f>
        <v>5.45E-2</v>
      </c>
      <c r="F23">
        <f>Sheet1!U4</f>
        <v>1.2500000000000001E-2</v>
      </c>
      <c r="G23">
        <f>Sheet1!V4</f>
        <v>1.9300000000000001E-2</v>
      </c>
      <c r="H23" s="1">
        <f t="shared" ref="H23:K38" si="7">D23*$B$2</f>
        <v>9.6824583655185426E-2</v>
      </c>
      <c r="I23" s="1">
        <f t="shared" si="7"/>
        <v>0.42215518473660846</v>
      </c>
      <c r="J23" s="1">
        <f t="shared" si="7"/>
        <v>9.6824583655185426E-2</v>
      </c>
      <c r="K23" s="1">
        <f t="shared" si="7"/>
        <v>0.14949715716360631</v>
      </c>
      <c r="L23">
        <f t="shared" ref="L23:L38" si="8">H23-(0.25*$J$38)</f>
        <v>-1.8396670894485232</v>
      </c>
      <c r="M23">
        <f>I23-(0.25*$K$38)+Sheet1!$B$17</f>
        <v>19.395821145746886</v>
      </c>
      <c r="N23">
        <f t="shared" ref="N23:N38" si="9">J23-(0.25*$J$38)</f>
        <v>-1.8396670894485232</v>
      </c>
      <c r="O23">
        <f>K23-(0.25*$K$38)+Sheet1!$B$17</f>
        <v>19.123163118173881</v>
      </c>
      <c r="P23" s="1">
        <f t="shared" ref="P23:S38" si="10">D23*$B$3</f>
        <v>9.6824583655185426E-2</v>
      </c>
      <c r="Q23" s="1">
        <f t="shared" si="10"/>
        <v>0.42215518473660846</v>
      </c>
      <c r="R23" s="1">
        <f t="shared" si="10"/>
        <v>9.6824583655185426E-2</v>
      </c>
      <c r="S23" s="1">
        <f t="shared" si="10"/>
        <v>0.14949715716360631</v>
      </c>
      <c r="T23">
        <f t="shared" ref="T23:T38" si="11">P23-(0.25*$R$38)</f>
        <v>-1.8396670894485232</v>
      </c>
      <c r="U23">
        <f>Q23-(0.25*$S$38)+Sheet1!$B$17</f>
        <v>19.395821145746886</v>
      </c>
      <c r="V23">
        <f t="shared" ref="V23:V38" si="12">R23-(0.25*$R$38)</f>
        <v>-1.8396670894485232</v>
      </c>
      <c r="W23">
        <f>S23-(0.25*$S$38)+Sheet1!$B$17</f>
        <v>19.123163118173881</v>
      </c>
      <c r="X23" s="4">
        <f t="shared" ref="X23:X38" si="13">L23</f>
        <v>-1.8396670894485232</v>
      </c>
      <c r="Y23" s="4">
        <f t="shared" ref="Y23:Y38" si="14">M23*COS($B$5)</f>
        <v>19.271238815075634</v>
      </c>
      <c r="Z23" s="4">
        <f t="shared" ref="Z23:Z38" si="15">M23*SIN($B$5)</f>
        <v>2.1948194572958339</v>
      </c>
      <c r="AA23">
        <f t="shared" ref="AA23:AA38" si="16">N23</f>
        <v>-1.8396670894485232</v>
      </c>
      <c r="AB23">
        <f t="shared" ref="AB23:AB38" si="17">O23*COS($B$5)</f>
        <v>19.000332111785113</v>
      </c>
      <c r="AC23">
        <f t="shared" ref="AC23:AC38" si="18">O23*SIN($B$5)</f>
        <v>2.1639656388568884</v>
      </c>
      <c r="AD23" s="3">
        <f t="shared" ref="AD23:AD38" si="19">SQRT(((X23-X22)^2)+((Y23-Y22)^2)+((Z22-Z23)^2))</f>
        <v>0.17941571837495476</v>
      </c>
      <c r="AE23" s="3">
        <f>SQRT(((T22-T23)^2)+((U22-U23)^2))</f>
        <v>0.17941571837495421</v>
      </c>
      <c r="AF23" s="3">
        <f t="shared" si="6"/>
        <v>2.1983523846826425</v>
      </c>
      <c r="AG23" s="3">
        <f t="shared" ref="AG23:AG37" si="20">SQRT(((T23-X24)^2)+((U23-Y24)^2)+(Z24^2))</f>
        <v>2.2065829758929447</v>
      </c>
      <c r="AH23" s="3">
        <f>ACOS(((AF23^2)+(AG23^2)-(AD24^2))/(2*AF23*AG23))-AI22</f>
        <v>5.7299779146543717E-2</v>
      </c>
      <c r="AI23" s="3">
        <f>ACOS(((AF24^2)+(AG23^2)-(AE24^2))/(2*AF24*AG23))-AH23</f>
        <v>1.3322676295501878E-15</v>
      </c>
      <c r="AJ23" s="3">
        <f>-COS(AI22)*AF23+AL23</f>
        <v>-8.5599135589236042E-3</v>
      </c>
      <c r="AK23" s="3">
        <f>SIN(AI22)*AF23+AM23</f>
        <v>0.17921140555183585</v>
      </c>
      <c r="AL23" s="3">
        <f>COS(AH22)*AG22+AJ22</f>
        <v>2.1897924711237189</v>
      </c>
      <c r="AM23" s="3">
        <f>SIN(AH22)*AG22+AK22</f>
        <v>0.1792114055518329</v>
      </c>
      <c r="AN23" s="1">
        <f>SQRT(((AA23-AA22)^2)+((AB23-AB22)^2)+((AC22-AC23)^2))</f>
        <v>0.15544902701528851</v>
      </c>
      <c r="AO23" s="1">
        <f>SQRT(((V22-V23)^2)+((W22-W23)^2))</f>
        <v>0.1554490270152887</v>
      </c>
      <c r="AP23" s="1">
        <f t="shared" ref="AP23:AP38" si="21">SQRT(((V23-AA23)^2)+((W23-AB23)^2)+(AC23^2))</f>
        <v>2.1674489018852969</v>
      </c>
      <c r="AQ23" s="1">
        <f t="shared" ref="AQ23:AQ37" si="22">SQRT(((V23-AA24)^2)+((W23-AB24)^2)+(AC24^2))</f>
        <v>2.1678851559407786</v>
      </c>
      <c r="AR23" s="1">
        <f t="shared" ref="AR23:AR37" si="23">ACOS(((AP23^2)+(AQ23^2)-(AN24^2))/(2*AP23*AQ23))</f>
        <v>4.7600248775639509E-2</v>
      </c>
      <c r="AS23" s="1">
        <f t="shared" ref="AS23:AS37" si="24">ACOS(((AP24^2)+(AQ23^2)-(AO24^2))/(2*AP24*AQ23))-AR23</f>
        <v>-4.6629367034256575E-15</v>
      </c>
      <c r="AT23" s="1">
        <f>-COS(AS22)*AP23+AV23</f>
        <v>6.891827839748732E-3</v>
      </c>
      <c r="AU23" s="1">
        <f>SIN(AS22)*AP23+AW23</f>
        <v>0.1792114055518329</v>
      </c>
      <c r="AV23" s="1">
        <f>COS(AR22)*AQ22+AT22</f>
        <v>2.1743407297250457</v>
      </c>
      <c r="AW23" s="1">
        <f>SIN(AH22)*AG22+AK22</f>
        <v>0.1792114055518329</v>
      </c>
      <c r="AY23" t="s">
        <v>26</v>
      </c>
      <c r="AZ23">
        <f>(N29+N30)/2</f>
        <v>0</v>
      </c>
      <c r="BA23">
        <f>(O29+O30)/2</f>
        <v>18.974827856014137</v>
      </c>
      <c r="BB23">
        <f>SQRT(((AZ23-Sheet1!$B$24)^2)+((BA23-Sheet1!$B$25)^2))</f>
        <v>21.501102273523628</v>
      </c>
    </row>
    <row r="24" spans="4:54" x14ac:dyDescent="0.25">
      <c r="D24">
        <f>Sheet1!S5</f>
        <v>2.5000000000000001E-2</v>
      </c>
      <c r="E24">
        <f>Sheet1!T5</f>
        <v>6.5000000000000002E-2</v>
      </c>
      <c r="F24">
        <f>Sheet1!U5</f>
        <v>2.5000000000000001E-2</v>
      </c>
      <c r="G24">
        <f>Sheet1!V5</f>
        <v>1.4699999999999998E-2</v>
      </c>
      <c r="H24" s="1">
        <f t="shared" si="7"/>
        <v>0.19364916731037085</v>
      </c>
      <c r="I24" s="1">
        <f t="shared" si="7"/>
        <v>0.50348783500696426</v>
      </c>
      <c r="J24" s="1">
        <f t="shared" si="7"/>
        <v>0.19364916731037085</v>
      </c>
      <c r="K24" s="1">
        <f t="shared" si="7"/>
        <v>0.11386571037849805</v>
      </c>
      <c r="L24">
        <f t="shared" si="8"/>
        <v>-1.7428425057933377</v>
      </c>
      <c r="M24">
        <f>I24-(0.25*$K$38)+Sheet1!$B$17</f>
        <v>19.477153796017241</v>
      </c>
      <c r="N24">
        <f t="shared" si="9"/>
        <v>-1.7428425057933377</v>
      </c>
      <c r="O24">
        <f>K24-(0.25*$K$38)+Sheet1!$B$17</f>
        <v>19.087531671388774</v>
      </c>
      <c r="P24" s="1">
        <f t="shared" si="10"/>
        <v>0.19364916731037085</v>
      </c>
      <c r="Q24" s="1">
        <f t="shared" si="10"/>
        <v>0.50348783500696426</v>
      </c>
      <c r="R24" s="1">
        <f t="shared" si="10"/>
        <v>0.19364916731037085</v>
      </c>
      <c r="S24" s="1">
        <f t="shared" si="10"/>
        <v>0.11386571037849805</v>
      </c>
      <c r="T24">
        <f t="shared" si="11"/>
        <v>-1.7428425057933377</v>
      </c>
      <c r="U24">
        <f>Q24-(0.25*$S$38)+Sheet1!$B$17</f>
        <v>19.477153796017241</v>
      </c>
      <c r="V24">
        <f t="shared" si="12"/>
        <v>-1.7428425057933377</v>
      </c>
      <c r="W24">
        <f>S24-(0.25*$S$38)+Sheet1!$B$17</f>
        <v>19.087531671388774</v>
      </c>
      <c r="X24" s="4">
        <f t="shared" si="13"/>
        <v>-1.7428425057933377</v>
      </c>
      <c r="Y24" s="4">
        <f t="shared" si="14"/>
        <v>19.352049053273088</v>
      </c>
      <c r="Z24" s="4">
        <f t="shared" si="15"/>
        <v>2.2040230110915422</v>
      </c>
      <c r="AA24">
        <f t="shared" si="16"/>
        <v>-1.7428425057933377</v>
      </c>
      <c r="AB24">
        <f t="shared" si="17"/>
        <v>18.964929531241467</v>
      </c>
      <c r="AC24">
        <f t="shared" si="18"/>
        <v>2.1599336057654357</v>
      </c>
      <c r="AD24" s="3">
        <f t="shared" si="19"/>
        <v>0.12645157175772792</v>
      </c>
      <c r="AE24" s="3">
        <f t="shared" ref="AE24:AE38" si="25">SQRT(((T23-T24)^2)+((U23-U24)^2))</f>
        <v>0.12645157175772803</v>
      </c>
      <c r="AF24" s="3">
        <f t="shared" si="6"/>
        <v>2.2075707531307143</v>
      </c>
      <c r="AG24" s="3">
        <f t="shared" si="20"/>
        <v>2.2248061108438573</v>
      </c>
      <c r="AH24" s="3">
        <f t="shared" ref="AH24:AH37" si="26">ACOS(((AF24^2)+(AG24^2)-(AD25^2))/(2*AF24*AG24))-AI23</f>
        <v>9.9887448145275393E-2</v>
      </c>
      <c r="AI24" s="3">
        <f t="shared" ref="AI24:AI37" si="27">ACOS(((AF25^2)+(AG24^2)-(AE25^2))/(2*AF25*AG24))-AH24</f>
        <v>1.3322676295501878E-15</v>
      </c>
      <c r="AJ24" s="3">
        <f t="shared" ref="AJ24:AJ38" si="28">-COS(AI23)*AF24+AL24</f>
        <v>-1.3169097782959049E-2</v>
      </c>
      <c r="AK24" s="3">
        <f t="shared" ref="AK24:AK38" si="29">SIN(AI23)*AF24+AM24</f>
        <v>0.30557894656134088</v>
      </c>
      <c r="AL24" s="3">
        <f t="shared" ref="AL24:AL38" si="30">COS(AH23)*AG23+AJ23</f>
        <v>2.1944016553477552</v>
      </c>
      <c r="AM24" s="3">
        <f t="shared" ref="AM24:AM38" si="31">SIN(AH23)*AG23+AK23</f>
        <v>0.30557894656133794</v>
      </c>
      <c r="AN24" s="1">
        <f t="shared" ref="AN24:AN38" si="32">SQRT(((AA24-AA23)^2)+((AB24-AB23)^2)+((AC23-AC24)^2))</f>
        <v>0.10317267079997476</v>
      </c>
      <c r="AO24" s="1">
        <f t="shared" ref="AO24:AO38" si="33">SQRT(((V23-V24)^2)+((W23-W24)^2))</f>
        <v>0.10317267079997465</v>
      </c>
      <c r="AP24" s="1">
        <f t="shared" si="21"/>
        <v>2.1634103785651893</v>
      </c>
      <c r="AQ24" s="1">
        <f t="shared" si="22"/>
        <v>2.1701008288714094</v>
      </c>
      <c r="AR24" s="1">
        <f t="shared" si="23"/>
        <v>9.1413775528812469E-2</v>
      </c>
      <c r="AS24" s="1">
        <f t="shared" si="24"/>
        <v>-1.1102230246251565E-15</v>
      </c>
      <c r="AT24" s="1">
        <f t="shared" ref="AT24:AT38" si="34">-COS(AS23)*AP24+AV24</f>
        <v>8.9110894998025714E-3</v>
      </c>
      <c r="AU24" s="1">
        <f t="shared" ref="AU24:AU38" si="35">SIN(AS23)*AP24+AW24</f>
        <v>0.30557894656132784</v>
      </c>
      <c r="AV24" s="1">
        <f t="shared" ref="AV24:AV38" si="36">COS(AR23)*AQ23+AT23</f>
        <v>2.1723214680649918</v>
      </c>
      <c r="AW24" s="1">
        <f t="shared" ref="AW24:AW38" si="37">SIN(AH23)*AG23+AK23</f>
        <v>0.30557894656133794</v>
      </c>
      <c r="AY24" t="s">
        <v>88</v>
      </c>
      <c r="AZ24">
        <f>N32</f>
        <v>1.9364916731037085</v>
      </c>
      <c r="BA24">
        <f>O32</f>
        <v>18.973665961010276</v>
      </c>
      <c r="BB24">
        <f>SQRT(((AZ24-Sheet1!$B$24)^2)+((BA24-Sheet1!$B$25)^2))</f>
        <v>22.188555940730328</v>
      </c>
    </row>
    <row r="25" spans="4:54" x14ac:dyDescent="0.25">
      <c r="D25">
        <f>Sheet1!S6</f>
        <v>0.05</v>
      </c>
      <c r="E25">
        <f>Sheet1!T6</f>
        <v>7.8999999999999987E-2</v>
      </c>
      <c r="F25">
        <f>Sheet1!U6</f>
        <v>0.05</v>
      </c>
      <c r="G25">
        <f>Sheet1!V6</f>
        <v>9.2999999999999992E-3</v>
      </c>
      <c r="H25" s="1">
        <f t="shared" si="7"/>
        <v>0.3872983346207417</v>
      </c>
      <c r="I25" s="1">
        <f t="shared" si="7"/>
        <v>0.61193136870077181</v>
      </c>
      <c r="J25" s="1">
        <f t="shared" si="7"/>
        <v>0.3872983346207417</v>
      </c>
      <c r="K25" s="1">
        <f t="shared" si="7"/>
        <v>7.2037490239457949E-2</v>
      </c>
      <c r="L25">
        <f t="shared" si="8"/>
        <v>-1.5491933384829668</v>
      </c>
      <c r="M25">
        <f>I25-(0.25*$K$38)+Sheet1!$B$17</f>
        <v>19.585597329711049</v>
      </c>
      <c r="N25">
        <f t="shared" si="9"/>
        <v>-1.5491933384829668</v>
      </c>
      <c r="O25">
        <f>K25-(0.25*$K$38)+Sheet1!$B$17</f>
        <v>19.045703451249736</v>
      </c>
      <c r="P25" s="1">
        <f t="shared" si="10"/>
        <v>0.3872983346207417</v>
      </c>
      <c r="Q25" s="1">
        <f t="shared" si="10"/>
        <v>0.61193136870077181</v>
      </c>
      <c r="R25" s="1">
        <f t="shared" si="10"/>
        <v>0.3872983346207417</v>
      </c>
      <c r="S25" s="1">
        <f t="shared" si="10"/>
        <v>7.2037490239457949E-2</v>
      </c>
      <c r="T25">
        <f t="shared" si="11"/>
        <v>-1.5491933384829668</v>
      </c>
      <c r="U25">
        <f>Q25-(0.25*$S$38)+Sheet1!$B$17</f>
        <v>19.585597329711049</v>
      </c>
      <c r="V25">
        <f t="shared" si="12"/>
        <v>-1.5491933384829668</v>
      </c>
      <c r="W25">
        <f>S25-(0.25*$S$38)+Sheet1!$B$17</f>
        <v>19.045703451249736</v>
      </c>
      <c r="X25" s="4">
        <f>L25</f>
        <v>-1.5491933384829668</v>
      </c>
      <c r="Y25" s="4">
        <f t="shared" si="14"/>
        <v>19.459796037536364</v>
      </c>
      <c r="Z25" s="4">
        <f t="shared" si="15"/>
        <v>2.2162944161524862</v>
      </c>
      <c r="AA25">
        <f t="shared" si="16"/>
        <v>-1.5491933384829668</v>
      </c>
      <c r="AB25">
        <f t="shared" si="17"/>
        <v>18.923369980168491</v>
      </c>
      <c r="AC25">
        <f t="shared" si="18"/>
        <v>2.1552003495276431</v>
      </c>
      <c r="AD25" s="3">
        <f t="shared" si="19"/>
        <v>0.22194593936362159</v>
      </c>
      <c r="AE25" s="3">
        <f t="shared" si="25"/>
        <v>0.22194593936362114</v>
      </c>
      <c r="AF25" s="3">
        <f t="shared" si="6"/>
        <v>2.2198619110614763</v>
      </c>
      <c r="AG25" s="3">
        <f t="shared" si="20"/>
        <v>2.2336554129819173</v>
      </c>
      <c r="AH25" s="3">
        <f t="shared" si="26"/>
        <v>9.2859146960746264E-2</v>
      </c>
      <c r="AI25" s="3">
        <f t="shared" si="27"/>
        <v>4.8849813083506888E-15</v>
      </c>
      <c r="AJ25" s="3">
        <f t="shared" si="28"/>
        <v>-1.9314676748340087E-2</v>
      </c>
      <c r="AK25" s="3">
        <f t="shared" si="29"/>
        <v>0.52743978551040016</v>
      </c>
      <c r="AL25" s="3">
        <f t="shared" si="30"/>
        <v>2.2005472343131363</v>
      </c>
      <c r="AM25" s="3">
        <f t="shared" si="31"/>
        <v>0.52743978551039716</v>
      </c>
      <c r="AN25" s="1">
        <f t="shared" si="32"/>
        <v>0.19811511805008683</v>
      </c>
      <c r="AO25" s="1">
        <f t="shared" si="33"/>
        <v>0.19811511805008686</v>
      </c>
      <c r="AP25" s="1">
        <f t="shared" si="21"/>
        <v>2.1586695033633241</v>
      </c>
      <c r="AQ25" s="1">
        <f t="shared" si="22"/>
        <v>2.1661506131376655</v>
      </c>
      <c r="AR25" s="1">
        <f t="shared" si="23"/>
        <v>9.0159239083342335E-2</v>
      </c>
      <c r="AS25" s="1">
        <f t="shared" si="24"/>
        <v>1.3322676295501878E-15</v>
      </c>
      <c r="AT25" s="1">
        <f t="shared" si="34"/>
        <v>1.1281527100734934E-2</v>
      </c>
      <c r="AU25" s="1">
        <f t="shared" si="35"/>
        <v>0.52743978551039472</v>
      </c>
      <c r="AV25" s="1">
        <f t="shared" si="36"/>
        <v>2.169951030464059</v>
      </c>
      <c r="AW25" s="1">
        <f t="shared" si="37"/>
        <v>0.52743978551039716</v>
      </c>
      <c r="AY25" t="s">
        <v>89</v>
      </c>
      <c r="AZ25">
        <f>(N34+N35)/2</f>
        <v>3.872983346207417</v>
      </c>
      <c r="BA25">
        <f>(O34+O35)/2</f>
        <v>18.973665961010276</v>
      </c>
      <c r="BB25">
        <f>SQRT(((AZ25-Sheet1!$B$24)^2)+((BA25-Sheet1!$B$25)^2))</f>
        <v>23.019861630119287</v>
      </c>
    </row>
    <row r="26" spans="4:54" x14ac:dyDescent="0.25">
      <c r="D26">
        <f>Sheet1!S7</f>
        <v>7.4999999999999997E-2</v>
      </c>
      <c r="E26">
        <f>Sheet1!T7</f>
        <v>8.8499999999999995E-2</v>
      </c>
      <c r="F26">
        <f>Sheet1!U7</f>
        <v>7.4999999999999997E-2</v>
      </c>
      <c r="G26">
        <f>Sheet1!V7</f>
        <v>6.3E-3</v>
      </c>
      <c r="H26" s="1">
        <f t="shared" si="7"/>
        <v>0.58094750193111255</v>
      </c>
      <c r="I26" s="1">
        <f t="shared" si="7"/>
        <v>0.68551805227871276</v>
      </c>
      <c r="J26" s="1">
        <f t="shared" si="7"/>
        <v>0.58094750193111255</v>
      </c>
      <c r="K26" s="1">
        <f t="shared" si="7"/>
        <v>4.8799590162213455E-2</v>
      </c>
      <c r="L26">
        <f t="shared" si="8"/>
        <v>-1.355544171172596</v>
      </c>
      <c r="M26">
        <f>I26-(0.25*$K$38)+Sheet1!$B$17</f>
        <v>19.659184013288989</v>
      </c>
      <c r="N26">
        <f t="shared" si="9"/>
        <v>-1.355544171172596</v>
      </c>
      <c r="O26">
        <f>K26-(0.25*$K$38)+Sheet1!$B$17</f>
        <v>19.022465551172491</v>
      </c>
      <c r="P26" s="1">
        <f t="shared" si="10"/>
        <v>0.58094750193111255</v>
      </c>
      <c r="Q26" s="1">
        <f t="shared" si="10"/>
        <v>0.68551805227871276</v>
      </c>
      <c r="R26" s="1">
        <f t="shared" si="10"/>
        <v>0.58094750193111255</v>
      </c>
      <c r="S26" s="1">
        <f t="shared" si="10"/>
        <v>4.8799590162213455E-2</v>
      </c>
      <c r="T26">
        <f t="shared" si="11"/>
        <v>-1.355544171172596</v>
      </c>
      <c r="U26">
        <f>Q26-(0.25*$S$38)+Sheet1!$B$17</f>
        <v>19.659184013288989</v>
      </c>
      <c r="V26">
        <f t="shared" si="12"/>
        <v>-1.355544171172596</v>
      </c>
      <c r="W26">
        <f>S26-(0.25*$S$38)+Sheet1!$B$17</f>
        <v>19.022465551172491</v>
      </c>
      <c r="X26" s="4">
        <f t="shared" si="13"/>
        <v>-1.355544171172596</v>
      </c>
      <c r="Y26" s="4">
        <f t="shared" si="14"/>
        <v>19.532910062572157</v>
      </c>
      <c r="Z26" s="4">
        <f t="shared" si="15"/>
        <v>2.2246214410152696</v>
      </c>
      <c r="AA26">
        <f t="shared" si="16"/>
        <v>-1.355544171172596</v>
      </c>
      <c r="AB26">
        <f t="shared" si="17"/>
        <v>18.900281340683502</v>
      </c>
      <c r="AC26">
        <f t="shared" si="18"/>
        <v>2.1525707627288693</v>
      </c>
      <c r="AD26" s="3">
        <f t="shared" si="19"/>
        <v>0.20715935894861209</v>
      </c>
      <c r="AE26" s="3">
        <f t="shared" si="25"/>
        <v>0.2071593589486119</v>
      </c>
      <c r="AF26" s="3">
        <f t="shared" si="6"/>
        <v>2.2282023396573507</v>
      </c>
      <c r="AG26" s="3">
        <f t="shared" si="20"/>
        <v>2.2406321370765165</v>
      </c>
      <c r="AH26" s="3">
        <f t="shared" si="26"/>
        <v>9.0342407611001985E-2</v>
      </c>
      <c r="AI26" s="3">
        <f t="shared" si="27"/>
        <v>2.4424906541753444E-15</v>
      </c>
      <c r="AJ26" s="3">
        <f t="shared" si="28"/>
        <v>-2.3484891046277045E-2</v>
      </c>
      <c r="AK26" s="3">
        <f t="shared" si="29"/>
        <v>0.73455716602857879</v>
      </c>
      <c r="AL26" s="3">
        <f t="shared" si="30"/>
        <v>2.2047174486110737</v>
      </c>
      <c r="AM26" s="3">
        <f t="shared" si="31"/>
        <v>0.73455716602856791</v>
      </c>
      <c r="AN26" s="1">
        <f t="shared" si="32"/>
        <v>0.19503845774615858</v>
      </c>
      <c r="AO26" s="1">
        <f t="shared" si="33"/>
        <v>0.19503845774615838</v>
      </c>
      <c r="AP26" s="1">
        <f t="shared" si="21"/>
        <v>2.1560356838067323</v>
      </c>
      <c r="AQ26" s="1">
        <f t="shared" si="22"/>
        <v>2.1638575377283638</v>
      </c>
      <c r="AR26" s="1">
        <f t="shared" si="23"/>
        <v>8.9927891299323326E-2</v>
      </c>
      <c r="AS26" s="1">
        <f t="shared" si="24"/>
        <v>1.3322676295501878E-15</v>
      </c>
      <c r="AT26" s="1">
        <f t="shared" si="34"/>
        <v>1.2598436879030839E-2</v>
      </c>
      <c r="AU26" s="1">
        <f t="shared" si="35"/>
        <v>0.7345571660285708</v>
      </c>
      <c r="AV26" s="1">
        <f t="shared" si="36"/>
        <v>2.1686341206857631</v>
      </c>
      <c r="AW26" s="1">
        <f t="shared" si="37"/>
        <v>0.73455716602856791</v>
      </c>
      <c r="AY26" t="s">
        <v>26</v>
      </c>
      <c r="AZ26">
        <f>N38</f>
        <v>5.809475019311126</v>
      </c>
      <c r="BA26">
        <f>O38</f>
        <v>18.973665961010276</v>
      </c>
      <c r="BB26">
        <f>SQRT(((AZ26-Sheet1!$B$24)^2)+((BA26-Sheet1!$B$25)^2))</f>
        <v>23.979075132389021</v>
      </c>
    </row>
    <row r="27" spans="4:54" x14ac:dyDescent="0.25">
      <c r="D27">
        <f>Sheet1!S8</f>
        <v>0.1</v>
      </c>
      <c r="E27">
        <f>Sheet1!T8</f>
        <v>9.6000000000000002E-2</v>
      </c>
      <c r="F27">
        <f>Sheet1!U8</f>
        <v>0.1</v>
      </c>
      <c r="G27">
        <f>Sheet1!V8</f>
        <v>4.1999999999999997E-3</v>
      </c>
      <c r="H27" s="1">
        <f t="shared" si="7"/>
        <v>0.7745966692414834</v>
      </c>
      <c r="I27" s="1">
        <f t="shared" si="7"/>
        <v>0.74361280247182404</v>
      </c>
      <c r="J27" s="1">
        <f t="shared" si="7"/>
        <v>0.7745966692414834</v>
      </c>
      <c r="K27" s="1">
        <f t="shared" si="7"/>
        <v>3.2533060108142303E-2</v>
      </c>
      <c r="L27">
        <f t="shared" si="8"/>
        <v>-1.1618950038622251</v>
      </c>
      <c r="M27">
        <f>I27-(0.25*$K$38)+Sheet1!$B$17</f>
        <v>19.717278763482099</v>
      </c>
      <c r="N27">
        <f t="shared" si="9"/>
        <v>-1.1618950038622251</v>
      </c>
      <c r="O27">
        <f>K27-(0.25*$K$38)+Sheet1!$B$17</f>
        <v>19.00619902111842</v>
      </c>
      <c r="P27" s="1">
        <f t="shared" si="10"/>
        <v>0.7745966692414834</v>
      </c>
      <c r="Q27" s="1">
        <f t="shared" si="10"/>
        <v>0.74361280247182404</v>
      </c>
      <c r="R27" s="1">
        <f t="shared" si="10"/>
        <v>0.7745966692414834</v>
      </c>
      <c r="S27" s="1">
        <f t="shared" si="10"/>
        <v>3.2533060108142303E-2</v>
      </c>
      <c r="T27">
        <f t="shared" si="11"/>
        <v>-1.1618950038622251</v>
      </c>
      <c r="U27">
        <f>Q27-(0.25*$S$38)+Sheet1!$B$17</f>
        <v>19.717278763482099</v>
      </c>
      <c r="V27">
        <f t="shared" si="12"/>
        <v>-1.1618950038622251</v>
      </c>
      <c r="W27">
        <f>S27-(0.25*$S$38)+Sheet1!$B$17</f>
        <v>19.00619902111842</v>
      </c>
      <c r="X27" s="4">
        <f t="shared" si="13"/>
        <v>-1.1618950038622251</v>
      </c>
      <c r="Y27" s="4">
        <f t="shared" si="14"/>
        <v>19.590631661284622</v>
      </c>
      <c r="Z27" s="4">
        <f t="shared" si="15"/>
        <v>2.2311954080122041</v>
      </c>
      <c r="AA27">
        <f t="shared" si="16"/>
        <v>-1.1618950038622251</v>
      </c>
      <c r="AB27">
        <f t="shared" si="17"/>
        <v>18.884119293044012</v>
      </c>
      <c r="AC27">
        <f t="shared" si="18"/>
        <v>2.1507300519697274</v>
      </c>
      <c r="AD27" s="3">
        <f t="shared" si="19"/>
        <v>0.20217566619155647</v>
      </c>
      <c r="AE27" s="3">
        <f t="shared" si="25"/>
        <v>0.20217566619155694</v>
      </c>
      <c r="AF27" s="3">
        <f t="shared" si="6"/>
        <v>2.2347868885488307</v>
      </c>
      <c r="AG27" s="3">
        <f t="shared" si="20"/>
        <v>2.2743761627223358</v>
      </c>
      <c r="AH27" s="3">
        <f t="shared" si="26"/>
        <v>0.17516887962900851</v>
      </c>
      <c r="AI27" s="3">
        <f t="shared" si="27"/>
        <v>3.1086244689504383E-15</v>
      </c>
      <c r="AJ27" s="3">
        <f t="shared" si="28"/>
        <v>-2.6777165492015698E-2</v>
      </c>
      <c r="AK27" s="3">
        <f t="shared" si="29"/>
        <v>0.93670602437057526</v>
      </c>
      <c r="AL27" s="3">
        <f t="shared" si="30"/>
        <v>2.208009723056815</v>
      </c>
      <c r="AM27" s="3">
        <f t="shared" si="31"/>
        <v>0.93670602437056982</v>
      </c>
      <c r="AN27" s="1">
        <f t="shared" si="32"/>
        <v>0.19433116065109057</v>
      </c>
      <c r="AO27" s="1">
        <f t="shared" si="33"/>
        <v>0.19433116065109071</v>
      </c>
      <c r="AP27" s="1">
        <f t="shared" si="21"/>
        <v>2.1541920101171175</v>
      </c>
      <c r="AQ27" s="1">
        <f t="shared" si="22"/>
        <v>2.1876641055500312</v>
      </c>
      <c r="AR27" s="1">
        <f t="shared" si="23"/>
        <v>0.17823670649344336</v>
      </c>
      <c r="AS27" s="1">
        <f t="shared" si="24"/>
        <v>-6.6613381477509392E-16</v>
      </c>
      <c r="AT27" s="1">
        <f t="shared" si="34"/>
        <v>1.3520273723838461E-2</v>
      </c>
      <c r="AU27" s="1">
        <f t="shared" si="35"/>
        <v>0.93670602437057271</v>
      </c>
      <c r="AV27" s="1">
        <f t="shared" si="36"/>
        <v>2.1677122838409559</v>
      </c>
      <c r="AW27" s="1">
        <f t="shared" si="37"/>
        <v>0.93670602437056982</v>
      </c>
    </row>
    <row r="28" spans="4:54" x14ac:dyDescent="0.25">
      <c r="D28">
        <f>Sheet1!S9</f>
        <v>0.15</v>
      </c>
      <c r="E28">
        <f>Sheet1!T9</f>
        <v>0.1069</v>
      </c>
      <c r="F28">
        <f>Sheet1!U9</f>
        <v>0.15</v>
      </c>
      <c r="G28">
        <f>Sheet1!V9</f>
        <v>1.5E-3</v>
      </c>
      <c r="H28" s="1">
        <f t="shared" si="7"/>
        <v>1.1618950038622251</v>
      </c>
      <c r="I28" s="1">
        <f t="shared" si="7"/>
        <v>0.82804383941914572</v>
      </c>
      <c r="J28" s="1">
        <f t="shared" si="7"/>
        <v>1.1618950038622251</v>
      </c>
      <c r="K28" s="1">
        <f t="shared" si="7"/>
        <v>1.1618950038622251E-2</v>
      </c>
      <c r="L28">
        <f t="shared" si="8"/>
        <v>-0.7745966692414834</v>
      </c>
      <c r="M28">
        <f>I28-(0.25*$K$38)+Sheet1!$B$17</f>
        <v>19.801709800429421</v>
      </c>
      <c r="N28">
        <f t="shared" si="9"/>
        <v>-0.7745966692414834</v>
      </c>
      <c r="O28">
        <f>K28-(0.25*$K$38)+Sheet1!$B$17</f>
        <v>18.985284911048897</v>
      </c>
      <c r="P28" s="1">
        <f t="shared" si="10"/>
        <v>1.1618950038622251</v>
      </c>
      <c r="Q28" s="1">
        <f t="shared" si="10"/>
        <v>0.82804383941914572</v>
      </c>
      <c r="R28" s="1">
        <f t="shared" si="10"/>
        <v>1.1618950038622251</v>
      </c>
      <c r="S28" s="1">
        <f t="shared" si="10"/>
        <v>1.1618950038622251E-2</v>
      </c>
      <c r="T28">
        <f t="shared" si="11"/>
        <v>-0.7745966692414834</v>
      </c>
      <c r="U28">
        <f>Q28-(0.25*$S$38)+Sheet1!$B$17</f>
        <v>19.801709800429421</v>
      </c>
      <c r="V28">
        <f t="shared" si="12"/>
        <v>-0.7745966692414834</v>
      </c>
      <c r="W28">
        <f>S28-(0.25*$S$38)+Sheet1!$B$17</f>
        <v>18.985284911048897</v>
      </c>
      <c r="X28" s="4">
        <f t="shared" si="13"/>
        <v>-0.7745966692414834</v>
      </c>
      <c r="Y28" s="4">
        <f t="shared" si="14"/>
        <v>19.674520384746742</v>
      </c>
      <c r="Z28" s="4">
        <f t="shared" si="15"/>
        <v>2.2407495733810818</v>
      </c>
      <c r="AA28">
        <f t="shared" si="16"/>
        <v>-0.7745966692414834</v>
      </c>
      <c r="AB28">
        <f t="shared" si="17"/>
        <v>18.863339517507519</v>
      </c>
      <c r="AC28">
        <f t="shared" si="18"/>
        <v>2.1483634238508311</v>
      </c>
      <c r="AD28" s="3">
        <f t="shared" si="19"/>
        <v>0.39639450046639146</v>
      </c>
      <c r="AE28" s="3">
        <f t="shared" si="25"/>
        <v>0.39639450046639157</v>
      </c>
      <c r="AF28" s="3">
        <f t="shared" si="6"/>
        <v>2.2443564329377814</v>
      </c>
      <c r="AG28" s="3">
        <f t="shared" si="20"/>
        <v>2.2810153319887565</v>
      </c>
      <c r="AH28" s="3">
        <f t="shared" si="26"/>
        <v>0.17215393172517834</v>
      </c>
      <c r="AI28" s="3">
        <f t="shared" si="27"/>
        <v>3.7747582837255322E-15</v>
      </c>
      <c r="AJ28" s="3">
        <f t="shared" si="28"/>
        <v>-3.1561937686489738E-2</v>
      </c>
      <c r="AK28" s="3">
        <f t="shared" si="29"/>
        <v>1.3330716459310827</v>
      </c>
      <c r="AL28" s="3">
        <f t="shared" si="30"/>
        <v>2.2127944952512917</v>
      </c>
      <c r="AM28" s="3">
        <f t="shared" si="31"/>
        <v>1.3330716459310759</v>
      </c>
      <c r="AN28" s="1">
        <f t="shared" si="32"/>
        <v>0.38786260453928811</v>
      </c>
      <c r="AO28" s="1">
        <f t="shared" si="33"/>
        <v>0.38786260453928806</v>
      </c>
      <c r="AP28" s="1">
        <f t="shared" si="21"/>
        <v>2.1518215725161851</v>
      </c>
      <c r="AQ28" s="1">
        <f t="shared" si="22"/>
        <v>2.1858992373963697</v>
      </c>
      <c r="AR28" s="1">
        <f t="shared" si="23"/>
        <v>0.17817237746868453</v>
      </c>
      <c r="AS28" s="1">
        <f t="shared" si="24"/>
        <v>6.6613381477509392E-16</v>
      </c>
      <c r="AT28" s="1">
        <f t="shared" si="34"/>
        <v>1.4705492524304642E-2</v>
      </c>
      <c r="AU28" s="1">
        <f t="shared" si="35"/>
        <v>1.3330716459310745</v>
      </c>
      <c r="AV28" s="1">
        <f t="shared" si="36"/>
        <v>2.1665270650404898</v>
      </c>
      <c r="AW28" s="1">
        <f t="shared" si="37"/>
        <v>1.3330716459310759</v>
      </c>
    </row>
    <row r="29" spans="4:54" x14ac:dyDescent="0.25">
      <c r="D29">
        <f>Sheet1!S10</f>
        <v>0.2</v>
      </c>
      <c r="E29">
        <f>Sheet1!T10</f>
        <v>0.11360000000000003</v>
      </c>
      <c r="F29">
        <f>Sheet1!U10</f>
        <v>0.2</v>
      </c>
      <c r="G29">
        <f>Sheet1!V10</f>
        <v>2.9999999999999997E-4</v>
      </c>
      <c r="H29" s="1">
        <f t="shared" si="7"/>
        <v>1.5491933384829668</v>
      </c>
      <c r="I29" s="1">
        <f t="shared" si="7"/>
        <v>0.87994181625832546</v>
      </c>
      <c r="J29" s="1">
        <f t="shared" si="7"/>
        <v>1.5491933384829668</v>
      </c>
      <c r="K29" s="1">
        <f t="shared" si="7"/>
        <v>2.32379000772445E-3</v>
      </c>
      <c r="L29">
        <f t="shared" si="8"/>
        <v>-0.3872983346207417</v>
      </c>
      <c r="M29">
        <f>I29-(0.25*$K$38)+Sheet1!$B$17</f>
        <v>19.8536077772686</v>
      </c>
      <c r="N29">
        <f t="shared" si="9"/>
        <v>-0.3872983346207417</v>
      </c>
      <c r="O29">
        <f>K29-(0.25*$K$38)+Sheet1!$B$17</f>
        <v>18.975989751018002</v>
      </c>
      <c r="P29" s="1">
        <f t="shared" si="10"/>
        <v>1.5491933384829668</v>
      </c>
      <c r="Q29" s="1">
        <f t="shared" si="10"/>
        <v>0.87994181625832546</v>
      </c>
      <c r="R29" s="1">
        <f t="shared" si="10"/>
        <v>1.5491933384829668</v>
      </c>
      <c r="S29" s="1">
        <f t="shared" si="10"/>
        <v>2.32379000772445E-3</v>
      </c>
      <c r="T29">
        <f t="shared" si="11"/>
        <v>-0.3872983346207417</v>
      </c>
      <c r="U29">
        <f>Q29-(0.25*$S$38)+Sheet1!$B$17</f>
        <v>19.8536077772686</v>
      </c>
      <c r="V29">
        <f t="shared" si="12"/>
        <v>-0.3872983346207417</v>
      </c>
      <c r="W29">
        <f>S29-(0.25*$S$38)+Sheet1!$B$17</f>
        <v>18.975989751018002</v>
      </c>
      <c r="X29" s="4">
        <f t="shared" si="13"/>
        <v>-0.3872983346207417</v>
      </c>
      <c r="Y29" s="4">
        <f t="shared" si="14"/>
        <v>19.726085012929879</v>
      </c>
      <c r="Z29" s="4">
        <f t="shared" si="15"/>
        <v>2.2466223172316764</v>
      </c>
      <c r="AA29">
        <f t="shared" si="16"/>
        <v>-0.3872983346207417</v>
      </c>
      <c r="AB29">
        <f t="shared" si="17"/>
        <v>18.854104061713528</v>
      </c>
      <c r="AC29">
        <f t="shared" si="18"/>
        <v>2.1473115891313217</v>
      </c>
      <c r="AD29" s="3">
        <f t="shared" si="19"/>
        <v>0.39076002866209314</v>
      </c>
      <c r="AE29" s="3">
        <f t="shared" si="25"/>
        <v>0.39076002866209325</v>
      </c>
      <c r="AF29" s="3">
        <f t="shared" si="6"/>
        <v>2.250238629947503</v>
      </c>
      <c r="AG29" s="3">
        <f t="shared" si="20"/>
        <v>2.3813828847723428</v>
      </c>
      <c r="AH29" s="3">
        <f t="shared" si="26"/>
        <v>0.33149726158660253</v>
      </c>
      <c r="AI29" s="3">
        <f t="shared" si="27"/>
        <v>3.9968028886505635E-15</v>
      </c>
      <c r="AJ29" s="3">
        <f t="shared" si="28"/>
        <v>-3.4503036191349423E-2</v>
      </c>
      <c r="AK29" s="3">
        <f t="shared" si="29"/>
        <v>1.7238206061850865</v>
      </c>
      <c r="AL29" s="3">
        <f t="shared" si="30"/>
        <v>2.2157355937561536</v>
      </c>
      <c r="AM29" s="3">
        <f t="shared" si="31"/>
        <v>1.723820606185078</v>
      </c>
      <c r="AN29" s="1">
        <f t="shared" si="32"/>
        <v>0.38740986048370007</v>
      </c>
      <c r="AO29" s="1">
        <f t="shared" si="33"/>
        <v>0.38740986048370013</v>
      </c>
      <c r="AP29" s="1">
        <f t="shared" si="21"/>
        <v>2.1507680446935482</v>
      </c>
      <c r="AQ29" s="1">
        <f t="shared" si="22"/>
        <v>2.2858788481853383</v>
      </c>
      <c r="AR29" s="1">
        <f t="shared" si="23"/>
        <v>0.345708310585223</v>
      </c>
      <c r="AS29" s="1">
        <f t="shared" si="24"/>
        <v>0</v>
      </c>
      <c r="AT29" s="1">
        <f t="shared" si="34"/>
        <v>1.5232256435623093E-2</v>
      </c>
      <c r="AU29" s="1">
        <f t="shared" si="35"/>
        <v>1.7238206061850794</v>
      </c>
      <c r="AV29" s="1">
        <f t="shared" si="36"/>
        <v>2.1660003011291713</v>
      </c>
      <c r="AW29" s="1">
        <f t="shared" si="37"/>
        <v>1.723820606185078</v>
      </c>
    </row>
    <row r="30" spans="4:54" x14ac:dyDescent="0.25">
      <c r="D30">
        <f>Sheet1!S11</f>
        <v>0.3</v>
      </c>
      <c r="E30">
        <f>Sheet1!T11</f>
        <v>0.11699999999999999</v>
      </c>
      <c r="F30">
        <f>Sheet1!U11</f>
        <v>0.3</v>
      </c>
      <c r="G30">
        <f>Sheet1!V11</f>
        <v>0</v>
      </c>
      <c r="H30" s="1">
        <f t="shared" si="7"/>
        <v>2.3237900077244502</v>
      </c>
      <c r="I30" s="1">
        <f t="shared" si="7"/>
        <v>0.90627810301253553</v>
      </c>
      <c r="J30" s="1">
        <f t="shared" si="7"/>
        <v>2.3237900077244502</v>
      </c>
      <c r="K30" s="1">
        <f t="shared" si="7"/>
        <v>0</v>
      </c>
      <c r="L30">
        <f t="shared" si="8"/>
        <v>0.3872983346207417</v>
      </c>
      <c r="M30">
        <f>I30-(0.25*$K$38)+Sheet1!$B$17</f>
        <v>19.879944064022812</v>
      </c>
      <c r="N30">
        <f t="shared" si="9"/>
        <v>0.3872983346207417</v>
      </c>
      <c r="O30">
        <f>K30-(0.25*$K$38)+Sheet1!$B$17</f>
        <v>18.973665961010276</v>
      </c>
      <c r="P30" s="1">
        <f t="shared" si="10"/>
        <v>2.3237900077244502</v>
      </c>
      <c r="Q30" s="1">
        <f t="shared" si="10"/>
        <v>0.90627810301253553</v>
      </c>
      <c r="R30" s="1">
        <f t="shared" si="10"/>
        <v>2.3237900077244502</v>
      </c>
      <c r="S30" s="1">
        <f t="shared" si="10"/>
        <v>0</v>
      </c>
      <c r="T30">
        <f t="shared" si="11"/>
        <v>0.3872983346207417</v>
      </c>
      <c r="U30">
        <f>Q30-(0.25*$S$38)+Sheet1!$B$17</f>
        <v>19.879944064022812</v>
      </c>
      <c r="V30">
        <f t="shared" si="12"/>
        <v>0.3872983346207417</v>
      </c>
      <c r="W30">
        <f>S30-(0.25*$S$38)+Sheet1!$B$17</f>
        <v>18.973665961010276</v>
      </c>
      <c r="X30" s="4">
        <f t="shared" si="13"/>
        <v>0.3872983346207417</v>
      </c>
      <c r="Y30" s="4">
        <f t="shared" si="14"/>
        <v>19.752252137679534</v>
      </c>
      <c r="Z30" s="4">
        <f t="shared" si="15"/>
        <v>2.2496025156036201</v>
      </c>
      <c r="AA30">
        <f t="shared" si="16"/>
        <v>0.3872983346207417</v>
      </c>
      <c r="AB30">
        <f t="shared" si="17"/>
        <v>18.851795197765028</v>
      </c>
      <c r="AC30">
        <f t="shared" si="18"/>
        <v>2.1470486304514442</v>
      </c>
      <c r="AD30" s="3">
        <f t="shared" si="19"/>
        <v>0.77504425680086186</v>
      </c>
      <c r="AE30" s="3">
        <f t="shared" si="25"/>
        <v>0.77504425680086175</v>
      </c>
      <c r="AF30" s="3">
        <f t="shared" si="6"/>
        <v>2.2532236254449742</v>
      </c>
      <c r="AG30" s="3">
        <f t="shared" si="20"/>
        <v>2.3815167691648362</v>
      </c>
      <c r="AH30" s="3">
        <f t="shared" si="26"/>
        <v>0.33143404635610008</v>
      </c>
      <c r="AI30" s="3">
        <f t="shared" si="27"/>
        <v>3.9968028886505635E-15</v>
      </c>
      <c r="AJ30" s="3">
        <f t="shared" si="28"/>
        <v>-3.5995533940081703E-2</v>
      </c>
      <c r="AK30" s="3">
        <f t="shared" si="29"/>
        <v>2.4988634259379499</v>
      </c>
      <c r="AL30" s="3">
        <f t="shared" si="30"/>
        <v>2.2172280915048925</v>
      </c>
      <c r="AM30" s="3">
        <f t="shared" si="31"/>
        <v>2.498863425937941</v>
      </c>
      <c r="AN30" s="1">
        <f t="shared" si="32"/>
        <v>0.77460015491865231</v>
      </c>
      <c r="AO30" s="1">
        <f t="shared" si="33"/>
        <v>0.77460015491865231</v>
      </c>
      <c r="AP30" s="1">
        <f t="shared" si="21"/>
        <v>2.1505046627378888</v>
      </c>
      <c r="AQ30" s="1">
        <f t="shared" si="22"/>
        <v>2.2857537716161382</v>
      </c>
      <c r="AR30" s="1">
        <f t="shared" si="23"/>
        <v>0.34572640365586538</v>
      </c>
      <c r="AS30" s="1">
        <f t="shared" si="24"/>
        <v>0</v>
      </c>
      <c r="AT30" s="1">
        <f t="shared" si="34"/>
        <v>1.5363947413452816E-2</v>
      </c>
      <c r="AU30" s="1">
        <f t="shared" si="35"/>
        <v>2.498863425937941</v>
      </c>
      <c r="AV30" s="1">
        <f t="shared" si="36"/>
        <v>2.1658686101513416</v>
      </c>
      <c r="AW30" s="1">
        <f t="shared" si="37"/>
        <v>2.498863425937941</v>
      </c>
    </row>
    <row r="31" spans="4:54" x14ac:dyDescent="0.25">
      <c r="D31">
        <f>Sheet1!S12</f>
        <v>0.4</v>
      </c>
      <c r="E31">
        <f>Sheet1!T12</f>
        <v>0.11399999999999999</v>
      </c>
      <c r="F31">
        <f>Sheet1!U12</f>
        <v>0.4</v>
      </c>
      <c r="G31">
        <f>Sheet1!V12</f>
        <v>0</v>
      </c>
      <c r="H31" s="1">
        <f t="shared" si="7"/>
        <v>3.0983866769659336</v>
      </c>
      <c r="I31" s="1">
        <f t="shared" si="7"/>
        <v>0.88304020293529095</v>
      </c>
      <c r="J31" s="1">
        <f t="shared" si="7"/>
        <v>3.0983866769659336</v>
      </c>
      <c r="K31" s="1">
        <f t="shared" si="7"/>
        <v>0</v>
      </c>
      <c r="L31">
        <f t="shared" si="8"/>
        <v>1.1618950038622251</v>
      </c>
      <c r="M31">
        <f>I31-(0.25*$K$38)+Sheet1!$B$17</f>
        <v>19.856706163945567</v>
      </c>
      <c r="N31">
        <f t="shared" si="9"/>
        <v>1.1618950038622251</v>
      </c>
      <c r="O31">
        <f>K31-(0.25*$K$38)+Sheet1!$B$17</f>
        <v>18.973665961010276</v>
      </c>
      <c r="P31" s="1">
        <f t="shared" si="10"/>
        <v>3.0983866769659336</v>
      </c>
      <c r="Q31" s="1">
        <f t="shared" si="10"/>
        <v>0.88304020293529095</v>
      </c>
      <c r="R31" s="1">
        <f t="shared" si="10"/>
        <v>3.0983866769659336</v>
      </c>
      <c r="S31" s="1">
        <f t="shared" si="10"/>
        <v>0</v>
      </c>
      <c r="T31">
        <f t="shared" si="11"/>
        <v>1.1618950038622251</v>
      </c>
      <c r="U31">
        <f>Q31-(0.25*$S$38)+Sheet1!$B$17</f>
        <v>19.856706163945567</v>
      </c>
      <c r="V31">
        <f t="shared" si="12"/>
        <v>1.1618950038622251</v>
      </c>
      <c r="W31">
        <f>S31-(0.25*$S$38)+Sheet1!$B$17</f>
        <v>18.973665961010276</v>
      </c>
      <c r="X31" s="4">
        <f t="shared" si="13"/>
        <v>1.1618950038622251</v>
      </c>
      <c r="Y31" s="4">
        <f t="shared" si="14"/>
        <v>19.729163498194549</v>
      </c>
      <c r="Z31" s="4">
        <f t="shared" si="15"/>
        <v>2.2469729288048463</v>
      </c>
      <c r="AA31">
        <f t="shared" si="16"/>
        <v>1.1618950038622251</v>
      </c>
      <c r="AB31">
        <f t="shared" si="17"/>
        <v>18.851795197765028</v>
      </c>
      <c r="AC31">
        <f t="shared" si="18"/>
        <v>2.1470486304514442</v>
      </c>
      <c r="AD31" s="3">
        <f t="shared" si="19"/>
        <v>0.77494515935000208</v>
      </c>
      <c r="AE31" s="3">
        <f t="shared" si="25"/>
        <v>0.77494515935000208</v>
      </c>
      <c r="AF31" s="3">
        <f t="shared" si="6"/>
        <v>2.250589805888382</v>
      </c>
      <c r="AG31" s="3">
        <f t="shared" si="20"/>
        <v>2.3774804118080906</v>
      </c>
      <c r="AH31" s="3">
        <f t="shared" si="26"/>
        <v>0.33319158839551544</v>
      </c>
      <c r="AI31" s="3">
        <f t="shared" si="27"/>
        <v>3.9968028886505635E-15</v>
      </c>
      <c r="AJ31" s="3">
        <f t="shared" si="28"/>
        <v>-3.467862416178269E-2</v>
      </c>
      <c r="AK31" s="3">
        <f t="shared" si="29"/>
        <v>3.2738074663361161</v>
      </c>
      <c r="AL31" s="3">
        <f t="shared" si="30"/>
        <v>2.2159111817265993</v>
      </c>
      <c r="AM31" s="3">
        <f t="shared" si="31"/>
        <v>3.2738074663361072</v>
      </c>
      <c r="AN31" s="1">
        <f t="shared" si="32"/>
        <v>0.7745966692414834</v>
      </c>
      <c r="AO31" s="1">
        <f t="shared" si="33"/>
        <v>0.7745966692414834</v>
      </c>
      <c r="AP31" s="1">
        <f t="shared" si="21"/>
        <v>2.1505046627378888</v>
      </c>
      <c r="AQ31" s="1">
        <f t="shared" si="22"/>
        <v>2.2857537716161382</v>
      </c>
      <c r="AR31" s="1">
        <f t="shared" si="23"/>
        <v>0.34572640365586538</v>
      </c>
      <c r="AS31" s="1">
        <f t="shared" si="24"/>
        <v>0</v>
      </c>
      <c r="AT31" s="1">
        <f t="shared" si="34"/>
        <v>1.5363947413452816E-2</v>
      </c>
      <c r="AU31" s="1">
        <f t="shared" si="35"/>
        <v>3.2738074663361072</v>
      </c>
      <c r="AV31" s="1">
        <f t="shared" si="36"/>
        <v>2.1658686101513416</v>
      </c>
      <c r="AW31" s="1">
        <f t="shared" si="37"/>
        <v>3.2738074663361072</v>
      </c>
    </row>
    <row r="32" spans="4:54" x14ac:dyDescent="0.25">
      <c r="D32">
        <f>Sheet1!S13</f>
        <v>0.5</v>
      </c>
      <c r="E32">
        <f>Sheet1!T13</f>
        <v>0.1052</v>
      </c>
      <c r="F32">
        <f>Sheet1!U13</f>
        <v>0.5</v>
      </c>
      <c r="G32">
        <f>Sheet1!V13</f>
        <v>0</v>
      </c>
      <c r="H32" s="1">
        <f t="shared" si="7"/>
        <v>3.872983346207417</v>
      </c>
      <c r="I32" s="1">
        <f t="shared" si="7"/>
        <v>0.81487569604204058</v>
      </c>
      <c r="J32" s="1">
        <f t="shared" si="7"/>
        <v>3.872983346207417</v>
      </c>
      <c r="K32" s="1">
        <f t="shared" si="7"/>
        <v>0</v>
      </c>
      <c r="L32">
        <f t="shared" si="8"/>
        <v>1.9364916731037085</v>
      </c>
      <c r="M32">
        <f>I32-(0.25*$K$38)+Sheet1!$B$17</f>
        <v>19.788541657052317</v>
      </c>
      <c r="N32">
        <f t="shared" si="9"/>
        <v>1.9364916731037085</v>
      </c>
      <c r="O32">
        <f>K32-(0.25*$K$38)+Sheet1!$B$17</f>
        <v>18.973665961010276</v>
      </c>
      <c r="P32" s="1">
        <f t="shared" si="10"/>
        <v>3.872983346207417</v>
      </c>
      <c r="Q32" s="1">
        <f t="shared" si="10"/>
        <v>0.81487569604204058</v>
      </c>
      <c r="R32" s="1">
        <f t="shared" si="10"/>
        <v>3.872983346207417</v>
      </c>
      <c r="S32" s="1">
        <f t="shared" si="10"/>
        <v>0</v>
      </c>
      <c r="T32">
        <f t="shared" si="11"/>
        <v>1.9364916731037085</v>
      </c>
      <c r="U32">
        <f>Q32-(0.25*$S$38)+Sheet1!$B$17</f>
        <v>19.788541657052317</v>
      </c>
      <c r="V32">
        <f t="shared" si="12"/>
        <v>1.9364916731037085</v>
      </c>
      <c r="W32">
        <f>S32-(0.25*$S$38)+Sheet1!$B$17</f>
        <v>18.973665961010276</v>
      </c>
      <c r="X32" s="4">
        <f t="shared" si="13"/>
        <v>1.9364916731037085</v>
      </c>
      <c r="Y32" s="4">
        <f t="shared" si="14"/>
        <v>19.661436822371918</v>
      </c>
      <c r="Z32" s="4">
        <f t="shared" si="15"/>
        <v>2.23925947419511</v>
      </c>
      <c r="AA32">
        <f t="shared" si="16"/>
        <v>1.9364916731037085</v>
      </c>
      <c r="AB32">
        <f t="shared" si="17"/>
        <v>18.851795197765028</v>
      </c>
      <c r="AC32">
        <f t="shared" si="18"/>
        <v>2.1470486304514442</v>
      </c>
      <c r="AD32" s="3">
        <f t="shared" si="19"/>
        <v>0.77759012339406697</v>
      </c>
      <c r="AE32" s="3">
        <f t="shared" si="25"/>
        <v>0.77759012339406675</v>
      </c>
      <c r="AF32" s="3">
        <f t="shared" si="6"/>
        <v>2.2428639351890456</v>
      </c>
      <c r="AG32" s="3">
        <f t="shared" si="20"/>
        <v>2.3695407501911845</v>
      </c>
      <c r="AH32" s="3">
        <f t="shared" si="26"/>
        <v>0.3362412107507684</v>
      </c>
      <c r="AI32" s="3">
        <f t="shared" si="27"/>
        <v>3.9968028886505635E-15</v>
      </c>
      <c r="AJ32" s="3">
        <f t="shared" si="28"/>
        <v>-3.0815688812110942E-2</v>
      </c>
      <c r="AK32" s="3">
        <f t="shared" si="29"/>
        <v>4.051387994468401</v>
      </c>
      <c r="AL32" s="3">
        <f t="shared" si="30"/>
        <v>2.2120482463769346</v>
      </c>
      <c r="AM32" s="3">
        <f t="shared" si="31"/>
        <v>4.0513879944683922</v>
      </c>
      <c r="AN32" s="1">
        <f t="shared" si="32"/>
        <v>0.7745966692414834</v>
      </c>
      <c r="AO32" s="1">
        <f t="shared" si="33"/>
        <v>0.7745966692414834</v>
      </c>
      <c r="AP32" s="1">
        <f t="shared" si="21"/>
        <v>2.1505046627378888</v>
      </c>
      <c r="AQ32" s="1">
        <f t="shared" si="22"/>
        <v>2.2857537716161382</v>
      </c>
      <c r="AR32" s="1">
        <f t="shared" si="23"/>
        <v>0.34572640365586538</v>
      </c>
      <c r="AS32" s="1">
        <f t="shared" si="24"/>
        <v>0</v>
      </c>
      <c r="AT32" s="1">
        <f t="shared" si="34"/>
        <v>1.5363947413452816E-2</v>
      </c>
      <c r="AU32" s="1">
        <f t="shared" si="35"/>
        <v>4.0513879944683922</v>
      </c>
      <c r="AV32" s="1">
        <f t="shared" si="36"/>
        <v>2.1658686101513416</v>
      </c>
      <c r="AW32" s="1">
        <f t="shared" si="37"/>
        <v>4.0513879944683922</v>
      </c>
    </row>
    <row r="33" spans="4:49" x14ac:dyDescent="0.25">
      <c r="D33">
        <f>Sheet1!S14</f>
        <v>0.6</v>
      </c>
      <c r="E33">
        <f>Sheet1!T14</f>
        <v>9.1499999999999998E-2</v>
      </c>
      <c r="F33">
        <f>Sheet1!U14</f>
        <v>0.6</v>
      </c>
      <c r="G33">
        <f>Sheet1!V14</f>
        <v>0</v>
      </c>
      <c r="H33" s="1">
        <f t="shared" si="7"/>
        <v>4.6475800154489004</v>
      </c>
      <c r="I33" s="1">
        <f t="shared" si="7"/>
        <v>0.70875595235595734</v>
      </c>
      <c r="J33" s="1">
        <f t="shared" si="7"/>
        <v>4.6475800154489004</v>
      </c>
      <c r="K33" s="1">
        <f t="shared" si="7"/>
        <v>0</v>
      </c>
      <c r="L33">
        <f t="shared" si="8"/>
        <v>2.7110883423451919</v>
      </c>
      <c r="M33">
        <f>I33-(0.25*$K$38)+Sheet1!$B$17</f>
        <v>19.682421913366234</v>
      </c>
      <c r="N33">
        <f t="shared" si="9"/>
        <v>2.7110883423451919</v>
      </c>
      <c r="O33">
        <f>K33-(0.25*$K$38)+Sheet1!$B$17</f>
        <v>18.973665961010276</v>
      </c>
      <c r="P33" s="1">
        <f t="shared" si="10"/>
        <v>4.6475800154489004</v>
      </c>
      <c r="Q33" s="1">
        <f t="shared" si="10"/>
        <v>0.70875595235595734</v>
      </c>
      <c r="R33" s="1">
        <f t="shared" si="10"/>
        <v>4.6475800154489004</v>
      </c>
      <c r="S33" s="1">
        <f t="shared" si="10"/>
        <v>0</v>
      </c>
      <c r="T33">
        <f t="shared" si="11"/>
        <v>2.7110883423451919</v>
      </c>
      <c r="U33">
        <f>Q33-(0.25*$S$38)+Sheet1!$B$17</f>
        <v>19.682421913366234</v>
      </c>
      <c r="V33">
        <f t="shared" si="12"/>
        <v>2.7110883423451919</v>
      </c>
      <c r="W33">
        <f>S33-(0.25*$S$38)+Sheet1!$B$17</f>
        <v>18.973665961010276</v>
      </c>
      <c r="X33" s="4">
        <f t="shared" si="13"/>
        <v>2.7110883423451919</v>
      </c>
      <c r="Y33" s="4">
        <f t="shared" si="14"/>
        <v>19.555998702057142</v>
      </c>
      <c r="Z33" s="4">
        <f t="shared" si="15"/>
        <v>2.2272510278140434</v>
      </c>
      <c r="AA33">
        <f t="shared" si="16"/>
        <v>2.7110883423451919</v>
      </c>
      <c r="AB33">
        <f t="shared" si="17"/>
        <v>18.851795197765028</v>
      </c>
      <c r="AC33">
        <f t="shared" si="18"/>
        <v>2.1470486304514442</v>
      </c>
      <c r="AD33" s="3">
        <f t="shared" si="19"/>
        <v>0.78183207915766684</v>
      </c>
      <c r="AE33" s="3">
        <f t="shared" si="25"/>
        <v>0.78183207915766673</v>
      </c>
      <c r="AF33" s="3">
        <f t="shared" si="6"/>
        <v>2.230836159213943</v>
      </c>
      <c r="AG33" s="3">
        <f t="shared" si="20"/>
        <v>2.3581383016766155</v>
      </c>
      <c r="AH33" s="3">
        <f t="shared" si="26"/>
        <v>0.34026844213172169</v>
      </c>
      <c r="AI33" s="3">
        <f t="shared" si="27"/>
        <v>4.6629367034256575E-15</v>
      </c>
      <c r="AJ33" s="3">
        <f t="shared" si="28"/>
        <v>-2.4801800824556075E-2</v>
      </c>
      <c r="AK33" s="3">
        <f t="shared" si="29"/>
        <v>4.8331969437336753</v>
      </c>
      <c r="AL33" s="3">
        <f t="shared" si="30"/>
        <v>2.2060343583893869</v>
      </c>
      <c r="AM33" s="3">
        <f t="shared" si="31"/>
        <v>4.8331969437336664</v>
      </c>
      <c r="AN33" s="1">
        <f t="shared" si="32"/>
        <v>0.7745966692414834</v>
      </c>
      <c r="AO33" s="1">
        <f t="shared" si="33"/>
        <v>0.7745966692414834</v>
      </c>
      <c r="AP33" s="1">
        <f t="shared" si="21"/>
        <v>2.1505046627378888</v>
      </c>
      <c r="AQ33" s="1">
        <f t="shared" si="22"/>
        <v>2.2857537716161382</v>
      </c>
      <c r="AR33" s="1">
        <f t="shared" si="23"/>
        <v>0.34572640365586538</v>
      </c>
      <c r="AS33" s="1">
        <f t="shared" si="24"/>
        <v>0</v>
      </c>
      <c r="AT33" s="1">
        <f t="shared" si="34"/>
        <v>1.5363947413452816E-2</v>
      </c>
      <c r="AU33" s="1">
        <f t="shared" si="35"/>
        <v>4.8331969437336664</v>
      </c>
      <c r="AV33" s="1">
        <f t="shared" si="36"/>
        <v>2.1658686101513416</v>
      </c>
      <c r="AW33" s="1">
        <f t="shared" si="37"/>
        <v>4.8331969437336664</v>
      </c>
    </row>
    <row r="34" spans="4:49" x14ac:dyDescent="0.25">
      <c r="D34">
        <f>Sheet1!S15</f>
        <v>0.7</v>
      </c>
      <c r="E34">
        <f>Sheet1!T15</f>
        <v>7.350000000000001E-2</v>
      </c>
      <c r="F34">
        <f>Sheet1!U15</f>
        <v>0.7</v>
      </c>
      <c r="G34">
        <f>Sheet1!V15</f>
        <v>0</v>
      </c>
      <c r="H34" s="1">
        <f t="shared" si="7"/>
        <v>5.4221766846903838</v>
      </c>
      <c r="I34" s="1">
        <f t="shared" si="7"/>
        <v>0.56932855189249043</v>
      </c>
      <c r="J34" s="1">
        <f t="shared" si="7"/>
        <v>5.4221766846903838</v>
      </c>
      <c r="K34" s="1">
        <f t="shared" si="7"/>
        <v>0</v>
      </c>
      <c r="L34">
        <f t="shared" si="8"/>
        <v>3.4856850115866753</v>
      </c>
      <c r="M34">
        <f>I34-(0.25*$K$38)+Sheet1!$B$17</f>
        <v>19.542994512902766</v>
      </c>
      <c r="N34">
        <f t="shared" si="9"/>
        <v>3.4856850115866753</v>
      </c>
      <c r="O34">
        <f>K34-(0.25*$K$38)+Sheet1!$B$17</f>
        <v>18.973665961010276</v>
      </c>
      <c r="P34" s="1">
        <f t="shared" si="10"/>
        <v>5.4221766846903838</v>
      </c>
      <c r="Q34" s="1">
        <f t="shared" si="10"/>
        <v>0.56932855189249043</v>
      </c>
      <c r="R34" s="1">
        <f t="shared" si="10"/>
        <v>5.4221766846903838</v>
      </c>
      <c r="S34" s="1">
        <f t="shared" si="10"/>
        <v>0</v>
      </c>
      <c r="T34">
        <f t="shared" si="11"/>
        <v>3.4856850115866753</v>
      </c>
      <c r="U34">
        <f>Q34-(0.25*$S$38)+Sheet1!$B$17</f>
        <v>19.542994512902766</v>
      </c>
      <c r="V34">
        <f t="shared" si="12"/>
        <v>3.4856850115866753</v>
      </c>
      <c r="W34">
        <f>S34-(0.25*$S$38)+Sheet1!$B$17</f>
        <v>18.973665961010276</v>
      </c>
      <c r="X34" s="4">
        <f t="shared" si="13"/>
        <v>3.4856850115866753</v>
      </c>
      <c r="Y34" s="4">
        <f t="shared" si="14"/>
        <v>19.417466865147219</v>
      </c>
      <c r="Z34" s="4">
        <f t="shared" si="15"/>
        <v>2.2114735070214007</v>
      </c>
      <c r="AA34">
        <f t="shared" si="16"/>
        <v>3.4856850115866753</v>
      </c>
      <c r="AB34">
        <f t="shared" si="17"/>
        <v>18.851795197765028</v>
      </c>
      <c r="AC34">
        <f t="shared" si="18"/>
        <v>2.1470486304514442</v>
      </c>
      <c r="AD34" s="3">
        <f t="shared" si="19"/>
        <v>0.78704510671244243</v>
      </c>
      <c r="AE34" s="3">
        <f t="shared" si="25"/>
        <v>0.78704510671244277</v>
      </c>
      <c r="AF34" s="3">
        <f t="shared" si="6"/>
        <v>2.2150332418743908</v>
      </c>
      <c r="AG34" s="3">
        <f t="shared" si="20"/>
        <v>2.3435384096969334</v>
      </c>
      <c r="AH34" s="3">
        <f t="shared" si="26"/>
        <v>0.34470121348652327</v>
      </c>
      <c r="AI34" s="3">
        <f t="shared" si="27"/>
        <v>4.2188474935755949E-15</v>
      </c>
      <c r="AJ34" s="3">
        <f t="shared" si="28"/>
        <v>-1.6900342154777093E-2</v>
      </c>
      <c r="AK34" s="3">
        <f t="shared" si="29"/>
        <v>5.6202023865044941</v>
      </c>
      <c r="AL34" s="3">
        <f t="shared" si="30"/>
        <v>2.1981328997196137</v>
      </c>
      <c r="AM34" s="3">
        <f t="shared" si="31"/>
        <v>5.6202023865044834</v>
      </c>
      <c r="AN34" s="1">
        <f t="shared" si="32"/>
        <v>0.7745966692414834</v>
      </c>
      <c r="AO34" s="1">
        <f t="shared" si="33"/>
        <v>0.7745966692414834</v>
      </c>
      <c r="AP34" s="1">
        <f t="shared" si="21"/>
        <v>2.1505046627378888</v>
      </c>
      <c r="AQ34" s="1">
        <f t="shared" si="22"/>
        <v>2.2857537716161387</v>
      </c>
      <c r="AR34" s="1">
        <f t="shared" si="23"/>
        <v>0.34572640365586538</v>
      </c>
      <c r="AS34" s="1">
        <f t="shared" si="24"/>
        <v>0</v>
      </c>
      <c r="AT34" s="1">
        <f t="shared" si="34"/>
        <v>1.5363947413452816E-2</v>
      </c>
      <c r="AU34" s="1">
        <f t="shared" si="35"/>
        <v>5.6202023865044834</v>
      </c>
      <c r="AV34" s="1">
        <f t="shared" si="36"/>
        <v>2.1658686101513416</v>
      </c>
      <c r="AW34" s="1">
        <f t="shared" si="37"/>
        <v>5.6202023865044834</v>
      </c>
    </row>
    <row r="35" spans="4:49" x14ac:dyDescent="0.25">
      <c r="D35">
        <f>Sheet1!S16</f>
        <v>0.8</v>
      </c>
      <c r="E35">
        <f>Sheet1!T16</f>
        <v>5.220000000000001E-2</v>
      </c>
      <c r="F35">
        <f>Sheet1!U16</f>
        <v>0.8</v>
      </c>
      <c r="G35">
        <f>Sheet1!V16</f>
        <v>0</v>
      </c>
      <c r="H35" s="1">
        <f t="shared" si="7"/>
        <v>6.1967733539318672</v>
      </c>
      <c r="I35" s="1">
        <f t="shared" si="7"/>
        <v>0.40433946134405441</v>
      </c>
      <c r="J35" s="1">
        <f t="shared" si="7"/>
        <v>6.1967733539318672</v>
      </c>
      <c r="K35" s="1">
        <f t="shared" si="7"/>
        <v>0</v>
      </c>
      <c r="L35">
        <f t="shared" si="8"/>
        <v>4.2602816808281592</v>
      </c>
      <c r="M35">
        <f>I35-(0.25*$K$38)+Sheet1!$B$17</f>
        <v>19.378005422354331</v>
      </c>
      <c r="N35">
        <f t="shared" si="9"/>
        <v>4.2602816808281592</v>
      </c>
      <c r="O35">
        <f>K35-(0.25*$K$38)+Sheet1!$B$17</f>
        <v>18.973665961010276</v>
      </c>
      <c r="P35" s="1">
        <f t="shared" si="10"/>
        <v>6.1967733539318672</v>
      </c>
      <c r="Q35" s="1">
        <f t="shared" si="10"/>
        <v>0.40433946134405441</v>
      </c>
      <c r="R35" s="1">
        <f t="shared" si="10"/>
        <v>6.1967733539318672</v>
      </c>
      <c r="S35" s="1">
        <f t="shared" si="10"/>
        <v>0</v>
      </c>
      <c r="T35">
        <f t="shared" si="11"/>
        <v>4.2602816808281592</v>
      </c>
      <c r="U35">
        <f>Q35-(0.25*$S$38)+Sheet1!$B$17</f>
        <v>19.378005422354331</v>
      </c>
      <c r="V35">
        <f t="shared" si="12"/>
        <v>4.2602816808281592</v>
      </c>
      <c r="W35">
        <f>S35-(0.25*$S$38)+Sheet1!$B$17</f>
        <v>18.973665961010276</v>
      </c>
      <c r="X35" s="4">
        <f t="shared" si="13"/>
        <v>4.2602816808281592</v>
      </c>
      <c r="Y35" s="4">
        <f t="shared" si="14"/>
        <v>19.253537524803807</v>
      </c>
      <c r="Z35" s="4">
        <f t="shared" si="15"/>
        <v>2.1928034407501076</v>
      </c>
      <c r="AA35">
        <f t="shared" si="16"/>
        <v>4.2602816808281592</v>
      </c>
      <c r="AB35">
        <f t="shared" si="17"/>
        <v>18.851795197765028</v>
      </c>
      <c r="AC35">
        <f t="shared" si="18"/>
        <v>2.1470486304514442</v>
      </c>
      <c r="AD35" s="3">
        <f t="shared" si="19"/>
        <v>0.79197310560397272</v>
      </c>
      <c r="AE35" s="3">
        <f t="shared" si="25"/>
        <v>0.79197310560397216</v>
      </c>
      <c r="AF35" s="3">
        <f t="shared" si="6"/>
        <v>2.1963331230225887</v>
      </c>
      <c r="AG35" s="3">
        <f t="shared" si="20"/>
        <v>2.3264466416733089</v>
      </c>
      <c r="AH35" s="3">
        <f t="shared" si="26"/>
        <v>0.34961174694560326</v>
      </c>
      <c r="AI35" s="3">
        <f t="shared" si="27"/>
        <v>4.4408920985006262E-15</v>
      </c>
      <c r="AJ35" s="3">
        <f t="shared" si="28"/>
        <v>-7.5502827288720376E-3</v>
      </c>
      <c r="AK35" s="3">
        <f t="shared" si="29"/>
        <v>6.4121202966370605</v>
      </c>
      <c r="AL35" s="3">
        <f t="shared" si="30"/>
        <v>2.1887828402937166</v>
      </c>
      <c r="AM35" s="3">
        <f t="shared" si="31"/>
        <v>6.4121202966370516</v>
      </c>
      <c r="AN35" s="1">
        <f t="shared" si="32"/>
        <v>0.77459666924148385</v>
      </c>
      <c r="AO35" s="1">
        <f t="shared" si="33"/>
        <v>0.77459666924148385</v>
      </c>
      <c r="AP35" s="1">
        <f t="shared" si="21"/>
        <v>2.1505046627378888</v>
      </c>
      <c r="AQ35" s="1">
        <f t="shared" si="22"/>
        <v>2.2857537716161387</v>
      </c>
      <c r="AR35" s="1">
        <f t="shared" si="23"/>
        <v>0.34572640365586538</v>
      </c>
      <c r="AS35" s="1">
        <f t="shared" si="24"/>
        <v>0</v>
      </c>
      <c r="AT35" s="1">
        <f t="shared" si="34"/>
        <v>1.5363947413453261E-2</v>
      </c>
      <c r="AU35" s="1">
        <f t="shared" si="35"/>
        <v>6.4121202966370516</v>
      </c>
      <c r="AV35" s="1">
        <f t="shared" si="36"/>
        <v>2.165868610151342</v>
      </c>
      <c r="AW35" s="1">
        <f t="shared" si="37"/>
        <v>6.4121202966370516</v>
      </c>
    </row>
    <row r="36" spans="4:49" x14ac:dyDescent="0.25">
      <c r="D36">
        <f>Sheet1!S17</f>
        <v>0.90000000000000013</v>
      </c>
      <c r="E36">
        <f>Sheet1!T17</f>
        <v>2.8000000000000001E-2</v>
      </c>
      <c r="F36">
        <f>Sheet1!U17</f>
        <v>0.90000000000000013</v>
      </c>
      <c r="G36">
        <f>Sheet1!V17</f>
        <v>0</v>
      </c>
      <c r="H36" s="1">
        <f t="shared" si="7"/>
        <v>6.9713700231733515</v>
      </c>
      <c r="I36" s="1">
        <f t="shared" si="7"/>
        <v>0.21688706738761535</v>
      </c>
      <c r="J36" s="1">
        <f t="shared" si="7"/>
        <v>6.9713700231733515</v>
      </c>
      <c r="K36" s="1">
        <f t="shared" si="7"/>
        <v>0</v>
      </c>
      <c r="L36">
        <f t="shared" si="8"/>
        <v>5.0348783500696435</v>
      </c>
      <c r="M36">
        <f>I36-(0.25*$K$38)+Sheet1!$B$17</f>
        <v>19.190553028397893</v>
      </c>
      <c r="N36">
        <f t="shared" si="9"/>
        <v>5.0348783500696435</v>
      </c>
      <c r="O36">
        <f>K36-(0.25*$K$38)+Sheet1!$B$17</f>
        <v>18.973665961010276</v>
      </c>
      <c r="P36" s="1">
        <f t="shared" si="10"/>
        <v>6.9713700231733515</v>
      </c>
      <c r="Q36" s="1">
        <f t="shared" si="10"/>
        <v>0.21688706738761535</v>
      </c>
      <c r="R36" s="1">
        <f t="shared" si="10"/>
        <v>6.9713700231733515</v>
      </c>
      <c r="S36" s="1">
        <f t="shared" si="10"/>
        <v>0</v>
      </c>
      <c r="T36">
        <f t="shared" si="11"/>
        <v>5.0348783500696435</v>
      </c>
      <c r="U36">
        <f>Q36-(0.25*$S$38)+Sheet1!$B$17</f>
        <v>19.190553028397893</v>
      </c>
      <c r="V36">
        <f t="shared" si="12"/>
        <v>5.0348783500696435</v>
      </c>
      <c r="W36">
        <f>S36-(0.25*$S$38)+Sheet1!$B$17</f>
        <v>18.973665961010276</v>
      </c>
      <c r="X36" s="4">
        <f t="shared" si="13"/>
        <v>5.0348783500696435</v>
      </c>
      <c r="Y36" s="4">
        <f t="shared" si="14"/>
        <v>19.06728916629158</v>
      </c>
      <c r="Z36" s="4">
        <f t="shared" si="15"/>
        <v>2.1715914405733328</v>
      </c>
      <c r="AA36">
        <f t="shared" si="16"/>
        <v>5.0348783500696435</v>
      </c>
      <c r="AB36">
        <f t="shared" si="17"/>
        <v>18.851795197765028</v>
      </c>
      <c r="AC36">
        <f t="shared" si="18"/>
        <v>2.1470486304514442</v>
      </c>
      <c r="AD36" s="3">
        <f t="shared" si="19"/>
        <v>0.79695570767766011</v>
      </c>
      <c r="AE36" s="3">
        <f t="shared" si="25"/>
        <v>0.79695570767766066</v>
      </c>
      <c r="AF36" s="3">
        <f t="shared" si="6"/>
        <v>2.1750869785994138</v>
      </c>
      <c r="AG36" s="3">
        <f t="shared" si="20"/>
        <v>2.2059656078216796</v>
      </c>
      <c r="AH36" s="3">
        <f t="shared" si="26"/>
        <v>0.18248691937250494</v>
      </c>
      <c r="AI36" s="3">
        <f t="shared" si="27"/>
        <v>4.8849813083506888E-15</v>
      </c>
      <c r="AJ36" s="3">
        <f t="shared" si="28"/>
        <v>3.0727894827187185E-3</v>
      </c>
      <c r="AK36" s="3">
        <f t="shared" si="29"/>
        <v>7.2090052007084005</v>
      </c>
      <c r="AL36" s="3">
        <f t="shared" si="30"/>
        <v>2.1781597680821325</v>
      </c>
      <c r="AM36" s="3">
        <f t="shared" si="31"/>
        <v>7.2090052007083907</v>
      </c>
      <c r="AN36" s="1">
        <f t="shared" si="32"/>
        <v>0.77459666924148429</v>
      </c>
      <c r="AO36" s="1">
        <f t="shared" si="33"/>
        <v>0.77459666924148429</v>
      </c>
      <c r="AP36" s="1">
        <f t="shared" si="21"/>
        <v>2.1505046627378888</v>
      </c>
      <c r="AQ36" s="1">
        <f t="shared" si="22"/>
        <v>2.1851018979574843</v>
      </c>
      <c r="AR36" s="1">
        <f t="shared" si="23"/>
        <v>0.17818639540224668</v>
      </c>
      <c r="AS36" s="1">
        <f t="shared" si="24"/>
        <v>0</v>
      </c>
      <c r="AT36" s="1">
        <f t="shared" si="34"/>
        <v>1.5363947413453705E-2</v>
      </c>
      <c r="AU36" s="1">
        <f t="shared" si="35"/>
        <v>7.2090052007083907</v>
      </c>
      <c r="AV36" s="1">
        <f t="shared" si="36"/>
        <v>2.1658686101513425</v>
      </c>
      <c r="AW36" s="1">
        <f t="shared" si="37"/>
        <v>7.2090052007083907</v>
      </c>
    </row>
    <row r="37" spans="4:49" x14ac:dyDescent="0.25">
      <c r="D37">
        <f>Sheet1!S18</f>
        <v>0.95</v>
      </c>
      <c r="E37">
        <f>Sheet1!T18</f>
        <v>1.49E-2</v>
      </c>
      <c r="F37">
        <f>Sheet1!U18</f>
        <v>0.95</v>
      </c>
      <c r="G37">
        <f>Sheet1!V18</f>
        <v>0</v>
      </c>
      <c r="H37" s="1">
        <f t="shared" si="7"/>
        <v>7.3586683577940919</v>
      </c>
      <c r="I37" s="1">
        <f t="shared" si="7"/>
        <v>0.11541490371698103</v>
      </c>
      <c r="J37" s="1">
        <f t="shared" si="7"/>
        <v>7.3586683577940919</v>
      </c>
      <c r="K37" s="1">
        <f t="shared" si="7"/>
        <v>0</v>
      </c>
      <c r="L37">
        <f t="shared" si="8"/>
        <v>5.4221766846903829</v>
      </c>
      <c r="M37">
        <f>I37-(0.25*$K$38)+Sheet1!$B$17</f>
        <v>19.089080864727258</v>
      </c>
      <c r="N37">
        <f t="shared" si="9"/>
        <v>5.4221766846903829</v>
      </c>
      <c r="O37">
        <f>K37-(0.25*$K$38)+Sheet1!$B$17</f>
        <v>18.973665961010276</v>
      </c>
      <c r="P37" s="1">
        <f t="shared" si="10"/>
        <v>7.3586683577940919</v>
      </c>
      <c r="Q37" s="1">
        <f t="shared" si="10"/>
        <v>0.11541490371698103</v>
      </c>
      <c r="R37" s="1">
        <f t="shared" si="10"/>
        <v>7.3586683577940919</v>
      </c>
      <c r="S37" s="1">
        <f t="shared" si="10"/>
        <v>0</v>
      </c>
      <c r="T37">
        <f t="shared" si="11"/>
        <v>5.4221766846903829</v>
      </c>
      <c r="U37">
        <f>Q37-(0.25*$S$38)+Sheet1!$B$17</f>
        <v>19.089080864727258</v>
      </c>
      <c r="V37">
        <f t="shared" si="12"/>
        <v>5.4221766846903829</v>
      </c>
      <c r="W37">
        <f>S37-(0.25*$S$38)+Sheet1!$B$17</f>
        <v>18.973665961010276</v>
      </c>
      <c r="X37" s="4">
        <f t="shared" si="13"/>
        <v>5.4221766846903829</v>
      </c>
      <c r="Y37" s="4">
        <f t="shared" si="14"/>
        <v>18.9664687738738</v>
      </c>
      <c r="Z37" s="4">
        <f t="shared" si="15"/>
        <v>2.1601089115520207</v>
      </c>
      <c r="AA37">
        <f t="shared" si="16"/>
        <v>5.4221766846903829</v>
      </c>
      <c r="AB37">
        <f t="shared" si="17"/>
        <v>18.851795197765028</v>
      </c>
      <c r="AC37">
        <f t="shared" si="18"/>
        <v>2.1470486304514442</v>
      </c>
      <c r="AD37" s="3">
        <f t="shared" si="19"/>
        <v>0.40037057833961631</v>
      </c>
      <c r="AE37" s="3">
        <f t="shared" si="25"/>
        <v>0.40037057833961592</v>
      </c>
      <c r="AF37" s="3">
        <f t="shared" si="6"/>
        <v>2.1635859665356292</v>
      </c>
      <c r="AG37" s="3">
        <f t="shared" si="20"/>
        <v>2.194616710790644</v>
      </c>
      <c r="AH37" s="3">
        <f t="shared" si="26"/>
        <v>0.18399715143768036</v>
      </c>
      <c r="AI37" s="3">
        <f t="shared" si="27"/>
        <v>3.5527136788005009E-15</v>
      </c>
      <c r="AJ37" s="3">
        <f t="shared" si="28"/>
        <v>8.8232955146128056E-3</v>
      </c>
      <c r="AK37" s="3">
        <f t="shared" si="29"/>
        <v>7.6093344797779885</v>
      </c>
      <c r="AL37" s="3">
        <f t="shared" si="30"/>
        <v>2.172409262050242</v>
      </c>
      <c r="AM37" s="3">
        <f t="shared" si="31"/>
        <v>7.6093344797779778</v>
      </c>
      <c r="AN37" s="1">
        <f t="shared" si="32"/>
        <v>0.38729833462073948</v>
      </c>
      <c r="AO37" s="1">
        <f t="shared" si="33"/>
        <v>0.38729833462073948</v>
      </c>
      <c r="AP37" s="1">
        <f t="shared" si="21"/>
        <v>2.1505046627378888</v>
      </c>
      <c r="AQ37" s="1">
        <f t="shared" si="22"/>
        <v>2.1851018979574848</v>
      </c>
      <c r="AR37" s="1">
        <f t="shared" si="23"/>
        <v>0.17818639540224868</v>
      </c>
      <c r="AS37" s="1">
        <f t="shared" si="24"/>
        <v>0</v>
      </c>
      <c r="AT37" s="1">
        <f t="shared" si="34"/>
        <v>1.5363947413454149E-2</v>
      </c>
      <c r="AU37" s="1">
        <f t="shared" si="35"/>
        <v>7.6093344797779778</v>
      </c>
      <c r="AV37" s="1">
        <f t="shared" si="36"/>
        <v>2.1658686101513429</v>
      </c>
      <c r="AW37" s="1">
        <f t="shared" si="37"/>
        <v>7.6093344797779778</v>
      </c>
    </row>
    <row r="38" spans="4:49" x14ac:dyDescent="0.25">
      <c r="D38">
        <f>Sheet1!S19</f>
        <v>1</v>
      </c>
      <c r="E38">
        <f>Sheet1!T19</f>
        <v>1.1999999999999999E-3</v>
      </c>
      <c r="F38">
        <f>Sheet1!U19</f>
        <v>1</v>
      </c>
      <c r="G38">
        <f>Sheet1!V19</f>
        <v>0</v>
      </c>
      <c r="H38" s="1">
        <f t="shared" si="7"/>
        <v>7.745966692414834</v>
      </c>
      <c r="I38" s="1">
        <f t="shared" si="7"/>
        <v>9.2951600308978002E-3</v>
      </c>
      <c r="J38" s="1">
        <f t="shared" si="7"/>
        <v>7.745966692414834</v>
      </c>
      <c r="K38" s="1">
        <f t="shared" si="7"/>
        <v>0</v>
      </c>
      <c r="L38">
        <f t="shared" si="8"/>
        <v>5.809475019311126</v>
      </c>
      <c r="M38">
        <f>I38-(0.25*$K$38)+Sheet1!$B$17</f>
        <v>18.982961121041175</v>
      </c>
      <c r="N38">
        <f t="shared" si="9"/>
        <v>5.809475019311126</v>
      </c>
      <c r="O38">
        <f>K38-(0.25*$K$38)+Sheet1!$B$17</f>
        <v>18.973665961010276</v>
      </c>
      <c r="P38" s="1">
        <f t="shared" si="10"/>
        <v>7.745966692414834</v>
      </c>
      <c r="Q38" s="1">
        <f t="shared" si="10"/>
        <v>9.2951600308978002E-3</v>
      </c>
      <c r="R38" s="1">
        <f t="shared" si="10"/>
        <v>7.745966692414834</v>
      </c>
      <c r="S38" s="1">
        <f t="shared" si="10"/>
        <v>0</v>
      </c>
      <c r="T38">
        <f t="shared" si="11"/>
        <v>5.809475019311126</v>
      </c>
      <c r="U38">
        <f>Q38-(0.25*$S$38)+Sheet1!$B$17</f>
        <v>18.982961121041175</v>
      </c>
      <c r="V38">
        <f t="shared" si="12"/>
        <v>5.809475019311126</v>
      </c>
      <c r="W38">
        <f>S38-(0.25*$S$38)+Sheet1!$B$17</f>
        <v>18.973665961010276</v>
      </c>
      <c r="X38" s="4">
        <f t="shared" si="13"/>
        <v>5.809475019311126</v>
      </c>
      <c r="Y38" s="4">
        <f t="shared" si="14"/>
        <v>18.861030653559023</v>
      </c>
      <c r="Z38" s="4">
        <f t="shared" si="15"/>
        <v>2.1481004651709537</v>
      </c>
      <c r="AA38">
        <f t="shared" si="16"/>
        <v>5.809475019311126</v>
      </c>
      <c r="AB38">
        <f t="shared" si="17"/>
        <v>18.851795197765028</v>
      </c>
      <c r="AC38">
        <f t="shared" si="18"/>
        <v>2.1470486304514442</v>
      </c>
      <c r="AD38" s="3">
        <f t="shared" si="19"/>
        <v>0.40157365451433846</v>
      </c>
      <c r="AE38" s="3">
        <f t="shared" si="25"/>
        <v>0.40157365451433813</v>
      </c>
      <c r="AF38" s="3">
        <f t="shared" si="6"/>
        <v>2.1515581905605257</v>
      </c>
      <c r="AG38" s="3"/>
      <c r="AH38" s="3"/>
      <c r="AI38" s="3"/>
      <c r="AJ38" s="3">
        <f t="shared" si="28"/>
        <v>1.483718350216634E-2</v>
      </c>
      <c r="AK38" s="3">
        <f t="shared" si="29"/>
        <v>8.0108631003659525</v>
      </c>
      <c r="AL38" s="3">
        <f t="shared" si="30"/>
        <v>2.166395374062692</v>
      </c>
      <c r="AM38" s="3">
        <f t="shared" si="31"/>
        <v>8.0108631003659454</v>
      </c>
      <c r="AN38" s="1">
        <f t="shared" si="32"/>
        <v>0.38729833462074303</v>
      </c>
      <c r="AO38" s="1">
        <f t="shared" si="33"/>
        <v>0.38729833462074303</v>
      </c>
      <c r="AP38" s="1">
        <f t="shared" si="21"/>
        <v>2.1505046627378888</v>
      </c>
      <c r="AQ38" s="1"/>
      <c r="AR38" s="1"/>
      <c r="AS38" s="1"/>
      <c r="AT38" s="1">
        <f t="shared" si="34"/>
        <v>1.5363947413454149E-2</v>
      </c>
      <c r="AU38" s="1">
        <f t="shared" si="35"/>
        <v>8.0108631003659454</v>
      </c>
      <c r="AV38" s="1">
        <f t="shared" si="36"/>
        <v>2.1658686101513429</v>
      </c>
      <c r="AW38" s="1">
        <f t="shared" si="37"/>
        <v>8.0108631003659454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"/>
  <sheetViews>
    <sheetView topLeftCell="AJ7" workbookViewId="0">
      <selection activeCell="BB27" sqref="BB27"/>
    </sheetView>
  </sheetViews>
  <sheetFormatPr defaultRowHeight="15" x14ac:dyDescent="0.25"/>
  <cols>
    <col min="34" max="34" width="11" bestFit="1" customWidth="1"/>
    <col min="35" max="35" width="11" customWidth="1"/>
  </cols>
  <sheetData>
    <row r="1" spans="1:23" x14ac:dyDescent="0.25">
      <c r="H1" t="s">
        <v>49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t="s">
        <v>75</v>
      </c>
      <c r="B2">
        <f>Sheet1!H25</f>
        <v>7.745966692414834</v>
      </c>
      <c r="D2" s="1">
        <f>Sheet1!O3</f>
        <v>0</v>
      </c>
      <c r="E2" s="1">
        <f>Sheet1!P3</f>
        <v>3.5000000000000003E-2</v>
      </c>
      <c r="F2" s="1">
        <f>Sheet1!Q3</f>
        <v>0</v>
      </c>
      <c r="G2" s="1">
        <f>Sheet1!R3</f>
        <v>3.5000000000000003E-2</v>
      </c>
      <c r="H2">
        <f>D2*$B$2</f>
        <v>0</v>
      </c>
      <c r="I2">
        <f t="shared" ref="I2:K17" si="0">E2*$B$2</f>
        <v>0.2711088342345192</v>
      </c>
      <c r="J2">
        <f t="shared" si="0"/>
        <v>0</v>
      </c>
      <c r="K2">
        <f t="shared" si="0"/>
        <v>0.2711088342345192</v>
      </c>
      <c r="L2" s="1">
        <f t="shared" ref="L2:L18" si="1">D2*$B$4</f>
        <v>0</v>
      </c>
      <c r="M2" s="1">
        <f t="shared" ref="M2:M18" si="2">E2*$B$4</f>
        <v>0.2711088342345192</v>
      </c>
      <c r="N2" s="1">
        <f t="shared" ref="N2:N18" si="3">F2*$B$4</f>
        <v>0</v>
      </c>
      <c r="O2" s="1">
        <f t="shared" ref="O2:O18" si="4">G2*$B$4</f>
        <v>0.2711088342345192</v>
      </c>
      <c r="P2" s="1"/>
      <c r="Q2" s="1"/>
      <c r="R2" s="1"/>
      <c r="S2" s="1"/>
      <c r="T2" s="1"/>
      <c r="U2" s="1"/>
      <c r="V2" s="1"/>
      <c r="W2" s="1"/>
    </row>
    <row r="3" spans="1:23" x14ac:dyDescent="0.25">
      <c r="A3" t="s">
        <v>73</v>
      </c>
      <c r="B3">
        <f>Sheet1!G25</f>
        <v>7.745966692414834</v>
      </c>
      <c r="D3" s="1">
        <f>Sheet1!O4</f>
        <v>1.2500000000000001E-2</v>
      </c>
      <c r="E3" s="1">
        <f>Sheet1!P4</f>
        <v>5.45E-2</v>
      </c>
      <c r="F3" s="1">
        <f>Sheet1!Q4</f>
        <v>1.2500000000000001E-2</v>
      </c>
      <c r="G3" s="1">
        <f>Sheet1!R4</f>
        <v>1.9300000000000001E-2</v>
      </c>
      <c r="H3">
        <f t="shared" ref="H3:K18" si="5">D3*$B$2</f>
        <v>9.6824583655185426E-2</v>
      </c>
      <c r="I3">
        <f t="shared" si="0"/>
        <v>0.42215518473660846</v>
      </c>
      <c r="J3">
        <f t="shared" si="0"/>
        <v>9.6824583655185426E-2</v>
      </c>
      <c r="K3">
        <f t="shared" si="0"/>
        <v>0.14949715716360631</v>
      </c>
      <c r="L3" s="1">
        <f t="shared" si="1"/>
        <v>9.6824583655185426E-2</v>
      </c>
      <c r="M3" s="1">
        <f t="shared" si="2"/>
        <v>0.42215518473660846</v>
      </c>
      <c r="N3" s="1">
        <f t="shared" si="3"/>
        <v>9.6824583655185426E-2</v>
      </c>
      <c r="O3" s="1">
        <f t="shared" si="4"/>
        <v>0.14949715716360631</v>
      </c>
      <c r="P3" s="1"/>
      <c r="Q3" s="1"/>
      <c r="R3" s="1"/>
      <c r="S3" s="1"/>
      <c r="T3" s="1"/>
      <c r="U3" s="1"/>
      <c r="V3" s="1"/>
      <c r="W3" s="1"/>
    </row>
    <row r="4" spans="1:23" x14ac:dyDescent="0.25">
      <c r="A4" t="s">
        <v>76</v>
      </c>
      <c r="B4">
        <f>(B2+B3)/2</f>
        <v>7.745966692414834</v>
      </c>
      <c r="D4" s="1">
        <f>Sheet1!O5</f>
        <v>2.5000000000000001E-2</v>
      </c>
      <c r="E4" s="1">
        <f>Sheet1!P5</f>
        <v>6.5000000000000002E-2</v>
      </c>
      <c r="F4" s="1">
        <f>Sheet1!Q5</f>
        <v>2.5000000000000001E-2</v>
      </c>
      <c r="G4" s="1">
        <f>Sheet1!R5</f>
        <v>1.4699999999999998E-2</v>
      </c>
      <c r="H4">
        <f t="shared" si="5"/>
        <v>0.19364916731037085</v>
      </c>
      <c r="I4">
        <f t="shared" si="0"/>
        <v>0.50348783500696426</v>
      </c>
      <c r="J4">
        <f t="shared" si="0"/>
        <v>0.19364916731037085</v>
      </c>
      <c r="K4">
        <f t="shared" si="0"/>
        <v>0.11386571037849805</v>
      </c>
      <c r="L4" s="1">
        <f t="shared" si="1"/>
        <v>0.19364916731037085</v>
      </c>
      <c r="M4" s="1">
        <f t="shared" si="2"/>
        <v>0.50348783500696426</v>
      </c>
      <c r="N4" s="1">
        <f t="shared" si="3"/>
        <v>0.19364916731037085</v>
      </c>
      <c r="O4" s="1">
        <f t="shared" si="4"/>
        <v>0.11386571037849805</v>
      </c>
      <c r="P4" s="1"/>
      <c r="Q4" s="1"/>
      <c r="R4" s="1"/>
      <c r="S4" s="1"/>
      <c r="T4" s="1"/>
      <c r="U4" s="1"/>
      <c r="V4" s="1"/>
      <c r="W4" s="1"/>
    </row>
    <row r="5" spans="1:23" x14ac:dyDescent="0.25">
      <c r="A5" t="s">
        <v>45</v>
      </c>
      <c r="B5">
        <f>Sheet1!B19/9</f>
        <v>0.11340230290662862</v>
      </c>
      <c r="D5" s="1">
        <f>Sheet1!O6</f>
        <v>0.05</v>
      </c>
      <c r="E5" s="1">
        <f>Sheet1!P6</f>
        <v>7.8999999999999987E-2</v>
      </c>
      <c r="F5" s="1">
        <f>Sheet1!Q6</f>
        <v>0.05</v>
      </c>
      <c r="G5" s="1">
        <f>Sheet1!R6</f>
        <v>9.2999999999999992E-3</v>
      </c>
      <c r="H5">
        <f t="shared" si="5"/>
        <v>0.3872983346207417</v>
      </c>
      <c r="I5">
        <f t="shared" si="0"/>
        <v>0.61193136870077181</v>
      </c>
      <c r="J5">
        <f t="shared" si="0"/>
        <v>0.3872983346207417</v>
      </c>
      <c r="K5">
        <f t="shared" si="0"/>
        <v>7.2037490239457949E-2</v>
      </c>
      <c r="L5" s="1">
        <f t="shared" si="1"/>
        <v>0.3872983346207417</v>
      </c>
      <c r="M5" s="1">
        <f t="shared" si="2"/>
        <v>0.61193136870077181</v>
      </c>
      <c r="N5" s="1">
        <f t="shared" si="3"/>
        <v>0.3872983346207417</v>
      </c>
      <c r="O5" s="1">
        <f t="shared" si="4"/>
        <v>7.2037490239457949E-2</v>
      </c>
      <c r="P5" s="1"/>
      <c r="Q5" s="1"/>
      <c r="R5" s="1"/>
      <c r="S5" s="1"/>
      <c r="T5" s="1"/>
      <c r="U5" s="1"/>
      <c r="V5" s="1"/>
      <c r="W5" s="1"/>
    </row>
    <row r="6" spans="1:23" x14ac:dyDescent="0.25">
      <c r="D6" s="1">
        <f>Sheet1!O7</f>
        <v>7.4999999999999997E-2</v>
      </c>
      <c r="E6" s="1">
        <f>Sheet1!P7</f>
        <v>8.8499999999999995E-2</v>
      </c>
      <c r="F6" s="1">
        <f>Sheet1!Q7</f>
        <v>7.4999999999999997E-2</v>
      </c>
      <c r="G6" s="1">
        <f>Sheet1!R7</f>
        <v>6.3E-3</v>
      </c>
      <c r="H6">
        <f t="shared" si="5"/>
        <v>0.58094750193111255</v>
      </c>
      <c r="I6">
        <f t="shared" si="0"/>
        <v>0.68551805227871276</v>
      </c>
      <c r="J6">
        <f t="shared" si="0"/>
        <v>0.58094750193111255</v>
      </c>
      <c r="K6">
        <f t="shared" si="0"/>
        <v>4.8799590162213455E-2</v>
      </c>
      <c r="L6" s="1">
        <f t="shared" si="1"/>
        <v>0.58094750193111255</v>
      </c>
      <c r="M6" s="1">
        <f t="shared" si="2"/>
        <v>0.68551805227871276</v>
      </c>
      <c r="N6" s="1">
        <f t="shared" si="3"/>
        <v>0.58094750193111255</v>
      </c>
      <c r="O6" s="1">
        <f t="shared" si="4"/>
        <v>4.8799590162213455E-2</v>
      </c>
      <c r="P6" s="1"/>
      <c r="Q6" s="1"/>
      <c r="R6" s="1"/>
      <c r="S6" s="1"/>
      <c r="T6" s="1"/>
      <c r="U6" s="1"/>
      <c r="V6" s="1"/>
      <c r="W6" s="1"/>
    </row>
    <row r="7" spans="1:23" x14ac:dyDescent="0.25">
      <c r="D7" s="1">
        <f>Sheet1!O8</f>
        <v>0.1</v>
      </c>
      <c r="E7" s="1">
        <f>Sheet1!P8</f>
        <v>9.6000000000000002E-2</v>
      </c>
      <c r="F7" s="1">
        <f>Sheet1!Q8</f>
        <v>0.1</v>
      </c>
      <c r="G7" s="1">
        <f>Sheet1!R8</f>
        <v>4.1999999999999997E-3</v>
      </c>
      <c r="H7">
        <f t="shared" si="5"/>
        <v>0.7745966692414834</v>
      </c>
      <c r="I7">
        <f t="shared" si="0"/>
        <v>0.74361280247182404</v>
      </c>
      <c r="J7">
        <f t="shared" si="0"/>
        <v>0.7745966692414834</v>
      </c>
      <c r="K7">
        <f t="shared" si="0"/>
        <v>3.2533060108142303E-2</v>
      </c>
      <c r="L7" s="1">
        <f t="shared" si="1"/>
        <v>0.7745966692414834</v>
      </c>
      <c r="M7" s="1">
        <f t="shared" si="2"/>
        <v>0.74361280247182404</v>
      </c>
      <c r="N7" s="1">
        <f t="shared" si="3"/>
        <v>0.7745966692414834</v>
      </c>
      <c r="O7" s="1">
        <f t="shared" si="4"/>
        <v>3.2533060108142303E-2</v>
      </c>
      <c r="P7" s="1"/>
      <c r="Q7" s="1"/>
      <c r="R7" s="1"/>
      <c r="S7" s="1"/>
      <c r="T7" s="1"/>
      <c r="U7" s="1"/>
      <c r="V7" s="1"/>
      <c r="W7" s="1"/>
    </row>
    <row r="8" spans="1:23" x14ac:dyDescent="0.25">
      <c r="D8" s="1">
        <f>Sheet1!O9</f>
        <v>0.15</v>
      </c>
      <c r="E8" s="1">
        <f>Sheet1!P9</f>
        <v>0.1069</v>
      </c>
      <c r="F8" s="1">
        <f>Sheet1!Q9</f>
        <v>0.15</v>
      </c>
      <c r="G8" s="1">
        <f>Sheet1!R9</f>
        <v>1.5E-3</v>
      </c>
      <c r="H8">
        <f t="shared" si="5"/>
        <v>1.1618950038622251</v>
      </c>
      <c r="I8">
        <f t="shared" si="0"/>
        <v>0.82804383941914572</v>
      </c>
      <c r="J8">
        <f t="shared" si="0"/>
        <v>1.1618950038622251</v>
      </c>
      <c r="K8">
        <f t="shared" si="0"/>
        <v>1.1618950038622251E-2</v>
      </c>
      <c r="L8" s="1">
        <f t="shared" si="1"/>
        <v>1.1618950038622251</v>
      </c>
      <c r="M8" s="1">
        <f t="shared" si="2"/>
        <v>0.82804383941914572</v>
      </c>
      <c r="N8" s="1">
        <f t="shared" si="3"/>
        <v>1.1618950038622251</v>
      </c>
      <c r="O8" s="1">
        <f t="shared" si="4"/>
        <v>1.1618950038622251E-2</v>
      </c>
      <c r="P8" s="1"/>
      <c r="Q8" s="1"/>
      <c r="R8" s="1"/>
      <c r="S8" s="1"/>
      <c r="T8" s="1"/>
      <c r="U8" s="1"/>
      <c r="V8" s="1"/>
      <c r="W8" s="1"/>
    </row>
    <row r="9" spans="1:23" x14ac:dyDescent="0.25">
      <c r="D9" s="1">
        <f>Sheet1!O10</f>
        <v>0.2</v>
      </c>
      <c r="E9" s="1">
        <f>Sheet1!P10</f>
        <v>0.11360000000000003</v>
      </c>
      <c r="F9" s="1">
        <f>Sheet1!Q10</f>
        <v>0.2</v>
      </c>
      <c r="G9" s="1">
        <f>Sheet1!R10</f>
        <v>2.9999999999999997E-4</v>
      </c>
      <c r="H9">
        <f t="shared" si="5"/>
        <v>1.5491933384829668</v>
      </c>
      <c r="I9">
        <f t="shared" si="0"/>
        <v>0.87994181625832546</v>
      </c>
      <c r="J9">
        <f t="shared" si="0"/>
        <v>1.5491933384829668</v>
      </c>
      <c r="K9">
        <f t="shared" si="0"/>
        <v>2.32379000772445E-3</v>
      </c>
      <c r="L9" s="1">
        <f t="shared" si="1"/>
        <v>1.5491933384829668</v>
      </c>
      <c r="M9" s="1">
        <f t="shared" si="2"/>
        <v>0.87994181625832546</v>
      </c>
      <c r="N9" s="1">
        <f t="shared" si="3"/>
        <v>1.5491933384829668</v>
      </c>
      <c r="O9" s="1">
        <f t="shared" si="4"/>
        <v>2.32379000772445E-3</v>
      </c>
      <c r="P9" s="1"/>
      <c r="Q9" s="1"/>
      <c r="R9" s="1"/>
      <c r="S9" s="1"/>
      <c r="T9" s="1"/>
      <c r="U9" s="1"/>
      <c r="V9" s="1"/>
      <c r="W9" s="1"/>
    </row>
    <row r="10" spans="1:23" x14ac:dyDescent="0.25">
      <c r="D10" s="1">
        <f>Sheet1!O11</f>
        <v>0.3</v>
      </c>
      <c r="E10" s="1">
        <f>Sheet1!P11</f>
        <v>0.11699999999999999</v>
      </c>
      <c r="F10" s="1">
        <f>Sheet1!Q11</f>
        <v>0.3</v>
      </c>
      <c r="G10" s="1">
        <f>Sheet1!R11</f>
        <v>0</v>
      </c>
      <c r="H10">
        <f t="shared" si="5"/>
        <v>2.3237900077244502</v>
      </c>
      <c r="I10">
        <f t="shared" si="0"/>
        <v>0.90627810301253553</v>
      </c>
      <c r="J10">
        <f t="shared" si="0"/>
        <v>2.3237900077244502</v>
      </c>
      <c r="K10">
        <f t="shared" si="0"/>
        <v>0</v>
      </c>
      <c r="L10" s="1">
        <f t="shared" si="1"/>
        <v>2.3237900077244502</v>
      </c>
      <c r="M10" s="1">
        <f t="shared" si="2"/>
        <v>0.90627810301253553</v>
      </c>
      <c r="N10" s="1">
        <f t="shared" si="3"/>
        <v>2.3237900077244502</v>
      </c>
      <c r="O10" s="1">
        <f t="shared" si="4"/>
        <v>0</v>
      </c>
      <c r="P10" s="1"/>
      <c r="Q10" s="1"/>
      <c r="R10" s="1"/>
      <c r="S10" s="1"/>
      <c r="T10" s="1"/>
      <c r="U10" s="1"/>
      <c r="V10" s="1"/>
      <c r="W10" s="1"/>
    </row>
    <row r="11" spans="1:23" x14ac:dyDescent="0.25">
      <c r="D11" s="1">
        <f>Sheet1!O12</f>
        <v>0.4</v>
      </c>
      <c r="E11" s="1">
        <f>Sheet1!P12</f>
        <v>0.11399999999999999</v>
      </c>
      <c r="F11" s="1">
        <f>Sheet1!Q12</f>
        <v>0.4</v>
      </c>
      <c r="G11" s="1">
        <f>Sheet1!R12</f>
        <v>0</v>
      </c>
      <c r="H11">
        <f t="shared" si="5"/>
        <v>3.0983866769659336</v>
      </c>
      <c r="I11">
        <f t="shared" si="0"/>
        <v>0.88304020293529095</v>
      </c>
      <c r="J11">
        <f t="shared" si="0"/>
        <v>3.0983866769659336</v>
      </c>
      <c r="K11">
        <f t="shared" si="0"/>
        <v>0</v>
      </c>
      <c r="L11" s="1">
        <f t="shared" si="1"/>
        <v>3.0983866769659336</v>
      </c>
      <c r="M11" s="1">
        <f t="shared" si="2"/>
        <v>0.88304020293529095</v>
      </c>
      <c r="N11" s="1">
        <f t="shared" si="3"/>
        <v>3.0983866769659336</v>
      </c>
      <c r="O11" s="1">
        <f t="shared" si="4"/>
        <v>0</v>
      </c>
      <c r="P11" s="1"/>
      <c r="Q11" s="1"/>
      <c r="R11" s="1"/>
      <c r="S11" s="1"/>
      <c r="T11" s="1"/>
      <c r="U11" s="1"/>
      <c r="V11" s="1"/>
      <c r="W11" s="1"/>
    </row>
    <row r="12" spans="1:23" x14ac:dyDescent="0.25">
      <c r="D12" s="1">
        <f>Sheet1!O13</f>
        <v>0.5</v>
      </c>
      <c r="E12" s="1">
        <f>Sheet1!P13</f>
        <v>0.1052</v>
      </c>
      <c r="F12" s="1">
        <f>Sheet1!Q13</f>
        <v>0.5</v>
      </c>
      <c r="G12" s="1">
        <f>Sheet1!R13</f>
        <v>0</v>
      </c>
      <c r="H12">
        <f t="shared" si="5"/>
        <v>3.872983346207417</v>
      </c>
      <c r="I12">
        <f t="shared" si="0"/>
        <v>0.81487569604204058</v>
      </c>
      <c r="J12">
        <f t="shared" si="0"/>
        <v>3.872983346207417</v>
      </c>
      <c r="K12">
        <f t="shared" si="0"/>
        <v>0</v>
      </c>
      <c r="L12" s="1">
        <f t="shared" si="1"/>
        <v>3.872983346207417</v>
      </c>
      <c r="M12" s="1">
        <f t="shared" si="2"/>
        <v>0.81487569604204058</v>
      </c>
      <c r="N12" s="1">
        <f t="shared" si="3"/>
        <v>3.872983346207417</v>
      </c>
      <c r="O12" s="1">
        <f t="shared" si="4"/>
        <v>0</v>
      </c>
      <c r="P12" s="1"/>
      <c r="Q12" s="1"/>
      <c r="R12" s="1"/>
      <c r="S12" s="1"/>
      <c r="T12" s="1"/>
      <c r="U12" s="1"/>
      <c r="V12" s="1"/>
      <c r="W12" s="1"/>
    </row>
    <row r="13" spans="1:23" x14ac:dyDescent="0.25">
      <c r="D13" s="1">
        <f>Sheet1!O14</f>
        <v>0.6</v>
      </c>
      <c r="E13" s="1">
        <f>Sheet1!P14</f>
        <v>9.1499999999999998E-2</v>
      </c>
      <c r="F13" s="1">
        <f>Sheet1!Q14</f>
        <v>0.6</v>
      </c>
      <c r="G13" s="1">
        <f>Sheet1!R14</f>
        <v>0</v>
      </c>
      <c r="H13">
        <f t="shared" si="5"/>
        <v>4.6475800154489004</v>
      </c>
      <c r="I13">
        <f t="shared" si="0"/>
        <v>0.70875595235595734</v>
      </c>
      <c r="J13">
        <f t="shared" si="0"/>
        <v>4.6475800154489004</v>
      </c>
      <c r="K13">
        <f t="shared" si="0"/>
        <v>0</v>
      </c>
      <c r="L13" s="1">
        <f t="shared" si="1"/>
        <v>4.6475800154489004</v>
      </c>
      <c r="M13" s="1">
        <f t="shared" si="2"/>
        <v>0.70875595235595734</v>
      </c>
      <c r="N13" s="1">
        <f t="shared" si="3"/>
        <v>4.6475800154489004</v>
      </c>
      <c r="O13" s="1">
        <f t="shared" si="4"/>
        <v>0</v>
      </c>
      <c r="P13" s="1"/>
      <c r="Q13" s="1"/>
      <c r="R13" s="1"/>
      <c r="S13" s="1"/>
      <c r="T13" s="1"/>
      <c r="U13" s="1"/>
      <c r="V13" s="1"/>
      <c r="W13" s="1"/>
    </row>
    <row r="14" spans="1:23" x14ac:dyDescent="0.25">
      <c r="D14" s="1">
        <f>Sheet1!O15</f>
        <v>0.7</v>
      </c>
      <c r="E14" s="1">
        <f>Sheet1!P15</f>
        <v>7.350000000000001E-2</v>
      </c>
      <c r="F14" s="1">
        <f>Sheet1!Q15</f>
        <v>0.7</v>
      </c>
      <c r="G14" s="1">
        <f>Sheet1!R15</f>
        <v>0</v>
      </c>
      <c r="H14">
        <f t="shared" si="5"/>
        <v>5.4221766846903838</v>
      </c>
      <c r="I14">
        <f t="shared" si="0"/>
        <v>0.56932855189249043</v>
      </c>
      <c r="J14">
        <f t="shared" si="0"/>
        <v>5.4221766846903838</v>
      </c>
      <c r="K14">
        <f t="shared" si="0"/>
        <v>0</v>
      </c>
      <c r="L14" s="1">
        <f t="shared" si="1"/>
        <v>5.4221766846903838</v>
      </c>
      <c r="M14" s="1">
        <f t="shared" si="2"/>
        <v>0.56932855189249043</v>
      </c>
      <c r="N14" s="1">
        <f t="shared" si="3"/>
        <v>5.4221766846903838</v>
      </c>
      <c r="O14" s="1">
        <f t="shared" si="4"/>
        <v>0</v>
      </c>
      <c r="P14" s="1"/>
      <c r="Q14" s="1"/>
      <c r="R14" s="1"/>
      <c r="S14" s="1"/>
      <c r="T14" s="1"/>
      <c r="U14" s="1"/>
      <c r="V14" s="1"/>
      <c r="W14" s="1"/>
    </row>
    <row r="15" spans="1:23" x14ac:dyDescent="0.25">
      <c r="D15" s="1">
        <f>Sheet1!O16</f>
        <v>0.8</v>
      </c>
      <c r="E15" s="1">
        <f>Sheet1!P16</f>
        <v>5.220000000000001E-2</v>
      </c>
      <c r="F15" s="1">
        <f>Sheet1!Q16</f>
        <v>0.8</v>
      </c>
      <c r="G15" s="1">
        <f>Sheet1!R16</f>
        <v>0</v>
      </c>
      <c r="H15">
        <f t="shared" si="5"/>
        <v>6.1967733539318672</v>
      </c>
      <c r="I15">
        <f t="shared" si="0"/>
        <v>0.40433946134405441</v>
      </c>
      <c r="J15">
        <f t="shared" si="0"/>
        <v>6.1967733539318672</v>
      </c>
      <c r="K15">
        <f t="shared" si="0"/>
        <v>0</v>
      </c>
      <c r="L15" s="1">
        <f t="shared" si="1"/>
        <v>6.1967733539318672</v>
      </c>
      <c r="M15" s="1">
        <f t="shared" si="2"/>
        <v>0.40433946134405441</v>
      </c>
      <c r="N15" s="1">
        <f t="shared" si="3"/>
        <v>6.1967733539318672</v>
      </c>
      <c r="O15" s="1">
        <f t="shared" si="4"/>
        <v>0</v>
      </c>
      <c r="P15" s="1"/>
      <c r="Q15" s="1"/>
      <c r="R15" s="1"/>
      <c r="S15" s="1"/>
      <c r="T15" s="1"/>
      <c r="U15" s="1"/>
      <c r="V15" s="1"/>
      <c r="W15" s="1"/>
    </row>
    <row r="16" spans="1:23" x14ac:dyDescent="0.25">
      <c r="D16" s="1">
        <f>Sheet1!O17</f>
        <v>0.90000000000000013</v>
      </c>
      <c r="E16" s="1">
        <f>Sheet1!P17</f>
        <v>2.8000000000000001E-2</v>
      </c>
      <c r="F16" s="1">
        <f>Sheet1!Q17</f>
        <v>0.90000000000000013</v>
      </c>
      <c r="G16" s="1">
        <f>Sheet1!R17</f>
        <v>0</v>
      </c>
      <c r="H16">
        <f t="shared" si="5"/>
        <v>6.9713700231733515</v>
      </c>
      <c r="I16">
        <f t="shared" si="0"/>
        <v>0.21688706738761535</v>
      </c>
      <c r="J16">
        <f t="shared" si="0"/>
        <v>6.9713700231733515</v>
      </c>
      <c r="K16">
        <f t="shared" si="0"/>
        <v>0</v>
      </c>
      <c r="L16" s="1">
        <f t="shared" si="1"/>
        <v>6.9713700231733515</v>
      </c>
      <c r="M16" s="1">
        <f t="shared" si="2"/>
        <v>0.21688706738761535</v>
      </c>
      <c r="N16" s="1">
        <f t="shared" si="3"/>
        <v>6.9713700231733515</v>
      </c>
      <c r="O16" s="1">
        <f t="shared" si="4"/>
        <v>0</v>
      </c>
      <c r="P16" s="1"/>
      <c r="Q16" s="1"/>
      <c r="R16" s="1"/>
      <c r="S16" s="1"/>
      <c r="T16" s="1"/>
      <c r="U16" s="1"/>
      <c r="V16" s="1"/>
      <c r="W16" s="1"/>
    </row>
    <row r="17" spans="4:54" x14ac:dyDescent="0.25">
      <c r="D17" s="1">
        <f>Sheet1!O18</f>
        <v>0.95</v>
      </c>
      <c r="E17" s="1">
        <f>Sheet1!P18</f>
        <v>1.49E-2</v>
      </c>
      <c r="F17" s="1">
        <f>Sheet1!Q18</f>
        <v>0.95</v>
      </c>
      <c r="G17" s="1">
        <f>Sheet1!R18</f>
        <v>0</v>
      </c>
      <c r="H17">
        <f t="shared" si="5"/>
        <v>7.3586683577940919</v>
      </c>
      <c r="I17">
        <f t="shared" si="0"/>
        <v>0.11541490371698103</v>
      </c>
      <c r="J17">
        <f t="shared" si="0"/>
        <v>7.3586683577940919</v>
      </c>
      <c r="K17">
        <f t="shared" si="0"/>
        <v>0</v>
      </c>
      <c r="L17" s="1">
        <f t="shared" si="1"/>
        <v>7.3586683577940919</v>
      </c>
      <c r="M17" s="1">
        <f t="shared" si="2"/>
        <v>0.11541490371698103</v>
      </c>
      <c r="N17" s="1">
        <f t="shared" si="3"/>
        <v>7.3586683577940919</v>
      </c>
      <c r="O17" s="1">
        <f t="shared" si="4"/>
        <v>0</v>
      </c>
      <c r="P17" s="1"/>
      <c r="Q17" s="1"/>
      <c r="R17" s="1"/>
      <c r="S17" s="1"/>
      <c r="T17" s="1"/>
      <c r="U17" s="1"/>
      <c r="V17" s="1"/>
      <c r="W17" s="1"/>
    </row>
    <row r="18" spans="4:54" x14ac:dyDescent="0.25">
      <c r="D18" s="1">
        <f>Sheet1!O19</f>
        <v>1</v>
      </c>
      <c r="E18" s="1">
        <f>Sheet1!P19</f>
        <v>1.1999999999999999E-3</v>
      </c>
      <c r="F18" s="1">
        <f>Sheet1!Q19</f>
        <v>1</v>
      </c>
      <c r="G18" s="1">
        <f>Sheet1!R19</f>
        <v>0</v>
      </c>
      <c r="H18">
        <f t="shared" si="5"/>
        <v>7.745966692414834</v>
      </c>
      <c r="I18">
        <f t="shared" si="5"/>
        <v>9.2951600308978002E-3</v>
      </c>
      <c r="J18">
        <f t="shared" si="5"/>
        <v>7.745966692414834</v>
      </c>
      <c r="K18">
        <f t="shared" si="5"/>
        <v>0</v>
      </c>
      <c r="L18" s="1">
        <f t="shared" si="1"/>
        <v>7.745966692414834</v>
      </c>
      <c r="M18" s="1">
        <f t="shared" si="2"/>
        <v>9.2951600308978002E-3</v>
      </c>
      <c r="N18" s="1">
        <f t="shared" si="3"/>
        <v>7.745966692414834</v>
      </c>
      <c r="O18" s="1">
        <f t="shared" si="4"/>
        <v>0</v>
      </c>
      <c r="P18" s="1"/>
      <c r="Q18" s="1"/>
      <c r="R18" s="1"/>
      <c r="S18" s="1"/>
      <c r="T18" s="1"/>
      <c r="U18" s="1"/>
      <c r="V18" s="1"/>
      <c r="W18" s="1"/>
    </row>
    <row r="21" spans="4:54" x14ac:dyDescent="0.25">
      <c r="D21" t="s">
        <v>46</v>
      </c>
      <c r="L21" t="s">
        <v>49</v>
      </c>
      <c r="T21" t="s">
        <v>40</v>
      </c>
      <c r="X21" t="s">
        <v>53</v>
      </c>
      <c r="AA21" t="s">
        <v>54</v>
      </c>
      <c r="AD21" t="s">
        <v>59</v>
      </c>
      <c r="AE21" t="s">
        <v>61</v>
      </c>
      <c r="AF21" t="s">
        <v>60</v>
      </c>
      <c r="AG21" t="s">
        <v>62</v>
      </c>
      <c r="AH21" t="s">
        <v>63</v>
      </c>
      <c r="AI21" t="s">
        <v>64</v>
      </c>
      <c r="AJ21" t="s">
        <v>55</v>
      </c>
      <c r="AK21" t="s">
        <v>56</v>
      </c>
      <c r="AL21" t="s">
        <v>57</v>
      </c>
      <c r="AM21" t="s">
        <v>58</v>
      </c>
      <c r="AN21" t="s">
        <v>65</v>
      </c>
      <c r="AO21" t="s">
        <v>66</v>
      </c>
      <c r="AP21" t="s">
        <v>67</v>
      </c>
      <c r="AQ21" t="s">
        <v>68</v>
      </c>
      <c r="AR21" t="s">
        <v>63</v>
      </c>
      <c r="AS21" t="s">
        <v>64</v>
      </c>
      <c r="AT21" t="s">
        <v>69</v>
      </c>
      <c r="AU21" t="s">
        <v>70</v>
      </c>
      <c r="AV21" t="s">
        <v>71</v>
      </c>
      <c r="AW21" t="s">
        <v>72</v>
      </c>
      <c r="AZ21" t="s">
        <v>92</v>
      </c>
      <c r="BA21" t="s">
        <v>93</v>
      </c>
      <c r="BB21" t="s">
        <v>94</v>
      </c>
    </row>
    <row r="22" spans="4:54" x14ac:dyDescent="0.25">
      <c r="D22">
        <f>Sheet1!S3</f>
        <v>0</v>
      </c>
      <c r="E22">
        <f>Sheet1!T3</f>
        <v>3.5000000000000003E-2</v>
      </c>
      <c r="F22">
        <f>Sheet1!U3</f>
        <v>0</v>
      </c>
      <c r="G22">
        <f>Sheet1!V3</f>
        <v>3.5000000000000003E-2</v>
      </c>
      <c r="H22" s="1">
        <f>D22*$B$2</f>
        <v>0</v>
      </c>
      <c r="I22" s="1">
        <f>E22*$B$2</f>
        <v>0.2711088342345192</v>
      </c>
      <c r="J22" s="1">
        <f>F22*$B$2</f>
        <v>0</v>
      </c>
      <c r="K22" s="1">
        <f>G22*$B$2</f>
        <v>0.2711088342345192</v>
      </c>
      <c r="L22">
        <f>H22-(0.25*$J$38)</f>
        <v>-1.9364916731037085</v>
      </c>
      <c r="M22">
        <f>I22-(0.25*$K$38)+Sheet1!$B$17</f>
        <v>19.244774795244794</v>
      </c>
      <c r="N22">
        <f>J22-(0.25*$J$38)</f>
        <v>-1.9364916731037085</v>
      </c>
      <c r="O22">
        <f>K22-(0.25*$K$38)+Sheet1!$B$17</f>
        <v>19.244774795244794</v>
      </c>
      <c r="P22" s="1">
        <f>D22*$B$3</f>
        <v>0</v>
      </c>
      <c r="Q22" s="1">
        <f>E22*$B$3</f>
        <v>0.2711088342345192</v>
      </c>
      <c r="R22" s="1">
        <f>F22*$B$3</f>
        <v>0</v>
      </c>
      <c r="S22" s="1">
        <f>G22*$B$3</f>
        <v>0.2711088342345192</v>
      </c>
      <c r="T22">
        <f>P22-(0.25*$R$38)</f>
        <v>-1.9364916731037085</v>
      </c>
      <c r="U22">
        <f>Q22-(0.25*$S$38)+Sheet1!$B$17</f>
        <v>19.244774795244794</v>
      </c>
      <c r="V22">
        <f>R22-(0.25*$R$38)</f>
        <v>-1.9364916731037085</v>
      </c>
      <c r="W22">
        <f>S22-(0.25*$S$38)+Sheet1!$B$17</f>
        <v>19.244774795244794</v>
      </c>
      <c r="X22" s="4">
        <f>L22</f>
        <v>-1.9364916731037085</v>
      </c>
      <c r="Y22" s="4">
        <f>M22*COS($B$5)</f>
        <v>19.121162658423213</v>
      </c>
      <c r="Z22" s="4">
        <f>M22*SIN($B$5)</f>
        <v>2.1777271431038043</v>
      </c>
      <c r="AA22">
        <f>N22</f>
        <v>-1.9364916731037085</v>
      </c>
      <c r="AB22">
        <f>O22*COS($B$5)</f>
        <v>19.121162658423213</v>
      </c>
      <c r="AC22">
        <f>O22*SIN($B$5)</f>
        <v>2.1777271431038043</v>
      </c>
      <c r="AD22" s="3"/>
      <c r="AE22" s="3"/>
      <c r="AF22" s="3">
        <f t="shared" ref="AF22:AF38" si="6">SQRT(((T22-X22)^2)+((U22-Y22)^2)+(Z22^2))</f>
        <v>2.1812325575647944</v>
      </c>
      <c r="AG22" s="3">
        <f>SQRT(((T22-X23)^2)+((U22-Y23)^2)+(Z23^2))</f>
        <v>2.1971135142431732</v>
      </c>
      <c r="AH22" s="3">
        <f>ACOS(((AF22^2)+(AG22^2)-(AD23^2))/(2*AF22*AG22))</f>
        <v>8.1657466171357163E-2</v>
      </c>
      <c r="AI22" s="3">
        <f>ACOS(((AF23^2)+(AG22^2)-(AE23^2))/(2*AF23*AG22))-AH22</f>
        <v>1.3322676295501878E-15</v>
      </c>
      <c r="AJ22" s="3">
        <v>0</v>
      </c>
      <c r="AK22" s="3">
        <v>0</v>
      </c>
      <c r="AL22" s="3">
        <f>AF22</f>
        <v>2.1812325575647944</v>
      </c>
      <c r="AM22" s="3">
        <v>0</v>
      </c>
      <c r="AN22" s="1"/>
      <c r="AO22" s="1"/>
      <c r="AP22" s="1">
        <f>SQRT(((V22-AA22)^2)+((W22-AB22)^2)+(AC22^2))</f>
        <v>2.1812325575647944</v>
      </c>
      <c r="AQ22" s="1">
        <f>SQRT(((V22-AA23)^2)+((W22-AB23)^2)+(AC23^2))</f>
        <v>2.1798794718172543</v>
      </c>
      <c r="AR22" s="1">
        <f>ACOS(((AP22^2)+(AQ22^2)-(AN23^2))/(2*AP22*AQ22))</f>
        <v>7.130111604770728E-2</v>
      </c>
      <c r="AS22" s="1">
        <f>ACOS(((AP23^2)+(AQ22^2)-(AO23^2))/(2*AP23*AQ22))-AR22</f>
        <v>0</v>
      </c>
      <c r="AT22" s="1">
        <v>0</v>
      </c>
      <c r="AU22" s="1">
        <v>0</v>
      </c>
      <c r="AV22" s="1">
        <f>AF22</f>
        <v>2.1812325575647944</v>
      </c>
      <c r="AW22" s="1">
        <v>0</v>
      </c>
      <c r="AY22" t="s">
        <v>87</v>
      </c>
      <c r="AZ22">
        <f>N22</f>
        <v>-1.9364916731037085</v>
      </c>
      <c r="BA22">
        <f>O22</f>
        <v>19.244774795244794</v>
      </c>
      <c r="BB22">
        <f>SQRT(((AZ22-Sheet1!$B$24)^2)+((BA22-Sheet1!$B$25)^2))</f>
        <v>21.232073178419174</v>
      </c>
    </row>
    <row r="23" spans="4:54" x14ac:dyDescent="0.25">
      <c r="D23">
        <f>Sheet1!S4</f>
        <v>1.2500000000000001E-2</v>
      </c>
      <c r="E23">
        <f>Sheet1!T4</f>
        <v>5.45E-2</v>
      </c>
      <c r="F23">
        <f>Sheet1!U4</f>
        <v>1.2500000000000001E-2</v>
      </c>
      <c r="G23">
        <f>Sheet1!V4</f>
        <v>1.9300000000000001E-2</v>
      </c>
      <c r="H23" s="1">
        <f t="shared" ref="H23:K38" si="7">D23*$B$2</f>
        <v>9.6824583655185426E-2</v>
      </c>
      <c r="I23" s="1">
        <f t="shared" si="7"/>
        <v>0.42215518473660846</v>
      </c>
      <c r="J23" s="1">
        <f t="shared" si="7"/>
        <v>9.6824583655185426E-2</v>
      </c>
      <c r="K23" s="1">
        <f t="shared" si="7"/>
        <v>0.14949715716360631</v>
      </c>
      <c r="L23">
        <f t="shared" ref="L23:L38" si="8">H23-(0.25*$J$38)</f>
        <v>-1.8396670894485232</v>
      </c>
      <c r="M23">
        <f>I23-(0.25*$K$38)+Sheet1!$B$17</f>
        <v>19.395821145746886</v>
      </c>
      <c r="N23">
        <f t="shared" ref="N23:N38" si="9">J23-(0.25*$J$38)</f>
        <v>-1.8396670894485232</v>
      </c>
      <c r="O23">
        <f>K23-(0.25*$K$38)+Sheet1!$B$17</f>
        <v>19.123163118173881</v>
      </c>
      <c r="P23" s="1">
        <f t="shared" ref="P23:S38" si="10">D23*$B$3</f>
        <v>9.6824583655185426E-2</v>
      </c>
      <c r="Q23" s="1">
        <f t="shared" si="10"/>
        <v>0.42215518473660846</v>
      </c>
      <c r="R23" s="1">
        <f t="shared" si="10"/>
        <v>9.6824583655185426E-2</v>
      </c>
      <c r="S23" s="1">
        <f t="shared" si="10"/>
        <v>0.14949715716360631</v>
      </c>
      <c r="T23">
        <f t="shared" ref="T23:T38" si="11">P23-(0.25*$R$38)</f>
        <v>-1.8396670894485232</v>
      </c>
      <c r="U23">
        <f>Q23-(0.25*$S$38)+Sheet1!$B$17</f>
        <v>19.395821145746886</v>
      </c>
      <c r="V23">
        <f t="shared" ref="V23:V38" si="12">R23-(0.25*$R$38)</f>
        <v>-1.8396670894485232</v>
      </c>
      <c r="W23">
        <f>S23-(0.25*$S$38)+Sheet1!$B$17</f>
        <v>19.123163118173881</v>
      </c>
      <c r="X23" s="4">
        <f t="shared" ref="X23:X38" si="13">L23</f>
        <v>-1.8396670894485232</v>
      </c>
      <c r="Y23" s="4">
        <f t="shared" ref="Y23:Y38" si="14">M23*COS($B$5)</f>
        <v>19.271238815075634</v>
      </c>
      <c r="Z23" s="4">
        <f t="shared" ref="Z23:Z38" si="15">M23*SIN($B$5)</f>
        <v>2.1948194572958339</v>
      </c>
      <c r="AA23">
        <f t="shared" ref="AA23:AA38" si="16">N23</f>
        <v>-1.8396670894485232</v>
      </c>
      <c r="AB23">
        <f t="shared" ref="AB23:AB38" si="17">O23*COS($B$5)</f>
        <v>19.000332111785113</v>
      </c>
      <c r="AC23">
        <f t="shared" ref="AC23:AC38" si="18">O23*SIN($B$5)</f>
        <v>2.1639656388568884</v>
      </c>
      <c r="AD23" s="3">
        <f t="shared" ref="AD23:AD38" si="19">SQRT(((X23-X22)^2)+((Y23-Y22)^2)+((Z22-Z23)^2))</f>
        <v>0.17941571837495476</v>
      </c>
      <c r="AE23" s="3">
        <f>SQRT(((T22-T23)^2)+((U22-U23)^2))</f>
        <v>0.17941571837495421</v>
      </c>
      <c r="AF23" s="3">
        <f t="shared" si="6"/>
        <v>2.1983523846826425</v>
      </c>
      <c r="AG23" s="3">
        <f t="shared" ref="AG23:AG37" si="20">SQRT(((T23-X24)^2)+((U23-Y24)^2)+(Z24^2))</f>
        <v>2.2065829758929447</v>
      </c>
      <c r="AH23" s="3">
        <f>ACOS(((AF23^2)+(AG23^2)-(AD24^2))/(2*AF23*AG23))-AI22</f>
        <v>5.7299779146543717E-2</v>
      </c>
      <c r="AI23" s="3">
        <f>ACOS(((AF24^2)+(AG23^2)-(AE24^2))/(2*AF24*AG23))-AH23</f>
        <v>1.3322676295501878E-15</v>
      </c>
      <c r="AJ23" s="3">
        <f>-COS(AI22)*AF23+AL23</f>
        <v>-8.5599135589236042E-3</v>
      </c>
      <c r="AK23" s="3">
        <f>SIN(AI22)*AF23+AM23</f>
        <v>0.17921140555183585</v>
      </c>
      <c r="AL23" s="3">
        <f>COS(AH22)*AG22+AJ22</f>
        <v>2.1897924711237189</v>
      </c>
      <c r="AM23" s="3">
        <f>SIN(AH22)*AG22+AK22</f>
        <v>0.1792114055518329</v>
      </c>
      <c r="AN23" s="1">
        <f>SQRT(((AA23-AA22)^2)+((AB23-AB22)^2)+((AC22-AC23)^2))</f>
        <v>0.15544902701528851</v>
      </c>
      <c r="AO23" s="1">
        <f>SQRT(((V22-V23)^2)+((W22-W23)^2))</f>
        <v>0.1554490270152887</v>
      </c>
      <c r="AP23" s="1">
        <f t="shared" ref="AP23:AP38" si="21">SQRT(((V23-AA23)^2)+((W23-AB23)^2)+(AC23^2))</f>
        <v>2.1674489018852969</v>
      </c>
      <c r="AQ23" s="1">
        <f t="shared" ref="AQ23:AQ37" si="22">SQRT(((V23-AA24)^2)+((W23-AB24)^2)+(AC24^2))</f>
        <v>2.1678851559407786</v>
      </c>
      <c r="AR23" s="1">
        <f t="shared" ref="AR23:AR37" si="23">ACOS(((AP23^2)+(AQ23^2)-(AN24^2))/(2*AP23*AQ23))</f>
        <v>4.7600248775639509E-2</v>
      </c>
      <c r="AS23" s="1">
        <f t="shared" ref="AS23:AS37" si="24">ACOS(((AP24^2)+(AQ23^2)-(AO24^2))/(2*AP24*AQ23))-AR23</f>
        <v>-4.6629367034256575E-15</v>
      </c>
      <c r="AT23" s="1">
        <f>-COS(AS22)*AP23+AV23</f>
        <v>6.891827839748732E-3</v>
      </c>
      <c r="AU23" s="1">
        <f>SIN(AS22)*AP23+AW23</f>
        <v>0.1792114055518329</v>
      </c>
      <c r="AV23" s="1">
        <f>COS(AR22)*AQ22+AT22</f>
        <v>2.1743407297250457</v>
      </c>
      <c r="AW23" s="1">
        <f>SIN(AH22)*AG22+AK22</f>
        <v>0.1792114055518329</v>
      </c>
      <c r="AY23" t="s">
        <v>26</v>
      </c>
      <c r="AZ23">
        <f>(N29+N30)/2</f>
        <v>0</v>
      </c>
      <c r="BA23">
        <f>(O29+O30)/2</f>
        <v>18.974827856014137</v>
      </c>
      <c r="BB23">
        <f>SQRT(((AZ23-Sheet1!$B$24)^2)+((BA23-Sheet1!$B$25)^2))</f>
        <v>21.501102273523628</v>
      </c>
    </row>
    <row r="24" spans="4:54" x14ac:dyDescent="0.25">
      <c r="D24">
        <f>Sheet1!S5</f>
        <v>2.5000000000000001E-2</v>
      </c>
      <c r="E24">
        <f>Sheet1!T5</f>
        <v>6.5000000000000002E-2</v>
      </c>
      <c r="F24">
        <f>Sheet1!U5</f>
        <v>2.5000000000000001E-2</v>
      </c>
      <c r="G24">
        <f>Sheet1!V5</f>
        <v>1.4699999999999998E-2</v>
      </c>
      <c r="H24" s="1">
        <f t="shared" si="7"/>
        <v>0.19364916731037085</v>
      </c>
      <c r="I24" s="1">
        <f t="shared" si="7"/>
        <v>0.50348783500696426</v>
      </c>
      <c r="J24" s="1">
        <f t="shared" si="7"/>
        <v>0.19364916731037085</v>
      </c>
      <c r="K24" s="1">
        <f t="shared" si="7"/>
        <v>0.11386571037849805</v>
      </c>
      <c r="L24">
        <f t="shared" si="8"/>
        <v>-1.7428425057933377</v>
      </c>
      <c r="M24">
        <f>I24-(0.25*$K$38)+Sheet1!$B$17</f>
        <v>19.477153796017241</v>
      </c>
      <c r="N24">
        <f t="shared" si="9"/>
        <v>-1.7428425057933377</v>
      </c>
      <c r="O24">
        <f>K24-(0.25*$K$38)+Sheet1!$B$17</f>
        <v>19.087531671388774</v>
      </c>
      <c r="P24" s="1">
        <f t="shared" si="10"/>
        <v>0.19364916731037085</v>
      </c>
      <c r="Q24" s="1">
        <f t="shared" si="10"/>
        <v>0.50348783500696426</v>
      </c>
      <c r="R24" s="1">
        <f t="shared" si="10"/>
        <v>0.19364916731037085</v>
      </c>
      <c r="S24" s="1">
        <f t="shared" si="10"/>
        <v>0.11386571037849805</v>
      </c>
      <c r="T24">
        <f t="shared" si="11"/>
        <v>-1.7428425057933377</v>
      </c>
      <c r="U24">
        <f>Q24-(0.25*$S$38)+Sheet1!$B$17</f>
        <v>19.477153796017241</v>
      </c>
      <c r="V24">
        <f t="shared" si="12"/>
        <v>-1.7428425057933377</v>
      </c>
      <c r="W24">
        <f>S24-(0.25*$S$38)+Sheet1!$B$17</f>
        <v>19.087531671388774</v>
      </c>
      <c r="X24" s="4">
        <f t="shared" si="13"/>
        <v>-1.7428425057933377</v>
      </c>
      <c r="Y24" s="4">
        <f t="shared" si="14"/>
        <v>19.352049053273088</v>
      </c>
      <c r="Z24" s="4">
        <f t="shared" si="15"/>
        <v>2.2040230110915422</v>
      </c>
      <c r="AA24">
        <f t="shared" si="16"/>
        <v>-1.7428425057933377</v>
      </c>
      <c r="AB24">
        <f t="shared" si="17"/>
        <v>18.964929531241467</v>
      </c>
      <c r="AC24">
        <f t="shared" si="18"/>
        <v>2.1599336057654357</v>
      </c>
      <c r="AD24" s="3">
        <f t="shared" si="19"/>
        <v>0.12645157175772792</v>
      </c>
      <c r="AE24" s="3">
        <f t="shared" ref="AE24:AE38" si="25">SQRT(((T23-T24)^2)+((U23-U24)^2))</f>
        <v>0.12645157175772803</v>
      </c>
      <c r="AF24" s="3">
        <f t="shared" si="6"/>
        <v>2.2075707531307143</v>
      </c>
      <c r="AG24" s="3">
        <f t="shared" si="20"/>
        <v>2.2248061108438573</v>
      </c>
      <c r="AH24" s="3">
        <f t="shared" ref="AH24:AH37" si="26">ACOS(((AF24^2)+(AG24^2)-(AD25^2))/(2*AF24*AG24))-AI23</f>
        <v>9.9887448145275393E-2</v>
      </c>
      <c r="AI24" s="3">
        <f t="shared" ref="AI24:AI37" si="27">ACOS(((AF25^2)+(AG24^2)-(AE25^2))/(2*AF25*AG24))-AH24</f>
        <v>1.3322676295501878E-15</v>
      </c>
      <c r="AJ24" s="3">
        <f t="shared" ref="AJ24:AJ38" si="28">-COS(AI23)*AF24+AL24</f>
        <v>-1.3169097782959049E-2</v>
      </c>
      <c r="AK24" s="3">
        <f t="shared" ref="AK24:AK38" si="29">SIN(AI23)*AF24+AM24</f>
        <v>0.30557894656134088</v>
      </c>
      <c r="AL24" s="3">
        <f t="shared" ref="AL24:AL38" si="30">COS(AH23)*AG23+AJ23</f>
        <v>2.1944016553477552</v>
      </c>
      <c r="AM24" s="3">
        <f t="shared" ref="AM24:AM38" si="31">SIN(AH23)*AG23+AK23</f>
        <v>0.30557894656133794</v>
      </c>
      <c r="AN24" s="1">
        <f t="shared" ref="AN24:AN38" si="32">SQRT(((AA24-AA23)^2)+((AB24-AB23)^2)+((AC23-AC24)^2))</f>
        <v>0.10317267079997476</v>
      </c>
      <c r="AO24" s="1">
        <f t="shared" ref="AO24:AO38" si="33">SQRT(((V23-V24)^2)+((W23-W24)^2))</f>
        <v>0.10317267079997465</v>
      </c>
      <c r="AP24" s="1">
        <f t="shared" si="21"/>
        <v>2.1634103785651893</v>
      </c>
      <c r="AQ24" s="1">
        <f t="shared" si="22"/>
        <v>2.1701008288714094</v>
      </c>
      <c r="AR24" s="1">
        <f t="shared" si="23"/>
        <v>9.1413775528812469E-2</v>
      </c>
      <c r="AS24" s="1">
        <f t="shared" si="24"/>
        <v>-1.1102230246251565E-15</v>
      </c>
      <c r="AT24" s="1">
        <f t="shared" ref="AT24:AT38" si="34">-COS(AS23)*AP24+AV24</f>
        <v>8.9110894998025714E-3</v>
      </c>
      <c r="AU24" s="1">
        <f t="shared" ref="AU24:AU38" si="35">SIN(AS23)*AP24+AW24</f>
        <v>0.30557894656132784</v>
      </c>
      <c r="AV24" s="1">
        <f t="shared" ref="AV24:AV38" si="36">COS(AR23)*AQ23+AT23</f>
        <v>2.1723214680649918</v>
      </c>
      <c r="AW24" s="1">
        <f t="shared" ref="AW24:AW38" si="37">SIN(AH23)*AG23+AK23</f>
        <v>0.30557894656133794</v>
      </c>
      <c r="AY24" t="s">
        <v>88</v>
      </c>
      <c r="AZ24">
        <f>N32</f>
        <v>1.9364916731037085</v>
      </c>
      <c r="BA24">
        <f>O32</f>
        <v>18.973665961010276</v>
      </c>
      <c r="BB24">
        <f>SQRT(((AZ24-Sheet1!$B$24)^2)+((BA24-Sheet1!$B$25)^2))</f>
        <v>22.188555940730328</v>
      </c>
    </row>
    <row r="25" spans="4:54" x14ac:dyDescent="0.25">
      <c r="D25">
        <f>Sheet1!S6</f>
        <v>0.05</v>
      </c>
      <c r="E25">
        <f>Sheet1!T6</f>
        <v>7.8999999999999987E-2</v>
      </c>
      <c r="F25">
        <f>Sheet1!U6</f>
        <v>0.05</v>
      </c>
      <c r="G25">
        <f>Sheet1!V6</f>
        <v>9.2999999999999992E-3</v>
      </c>
      <c r="H25" s="1">
        <f t="shared" si="7"/>
        <v>0.3872983346207417</v>
      </c>
      <c r="I25" s="1">
        <f t="shared" si="7"/>
        <v>0.61193136870077181</v>
      </c>
      <c r="J25" s="1">
        <f t="shared" si="7"/>
        <v>0.3872983346207417</v>
      </c>
      <c r="K25" s="1">
        <f t="shared" si="7"/>
        <v>7.2037490239457949E-2</v>
      </c>
      <c r="L25">
        <f t="shared" si="8"/>
        <v>-1.5491933384829668</v>
      </c>
      <c r="M25">
        <f>I25-(0.25*$K$38)+Sheet1!$B$17</f>
        <v>19.585597329711049</v>
      </c>
      <c r="N25">
        <f t="shared" si="9"/>
        <v>-1.5491933384829668</v>
      </c>
      <c r="O25">
        <f>K25-(0.25*$K$38)+Sheet1!$B$17</f>
        <v>19.045703451249736</v>
      </c>
      <c r="P25" s="1">
        <f t="shared" si="10"/>
        <v>0.3872983346207417</v>
      </c>
      <c r="Q25" s="1">
        <f t="shared" si="10"/>
        <v>0.61193136870077181</v>
      </c>
      <c r="R25" s="1">
        <f t="shared" si="10"/>
        <v>0.3872983346207417</v>
      </c>
      <c r="S25" s="1">
        <f t="shared" si="10"/>
        <v>7.2037490239457949E-2</v>
      </c>
      <c r="T25">
        <f t="shared" si="11"/>
        <v>-1.5491933384829668</v>
      </c>
      <c r="U25">
        <f>Q25-(0.25*$S$38)+Sheet1!$B$17</f>
        <v>19.585597329711049</v>
      </c>
      <c r="V25">
        <f t="shared" si="12"/>
        <v>-1.5491933384829668</v>
      </c>
      <c r="W25">
        <f>S25-(0.25*$S$38)+Sheet1!$B$17</f>
        <v>19.045703451249736</v>
      </c>
      <c r="X25" s="4">
        <f>L25</f>
        <v>-1.5491933384829668</v>
      </c>
      <c r="Y25" s="4">
        <f t="shared" si="14"/>
        <v>19.459796037536364</v>
      </c>
      <c r="Z25" s="4">
        <f t="shared" si="15"/>
        <v>2.2162944161524862</v>
      </c>
      <c r="AA25">
        <f t="shared" si="16"/>
        <v>-1.5491933384829668</v>
      </c>
      <c r="AB25">
        <f t="shared" si="17"/>
        <v>18.923369980168491</v>
      </c>
      <c r="AC25">
        <f t="shared" si="18"/>
        <v>2.1552003495276431</v>
      </c>
      <c r="AD25" s="3">
        <f t="shared" si="19"/>
        <v>0.22194593936362159</v>
      </c>
      <c r="AE25" s="3">
        <f t="shared" si="25"/>
        <v>0.22194593936362114</v>
      </c>
      <c r="AF25" s="3">
        <f t="shared" si="6"/>
        <v>2.2198619110614763</v>
      </c>
      <c r="AG25" s="3">
        <f t="shared" si="20"/>
        <v>2.2336554129819173</v>
      </c>
      <c r="AH25" s="3">
        <f t="shared" si="26"/>
        <v>9.2859146960746264E-2</v>
      </c>
      <c r="AI25" s="3">
        <f t="shared" si="27"/>
        <v>4.8849813083506888E-15</v>
      </c>
      <c r="AJ25" s="3">
        <f t="shared" si="28"/>
        <v>-1.9314676748340087E-2</v>
      </c>
      <c r="AK25" s="3">
        <f t="shared" si="29"/>
        <v>0.52743978551040016</v>
      </c>
      <c r="AL25" s="3">
        <f t="shared" si="30"/>
        <v>2.2005472343131363</v>
      </c>
      <c r="AM25" s="3">
        <f t="shared" si="31"/>
        <v>0.52743978551039716</v>
      </c>
      <c r="AN25" s="1">
        <f t="shared" si="32"/>
        <v>0.19811511805008683</v>
      </c>
      <c r="AO25" s="1">
        <f t="shared" si="33"/>
        <v>0.19811511805008686</v>
      </c>
      <c r="AP25" s="1">
        <f t="shared" si="21"/>
        <v>2.1586695033633241</v>
      </c>
      <c r="AQ25" s="1">
        <f t="shared" si="22"/>
        <v>2.1661506131376655</v>
      </c>
      <c r="AR25" s="1">
        <f t="shared" si="23"/>
        <v>9.0159239083342335E-2</v>
      </c>
      <c r="AS25" s="1">
        <f t="shared" si="24"/>
        <v>1.3322676295501878E-15</v>
      </c>
      <c r="AT25" s="1">
        <f t="shared" si="34"/>
        <v>1.1281527100734934E-2</v>
      </c>
      <c r="AU25" s="1">
        <f t="shared" si="35"/>
        <v>0.52743978551039472</v>
      </c>
      <c r="AV25" s="1">
        <f t="shared" si="36"/>
        <v>2.169951030464059</v>
      </c>
      <c r="AW25" s="1">
        <f t="shared" si="37"/>
        <v>0.52743978551039716</v>
      </c>
      <c r="AY25" t="s">
        <v>89</v>
      </c>
      <c r="AZ25">
        <f>(N34+N35)/2</f>
        <v>3.872983346207417</v>
      </c>
      <c r="BA25">
        <f>(O34+O35)/2</f>
        <v>18.973665961010276</v>
      </c>
      <c r="BB25">
        <f>SQRT(((AZ25-Sheet1!$B$24)^2)+((BA25-Sheet1!$B$25)^2))</f>
        <v>23.019861630119287</v>
      </c>
    </row>
    <row r="26" spans="4:54" x14ac:dyDescent="0.25">
      <c r="D26">
        <f>Sheet1!S7</f>
        <v>7.4999999999999997E-2</v>
      </c>
      <c r="E26">
        <f>Sheet1!T7</f>
        <v>8.8499999999999995E-2</v>
      </c>
      <c r="F26">
        <f>Sheet1!U7</f>
        <v>7.4999999999999997E-2</v>
      </c>
      <c r="G26">
        <f>Sheet1!V7</f>
        <v>6.3E-3</v>
      </c>
      <c r="H26" s="1">
        <f t="shared" si="7"/>
        <v>0.58094750193111255</v>
      </c>
      <c r="I26" s="1">
        <f t="shared" si="7"/>
        <v>0.68551805227871276</v>
      </c>
      <c r="J26" s="1">
        <f t="shared" si="7"/>
        <v>0.58094750193111255</v>
      </c>
      <c r="K26" s="1">
        <f t="shared" si="7"/>
        <v>4.8799590162213455E-2</v>
      </c>
      <c r="L26">
        <f t="shared" si="8"/>
        <v>-1.355544171172596</v>
      </c>
      <c r="M26">
        <f>I26-(0.25*$K$38)+Sheet1!$B$17</f>
        <v>19.659184013288989</v>
      </c>
      <c r="N26">
        <f t="shared" si="9"/>
        <v>-1.355544171172596</v>
      </c>
      <c r="O26">
        <f>K26-(0.25*$K$38)+Sheet1!$B$17</f>
        <v>19.022465551172491</v>
      </c>
      <c r="P26" s="1">
        <f t="shared" si="10"/>
        <v>0.58094750193111255</v>
      </c>
      <c r="Q26" s="1">
        <f t="shared" si="10"/>
        <v>0.68551805227871276</v>
      </c>
      <c r="R26" s="1">
        <f t="shared" si="10"/>
        <v>0.58094750193111255</v>
      </c>
      <c r="S26" s="1">
        <f t="shared" si="10"/>
        <v>4.8799590162213455E-2</v>
      </c>
      <c r="T26">
        <f t="shared" si="11"/>
        <v>-1.355544171172596</v>
      </c>
      <c r="U26">
        <f>Q26-(0.25*$S$38)+Sheet1!$B$17</f>
        <v>19.659184013288989</v>
      </c>
      <c r="V26">
        <f t="shared" si="12"/>
        <v>-1.355544171172596</v>
      </c>
      <c r="W26">
        <f>S26-(0.25*$S$38)+Sheet1!$B$17</f>
        <v>19.022465551172491</v>
      </c>
      <c r="X26" s="4">
        <f t="shared" si="13"/>
        <v>-1.355544171172596</v>
      </c>
      <c r="Y26" s="4">
        <f t="shared" si="14"/>
        <v>19.532910062572157</v>
      </c>
      <c r="Z26" s="4">
        <f t="shared" si="15"/>
        <v>2.2246214410152696</v>
      </c>
      <c r="AA26">
        <f t="shared" si="16"/>
        <v>-1.355544171172596</v>
      </c>
      <c r="AB26">
        <f t="shared" si="17"/>
        <v>18.900281340683502</v>
      </c>
      <c r="AC26">
        <f t="shared" si="18"/>
        <v>2.1525707627288693</v>
      </c>
      <c r="AD26" s="3">
        <f t="shared" si="19"/>
        <v>0.20715935894861209</v>
      </c>
      <c r="AE26" s="3">
        <f t="shared" si="25"/>
        <v>0.2071593589486119</v>
      </c>
      <c r="AF26" s="3">
        <f t="shared" si="6"/>
        <v>2.2282023396573507</v>
      </c>
      <c r="AG26" s="3">
        <f t="shared" si="20"/>
        <v>2.2406321370765165</v>
      </c>
      <c r="AH26" s="3">
        <f t="shared" si="26"/>
        <v>9.0342407611001985E-2</v>
      </c>
      <c r="AI26" s="3">
        <f t="shared" si="27"/>
        <v>2.4424906541753444E-15</v>
      </c>
      <c r="AJ26" s="3">
        <f t="shared" si="28"/>
        <v>-2.3484891046277045E-2</v>
      </c>
      <c r="AK26" s="3">
        <f t="shared" si="29"/>
        <v>0.73455716602857879</v>
      </c>
      <c r="AL26" s="3">
        <f t="shared" si="30"/>
        <v>2.2047174486110737</v>
      </c>
      <c r="AM26" s="3">
        <f t="shared" si="31"/>
        <v>0.73455716602856791</v>
      </c>
      <c r="AN26" s="1">
        <f t="shared" si="32"/>
        <v>0.19503845774615858</v>
      </c>
      <c r="AO26" s="1">
        <f t="shared" si="33"/>
        <v>0.19503845774615838</v>
      </c>
      <c r="AP26" s="1">
        <f t="shared" si="21"/>
        <v>2.1560356838067323</v>
      </c>
      <c r="AQ26" s="1">
        <f t="shared" si="22"/>
        <v>2.1638575377283638</v>
      </c>
      <c r="AR26" s="1">
        <f t="shared" si="23"/>
        <v>8.9927891299323326E-2</v>
      </c>
      <c r="AS26" s="1">
        <f t="shared" si="24"/>
        <v>1.3322676295501878E-15</v>
      </c>
      <c r="AT26" s="1">
        <f t="shared" si="34"/>
        <v>1.2598436879030839E-2</v>
      </c>
      <c r="AU26" s="1">
        <f t="shared" si="35"/>
        <v>0.7345571660285708</v>
      </c>
      <c r="AV26" s="1">
        <f t="shared" si="36"/>
        <v>2.1686341206857631</v>
      </c>
      <c r="AW26" s="1">
        <f t="shared" si="37"/>
        <v>0.73455716602856791</v>
      </c>
      <c r="AY26" t="s">
        <v>26</v>
      </c>
      <c r="AZ26">
        <f>N38</f>
        <v>5.809475019311126</v>
      </c>
      <c r="BA26">
        <f>O38</f>
        <v>18.973665961010276</v>
      </c>
      <c r="BB26">
        <f>SQRT(((AZ26-Sheet1!$B$24)^2)+((BA26-Sheet1!$B$25)^2))</f>
        <v>23.979075132389021</v>
      </c>
    </row>
    <row r="27" spans="4:54" x14ac:dyDescent="0.25">
      <c r="D27">
        <f>Sheet1!S8</f>
        <v>0.1</v>
      </c>
      <c r="E27">
        <f>Sheet1!T8</f>
        <v>9.6000000000000002E-2</v>
      </c>
      <c r="F27">
        <f>Sheet1!U8</f>
        <v>0.1</v>
      </c>
      <c r="G27">
        <f>Sheet1!V8</f>
        <v>4.1999999999999997E-3</v>
      </c>
      <c r="H27" s="1">
        <f t="shared" si="7"/>
        <v>0.7745966692414834</v>
      </c>
      <c r="I27" s="1">
        <f t="shared" si="7"/>
        <v>0.74361280247182404</v>
      </c>
      <c r="J27" s="1">
        <f t="shared" si="7"/>
        <v>0.7745966692414834</v>
      </c>
      <c r="K27" s="1">
        <f t="shared" si="7"/>
        <v>3.2533060108142303E-2</v>
      </c>
      <c r="L27">
        <f t="shared" si="8"/>
        <v>-1.1618950038622251</v>
      </c>
      <c r="M27">
        <f>I27-(0.25*$K$38)+Sheet1!$B$17</f>
        <v>19.717278763482099</v>
      </c>
      <c r="N27">
        <f t="shared" si="9"/>
        <v>-1.1618950038622251</v>
      </c>
      <c r="O27">
        <f>K27-(0.25*$K$38)+Sheet1!$B$17</f>
        <v>19.00619902111842</v>
      </c>
      <c r="P27" s="1">
        <f t="shared" si="10"/>
        <v>0.7745966692414834</v>
      </c>
      <c r="Q27" s="1">
        <f t="shared" si="10"/>
        <v>0.74361280247182404</v>
      </c>
      <c r="R27" s="1">
        <f t="shared" si="10"/>
        <v>0.7745966692414834</v>
      </c>
      <c r="S27" s="1">
        <f t="shared" si="10"/>
        <v>3.2533060108142303E-2</v>
      </c>
      <c r="T27">
        <f t="shared" si="11"/>
        <v>-1.1618950038622251</v>
      </c>
      <c r="U27">
        <f>Q27-(0.25*$S$38)+Sheet1!$B$17</f>
        <v>19.717278763482099</v>
      </c>
      <c r="V27">
        <f t="shared" si="12"/>
        <v>-1.1618950038622251</v>
      </c>
      <c r="W27">
        <f>S27-(0.25*$S$38)+Sheet1!$B$17</f>
        <v>19.00619902111842</v>
      </c>
      <c r="X27" s="4">
        <f t="shared" si="13"/>
        <v>-1.1618950038622251</v>
      </c>
      <c r="Y27" s="4">
        <f t="shared" si="14"/>
        <v>19.590631661284622</v>
      </c>
      <c r="Z27" s="4">
        <f t="shared" si="15"/>
        <v>2.2311954080122041</v>
      </c>
      <c r="AA27">
        <f t="shared" si="16"/>
        <v>-1.1618950038622251</v>
      </c>
      <c r="AB27">
        <f t="shared" si="17"/>
        <v>18.884119293044012</v>
      </c>
      <c r="AC27">
        <f t="shared" si="18"/>
        <v>2.1507300519697274</v>
      </c>
      <c r="AD27" s="3">
        <f t="shared" si="19"/>
        <v>0.20217566619155647</v>
      </c>
      <c r="AE27" s="3">
        <f t="shared" si="25"/>
        <v>0.20217566619155694</v>
      </c>
      <c r="AF27" s="3">
        <f t="shared" si="6"/>
        <v>2.2347868885488307</v>
      </c>
      <c r="AG27" s="3">
        <f t="shared" si="20"/>
        <v>2.2743761627223358</v>
      </c>
      <c r="AH27" s="3">
        <f t="shared" si="26"/>
        <v>0.17516887962900851</v>
      </c>
      <c r="AI27" s="3">
        <f t="shared" si="27"/>
        <v>3.1086244689504383E-15</v>
      </c>
      <c r="AJ27" s="3">
        <f t="shared" si="28"/>
        <v>-2.6777165492015698E-2</v>
      </c>
      <c r="AK27" s="3">
        <f t="shared" si="29"/>
        <v>0.93670602437057526</v>
      </c>
      <c r="AL27" s="3">
        <f t="shared" si="30"/>
        <v>2.208009723056815</v>
      </c>
      <c r="AM27" s="3">
        <f t="shared" si="31"/>
        <v>0.93670602437056982</v>
      </c>
      <c r="AN27" s="1">
        <f t="shared" si="32"/>
        <v>0.19433116065109057</v>
      </c>
      <c r="AO27" s="1">
        <f t="shared" si="33"/>
        <v>0.19433116065109071</v>
      </c>
      <c r="AP27" s="1">
        <f t="shared" si="21"/>
        <v>2.1541920101171175</v>
      </c>
      <c r="AQ27" s="1">
        <f t="shared" si="22"/>
        <v>2.1876641055500312</v>
      </c>
      <c r="AR27" s="1">
        <f t="shared" si="23"/>
        <v>0.17823670649344336</v>
      </c>
      <c r="AS27" s="1">
        <f t="shared" si="24"/>
        <v>-6.6613381477509392E-16</v>
      </c>
      <c r="AT27" s="1">
        <f t="shared" si="34"/>
        <v>1.3520273723838461E-2</v>
      </c>
      <c r="AU27" s="1">
        <f t="shared" si="35"/>
        <v>0.93670602437057271</v>
      </c>
      <c r="AV27" s="1">
        <f t="shared" si="36"/>
        <v>2.1677122838409559</v>
      </c>
      <c r="AW27" s="1">
        <f t="shared" si="37"/>
        <v>0.93670602437056982</v>
      </c>
    </row>
    <row r="28" spans="4:54" x14ac:dyDescent="0.25">
      <c r="D28">
        <f>Sheet1!S9</f>
        <v>0.15</v>
      </c>
      <c r="E28">
        <f>Sheet1!T9</f>
        <v>0.1069</v>
      </c>
      <c r="F28">
        <f>Sheet1!U9</f>
        <v>0.15</v>
      </c>
      <c r="G28">
        <f>Sheet1!V9</f>
        <v>1.5E-3</v>
      </c>
      <c r="H28" s="1">
        <f t="shared" si="7"/>
        <v>1.1618950038622251</v>
      </c>
      <c r="I28" s="1">
        <f t="shared" si="7"/>
        <v>0.82804383941914572</v>
      </c>
      <c r="J28" s="1">
        <f t="shared" si="7"/>
        <v>1.1618950038622251</v>
      </c>
      <c r="K28" s="1">
        <f t="shared" si="7"/>
        <v>1.1618950038622251E-2</v>
      </c>
      <c r="L28">
        <f t="shared" si="8"/>
        <v>-0.7745966692414834</v>
      </c>
      <c r="M28">
        <f>I28-(0.25*$K$38)+Sheet1!$B$17</f>
        <v>19.801709800429421</v>
      </c>
      <c r="N28">
        <f t="shared" si="9"/>
        <v>-0.7745966692414834</v>
      </c>
      <c r="O28">
        <f>K28-(0.25*$K$38)+Sheet1!$B$17</f>
        <v>18.985284911048897</v>
      </c>
      <c r="P28" s="1">
        <f t="shared" si="10"/>
        <v>1.1618950038622251</v>
      </c>
      <c r="Q28" s="1">
        <f t="shared" si="10"/>
        <v>0.82804383941914572</v>
      </c>
      <c r="R28" s="1">
        <f t="shared" si="10"/>
        <v>1.1618950038622251</v>
      </c>
      <c r="S28" s="1">
        <f t="shared" si="10"/>
        <v>1.1618950038622251E-2</v>
      </c>
      <c r="T28">
        <f t="shared" si="11"/>
        <v>-0.7745966692414834</v>
      </c>
      <c r="U28">
        <f>Q28-(0.25*$S$38)+Sheet1!$B$17</f>
        <v>19.801709800429421</v>
      </c>
      <c r="V28">
        <f t="shared" si="12"/>
        <v>-0.7745966692414834</v>
      </c>
      <c r="W28">
        <f>S28-(0.25*$S$38)+Sheet1!$B$17</f>
        <v>18.985284911048897</v>
      </c>
      <c r="X28" s="4">
        <f t="shared" si="13"/>
        <v>-0.7745966692414834</v>
      </c>
      <c r="Y28" s="4">
        <f t="shared" si="14"/>
        <v>19.674520384746742</v>
      </c>
      <c r="Z28" s="4">
        <f t="shared" si="15"/>
        <v>2.2407495733810818</v>
      </c>
      <c r="AA28">
        <f t="shared" si="16"/>
        <v>-0.7745966692414834</v>
      </c>
      <c r="AB28">
        <f t="shared" si="17"/>
        <v>18.863339517507519</v>
      </c>
      <c r="AC28">
        <f t="shared" si="18"/>
        <v>2.1483634238508311</v>
      </c>
      <c r="AD28" s="3">
        <f t="shared" si="19"/>
        <v>0.39639450046639146</v>
      </c>
      <c r="AE28" s="3">
        <f t="shared" si="25"/>
        <v>0.39639450046639157</v>
      </c>
      <c r="AF28" s="3">
        <f t="shared" si="6"/>
        <v>2.2443564329377814</v>
      </c>
      <c r="AG28" s="3">
        <f t="shared" si="20"/>
        <v>2.2810153319887565</v>
      </c>
      <c r="AH28" s="3">
        <f t="shared" si="26"/>
        <v>0.17215393172517834</v>
      </c>
      <c r="AI28" s="3">
        <f t="shared" si="27"/>
        <v>3.7747582837255322E-15</v>
      </c>
      <c r="AJ28" s="3">
        <f t="shared" si="28"/>
        <v>-3.1561937686489738E-2</v>
      </c>
      <c r="AK28" s="3">
        <f t="shared" si="29"/>
        <v>1.3330716459310827</v>
      </c>
      <c r="AL28" s="3">
        <f t="shared" si="30"/>
        <v>2.2127944952512917</v>
      </c>
      <c r="AM28" s="3">
        <f t="shared" si="31"/>
        <v>1.3330716459310759</v>
      </c>
      <c r="AN28" s="1">
        <f t="shared" si="32"/>
        <v>0.38786260453928811</v>
      </c>
      <c r="AO28" s="1">
        <f t="shared" si="33"/>
        <v>0.38786260453928806</v>
      </c>
      <c r="AP28" s="1">
        <f t="shared" si="21"/>
        <v>2.1518215725161851</v>
      </c>
      <c r="AQ28" s="1">
        <f t="shared" si="22"/>
        <v>2.1858992373963697</v>
      </c>
      <c r="AR28" s="1">
        <f t="shared" si="23"/>
        <v>0.17817237746868453</v>
      </c>
      <c r="AS28" s="1">
        <f t="shared" si="24"/>
        <v>6.6613381477509392E-16</v>
      </c>
      <c r="AT28" s="1">
        <f t="shared" si="34"/>
        <v>1.4705492524304642E-2</v>
      </c>
      <c r="AU28" s="1">
        <f t="shared" si="35"/>
        <v>1.3330716459310745</v>
      </c>
      <c r="AV28" s="1">
        <f t="shared" si="36"/>
        <v>2.1665270650404898</v>
      </c>
      <c r="AW28" s="1">
        <f t="shared" si="37"/>
        <v>1.3330716459310759</v>
      </c>
    </row>
    <row r="29" spans="4:54" x14ac:dyDescent="0.25">
      <c r="D29">
        <f>Sheet1!S10</f>
        <v>0.2</v>
      </c>
      <c r="E29">
        <f>Sheet1!T10</f>
        <v>0.11360000000000003</v>
      </c>
      <c r="F29">
        <f>Sheet1!U10</f>
        <v>0.2</v>
      </c>
      <c r="G29">
        <f>Sheet1!V10</f>
        <v>2.9999999999999997E-4</v>
      </c>
      <c r="H29" s="1">
        <f t="shared" si="7"/>
        <v>1.5491933384829668</v>
      </c>
      <c r="I29" s="1">
        <f t="shared" si="7"/>
        <v>0.87994181625832546</v>
      </c>
      <c r="J29" s="1">
        <f t="shared" si="7"/>
        <v>1.5491933384829668</v>
      </c>
      <c r="K29" s="1">
        <f t="shared" si="7"/>
        <v>2.32379000772445E-3</v>
      </c>
      <c r="L29">
        <f t="shared" si="8"/>
        <v>-0.3872983346207417</v>
      </c>
      <c r="M29">
        <f>I29-(0.25*$K$38)+Sheet1!$B$17</f>
        <v>19.8536077772686</v>
      </c>
      <c r="N29">
        <f t="shared" si="9"/>
        <v>-0.3872983346207417</v>
      </c>
      <c r="O29">
        <f>K29-(0.25*$K$38)+Sheet1!$B$17</f>
        <v>18.975989751018002</v>
      </c>
      <c r="P29" s="1">
        <f t="shared" si="10"/>
        <v>1.5491933384829668</v>
      </c>
      <c r="Q29" s="1">
        <f t="shared" si="10"/>
        <v>0.87994181625832546</v>
      </c>
      <c r="R29" s="1">
        <f t="shared" si="10"/>
        <v>1.5491933384829668</v>
      </c>
      <c r="S29" s="1">
        <f t="shared" si="10"/>
        <v>2.32379000772445E-3</v>
      </c>
      <c r="T29">
        <f t="shared" si="11"/>
        <v>-0.3872983346207417</v>
      </c>
      <c r="U29">
        <f>Q29-(0.25*$S$38)+Sheet1!$B$17</f>
        <v>19.8536077772686</v>
      </c>
      <c r="V29">
        <f t="shared" si="12"/>
        <v>-0.3872983346207417</v>
      </c>
      <c r="W29">
        <f>S29-(0.25*$S$38)+Sheet1!$B$17</f>
        <v>18.975989751018002</v>
      </c>
      <c r="X29" s="4">
        <f t="shared" si="13"/>
        <v>-0.3872983346207417</v>
      </c>
      <c r="Y29" s="4">
        <f t="shared" si="14"/>
        <v>19.726085012929879</v>
      </c>
      <c r="Z29" s="4">
        <f t="shared" si="15"/>
        <v>2.2466223172316764</v>
      </c>
      <c r="AA29">
        <f t="shared" si="16"/>
        <v>-0.3872983346207417</v>
      </c>
      <c r="AB29">
        <f t="shared" si="17"/>
        <v>18.854104061713528</v>
      </c>
      <c r="AC29">
        <f t="shared" si="18"/>
        <v>2.1473115891313217</v>
      </c>
      <c r="AD29" s="3">
        <f t="shared" si="19"/>
        <v>0.39076002866209314</v>
      </c>
      <c r="AE29" s="3">
        <f t="shared" si="25"/>
        <v>0.39076002866209325</v>
      </c>
      <c r="AF29" s="3">
        <f t="shared" si="6"/>
        <v>2.250238629947503</v>
      </c>
      <c r="AG29" s="3">
        <f t="shared" si="20"/>
        <v>2.3813828847723428</v>
      </c>
      <c r="AH29" s="3">
        <f t="shared" si="26"/>
        <v>0.33149726158660253</v>
      </c>
      <c r="AI29" s="3">
        <f t="shared" si="27"/>
        <v>3.9968028886505635E-15</v>
      </c>
      <c r="AJ29" s="3">
        <f t="shared" si="28"/>
        <v>-3.4503036191349423E-2</v>
      </c>
      <c r="AK29" s="3">
        <f t="shared" si="29"/>
        <v>1.7238206061850865</v>
      </c>
      <c r="AL29" s="3">
        <f t="shared" si="30"/>
        <v>2.2157355937561536</v>
      </c>
      <c r="AM29" s="3">
        <f t="shared" si="31"/>
        <v>1.723820606185078</v>
      </c>
      <c r="AN29" s="1">
        <f t="shared" si="32"/>
        <v>0.38740986048370007</v>
      </c>
      <c r="AO29" s="1">
        <f t="shared" si="33"/>
        <v>0.38740986048370013</v>
      </c>
      <c r="AP29" s="1">
        <f t="shared" si="21"/>
        <v>2.1507680446935482</v>
      </c>
      <c r="AQ29" s="1">
        <f t="shared" si="22"/>
        <v>2.2858788481853383</v>
      </c>
      <c r="AR29" s="1">
        <f t="shared" si="23"/>
        <v>0.345708310585223</v>
      </c>
      <c r="AS29" s="1">
        <f t="shared" si="24"/>
        <v>0</v>
      </c>
      <c r="AT29" s="1">
        <f t="shared" si="34"/>
        <v>1.5232256435623093E-2</v>
      </c>
      <c r="AU29" s="1">
        <f t="shared" si="35"/>
        <v>1.7238206061850794</v>
      </c>
      <c r="AV29" s="1">
        <f t="shared" si="36"/>
        <v>2.1660003011291713</v>
      </c>
      <c r="AW29" s="1">
        <f t="shared" si="37"/>
        <v>1.723820606185078</v>
      </c>
    </row>
    <row r="30" spans="4:54" x14ac:dyDescent="0.25">
      <c r="D30">
        <f>Sheet1!S11</f>
        <v>0.3</v>
      </c>
      <c r="E30">
        <f>Sheet1!T11</f>
        <v>0.11699999999999999</v>
      </c>
      <c r="F30">
        <f>Sheet1!U11</f>
        <v>0.3</v>
      </c>
      <c r="G30">
        <f>Sheet1!V11</f>
        <v>0</v>
      </c>
      <c r="H30" s="1">
        <f t="shared" si="7"/>
        <v>2.3237900077244502</v>
      </c>
      <c r="I30" s="1">
        <f t="shared" si="7"/>
        <v>0.90627810301253553</v>
      </c>
      <c r="J30" s="1">
        <f t="shared" si="7"/>
        <v>2.3237900077244502</v>
      </c>
      <c r="K30" s="1">
        <f t="shared" si="7"/>
        <v>0</v>
      </c>
      <c r="L30">
        <f t="shared" si="8"/>
        <v>0.3872983346207417</v>
      </c>
      <c r="M30">
        <f>I30-(0.25*$K$38)+Sheet1!$B$17</f>
        <v>19.879944064022812</v>
      </c>
      <c r="N30">
        <f t="shared" si="9"/>
        <v>0.3872983346207417</v>
      </c>
      <c r="O30">
        <f>K30-(0.25*$K$38)+Sheet1!$B$17</f>
        <v>18.973665961010276</v>
      </c>
      <c r="P30" s="1">
        <f t="shared" si="10"/>
        <v>2.3237900077244502</v>
      </c>
      <c r="Q30" s="1">
        <f t="shared" si="10"/>
        <v>0.90627810301253553</v>
      </c>
      <c r="R30" s="1">
        <f t="shared" si="10"/>
        <v>2.3237900077244502</v>
      </c>
      <c r="S30" s="1">
        <f t="shared" si="10"/>
        <v>0</v>
      </c>
      <c r="T30">
        <f t="shared" si="11"/>
        <v>0.3872983346207417</v>
      </c>
      <c r="U30">
        <f>Q30-(0.25*$S$38)+Sheet1!$B$17</f>
        <v>19.879944064022812</v>
      </c>
      <c r="V30">
        <f t="shared" si="12"/>
        <v>0.3872983346207417</v>
      </c>
      <c r="W30">
        <f>S30-(0.25*$S$38)+Sheet1!$B$17</f>
        <v>18.973665961010276</v>
      </c>
      <c r="X30" s="4">
        <f t="shared" si="13"/>
        <v>0.3872983346207417</v>
      </c>
      <c r="Y30" s="4">
        <f t="shared" si="14"/>
        <v>19.752252137679534</v>
      </c>
      <c r="Z30" s="4">
        <f t="shared" si="15"/>
        <v>2.2496025156036201</v>
      </c>
      <c r="AA30">
        <f t="shared" si="16"/>
        <v>0.3872983346207417</v>
      </c>
      <c r="AB30">
        <f t="shared" si="17"/>
        <v>18.851795197765028</v>
      </c>
      <c r="AC30">
        <f t="shared" si="18"/>
        <v>2.1470486304514442</v>
      </c>
      <c r="AD30" s="3">
        <f t="shared" si="19"/>
        <v>0.77504425680086186</v>
      </c>
      <c r="AE30" s="3">
        <f t="shared" si="25"/>
        <v>0.77504425680086175</v>
      </c>
      <c r="AF30" s="3">
        <f t="shared" si="6"/>
        <v>2.2532236254449742</v>
      </c>
      <c r="AG30" s="3">
        <f t="shared" si="20"/>
        <v>2.3815167691648362</v>
      </c>
      <c r="AH30" s="3">
        <f t="shared" si="26"/>
        <v>0.33143404635610008</v>
      </c>
      <c r="AI30" s="3">
        <f t="shared" si="27"/>
        <v>3.9968028886505635E-15</v>
      </c>
      <c r="AJ30" s="3">
        <f t="shared" si="28"/>
        <v>-3.5995533940081703E-2</v>
      </c>
      <c r="AK30" s="3">
        <f t="shared" si="29"/>
        <v>2.4988634259379499</v>
      </c>
      <c r="AL30" s="3">
        <f t="shared" si="30"/>
        <v>2.2172280915048925</v>
      </c>
      <c r="AM30" s="3">
        <f t="shared" si="31"/>
        <v>2.498863425937941</v>
      </c>
      <c r="AN30" s="1">
        <f t="shared" si="32"/>
        <v>0.77460015491865231</v>
      </c>
      <c r="AO30" s="1">
        <f t="shared" si="33"/>
        <v>0.77460015491865231</v>
      </c>
      <c r="AP30" s="1">
        <f t="shared" si="21"/>
        <v>2.1505046627378888</v>
      </c>
      <c r="AQ30" s="1">
        <f t="shared" si="22"/>
        <v>2.2857537716161382</v>
      </c>
      <c r="AR30" s="1">
        <f t="shared" si="23"/>
        <v>0.34572640365586538</v>
      </c>
      <c r="AS30" s="1">
        <f t="shared" si="24"/>
        <v>0</v>
      </c>
      <c r="AT30" s="1">
        <f t="shared" si="34"/>
        <v>1.5363947413452816E-2</v>
      </c>
      <c r="AU30" s="1">
        <f t="shared" si="35"/>
        <v>2.498863425937941</v>
      </c>
      <c r="AV30" s="1">
        <f t="shared" si="36"/>
        <v>2.1658686101513416</v>
      </c>
      <c r="AW30" s="1">
        <f t="shared" si="37"/>
        <v>2.498863425937941</v>
      </c>
    </row>
    <row r="31" spans="4:54" x14ac:dyDescent="0.25">
      <c r="D31">
        <f>Sheet1!S12</f>
        <v>0.4</v>
      </c>
      <c r="E31">
        <f>Sheet1!T12</f>
        <v>0.11399999999999999</v>
      </c>
      <c r="F31">
        <f>Sheet1!U12</f>
        <v>0.4</v>
      </c>
      <c r="G31">
        <f>Sheet1!V12</f>
        <v>0</v>
      </c>
      <c r="H31" s="1">
        <f t="shared" si="7"/>
        <v>3.0983866769659336</v>
      </c>
      <c r="I31" s="1">
        <f t="shared" si="7"/>
        <v>0.88304020293529095</v>
      </c>
      <c r="J31" s="1">
        <f t="shared" si="7"/>
        <v>3.0983866769659336</v>
      </c>
      <c r="K31" s="1">
        <f t="shared" si="7"/>
        <v>0</v>
      </c>
      <c r="L31">
        <f t="shared" si="8"/>
        <v>1.1618950038622251</v>
      </c>
      <c r="M31">
        <f>I31-(0.25*$K$38)+Sheet1!$B$17</f>
        <v>19.856706163945567</v>
      </c>
      <c r="N31">
        <f t="shared" si="9"/>
        <v>1.1618950038622251</v>
      </c>
      <c r="O31">
        <f>K31-(0.25*$K$38)+Sheet1!$B$17</f>
        <v>18.973665961010276</v>
      </c>
      <c r="P31" s="1">
        <f t="shared" si="10"/>
        <v>3.0983866769659336</v>
      </c>
      <c r="Q31" s="1">
        <f t="shared" si="10"/>
        <v>0.88304020293529095</v>
      </c>
      <c r="R31" s="1">
        <f t="shared" si="10"/>
        <v>3.0983866769659336</v>
      </c>
      <c r="S31" s="1">
        <f t="shared" si="10"/>
        <v>0</v>
      </c>
      <c r="T31">
        <f t="shared" si="11"/>
        <v>1.1618950038622251</v>
      </c>
      <c r="U31">
        <f>Q31-(0.25*$S$38)+Sheet1!$B$17</f>
        <v>19.856706163945567</v>
      </c>
      <c r="V31">
        <f t="shared" si="12"/>
        <v>1.1618950038622251</v>
      </c>
      <c r="W31">
        <f>S31-(0.25*$S$38)+Sheet1!$B$17</f>
        <v>18.973665961010276</v>
      </c>
      <c r="X31" s="4">
        <f t="shared" si="13"/>
        <v>1.1618950038622251</v>
      </c>
      <c r="Y31" s="4">
        <f t="shared" si="14"/>
        <v>19.729163498194549</v>
      </c>
      <c r="Z31" s="4">
        <f t="shared" si="15"/>
        <v>2.2469729288048463</v>
      </c>
      <c r="AA31">
        <f t="shared" si="16"/>
        <v>1.1618950038622251</v>
      </c>
      <c r="AB31">
        <f t="shared" si="17"/>
        <v>18.851795197765028</v>
      </c>
      <c r="AC31">
        <f t="shared" si="18"/>
        <v>2.1470486304514442</v>
      </c>
      <c r="AD31" s="3">
        <f t="shared" si="19"/>
        <v>0.77494515935000208</v>
      </c>
      <c r="AE31" s="3">
        <f t="shared" si="25"/>
        <v>0.77494515935000208</v>
      </c>
      <c r="AF31" s="3">
        <f t="shared" si="6"/>
        <v>2.250589805888382</v>
      </c>
      <c r="AG31" s="3">
        <f t="shared" si="20"/>
        <v>2.3774804118080906</v>
      </c>
      <c r="AH31" s="3">
        <f t="shared" si="26"/>
        <v>0.33319158839551544</v>
      </c>
      <c r="AI31" s="3">
        <f t="shared" si="27"/>
        <v>3.9968028886505635E-15</v>
      </c>
      <c r="AJ31" s="3">
        <f t="shared" si="28"/>
        <v>-3.467862416178269E-2</v>
      </c>
      <c r="AK31" s="3">
        <f t="shared" si="29"/>
        <v>3.2738074663361161</v>
      </c>
      <c r="AL31" s="3">
        <f t="shared" si="30"/>
        <v>2.2159111817265993</v>
      </c>
      <c r="AM31" s="3">
        <f t="shared" si="31"/>
        <v>3.2738074663361072</v>
      </c>
      <c r="AN31" s="1">
        <f t="shared" si="32"/>
        <v>0.7745966692414834</v>
      </c>
      <c r="AO31" s="1">
        <f t="shared" si="33"/>
        <v>0.7745966692414834</v>
      </c>
      <c r="AP31" s="1">
        <f t="shared" si="21"/>
        <v>2.1505046627378888</v>
      </c>
      <c r="AQ31" s="1">
        <f t="shared" si="22"/>
        <v>2.2857537716161382</v>
      </c>
      <c r="AR31" s="1">
        <f t="shared" si="23"/>
        <v>0.34572640365586538</v>
      </c>
      <c r="AS31" s="1">
        <f t="shared" si="24"/>
        <v>0</v>
      </c>
      <c r="AT31" s="1">
        <f t="shared" si="34"/>
        <v>1.5363947413452816E-2</v>
      </c>
      <c r="AU31" s="1">
        <f t="shared" si="35"/>
        <v>3.2738074663361072</v>
      </c>
      <c r="AV31" s="1">
        <f t="shared" si="36"/>
        <v>2.1658686101513416</v>
      </c>
      <c r="AW31" s="1">
        <f t="shared" si="37"/>
        <v>3.2738074663361072</v>
      </c>
    </row>
    <row r="32" spans="4:54" x14ac:dyDescent="0.25">
      <c r="D32">
        <f>Sheet1!S13</f>
        <v>0.5</v>
      </c>
      <c r="E32">
        <f>Sheet1!T13</f>
        <v>0.1052</v>
      </c>
      <c r="F32">
        <f>Sheet1!U13</f>
        <v>0.5</v>
      </c>
      <c r="G32">
        <f>Sheet1!V13</f>
        <v>0</v>
      </c>
      <c r="H32" s="1">
        <f t="shared" si="7"/>
        <v>3.872983346207417</v>
      </c>
      <c r="I32" s="1">
        <f t="shared" si="7"/>
        <v>0.81487569604204058</v>
      </c>
      <c r="J32" s="1">
        <f t="shared" si="7"/>
        <v>3.872983346207417</v>
      </c>
      <c r="K32" s="1">
        <f t="shared" si="7"/>
        <v>0</v>
      </c>
      <c r="L32">
        <f t="shared" si="8"/>
        <v>1.9364916731037085</v>
      </c>
      <c r="M32">
        <f>I32-(0.25*$K$38)+Sheet1!$B$17</f>
        <v>19.788541657052317</v>
      </c>
      <c r="N32">
        <f t="shared" si="9"/>
        <v>1.9364916731037085</v>
      </c>
      <c r="O32">
        <f>K32-(0.25*$K$38)+Sheet1!$B$17</f>
        <v>18.973665961010276</v>
      </c>
      <c r="P32" s="1">
        <f t="shared" si="10"/>
        <v>3.872983346207417</v>
      </c>
      <c r="Q32" s="1">
        <f t="shared" si="10"/>
        <v>0.81487569604204058</v>
      </c>
      <c r="R32" s="1">
        <f t="shared" si="10"/>
        <v>3.872983346207417</v>
      </c>
      <c r="S32" s="1">
        <f t="shared" si="10"/>
        <v>0</v>
      </c>
      <c r="T32">
        <f t="shared" si="11"/>
        <v>1.9364916731037085</v>
      </c>
      <c r="U32">
        <f>Q32-(0.25*$S$38)+Sheet1!$B$17</f>
        <v>19.788541657052317</v>
      </c>
      <c r="V32">
        <f t="shared" si="12"/>
        <v>1.9364916731037085</v>
      </c>
      <c r="W32">
        <f>S32-(0.25*$S$38)+Sheet1!$B$17</f>
        <v>18.973665961010276</v>
      </c>
      <c r="X32" s="4">
        <f t="shared" si="13"/>
        <v>1.9364916731037085</v>
      </c>
      <c r="Y32" s="4">
        <f t="shared" si="14"/>
        <v>19.661436822371918</v>
      </c>
      <c r="Z32" s="4">
        <f t="shared" si="15"/>
        <v>2.23925947419511</v>
      </c>
      <c r="AA32">
        <f t="shared" si="16"/>
        <v>1.9364916731037085</v>
      </c>
      <c r="AB32">
        <f t="shared" si="17"/>
        <v>18.851795197765028</v>
      </c>
      <c r="AC32">
        <f t="shared" si="18"/>
        <v>2.1470486304514442</v>
      </c>
      <c r="AD32" s="3">
        <f t="shared" si="19"/>
        <v>0.77759012339406697</v>
      </c>
      <c r="AE32" s="3">
        <f t="shared" si="25"/>
        <v>0.77759012339406675</v>
      </c>
      <c r="AF32" s="3">
        <f t="shared" si="6"/>
        <v>2.2428639351890456</v>
      </c>
      <c r="AG32" s="3">
        <f t="shared" si="20"/>
        <v>2.3695407501911845</v>
      </c>
      <c r="AH32" s="3">
        <f t="shared" si="26"/>
        <v>0.3362412107507684</v>
      </c>
      <c r="AI32" s="3">
        <f t="shared" si="27"/>
        <v>3.9968028886505635E-15</v>
      </c>
      <c r="AJ32" s="3">
        <f t="shared" si="28"/>
        <v>-3.0815688812110942E-2</v>
      </c>
      <c r="AK32" s="3">
        <f t="shared" si="29"/>
        <v>4.051387994468401</v>
      </c>
      <c r="AL32" s="3">
        <f t="shared" si="30"/>
        <v>2.2120482463769346</v>
      </c>
      <c r="AM32" s="3">
        <f t="shared" si="31"/>
        <v>4.0513879944683922</v>
      </c>
      <c r="AN32" s="1">
        <f t="shared" si="32"/>
        <v>0.7745966692414834</v>
      </c>
      <c r="AO32" s="1">
        <f t="shared" si="33"/>
        <v>0.7745966692414834</v>
      </c>
      <c r="AP32" s="1">
        <f t="shared" si="21"/>
        <v>2.1505046627378888</v>
      </c>
      <c r="AQ32" s="1">
        <f t="shared" si="22"/>
        <v>2.2857537716161382</v>
      </c>
      <c r="AR32" s="1">
        <f t="shared" si="23"/>
        <v>0.34572640365586538</v>
      </c>
      <c r="AS32" s="1">
        <f t="shared" si="24"/>
        <v>0</v>
      </c>
      <c r="AT32" s="1">
        <f t="shared" si="34"/>
        <v>1.5363947413452816E-2</v>
      </c>
      <c r="AU32" s="1">
        <f t="shared" si="35"/>
        <v>4.0513879944683922</v>
      </c>
      <c r="AV32" s="1">
        <f t="shared" si="36"/>
        <v>2.1658686101513416</v>
      </c>
      <c r="AW32" s="1">
        <f t="shared" si="37"/>
        <v>4.0513879944683922</v>
      </c>
    </row>
    <row r="33" spans="4:49" x14ac:dyDescent="0.25">
      <c r="D33">
        <f>Sheet1!S14</f>
        <v>0.6</v>
      </c>
      <c r="E33">
        <f>Sheet1!T14</f>
        <v>9.1499999999999998E-2</v>
      </c>
      <c r="F33">
        <f>Sheet1!U14</f>
        <v>0.6</v>
      </c>
      <c r="G33">
        <f>Sheet1!V14</f>
        <v>0</v>
      </c>
      <c r="H33" s="1">
        <f t="shared" si="7"/>
        <v>4.6475800154489004</v>
      </c>
      <c r="I33" s="1">
        <f t="shared" si="7"/>
        <v>0.70875595235595734</v>
      </c>
      <c r="J33" s="1">
        <f t="shared" si="7"/>
        <v>4.6475800154489004</v>
      </c>
      <c r="K33" s="1">
        <f t="shared" si="7"/>
        <v>0</v>
      </c>
      <c r="L33">
        <f t="shared" si="8"/>
        <v>2.7110883423451919</v>
      </c>
      <c r="M33">
        <f>I33-(0.25*$K$38)+Sheet1!$B$17</f>
        <v>19.682421913366234</v>
      </c>
      <c r="N33">
        <f t="shared" si="9"/>
        <v>2.7110883423451919</v>
      </c>
      <c r="O33">
        <f>K33-(0.25*$K$38)+Sheet1!$B$17</f>
        <v>18.973665961010276</v>
      </c>
      <c r="P33" s="1">
        <f t="shared" si="10"/>
        <v>4.6475800154489004</v>
      </c>
      <c r="Q33" s="1">
        <f t="shared" si="10"/>
        <v>0.70875595235595734</v>
      </c>
      <c r="R33" s="1">
        <f t="shared" si="10"/>
        <v>4.6475800154489004</v>
      </c>
      <c r="S33" s="1">
        <f t="shared" si="10"/>
        <v>0</v>
      </c>
      <c r="T33">
        <f t="shared" si="11"/>
        <v>2.7110883423451919</v>
      </c>
      <c r="U33">
        <f>Q33-(0.25*$S$38)+Sheet1!$B$17</f>
        <v>19.682421913366234</v>
      </c>
      <c r="V33">
        <f t="shared" si="12"/>
        <v>2.7110883423451919</v>
      </c>
      <c r="W33">
        <f>S33-(0.25*$S$38)+Sheet1!$B$17</f>
        <v>18.973665961010276</v>
      </c>
      <c r="X33" s="4">
        <f t="shared" si="13"/>
        <v>2.7110883423451919</v>
      </c>
      <c r="Y33" s="4">
        <f t="shared" si="14"/>
        <v>19.555998702057142</v>
      </c>
      <c r="Z33" s="4">
        <f t="shared" si="15"/>
        <v>2.2272510278140434</v>
      </c>
      <c r="AA33">
        <f t="shared" si="16"/>
        <v>2.7110883423451919</v>
      </c>
      <c r="AB33">
        <f t="shared" si="17"/>
        <v>18.851795197765028</v>
      </c>
      <c r="AC33">
        <f t="shared" si="18"/>
        <v>2.1470486304514442</v>
      </c>
      <c r="AD33" s="3">
        <f t="shared" si="19"/>
        <v>0.78183207915766684</v>
      </c>
      <c r="AE33" s="3">
        <f t="shared" si="25"/>
        <v>0.78183207915766673</v>
      </c>
      <c r="AF33" s="3">
        <f t="shared" si="6"/>
        <v>2.230836159213943</v>
      </c>
      <c r="AG33" s="3">
        <f t="shared" si="20"/>
        <v>2.3581383016766155</v>
      </c>
      <c r="AH33" s="3">
        <f t="shared" si="26"/>
        <v>0.34026844213172169</v>
      </c>
      <c r="AI33" s="3">
        <f t="shared" si="27"/>
        <v>4.6629367034256575E-15</v>
      </c>
      <c r="AJ33" s="3">
        <f t="shared" si="28"/>
        <v>-2.4801800824556075E-2</v>
      </c>
      <c r="AK33" s="3">
        <f t="shared" si="29"/>
        <v>4.8331969437336753</v>
      </c>
      <c r="AL33" s="3">
        <f t="shared" si="30"/>
        <v>2.2060343583893869</v>
      </c>
      <c r="AM33" s="3">
        <f t="shared" si="31"/>
        <v>4.8331969437336664</v>
      </c>
      <c r="AN33" s="1">
        <f t="shared" si="32"/>
        <v>0.7745966692414834</v>
      </c>
      <c r="AO33" s="1">
        <f t="shared" si="33"/>
        <v>0.7745966692414834</v>
      </c>
      <c r="AP33" s="1">
        <f t="shared" si="21"/>
        <v>2.1505046627378888</v>
      </c>
      <c r="AQ33" s="1">
        <f t="shared" si="22"/>
        <v>2.2857537716161382</v>
      </c>
      <c r="AR33" s="1">
        <f t="shared" si="23"/>
        <v>0.34572640365586538</v>
      </c>
      <c r="AS33" s="1">
        <f t="shared" si="24"/>
        <v>0</v>
      </c>
      <c r="AT33" s="1">
        <f t="shared" si="34"/>
        <v>1.5363947413452816E-2</v>
      </c>
      <c r="AU33" s="1">
        <f t="shared" si="35"/>
        <v>4.8331969437336664</v>
      </c>
      <c r="AV33" s="1">
        <f t="shared" si="36"/>
        <v>2.1658686101513416</v>
      </c>
      <c r="AW33" s="1">
        <f t="shared" si="37"/>
        <v>4.8331969437336664</v>
      </c>
    </row>
    <row r="34" spans="4:49" x14ac:dyDescent="0.25">
      <c r="D34">
        <f>Sheet1!S15</f>
        <v>0.7</v>
      </c>
      <c r="E34">
        <f>Sheet1!T15</f>
        <v>7.350000000000001E-2</v>
      </c>
      <c r="F34">
        <f>Sheet1!U15</f>
        <v>0.7</v>
      </c>
      <c r="G34">
        <f>Sheet1!V15</f>
        <v>0</v>
      </c>
      <c r="H34" s="1">
        <f t="shared" si="7"/>
        <v>5.4221766846903838</v>
      </c>
      <c r="I34" s="1">
        <f t="shared" si="7"/>
        <v>0.56932855189249043</v>
      </c>
      <c r="J34" s="1">
        <f t="shared" si="7"/>
        <v>5.4221766846903838</v>
      </c>
      <c r="K34" s="1">
        <f t="shared" si="7"/>
        <v>0</v>
      </c>
      <c r="L34">
        <f t="shared" si="8"/>
        <v>3.4856850115866753</v>
      </c>
      <c r="M34">
        <f>I34-(0.25*$K$38)+Sheet1!$B$17</f>
        <v>19.542994512902766</v>
      </c>
      <c r="N34">
        <f t="shared" si="9"/>
        <v>3.4856850115866753</v>
      </c>
      <c r="O34">
        <f>K34-(0.25*$K$38)+Sheet1!$B$17</f>
        <v>18.973665961010276</v>
      </c>
      <c r="P34" s="1">
        <f t="shared" si="10"/>
        <v>5.4221766846903838</v>
      </c>
      <c r="Q34" s="1">
        <f t="shared" si="10"/>
        <v>0.56932855189249043</v>
      </c>
      <c r="R34" s="1">
        <f t="shared" si="10"/>
        <v>5.4221766846903838</v>
      </c>
      <c r="S34" s="1">
        <f t="shared" si="10"/>
        <v>0</v>
      </c>
      <c r="T34">
        <f t="shared" si="11"/>
        <v>3.4856850115866753</v>
      </c>
      <c r="U34">
        <f>Q34-(0.25*$S$38)+Sheet1!$B$17</f>
        <v>19.542994512902766</v>
      </c>
      <c r="V34">
        <f t="shared" si="12"/>
        <v>3.4856850115866753</v>
      </c>
      <c r="W34">
        <f>S34-(0.25*$S$38)+Sheet1!$B$17</f>
        <v>18.973665961010276</v>
      </c>
      <c r="X34" s="4">
        <f t="shared" si="13"/>
        <v>3.4856850115866753</v>
      </c>
      <c r="Y34" s="4">
        <f t="shared" si="14"/>
        <v>19.417466865147219</v>
      </c>
      <c r="Z34" s="4">
        <f t="shared" si="15"/>
        <v>2.2114735070214007</v>
      </c>
      <c r="AA34">
        <f t="shared" si="16"/>
        <v>3.4856850115866753</v>
      </c>
      <c r="AB34">
        <f t="shared" si="17"/>
        <v>18.851795197765028</v>
      </c>
      <c r="AC34">
        <f t="shared" si="18"/>
        <v>2.1470486304514442</v>
      </c>
      <c r="AD34" s="3">
        <f t="shared" si="19"/>
        <v>0.78704510671244243</v>
      </c>
      <c r="AE34" s="3">
        <f t="shared" si="25"/>
        <v>0.78704510671244277</v>
      </c>
      <c r="AF34" s="3">
        <f t="shared" si="6"/>
        <v>2.2150332418743908</v>
      </c>
      <c r="AG34" s="3">
        <f t="shared" si="20"/>
        <v>2.3435384096969334</v>
      </c>
      <c r="AH34" s="3">
        <f t="shared" si="26"/>
        <v>0.34470121348652327</v>
      </c>
      <c r="AI34" s="3">
        <f t="shared" si="27"/>
        <v>4.2188474935755949E-15</v>
      </c>
      <c r="AJ34" s="3">
        <f t="shared" si="28"/>
        <v>-1.6900342154777093E-2</v>
      </c>
      <c r="AK34" s="3">
        <f t="shared" si="29"/>
        <v>5.6202023865044941</v>
      </c>
      <c r="AL34" s="3">
        <f t="shared" si="30"/>
        <v>2.1981328997196137</v>
      </c>
      <c r="AM34" s="3">
        <f t="shared" si="31"/>
        <v>5.6202023865044834</v>
      </c>
      <c r="AN34" s="1">
        <f t="shared" si="32"/>
        <v>0.7745966692414834</v>
      </c>
      <c r="AO34" s="1">
        <f t="shared" si="33"/>
        <v>0.7745966692414834</v>
      </c>
      <c r="AP34" s="1">
        <f t="shared" si="21"/>
        <v>2.1505046627378888</v>
      </c>
      <c r="AQ34" s="1">
        <f t="shared" si="22"/>
        <v>2.2857537716161387</v>
      </c>
      <c r="AR34" s="1">
        <f t="shared" si="23"/>
        <v>0.34572640365586538</v>
      </c>
      <c r="AS34" s="1">
        <f t="shared" si="24"/>
        <v>0</v>
      </c>
      <c r="AT34" s="1">
        <f t="shared" si="34"/>
        <v>1.5363947413452816E-2</v>
      </c>
      <c r="AU34" s="1">
        <f t="shared" si="35"/>
        <v>5.6202023865044834</v>
      </c>
      <c r="AV34" s="1">
        <f t="shared" si="36"/>
        <v>2.1658686101513416</v>
      </c>
      <c r="AW34" s="1">
        <f t="shared" si="37"/>
        <v>5.6202023865044834</v>
      </c>
    </row>
    <row r="35" spans="4:49" x14ac:dyDescent="0.25">
      <c r="D35">
        <f>Sheet1!S16</f>
        <v>0.8</v>
      </c>
      <c r="E35">
        <f>Sheet1!T16</f>
        <v>5.220000000000001E-2</v>
      </c>
      <c r="F35">
        <f>Sheet1!U16</f>
        <v>0.8</v>
      </c>
      <c r="G35">
        <f>Sheet1!V16</f>
        <v>0</v>
      </c>
      <c r="H35" s="1">
        <f t="shared" si="7"/>
        <v>6.1967733539318672</v>
      </c>
      <c r="I35" s="1">
        <f t="shared" si="7"/>
        <v>0.40433946134405441</v>
      </c>
      <c r="J35" s="1">
        <f t="shared" si="7"/>
        <v>6.1967733539318672</v>
      </c>
      <c r="K35" s="1">
        <f t="shared" si="7"/>
        <v>0</v>
      </c>
      <c r="L35">
        <f t="shared" si="8"/>
        <v>4.2602816808281592</v>
      </c>
      <c r="M35">
        <f>I35-(0.25*$K$38)+Sheet1!$B$17</f>
        <v>19.378005422354331</v>
      </c>
      <c r="N35">
        <f t="shared" si="9"/>
        <v>4.2602816808281592</v>
      </c>
      <c r="O35">
        <f>K35-(0.25*$K$38)+Sheet1!$B$17</f>
        <v>18.973665961010276</v>
      </c>
      <c r="P35" s="1">
        <f t="shared" si="10"/>
        <v>6.1967733539318672</v>
      </c>
      <c r="Q35" s="1">
        <f t="shared" si="10"/>
        <v>0.40433946134405441</v>
      </c>
      <c r="R35" s="1">
        <f t="shared" si="10"/>
        <v>6.1967733539318672</v>
      </c>
      <c r="S35" s="1">
        <f t="shared" si="10"/>
        <v>0</v>
      </c>
      <c r="T35">
        <f t="shared" si="11"/>
        <v>4.2602816808281592</v>
      </c>
      <c r="U35">
        <f>Q35-(0.25*$S$38)+Sheet1!$B$17</f>
        <v>19.378005422354331</v>
      </c>
      <c r="V35">
        <f t="shared" si="12"/>
        <v>4.2602816808281592</v>
      </c>
      <c r="W35">
        <f>S35-(0.25*$S$38)+Sheet1!$B$17</f>
        <v>18.973665961010276</v>
      </c>
      <c r="X35" s="4">
        <f t="shared" si="13"/>
        <v>4.2602816808281592</v>
      </c>
      <c r="Y35" s="4">
        <f t="shared" si="14"/>
        <v>19.253537524803807</v>
      </c>
      <c r="Z35" s="4">
        <f t="shared" si="15"/>
        <v>2.1928034407501076</v>
      </c>
      <c r="AA35">
        <f t="shared" si="16"/>
        <v>4.2602816808281592</v>
      </c>
      <c r="AB35">
        <f t="shared" si="17"/>
        <v>18.851795197765028</v>
      </c>
      <c r="AC35">
        <f t="shared" si="18"/>
        <v>2.1470486304514442</v>
      </c>
      <c r="AD35" s="3">
        <f t="shared" si="19"/>
        <v>0.79197310560397272</v>
      </c>
      <c r="AE35" s="3">
        <f t="shared" si="25"/>
        <v>0.79197310560397216</v>
      </c>
      <c r="AF35" s="3">
        <f t="shared" si="6"/>
        <v>2.1963331230225887</v>
      </c>
      <c r="AG35" s="3">
        <f t="shared" si="20"/>
        <v>2.3264466416733089</v>
      </c>
      <c r="AH35" s="3">
        <f t="shared" si="26"/>
        <v>0.34961174694560326</v>
      </c>
      <c r="AI35" s="3">
        <f t="shared" si="27"/>
        <v>4.4408920985006262E-15</v>
      </c>
      <c r="AJ35" s="3">
        <f t="shared" si="28"/>
        <v>-7.5502827288720376E-3</v>
      </c>
      <c r="AK35" s="3">
        <f t="shared" si="29"/>
        <v>6.4121202966370605</v>
      </c>
      <c r="AL35" s="3">
        <f t="shared" si="30"/>
        <v>2.1887828402937166</v>
      </c>
      <c r="AM35" s="3">
        <f t="shared" si="31"/>
        <v>6.4121202966370516</v>
      </c>
      <c r="AN35" s="1">
        <f t="shared" si="32"/>
        <v>0.77459666924148385</v>
      </c>
      <c r="AO35" s="1">
        <f t="shared" si="33"/>
        <v>0.77459666924148385</v>
      </c>
      <c r="AP35" s="1">
        <f t="shared" si="21"/>
        <v>2.1505046627378888</v>
      </c>
      <c r="AQ35" s="1">
        <f t="shared" si="22"/>
        <v>2.2857537716161387</v>
      </c>
      <c r="AR35" s="1">
        <f t="shared" si="23"/>
        <v>0.34572640365586538</v>
      </c>
      <c r="AS35" s="1">
        <f t="shared" si="24"/>
        <v>0</v>
      </c>
      <c r="AT35" s="1">
        <f t="shared" si="34"/>
        <v>1.5363947413453261E-2</v>
      </c>
      <c r="AU35" s="1">
        <f t="shared" si="35"/>
        <v>6.4121202966370516</v>
      </c>
      <c r="AV35" s="1">
        <f t="shared" si="36"/>
        <v>2.165868610151342</v>
      </c>
      <c r="AW35" s="1">
        <f t="shared" si="37"/>
        <v>6.4121202966370516</v>
      </c>
    </row>
    <row r="36" spans="4:49" x14ac:dyDescent="0.25">
      <c r="D36">
        <f>Sheet1!S17</f>
        <v>0.90000000000000013</v>
      </c>
      <c r="E36">
        <f>Sheet1!T17</f>
        <v>2.8000000000000001E-2</v>
      </c>
      <c r="F36">
        <f>Sheet1!U17</f>
        <v>0.90000000000000013</v>
      </c>
      <c r="G36">
        <f>Sheet1!V17</f>
        <v>0</v>
      </c>
      <c r="H36" s="1">
        <f t="shared" si="7"/>
        <v>6.9713700231733515</v>
      </c>
      <c r="I36" s="1">
        <f t="shared" si="7"/>
        <v>0.21688706738761535</v>
      </c>
      <c r="J36" s="1">
        <f t="shared" si="7"/>
        <v>6.9713700231733515</v>
      </c>
      <c r="K36" s="1">
        <f t="shared" si="7"/>
        <v>0</v>
      </c>
      <c r="L36">
        <f t="shared" si="8"/>
        <v>5.0348783500696435</v>
      </c>
      <c r="M36">
        <f>I36-(0.25*$K$38)+Sheet1!$B$17</f>
        <v>19.190553028397893</v>
      </c>
      <c r="N36">
        <f t="shared" si="9"/>
        <v>5.0348783500696435</v>
      </c>
      <c r="O36">
        <f>K36-(0.25*$K$38)+Sheet1!$B$17</f>
        <v>18.973665961010276</v>
      </c>
      <c r="P36" s="1">
        <f t="shared" si="10"/>
        <v>6.9713700231733515</v>
      </c>
      <c r="Q36" s="1">
        <f t="shared" si="10"/>
        <v>0.21688706738761535</v>
      </c>
      <c r="R36" s="1">
        <f t="shared" si="10"/>
        <v>6.9713700231733515</v>
      </c>
      <c r="S36" s="1">
        <f t="shared" si="10"/>
        <v>0</v>
      </c>
      <c r="T36">
        <f t="shared" si="11"/>
        <v>5.0348783500696435</v>
      </c>
      <c r="U36">
        <f>Q36-(0.25*$S$38)+Sheet1!$B$17</f>
        <v>19.190553028397893</v>
      </c>
      <c r="V36">
        <f t="shared" si="12"/>
        <v>5.0348783500696435</v>
      </c>
      <c r="W36">
        <f>S36-(0.25*$S$38)+Sheet1!$B$17</f>
        <v>18.973665961010276</v>
      </c>
      <c r="X36" s="4">
        <f t="shared" si="13"/>
        <v>5.0348783500696435</v>
      </c>
      <c r="Y36" s="4">
        <f t="shared" si="14"/>
        <v>19.06728916629158</v>
      </c>
      <c r="Z36" s="4">
        <f t="shared" si="15"/>
        <v>2.1715914405733328</v>
      </c>
      <c r="AA36">
        <f t="shared" si="16"/>
        <v>5.0348783500696435</v>
      </c>
      <c r="AB36">
        <f t="shared" si="17"/>
        <v>18.851795197765028</v>
      </c>
      <c r="AC36">
        <f t="shared" si="18"/>
        <v>2.1470486304514442</v>
      </c>
      <c r="AD36" s="3">
        <f t="shared" si="19"/>
        <v>0.79695570767766011</v>
      </c>
      <c r="AE36" s="3">
        <f t="shared" si="25"/>
        <v>0.79695570767766066</v>
      </c>
      <c r="AF36" s="3">
        <f t="shared" si="6"/>
        <v>2.1750869785994138</v>
      </c>
      <c r="AG36" s="3">
        <f t="shared" si="20"/>
        <v>2.2059656078216796</v>
      </c>
      <c r="AH36" s="3">
        <f t="shared" si="26"/>
        <v>0.18248691937250494</v>
      </c>
      <c r="AI36" s="3">
        <f t="shared" si="27"/>
        <v>4.8849813083506888E-15</v>
      </c>
      <c r="AJ36" s="3">
        <f t="shared" si="28"/>
        <v>3.0727894827187185E-3</v>
      </c>
      <c r="AK36" s="3">
        <f t="shared" si="29"/>
        <v>7.2090052007084005</v>
      </c>
      <c r="AL36" s="3">
        <f t="shared" si="30"/>
        <v>2.1781597680821325</v>
      </c>
      <c r="AM36" s="3">
        <f t="shared" si="31"/>
        <v>7.2090052007083907</v>
      </c>
      <c r="AN36" s="1">
        <f t="shared" si="32"/>
        <v>0.77459666924148429</v>
      </c>
      <c r="AO36" s="1">
        <f t="shared" si="33"/>
        <v>0.77459666924148429</v>
      </c>
      <c r="AP36" s="1">
        <f t="shared" si="21"/>
        <v>2.1505046627378888</v>
      </c>
      <c r="AQ36" s="1">
        <f t="shared" si="22"/>
        <v>2.1851018979574843</v>
      </c>
      <c r="AR36" s="1">
        <f t="shared" si="23"/>
        <v>0.17818639540224668</v>
      </c>
      <c r="AS36" s="1">
        <f t="shared" si="24"/>
        <v>0</v>
      </c>
      <c r="AT36" s="1">
        <f t="shared" si="34"/>
        <v>1.5363947413453705E-2</v>
      </c>
      <c r="AU36" s="1">
        <f t="shared" si="35"/>
        <v>7.2090052007083907</v>
      </c>
      <c r="AV36" s="1">
        <f t="shared" si="36"/>
        <v>2.1658686101513425</v>
      </c>
      <c r="AW36" s="1">
        <f t="shared" si="37"/>
        <v>7.2090052007083907</v>
      </c>
    </row>
    <row r="37" spans="4:49" x14ac:dyDescent="0.25">
      <c r="D37">
        <f>Sheet1!S18</f>
        <v>0.95</v>
      </c>
      <c r="E37">
        <f>Sheet1!T18</f>
        <v>1.49E-2</v>
      </c>
      <c r="F37">
        <f>Sheet1!U18</f>
        <v>0.95</v>
      </c>
      <c r="G37">
        <f>Sheet1!V18</f>
        <v>0</v>
      </c>
      <c r="H37" s="1">
        <f t="shared" si="7"/>
        <v>7.3586683577940919</v>
      </c>
      <c r="I37" s="1">
        <f t="shared" si="7"/>
        <v>0.11541490371698103</v>
      </c>
      <c r="J37" s="1">
        <f t="shared" si="7"/>
        <v>7.3586683577940919</v>
      </c>
      <c r="K37" s="1">
        <f t="shared" si="7"/>
        <v>0</v>
      </c>
      <c r="L37">
        <f t="shared" si="8"/>
        <v>5.4221766846903829</v>
      </c>
      <c r="M37">
        <f>I37-(0.25*$K$38)+Sheet1!$B$17</f>
        <v>19.089080864727258</v>
      </c>
      <c r="N37">
        <f t="shared" si="9"/>
        <v>5.4221766846903829</v>
      </c>
      <c r="O37">
        <f>K37-(0.25*$K$38)+Sheet1!$B$17</f>
        <v>18.973665961010276</v>
      </c>
      <c r="P37" s="1">
        <f t="shared" si="10"/>
        <v>7.3586683577940919</v>
      </c>
      <c r="Q37" s="1">
        <f t="shared" si="10"/>
        <v>0.11541490371698103</v>
      </c>
      <c r="R37" s="1">
        <f t="shared" si="10"/>
        <v>7.3586683577940919</v>
      </c>
      <c r="S37" s="1">
        <f t="shared" si="10"/>
        <v>0</v>
      </c>
      <c r="T37">
        <f t="shared" si="11"/>
        <v>5.4221766846903829</v>
      </c>
      <c r="U37">
        <f>Q37-(0.25*$S$38)+Sheet1!$B$17</f>
        <v>19.089080864727258</v>
      </c>
      <c r="V37">
        <f t="shared" si="12"/>
        <v>5.4221766846903829</v>
      </c>
      <c r="W37">
        <f>S37-(0.25*$S$38)+Sheet1!$B$17</f>
        <v>18.973665961010276</v>
      </c>
      <c r="X37" s="4">
        <f t="shared" si="13"/>
        <v>5.4221766846903829</v>
      </c>
      <c r="Y37" s="4">
        <f t="shared" si="14"/>
        <v>18.9664687738738</v>
      </c>
      <c r="Z37" s="4">
        <f t="shared" si="15"/>
        <v>2.1601089115520207</v>
      </c>
      <c r="AA37">
        <f t="shared" si="16"/>
        <v>5.4221766846903829</v>
      </c>
      <c r="AB37">
        <f t="shared" si="17"/>
        <v>18.851795197765028</v>
      </c>
      <c r="AC37">
        <f t="shared" si="18"/>
        <v>2.1470486304514442</v>
      </c>
      <c r="AD37" s="3">
        <f t="shared" si="19"/>
        <v>0.40037057833961631</v>
      </c>
      <c r="AE37" s="3">
        <f t="shared" si="25"/>
        <v>0.40037057833961592</v>
      </c>
      <c r="AF37" s="3">
        <f t="shared" si="6"/>
        <v>2.1635859665356292</v>
      </c>
      <c r="AG37" s="3">
        <f t="shared" si="20"/>
        <v>2.194616710790644</v>
      </c>
      <c r="AH37" s="3">
        <f t="shared" si="26"/>
        <v>0.18399715143768036</v>
      </c>
      <c r="AI37" s="3">
        <f t="shared" si="27"/>
        <v>3.5527136788005009E-15</v>
      </c>
      <c r="AJ37" s="3">
        <f t="shared" si="28"/>
        <v>8.8232955146128056E-3</v>
      </c>
      <c r="AK37" s="3">
        <f t="shared" si="29"/>
        <v>7.6093344797779885</v>
      </c>
      <c r="AL37" s="3">
        <f t="shared" si="30"/>
        <v>2.172409262050242</v>
      </c>
      <c r="AM37" s="3">
        <f t="shared" si="31"/>
        <v>7.6093344797779778</v>
      </c>
      <c r="AN37" s="1">
        <f t="shared" si="32"/>
        <v>0.38729833462073948</v>
      </c>
      <c r="AO37" s="1">
        <f t="shared" si="33"/>
        <v>0.38729833462073948</v>
      </c>
      <c r="AP37" s="1">
        <f t="shared" si="21"/>
        <v>2.1505046627378888</v>
      </c>
      <c r="AQ37" s="1">
        <f t="shared" si="22"/>
        <v>2.1851018979574848</v>
      </c>
      <c r="AR37" s="1">
        <f t="shared" si="23"/>
        <v>0.17818639540224868</v>
      </c>
      <c r="AS37" s="1">
        <f t="shared" si="24"/>
        <v>0</v>
      </c>
      <c r="AT37" s="1">
        <f t="shared" si="34"/>
        <v>1.5363947413454149E-2</v>
      </c>
      <c r="AU37" s="1">
        <f t="shared" si="35"/>
        <v>7.6093344797779778</v>
      </c>
      <c r="AV37" s="1">
        <f t="shared" si="36"/>
        <v>2.1658686101513429</v>
      </c>
      <c r="AW37" s="1">
        <f t="shared" si="37"/>
        <v>7.6093344797779778</v>
      </c>
    </row>
    <row r="38" spans="4:49" x14ac:dyDescent="0.25">
      <c r="D38">
        <f>Sheet1!S19</f>
        <v>1</v>
      </c>
      <c r="E38">
        <f>Sheet1!T19</f>
        <v>1.1999999999999999E-3</v>
      </c>
      <c r="F38">
        <f>Sheet1!U19</f>
        <v>1</v>
      </c>
      <c r="G38">
        <f>Sheet1!V19</f>
        <v>0</v>
      </c>
      <c r="H38" s="1">
        <f t="shared" si="7"/>
        <v>7.745966692414834</v>
      </c>
      <c r="I38" s="1">
        <f t="shared" si="7"/>
        <v>9.2951600308978002E-3</v>
      </c>
      <c r="J38" s="1">
        <f t="shared" si="7"/>
        <v>7.745966692414834</v>
      </c>
      <c r="K38" s="1">
        <f t="shared" si="7"/>
        <v>0</v>
      </c>
      <c r="L38">
        <f t="shared" si="8"/>
        <v>5.809475019311126</v>
      </c>
      <c r="M38">
        <f>I38-(0.25*$K$38)+Sheet1!$B$17</f>
        <v>18.982961121041175</v>
      </c>
      <c r="N38">
        <f t="shared" si="9"/>
        <v>5.809475019311126</v>
      </c>
      <c r="O38">
        <f>K38-(0.25*$K$38)+Sheet1!$B$17</f>
        <v>18.973665961010276</v>
      </c>
      <c r="P38" s="1">
        <f t="shared" si="10"/>
        <v>7.745966692414834</v>
      </c>
      <c r="Q38" s="1">
        <f t="shared" si="10"/>
        <v>9.2951600308978002E-3</v>
      </c>
      <c r="R38" s="1">
        <f t="shared" si="10"/>
        <v>7.745966692414834</v>
      </c>
      <c r="S38" s="1">
        <f t="shared" si="10"/>
        <v>0</v>
      </c>
      <c r="T38">
        <f t="shared" si="11"/>
        <v>5.809475019311126</v>
      </c>
      <c r="U38">
        <f>Q38-(0.25*$S$38)+Sheet1!$B$17</f>
        <v>18.982961121041175</v>
      </c>
      <c r="V38">
        <f t="shared" si="12"/>
        <v>5.809475019311126</v>
      </c>
      <c r="W38">
        <f>S38-(0.25*$S$38)+Sheet1!$B$17</f>
        <v>18.973665961010276</v>
      </c>
      <c r="X38" s="4">
        <f t="shared" si="13"/>
        <v>5.809475019311126</v>
      </c>
      <c r="Y38" s="4">
        <f t="shared" si="14"/>
        <v>18.861030653559023</v>
      </c>
      <c r="Z38" s="4">
        <f t="shared" si="15"/>
        <v>2.1481004651709537</v>
      </c>
      <c r="AA38">
        <f t="shared" si="16"/>
        <v>5.809475019311126</v>
      </c>
      <c r="AB38">
        <f t="shared" si="17"/>
        <v>18.851795197765028</v>
      </c>
      <c r="AC38">
        <f t="shared" si="18"/>
        <v>2.1470486304514442</v>
      </c>
      <c r="AD38" s="3">
        <f t="shared" si="19"/>
        <v>0.40157365451433846</v>
      </c>
      <c r="AE38" s="3">
        <f t="shared" si="25"/>
        <v>0.40157365451433813</v>
      </c>
      <c r="AF38" s="3">
        <f t="shared" si="6"/>
        <v>2.1515581905605257</v>
      </c>
      <c r="AG38" s="3"/>
      <c r="AH38" s="3"/>
      <c r="AI38" s="3"/>
      <c r="AJ38" s="3">
        <f t="shared" si="28"/>
        <v>1.483718350216634E-2</v>
      </c>
      <c r="AK38" s="3">
        <f t="shared" si="29"/>
        <v>8.0108631003659525</v>
      </c>
      <c r="AL38" s="3">
        <f t="shared" si="30"/>
        <v>2.166395374062692</v>
      </c>
      <c r="AM38" s="3">
        <f t="shared" si="31"/>
        <v>8.0108631003659454</v>
      </c>
      <c r="AN38" s="1">
        <f t="shared" si="32"/>
        <v>0.38729833462074303</v>
      </c>
      <c r="AO38" s="1">
        <f t="shared" si="33"/>
        <v>0.38729833462074303</v>
      </c>
      <c r="AP38" s="1">
        <f t="shared" si="21"/>
        <v>2.1505046627378888</v>
      </c>
      <c r="AQ38" s="1"/>
      <c r="AR38" s="1"/>
      <c r="AS38" s="1"/>
      <c r="AT38" s="1">
        <f t="shared" si="34"/>
        <v>1.5363947413454149E-2</v>
      </c>
      <c r="AU38" s="1">
        <f t="shared" si="35"/>
        <v>8.0108631003659454</v>
      </c>
      <c r="AV38" s="1">
        <f t="shared" si="36"/>
        <v>2.1658686101513429</v>
      </c>
      <c r="AW38" s="1">
        <f t="shared" si="37"/>
        <v>8.0108631003659454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"/>
  <sheetViews>
    <sheetView tabSelected="1" workbookViewId="0">
      <selection activeCell="AV14" sqref="AV14"/>
    </sheetView>
  </sheetViews>
  <sheetFormatPr defaultRowHeight="15" x14ac:dyDescent="0.25"/>
  <cols>
    <col min="34" max="34" width="11" bestFit="1" customWidth="1"/>
    <col min="35" max="35" width="11" customWidth="1"/>
  </cols>
  <sheetData>
    <row r="1" spans="1:23" x14ac:dyDescent="0.25">
      <c r="H1" t="s">
        <v>49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t="s">
        <v>77</v>
      </c>
      <c r="B2">
        <f>Sheet1!I25</f>
        <v>7.745966692414834</v>
      </c>
      <c r="D2" s="1">
        <f>Sheet1!O3</f>
        <v>0</v>
      </c>
      <c r="E2" s="1">
        <f>Sheet1!P3</f>
        <v>3.5000000000000003E-2</v>
      </c>
      <c r="F2" s="1">
        <f>Sheet1!Q3</f>
        <v>0</v>
      </c>
      <c r="G2" s="1">
        <f>Sheet1!R3</f>
        <v>3.5000000000000003E-2</v>
      </c>
      <c r="H2">
        <f>D2*$B$2</f>
        <v>0</v>
      </c>
      <c r="I2">
        <f t="shared" ref="I2:K17" si="0">E2*$B$2</f>
        <v>0.2711088342345192</v>
      </c>
      <c r="J2">
        <f t="shared" si="0"/>
        <v>0</v>
      </c>
      <c r="K2">
        <f t="shared" si="0"/>
        <v>0.2711088342345192</v>
      </c>
      <c r="L2" s="1">
        <f t="shared" ref="L2:L18" si="1">D2*$B$4</f>
        <v>0</v>
      </c>
      <c r="M2" s="1">
        <f t="shared" ref="M2:M18" si="2">E2*$B$4</f>
        <v>0.2711088342345192</v>
      </c>
      <c r="N2" s="1">
        <f t="shared" ref="N2:N18" si="3">F2*$B$4</f>
        <v>0</v>
      </c>
      <c r="O2" s="1">
        <f t="shared" ref="O2:O18" si="4">G2*$B$4</f>
        <v>0.2711088342345192</v>
      </c>
      <c r="P2" s="1"/>
      <c r="Q2" s="1"/>
      <c r="R2" s="1"/>
      <c r="S2" s="1"/>
      <c r="T2" s="1"/>
      <c r="U2" s="1"/>
      <c r="V2" s="1"/>
      <c r="W2" s="1"/>
    </row>
    <row r="3" spans="1:23" x14ac:dyDescent="0.25">
      <c r="A3" t="s">
        <v>75</v>
      </c>
      <c r="B3">
        <f>Sheet1!H25</f>
        <v>7.745966692414834</v>
      </c>
      <c r="D3" s="1">
        <f>Sheet1!O4</f>
        <v>1.2500000000000001E-2</v>
      </c>
      <c r="E3" s="1">
        <f>Sheet1!P4</f>
        <v>5.45E-2</v>
      </c>
      <c r="F3" s="1">
        <f>Sheet1!Q4</f>
        <v>1.2500000000000001E-2</v>
      </c>
      <c r="G3" s="1">
        <f>Sheet1!R4</f>
        <v>1.9300000000000001E-2</v>
      </c>
      <c r="H3">
        <f t="shared" ref="H3:K18" si="5">D3*$B$2</f>
        <v>9.6824583655185426E-2</v>
      </c>
      <c r="I3">
        <f t="shared" si="0"/>
        <v>0.42215518473660846</v>
      </c>
      <c r="J3">
        <f t="shared" si="0"/>
        <v>9.6824583655185426E-2</v>
      </c>
      <c r="K3">
        <f t="shared" si="0"/>
        <v>0.14949715716360631</v>
      </c>
      <c r="L3" s="1">
        <f t="shared" si="1"/>
        <v>9.6824583655185426E-2</v>
      </c>
      <c r="M3" s="1">
        <f t="shared" si="2"/>
        <v>0.42215518473660846</v>
      </c>
      <c r="N3" s="1">
        <f t="shared" si="3"/>
        <v>9.6824583655185426E-2</v>
      </c>
      <c r="O3" s="1">
        <f t="shared" si="4"/>
        <v>0.14949715716360631</v>
      </c>
      <c r="P3" s="1"/>
      <c r="Q3" s="1"/>
      <c r="R3" s="1"/>
      <c r="S3" s="1"/>
      <c r="T3" s="1"/>
      <c r="U3" s="1"/>
      <c r="V3" s="1"/>
      <c r="W3" s="1"/>
    </row>
    <row r="4" spans="1:23" x14ac:dyDescent="0.25">
      <c r="A4" t="s">
        <v>78</v>
      </c>
      <c r="B4">
        <f>(B2+B3)/2</f>
        <v>7.745966692414834</v>
      </c>
      <c r="D4" s="1">
        <f>Sheet1!O5</f>
        <v>2.5000000000000001E-2</v>
      </c>
      <c r="E4" s="1">
        <f>Sheet1!P5</f>
        <v>6.5000000000000002E-2</v>
      </c>
      <c r="F4" s="1">
        <f>Sheet1!Q5</f>
        <v>2.5000000000000001E-2</v>
      </c>
      <c r="G4" s="1">
        <f>Sheet1!R5</f>
        <v>1.4699999999999998E-2</v>
      </c>
      <c r="H4">
        <f t="shared" si="5"/>
        <v>0.19364916731037085</v>
      </c>
      <c r="I4">
        <f t="shared" si="0"/>
        <v>0.50348783500696426</v>
      </c>
      <c r="J4">
        <f t="shared" si="0"/>
        <v>0.19364916731037085</v>
      </c>
      <c r="K4">
        <f t="shared" si="0"/>
        <v>0.11386571037849805</v>
      </c>
      <c r="L4" s="1">
        <f t="shared" si="1"/>
        <v>0.19364916731037085</v>
      </c>
      <c r="M4" s="1">
        <f t="shared" si="2"/>
        <v>0.50348783500696426</v>
      </c>
      <c r="N4" s="1">
        <f t="shared" si="3"/>
        <v>0.19364916731037085</v>
      </c>
      <c r="O4" s="1">
        <f t="shared" si="4"/>
        <v>0.11386571037849805</v>
      </c>
      <c r="P4" s="1"/>
      <c r="Q4" s="1"/>
      <c r="R4" s="1"/>
      <c r="S4" s="1"/>
      <c r="T4" s="1"/>
      <c r="U4" s="1"/>
      <c r="V4" s="1"/>
      <c r="W4" s="1"/>
    </row>
    <row r="5" spans="1:23" x14ac:dyDescent="0.25">
      <c r="A5" t="s">
        <v>45</v>
      </c>
      <c r="B5">
        <f>Sheet1!B19/9</f>
        <v>0.11340230290662862</v>
      </c>
      <c r="D5" s="1">
        <f>Sheet1!O6</f>
        <v>0.05</v>
      </c>
      <c r="E5" s="1">
        <f>Sheet1!P6</f>
        <v>7.8999999999999987E-2</v>
      </c>
      <c r="F5" s="1">
        <f>Sheet1!Q6</f>
        <v>0.05</v>
      </c>
      <c r="G5" s="1">
        <f>Sheet1!R6</f>
        <v>9.2999999999999992E-3</v>
      </c>
      <c r="H5">
        <f t="shared" si="5"/>
        <v>0.3872983346207417</v>
      </c>
      <c r="I5">
        <f t="shared" si="0"/>
        <v>0.61193136870077181</v>
      </c>
      <c r="J5">
        <f t="shared" si="0"/>
        <v>0.3872983346207417</v>
      </c>
      <c r="K5">
        <f t="shared" si="0"/>
        <v>7.2037490239457949E-2</v>
      </c>
      <c r="L5" s="1">
        <f t="shared" si="1"/>
        <v>0.3872983346207417</v>
      </c>
      <c r="M5" s="1">
        <f t="shared" si="2"/>
        <v>0.61193136870077181</v>
      </c>
      <c r="N5" s="1">
        <f t="shared" si="3"/>
        <v>0.3872983346207417</v>
      </c>
      <c r="O5" s="1">
        <f t="shared" si="4"/>
        <v>7.2037490239457949E-2</v>
      </c>
      <c r="P5" s="1"/>
      <c r="Q5" s="1"/>
      <c r="R5" s="1"/>
      <c r="S5" s="1"/>
      <c r="T5" s="1"/>
      <c r="U5" s="1"/>
      <c r="V5" s="1"/>
      <c r="W5" s="1"/>
    </row>
    <row r="6" spans="1:23" x14ac:dyDescent="0.25">
      <c r="D6" s="1">
        <f>Sheet1!O7</f>
        <v>7.4999999999999997E-2</v>
      </c>
      <c r="E6" s="1">
        <f>Sheet1!P7</f>
        <v>8.8499999999999995E-2</v>
      </c>
      <c r="F6" s="1">
        <f>Sheet1!Q7</f>
        <v>7.4999999999999997E-2</v>
      </c>
      <c r="G6" s="1">
        <f>Sheet1!R7</f>
        <v>6.3E-3</v>
      </c>
      <c r="H6">
        <f t="shared" si="5"/>
        <v>0.58094750193111255</v>
      </c>
      <c r="I6">
        <f t="shared" si="0"/>
        <v>0.68551805227871276</v>
      </c>
      <c r="J6">
        <f t="shared" si="0"/>
        <v>0.58094750193111255</v>
      </c>
      <c r="K6">
        <f t="shared" si="0"/>
        <v>4.8799590162213455E-2</v>
      </c>
      <c r="L6" s="1">
        <f t="shared" si="1"/>
        <v>0.58094750193111255</v>
      </c>
      <c r="M6" s="1">
        <f t="shared" si="2"/>
        <v>0.68551805227871276</v>
      </c>
      <c r="N6" s="1">
        <f t="shared" si="3"/>
        <v>0.58094750193111255</v>
      </c>
      <c r="O6" s="1">
        <f t="shared" si="4"/>
        <v>4.8799590162213455E-2</v>
      </c>
      <c r="P6" s="1"/>
      <c r="Q6" s="1"/>
      <c r="R6" s="1"/>
      <c r="S6" s="1"/>
      <c r="T6" s="1"/>
      <c r="U6" s="1"/>
      <c r="V6" s="1"/>
      <c r="W6" s="1"/>
    </row>
    <row r="7" spans="1:23" x14ac:dyDescent="0.25">
      <c r="D7" s="1">
        <f>Sheet1!O8</f>
        <v>0.1</v>
      </c>
      <c r="E7" s="1">
        <f>Sheet1!P8</f>
        <v>9.6000000000000002E-2</v>
      </c>
      <c r="F7" s="1">
        <f>Sheet1!Q8</f>
        <v>0.1</v>
      </c>
      <c r="G7" s="1">
        <f>Sheet1!R8</f>
        <v>4.1999999999999997E-3</v>
      </c>
      <c r="H7">
        <f t="shared" si="5"/>
        <v>0.7745966692414834</v>
      </c>
      <c r="I7">
        <f t="shared" si="0"/>
        <v>0.74361280247182404</v>
      </c>
      <c r="J7">
        <f t="shared" si="0"/>
        <v>0.7745966692414834</v>
      </c>
      <c r="K7">
        <f t="shared" si="0"/>
        <v>3.2533060108142303E-2</v>
      </c>
      <c r="L7" s="1">
        <f t="shared" si="1"/>
        <v>0.7745966692414834</v>
      </c>
      <c r="M7" s="1">
        <f t="shared" si="2"/>
        <v>0.74361280247182404</v>
      </c>
      <c r="N7" s="1">
        <f t="shared" si="3"/>
        <v>0.7745966692414834</v>
      </c>
      <c r="O7" s="1">
        <f t="shared" si="4"/>
        <v>3.2533060108142303E-2</v>
      </c>
      <c r="P7" s="1"/>
      <c r="Q7" s="1"/>
      <c r="R7" s="1"/>
      <c r="S7" s="1"/>
      <c r="T7" s="1"/>
      <c r="U7" s="1"/>
      <c r="V7" s="1"/>
      <c r="W7" s="1"/>
    </row>
    <row r="8" spans="1:23" x14ac:dyDescent="0.25">
      <c r="D8" s="1">
        <f>Sheet1!O9</f>
        <v>0.15</v>
      </c>
      <c r="E8" s="1">
        <f>Sheet1!P9</f>
        <v>0.1069</v>
      </c>
      <c r="F8" s="1">
        <f>Sheet1!Q9</f>
        <v>0.15</v>
      </c>
      <c r="G8" s="1">
        <f>Sheet1!R9</f>
        <v>1.5E-3</v>
      </c>
      <c r="H8">
        <f t="shared" si="5"/>
        <v>1.1618950038622251</v>
      </c>
      <c r="I8">
        <f t="shared" si="0"/>
        <v>0.82804383941914572</v>
      </c>
      <c r="J8">
        <f t="shared" si="0"/>
        <v>1.1618950038622251</v>
      </c>
      <c r="K8">
        <f t="shared" si="0"/>
        <v>1.1618950038622251E-2</v>
      </c>
      <c r="L8" s="1">
        <f t="shared" si="1"/>
        <v>1.1618950038622251</v>
      </c>
      <c r="M8" s="1">
        <f t="shared" si="2"/>
        <v>0.82804383941914572</v>
      </c>
      <c r="N8" s="1">
        <f t="shared" si="3"/>
        <v>1.1618950038622251</v>
      </c>
      <c r="O8" s="1">
        <f t="shared" si="4"/>
        <v>1.1618950038622251E-2</v>
      </c>
      <c r="P8" s="1"/>
      <c r="Q8" s="1"/>
      <c r="R8" s="1"/>
      <c r="S8" s="1"/>
      <c r="T8" s="1"/>
      <c r="U8" s="1"/>
      <c r="V8" s="1"/>
      <c r="W8" s="1"/>
    </row>
    <row r="9" spans="1:23" x14ac:dyDescent="0.25">
      <c r="D9" s="1">
        <f>Sheet1!O10</f>
        <v>0.2</v>
      </c>
      <c r="E9" s="1">
        <f>Sheet1!P10</f>
        <v>0.11360000000000003</v>
      </c>
      <c r="F9" s="1">
        <f>Sheet1!Q10</f>
        <v>0.2</v>
      </c>
      <c r="G9" s="1">
        <f>Sheet1!R10</f>
        <v>2.9999999999999997E-4</v>
      </c>
      <c r="H9">
        <f t="shared" si="5"/>
        <v>1.5491933384829668</v>
      </c>
      <c r="I9">
        <f t="shared" si="0"/>
        <v>0.87994181625832546</v>
      </c>
      <c r="J9">
        <f t="shared" si="0"/>
        <v>1.5491933384829668</v>
      </c>
      <c r="K9">
        <f t="shared" si="0"/>
        <v>2.32379000772445E-3</v>
      </c>
      <c r="L9" s="1">
        <f t="shared" si="1"/>
        <v>1.5491933384829668</v>
      </c>
      <c r="M9" s="1">
        <f t="shared" si="2"/>
        <v>0.87994181625832546</v>
      </c>
      <c r="N9" s="1">
        <f t="shared" si="3"/>
        <v>1.5491933384829668</v>
      </c>
      <c r="O9" s="1">
        <f t="shared" si="4"/>
        <v>2.32379000772445E-3</v>
      </c>
      <c r="P9" s="1"/>
      <c r="Q9" s="1"/>
      <c r="R9" s="1"/>
      <c r="S9" s="1"/>
      <c r="T9" s="1"/>
      <c r="U9" s="1"/>
      <c r="V9" s="1"/>
      <c r="W9" s="1"/>
    </row>
    <row r="10" spans="1:23" x14ac:dyDescent="0.25">
      <c r="D10" s="1">
        <f>Sheet1!O11</f>
        <v>0.3</v>
      </c>
      <c r="E10" s="1">
        <f>Sheet1!P11</f>
        <v>0.11699999999999999</v>
      </c>
      <c r="F10" s="1">
        <f>Sheet1!Q11</f>
        <v>0.3</v>
      </c>
      <c r="G10" s="1">
        <f>Sheet1!R11</f>
        <v>0</v>
      </c>
      <c r="H10">
        <f t="shared" si="5"/>
        <v>2.3237900077244502</v>
      </c>
      <c r="I10">
        <f t="shared" si="0"/>
        <v>0.90627810301253553</v>
      </c>
      <c r="J10">
        <f t="shared" si="0"/>
        <v>2.3237900077244502</v>
      </c>
      <c r="K10">
        <f t="shared" si="0"/>
        <v>0</v>
      </c>
      <c r="L10" s="1">
        <f t="shared" si="1"/>
        <v>2.3237900077244502</v>
      </c>
      <c r="M10" s="1">
        <f t="shared" si="2"/>
        <v>0.90627810301253553</v>
      </c>
      <c r="N10" s="1">
        <f t="shared" si="3"/>
        <v>2.3237900077244502</v>
      </c>
      <c r="O10" s="1">
        <f t="shared" si="4"/>
        <v>0</v>
      </c>
      <c r="P10" s="1"/>
      <c r="Q10" s="1"/>
      <c r="R10" s="1"/>
      <c r="S10" s="1"/>
      <c r="T10" s="1"/>
      <c r="U10" s="1"/>
      <c r="V10" s="1"/>
      <c r="W10" s="1"/>
    </row>
    <row r="11" spans="1:23" x14ac:dyDescent="0.25">
      <c r="D11" s="1">
        <f>Sheet1!O12</f>
        <v>0.4</v>
      </c>
      <c r="E11" s="1">
        <f>Sheet1!P12</f>
        <v>0.11399999999999999</v>
      </c>
      <c r="F11" s="1">
        <f>Sheet1!Q12</f>
        <v>0.4</v>
      </c>
      <c r="G11" s="1">
        <f>Sheet1!R12</f>
        <v>0</v>
      </c>
      <c r="H11">
        <f t="shared" si="5"/>
        <v>3.0983866769659336</v>
      </c>
      <c r="I11">
        <f t="shared" si="0"/>
        <v>0.88304020293529095</v>
      </c>
      <c r="J11">
        <f t="shared" si="0"/>
        <v>3.0983866769659336</v>
      </c>
      <c r="K11">
        <f t="shared" si="0"/>
        <v>0</v>
      </c>
      <c r="L11" s="1">
        <f t="shared" si="1"/>
        <v>3.0983866769659336</v>
      </c>
      <c r="M11" s="1">
        <f t="shared" si="2"/>
        <v>0.88304020293529095</v>
      </c>
      <c r="N11" s="1">
        <f t="shared" si="3"/>
        <v>3.0983866769659336</v>
      </c>
      <c r="O11" s="1">
        <f t="shared" si="4"/>
        <v>0</v>
      </c>
      <c r="P11" s="1"/>
      <c r="Q11" s="1"/>
      <c r="R11" s="1"/>
      <c r="S11" s="1"/>
      <c r="T11" s="1"/>
      <c r="U11" s="1"/>
      <c r="V11" s="1"/>
      <c r="W11" s="1"/>
    </row>
    <row r="12" spans="1:23" x14ac:dyDescent="0.25">
      <c r="D12" s="1">
        <f>Sheet1!O13</f>
        <v>0.5</v>
      </c>
      <c r="E12" s="1">
        <f>Sheet1!P13</f>
        <v>0.1052</v>
      </c>
      <c r="F12" s="1">
        <f>Sheet1!Q13</f>
        <v>0.5</v>
      </c>
      <c r="G12" s="1">
        <f>Sheet1!R13</f>
        <v>0</v>
      </c>
      <c r="H12">
        <f t="shared" si="5"/>
        <v>3.872983346207417</v>
      </c>
      <c r="I12">
        <f t="shared" si="0"/>
        <v>0.81487569604204058</v>
      </c>
      <c r="J12">
        <f t="shared" si="0"/>
        <v>3.872983346207417</v>
      </c>
      <c r="K12">
        <f t="shared" si="0"/>
        <v>0</v>
      </c>
      <c r="L12" s="1">
        <f t="shared" si="1"/>
        <v>3.872983346207417</v>
      </c>
      <c r="M12" s="1">
        <f t="shared" si="2"/>
        <v>0.81487569604204058</v>
      </c>
      <c r="N12" s="1">
        <f t="shared" si="3"/>
        <v>3.872983346207417</v>
      </c>
      <c r="O12" s="1">
        <f t="shared" si="4"/>
        <v>0</v>
      </c>
      <c r="P12" s="1"/>
      <c r="Q12" s="1"/>
      <c r="R12" s="1"/>
      <c r="S12" s="1"/>
      <c r="T12" s="1"/>
      <c r="U12" s="1"/>
      <c r="V12" s="1"/>
      <c r="W12" s="1"/>
    </row>
    <row r="13" spans="1:23" x14ac:dyDescent="0.25">
      <c r="D13" s="1">
        <f>Sheet1!O14</f>
        <v>0.6</v>
      </c>
      <c r="E13" s="1">
        <f>Sheet1!P14</f>
        <v>9.1499999999999998E-2</v>
      </c>
      <c r="F13" s="1">
        <f>Sheet1!Q14</f>
        <v>0.6</v>
      </c>
      <c r="G13" s="1">
        <f>Sheet1!R14</f>
        <v>0</v>
      </c>
      <c r="H13">
        <f t="shared" si="5"/>
        <v>4.6475800154489004</v>
      </c>
      <c r="I13">
        <f t="shared" si="0"/>
        <v>0.70875595235595734</v>
      </c>
      <c r="J13">
        <f t="shared" si="0"/>
        <v>4.6475800154489004</v>
      </c>
      <c r="K13">
        <f t="shared" si="0"/>
        <v>0</v>
      </c>
      <c r="L13" s="1">
        <f t="shared" si="1"/>
        <v>4.6475800154489004</v>
      </c>
      <c r="M13" s="1">
        <f t="shared" si="2"/>
        <v>0.70875595235595734</v>
      </c>
      <c r="N13" s="1">
        <f t="shared" si="3"/>
        <v>4.6475800154489004</v>
      </c>
      <c r="O13" s="1">
        <f t="shared" si="4"/>
        <v>0</v>
      </c>
      <c r="P13" s="1"/>
      <c r="Q13" s="1"/>
      <c r="R13" s="1"/>
      <c r="S13" s="1"/>
      <c r="T13" s="1"/>
      <c r="U13" s="1"/>
      <c r="V13" s="1"/>
      <c r="W13" s="1"/>
    </row>
    <row r="14" spans="1:23" x14ac:dyDescent="0.25">
      <c r="D14" s="1">
        <f>Sheet1!O15</f>
        <v>0.7</v>
      </c>
      <c r="E14" s="1">
        <f>Sheet1!P15</f>
        <v>7.350000000000001E-2</v>
      </c>
      <c r="F14" s="1">
        <f>Sheet1!Q15</f>
        <v>0.7</v>
      </c>
      <c r="G14" s="1">
        <f>Sheet1!R15</f>
        <v>0</v>
      </c>
      <c r="H14">
        <f t="shared" si="5"/>
        <v>5.4221766846903838</v>
      </c>
      <c r="I14">
        <f t="shared" si="0"/>
        <v>0.56932855189249043</v>
      </c>
      <c r="J14">
        <f t="shared" si="0"/>
        <v>5.4221766846903838</v>
      </c>
      <c r="K14">
        <f t="shared" si="0"/>
        <v>0</v>
      </c>
      <c r="L14" s="1">
        <f t="shared" si="1"/>
        <v>5.4221766846903838</v>
      </c>
      <c r="M14" s="1">
        <f t="shared" si="2"/>
        <v>0.56932855189249043</v>
      </c>
      <c r="N14" s="1">
        <f t="shared" si="3"/>
        <v>5.4221766846903838</v>
      </c>
      <c r="O14" s="1">
        <f t="shared" si="4"/>
        <v>0</v>
      </c>
      <c r="P14" s="1"/>
      <c r="Q14" s="1"/>
      <c r="R14" s="1"/>
      <c r="S14" s="1"/>
      <c r="T14" s="1"/>
      <c r="U14" s="1"/>
      <c r="V14" s="1"/>
      <c r="W14" s="1"/>
    </row>
    <row r="15" spans="1:23" x14ac:dyDescent="0.25">
      <c r="D15" s="1">
        <f>Sheet1!O16</f>
        <v>0.8</v>
      </c>
      <c r="E15" s="1">
        <f>Sheet1!P16</f>
        <v>5.220000000000001E-2</v>
      </c>
      <c r="F15" s="1">
        <f>Sheet1!Q16</f>
        <v>0.8</v>
      </c>
      <c r="G15" s="1">
        <f>Sheet1!R16</f>
        <v>0</v>
      </c>
      <c r="H15">
        <f t="shared" si="5"/>
        <v>6.1967733539318672</v>
      </c>
      <c r="I15">
        <f t="shared" si="0"/>
        <v>0.40433946134405441</v>
      </c>
      <c r="J15">
        <f t="shared" si="0"/>
        <v>6.1967733539318672</v>
      </c>
      <c r="K15">
        <f t="shared" si="0"/>
        <v>0</v>
      </c>
      <c r="L15" s="1">
        <f t="shared" si="1"/>
        <v>6.1967733539318672</v>
      </c>
      <c r="M15" s="1">
        <f t="shared" si="2"/>
        <v>0.40433946134405441</v>
      </c>
      <c r="N15" s="1">
        <f t="shared" si="3"/>
        <v>6.1967733539318672</v>
      </c>
      <c r="O15" s="1">
        <f t="shared" si="4"/>
        <v>0</v>
      </c>
      <c r="P15" s="1"/>
      <c r="Q15" s="1"/>
      <c r="R15" s="1"/>
      <c r="S15" s="1"/>
      <c r="T15" s="1"/>
      <c r="U15" s="1"/>
      <c r="V15" s="1"/>
      <c r="W15" s="1"/>
    </row>
    <row r="16" spans="1:23" x14ac:dyDescent="0.25">
      <c r="D16" s="1">
        <f>Sheet1!O17</f>
        <v>0.90000000000000013</v>
      </c>
      <c r="E16" s="1">
        <f>Sheet1!P17</f>
        <v>2.8000000000000001E-2</v>
      </c>
      <c r="F16" s="1">
        <f>Sheet1!Q17</f>
        <v>0.90000000000000013</v>
      </c>
      <c r="G16" s="1">
        <f>Sheet1!R17</f>
        <v>0</v>
      </c>
      <c r="H16">
        <f t="shared" si="5"/>
        <v>6.9713700231733515</v>
      </c>
      <c r="I16">
        <f t="shared" si="0"/>
        <v>0.21688706738761535</v>
      </c>
      <c r="J16">
        <f t="shared" si="0"/>
        <v>6.9713700231733515</v>
      </c>
      <c r="K16">
        <f t="shared" si="0"/>
        <v>0</v>
      </c>
      <c r="L16" s="1">
        <f t="shared" si="1"/>
        <v>6.9713700231733515</v>
      </c>
      <c r="M16" s="1">
        <f t="shared" si="2"/>
        <v>0.21688706738761535</v>
      </c>
      <c r="N16" s="1">
        <f t="shared" si="3"/>
        <v>6.9713700231733515</v>
      </c>
      <c r="O16" s="1">
        <f t="shared" si="4"/>
        <v>0</v>
      </c>
      <c r="P16" s="1"/>
      <c r="Q16" s="1"/>
      <c r="R16" s="1"/>
      <c r="S16" s="1"/>
      <c r="T16" s="1"/>
      <c r="U16" s="1"/>
      <c r="V16" s="1"/>
      <c r="W16" s="1"/>
    </row>
    <row r="17" spans="4:54" x14ac:dyDescent="0.25">
      <c r="D17" s="1">
        <f>Sheet1!O18</f>
        <v>0.95</v>
      </c>
      <c r="E17" s="1">
        <f>Sheet1!P18</f>
        <v>1.49E-2</v>
      </c>
      <c r="F17" s="1">
        <f>Sheet1!Q18</f>
        <v>0.95</v>
      </c>
      <c r="G17" s="1">
        <f>Sheet1!R18</f>
        <v>0</v>
      </c>
      <c r="H17">
        <f t="shared" si="5"/>
        <v>7.3586683577940919</v>
      </c>
      <c r="I17">
        <f t="shared" si="0"/>
        <v>0.11541490371698103</v>
      </c>
      <c r="J17">
        <f t="shared" si="0"/>
        <v>7.3586683577940919</v>
      </c>
      <c r="K17">
        <f t="shared" si="0"/>
        <v>0</v>
      </c>
      <c r="L17" s="1">
        <f t="shared" si="1"/>
        <v>7.3586683577940919</v>
      </c>
      <c r="M17" s="1">
        <f t="shared" si="2"/>
        <v>0.11541490371698103</v>
      </c>
      <c r="N17" s="1">
        <f t="shared" si="3"/>
        <v>7.3586683577940919</v>
      </c>
      <c r="O17" s="1">
        <f t="shared" si="4"/>
        <v>0</v>
      </c>
      <c r="P17" s="1"/>
      <c r="Q17" s="1"/>
      <c r="R17" s="1"/>
      <c r="S17" s="1"/>
      <c r="T17" s="1"/>
      <c r="U17" s="1"/>
      <c r="V17" s="1"/>
      <c r="W17" s="1"/>
    </row>
    <row r="18" spans="4:54" x14ac:dyDescent="0.25">
      <c r="D18" s="1">
        <f>Sheet1!O19</f>
        <v>1</v>
      </c>
      <c r="E18" s="1">
        <f>Sheet1!P19</f>
        <v>1.1999999999999999E-3</v>
      </c>
      <c r="F18" s="1">
        <f>Sheet1!Q19</f>
        <v>1</v>
      </c>
      <c r="G18" s="1">
        <f>Sheet1!R19</f>
        <v>0</v>
      </c>
      <c r="H18">
        <f t="shared" si="5"/>
        <v>7.745966692414834</v>
      </c>
      <c r="I18">
        <f t="shared" si="5"/>
        <v>9.2951600308978002E-3</v>
      </c>
      <c r="J18">
        <f t="shared" si="5"/>
        <v>7.745966692414834</v>
      </c>
      <c r="K18">
        <f t="shared" si="5"/>
        <v>0</v>
      </c>
      <c r="L18" s="1">
        <f t="shared" si="1"/>
        <v>7.745966692414834</v>
      </c>
      <c r="M18" s="1">
        <f t="shared" si="2"/>
        <v>9.2951600308978002E-3</v>
      </c>
      <c r="N18" s="1">
        <f t="shared" si="3"/>
        <v>7.745966692414834</v>
      </c>
      <c r="O18" s="1">
        <f t="shared" si="4"/>
        <v>0</v>
      </c>
      <c r="P18" s="1"/>
      <c r="Q18" s="1"/>
      <c r="R18" s="1"/>
      <c r="S18" s="1"/>
      <c r="T18" s="1"/>
      <c r="U18" s="1"/>
      <c r="V18" s="1"/>
      <c r="W18" s="1"/>
    </row>
    <row r="21" spans="4:54" x14ac:dyDescent="0.25">
      <c r="D21" t="s">
        <v>46</v>
      </c>
      <c r="L21" t="s">
        <v>49</v>
      </c>
      <c r="T21" t="s">
        <v>40</v>
      </c>
      <c r="X21" t="s">
        <v>53</v>
      </c>
      <c r="AA21" t="s">
        <v>54</v>
      </c>
      <c r="AD21" t="s">
        <v>59</v>
      </c>
      <c r="AE21" t="s">
        <v>61</v>
      </c>
      <c r="AF21" t="s">
        <v>60</v>
      </c>
      <c r="AG21" t="s">
        <v>62</v>
      </c>
      <c r="AH21" t="s">
        <v>63</v>
      </c>
      <c r="AI21" t="s">
        <v>64</v>
      </c>
      <c r="AJ21" t="s">
        <v>55</v>
      </c>
      <c r="AK21" t="s">
        <v>56</v>
      </c>
      <c r="AL21" t="s">
        <v>57</v>
      </c>
      <c r="AM21" t="s">
        <v>58</v>
      </c>
      <c r="AN21" t="s">
        <v>65</v>
      </c>
      <c r="AO21" t="s">
        <v>66</v>
      </c>
      <c r="AP21" t="s">
        <v>67</v>
      </c>
      <c r="AQ21" t="s">
        <v>68</v>
      </c>
      <c r="AR21" t="s">
        <v>63</v>
      </c>
      <c r="AS21" t="s">
        <v>64</v>
      </c>
      <c r="AT21" t="s">
        <v>69</v>
      </c>
      <c r="AU21" t="s">
        <v>70</v>
      </c>
      <c r="AV21" t="s">
        <v>71</v>
      </c>
      <c r="AW21" t="s">
        <v>72</v>
      </c>
      <c r="AZ21" t="s">
        <v>92</v>
      </c>
      <c r="BA21" t="s">
        <v>93</v>
      </c>
      <c r="BB21" t="s">
        <v>94</v>
      </c>
    </row>
    <row r="22" spans="4:54" x14ac:dyDescent="0.25">
      <c r="D22">
        <f>Sheet1!S3</f>
        <v>0</v>
      </c>
      <c r="E22">
        <f>Sheet1!T3</f>
        <v>3.5000000000000003E-2</v>
      </c>
      <c r="F22">
        <f>Sheet1!U3</f>
        <v>0</v>
      </c>
      <c r="G22">
        <f>Sheet1!V3</f>
        <v>3.5000000000000003E-2</v>
      </c>
      <c r="H22" s="1">
        <f>D22*$B$2</f>
        <v>0</v>
      </c>
      <c r="I22" s="1">
        <f>E22*$B$2</f>
        <v>0.2711088342345192</v>
      </c>
      <c r="J22" s="1">
        <f>F22*$B$2</f>
        <v>0</v>
      </c>
      <c r="K22" s="1">
        <f>G22*$B$2</f>
        <v>0.2711088342345192</v>
      </c>
      <c r="L22">
        <f>H22-(0.25*$J$38)</f>
        <v>-1.9364916731037085</v>
      </c>
      <c r="M22">
        <f>I22-(0.25*$K$38)+Sheet1!$B$17</f>
        <v>19.244774795244794</v>
      </c>
      <c r="N22">
        <f>J22-(0.25*$J$38)</f>
        <v>-1.9364916731037085</v>
      </c>
      <c r="O22">
        <f>K22-(0.25*$K$38)+Sheet1!$B$17</f>
        <v>19.244774795244794</v>
      </c>
      <c r="P22" s="1">
        <f>D22*$B$3</f>
        <v>0</v>
      </c>
      <c r="Q22" s="1">
        <f>E22*$B$3</f>
        <v>0.2711088342345192</v>
      </c>
      <c r="R22" s="1">
        <f>F22*$B$3</f>
        <v>0</v>
      </c>
      <c r="S22" s="1">
        <f>G22*$B$3</f>
        <v>0.2711088342345192</v>
      </c>
      <c r="T22">
        <f>P22-(0.25*$R$38)</f>
        <v>-1.9364916731037085</v>
      </c>
      <c r="U22">
        <f>Q22-(0.25*$S$38)+Sheet1!$B$17</f>
        <v>19.244774795244794</v>
      </c>
      <c r="V22">
        <f>R22-(0.25*$R$38)</f>
        <v>-1.9364916731037085</v>
      </c>
      <c r="W22">
        <f>S22-(0.25*$S$38)+Sheet1!$B$17</f>
        <v>19.244774795244794</v>
      </c>
      <c r="X22" s="4">
        <f>L22</f>
        <v>-1.9364916731037085</v>
      </c>
      <c r="Y22" s="4">
        <f>M22*COS($B$5)</f>
        <v>19.121162658423213</v>
      </c>
      <c r="Z22" s="4">
        <f>M22*SIN($B$5)</f>
        <v>2.1777271431038043</v>
      </c>
      <c r="AA22">
        <f>N22</f>
        <v>-1.9364916731037085</v>
      </c>
      <c r="AB22">
        <f>O22*COS($B$5)</f>
        <v>19.121162658423213</v>
      </c>
      <c r="AC22">
        <f>O22*SIN($B$5)</f>
        <v>2.1777271431038043</v>
      </c>
      <c r="AD22" s="3"/>
      <c r="AE22" s="3"/>
      <c r="AF22" s="3">
        <f t="shared" ref="AF22:AF38" si="6">SQRT(((T22-X22)^2)+((U22-Y22)^2)+(Z22^2))</f>
        <v>2.1812325575647944</v>
      </c>
      <c r="AG22" s="3">
        <f>SQRT(((T22-X23)^2)+((U22-Y23)^2)+(Z23^2))</f>
        <v>2.1971135142431732</v>
      </c>
      <c r="AH22" s="3">
        <f>ACOS(((AF22^2)+(AG22^2)-(AD23^2))/(2*AF22*AG22))</f>
        <v>8.1657466171357163E-2</v>
      </c>
      <c r="AI22" s="3">
        <f>ACOS(((AF23^2)+(AG22^2)-(AE23^2))/(2*AF23*AG22))-AH22</f>
        <v>1.3322676295501878E-15</v>
      </c>
      <c r="AJ22" s="3">
        <v>0</v>
      </c>
      <c r="AK22" s="3">
        <v>0</v>
      </c>
      <c r="AL22" s="3">
        <f>AF22</f>
        <v>2.1812325575647944</v>
      </c>
      <c r="AM22" s="3">
        <v>0</v>
      </c>
      <c r="AN22" s="1"/>
      <c r="AO22" s="1"/>
      <c r="AP22" s="1">
        <f>SQRT(((V22-AA22)^2)+((W22-AB22)^2)+(AC22^2))</f>
        <v>2.1812325575647944</v>
      </c>
      <c r="AQ22" s="1">
        <f>SQRT(((V22-AA23)^2)+((W22-AB23)^2)+(AC23^2))</f>
        <v>2.1798794718172543</v>
      </c>
      <c r="AR22" s="1">
        <f>ACOS(((AP22^2)+(AQ22^2)-(AN23^2))/(2*AP22*AQ22))</f>
        <v>7.130111604770728E-2</v>
      </c>
      <c r="AS22" s="1">
        <f>ACOS(((AP23^2)+(AQ22^2)-(AO23^2))/(2*AP23*AQ22))-AR22</f>
        <v>0</v>
      </c>
      <c r="AT22" s="1">
        <v>0</v>
      </c>
      <c r="AU22" s="1">
        <v>0</v>
      </c>
      <c r="AV22" s="1">
        <f>AF22</f>
        <v>2.1812325575647944</v>
      </c>
      <c r="AW22" s="1">
        <v>0</v>
      </c>
      <c r="AY22" t="s">
        <v>87</v>
      </c>
      <c r="AZ22">
        <f>N22</f>
        <v>-1.9364916731037085</v>
      </c>
      <c r="BA22">
        <f>O22</f>
        <v>19.244774795244794</v>
      </c>
      <c r="BB22">
        <f>SQRT(((AZ22-Sheet1!$B$24)^2)+((BA22-Sheet1!$B$25)^2))</f>
        <v>21.232073178419174</v>
      </c>
    </row>
    <row r="23" spans="4:54" x14ac:dyDescent="0.25">
      <c r="D23">
        <f>Sheet1!S4</f>
        <v>1.2500000000000001E-2</v>
      </c>
      <c r="E23">
        <f>Sheet1!T4</f>
        <v>5.45E-2</v>
      </c>
      <c r="F23">
        <f>Sheet1!U4</f>
        <v>1.2500000000000001E-2</v>
      </c>
      <c r="G23">
        <f>Sheet1!V4</f>
        <v>1.9300000000000001E-2</v>
      </c>
      <c r="H23" s="1">
        <f t="shared" ref="H23:K38" si="7">D23*$B$2</f>
        <v>9.6824583655185426E-2</v>
      </c>
      <c r="I23" s="1">
        <f t="shared" si="7"/>
        <v>0.42215518473660846</v>
      </c>
      <c r="J23" s="1">
        <f t="shared" si="7"/>
        <v>9.6824583655185426E-2</v>
      </c>
      <c r="K23" s="1">
        <f t="shared" si="7"/>
        <v>0.14949715716360631</v>
      </c>
      <c r="L23">
        <f t="shared" ref="L23:L38" si="8">H23-(0.25*$J$38)</f>
        <v>-1.8396670894485232</v>
      </c>
      <c r="M23">
        <f>I23-(0.25*$K$38)+Sheet1!$B$17</f>
        <v>19.395821145746886</v>
      </c>
      <c r="N23">
        <f t="shared" ref="N23:N38" si="9">J23-(0.25*$J$38)</f>
        <v>-1.8396670894485232</v>
      </c>
      <c r="O23">
        <f>K23-(0.25*$K$38)+Sheet1!$B$17</f>
        <v>19.123163118173881</v>
      </c>
      <c r="P23" s="1">
        <f t="shared" ref="P23:S38" si="10">D23*$B$3</f>
        <v>9.6824583655185426E-2</v>
      </c>
      <c r="Q23" s="1">
        <f t="shared" si="10"/>
        <v>0.42215518473660846</v>
      </c>
      <c r="R23" s="1">
        <f t="shared" si="10"/>
        <v>9.6824583655185426E-2</v>
      </c>
      <c r="S23" s="1">
        <f t="shared" si="10"/>
        <v>0.14949715716360631</v>
      </c>
      <c r="T23">
        <f t="shared" ref="T23:T38" si="11">P23-(0.25*$R$38)</f>
        <v>-1.8396670894485232</v>
      </c>
      <c r="U23">
        <f>Q23-(0.25*$S$38)+Sheet1!$B$17</f>
        <v>19.395821145746886</v>
      </c>
      <c r="V23">
        <f t="shared" ref="V23:V38" si="12">R23-(0.25*$R$38)</f>
        <v>-1.8396670894485232</v>
      </c>
      <c r="W23">
        <f>S23-(0.25*$S$38)+Sheet1!$B$17</f>
        <v>19.123163118173881</v>
      </c>
      <c r="X23" s="4">
        <f t="shared" ref="X23:X38" si="13">L23</f>
        <v>-1.8396670894485232</v>
      </c>
      <c r="Y23" s="4">
        <f t="shared" ref="Y23:Y38" si="14">M23*COS($B$5)</f>
        <v>19.271238815075634</v>
      </c>
      <c r="Z23" s="4">
        <f t="shared" ref="Z23:Z38" si="15">M23*SIN($B$5)</f>
        <v>2.1948194572958339</v>
      </c>
      <c r="AA23">
        <f t="shared" ref="AA23:AA38" si="16">N23</f>
        <v>-1.8396670894485232</v>
      </c>
      <c r="AB23">
        <f t="shared" ref="AB23:AB38" si="17">O23*COS($B$5)</f>
        <v>19.000332111785113</v>
      </c>
      <c r="AC23">
        <f t="shared" ref="AC23:AC38" si="18">O23*SIN($B$5)</f>
        <v>2.1639656388568884</v>
      </c>
      <c r="AD23" s="3">
        <f t="shared" ref="AD23:AD38" si="19">SQRT(((X23-X22)^2)+((Y23-Y22)^2)+((Z22-Z23)^2))</f>
        <v>0.17941571837495476</v>
      </c>
      <c r="AE23" s="3">
        <f>SQRT(((T22-T23)^2)+((U22-U23)^2))</f>
        <v>0.17941571837495421</v>
      </c>
      <c r="AF23" s="3">
        <f t="shared" si="6"/>
        <v>2.1983523846826425</v>
      </c>
      <c r="AG23" s="3">
        <f t="shared" ref="AG23:AG37" si="20">SQRT(((T23-X24)^2)+((U23-Y24)^2)+(Z24^2))</f>
        <v>2.2065829758929447</v>
      </c>
      <c r="AH23" s="3">
        <f>ACOS(((AF23^2)+(AG23^2)-(AD24^2))/(2*AF23*AG23))-AI22</f>
        <v>5.7299779146543717E-2</v>
      </c>
      <c r="AI23" s="3">
        <f>ACOS(((AF24^2)+(AG23^2)-(AE24^2))/(2*AF24*AG23))-AH23</f>
        <v>1.3322676295501878E-15</v>
      </c>
      <c r="AJ23" s="3">
        <f>-COS(AI22)*AF23+AL23</f>
        <v>-8.5599135589236042E-3</v>
      </c>
      <c r="AK23" s="3">
        <f>SIN(AI22)*AF23+AM23</f>
        <v>0.17921140555183585</v>
      </c>
      <c r="AL23" s="3">
        <f>COS(AH22)*AG22+AJ22</f>
        <v>2.1897924711237189</v>
      </c>
      <c r="AM23" s="3">
        <f>SIN(AH22)*AG22+AK22</f>
        <v>0.1792114055518329</v>
      </c>
      <c r="AN23" s="1">
        <f>SQRT(((AA23-AA22)^2)+((AB23-AB22)^2)+((AC22-AC23)^2))</f>
        <v>0.15544902701528851</v>
      </c>
      <c r="AO23" s="1">
        <f>SQRT(((V22-V23)^2)+((W22-W23)^2))</f>
        <v>0.1554490270152887</v>
      </c>
      <c r="AP23" s="1">
        <f t="shared" ref="AP23:AP38" si="21">SQRT(((V23-AA23)^2)+((W23-AB23)^2)+(AC23^2))</f>
        <v>2.1674489018852969</v>
      </c>
      <c r="AQ23" s="1">
        <f t="shared" ref="AQ23:AQ37" si="22">SQRT(((V23-AA24)^2)+((W23-AB24)^2)+(AC24^2))</f>
        <v>2.1678851559407786</v>
      </c>
      <c r="AR23" s="1">
        <f t="shared" ref="AR23:AR37" si="23">ACOS(((AP23^2)+(AQ23^2)-(AN24^2))/(2*AP23*AQ23))</f>
        <v>4.7600248775639509E-2</v>
      </c>
      <c r="AS23" s="1">
        <f t="shared" ref="AS23:AS37" si="24">ACOS(((AP24^2)+(AQ23^2)-(AO24^2))/(2*AP24*AQ23))-AR23</f>
        <v>-4.6629367034256575E-15</v>
      </c>
      <c r="AT23" s="1">
        <f>-COS(AS22)*AP23+AV23</f>
        <v>6.891827839748732E-3</v>
      </c>
      <c r="AU23" s="1">
        <f>SIN(AS22)*AP23+AW23</f>
        <v>0.1792114055518329</v>
      </c>
      <c r="AV23" s="1">
        <f>COS(AR22)*AQ22+AT22</f>
        <v>2.1743407297250457</v>
      </c>
      <c r="AW23" s="1">
        <f>SIN(AH22)*AG22+AK22</f>
        <v>0.1792114055518329</v>
      </c>
      <c r="AY23" t="s">
        <v>26</v>
      </c>
      <c r="AZ23">
        <f>(N29+N30)/2</f>
        <v>0</v>
      </c>
      <c r="BA23">
        <f>(O29+O30)/2</f>
        <v>18.974827856014137</v>
      </c>
      <c r="BB23">
        <f>SQRT(((AZ23-Sheet1!$B$24)^2)+((BA23-Sheet1!$B$25)^2))</f>
        <v>21.501102273523628</v>
      </c>
    </row>
    <row r="24" spans="4:54" x14ac:dyDescent="0.25">
      <c r="D24">
        <f>Sheet1!S5</f>
        <v>2.5000000000000001E-2</v>
      </c>
      <c r="E24">
        <f>Sheet1!T5</f>
        <v>6.5000000000000002E-2</v>
      </c>
      <c r="F24">
        <f>Sheet1!U5</f>
        <v>2.5000000000000001E-2</v>
      </c>
      <c r="G24">
        <f>Sheet1!V5</f>
        <v>1.4699999999999998E-2</v>
      </c>
      <c r="H24" s="1">
        <f t="shared" si="7"/>
        <v>0.19364916731037085</v>
      </c>
      <c r="I24" s="1">
        <f t="shared" si="7"/>
        <v>0.50348783500696426</v>
      </c>
      <c r="J24" s="1">
        <f t="shared" si="7"/>
        <v>0.19364916731037085</v>
      </c>
      <c r="K24" s="1">
        <f t="shared" si="7"/>
        <v>0.11386571037849805</v>
      </c>
      <c r="L24">
        <f t="shared" si="8"/>
        <v>-1.7428425057933377</v>
      </c>
      <c r="M24">
        <f>I24-(0.25*$K$38)+Sheet1!$B$17</f>
        <v>19.477153796017241</v>
      </c>
      <c r="N24">
        <f t="shared" si="9"/>
        <v>-1.7428425057933377</v>
      </c>
      <c r="O24">
        <f>K24-(0.25*$K$38)+Sheet1!$B$17</f>
        <v>19.087531671388774</v>
      </c>
      <c r="P24" s="1">
        <f t="shared" si="10"/>
        <v>0.19364916731037085</v>
      </c>
      <c r="Q24" s="1">
        <f t="shared" si="10"/>
        <v>0.50348783500696426</v>
      </c>
      <c r="R24" s="1">
        <f t="shared" si="10"/>
        <v>0.19364916731037085</v>
      </c>
      <c r="S24" s="1">
        <f t="shared" si="10"/>
        <v>0.11386571037849805</v>
      </c>
      <c r="T24">
        <f t="shared" si="11"/>
        <v>-1.7428425057933377</v>
      </c>
      <c r="U24">
        <f>Q24-(0.25*$S$38)+Sheet1!$B$17</f>
        <v>19.477153796017241</v>
      </c>
      <c r="V24">
        <f t="shared" si="12"/>
        <v>-1.7428425057933377</v>
      </c>
      <c r="W24">
        <f>S24-(0.25*$S$38)+Sheet1!$B$17</f>
        <v>19.087531671388774</v>
      </c>
      <c r="X24" s="4">
        <f t="shared" si="13"/>
        <v>-1.7428425057933377</v>
      </c>
      <c r="Y24" s="4">
        <f t="shared" si="14"/>
        <v>19.352049053273088</v>
      </c>
      <c r="Z24" s="4">
        <f t="shared" si="15"/>
        <v>2.2040230110915422</v>
      </c>
      <c r="AA24">
        <f t="shared" si="16"/>
        <v>-1.7428425057933377</v>
      </c>
      <c r="AB24">
        <f t="shared" si="17"/>
        <v>18.964929531241467</v>
      </c>
      <c r="AC24">
        <f t="shared" si="18"/>
        <v>2.1599336057654357</v>
      </c>
      <c r="AD24" s="3">
        <f t="shared" si="19"/>
        <v>0.12645157175772792</v>
      </c>
      <c r="AE24" s="3">
        <f t="shared" ref="AE24:AE38" si="25">SQRT(((T23-T24)^2)+((U23-U24)^2))</f>
        <v>0.12645157175772803</v>
      </c>
      <c r="AF24" s="3">
        <f t="shared" si="6"/>
        <v>2.2075707531307143</v>
      </c>
      <c r="AG24" s="3">
        <f t="shared" si="20"/>
        <v>2.2248061108438573</v>
      </c>
      <c r="AH24" s="3">
        <f t="shared" ref="AH24:AH37" si="26">ACOS(((AF24^2)+(AG24^2)-(AD25^2))/(2*AF24*AG24))-AI23</f>
        <v>9.9887448145275393E-2</v>
      </c>
      <c r="AI24" s="3">
        <f t="shared" ref="AI24:AI37" si="27">ACOS(((AF25^2)+(AG24^2)-(AE25^2))/(2*AF25*AG24))-AH24</f>
        <v>1.3322676295501878E-15</v>
      </c>
      <c r="AJ24" s="3">
        <f t="shared" ref="AJ24:AJ38" si="28">-COS(AI23)*AF24+AL24</f>
        <v>-1.3169097782959049E-2</v>
      </c>
      <c r="AK24" s="3">
        <f t="shared" ref="AK24:AK38" si="29">SIN(AI23)*AF24+AM24</f>
        <v>0.30557894656134088</v>
      </c>
      <c r="AL24" s="3">
        <f t="shared" ref="AL24:AL38" si="30">COS(AH23)*AG23+AJ23</f>
        <v>2.1944016553477552</v>
      </c>
      <c r="AM24" s="3">
        <f t="shared" ref="AM24:AM38" si="31">SIN(AH23)*AG23+AK23</f>
        <v>0.30557894656133794</v>
      </c>
      <c r="AN24" s="1">
        <f t="shared" ref="AN24:AN38" si="32">SQRT(((AA24-AA23)^2)+((AB24-AB23)^2)+((AC23-AC24)^2))</f>
        <v>0.10317267079997476</v>
      </c>
      <c r="AO24" s="1">
        <f t="shared" ref="AO24:AO38" si="33">SQRT(((V23-V24)^2)+((W23-W24)^2))</f>
        <v>0.10317267079997465</v>
      </c>
      <c r="AP24" s="1">
        <f t="shared" si="21"/>
        <v>2.1634103785651893</v>
      </c>
      <c r="AQ24" s="1">
        <f t="shared" si="22"/>
        <v>2.1701008288714094</v>
      </c>
      <c r="AR24" s="1">
        <f t="shared" si="23"/>
        <v>9.1413775528812469E-2</v>
      </c>
      <c r="AS24" s="1">
        <f t="shared" si="24"/>
        <v>-1.1102230246251565E-15</v>
      </c>
      <c r="AT24" s="1">
        <f t="shared" ref="AT24:AT38" si="34">-COS(AS23)*AP24+AV24</f>
        <v>8.9110894998025714E-3</v>
      </c>
      <c r="AU24" s="1">
        <f t="shared" ref="AU24:AU38" si="35">SIN(AS23)*AP24+AW24</f>
        <v>0.30557894656132784</v>
      </c>
      <c r="AV24" s="1">
        <f t="shared" ref="AV24:AV38" si="36">COS(AR23)*AQ23+AT23</f>
        <v>2.1723214680649918</v>
      </c>
      <c r="AW24" s="1">
        <f t="shared" ref="AW24:AW38" si="37">SIN(AH23)*AG23+AK23</f>
        <v>0.30557894656133794</v>
      </c>
      <c r="AY24" t="s">
        <v>88</v>
      </c>
      <c r="AZ24">
        <f>N32</f>
        <v>1.9364916731037085</v>
      </c>
      <c r="BA24">
        <f>O32</f>
        <v>18.973665961010276</v>
      </c>
      <c r="BB24">
        <f>SQRT(((AZ24-Sheet1!$B$24)^2)+((BA24-Sheet1!$B$25)^2))</f>
        <v>22.188555940730328</v>
      </c>
    </row>
    <row r="25" spans="4:54" x14ac:dyDescent="0.25">
      <c r="D25">
        <f>Sheet1!S6</f>
        <v>0.05</v>
      </c>
      <c r="E25">
        <f>Sheet1!T6</f>
        <v>7.8999999999999987E-2</v>
      </c>
      <c r="F25">
        <f>Sheet1!U6</f>
        <v>0.05</v>
      </c>
      <c r="G25">
        <f>Sheet1!V6</f>
        <v>9.2999999999999992E-3</v>
      </c>
      <c r="H25" s="1">
        <f t="shared" si="7"/>
        <v>0.3872983346207417</v>
      </c>
      <c r="I25" s="1">
        <f t="shared" si="7"/>
        <v>0.61193136870077181</v>
      </c>
      <c r="J25" s="1">
        <f t="shared" si="7"/>
        <v>0.3872983346207417</v>
      </c>
      <c r="K25" s="1">
        <f t="shared" si="7"/>
        <v>7.2037490239457949E-2</v>
      </c>
      <c r="L25">
        <f t="shared" si="8"/>
        <v>-1.5491933384829668</v>
      </c>
      <c r="M25">
        <f>I25-(0.25*$K$38)+Sheet1!$B$17</f>
        <v>19.585597329711049</v>
      </c>
      <c r="N25">
        <f t="shared" si="9"/>
        <v>-1.5491933384829668</v>
      </c>
      <c r="O25">
        <f>K25-(0.25*$K$38)+Sheet1!$B$17</f>
        <v>19.045703451249736</v>
      </c>
      <c r="P25" s="1">
        <f t="shared" si="10"/>
        <v>0.3872983346207417</v>
      </c>
      <c r="Q25" s="1">
        <f t="shared" si="10"/>
        <v>0.61193136870077181</v>
      </c>
      <c r="R25" s="1">
        <f t="shared" si="10"/>
        <v>0.3872983346207417</v>
      </c>
      <c r="S25" s="1">
        <f t="shared" si="10"/>
        <v>7.2037490239457949E-2</v>
      </c>
      <c r="T25">
        <f t="shared" si="11"/>
        <v>-1.5491933384829668</v>
      </c>
      <c r="U25">
        <f>Q25-(0.25*$S$38)+Sheet1!$B$17</f>
        <v>19.585597329711049</v>
      </c>
      <c r="V25">
        <f t="shared" si="12"/>
        <v>-1.5491933384829668</v>
      </c>
      <c r="W25">
        <f>S25-(0.25*$S$38)+Sheet1!$B$17</f>
        <v>19.045703451249736</v>
      </c>
      <c r="X25" s="4">
        <f>L25</f>
        <v>-1.5491933384829668</v>
      </c>
      <c r="Y25" s="4">
        <f t="shared" si="14"/>
        <v>19.459796037536364</v>
      </c>
      <c r="Z25" s="4">
        <f t="shared" si="15"/>
        <v>2.2162944161524862</v>
      </c>
      <c r="AA25">
        <f t="shared" si="16"/>
        <v>-1.5491933384829668</v>
      </c>
      <c r="AB25">
        <f t="shared" si="17"/>
        <v>18.923369980168491</v>
      </c>
      <c r="AC25">
        <f t="shared" si="18"/>
        <v>2.1552003495276431</v>
      </c>
      <c r="AD25" s="3">
        <f t="shared" si="19"/>
        <v>0.22194593936362159</v>
      </c>
      <c r="AE25" s="3">
        <f t="shared" si="25"/>
        <v>0.22194593936362114</v>
      </c>
      <c r="AF25" s="3">
        <f t="shared" si="6"/>
        <v>2.2198619110614763</v>
      </c>
      <c r="AG25" s="3">
        <f t="shared" si="20"/>
        <v>2.2336554129819173</v>
      </c>
      <c r="AH25" s="3">
        <f t="shared" si="26"/>
        <v>9.2859146960746264E-2</v>
      </c>
      <c r="AI25" s="3">
        <f t="shared" si="27"/>
        <v>4.8849813083506888E-15</v>
      </c>
      <c r="AJ25" s="3">
        <f t="shared" si="28"/>
        <v>-1.9314676748340087E-2</v>
      </c>
      <c r="AK25" s="3">
        <f t="shared" si="29"/>
        <v>0.52743978551040016</v>
      </c>
      <c r="AL25" s="3">
        <f t="shared" si="30"/>
        <v>2.2005472343131363</v>
      </c>
      <c r="AM25" s="3">
        <f t="shared" si="31"/>
        <v>0.52743978551039716</v>
      </c>
      <c r="AN25" s="1">
        <f t="shared" si="32"/>
        <v>0.19811511805008683</v>
      </c>
      <c r="AO25" s="1">
        <f t="shared" si="33"/>
        <v>0.19811511805008686</v>
      </c>
      <c r="AP25" s="1">
        <f t="shared" si="21"/>
        <v>2.1586695033633241</v>
      </c>
      <c r="AQ25" s="1">
        <f t="shared" si="22"/>
        <v>2.1661506131376655</v>
      </c>
      <c r="AR25" s="1">
        <f t="shared" si="23"/>
        <v>9.0159239083342335E-2</v>
      </c>
      <c r="AS25" s="1">
        <f t="shared" si="24"/>
        <v>1.3322676295501878E-15</v>
      </c>
      <c r="AT25" s="1">
        <f t="shared" si="34"/>
        <v>1.1281527100734934E-2</v>
      </c>
      <c r="AU25" s="1">
        <f t="shared" si="35"/>
        <v>0.52743978551039472</v>
      </c>
      <c r="AV25" s="1">
        <f t="shared" si="36"/>
        <v>2.169951030464059</v>
      </c>
      <c r="AW25" s="1">
        <f t="shared" si="37"/>
        <v>0.52743978551039716</v>
      </c>
      <c r="AY25" t="s">
        <v>89</v>
      </c>
      <c r="AZ25">
        <f>(N34+N35)/2</f>
        <v>3.872983346207417</v>
      </c>
      <c r="BA25">
        <f>(O34+O35)/2</f>
        <v>18.973665961010276</v>
      </c>
      <c r="BB25">
        <f>SQRT(((AZ25-Sheet1!$B$24)^2)+((BA25-Sheet1!$B$25)^2))</f>
        <v>23.019861630119287</v>
      </c>
    </row>
    <row r="26" spans="4:54" x14ac:dyDescent="0.25">
      <c r="D26">
        <f>Sheet1!S7</f>
        <v>7.4999999999999997E-2</v>
      </c>
      <c r="E26">
        <f>Sheet1!T7</f>
        <v>8.8499999999999995E-2</v>
      </c>
      <c r="F26">
        <f>Sheet1!U7</f>
        <v>7.4999999999999997E-2</v>
      </c>
      <c r="G26">
        <f>Sheet1!V7</f>
        <v>6.3E-3</v>
      </c>
      <c r="H26" s="1">
        <f t="shared" si="7"/>
        <v>0.58094750193111255</v>
      </c>
      <c r="I26" s="1">
        <f t="shared" si="7"/>
        <v>0.68551805227871276</v>
      </c>
      <c r="J26" s="1">
        <f t="shared" si="7"/>
        <v>0.58094750193111255</v>
      </c>
      <c r="K26" s="1">
        <f t="shared" si="7"/>
        <v>4.8799590162213455E-2</v>
      </c>
      <c r="L26">
        <f t="shared" si="8"/>
        <v>-1.355544171172596</v>
      </c>
      <c r="M26">
        <f>I26-(0.25*$K$38)+Sheet1!$B$17</f>
        <v>19.659184013288989</v>
      </c>
      <c r="N26">
        <f t="shared" si="9"/>
        <v>-1.355544171172596</v>
      </c>
      <c r="O26">
        <f>K26-(0.25*$K$38)+Sheet1!$B$17</f>
        <v>19.022465551172491</v>
      </c>
      <c r="P26" s="1">
        <f t="shared" si="10"/>
        <v>0.58094750193111255</v>
      </c>
      <c r="Q26" s="1">
        <f t="shared" si="10"/>
        <v>0.68551805227871276</v>
      </c>
      <c r="R26" s="1">
        <f t="shared" si="10"/>
        <v>0.58094750193111255</v>
      </c>
      <c r="S26" s="1">
        <f t="shared" si="10"/>
        <v>4.8799590162213455E-2</v>
      </c>
      <c r="T26">
        <f t="shared" si="11"/>
        <v>-1.355544171172596</v>
      </c>
      <c r="U26">
        <f>Q26-(0.25*$S$38)+Sheet1!$B$17</f>
        <v>19.659184013288989</v>
      </c>
      <c r="V26">
        <f t="shared" si="12"/>
        <v>-1.355544171172596</v>
      </c>
      <c r="W26">
        <f>S26-(0.25*$S$38)+Sheet1!$B$17</f>
        <v>19.022465551172491</v>
      </c>
      <c r="X26" s="4">
        <f t="shared" si="13"/>
        <v>-1.355544171172596</v>
      </c>
      <c r="Y26" s="4">
        <f t="shared" si="14"/>
        <v>19.532910062572157</v>
      </c>
      <c r="Z26" s="4">
        <f t="shared" si="15"/>
        <v>2.2246214410152696</v>
      </c>
      <c r="AA26">
        <f t="shared" si="16"/>
        <v>-1.355544171172596</v>
      </c>
      <c r="AB26">
        <f t="shared" si="17"/>
        <v>18.900281340683502</v>
      </c>
      <c r="AC26">
        <f t="shared" si="18"/>
        <v>2.1525707627288693</v>
      </c>
      <c r="AD26" s="3">
        <f t="shared" si="19"/>
        <v>0.20715935894861209</v>
      </c>
      <c r="AE26" s="3">
        <f t="shared" si="25"/>
        <v>0.2071593589486119</v>
      </c>
      <c r="AF26" s="3">
        <f t="shared" si="6"/>
        <v>2.2282023396573507</v>
      </c>
      <c r="AG26" s="3">
        <f t="shared" si="20"/>
        <v>2.2406321370765165</v>
      </c>
      <c r="AH26" s="3">
        <f t="shared" si="26"/>
        <v>9.0342407611001985E-2</v>
      </c>
      <c r="AI26" s="3">
        <f t="shared" si="27"/>
        <v>2.4424906541753444E-15</v>
      </c>
      <c r="AJ26" s="3">
        <f t="shared" si="28"/>
        <v>-2.3484891046277045E-2</v>
      </c>
      <c r="AK26" s="3">
        <f t="shared" si="29"/>
        <v>0.73455716602857879</v>
      </c>
      <c r="AL26" s="3">
        <f t="shared" si="30"/>
        <v>2.2047174486110737</v>
      </c>
      <c r="AM26" s="3">
        <f t="shared" si="31"/>
        <v>0.73455716602856791</v>
      </c>
      <c r="AN26" s="1">
        <f t="shared" si="32"/>
        <v>0.19503845774615858</v>
      </c>
      <c r="AO26" s="1">
        <f t="shared" si="33"/>
        <v>0.19503845774615838</v>
      </c>
      <c r="AP26" s="1">
        <f t="shared" si="21"/>
        <v>2.1560356838067323</v>
      </c>
      <c r="AQ26" s="1">
        <f t="shared" si="22"/>
        <v>2.1638575377283638</v>
      </c>
      <c r="AR26" s="1">
        <f t="shared" si="23"/>
        <v>8.9927891299323326E-2</v>
      </c>
      <c r="AS26" s="1">
        <f t="shared" si="24"/>
        <v>1.3322676295501878E-15</v>
      </c>
      <c r="AT26" s="1">
        <f t="shared" si="34"/>
        <v>1.2598436879030839E-2</v>
      </c>
      <c r="AU26" s="1">
        <f t="shared" si="35"/>
        <v>0.7345571660285708</v>
      </c>
      <c r="AV26" s="1">
        <f t="shared" si="36"/>
        <v>2.1686341206857631</v>
      </c>
      <c r="AW26" s="1">
        <f t="shared" si="37"/>
        <v>0.73455716602856791</v>
      </c>
      <c r="AY26" t="s">
        <v>26</v>
      </c>
      <c r="AZ26">
        <f>N38</f>
        <v>5.809475019311126</v>
      </c>
      <c r="BA26">
        <f>O38</f>
        <v>18.973665961010276</v>
      </c>
      <c r="BB26">
        <f>SQRT(((AZ26-Sheet1!$B$24)^2)+((BA26-Sheet1!$B$25)^2))</f>
        <v>23.979075132389021</v>
      </c>
    </row>
    <row r="27" spans="4:54" x14ac:dyDescent="0.25">
      <c r="D27">
        <f>Sheet1!S8</f>
        <v>0.1</v>
      </c>
      <c r="E27">
        <f>Sheet1!T8</f>
        <v>9.6000000000000002E-2</v>
      </c>
      <c r="F27">
        <f>Sheet1!U8</f>
        <v>0.1</v>
      </c>
      <c r="G27">
        <f>Sheet1!V8</f>
        <v>4.1999999999999997E-3</v>
      </c>
      <c r="H27" s="1">
        <f t="shared" si="7"/>
        <v>0.7745966692414834</v>
      </c>
      <c r="I27" s="1">
        <f t="shared" si="7"/>
        <v>0.74361280247182404</v>
      </c>
      <c r="J27" s="1">
        <f t="shared" si="7"/>
        <v>0.7745966692414834</v>
      </c>
      <c r="K27" s="1">
        <f t="shared" si="7"/>
        <v>3.2533060108142303E-2</v>
      </c>
      <c r="L27">
        <f t="shared" si="8"/>
        <v>-1.1618950038622251</v>
      </c>
      <c r="M27">
        <f>I27-(0.25*$K$38)+Sheet1!$B$17</f>
        <v>19.717278763482099</v>
      </c>
      <c r="N27">
        <f t="shared" si="9"/>
        <v>-1.1618950038622251</v>
      </c>
      <c r="O27">
        <f>K27-(0.25*$K$38)+Sheet1!$B$17</f>
        <v>19.00619902111842</v>
      </c>
      <c r="P27" s="1">
        <f t="shared" si="10"/>
        <v>0.7745966692414834</v>
      </c>
      <c r="Q27" s="1">
        <f t="shared" si="10"/>
        <v>0.74361280247182404</v>
      </c>
      <c r="R27" s="1">
        <f t="shared" si="10"/>
        <v>0.7745966692414834</v>
      </c>
      <c r="S27" s="1">
        <f t="shared" si="10"/>
        <v>3.2533060108142303E-2</v>
      </c>
      <c r="T27">
        <f t="shared" si="11"/>
        <v>-1.1618950038622251</v>
      </c>
      <c r="U27">
        <f>Q27-(0.25*$S$38)+Sheet1!$B$17</f>
        <v>19.717278763482099</v>
      </c>
      <c r="V27">
        <f t="shared" si="12"/>
        <v>-1.1618950038622251</v>
      </c>
      <c r="W27">
        <f>S27-(0.25*$S$38)+Sheet1!$B$17</f>
        <v>19.00619902111842</v>
      </c>
      <c r="X27" s="4">
        <f t="shared" si="13"/>
        <v>-1.1618950038622251</v>
      </c>
      <c r="Y27" s="4">
        <f t="shared" si="14"/>
        <v>19.590631661284622</v>
      </c>
      <c r="Z27" s="4">
        <f t="shared" si="15"/>
        <v>2.2311954080122041</v>
      </c>
      <c r="AA27">
        <f t="shared" si="16"/>
        <v>-1.1618950038622251</v>
      </c>
      <c r="AB27">
        <f t="shared" si="17"/>
        <v>18.884119293044012</v>
      </c>
      <c r="AC27">
        <f t="shared" si="18"/>
        <v>2.1507300519697274</v>
      </c>
      <c r="AD27" s="3">
        <f t="shared" si="19"/>
        <v>0.20217566619155647</v>
      </c>
      <c r="AE27" s="3">
        <f t="shared" si="25"/>
        <v>0.20217566619155694</v>
      </c>
      <c r="AF27" s="3">
        <f t="shared" si="6"/>
        <v>2.2347868885488307</v>
      </c>
      <c r="AG27" s="3">
        <f t="shared" si="20"/>
        <v>2.2743761627223358</v>
      </c>
      <c r="AH27" s="3">
        <f t="shared" si="26"/>
        <v>0.17516887962900851</v>
      </c>
      <c r="AI27" s="3">
        <f t="shared" si="27"/>
        <v>3.1086244689504383E-15</v>
      </c>
      <c r="AJ27" s="3">
        <f t="shared" si="28"/>
        <v>-2.6777165492015698E-2</v>
      </c>
      <c r="AK27" s="3">
        <f t="shared" si="29"/>
        <v>0.93670602437057526</v>
      </c>
      <c r="AL27" s="3">
        <f t="shared" si="30"/>
        <v>2.208009723056815</v>
      </c>
      <c r="AM27" s="3">
        <f t="shared" si="31"/>
        <v>0.93670602437056982</v>
      </c>
      <c r="AN27" s="1">
        <f t="shared" si="32"/>
        <v>0.19433116065109057</v>
      </c>
      <c r="AO27" s="1">
        <f t="shared" si="33"/>
        <v>0.19433116065109071</v>
      </c>
      <c r="AP27" s="1">
        <f t="shared" si="21"/>
        <v>2.1541920101171175</v>
      </c>
      <c r="AQ27" s="1">
        <f t="shared" si="22"/>
        <v>2.1876641055500312</v>
      </c>
      <c r="AR27" s="1">
        <f t="shared" si="23"/>
        <v>0.17823670649344336</v>
      </c>
      <c r="AS27" s="1">
        <f t="shared" si="24"/>
        <v>-6.6613381477509392E-16</v>
      </c>
      <c r="AT27" s="1">
        <f t="shared" si="34"/>
        <v>1.3520273723838461E-2</v>
      </c>
      <c r="AU27" s="1">
        <f t="shared" si="35"/>
        <v>0.93670602437057271</v>
      </c>
      <c r="AV27" s="1">
        <f t="shared" si="36"/>
        <v>2.1677122838409559</v>
      </c>
      <c r="AW27" s="1">
        <f t="shared" si="37"/>
        <v>0.93670602437056982</v>
      </c>
    </row>
    <row r="28" spans="4:54" x14ac:dyDescent="0.25">
      <c r="D28">
        <f>Sheet1!S9</f>
        <v>0.15</v>
      </c>
      <c r="E28">
        <f>Sheet1!T9</f>
        <v>0.1069</v>
      </c>
      <c r="F28">
        <f>Sheet1!U9</f>
        <v>0.15</v>
      </c>
      <c r="G28">
        <f>Sheet1!V9</f>
        <v>1.5E-3</v>
      </c>
      <c r="H28" s="1">
        <f t="shared" si="7"/>
        <v>1.1618950038622251</v>
      </c>
      <c r="I28" s="1">
        <f t="shared" si="7"/>
        <v>0.82804383941914572</v>
      </c>
      <c r="J28" s="1">
        <f t="shared" si="7"/>
        <v>1.1618950038622251</v>
      </c>
      <c r="K28" s="1">
        <f t="shared" si="7"/>
        <v>1.1618950038622251E-2</v>
      </c>
      <c r="L28">
        <f t="shared" si="8"/>
        <v>-0.7745966692414834</v>
      </c>
      <c r="M28">
        <f>I28-(0.25*$K$38)+Sheet1!$B$17</f>
        <v>19.801709800429421</v>
      </c>
      <c r="N28">
        <f t="shared" si="9"/>
        <v>-0.7745966692414834</v>
      </c>
      <c r="O28">
        <f>K28-(0.25*$K$38)+Sheet1!$B$17</f>
        <v>18.985284911048897</v>
      </c>
      <c r="P28" s="1">
        <f t="shared" si="10"/>
        <v>1.1618950038622251</v>
      </c>
      <c r="Q28" s="1">
        <f t="shared" si="10"/>
        <v>0.82804383941914572</v>
      </c>
      <c r="R28" s="1">
        <f t="shared" si="10"/>
        <v>1.1618950038622251</v>
      </c>
      <c r="S28" s="1">
        <f t="shared" si="10"/>
        <v>1.1618950038622251E-2</v>
      </c>
      <c r="T28">
        <f t="shared" si="11"/>
        <v>-0.7745966692414834</v>
      </c>
      <c r="U28">
        <f>Q28-(0.25*$S$38)+Sheet1!$B$17</f>
        <v>19.801709800429421</v>
      </c>
      <c r="V28">
        <f t="shared" si="12"/>
        <v>-0.7745966692414834</v>
      </c>
      <c r="W28">
        <f>S28-(0.25*$S$38)+Sheet1!$B$17</f>
        <v>18.985284911048897</v>
      </c>
      <c r="X28" s="4">
        <f t="shared" si="13"/>
        <v>-0.7745966692414834</v>
      </c>
      <c r="Y28" s="4">
        <f t="shared" si="14"/>
        <v>19.674520384746742</v>
      </c>
      <c r="Z28" s="4">
        <f t="shared" si="15"/>
        <v>2.2407495733810818</v>
      </c>
      <c r="AA28">
        <f t="shared" si="16"/>
        <v>-0.7745966692414834</v>
      </c>
      <c r="AB28">
        <f t="shared" si="17"/>
        <v>18.863339517507519</v>
      </c>
      <c r="AC28">
        <f t="shared" si="18"/>
        <v>2.1483634238508311</v>
      </c>
      <c r="AD28" s="3">
        <f t="shared" si="19"/>
        <v>0.39639450046639146</v>
      </c>
      <c r="AE28" s="3">
        <f t="shared" si="25"/>
        <v>0.39639450046639157</v>
      </c>
      <c r="AF28" s="3">
        <f t="shared" si="6"/>
        <v>2.2443564329377814</v>
      </c>
      <c r="AG28" s="3">
        <f t="shared" si="20"/>
        <v>2.2810153319887565</v>
      </c>
      <c r="AH28" s="3">
        <f t="shared" si="26"/>
        <v>0.17215393172517834</v>
      </c>
      <c r="AI28" s="3">
        <f t="shared" si="27"/>
        <v>3.7747582837255322E-15</v>
      </c>
      <c r="AJ28" s="3">
        <f t="shared" si="28"/>
        <v>-3.1561937686489738E-2</v>
      </c>
      <c r="AK28" s="3">
        <f t="shared" si="29"/>
        <v>1.3330716459310827</v>
      </c>
      <c r="AL28" s="3">
        <f t="shared" si="30"/>
        <v>2.2127944952512917</v>
      </c>
      <c r="AM28" s="3">
        <f t="shared" si="31"/>
        <v>1.3330716459310759</v>
      </c>
      <c r="AN28" s="1">
        <f t="shared" si="32"/>
        <v>0.38786260453928811</v>
      </c>
      <c r="AO28" s="1">
        <f t="shared" si="33"/>
        <v>0.38786260453928806</v>
      </c>
      <c r="AP28" s="1">
        <f t="shared" si="21"/>
        <v>2.1518215725161851</v>
      </c>
      <c r="AQ28" s="1">
        <f t="shared" si="22"/>
        <v>2.1858992373963697</v>
      </c>
      <c r="AR28" s="1">
        <f t="shared" si="23"/>
        <v>0.17817237746868453</v>
      </c>
      <c r="AS28" s="1">
        <f t="shared" si="24"/>
        <v>6.6613381477509392E-16</v>
      </c>
      <c r="AT28" s="1">
        <f t="shared" si="34"/>
        <v>1.4705492524304642E-2</v>
      </c>
      <c r="AU28" s="1">
        <f t="shared" si="35"/>
        <v>1.3330716459310745</v>
      </c>
      <c r="AV28" s="1">
        <f t="shared" si="36"/>
        <v>2.1665270650404898</v>
      </c>
      <c r="AW28" s="1">
        <f t="shared" si="37"/>
        <v>1.3330716459310759</v>
      </c>
    </row>
    <row r="29" spans="4:54" x14ac:dyDescent="0.25">
      <c r="D29">
        <f>Sheet1!S10</f>
        <v>0.2</v>
      </c>
      <c r="E29">
        <f>Sheet1!T10</f>
        <v>0.11360000000000003</v>
      </c>
      <c r="F29">
        <f>Sheet1!U10</f>
        <v>0.2</v>
      </c>
      <c r="G29">
        <f>Sheet1!V10</f>
        <v>2.9999999999999997E-4</v>
      </c>
      <c r="H29" s="1">
        <f t="shared" si="7"/>
        <v>1.5491933384829668</v>
      </c>
      <c r="I29" s="1">
        <f t="shared" si="7"/>
        <v>0.87994181625832546</v>
      </c>
      <c r="J29" s="1">
        <f t="shared" si="7"/>
        <v>1.5491933384829668</v>
      </c>
      <c r="K29" s="1">
        <f t="shared" si="7"/>
        <v>2.32379000772445E-3</v>
      </c>
      <c r="L29">
        <f t="shared" si="8"/>
        <v>-0.3872983346207417</v>
      </c>
      <c r="M29">
        <f>I29-(0.25*$K$38)+Sheet1!$B$17</f>
        <v>19.8536077772686</v>
      </c>
      <c r="N29">
        <f t="shared" si="9"/>
        <v>-0.3872983346207417</v>
      </c>
      <c r="O29">
        <f>K29-(0.25*$K$38)+Sheet1!$B$17</f>
        <v>18.975989751018002</v>
      </c>
      <c r="P29" s="1">
        <f t="shared" si="10"/>
        <v>1.5491933384829668</v>
      </c>
      <c r="Q29" s="1">
        <f t="shared" si="10"/>
        <v>0.87994181625832546</v>
      </c>
      <c r="R29" s="1">
        <f t="shared" si="10"/>
        <v>1.5491933384829668</v>
      </c>
      <c r="S29" s="1">
        <f t="shared" si="10"/>
        <v>2.32379000772445E-3</v>
      </c>
      <c r="T29">
        <f t="shared" si="11"/>
        <v>-0.3872983346207417</v>
      </c>
      <c r="U29">
        <f>Q29-(0.25*$S$38)+Sheet1!$B$17</f>
        <v>19.8536077772686</v>
      </c>
      <c r="V29">
        <f t="shared" si="12"/>
        <v>-0.3872983346207417</v>
      </c>
      <c r="W29">
        <f>S29-(0.25*$S$38)+Sheet1!$B$17</f>
        <v>18.975989751018002</v>
      </c>
      <c r="X29" s="4">
        <f t="shared" si="13"/>
        <v>-0.3872983346207417</v>
      </c>
      <c r="Y29" s="4">
        <f t="shared" si="14"/>
        <v>19.726085012929879</v>
      </c>
      <c r="Z29" s="4">
        <f t="shared" si="15"/>
        <v>2.2466223172316764</v>
      </c>
      <c r="AA29">
        <f t="shared" si="16"/>
        <v>-0.3872983346207417</v>
      </c>
      <c r="AB29">
        <f t="shared" si="17"/>
        <v>18.854104061713528</v>
      </c>
      <c r="AC29">
        <f t="shared" si="18"/>
        <v>2.1473115891313217</v>
      </c>
      <c r="AD29" s="3">
        <f t="shared" si="19"/>
        <v>0.39076002866209314</v>
      </c>
      <c r="AE29" s="3">
        <f t="shared" si="25"/>
        <v>0.39076002866209325</v>
      </c>
      <c r="AF29" s="3">
        <f t="shared" si="6"/>
        <v>2.250238629947503</v>
      </c>
      <c r="AG29" s="3">
        <f t="shared" si="20"/>
        <v>2.3813828847723428</v>
      </c>
      <c r="AH29" s="3">
        <f t="shared" si="26"/>
        <v>0.33149726158660253</v>
      </c>
      <c r="AI29" s="3">
        <f t="shared" si="27"/>
        <v>3.9968028886505635E-15</v>
      </c>
      <c r="AJ29" s="3">
        <f t="shared" si="28"/>
        <v>-3.4503036191349423E-2</v>
      </c>
      <c r="AK29" s="3">
        <f t="shared" si="29"/>
        <v>1.7238206061850865</v>
      </c>
      <c r="AL29" s="3">
        <f t="shared" si="30"/>
        <v>2.2157355937561536</v>
      </c>
      <c r="AM29" s="3">
        <f t="shared" si="31"/>
        <v>1.723820606185078</v>
      </c>
      <c r="AN29" s="1">
        <f t="shared" si="32"/>
        <v>0.38740986048370007</v>
      </c>
      <c r="AO29" s="1">
        <f t="shared" si="33"/>
        <v>0.38740986048370013</v>
      </c>
      <c r="AP29" s="1">
        <f t="shared" si="21"/>
        <v>2.1507680446935482</v>
      </c>
      <c r="AQ29" s="1">
        <f t="shared" si="22"/>
        <v>2.2858788481853383</v>
      </c>
      <c r="AR29" s="1">
        <f t="shared" si="23"/>
        <v>0.345708310585223</v>
      </c>
      <c r="AS29" s="1">
        <f t="shared" si="24"/>
        <v>0</v>
      </c>
      <c r="AT29" s="1">
        <f t="shared" si="34"/>
        <v>1.5232256435623093E-2</v>
      </c>
      <c r="AU29" s="1">
        <f t="shared" si="35"/>
        <v>1.7238206061850794</v>
      </c>
      <c r="AV29" s="1">
        <f t="shared" si="36"/>
        <v>2.1660003011291713</v>
      </c>
      <c r="AW29" s="1">
        <f t="shared" si="37"/>
        <v>1.723820606185078</v>
      </c>
    </row>
    <row r="30" spans="4:54" x14ac:dyDescent="0.25">
      <c r="D30">
        <f>Sheet1!S11</f>
        <v>0.3</v>
      </c>
      <c r="E30">
        <f>Sheet1!T11</f>
        <v>0.11699999999999999</v>
      </c>
      <c r="F30">
        <f>Sheet1!U11</f>
        <v>0.3</v>
      </c>
      <c r="G30">
        <f>Sheet1!V11</f>
        <v>0</v>
      </c>
      <c r="H30" s="1">
        <f t="shared" si="7"/>
        <v>2.3237900077244502</v>
      </c>
      <c r="I30" s="1">
        <f t="shared" si="7"/>
        <v>0.90627810301253553</v>
      </c>
      <c r="J30" s="1">
        <f t="shared" si="7"/>
        <v>2.3237900077244502</v>
      </c>
      <c r="K30" s="1">
        <f t="shared" si="7"/>
        <v>0</v>
      </c>
      <c r="L30">
        <f t="shared" si="8"/>
        <v>0.3872983346207417</v>
      </c>
      <c r="M30">
        <f>I30-(0.25*$K$38)+Sheet1!$B$17</f>
        <v>19.879944064022812</v>
      </c>
      <c r="N30">
        <f t="shared" si="9"/>
        <v>0.3872983346207417</v>
      </c>
      <c r="O30">
        <f>K30-(0.25*$K$38)+Sheet1!$B$17</f>
        <v>18.973665961010276</v>
      </c>
      <c r="P30" s="1">
        <f t="shared" si="10"/>
        <v>2.3237900077244502</v>
      </c>
      <c r="Q30" s="1">
        <f t="shared" si="10"/>
        <v>0.90627810301253553</v>
      </c>
      <c r="R30" s="1">
        <f t="shared" si="10"/>
        <v>2.3237900077244502</v>
      </c>
      <c r="S30" s="1">
        <f t="shared" si="10"/>
        <v>0</v>
      </c>
      <c r="T30">
        <f t="shared" si="11"/>
        <v>0.3872983346207417</v>
      </c>
      <c r="U30">
        <f>Q30-(0.25*$S$38)+Sheet1!$B$17</f>
        <v>19.879944064022812</v>
      </c>
      <c r="V30">
        <f t="shared" si="12"/>
        <v>0.3872983346207417</v>
      </c>
      <c r="W30">
        <f>S30-(0.25*$S$38)+Sheet1!$B$17</f>
        <v>18.973665961010276</v>
      </c>
      <c r="X30" s="4">
        <f t="shared" si="13"/>
        <v>0.3872983346207417</v>
      </c>
      <c r="Y30" s="4">
        <f t="shared" si="14"/>
        <v>19.752252137679534</v>
      </c>
      <c r="Z30" s="4">
        <f t="shared" si="15"/>
        <v>2.2496025156036201</v>
      </c>
      <c r="AA30">
        <f t="shared" si="16"/>
        <v>0.3872983346207417</v>
      </c>
      <c r="AB30">
        <f t="shared" si="17"/>
        <v>18.851795197765028</v>
      </c>
      <c r="AC30">
        <f t="shared" si="18"/>
        <v>2.1470486304514442</v>
      </c>
      <c r="AD30" s="3">
        <f t="shared" si="19"/>
        <v>0.77504425680086186</v>
      </c>
      <c r="AE30" s="3">
        <f t="shared" si="25"/>
        <v>0.77504425680086175</v>
      </c>
      <c r="AF30" s="3">
        <f t="shared" si="6"/>
        <v>2.2532236254449742</v>
      </c>
      <c r="AG30" s="3">
        <f t="shared" si="20"/>
        <v>2.3815167691648362</v>
      </c>
      <c r="AH30" s="3">
        <f t="shared" si="26"/>
        <v>0.33143404635610008</v>
      </c>
      <c r="AI30" s="3">
        <f t="shared" si="27"/>
        <v>3.9968028886505635E-15</v>
      </c>
      <c r="AJ30" s="3">
        <f t="shared" si="28"/>
        <v>-3.5995533940081703E-2</v>
      </c>
      <c r="AK30" s="3">
        <f t="shared" si="29"/>
        <v>2.4988634259379499</v>
      </c>
      <c r="AL30" s="3">
        <f t="shared" si="30"/>
        <v>2.2172280915048925</v>
      </c>
      <c r="AM30" s="3">
        <f t="shared" si="31"/>
        <v>2.498863425937941</v>
      </c>
      <c r="AN30" s="1">
        <f t="shared" si="32"/>
        <v>0.77460015491865231</v>
      </c>
      <c r="AO30" s="1">
        <f t="shared" si="33"/>
        <v>0.77460015491865231</v>
      </c>
      <c r="AP30" s="1">
        <f t="shared" si="21"/>
        <v>2.1505046627378888</v>
      </c>
      <c r="AQ30" s="1">
        <f t="shared" si="22"/>
        <v>2.2857537716161382</v>
      </c>
      <c r="AR30" s="1">
        <f t="shared" si="23"/>
        <v>0.34572640365586538</v>
      </c>
      <c r="AS30" s="1">
        <f t="shared" si="24"/>
        <v>0</v>
      </c>
      <c r="AT30" s="1">
        <f t="shared" si="34"/>
        <v>1.5363947413452816E-2</v>
      </c>
      <c r="AU30" s="1">
        <f t="shared" si="35"/>
        <v>2.498863425937941</v>
      </c>
      <c r="AV30" s="1">
        <f t="shared" si="36"/>
        <v>2.1658686101513416</v>
      </c>
      <c r="AW30" s="1">
        <f t="shared" si="37"/>
        <v>2.498863425937941</v>
      </c>
    </row>
    <row r="31" spans="4:54" x14ac:dyDescent="0.25">
      <c r="D31">
        <f>Sheet1!S12</f>
        <v>0.4</v>
      </c>
      <c r="E31">
        <f>Sheet1!T12</f>
        <v>0.11399999999999999</v>
      </c>
      <c r="F31">
        <f>Sheet1!U12</f>
        <v>0.4</v>
      </c>
      <c r="G31">
        <f>Sheet1!V12</f>
        <v>0</v>
      </c>
      <c r="H31" s="1">
        <f t="shared" si="7"/>
        <v>3.0983866769659336</v>
      </c>
      <c r="I31" s="1">
        <f t="shared" si="7"/>
        <v>0.88304020293529095</v>
      </c>
      <c r="J31" s="1">
        <f t="shared" si="7"/>
        <v>3.0983866769659336</v>
      </c>
      <c r="K31" s="1">
        <f t="shared" si="7"/>
        <v>0</v>
      </c>
      <c r="L31">
        <f t="shared" si="8"/>
        <v>1.1618950038622251</v>
      </c>
      <c r="M31">
        <f>I31-(0.25*$K$38)+Sheet1!$B$17</f>
        <v>19.856706163945567</v>
      </c>
      <c r="N31">
        <f t="shared" si="9"/>
        <v>1.1618950038622251</v>
      </c>
      <c r="O31">
        <f>K31-(0.25*$K$38)+Sheet1!$B$17</f>
        <v>18.973665961010276</v>
      </c>
      <c r="P31" s="1">
        <f t="shared" si="10"/>
        <v>3.0983866769659336</v>
      </c>
      <c r="Q31" s="1">
        <f t="shared" si="10"/>
        <v>0.88304020293529095</v>
      </c>
      <c r="R31" s="1">
        <f t="shared" si="10"/>
        <v>3.0983866769659336</v>
      </c>
      <c r="S31" s="1">
        <f t="shared" si="10"/>
        <v>0</v>
      </c>
      <c r="T31">
        <f t="shared" si="11"/>
        <v>1.1618950038622251</v>
      </c>
      <c r="U31">
        <f>Q31-(0.25*$S$38)+Sheet1!$B$17</f>
        <v>19.856706163945567</v>
      </c>
      <c r="V31">
        <f t="shared" si="12"/>
        <v>1.1618950038622251</v>
      </c>
      <c r="W31">
        <f>S31-(0.25*$S$38)+Sheet1!$B$17</f>
        <v>18.973665961010276</v>
      </c>
      <c r="X31" s="4">
        <f t="shared" si="13"/>
        <v>1.1618950038622251</v>
      </c>
      <c r="Y31" s="4">
        <f t="shared" si="14"/>
        <v>19.729163498194549</v>
      </c>
      <c r="Z31" s="4">
        <f t="shared" si="15"/>
        <v>2.2469729288048463</v>
      </c>
      <c r="AA31">
        <f t="shared" si="16"/>
        <v>1.1618950038622251</v>
      </c>
      <c r="AB31">
        <f t="shared" si="17"/>
        <v>18.851795197765028</v>
      </c>
      <c r="AC31">
        <f t="shared" si="18"/>
        <v>2.1470486304514442</v>
      </c>
      <c r="AD31" s="3">
        <f t="shared" si="19"/>
        <v>0.77494515935000208</v>
      </c>
      <c r="AE31" s="3">
        <f t="shared" si="25"/>
        <v>0.77494515935000208</v>
      </c>
      <c r="AF31" s="3">
        <f t="shared" si="6"/>
        <v>2.250589805888382</v>
      </c>
      <c r="AG31" s="3">
        <f t="shared" si="20"/>
        <v>2.3774804118080906</v>
      </c>
      <c r="AH31" s="3">
        <f t="shared" si="26"/>
        <v>0.33319158839551544</v>
      </c>
      <c r="AI31" s="3">
        <f t="shared" si="27"/>
        <v>3.9968028886505635E-15</v>
      </c>
      <c r="AJ31" s="3">
        <f t="shared" si="28"/>
        <v>-3.467862416178269E-2</v>
      </c>
      <c r="AK31" s="3">
        <f t="shared" si="29"/>
        <v>3.2738074663361161</v>
      </c>
      <c r="AL31" s="3">
        <f t="shared" si="30"/>
        <v>2.2159111817265993</v>
      </c>
      <c r="AM31" s="3">
        <f t="shared" si="31"/>
        <v>3.2738074663361072</v>
      </c>
      <c r="AN31" s="1">
        <f t="shared" si="32"/>
        <v>0.7745966692414834</v>
      </c>
      <c r="AO31" s="1">
        <f t="shared" si="33"/>
        <v>0.7745966692414834</v>
      </c>
      <c r="AP31" s="1">
        <f t="shared" si="21"/>
        <v>2.1505046627378888</v>
      </c>
      <c r="AQ31" s="1">
        <f t="shared" si="22"/>
        <v>2.2857537716161382</v>
      </c>
      <c r="AR31" s="1">
        <f t="shared" si="23"/>
        <v>0.34572640365586538</v>
      </c>
      <c r="AS31" s="1">
        <f t="shared" si="24"/>
        <v>0</v>
      </c>
      <c r="AT31" s="1">
        <f t="shared" si="34"/>
        <v>1.5363947413452816E-2</v>
      </c>
      <c r="AU31" s="1">
        <f t="shared" si="35"/>
        <v>3.2738074663361072</v>
      </c>
      <c r="AV31" s="1">
        <f t="shared" si="36"/>
        <v>2.1658686101513416</v>
      </c>
      <c r="AW31" s="1">
        <f t="shared" si="37"/>
        <v>3.2738074663361072</v>
      </c>
    </row>
    <row r="32" spans="4:54" x14ac:dyDescent="0.25">
      <c r="D32">
        <f>Sheet1!S13</f>
        <v>0.5</v>
      </c>
      <c r="E32">
        <f>Sheet1!T13</f>
        <v>0.1052</v>
      </c>
      <c r="F32">
        <f>Sheet1!U13</f>
        <v>0.5</v>
      </c>
      <c r="G32">
        <f>Sheet1!V13</f>
        <v>0</v>
      </c>
      <c r="H32" s="1">
        <f t="shared" si="7"/>
        <v>3.872983346207417</v>
      </c>
      <c r="I32" s="1">
        <f t="shared" si="7"/>
        <v>0.81487569604204058</v>
      </c>
      <c r="J32" s="1">
        <f t="shared" si="7"/>
        <v>3.872983346207417</v>
      </c>
      <c r="K32" s="1">
        <f t="shared" si="7"/>
        <v>0</v>
      </c>
      <c r="L32">
        <f t="shared" si="8"/>
        <v>1.9364916731037085</v>
      </c>
      <c r="M32">
        <f>I32-(0.25*$K$38)+Sheet1!$B$17</f>
        <v>19.788541657052317</v>
      </c>
      <c r="N32">
        <f t="shared" si="9"/>
        <v>1.9364916731037085</v>
      </c>
      <c r="O32">
        <f>K32-(0.25*$K$38)+Sheet1!$B$17</f>
        <v>18.973665961010276</v>
      </c>
      <c r="P32" s="1">
        <f t="shared" si="10"/>
        <v>3.872983346207417</v>
      </c>
      <c r="Q32" s="1">
        <f t="shared" si="10"/>
        <v>0.81487569604204058</v>
      </c>
      <c r="R32" s="1">
        <f t="shared" si="10"/>
        <v>3.872983346207417</v>
      </c>
      <c r="S32" s="1">
        <f t="shared" si="10"/>
        <v>0</v>
      </c>
      <c r="T32">
        <f t="shared" si="11"/>
        <v>1.9364916731037085</v>
      </c>
      <c r="U32">
        <f>Q32-(0.25*$S$38)+Sheet1!$B$17</f>
        <v>19.788541657052317</v>
      </c>
      <c r="V32">
        <f t="shared" si="12"/>
        <v>1.9364916731037085</v>
      </c>
      <c r="W32">
        <f>S32-(0.25*$S$38)+Sheet1!$B$17</f>
        <v>18.973665961010276</v>
      </c>
      <c r="X32" s="4">
        <f t="shared" si="13"/>
        <v>1.9364916731037085</v>
      </c>
      <c r="Y32" s="4">
        <f t="shared" si="14"/>
        <v>19.661436822371918</v>
      </c>
      <c r="Z32" s="4">
        <f t="shared" si="15"/>
        <v>2.23925947419511</v>
      </c>
      <c r="AA32">
        <f t="shared" si="16"/>
        <v>1.9364916731037085</v>
      </c>
      <c r="AB32">
        <f t="shared" si="17"/>
        <v>18.851795197765028</v>
      </c>
      <c r="AC32">
        <f t="shared" si="18"/>
        <v>2.1470486304514442</v>
      </c>
      <c r="AD32" s="3">
        <f t="shared" si="19"/>
        <v>0.77759012339406697</v>
      </c>
      <c r="AE32" s="3">
        <f t="shared" si="25"/>
        <v>0.77759012339406675</v>
      </c>
      <c r="AF32" s="3">
        <f t="shared" si="6"/>
        <v>2.2428639351890456</v>
      </c>
      <c r="AG32" s="3">
        <f t="shared" si="20"/>
        <v>2.3695407501911845</v>
      </c>
      <c r="AH32" s="3">
        <f t="shared" si="26"/>
        <v>0.3362412107507684</v>
      </c>
      <c r="AI32" s="3">
        <f t="shared" si="27"/>
        <v>3.9968028886505635E-15</v>
      </c>
      <c r="AJ32" s="3">
        <f t="shared" si="28"/>
        <v>-3.0815688812110942E-2</v>
      </c>
      <c r="AK32" s="3">
        <f t="shared" si="29"/>
        <v>4.051387994468401</v>
      </c>
      <c r="AL32" s="3">
        <f t="shared" si="30"/>
        <v>2.2120482463769346</v>
      </c>
      <c r="AM32" s="3">
        <f t="shared" si="31"/>
        <v>4.0513879944683922</v>
      </c>
      <c r="AN32" s="1">
        <f t="shared" si="32"/>
        <v>0.7745966692414834</v>
      </c>
      <c r="AO32" s="1">
        <f t="shared" si="33"/>
        <v>0.7745966692414834</v>
      </c>
      <c r="AP32" s="1">
        <f t="shared" si="21"/>
        <v>2.1505046627378888</v>
      </c>
      <c r="AQ32" s="1">
        <f t="shared" si="22"/>
        <v>2.2857537716161382</v>
      </c>
      <c r="AR32" s="1">
        <f t="shared" si="23"/>
        <v>0.34572640365586538</v>
      </c>
      <c r="AS32" s="1">
        <f t="shared" si="24"/>
        <v>0</v>
      </c>
      <c r="AT32" s="1">
        <f t="shared" si="34"/>
        <v>1.5363947413452816E-2</v>
      </c>
      <c r="AU32" s="1">
        <f t="shared" si="35"/>
        <v>4.0513879944683922</v>
      </c>
      <c r="AV32" s="1">
        <f t="shared" si="36"/>
        <v>2.1658686101513416</v>
      </c>
      <c r="AW32" s="1">
        <f t="shared" si="37"/>
        <v>4.0513879944683922</v>
      </c>
    </row>
    <row r="33" spans="4:49" x14ac:dyDescent="0.25">
      <c r="D33">
        <f>Sheet1!S14</f>
        <v>0.6</v>
      </c>
      <c r="E33">
        <f>Sheet1!T14</f>
        <v>9.1499999999999998E-2</v>
      </c>
      <c r="F33">
        <f>Sheet1!U14</f>
        <v>0.6</v>
      </c>
      <c r="G33">
        <f>Sheet1!V14</f>
        <v>0</v>
      </c>
      <c r="H33" s="1">
        <f t="shared" si="7"/>
        <v>4.6475800154489004</v>
      </c>
      <c r="I33" s="1">
        <f t="shared" si="7"/>
        <v>0.70875595235595734</v>
      </c>
      <c r="J33" s="1">
        <f t="shared" si="7"/>
        <v>4.6475800154489004</v>
      </c>
      <c r="K33" s="1">
        <f t="shared" si="7"/>
        <v>0</v>
      </c>
      <c r="L33">
        <f t="shared" si="8"/>
        <v>2.7110883423451919</v>
      </c>
      <c r="M33">
        <f>I33-(0.25*$K$38)+Sheet1!$B$17</f>
        <v>19.682421913366234</v>
      </c>
      <c r="N33">
        <f t="shared" si="9"/>
        <v>2.7110883423451919</v>
      </c>
      <c r="O33">
        <f>K33-(0.25*$K$38)+Sheet1!$B$17</f>
        <v>18.973665961010276</v>
      </c>
      <c r="P33" s="1">
        <f t="shared" si="10"/>
        <v>4.6475800154489004</v>
      </c>
      <c r="Q33" s="1">
        <f t="shared" si="10"/>
        <v>0.70875595235595734</v>
      </c>
      <c r="R33" s="1">
        <f t="shared" si="10"/>
        <v>4.6475800154489004</v>
      </c>
      <c r="S33" s="1">
        <f t="shared" si="10"/>
        <v>0</v>
      </c>
      <c r="T33">
        <f t="shared" si="11"/>
        <v>2.7110883423451919</v>
      </c>
      <c r="U33">
        <f>Q33-(0.25*$S$38)+Sheet1!$B$17</f>
        <v>19.682421913366234</v>
      </c>
      <c r="V33">
        <f t="shared" si="12"/>
        <v>2.7110883423451919</v>
      </c>
      <c r="W33">
        <f>S33-(0.25*$S$38)+Sheet1!$B$17</f>
        <v>18.973665961010276</v>
      </c>
      <c r="X33" s="4">
        <f t="shared" si="13"/>
        <v>2.7110883423451919</v>
      </c>
      <c r="Y33" s="4">
        <f t="shared" si="14"/>
        <v>19.555998702057142</v>
      </c>
      <c r="Z33" s="4">
        <f t="shared" si="15"/>
        <v>2.2272510278140434</v>
      </c>
      <c r="AA33">
        <f t="shared" si="16"/>
        <v>2.7110883423451919</v>
      </c>
      <c r="AB33">
        <f t="shared" si="17"/>
        <v>18.851795197765028</v>
      </c>
      <c r="AC33">
        <f t="shared" si="18"/>
        <v>2.1470486304514442</v>
      </c>
      <c r="AD33" s="3">
        <f t="shared" si="19"/>
        <v>0.78183207915766684</v>
      </c>
      <c r="AE33" s="3">
        <f t="shared" si="25"/>
        <v>0.78183207915766673</v>
      </c>
      <c r="AF33" s="3">
        <f t="shared" si="6"/>
        <v>2.230836159213943</v>
      </c>
      <c r="AG33" s="3">
        <f t="shared" si="20"/>
        <v>2.3581383016766155</v>
      </c>
      <c r="AH33" s="3">
        <f t="shared" si="26"/>
        <v>0.34026844213172169</v>
      </c>
      <c r="AI33" s="3">
        <f t="shared" si="27"/>
        <v>4.6629367034256575E-15</v>
      </c>
      <c r="AJ33" s="3">
        <f t="shared" si="28"/>
        <v>-2.4801800824556075E-2</v>
      </c>
      <c r="AK33" s="3">
        <f t="shared" si="29"/>
        <v>4.8331969437336753</v>
      </c>
      <c r="AL33" s="3">
        <f t="shared" si="30"/>
        <v>2.2060343583893869</v>
      </c>
      <c r="AM33" s="3">
        <f t="shared" si="31"/>
        <v>4.8331969437336664</v>
      </c>
      <c r="AN33" s="1">
        <f t="shared" si="32"/>
        <v>0.7745966692414834</v>
      </c>
      <c r="AO33" s="1">
        <f t="shared" si="33"/>
        <v>0.7745966692414834</v>
      </c>
      <c r="AP33" s="1">
        <f t="shared" si="21"/>
        <v>2.1505046627378888</v>
      </c>
      <c r="AQ33" s="1">
        <f t="shared" si="22"/>
        <v>2.2857537716161382</v>
      </c>
      <c r="AR33" s="1">
        <f t="shared" si="23"/>
        <v>0.34572640365586538</v>
      </c>
      <c r="AS33" s="1">
        <f t="shared" si="24"/>
        <v>0</v>
      </c>
      <c r="AT33" s="1">
        <f t="shared" si="34"/>
        <v>1.5363947413452816E-2</v>
      </c>
      <c r="AU33" s="1">
        <f t="shared" si="35"/>
        <v>4.8331969437336664</v>
      </c>
      <c r="AV33" s="1">
        <f t="shared" si="36"/>
        <v>2.1658686101513416</v>
      </c>
      <c r="AW33" s="1">
        <f t="shared" si="37"/>
        <v>4.8331969437336664</v>
      </c>
    </row>
    <row r="34" spans="4:49" x14ac:dyDescent="0.25">
      <c r="D34">
        <f>Sheet1!S15</f>
        <v>0.7</v>
      </c>
      <c r="E34">
        <f>Sheet1!T15</f>
        <v>7.350000000000001E-2</v>
      </c>
      <c r="F34">
        <f>Sheet1!U15</f>
        <v>0.7</v>
      </c>
      <c r="G34">
        <f>Sheet1!V15</f>
        <v>0</v>
      </c>
      <c r="H34" s="1">
        <f t="shared" si="7"/>
        <v>5.4221766846903838</v>
      </c>
      <c r="I34" s="1">
        <f t="shared" si="7"/>
        <v>0.56932855189249043</v>
      </c>
      <c r="J34" s="1">
        <f t="shared" si="7"/>
        <v>5.4221766846903838</v>
      </c>
      <c r="K34" s="1">
        <f t="shared" si="7"/>
        <v>0</v>
      </c>
      <c r="L34">
        <f t="shared" si="8"/>
        <v>3.4856850115866753</v>
      </c>
      <c r="M34">
        <f>I34-(0.25*$K$38)+Sheet1!$B$17</f>
        <v>19.542994512902766</v>
      </c>
      <c r="N34">
        <f t="shared" si="9"/>
        <v>3.4856850115866753</v>
      </c>
      <c r="O34">
        <f>K34-(0.25*$K$38)+Sheet1!$B$17</f>
        <v>18.973665961010276</v>
      </c>
      <c r="P34" s="1">
        <f t="shared" si="10"/>
        <v>5.4221766846903838</v>
      </c>
      <c r="Q34" s="1">
        <f t="shared" si="10"/>
        <v>0.56932855189249043</v>
      </c>
      <c r="R34" s="1">
        <f t="shared" si="10"/>
        <v>5.4221766846903838</v>
      </c>
      <c r="S34" s="1">
        <f t="shared" si="10"/>
        <v>0</v>
      </c>
      <c r="T34">
        <f t="shared" si="11"/>
        <v>3.4856850115866753</v>
      </c>
      <c r="U34">
        <f>Q34-(0.25*$S$38)+Sheet1!$B$17</f>
        <v>19.542994512902766</v>
      </c>
      <c r="V34">
        <f t="shared" si="12"/>
        <v>3.4856850115866753</v>
      </c>
      <c r="W34">
        <f>S34-(0.25*$S$38)+Sheet1!$B$17</f>
        <v>18.973665961010276</v>
      </c>
      <c r="X34" s="4">
        <f t="shared" si="13"/>
        <v>3.4856850115866753</v>
      </c>
      <c r="Y34" s="4">
        <f t="shared" si="14"/>
        <v>19.417466865147219</v>
      </c>
      <c r="Z34" s="4">
        <f t="shared" si="15"/>
        <v>2.2114735070214007</v>
      </c>
      <c r="AA34">
        <f t="shared" si="16"/>
        <v>3.4856850115866753</v>
      </c>
      <c r="AB34">
        <f t="shared" si="17"/>
        <v>18.851795197765028</v>
      </c>
      <c r="AC34">
        <f t="shared" si="18"/>
        <v>2.1470486304514442</v>
      </c>
      <c r="AD34" s="3">
        <f t="shared" si="19"/>
        <v>0.78704510671244243</v>
      </c>
      <c r="AE34" s="3">
        <f t="shared" si="25"/>
        <v>0.78704510671244277</v>
      </c>
      <c r="AF34" s="3">
        <f t="shared" si="6"/>
        <v>2.2150332418743908</v>
      </c>
      <c r="AG34" s="3">
        <f t="shared" si="20"/>
        <v>2.3435384096969334</v>
      </c>
      <c r="AH34" s="3">
        <f t="shared" si="26"/>
        <v>0.34470121348652327</v>
      </c>
      <c r="AI34" s="3">
        <f t="shared" si="27"/>
        <v>4.2188474935755949E-15</v>
      </c>
      <c r="AJ34" s="3">
        <f t="shared" si="28"/>
        <v>-1.6900342154777093E-2</v>
      </c>
      <c r="AK34" s="3">
        <f t="shared" si="29"/>
        <v>5.6202023865044941</v>
      </c>
      <c r="AL34" s="3">
        <f t="shared" si="30"/>
        <v>2.1981328997196137</v>
      </c>
      <c r="AM34" s="3">
        <f t="shared" si="31"/>
        <v>5.6202023865044834</v>
      </c>
      <c r="AN34" s="1">
        <f t="shared" si="32"/>
        <v>0.7745966692414834</v>
      </c>
      <c r="AO34" s="1">
        <f t="shared" si="33"/>
        <v>0.7745966692414834</v>
      </c>
      <c r="AP34" s="1">
        <f t="shared" si="21"/>
        <v>2.1505046627378888</v>
      </c>
      <c r="AQ34" s="1">
        <f t="shared" si="22"/>
        <v>2.2857537716161387</v>
      </c>
      <c r="AR34" s="1">
        <f t="shared" si="23"/>
        <v>0.34572640365586538</v>
      </c>
      <c r="AS34" s="1">
        <f t="shared" si="24"/>
        <v>0</v>
      </c>
      <c r="AT34" s="1">
        <f t="shared" si="34"/>
        <v>1.5363947413452816E-2</v>
      </c>
      <c r="AU34" s="1">
        <f t="shared" si="35"/>
        <v>5.6202023865044834</v>
      </c>
      <c r="AV34" s="1">
        <f t="shared" si="36"/>
        <v>2.1658686101513416</v>
      </c>
      <c r="AW34" s="1">
        <f t="shared" si="37"/>
        <v>5.6202023865044834</v>
      </c>
    </row>
    <row r="35" spans="4:49" x14ac:dyDescent="0.25">
      <c r="D35">
        <f>Sheet1!S16</f>
        <v>0.8</v>
      </c>
      <c r="E35">
        <f>Sheet1!T16</f>
        <v>5.220000000000001E-2</v>
      </c>
      <c r="F35">
        <f>Sheet1!U16</f>
        <v>0.8</v>
      </c>
      <c r="G35">
        <f>Sheet1!V16</f>
        <v>0</v>
      </c>
      <c r="H35" s="1">
        <f t="shared" si="7"/>
        <v>6.1967733539318672</v>
      </c>
      <c r="I35" s="1">
        <f t="shared" si="7"/>
        <v>0.40433946134405441</v>
      </c>
      <c r="J35" s="1">
        <f t="shared" si="7"/>
        <v>6.1967733539318672</v>
      </c>
      <c r="K35" s="1">
        <f t="shared" si="7"/>
        <v>0</v>
      </c>
      <c r="L35">
        <f t="shared" si="8"/>
        <v>4.2602816808281592</v>
      </c>
      <c r="M35">
        <f>I35-(0.25*$K$38)+Sheet1!$B$17</f>
        <v>19.378005422354331</v>
      </c>
      <c r="N35">
        <f t="shared" si="9"/>
        <v>4.2602816808281592</v>
      </c>
      <c r="O35">
        <f>K35-(0.25*$K$38)+Sheet1!$B$17</f>
        <v>18.973665961010276</v>
      </c>
      <c r="P35" s="1">
        <f t="shared" si="10"/>
        <v>6.1967733539318672</v>
      </c>
      <c r="Q35" s="1">
        <f t="shared" si="10"/>
        <v>0.40433946134405441</v>
      </c>
      <c r="R35" s="1">
        <f t="shared" si="10"/>
        <v>6.1967733539318672</v>
      </c>
      <c r="S35" s="1">
        <f t="shared" si="10"/>
        <v>0</v>
      </c>
      <c r="T35">
        <f t="shared" si="11"/>
        <v>4.2602816808281592</v>
      </c>
      <c r="U35">
        <f>Q35-(0.25*$S$38)+Sheet1!$B$17</f>
        <v>19.378005422354331</v>
      </c>
      <c r="V35">
        <f t="shared" si="12"/>
        <v>4.2602816808281592</v>
      </c>
      <c r="W35">
        <f>S35-(0.25*$S$38)+Sheet1!$B$17</f>
        <v>18.973665961010276</v>
      </c>
      <c r="X35" s="4">
        <f t="shared" si="13"/>
        <v>4.2602816808281592</v>
      </c>
      <c r="Y35" s="4">
        <f t="shared" si="14"/>
        <v>19.253537524803807</v>
      </c>
      <c r="Z35" s="4">
        <f t="shared" si="15"/>
        <v>2.1928034407501076</v>
      </c>
      <c r="AA35">
        <f t="shared" si="16"/>
        <v>4.2602816808281592</v>
      </c>
      <c r="AB35">
        <f t="shared" si="17"/>
        <v>18.851795197765028</v>
      </c>
      <c r="AC35">
        <f t="shared" si="18"/>
        <v>2.1470486304514442</v>
      </c>
      <c r="AD35" s="3">
        <f t="shared" si="19"/>
        <v>0.79197310560397272</v>
      </c>
      <c r="AE35" s="3">
        <f t="shared" si="25"/>
        <v>0.79197310560397216</v>
      </c>
      <c r="AF35" s="3">
        <f t="shared" si="6"/>
        <v>2.1963331230225887</v>
      </c>
      <c r="AG35" s="3">
        <f t="shared" si="20"/>
        <v>2.3264466416733089</v>
      </c>
      <c r="AH35" s="3">
        <f t="shared" si="26"/>
        <v>0.34961174694560326</v>
      </c>
      <c r="AI35" s="3">
        <f t="shared" si="27"/>
        <v>4.4408920985006262E-15</v>
      </c>
      <c r="AJ35" s="3">
        <f t="shared" si="28"/>
        <v>-7.5502827288720376E-3</v>
      </c>
      <c r="AK35" s="3">
        <f t="shared" si="29"/>
        <v>6.4121202966370605</v>
      </c>
      <c r="AL35" s="3">
        <f t="shared" si="30"/>
        <v>2.1887828402937166</v>
      </c>
      <c r="AM35" s="3">
        <f t="shared" si="31"/>
        <v>6.4121202966370516</v>
      </c>
      <c r="AN35" s="1">
        <f t="shared" si="32"/>
        <v>0.77459666924148385</v>
      </c>
      <c r="AO35" s="1">
        <f t="shared" si="33"/>
        <v>0.77459666924148385</v>
      </c>
      <c r="AP35" s="1">
        <f t="shared" si="21"/>
        <v>2.1505046627378888</v>
      </c>
      <c r="AQ35" s="1">
        <f t="shared" si="22"/>
        <v>2.2857537716161387</v>
      </c>
      <c r="AR35" s="1">
        <f t="shared" si="23"/>
        <v>0.34572640365586538</v>
      </c>
      <c r="AS35" s="1">
        <f t="shared" si="24"/>
        <v>0</v>
      </c>
      <c r="AT35" s="1">
        <f t="shared" si="34"/>
        <v>1.5363947413453261E-2</v>
      </c>
      <c r="AU35" s="1">
        <f t="shared" si="35"/>
        <v>6.4121202966370516</v>
      </c>
      <c r="AV35" s="1">
        <f t="shared" si="36"/>
        <v>2.165868610151342</v>
      </c>
      <c r="AW35" s="1">
        <f t="shared" si="37"/>
        <v>6.4121202966370516</v>
      </c>
    </row>
    <row r="36" spans="4:49" x14ac:dyDescent="0.25">
      <c r="D36">
        <f>Sheet1!S17</f>
        <v>0.90000000000000013</v>
      </c>
      <c r="E36">
        <f>Sheet1!T17</f>
        <v>2.8000000000000001E-2</v>
      </c>
      <c r="F36">
        <f>Sheet1!U17</f>
        <v>0.90000000000000013</v>
      </c>
      <c r="G36">
        <f>Sheet1!V17</f>
        <v>0</v>
      </c>
      <c r="H36" s="1">
        <f t="shared" si="7"/>
        <v>6.9713700231733515</v>
      </c>
      <c r="I36" s="1">
        <f t="shared" si="7"/>
        <v>0.21688706738761535</v>
      </c>
      <c r="J36" s="1">
        <f t="shared" si="7"/>
        <v>6.9713700231733515</v>
      </c>
      <c r="K36" s="1">
        <f t="shared" si="7"/>
        <v>0</v>
      </c>
      <c r="L36">
        <f t="shared" si="8"/>
        <v>5.0348783500696435</v>
      </c>
      <c r="M36">
        <f>I36-(0.25*$K$38)+Sheet1!$B$17</f>
        <v>19.190553028397893</v>
      </c>
      <c r="N36">
        <f t="shared" si="9"/>
        <v>5.0348783500696435</v>
      </c>
      <c r="O36">
        <f>K36-(0.25*$K$38)+Sheet1!$B$17</f>
        <v>18.973665961010276</v>
      </c>
      <c r="P36" s="1">
        <f t="shared" si="10"/>
        <v>6.9713700231733515</v>
      </c>
      <c r="Q36" s="1">
        <f t="shared" si="10"/>
        <v>0.21688706738761535</v>
      </c>
      <c r="R36" s="1">
        <f t="shared" si="10"/>
        <v>6.9713700231733515</v>
      </c>
      <c r="S36" s="1">
        <f t="shared" si="10"/>
        <v>0</v>
      </c>
      <c r="T36">
        <f t="shared" si="11"/>
        <v>5.0348783500696435</v>
      </c>
      <c r="U36">
        <f>Q36-(0.25*$S$38)+Sheet1!$B$17</f>
        <v>19.190553028397893</v>
      </c>
      <c r="V36">
        <f t="shared" si="12"/>
        <v>5.0348783500696435</v>
      </c>
      <c r="W36">
        <f>S36-(0.25*$S$38)+Sheet1!$B$17</f>
        <v>18.973665961010276</v>
      </c>
      <c r="X36" s="4">
        <f t="shared" si="13"/>
        <v>5.0348783500696435</v>
      </c>
      <c r="Y36" s="4">
        <f t="shared" si="14"/>
        <v>19.06728916629158</v>
      </c>
      <c r="Z36" s="4">
        <f t="shared" si="15"/>
        <v>2.1715914405733328</v>
      </c>
      <c r="AA36">
        <f t="shared" si="16"/>
        <v>5.0348783500696435</v>
      </c>
      <c r="AB36">
        <f t="shared" si="17"/>
        <v>18.851795197765028</v>
      </c>
      <c r="AC36">
        <f t="shared" si="18"/>
        <v>2.1470486304514442</v>
      </c>
      <c r="AD36" s="3">
        <f t="shared" si="19"/>
        <v>0.79695570767766011</v>
      </c>
      <c r="AE36" s="3">
        <f t="shared" si="25"/>
        <v>0.79695570767766066</v>
      </c>
      <c r="AF36" s="3">
        <f t="shared" si="6"/>
        <v>2.1750869785994138</v>
      </c>
      <c r="AG36" s="3">
        <f t="shared" si="20"/>
        <v>2.2059656078216796</v>
      </c>
      <c r="AH36" s="3">
        <f t="shared" si="26"/>
        <v>0.18248691937250494</v>
      </c>
      <c r="AI36" s="3">
        <f t="shared" si="27"/>
        <v>4.8849813083506888E-15</v>
      </c>
      <c r="AJ36" s="3">
        <f t="shared" si="28"/>
        <v>3.0727894827187185E-3</v>
      </c>
      <c r="AK36" s="3">
        <f t="shared" si="29"/>
        <v>7.2090052007084005</v>
      </c>
      <c r="AL36" s="3">
        <f t="shared" si="30"/>
        <v>2.1781597680821325</v>
      </c>
      <c r="AM36" s="3">
        <f t="shared" si="31"/>
        <v>7.2090052007083907</v>
      </c>
      <c r="AN36" s="1">
        <f t="shared" si="32"/>
        <v>0.77459666924148429</v>
      </c>
      <c r="AO36" s="1">
        <f t="shared" si="33"/>
        <v>0.77459666924148429</v>
      </c>
      <c r="AP36" s="1">
        <f t="shared" si="21"/>
        <v>2.1505046627378888</v>
      </c>
      <c r="AQ36" s="1">
        <f t="shared" si="22"/>
        <v>2.1851018979574843</v>
      </c>
      <c r="AR36" s="1">
        <f t="shared" si="23"/>
        <v>0.17818639540224668</v>
      </c>
      <c r="AS36" s="1">
        <f t="shared" si="24"/>
        <v>0</v>
      </c>
      <c r="AT36" s="1">
        <f t="shared" si="34"/>
        <v>1.5363947413453705E-2</v>
      </c>
      <c r="AU36" s="1">
        <f t="shared" si="35"/>
        <v>7.2090052007083907</v>
      </c>
      <c r="AV36" s="1">
        <f t="shared" si="36"/>
        <v>2.1658686101513425</v>
      </c>
      <c r="AW36" s="1">
        <f t="shared" si="37"/>
        <v>7.2090052007083907</v>
      </c>
    </row>
    <row r="37" spans="4:49" x14ac:dyDescent="0.25">
      <c r="D37">
        <f>Sheet1!S18</f>
        <v>0.95</v>
      </c>
      <c r="E37">
        <f>Sheet1!T18</f>
        <v>1.49E-2</v>
      </c>
      <c r="F37">
        <f>Sheet1!U18</f>
        <v>0.95</v>
      </c>
      <c r="G37">
        <f>Sheet1!V18</f>
        <v>0</v>
      </c>
      <c r="H37" s="1">
        <f t="shared" si="7"/>
        <v>7.3586683577940919</v>
      </c>
      <c r="I37" s="1">
        <f t="shared" si="7"/>
        <v>0.11541490371698103</v>
      </c>
      <c r="J37" s="1">
        <f t="shared" si="7"/>
        <v>7.3586683577940919</v>
      </c>
      <c r="K37" s="1">
        <f t="shared" si="7"/>
        <v>0</v>
      </c>
      <c r="L37">
        <f t="shared" si="8"/>
        <v>5.4221766846903829</v>
      </c>
      <c r="M37">
        <f>I37-(0.25*$K$38)+Sheet1!$B$17</f>
        <v>19.089080864727258</v>
      </c>
      <c r="N37">
        <f t="shared" si="9"/>
        <v>5.4221766846903829</v>
      </c>
      <c r="O37">
        <f>K37-(0.25*$K$38)+Sheet1!$B$17</f>
        <v>18.973665961010276</v>
      </c>
      <c r="P37" s="1">
        <f t="shared" si="10"/>
        <v>7.3586683577940919</v>
      </c>
      <c r="Q37" s="1">
        <f t="shared" si="10"/>
        <v>0.11541490371698103</v>
      </c>
      <c r="R37" s="1">
        <f t="shared" si="10"/>
        <v>7.3586683577940919</v>
      </c>
      <c r="S37" s="1">
        <f t="shared" si="10"/>
        <v>0</v>
      </c>
      <c r="T37">
        <f t="shared" si="11"/>
        <v>5.4221766846903829</v>
      </c>
      <c r="U37">
        <f>Q37-(0.25*$S$38)+Sheet1!$B$17</f>
        <v>19.089080864727258</v>
      </c>
      <c r="V37">
        <f t="shared" si="12"/>
        <v>5.4221766846903829</v>
      </c>
      <c r="W37">
        <f>S37-(0.25*$S$38)+Sheet1!$B$17</f>
        <v>18.973665961010276</v>
      </c>
      <c r="X37" s="4">
        <f t="shared" si="13"/>
        <v>5.4221766846903829</v>
      </c>
      <c r="Y37" s="4">
        <f t="shared" si="14"/>
        <v>18.9664687738738</v>
      </c>
      <c r="Z37" s="4">
        <f t="shared" si="15"/>
        <v>2.1601089115520207</v>
      </c>
      <c r="AA37">
        <f t="shared" si="16"/>
        <v>5.4221766846903829</v>
      </c>
      <c r="AB37">
        <f t="shared" si="17"/>
        <v>18.851795197765028</v>
      </c>
      <c r="AC37">
        <f t="shared" si="18"/>
        <v>2.1470486304514442</v>
      </c>
      <c r="AD37" s="3">
        <f t="shared" si="19"/>
        <v>0.40037057833961631</v>
      </c>
      <c r="AE37" s="3">
        <f t="shared" si="25"/>
        <v>0.40037057833961592</v>
      </c>
      <c r="AF37" s="3">
        <f t="shared" si="6"/>
        <v>2.1635859665356292</v>
      </c>
      <c r="AG37" s="3">
        <f t="shared" si="20"/>
        <v>2.194616710790644</v>
      </c>
      <c r="AH37" s="3">
        <f t="shared" si="26"/>
        <v>0.18399715143768036</v>
      </c>
      <c r="AI37" s="3">
        <f t="shared" si="27"/>
        <v>3.5527136788005009E-15</v>
      </c>
      <c r="AJ37" s="3">
        <f t="shared" si="28"/>
        <v>8.8232955146128056E-3</v>
      </c>
      <c r="AK37" s="3">
        <f t="shared" si="29"/>
        <v>7.6093344797779885</v>
      </c>
      <c r="AL37" s="3">
        <f t="shared" si="30"/>
        <v>2.172409262050242</v>
      </c>
      <c r="AM37" s="3">
        <f t="shared" si="31"/>
        <v>7.6093344797779778</v>
      </c>
      <c r="AN37" s="1">
        <f t="shared" si="32"/>
        <v>0.38729833462073948</v>
      </c>
      <c r="AO37" s="1">
        <f t="shared" si="33"/>
        <v>0.38729833462073948</v>
      </c>
      <c r="AP37" s="1">
        <f t="shared" si="21"/>
        <v>2.1505046627378888</v>
      </c>
      <c r="AQ37" s="1">
        <f t="shared" si="22"/>
        <v>2.1851018979574848</v>
      </c>
      <c r="AR37" s="1">
        <f t="shared" si="23"/>
        <v>0.17818639540224868</v>
      </c>
      <c r="AS37" s="1">
        <f t="shared" si="24"/>
        <v>0</v>
      </c>
      <c r="AT37" s="1">
        <f t="shared" si="34"/>
        <v>1.5363947413454149E-2</v>
      </c>
      <c r="AU37" s="1">
        <f t="shared" si="35"/>
        <v>7.6093344797779778</v>
      </c>
      <c r="AV37" s="1">
        <f t="shared" si="36"/>
        <v>2.1658686101513429</v>
      </c>
      <c r="AW37" s="1">
        <f t="shared" si="37"/>
        <v>7.6093344797779778</v>
      </c>
    </row>
    <row r="38" spans="4:49" x14ac:dyDescent="0.25">
      <c r="D38">
        <f>Sheet1!S19</f>
        <v>1</v>
      </c>
      <c r="E38">
        <f>Sheet1!T19</f>
        <v>1.1999999999999999E-3</v>
      </c>
      <c r="F38">
        <f>Sheet1!U19</f>
        <v>1</v>
      </c>
      <c r="G38">
        <f>Sheet1!V19</f>
        <v>0</v>
      </c>
      <c r="H38" s="1">
        <f t="shared" si="7"/>
        <v>7.745966692414834</v>
      </c>
      <c r="I38" s="1">
        <f t="shared" si="7"/>
        <v>9.2951600308978002E-3</v>
      </c>
      <c r="J38" s="1">
        <f t="shared" si="7"/>
        <v>7.745966692414834</v>
      </c>
      <c r="K38" s="1">
        <f t="shared" si="7"/>
        <v>0</v>
      </c>
      <c r="L38">
        <f t="shared" si="8"/>
        <v>5.809475019311126</v>
      </c>
      <c r="M38">
        <f>I38-(0.25*$K$38)+Sheet1!$B$17</f>
        <v>18.982961121041175</v>
      </c>
      <c r="N38">
        <f t="shared" si="9"/>
        <v>5.809475019311126</v>
      </c>
      <c r="O38">
        <f>K38-(0.25*$K$38)+Sheet1!$B$17</f>
        <v>18.973665961010276</v>
      </c>
      <c r="P38" s="1">
        <f t="shared" si="10"/>
        <v>7.745966692414834</v>
      </c>
      <c r="Q38" s="1">
        <f t="shared" si="10"/>
        <v>9.2951600308978002E-3</v>
      </c>
      <c r="R38" s="1">
        <f t="shared" si="10"/>
        <v>7.745966692414834</v>
      </c>
      <c r="S38" s="1">
        <f t="shared" si="10"/>
        <v>0</v>
      </c>
      <c r="T38">
        <f t="shared" si="11"/>
        <v>5.809475019311126</v>
      </c>
      <c r="U38">
        <f>Q38-(0.25*$S$38)+Sheet1!$B$17</f>
        <v>18.982961121041175</v>
      </c>
      <c r="V38">
        <f t="shared" si="12"/>
        <v>5.809475019311126</v>
      </c>
      <c r="W38">
        <f>S38-(0.25*$S$38)+Sheet1!$B$17</f>
        <v>18.973665961010276</v>
      </c>
      <c r="X38" s="4">
        <f t="shared" si="13"/>
        <v>5.809475019311126</v>
      </c>
      <c r="Y38" s="4">
        <f t="shared" si="14"/>
        <v>18.861030653559023</v>
      </c>
      <c r="Z38" s="4">
        <f t="shared" si="15"/>
        <v>2.1481004651709537</v>
      </c>
      <c r="AA38">
        <f t="shared" si="16"/>
        <v>5.809475019311126</v>
      </c>
      <c r="AB38">
        <f t="shared" si="17"/>
        <v>18.851795197765028</v>
      </c>
      <c r="AC38">
        <f t="shared" si="18"/>
        <v>2.1470486304514442</v>
      </c>
      <c r="AD38" s="3">
        <f t="shared" si="19"/>
        <v>0.40157365451433846</v>
      </c>
      <c r="AE38" s="3">
        <f t="shared" si="25"/>
        <v>0.40157365451433813</v>
      </c>
      <c r="AF38" s="3">
        <f t="shared" si="6"/>
        <v>2.1515581905605257</v>
      </c>
      <c r="AG38" s="3"/>
      <c r="AH38" s="3"/>
      <c r="AI38" s="3"/>
      <c r="AJ38" s="3">
        <f t="shared" si="28"/>
        <v>1.483718350216634E-2</v>
      </c>
      <c r="AK38" s="3">
        <f t="shared" si="29"/>
        <v>8.0108631003659525</v>
      </c>
      <c r="AL38" s="3">
        <f t="shared" si="30"/>
        <v>2.166395374062692</v>
      </c>
      <c r="AM38" s="3">
        <f t="shared" si="31"/>
        <v>8.0108631003659454</v>
      </c>
      <c r="AN38" s="1">
        <f t="shared" si="32"/>
        <v>0.38729833462074303</v>
      </c>
      <c r="AO38" s="1">
        <f t="shared" si="33"/>
        <v>0.38729833462074303</v>
      </c>
      <c r="AP38" s="1">
        <f t="shared" si="21"/>
        <v>2.1505046627378888</v>
      </c>
      <c r="AQ38" s="1"/>
      <c r="AR38" s="1"/>
      <c r="AS38" s="1"/>
      <c r="AT38" s="1">
        <f t="shared" si="34"/>
        <v>1.5363947413454149E-2</v>
      </c>
      <c r="AU38" s="1">
        <f t="shared" si="35"/>
        <v>8.0108631003659454</v>
      </c>
      <c r="AV38" s="1">
        <f t="shared" si="36"/>
        <v>2.1658686101513429</v>
      </c>
      <c r="AW38" s="1">
        <f t="shared" si="37"/>
        <v>8.0108631003659454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Sheet2 (2)</vt:lpstr>
      <vt:lpstr>Sheet2 (3)</vt:lpstr>
      <vt:lpstr>Sheet2 (4)</vt:lpstr>
      <vt:lpstr>Sheet2 (5)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riggerlee</dc:creator>
  <cp:lastModifiedBy>riggerlee</cp:lastModifiedBy>
  <dcterms:created xsi:type="dcterms:W3CDTF">2011-03-04T08:00:04Z</dcterms:created>
  <dcterms:modified xsi:type="dcterms:W3CDTF">2012-07-25T18:06:40Z</dcterms:modified>
</cp:coreProperties>
</file>