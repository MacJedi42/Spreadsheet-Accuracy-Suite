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3955" windowHeight="10995" tabRatio="161"/>
  </bookViews>
  <sheets>
    <sheet name="Totals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R14" i="1" l="1"/>
  <c r="S14" i="1"/>
  <c r="T14" i="1"/>
  <c r="U14" i="1"/>
  <c r="P44" i="1" l="1"/>
  <c r="P24" i="1"/>
  <c r="P26" i="1"/>
  <c r="P28" i="1"/>
  <c r="P22" i="1"/>
  <c r="P21" i="1" l="1"/>
  <c r="P29" i="1"/>
  <c r="P27" i="1"/>
  <c r="P25" i="1"/>
  <c r="P23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B21" i="1" l="1"/>
  <c r="O21" i="1" l="1"/>
  <c r="M21" i="1"/>
  <c r="K21" i="1"/>
  <c r="I21" i="1"/>
  <c r="G21" i="1"/>
  <c r="E21" i="1"/>
  <c r="C21" i="1"/>
  <c r="N21" i="1"/>
  <c r="L21" i="1"/>
  <c r="J21" i="1"/>
  <c r="H21" i="1"/>
  <c r="F21" i="1"/>
  <c r="D21" i="1"/>
  <c r="O29" i="1"/>
  <c r="M29" i="1"/>
  <c r="K29" i="1"/>
  <c r="I29" i="1"/>
  <c r="G29" i="1"/>
  <c r="E29" i="1"/>
  <c r="C29" i="1"/>
  <c r="O28" i="1"/>
  <c r="M28" i="1"/>
  <c r="K28" i="1"/>
  <c r="I28" i="1"/>
  <c r="G28" i="1"/>
  <c r="E28" i="1"/>
  <c r="C28" i="1"/>
  <c r="O27" i="1"/>
  <c r="M27" i="1"/>
  <c r="K27" i="1"/>
  <c r="I27" i="1"/>
  <c r="G27" i="1"/>
  <c r="E27" i="1"/>
  <c r="C27" i="1"/>
  <c r="O26" i="1"/>
  <c r="M26" i="1"/>
  <c r="K26" i="1"/>
  <c r="I26" i="1"/>
  <c r="G26" i="1"/>
  <c r="E26" i="1"/>
  <c r="C26" i="1"/>
  <c r="O25" i="1"/>
  <c r="M25" i="1"/>
  <c r="K25" i="1"/>
  <c r="I25" i="1"/>
  <c r="G25" i="1"/>
  <c r="E25" i="1"/>
  <c r="C25" i="1"/>
  <c r="O24" i="1"/>
  <c r="M24" i="1"/>
  <c r="K24" i="1"/>
  <c r="I24" i="1"/>
  <c r="G24" i="1"/>
  <c r="E24" i="1"/>
  <c r="C24" i="1"/>
  <c r="O23" i="1"/>
  <c r="M23" i="1"/>
  <c r="K23" i="1"/>
  <c r="I23" i="1"/>
  <c r="G23" i="1"/>
  <c r="E23" i="1"/>
  <c r="C23" i="1"/>
  <c r="O22" i="1"/>
  <c r="M22" i="1"/>
  <c r="K22" i="1"/>
  <c r="I22" i="1"/>
  <c r="G22" i="1"/>
  <c r="E22" i="1"/>
  <c r="C22" i="1"/>
  <c r="N29" i="1"/>
  <c r="L29" i="1"/>
  <c r="J29" i="1"/>
  <c r="H29" i="1"/>
  <c r="F29" i="1"/>
  <c r="D29" i="1"/>
  <c r="B29" i="1"/>
  <c r="N28" i="1"/>
  <c r="L28" i="1"/>
  <c r="J28" i="1"/>
  <c r="H28" i="1"/>
  <c r="F28" i="1"/>
  <c r="D28" i="1"/>
  <c r="B28" i="1"/>
  <c r="L27" i="1"/>
  <c r="J27" i="1"/>
  <c r="H27" i="1"/>
  <c r="F27" i="1"/>
  <c r="D27" i="1"/>
  <c r="B27" i="1"/>
  <c r="L26" i="1"/>
  <c r="J26" i="1"/>
  <c r="H26" i="1"/>
  <c r="F26" i="1"/>
  <c r="D26" i="1"/>
  <c r="B26" i="1"/>
  <c r="L25" i="1"/>
  <c r="J25" i="1"/>
  <c r="H25" i="1"/>
  <c r="F25" i="1"/>
  <c r="D25" i="1"/>
  <c r="B25" i="1"/>
  <c r="N24" i="1"/>
  <c r="L24" i="1"/>
  <c r="J24" i="1"/>
  <c r="H24" i="1"/>
  <c r="F24" i="1"/>
  <c r="D24" i="1"/>
  <c r="B24" i="1"/>
  <c r="N23" i="1"/>
  <c r="L23" i="1"/>
  <c r="J23" i="1"/>
  <c r="H23" i="1"/>
  <c r="F23" i="1"/>
  <c r="D23" i="1"/>
  <c r="B23" i="1"/>
  <c r="N22" i="1"/>
  <c r="L22" i="1"/>
  <c r="J22" i="1"/>
  <c r="H22" i="1"/>
  <c r="F22" i="1"/>
  <c r="D22" i="1"/>
  <c r="B22" i="1"/>
</calcChain>
</file>

<file path=xl/sharedStrings.xml><?xml version="1.0" encoding="utf-8"?>
<sst xmlns="http://schemas.openxmlformats.org/spreadsheetml/2006/main" count="130" uniqueCount="50">
  <si>
    <t>AY07-08</t>
  </si>
  <si>
    <t>AY08-09</t>
  </si>
  <si>
    <t>AY09-10</t>
  </si>
  <si>
    <t>AY10-11</t>
  </si>
  <si>
    <t>AY11-12</t>
  </si>
  <si>
    <t>Academic Year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</si>
  <si>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</si>
  <si>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</si>
  <si>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</si>
  <si>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</si>
  <si>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</si>
  <si>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</si>
  <si>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</si>
  <si>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</si>
  <si>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</si>
  <si>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</si>
  <si>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</si>
  <si>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</si>
  <si>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</si>
  <si>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</si>
  <si>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</si>
  <si>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</si>
  <si>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</si>
  <si>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</si>
  <si>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</si>
  <si>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</si>
  <si>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</si>
  <si>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</si>
  <si>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</si>
  <si>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>Unknown</t>
  </si>
  <si>
    <t>Term Total</t>
  </si>
  <si>
    <t>% of Total</t>
  </si>
  <si>
    <t>Credit Headcount % of Total</t>
  </si>
  <si>
    <t>Success Rate</t>
  </si>
  <si>
    <t>Term Average</t>
  </si>
  <si>
    <t>Headcount Of Credit Graded Students</t>
  </si>
  <si>
    <r>
      <t xml:space="preserve">Success rate </t>
    </r>
    <r>
      <rPr>
        <sz val="9"/>
        <color rgb="FF000000"/>
        <rFont val="Calibri"/>
        <family val="2"/>
      </rPr>
      <t xml:space="preserve">= # of “A, B, C, CR &amp; P” grades divided by (the # of all grades) “A, B, C, CR, P, D, F, NC, NP, I and W” </t>
    </r>
  </si>
  <si>
    <r>
      <rPr>
        <b/>
        <sz val="11"/>
        <color rgb="FFC00000"/>
        <rFont val="Calibri"/>
        <family val="2"/>
        <scheme val="minor"/>
      </rPr>
      <t xml:space="preserve">Ethnic </t>
    </r>
    <r>
      <rPr>
        <b/>
        <sz val="11"/>
        <color theme="1"/>
        <rFont val="Calibri"/>
        <family val="2"/>
        <scheme val="minor"/>
      </rPr>
      <t>Groups</t>
    </r>
  </si>
  <si>
    <r>
      <rPr>
        <b/>
        <sz val="11"/>
        <color rgb="FFC00000"/>
        <rFont val="Calibri"/>
        <family val="2"/>
        <scheme val="minor"/>
      </rPr>
      <t>Ethnic</t>
    </r>
    <r>
      <rPr>
        <b/>
        <sz val="11"/>
        <color theme="1"/>
        <rFont val="Calibri"/>
        <family val="2"/>
        <scheme val="minor"/>
      </rPr>
      <t xml:space="preserve"> Groups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</si>
  <si>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</si>
  <si>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Ethnic Groups</t>
    </r>
  </si>
  <si>
    <t>AY12-13</t>
  </si>
  <si>
    <t>AY13-14</t>
  </si>
  <si>
    <t>SU12</t>
  </si>
  <si>
    <t>FA12</t>
  </si>
  <si>
    <t>SP14</t>
  </si>
  <si>
    <t>SP13</t>
  </si>
  <si>
    <t>SU13</t>
  </si>
  <si>
    <t>FA13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</si>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</sst>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C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/>
    <xf numFmtId="3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0" fontId="28" fillId="0" borderId="0" xfId="0" applyFont="1" applyAlignment="1">
      <alignment vertical="center"/>
    </xf>
    <xf numFmtId="0" fontId="31" fillId="0" borderId="0" xfId="58" applyFont="1"/>
    <xf numFmtId="9" fontId="24" fillId="0" borderId="68" xfId="1" applyNumberFormat="1" applyFont="1" applyBorder="1" applyAlignment="1" applyProtection="1">
      <alignment horizontal="center" vertical="center"/>
    </xf>
    <xf numFmtId="9" fontId="24" fillId="0" borderId="70" xfId="1" applyNumberFormat="1" applyFont="1" applyBorder="1" applyAlignment="1" applyProtection="1">
      <alignment horizontal="center" vertical="center"/>
    </xf>
    <xf numFmtId="9" fontId="24" fillId="0" borderId="67" xfId="1" applyNumberFormat="1" applyFont="1" applyBorder="1" applyAlignment="1" applyProtection="1">
      <alignment horizontal="center" vertical="center"/>
    </xf>
    <xf numFmtId="9" fontId="24" fillId="0" borderId="66" xfId="1" applyNumberFormat="1" applyFont="1" applyBorder="1" applyAlignment="1" applyProtection="1">
      <alignment horizontal="center" vertical="center"/>
    </xf>
    <xf numFmtId="9" fontId="24" fillId="0" borderId="65" xfId="1" applyNumberFormat="1" applyFont="1" applyBorder="1" applyAlignment="1" applyProtection="1">
      <alignment horizontal="center" vertical="center"/>
    </xf>
    <xf numFmtId="9" fontId="24" fillId="0" borderId="38" xfId="1" applyNumberFormat="1" applyFont="1" applyBorder="1" applyAlignment="1" applyProtection="1">
      <alignment horizontal="center" vertical="center"/>
    </xf>
    <xf numFmtId="9" fontId="30" fillId="0" borderId="71" xfId="1" applyNumberFormat="1" applyFont="1" applyFill="1" applyBorder="1" applyAlignment="1" applyProtection="1">
      <alignment horizontal="center" vertical="center"/>
    </xf>
    <xf numFmtId="165" fontId="24" fillId="0" borderId="59" xfId="1" applyNumberFormat="1" applyFont="1" applyBorder="1" applyAlignment="1" applyProtection="1">
      <alignment horizontal="center" vertical="center"/>
    </xf>
    <xf numFmtId="9" fontId="24" fillId="0" borderId="69" xfId="1" applyNumberFormat="1" applyFont="1" applyBorder="1" applyAlignment="1" applyProtection="1">
      <alignment horizontal="center" vertical="center"/>
    </xf>
    <xf numFmtId="164" fontId="24" fillId="0" borderId="17" xfId="1" applyNumberFormat="1" applyFont="1" applyBorder="1" applyAlignment="1" applyProtection="1">
      <alignment horizontal="center" vertical="center"/>
    </xf>
    <xf numFmtId="164" fontId="24" fillId="0" borderId="22" xfId="1" applyNumberFormat="1" applyFont="1" applyBorder="1" applyAlignment="1" applyProtection="1">
      <alignment horizontal="center" vertical="center"/>
    </xf>
    <xf numFmtId="0" fontId="17" fillId="0" borderId="32" xfId="45" applyFont="1" applyBorder="1" applyAlignment="1">
      <alignment horizontal="center" vertical="center"/>
    </xf>
    <xf numFmtId="0" fontId="26" fillId="0" borderId="38" xfId="47" applyFont="1" applyBorder="1" applyAlignment="1" applyProtection="1"/>
    <xf numFmtId="0" fontId="26" fillId="0" borderId="24" xfId="47" applyFont="1" applyBorder="1" applyAlignment="1" applyProtection="1"/>
    <xf numFmtId="0" fontId="30" fillId="0" borderId="24" xfId="47" applyFont="1" applyBorder="1" applyAlignment="1" applyProtection="1">
      <alignment horizontal="center" vertical="center"/>
    </xf>
    <xf numFmtId="164" fontId="24" fillId="0" borderId="37" xfId="1" applyNumberFormat="1" applyFont="1" applyBorder="1" applyAlignment="1" applyProtection="1">
      <alignment horizontal="center" vertical="center"/>
    </xf>
    <xf numFmtId="164" fontId="24" fillId="0" borderId="15" xfId="1" applyNumberFormat="1" applyFont="1" applyBorder="1" applyAlignment="1" applyProtection="1">
      <alignment horizontal="center" vertical="center"/>
    </xf>
    <xf numFmtId="164" fontId="24" fillId="0" borderId="16" xfId="1" applyNumberFormat="1" applyFont="1" applyBorder="1" applyAlignment="1" applyProtection="1">
      <alignment horizontal="center" vertical="center"/>
    </xf>
    <xf numFmtId="164" fontId="24" fillId="0" borderId="21" xfId="1" applyNumberFormat="1" applyFont="1" applyBorder="1" applyAlignment="1" applyProtection="1">
      <alignment horizontal="center" vertical="center"/>
    </xf>
    <xf numFmtId="164" fontId="24" fillId="0" borderId="20" xfId="1" applyNumberFormat="1" applyFont="1" applyBorder="1" applyAlignment="1" applyProtection="1">
      <alignment horizontal="center" vertical="center"/>
    </xf>
    <xf numFmtId="164" fontId="24" fillId="0" borderId="40" xfId="1" applyNumberFormat="1" applyFont="1" applyBorder="1" applyAlignment="1" applyProtection="1">
      <alignment horizontal="center" vertical="center"/>
    </xf>
    <xf numFmtId="164" fontId="24" fillId="0" borderId="14" xfId="1" applyNumberFormat="1" applyFont="1" applyBorder="1" applyAlignment="1" applyProtection="1">
      <alignment horizontal="center" vertical="center"/>
    </xf>
    <xf numFmtId="164" fontId="24" fillId="0" borderId="42" xfId="1" applyNumberFormat="1" applyFont="1" applyBorder="1" applyAlignment="1" applyProtection="1">
      <alignment horizontal="center" vertical="center"/>
    </xf>
    <xf numFmtId="164" fontId="24" fillId="0" borderId="27" xfId="1" applyNumberFormat="1" applyFont="1" applyBorder="1" applyAlignment="1" applyProtection="1">
      <alignment horizontal="center" vertical="center"/>
    </xf>
    <xf numFmtId="164" fontId="24" fillId="0" borderId="28" xfId="1" applyNumberFormat="1" applyFont="1" applyBorder="1" applyAlignment="1" applyProtection="1">
      <alignment horizontal="center" vertical="center"/>
    </xf>
    <xf numFmtId="164" fontId="24" fillId="0" borderId="31" xfId="1" applyNumberFormat="1" applyFont="1" applyBorder="1" applyAlignment="1" applyProtection="1">
      <alignment horizontal="center" vertical="center"/>
    </xf>
    <xf numFmtId="164" fontId="24" fillId="0" borderId="29" xfId="1" applyNumberFormat="1" applyFont="1" applyBorder="1" applyAlignment="1" applyProtection="1">
      <alignment horizontal="center" vertical="center"/>
    </xf>
    <xf numFmtId="164" fontId="24" fillId="0" borderId="30" xfId="1" applyNumberFormat="1" applyFont="1" applyBorder="1" applyAlignment="1" applyProtection="1">
      <alignment horizontal="center" vertical="center"/>
    </xf>
    <xf numFmtId="164" fontId="26" fillId="0" borderId="52" xfId="1" applyNumberFormat="1" applyFont="1" applyBorder="1" applyAlignment="1" applyProtection="1">
      <alignment horizontal="center" vertical="center"/>
    </xf>
    <xf numFmtId="164" fontId="26" fillId="0" borderId="49" xfId="1" applyNumberFormat="1" applyFont="1" applyBorder="1" applyAlignment="1" applyProtection="1">
      <alignment horizontal="center" vertical="center"/>
    </xf>
    <xf numFmtId="164" fontId="26" fillId="0" borderId="50" xfId="1" applyNumberFormat="1" applyFont="1" applyBorder="1" applyAlignment="1" applyProtection="1">
      <alignment horizontal="center" vertical="center"/>
    </xf>
    <xf numFmtId="164" fontId="26" fillId="0" borderId="51" xfId="1" applyNumberFormat="1" applyFont="1" applyBorder="1" applyAlignment="1" applyProtection="1">
      <alignment horizontal="center" vertical="center"/>
    </xf>
    <xf numFmtId="164" fontId="26" fillId="0" borderId="53" xfId="1" applyNumberFormat="1" applyFont="1" applyBorder="1" applyAlignment="1" applyProtection="1">
      <alignment horizontal="center" vertical="center"/>
    </xf>
    <xf numFmtId="0" fontId="23" fillId="35" borderId="36" xfId="45" applyFont="1" applyFill="1" applyBorder="1" applyAlignment="1">
      <alignment horizontal="center" vertical="center"/>
    </xf>
    <xf numFmtId="0" fontId="23" fillId="35" borderId="47" xfId="45" applyFont="1" applyFill="1" applyBorder="1" applyAlignment="1">
      <alignment horizontal="center" vertical="center"/>
    </xf>
    <xf numFmtId="0" fontId="23" fillId="35" borderId="35" xfId="45" applyFont="1" applyFill="1" applyBorder="1" applyAlignment="1">
      <alignment horizontal="center" vertical="center"/>
    </xf>
    <xf numFmtId="0" fontId="23" fillId="0" borderId="36" xfId="45" applyFont="1" applyFill="1" applyBorder="1" applyAlignment="1">
      <alignment horizontal="center" vertical="center"/>
    </xf>
    <xf numFmtId="0" fontId="23" fillId="0" borderId="47" xfId="45" applyFont="1" applyFill="1" applyBorder="1" applyAlignment="1">
      <alignment horizontal="center" vertical="center"/>
    </xf>
    <xf numFmtId="0" fontId="23" fillId="0" borderId="35" xfId="45" applyFont="1" applyFill="1" applyBorder="1" applyAlignment="1">
      <alignment horizontal="center" vertical="center"/>
    </xf>
    <xf numFmtId="164" fontId="24" fillId="0" borderId="58" xfId="1" applyNumberFormat="1" applyFont="1" applyBorder="1" applyAlignment="1" applyProtection="1">
      <alignment horizontal="center" vertical="center"/>
    </xf>
    <xf numFmtId="164" fontId="24" fillId="0" borderId="60" xfId="1" applyNumberFormat="1" applyFont="1" applyBorder="1" applyAlignment="1" applyProtection="1">
      <alignment horizontal="center" vertical="center"/>
    </xf>
    <xf numFmtId="164" fontId="24" fillId="0" borderId="59" xfId="1" applyNumberFormat="1" applyFont="1" applyBorder="1" applyAlignment="1" applyProtection="1">
      <alignment horizontal="center" vertical="center"/>
    </xf>
    <xf numFmtId="164" fontId="24" fillId="0" borderId="18" xfId="1" applyNumberFormat="1" applyFont="1" applyBorder="1" applyAlignment="1" applyProtection="1">
      <alignment horizontal="center" vertical="center"/>
    </xf>
    <xf numFmtId="164" fontId="24" fillId="0" borderId="39" xfId="1" applyNumberFormat="1" applyFont="1" applyBorder="1" applyAlignment="1" applyProtection="1">
      <alignment horizontal="center" vertical="center"/>
    </xf>
    <xf numFmtId="164" fontId="24" fillId="0" borderId="19" xfId="1" applyNumberFormat="1" applyFont="1" applyBorder="1" applyAlignment="1" applyProtection="1">
      <alignment horizontal="center" vertical="center"/>
    </xf>
    <xf numFmtId="0" fontId="23" fillId="35" borderId="48" xfId="45" applyFont="1" applyFill="1" applyBorder="1" applyAlignment="1">
      <alignment horizontal="center" vertical="center"/>
    </xf>
    <xf numFmtId="164" fontId="24" fillId="0" borderId="61" xfId="1" applyNumberFormat="1" applyFont="1" applyBorder="1" applyAlignment="1" applyProtection="1">
      <alignment horizontal="center" vertical="center"/>
    </xf>
    <xf numFmtId="164" fontId="24" fillId="0" borderId="62" xfId="1" applyNumberFormat="1" applyFont="1" applyBorder="1" applyAlignment="1" applyProtection="1">
      <alignment horizontal="center" vertical="center"/>
    </xf>
    <xf numFmtId="165" fontId="24" fillId="0" borderId="17" xfId="1" applyNumberFormat="1" applyFont="1" applyBorder="1" applyAlignment="1" applyProtection="1">
      <alignment horizontal="center" vertical="center"/>
    </xf>
    <xf numFmtId="165" fontId="24" fillId="0" borderId="16" xfId="1" applyNumberFormat="1" applyFont="1" applyBorder="1" applyAlignment="1" applyProtection="1">
      <alignment horizontal="center" vertical="center"/>
    </xf>
    <xf numFmtId="165" fontId="24" fillId="0" borderId="22" xfId="1" applyNumberFormat="1" applyFont="1" applyBorder="1" applyAlignment="1" applyProtection="1">
      <alignment horizontal="center" vertical="center"/>
    </xf>
    <xf numFmtId="0" fontId="17" fillId="0" borderId="32" xfId="45" applyFont="1" applyBorder="1" applyAlignment="1">
      <alignment horizontal="center" vertical="center"/>
    </xf>
    <xf numFmtId="0" fontId="26" fillId="0" borderId="25" xfId="47" applyFont="1" applyBorder="1" applyAlignment="1" applyProtection="1"/>
    <xf numFmtId="0" fontId="26" fillId="0" borderId="26" xfId="47" applyFont="1" applyBorder="1" applyAlignment="1" applyProtection="1"/>
    <xf numFmtId="0" fontId="26" fillId="0" borderId="34" xfId="47" applyFont="1" applyBorder="1" applyAlignment="1" applyProtection="1"/>
    <xf numFmtId="165" fontId="24" fillId="0" borderId="15" xfId="1" applyNumberFormat="1" applyFont="1" applyBorder="1" applyAlignment="1" applyProtection="1">
      <alignment horizontal="center" vertical="center"/>
    </xf>
    <xf numFmtId="165" fontId="24" fillId="0" borderId="37" xfId="1" applyNumberFormat="1" applyFont="1" applyBorder="1" applyAlignment="1" applyProtection="1">
      <alignment horizontal="center" vertical="center"/>
    </xf>
    <xf numFmtId="165" fontId="24" fillId="0" borderId="19" xfId="1" applyNumberFormat="1" applyFont="1" applyBorder="1" applyAlignment="1" applyProtection="1">
      <alignment horizontal="center" vertical="center"/>
    </xf>
    <xf numFmtId="165" fontId="24" fillId="0" borderId="18" xfId="1" applyNumberFormat="1" applyFont="1" applyBorder="1" applyAlignment="1" applyProtection="1">
      <alignment horizontal="center" vertical="center"/>
    </xf>
    <xf numFmtId="165" fontId="24" fillId="0" borderId="39" xfId="1" applyNumberFormat="1" applyFont="1" applyBorder="1" applyAlignment="1" applyProtection="1">
      <alignment horizontal="center" vertical="center"/>
    </xf>
    <xf numFmtId="165" fontId="24" fillId="0" borderId="21" xfId="1" applyNumberFormat="1" applyFont="1" applyBorder="1" applyAlignment="1" applyProtection="1">
      <alignment horizontal="center" vertical="center"/>
    </xf>
    <xf numFmtId="165" fontId="24" fillId="0" borderId="20" xfId="1" applyNumberFormat="1" applyFont="1" applyBorder="1" applyAlignment="1" applyProtection="1">
      <alignment horizontal="center" vertical="center"/>
    </xf>
    <xf numFmtId="165" fontId="24" fillId="0" borderId="40" xfId="1" applyNumberFormat="1" applyFont="1" applyBorder="1" applyAlignment="1" applyProtection="1">
      <alignment horizontal="center" vertical="center"/>
    </xf>
    <xf numFmtId="165" fontId="24" fillId="0" borderId="41" xfId="1" applyNumberFormat="1" applyFont="1" applyBorder="1" applyAlignment="1" applyProtection="1">
      <alignment horizontal="center" vertical="center"/>
    </xf>
    <xf numFmtId="165" fontId="24" fillId="0" borderId="14" xfId="1" applyNumberFormat="1" applyFont="1" applyBorder="1" applyAlignment="1" applyProtection="1">
      <alignment horizontal="center" vertical="center"/>
    </xf>
    <xf numFmtId="165" fontId="24" fillId="0" borderId="42" xfId="1" applyNumberFormat="1" applyFont="1" applyBorder="1" applyAlignment="1" applyProtection="1">
      <alignment horizontal="center" vertical="center"/>
    </xf>
    <xf numFmtId="165" fontId="24" fillId="0" borderId="43" xfId="1" applyNumberFormat="1" applyFont="1" applyBorder="1" applyAlignment="1" applyProtection="1">
      <alignment horizontal="center" vertical="center"/>
    </xf>
    <xf numFmtId="0" fontId="23" fillId="35" borderId="36" xfId="45" applyFont="1" applyFill="1" applyBorder="1" applyAlignment="1">
      <alignment horizontal="center" vertical="center"/>
    </xf>
    <xf numFmtId="0" fontId="23" fillId="35" borderId="47" xfId="45" applyFont="1" applyFill="1" applyBorder="1" applyAlignment="1">
      <alignment horizontal="center" vertical="center"/>
    </xf>
    <xf numFmtId="0" fontId="23" fillId="35" borderId="35" xfId="45" applyFont="1" applyFill="1" applyBorder="1" applyAlignment="1">
      <alignment horizontal="center" vertical="center"/>
    </xf>
    <xf numFmtId="0" fontId="23" fillId="0" borderId="36" xfId="45" applyFont="1" applyFill="1" applyBorder="1" applyAlignment="1">
      <alignment horizontal="center" vertical="center"/>
    </xf>
    <xf numFmtId="0" fontId="23" fillId="0" borderId="47" xfId="45" applyFont="1" applyFill="1" applyBorder="1" applyAlignment="1">
      <alignment horizontal="center" vertical="center"/>
    </xf>
    <xf numFmtId="0" fontId="23" fillId="0" borderId="35" xfId="45" applyFont="1" applyFill="1" applyBorder="1" applyAlignment="1">
      <alignment horizontal="center" vertical="center"/>
    </xf>
    <xf numFmtId="0" fontId="23" fillId="35" borderId="48" xfId="45" applyFont="1" applyFill="1" applyBorder="1" applyAlignment="1">
      <alignment horizontal="center" vertical="center"/>
    </xf>
    <xf numFmtId="9" fontId="33" fillId="0" borderId="63" xfId="1" applyNumberFormat="1" applyFont="1" applyFill="1" applyBorder="1" applyAlignment="1" applyProtection="1">
      <alignment horizontal="center" vertical="center"/>
    </xf>
    <xf numFmtId="9" fontId="24" fillId="0" borderId="26" xfId="1" applyNumberFormat="1" applyFont="1" applyBorder="1" applyAlignment="1" applyProtection="1">
      <alignment horizontal="center" vertical="center"/>
    </xf>
    <xf numFmtId="9" fontId="24" fillId="0" borderId="64" xfId="1" applyNumberFormat="1" applyFont="1" applyBorder="1" applyAlignment="1" applyProtection="1">
      <alignment horizontal="center" vertical="center"/>
    </xf>
    <xf numFmtId="0" fontId="17" fillId="0" borderId="24" xfId="45" applyFont="1" applyBorder="1" applyAlignment="1">
      <alignment horizontal="center" vertical="center"/>
    </xf>
    <xf numFmtId="165" fontId="24" fillId="0" borderId="17" xfId="1" applyNumberFormat="1" applyFont="1" applyBorder="1" applyAlignment="1" applyProtection="1">
      <alignment horizontal="center" vertical="center"/>
    </xf>
    <xf numFmtId="165" fontId="24" fillId="0" borderId="22" xfId="1" applyNumberFormat="1" applyFont="1" applyBorder="1" applyAlignment="1" applyProtection="1">
      <alignment horizontal="center" vertical="center"/>
    </xf>
    <xf numFmtId="0" fontId="26" fillId="0" borderId="25" xfId="47" applyFont="1" applyBorder="1" applyAlignment="1" applyProtection="1"/>
    <xf numFmtId="0" fontId="26" fillId="0" borderId="26" xfId="47" applyFont="1" applyBorder="1" applyAlignment="1" applyProtection="1"/>
    <xf numFmtId="0" fontId="26" fillId="0" borderId="34" xfId="47" applyFont="1" applyBorder="1" applyAlignment="1" applyProtection="1"/>
    <xf numFmtId="0" fontId="26" fillId="0" borderId="12" xfId="47" applyFont="1" applyFill="1" applyBorder="1" applyAlignment="1" applyProtection="1"/>
    <xf numFmtId="9" fontId="24" fillId="0" borderId="21" xfId="1" applyNumberFormat="1" applyFont="1" applyBorder="1" applyAlignment="1" applyProtection="1">
      <alignment horizontal="center" vertical="center"/>
    </xf>
    <xf numFmtId="165" fontId="24" fillId="0" borderId="15" xfId="1" applyNumberFormat="1" applyFont="1" applyBorder="1" applyAlignment="1" applyProtection="1">
      <alignment horizontal="center" vertical="center"/>
    </xf>
    <xf numFmtId="165" fontId="24" fillId="0" borderId="37" xfId="1" applyNumberFormat="1" applyFont="1" applyBorder="1" applyAlignment="1" applyProtection="1">
      <alignment horizontal="center" vertical="center"/>
    </xf>
    <xf numFmtId="165" fontId="24" fillId="0" borderId="19" xfId="1" applyNumberFormat="1" applyFont="1" applyBorder="1" applyAlignment="1" applyProtection="1">
      <alignment horizontal="center" vertical="center"/>
    </xf>
    <xf numFmtId="165" fontId="24" fillId="0" borderId="18" xfId="1" applyNumberFormat="1" applyFont="1" applyBorder="1" applyAlignment="1" applyProtection="1">
      <alignment horizontal="center" vertical="center"/>
    </xf>
    <xf numFmtId="165" fontId="24" fillId="0" borderId="39" xfId="1" applyNumberFormat="1" applyFont="1" applyBorder="1" applyAlignment="1" applyProtection="1">
      <alignment horizontal="center" vertical="center"/>
    </xf>
    <xf numFmtId="165" fontId="24" fillId="0" borderId="21" xfId="1" applyNumberFormat="1" applyFont="1" applyBorder="1" applyAlignment="1" applyProtection="1">
      <alignment horizontal="center" vertical="center"/>
    </xf>
    <xf numFmtId="165" fontId="24" fillId="0" borderId="40" xfId="1" applyNumberFormat="1" applyFont="1" applyBorder="1" applyAlignment="1" applyProtection="1">
      <alignment horizontal="center" vertical="center"/>
    </xf>
    <xf numFmtId="165" fontId="24" fillId="0" borderId="41" xfId="1" applyNumberFormat="1" applyFont="1" applyBorder="1" applyAlignment="1" applyProtection="1">
      <alignment horizontal="center" vertical="center"/>
    </xf>
    <xf numFmtId="9" fontId="26" fillId="0" borderId="44" xfId="1" applyNumberFormat="1" applyFont="1" applyBorder="1" applyAlignment="1" applyProtection="1">
      <alignment horizontal="center" vertical="center"/>
    </xf>
    <xf numFmtId="9" fontId="24" fillId="0" borderId="54" xfId="1" applyNumberFormat="1" applyFont="1" applyBorder="1" applyAlignment="1" applyProtection="1">
      <alignment horizontal="center" vertical="center"/>
    </xf>
    <xf numFmtId="0" fontId="23" fillId="35" borderId="36" xfId="45" applyFont="1" applyFill="1" applyBorder="1" applyAlignment="1">
      <alignment horizontal="center" vertical="center"/>
    </xf>
    <xf numFmtId="0" fontId="23" fillId="35" borderId="47" xfId="45" applyFont="1" applyFill="1" applyBorder="1" applyAlignment="1">
      <alignment horizontal="center" vertical="center"/>
    </xf>
    <xf numFmtId="0" fontId="23" fillId="35" borderId="35" xfId="45" applyFont="1" applyFill="1" applyBorder="1" applyAlignment="1">
      <alignment horizontal="center" vertical="center"/>
    </xf>
    <xf numFmtId="0" fontId="23" fillId="0" borderId="36" xfId="45" applyFont="1" applyFill="1" applyBorder="1" applyAlignment="1">
      <alignment horizontal="center" vertical="center"/>
    </xf>
    <xf numFmtId="0" fontId="23" fillId="0" borderId="47" xfId="45" applyFont="1" applyFill="1" applyBorder="1" applyAlignment="1">
      <alignment horizontal="center" vertical="center"/>
    </xf>
    <xf numFmtId="0" fontId="23" fillId="0" borderId="35" xfId="45" applyFont="1" applyFill="1" applyBorder="1" applyAlignment="1">
      <alignment horizontal="center" vertical="center"/>
    </xf>
    <xf numFmtId="0" fontId="23" fillId="35" borderId="48" xfId="45" applyFont="1" applyFill="1" applyBorder="1" applyAlignment="1">
      <alignment horizontal="center" vertical="center"/>
    </xf>
    <xf numFmtId="9" fontId="26" fillId="0" borderId="12" xfId="1" applyNumberFormat="1" applyFont="1" applyBorder="1" applyAlignment="1" applyProtection="1">
      <alignment horizontal="center" vertical="center"/>
    </xf>
    <xf numFmtId="165" fontId="24" fillId="0" borderId="58" xfId="1" applyNumberFormat="1" applyFont="1" applyBorder="1" applyAlignment="1" applyProtection="1">
      <alignment horizontal="center" vertical="center"/>
    </xf>
    <xf numFmtId="0" fontId="23" fillId="0" borderId="57" xfId="45" applyFont="1" applyFill="1" applyBorder="1" applyAlignment="1">
      <alignment horizontal="center" vertical="center"/>
    </xf>
    <xf numFmtId="0" fontId="23" fillId="0" borderId="55" xfId="45" applyFont="1" applyFill="1" applyBorder="1" applyAlignment="1">
      <alignment horizontal="center" vertical="center"/>
    </xf>
    <xf numFmtId="0" fontId="23" fillId="0" borderId="59" xfId="45" applyFont="1" applyFill="1" applyBorder="1" applyAlignment="1">
      <alignment horizontal="center" vertical="center"/>
    </xf>
    <xf numFmtId="0" fontId="23" fillId="35" borderId="57" xfId="45" applyFont="1" applyFill="1" applyBorder="1" applyAlignment="1">
      <alignment horizontal="center" vertical="center"/>
    </xf>
    <xf numFmtId="0" fontId="23" fillId="35" borderId="55" xfId="45" applyFont="1" applyFill="1" applyBorder="1" applyAlignment="1">
      <alignment horizontal="center" vertical="center"/>
    </xf>
    <xf numFmtId="0" fontId="23" fillId="35" borderId="58" xfId="45" applyFont="1" applyFill="1" applyBorder="1" applyAlignment="1">
      <alignment horizontal="center" vertical="center"/>
    </xf>
    <xf numFmtId="0" fontId="20" fillId="34" borderId="23" xfId="45" applyFont="1" applyFill="1" applyBorder="1" applyAlignment="1">
      <alignment horizontal="center"/>
    </xf>
    <xf numFmtId="0" fontId="20" fillId="34" borderId="0" xfId="45" applyFont="1" applyFill="1" applyBorder="1" applyAlignment="1">
      <alignment horizontal="center"/>
    </xf>
    <xf numFmtId="0" fontId="20" fillId="34" borderId="12" xfId="45" applyFont="1" applyFill="1" applyBorder="1" applyAlignment="1">
      <alignment horizontal="center"/>
    </xf>
    <xf numFmtId="0" fontId="20" fillId="34" borderId="13" xfId="45" applyFont="1" applyFill="1" applyBorder="1" applyAlignment="1">
      <alignment horizontal="center"/>
    </xf>
    <xf numFmtId="3" fontId="30" fillId="0" borderId="44" xfId="1" applyNumberFormat="1" applyFont="1" applyFill="1" applyBorder="1" applyAlignment="1" applyProtection="1">
      <alignment horizontal="center" vertical="center"/>
    </xf>
    <xf numFmtId="3" fontId="30" fillId="0" borderId="45" xfId="1" applyNumberFormat="1" applyFont="1" applyFill="1" applyBorder="1" applyAlignment="1" applyProtection="1">
      <alignment horizontal="center" vertical="center"/>
    </xf>
    <xf numFmtId="3" fontId="30" fillId="0" borderId="33" xfId="1" applyNumberFormat="1" applyFont="1" applyFill="1" applyBorder="1" applyAlignment="1" applyProtection="1">
      <alignment horizontal="center" vertical="center"/>
    </xf>
    <xf numFmtId="3" fontId="30" fillId="0" borderId="46" xfId="1" applyNumberFormat="1" applyFont="1" applyFill="1" applyBorder="1" applyAlignment="1" applyProtection="1">
      <alignment horizontal="center" vertical="center"/>
    </xf>
    <xf numFmtId="0" fontId="23" fillId="33" borderId="10" xfId="10" applyFont="1" applyFill="1" applyBorder="1" applyAlignment="1">
      <alignment horizontal="center" vertical="center" wrapText="1"/>
    </xf>
    <xf numFmtId="0" fontId="23" fillId="33" borderId="11" xfId="10" applyFont="1" applyFill="1" applyBorder="1" applyAlignment="1">
      <alignment horizontal="center" vertical="center" wrapText="1"/>
    </xf>
    <xf numFmtId="0" fontId="23" fillId="33" borderId="12" xfId="10" applyFont="1" applyFill="1" applyBorder="1" applyAlignment="1">
      <alignment horizontal="center" vertical="center" wrapText="1"/>
    </xf>
    <xf numFmtId="0" fontId="27" fillId="33" borderId="10" xfId="10" applyFont="1" applyFill="1" applyBorder="1" applyAlignment="1">
      <alignment horizontal="center" vertical="center" wrapText="1"/>
    </xf>
    <xf numFmtId="0" fontId="27" fillId="33" borderId="11" xfId="10" applyFont="1" applyFill="1" applyBorder="1" applyAlignment="1">
      <alignment horizontal="center" vertical="center" wrapText="1"/>
    </xf>
    <xf numFmtId="0" fontId="27" fillId="33" borderId="12" xfId="10" applyFont="1" applyFill="1" applyBorder="1" applyAlignment="1">
      <alignment horizontal="center" vertical="center" wrapText="1"/>
    </xf>
    <xf numFmtId="3" fontId="30" fillId="0" borderId="56" xfId="1" applyNumberFormat="1" applyFont="1" applyFill="1" applyBorder="1" applyAlignment="1" applyProtection="1">
      <alignment horizontal="center" vertical="center"/>
    </xf>
  </cellXfs>
  <cellStyles count="115">
    <cellStyle name="20% - Accent1" xfId="21" builtinId="30" customBuiltin="1"/>
    <cellStyle name="20% - Accent1 2" xfId="76"/>
    <cellStyle name="20% - Accent2" xfId="25" builtinId="34" customBuiltin="1"/>
    <cellStyle name="20% - Accent2 2" xfId="80"/>
    <cellStyle name="20% - Accent3" xfId="29" builtinId="38" customBuiltin="1"/>
    <cellStyle name="20% - Accent3 2" xfId="84"/>
    <cellStyle name="20% - Accent4" xfId="33" builtinId="42" customBuiltin="1"/>
    <cellStyle name="20% - Accent4 2" xfId="88"/>
    <cellStyle name="20% - Accent5" xfId="37" builtinId="46" customBuiltin="1"/>
    <cellStyle name="20% - Accent5 2" xfId="92"/>
    <cellStyle name="20% - Accent6" xfId="41" builtinId="50" customBuiltin="1"/>
    <cellStyle name="20% - Accent6 2" xfId="96"/>
    <cellStyle name="40% - Accent1" xfId="22" builtinId="31" customBuiltin="1"/>
    <cellStyle name="40% - Accent1 2" xfId="77"/>
    <cellStyle name="40% - Accent2" xfId="26" builtinId="35" customBuiltin="1"/>
    <cellStyle name="40% - Accent2 2" xfId="81"/>
    <cellStyle name="40% - Accent3" xfId="30" builtinId="39" customBuiltin="1"/>
    <cellStyle name="40% - Accent3 2" xfId="85"/>
    <cellStyle name="40% - Accent4" xfId="34" builtinId="43" customBuiltin="1"/>
    <cellStyle name="40% - Accent4 2" xfId="89"/>
    <cellStyle name="40% - Accent5" xfId="38" builtinId="47" customBuiltin="1"/>
    <cellStyle name="40% - Accent5 2" xfId="93"/>
    <cellStyle name="40% - Accent6" xfId="42" builtinId="51" customBuiltin="1"/>
    <cellStyle name="40% - Accent6 2" xfId="97"/>
    <cellStyle name="60% - Accent1" xfId="23" builtinId="32" customBuiltin="1"/>
    <cellStyle name="60% - Accent1 2" xfId="78"/>
    <cellStyle name="60% - Accent2" xfId="27" builtinId="36" customBuiltin="1"/>
    <cellStyle name="60% - Accent2 2" xfId="82"/>
    <cellStyle name="60% - Accent3" xfId="31" builtinId="40" customBuiltin="1"/>
    <cellStyle name="60% - Accent3 2" xfId="86"/>
    <cellStyle name="60% - Accent4" xfId="35" builtinId="44" customBuiltin="1"/>
    <cellStyle name="60% - Accent4 2" xfId="90"/>
    <cellStyle name="60% - Accent5" xfId="39" builtinId="48" customBuiltin="1"/>
    <cellStyle name="60% - Accent5 2" xfId="94"/>
    <cellStyle name="60% - Accent6" xfId="43" builtinId="52" customBuiltin="1"/>
    <cellStyle name="60% - Accent6 2" xfId="98"/>
    <cellStyle name="Accent1" xfId="20" builtinId="29" customBuiltin="1"/>
    <cellStyle name="Accent1 2" xfId="75"/>
    <cellStyle name="Accent2" xfId="24" builtinId="33" customBuiltin="1"/>
    <cellStyle name="Accent2 2" xfId="79"/>
    <cellStyle name="Accent3" xfId="28" builtinId="37" customBuiltin="1"/>
    <cellStyle name="Accent3 2" xfId="83"/>
    <cellStyle name="Accent4" xfId="32" builtinId="41" customBuiltin="1"/>
    <cellStyle name="Accent4 2" xfId="87"/>
    <cellStyle name="Accent5" xfId="36" builtinId="45" customBuiltin="1"/>
    <cellStyle name="Accent5 2" xfId="91"/>
    <cellStyle name="Accent6" xfId="40" builtinId="49" customBuiltin="1"/>
    <cellStyle name="Accent6 2" xfId="95"/>
    <cellStyle name="Bad" xfId="9" builtinId="27" customBuiltin="1"/>
    <cellStyle name="Bad 2" xfId="64"/>
    <cellStyle name="Calculation" xfId="13" builtinId="22" customBuiltin="1"/>
    <cellStyle name="Calculation 2" xfId="68"/>
    <cellStyle name="Check Cell" xfId="15" builtinId="23" customBuiltin="1"/>
    <cellStyle name="Check Cell 2" xfId="70"/>
    <cellStyle name="Comma" xfId="1" builtinId="3"/>
    <cellStyle name="Comma 2" xfId="50"/>
    <cellStyle name="Comma 2 2" xfId="53"/>
    <cellStyle name="Comma 3" xfId="99"/>
    <cellStyle name="Explanatory Text" xfId="18" builtinId="53" customBuiltin="1"/>
    <cellStyle name="Explanatory Text 2" xfId="73"/>
    <cellStyle name="Good" xfId="8" builtinId="26" customBuiltin="1"/>
    <cellStyle name="Good 2" xfId="63"/>
    <cellStyle name="Heading 1" xfId="4" builtinId="16" customBuiltin="1"/>
    <cellStyle name="Heading 1 2" xfId="59"/>
    <cellStyle name="Heading 2" xfId="5" builtinId="17" customBuiltin="1"/>
    <cellStyle name="Heading 2 2" xfId="60"/>
    <cellStyle name="Heading 3" xfId="6" builtinId="18" customBuiltin="1"/>
    <cellStyle name="Heading 3 2" xfId="61"/>
    <cellStyle name="Heading 4" xfId="7" builtinId="19" customBuiltin="1"/>
    <cellStyle name="Heading 4 2" xfId="62"/>
    <cellStyle name="Hyperlink" xfId="47" builtinId="8"/>
    <cellStyle name="Hyperlink 2" xfId="51"/>
    <cellStyle name="Input" xfId="11" builtinId="20" customBuiltin="1"/>
    <cellStyle name="Input 2" xfId="66"/>
    <cellStyle name="Linked Cell" xfId="14" builtinId="24" customBuiltin="1"/>
    <cellStyle name="Linked Cell 2" xfId="69"/>
    <cellStyle name="Neutral" xfId="10" builtinId="28" customBuiltin="1"/>
    <cellStyle name="Neutral 2" xfId="54"/>
    <cellStyle name="Neutral 3" xfId="65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3 2 2" xfId="105"/>
    <cellStyle name="Normal 3 3" xfId="107"/>
    <cellStyle name="Normal 3 4" xfId="113"/>
    <cellStyle name="Normal 3 5" xfId="109"/>
    <cellStyle name="Normal 3 6" xfId="100"/>
    <cellStyle name="Normal 4" xfId="58"/>
    <cellStyle name="Normal 5" xfId="103"/>
    <cellStyle name="Normal 6" xfId="104"/>
    <cellStyle name="Normal 7" xfId="110"/>
    <cellStyle name="Normal 8" xfId="112"/>
    <cellStyle name="Normal 9" xfId="57"/>
    <cellStyle name="Note" xfId="17" builtinId="10" customBuiltin="1"/>
    <cellStyle name="Note 2" xfId="46"/>
    <cellStyle name="Note 3" xfId="72"/>
    <cellStyle name="Output" xfId="12" builtinId="21" customBuiltin="1"/>
    <cellStyle name="Output 2" xfId="67"/>
    <cellStyle name="Percent" xfId="2" builtinId="5"/>
    <cellStyle name="Percent 2" xfId="48"/>
    <cellStyle name="Percent 2 2" xfId="56"/>
    <cellStyle name="Percent 2 2 2" xfId="106"/>
    <cellStyle name="Percent 2 3" xfId="108"/>
    <cellStyle name="Percent 2 4" xfId="114"/>
    <cellStyle name="Percent 2 5" xfId="111"/>
    <cellStyle name="Percent 2 6" xfId="101"/>
    <cellStyle name="Percent 3" xfId="102"/>
    <cellStyle name="Title" xfId="3" builtinId="15" customBuiltin="1"/>
    <cellStyle name="Total" xfId="19" builtinId="25" customBuiltin="1"/>
    <cellStyle name="Total 2" xfId="74"/>
    <cellStyle name="Warning Text" xfId="16" builtinId="11" customBuiltin="1"/>
    <cellStyle name="Warning Text 2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success.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 rates"/>
      <sheetName val="graded seats"/>
      <sheetName val="success seats"/>
      <sheetName val="success.rate"/>
      <sheetName val="credit ethnic success seats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0.73534532791642482</v>
          </cell>
          <cell r="C4">
            <v>0.6156888595912986</v>
          </cell>
          <cell r="D4">
            <v>0.65194501316174325</v>
          </cell>
          <cell r="E4">
            <v>0.79763912310286678</v>
          </cell>
          <cell r="F4">
            <v>0.66129504834456487</v>
          </cell>
          <cell r="G4">
            <v>0.67527576002152279</v>
          </cell>
          <cell r="H4">
            <v>0.76276771004942334</v>
          </cell>
          <cell r="I4">
            <v>0.66326797385620917</v>
          </cell>
          <cell r="J4">
            <v>0.64610133893410349</v>
          </cell>
          <cell r="K4">
            <v>0.81052631578947365</v>
          </cell>
          <cell r="L4">
            <v>0.67768115942028984</v>
          </cell>
          <cell r="M4">
            <v>0.67250074161969742</v>
          </cell>
          <cell r="N4" t="str">
            <v/>
          </cell>
          <cell r="O4">
            <v>0.68433333333333335</v>
          </cell>
          <cell r="P4">
            <v>0.64702290076335878</v>
          </cell>
        </row>
        <row r="5">
          <cell r="A5" t="str">
            <v>Hispanic</v>
          </cell>
          <cell r="B5">
            <v>0.67804154302670627</v>
          </cell>
          <cell r="C5">
            <v>0.54315196998123827</v>
          </cell>
          <cell r="D5">
            <v>0.5470543228768171</v>
          </cell>
          <cell r="E5">
            <v>0.68831168831168832</v>
          </cell>
          <cell r="F5">
            <v>0.57066309444072338</v>
          </cell>
          <cell r="G5">
            <v>0.59617918313570484</v>
          </cell>
          <cell r="H5">
            <v>0.67218543046357615</v>
          </cell>
          <cell r="I5">
            <v>0.60237946149029431</v>
          </cell>
          <cell r="J5">
            <v>0.58077360637087605</v>
          </cell>
          <cell r="K5">
            <v>0.78395061728395066</v>
          </cell>
          <cell r="L5">
            <v>0.61428571428571432</v>
          </cell>
          <cell r="M5">
            <v>0.62606232294617559</v>
          </cell>
          <cell r="N5" t="str">
            <v/>
          </cell>
          <cell r="O5">
            <v>0.62647887323943663</v>
          </cell>
          <cell r="P5">
            <v>0.58711566617862376</v>
          </cell>
        </row>
        <row r="6">
          <cell r="A6" t="str">
            <v>African American</v>
          </cell>
          <cell r="B6">
            <v>0.51724137931034486</v>
          </cell>
          <cell r="C6">
            <v>0.42619047619047618</v>
          </cell>
          <cell r="D6">
            <v>0.43468950749464669</v>
          </cell>
          <cell r="E6">
            <v>0.62408759124087587</v>
          </cell>
          <cell r="F6">
            <v>0.44216417910447764</v>
          </cell>
          <cell r="G6">
            <v>0.41612903225806452</v>
          </cell>
          <cell r="H6">
            <v>0.7350427350427351</v>
          </cell>
          <cell r="I6">
            <v>0.51898734177215189</v>
          </cell>
          <cell r="J6">
            <v>0.44935805991440797</v>
          </cell>
          <cell r="K6">
            <v>0.69230769230769229</v>
          </cell>
          <cell r="L6">
            <v>0.50082918739635163</v>
          </cell>
          <cell r="M6">
            <v>0.50269299820466784</v>
          </cell>
          <cell r="N6" t="str">
            <v/>
          </cell>
          <cell r="O6">
            <v>0.47674418604651164</v>
          </cell>
          <cell r="P6">
            <v>0.4336569579288026</v>
          </cell>
        </row>
        <row r="7">
          <cell r="A7" t="str">
            <v>Asian</v>
          </cell>
          <cell r="B7">
            <v>0.8314606741573034</v>
          </cell>
          <cell r="C7">
            <v>0.68965517241379315</v>
          </cell>
          <cell r="D7">
            <v>0.67808219178082196</v>
          </cell>
          <cell r="E7">
            <v>0.80582524271844658</v>
          </cell>
          <cell r="F7">
            <v>0.71724137931034482</v>
          </cell>
          <cell r="G7">
            <v>0.69590643274853803</v>
          </cell>
          <cell r="H7">
            <v>0.82352941176470584</v>
          </cell>
          <cell r="I7">
            <v>0.72499999999999998</v>
          </cell>
          <cell r="J7">
            <v>0.64215686274509809</v>
          </cell>
          <cell r="K7">
            <v>0.90909090909090906</v>
          </cell>
          <cell r="L7">
            <v>0.73770491803278693</v>
          </cell>
          <cell r="M7">
            <v>0.80097087378640774</v>
          </cell>
          <cell r="N7" t="str">
            <v/>
          </cell>
          <cell r="O7">
            <v>0.7142857142857143</v>
          </cell>
          <cell r="P7">
            <v>0.67741935483870963</v>
          </cell>
        </row>
        <row r="8">
          <cell r="A8" t="str">
            <v>Native American</v>
          </cell>
          <cell r="B8">
            <v>0.42307692307692307</v>
          </cell>
          <cell r="C8">
            <v>0.61363636363636365</v>
          </cell>
          <cell r="D8">
            <v>0.60606060606060608</v>
          </cell>
          <cell r="E8">
            <v>0.73684210526315785</v>
          </cell>
          <cell r="F8">
            <v>0.66666666666666663</v>
          </cell>
          <cell r="G8">
            <v>0.63157894736842102</v>
          </cell>
          <cell r="H8">
            <v>0.73913043478260865</v>
          </cell>
          <cell r="I8">
            <v>0.57692307692307687</v>
          </cell>
          <cell r="J8">
            <v>0.65476190476190477</v>
          </cell>
          <cell r="K8">
            <v>0.77777777777777779</v>
          </cell>
          <cell r="L8">
            <v>0.61538461538461542</v>
          </cell>
          <cell r="M8">
            <v>0.59139784946236562</v>
          </cell>
          <cell r="N8" t="str">
            <v/>
          </cell>
          <cell r="O8">
            <v>0.57894736842105265</v>
          </cell>
          <cell r="P8">
            <v>0.42622950819672129</v>
          </cell>
        </row>
        <row r="9">
          <cell r="A9" t="str">
            <v>Filipino</v>
          </cell>
          <cell r="B9">
            <v>0.72972972972972971</v>
          </cell>
          <cell r="C9">
            <v>0.56382978723404253</v>
          </cell>
          <cell r="D9">
            <v>0.65957446808510634</v>
          </cell>
          <cell r="E9">
            <v>0.79136690647482011</v>
          </cell>
          <cell r="F9">
            <v>0.65420560747663548</v>
          </cell>
          <cell r="G9">
            <v>0.70631970260223054</v>
          </cell>
          <cell r="H9">
            <v>0.78048780487804881</v>
          </cell>
          <cell r="I9">
            <v>0.60888888888888892</v>
          </cell>
          <cell r="J9">
            <v>0.63306451612903225</v>
          </cell>
          <cell r="K9">
            <v>0.92307692307692313</v>
          </cell>
          <cell r="L9">
            <v>0.69902912621359226</v>
          </cell>
          <cell r="M9">
            <v>0.60851063829787233</v>
          </cell>
          <cell r="N9" t="str">
            <v/>
          </cell>
          <cell r="O9">
            <v>0.61111111111111116</v>
          </cell>
          <cell r="P9">
            <v>0.58064516129032262</v>
          </cell>
        </row>
        <row r="10">
          <cell r="A10" t="str">
            <v>Pacific Islander</v>
          </cell>
          <cell r="B10">
            <v>0.76190476190476186</v>
          </cell>
          <cell r="C10">
            <v>0.60606060606060608</v>
          </cell>
          <cell r="D10">
            <v>0.7142857142857143</v>
          </cell>
          <cell r="E10">
            <v>0.52173913043478259</v>
          </cell>
          <cell r="F10">
            <v>0.42592592592592593</v>
          </cell>
          <cell r="G10">
            <v>0.46666666666666667</v>
          </cell>
          <cell r="H10">
            <v>1</v>
          </cell>
          <cell r="I10">
            <v>0.61016949152542377</v>
          </cell>
          <cell r="J10">
            <v>0.52777777777777779</v>
          </cell>
          <cell r="K10">
            <v>0.5</v>
          </cell>
          <cell r="L10">
            <v>0.56097560975609762</v>
          </cell>
          <cell r="M10">
            <v>0.55319148936170215</v>
          </cell>
          <cell r="N10" t="str">
            <v/>
          </cell>
          <cell r="O10">
            <v>0.66666666666666663</v>
          </cell>
          <cell r="P10">
            <v>0.59523809523809523</v>
          </cell>
        </row>
        <row r="11">
          <cell r="A11" t="str">
            <v>Multi-Race</v>
          </cell>
          <cell r="B11">
            <v>0.64150943396226412</v>
          </cell>
          <cell r="C11">
            <v>0.63063063063063063</v>
          </cell>
          <cell r="D11">
            <v>0.50909090909090904</v>
          </cell>
          <cell r="E11">
            <v>0.70833333333333337</v>
          </cell>
          <cell r="F11">
            <v>0.45945945945945948</v>
          </cell>
          <cell r="G11">
            <v>0.5393258426966292</v>
          </cell>
          <cell r="H11">
            <v>0.5625</v>
          </cell>
          <cell r="I11">
            <v>0.53237410071942448</v>
          </cell>
          <cell r="J11">
            <v>0.53503184713375795</v>
          </cell>
          <cell r="K11">
            <v>0.61111111111111116</v>
          </cell>
          <cell r="L11">
            <v>0.5267857142857143</v>
          </cell>
          <cell r="M11">
            <v>0.51550387596899228</v>
          </cell>
          <cell r="N11" t="str">
            <v/>
          </cell>
          <cell r="O11">
            <v>0.61010830324909748</v>
          </cell>
          <cell r="P11">
            <v>0.546875</v>
          </cell>
        </row>
        <row r="12">
          <cell r="A12" t="str">
            <v>Unknown</v>
          </cell>
          <cell r="B12">
            <v>0.74248927038626611</v>
          </cell>
          <cell r="C12">
            <v>0.61818181818181817</v>
          </cell>
          <cell r="D12">
            <v>0.66247379454926625</v>
          </cell>
          <cell r="E12">
            <v>0.7436823104693141</v>
          </cell>
          <cell r="F12">
            <v>0.66795366795366795</v>
          </cell>
          <cell r="G12">
            <v>0.67012089810017272</v>
          </cell>
          <cell r="H12">
            <v>0.68518518518518523</v>
          </cell>
          <cell r="I12">
            <v>0.70668953687821612</v>
          </cell>
          <cell r="J12">
            <v>0.62541254125412538</v>
          </cell>
          <cell r="K12">
            <v>0.65909090909090906</v>
          </cell>
          <cell r="L12">
            <v>0.66589861751152069</v>
          </cell>
          <cell r="M12">
            <v>0.65356265356265353</v>
          </cell>
          <cell r="N12" t="str">
            <v/>
          </cell>
          <cell r="O12">
            <v>0.6887417218543046</v>
          </cell>
          <cell r="P12">
            <v>0.69259259259259254</v>
          </cell>
        </row>
        <row r="13">
          <cell r="A13" t="str">
            <v>Term Total</v>
          </cell>
          <cell r="B13">
            <v>0.7061986084756483</v>
          </cell>
          <cell r="C13">
            <v>0.58680748564017049</v>
          </cell>
          <cell r="D13">
            <v>0.61255028157683022</v>
          </cell>
          <cell r="E13">
            <v>0.75145687645687642</v>
          </cell>
          <cell r="F13">
            <v>0.61901859189271569</v>
          </cell>
          <cell r="G13">
            <v>0.63339920948616601</v>
          </cell>
          <cell r="H13">
            <v>0.73141486810551559</v>
          </cell>
          <cell r="I13">
            <v>0.63803850948884888</v>
          </cell>
          <cell r="J13">
            <v>0.60754025395994238</v>
          </cell>
          <cell r="K13">
            <v>0.77724358974358976</v>
          </cell>
          <cell r="L13">
            <v>0.64197709813016379</v>
          </cell>
          <cell r="M13">
            <v>0.63986165153480323</v>
          </cell>
          <cell r="N13" t="str">
            <v/>
          </cell>
          <cell r="O13">
            <v>0.64544875875238705</v>
          </cell>
          <cell r="P13">
            <v>0.60468103325246181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"/>
  <sheetViews>
    <sheetView tabSelected="1" topLeftCell="A10" zoomScaleNormal="100" workbookViewId="0">
      <selection activeCell="V21" sqref="V21"/>
    </sheetView>
  </sheetViews>
  <sheetFormatPr defaultRowHeight="15" x14ac:dyDescent="0.25"/>
  <cols>
    <col min="1" max="1" width="16.425781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7109375" bestFit="1" customWidth="1"/>
    <col min="15" max="15" width="7.5703125" bestFit="1" customWidth="1"/>
    <col min="16" max="16" width="6.5703125" bestFit="1" customWidth="1"/>
  </cols>
  <sheetData>
    <row r="1" spans="1:22" ht="15.75" x14ac:dyDescent="0.25">
      <c r="A1" s="125"/>
      <c r="B1" s="117" t="s">
        <v>35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</row>
    <row r="2" spans="1:22" ht="16.5" thickBot="1" x14ac:dyDescent="0.3">
      <c r="A2" s="126"/>
      <c r="B2" s="119" t="s">
        <v>40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spans="1:22" ht="15.75" thickBot="1" x14ac:dyDescent="0.3">
      <c r="A3" s="127"/>
      <c r="B3" s="114" t="s">
        <v>0</v>
      </c>
      <c r="C3" s="115"/>
      <c r="D3" s="116"/>
      <c r="E3" s="111" t="s">
        <v>1</v>
      </c>
      <c r="F3" s="112"/>
      <c r="G3" s="113"/>
      <c r="H3" s="114" t="s">
        <v>2</v>
      </c>
      <c r="I3" s="115"/>
      <c r="J3" s="116"/>
      <c r="K3" s="111" t="s">
        <v>3</v>
      </c>
      <c r="L3" s="112"/>
      <c r="M3" s="113"/>
      <c r="N3" s="114" t="s">
        <v>4</v>
      </c>
      <c r="O3" s="115"/>
      <c r="P3" s="116"/>
      <c r="Q3" s="111" t="s">
        <v>41</v>
      </c>
      <c r="R3" s="112"/>
      <c r="S3" s="113"/>
      <c r="T3" s="114" t="s">
        <v>42</v>
      </c>
      <c r="U3" s="115"/>
      <c r="V3" s="116"/>
    </row>
    <row r="4" spans="1:22" ht="15.75" thickBot="1" x14ac:dyDescent="0.3">
      <c r="A4" s="18" t="s">
        <v>37</v>
      </c>
      <c r="B4" s="40" t="s">
        <v>6</v>
      </c>
      <c r="C4" s="41" t="s">
        <v>7</v>
      </c>
      <c r="D4" s="42" t="s">
        <v>8</v>
      </c>
      <c r="E4" s="43" t="s">
        <v>9</v>
      </c>
      <c r="F4" s="44" t="s">
        <v>10</v>
      </c>
      <c r="G4" s="45" t="s">
        <v>11</v>
      </c>
      <c r="H4" s="40" t="s">
        <v>12</v>
      </c>
      <c r="I4" s="41" t="s">
        <v>13</v>
      </c>
      <c r="J4" s="42" t="s">
        <v>14</v>
      </c>
      <c r="K4" s="43" t="s">
        <v>15</v>
      </c>
      <c r="L4" s="44" t="s">
        <v>16</v>
      </c>
      <c r="M4" s="45" t="s">
        <v>17</v>
      </c>
      <c r="N4" s="40" t="s">
        <v>18</v>
      </c>
      <c r="O4" s="41" t="s">
        <v>19</v>
      </c>
      <c r="P4" s="52" t="s">
        <v>20</v>
      </c>
      <c r="Q4" s="43" t="s">
        <v>43</v>
      </c>
      <c r="R4" s="44" t="s">
        <v>44</v>
      </c>
      <c r="S4" s="45" t="s">
        <v>46</v>
      </c>
      <c r="T4" s="40" t="s">
        <v>47</v>
      </c>
      <c r="U4" s="41" t="s">
        <v>48</v>
      </c>
      <c r="V4" s="52" t="s">
        <v>45</v>
      </c>
    </row>
    <row r="5" spans="1:22" x14ac:dyDescent="0.25">
      <c r="A5" s="19" t="s">
        <v>21</v>
      </c>
      <c r="B5" s="16">
        <v>1053</v>
      </c>
      <c r="C5" s="23">
        <v>4173</v>
      </c>
      <c r="D5" s="26">
        <v>4017</v>
      </c>
      <c r="E5" s="16">
        <v>1151</v>
      </c>
      <c r="F5" s="23">
        <v>4449</v>
      </c>
      <c r="G5" s="23">
        <v>4520</v>
      </c>
      <c r="H5" s="23">
        <v>599</v>
      </c>
      <c r="I5" s="23">
        <v>4786</v>
      </c>
      <c r="J5" s="24">
        <v>4535</v>
      </c>
      <c r="K5" s="16">
        <v>311</v>
      </c>
      <c r="L5" s="23">
        <v>4043</v>
      </c>
      <c r="M5" s="24">
        <v>3941</v>
      </c>
      <c r="N5" s="28">
        <v>13</v>
      </c>
      <c r="O5" s="23">
        <v>3573</v>
      </c>
      <c r="P5" s="46">
        <v>3630</v>
      </c>
      <c r="Q5" s="16">
        <v>228</v>
      </c>
      <c r="R5" s="23">
        <v>3126</v>
      </c>
      <c r="S5" s="48">
        <v>3055</v>
      </c>
      <c r="T5" s="28">
        <v>16</v>
      </c>
      <c r="U5" s="23">
        <v>2894</v>
      </c>
      <c r="V5" s="46"/>
    </row>
    <row r="6" spans="1:22" x14ac:dyDescent="0.25">
      <c r="A6" s="88" t="s">
        <v>22</v>
      </c>
      <c r="B6" s="25">
        <v>734</v>
      </c>
      <c r="C6" s="22">
        <v>2349</v>
      </c>
      <c r="D6" s="27">
        <v>2314</v>
      </c>
      <c r="E6" s="25">
        <v>846</v>
      </c>
      <c r="F6" s="22">
        <v>2636</v>
      </c>
      <c r="G6" s="22">
        <v>2667</v>
      </c>
      <c r="H6" s="22">
        <v>472</v>
      </c>
      <c r="I6" s="22">
        <v>3001</v>
      </c>
      <c r="J6" s="17">
        <v>3037</v>
      </c>
      <c r="K6" s="25">
        <v>229</v>
      </c>
      <c r="L6" s="22">
        <v>2908</v>
      </c>
      <c r="M6" s="17">
        <v>2994</v>
      </c>
      <c r="N6" s="29">
        <v>16</v>
      </c>
      <c r="O6" s="22">
        <v>3025</v>
      </c>
      <c r="P6" s="27">
        <v>3308</v>
      </c>
      <c r="Q6" s="25">
        <v>230</v>
      </c>
      <c r="R6" s="22">
        <v>3231</v>
      </c>
      <c r="S6" s="17">
        <v>3281</v>
      </c>
      <c r="T6" s="29">
        <v>27</v>
      </c>
      <c r="U6" s="22">
        <v>3503</v>
      </c>
      <c r="V6" s="27"/>
    </row>
    <row r="7" spans="1:22" x14ac:dyDescent="0.25">
      <c r="A7" s="88" t="s">
        <v>23</v>
      </c>
      <c r="B7" s="25">
        <v>144</v>
      </c>
      <c r="C7" s="22">
        <v>523</v>
      </c>
      <c r="D7" s="27">
        <v>528</v>
      </c>
      <c r="E7" s="25">
        <v>181</v>
      </c>
      <c r="F7" s="22">
        <v>578</v>
      </c>
      <c r="G7" s="22">
        <v>624</v>
      </c>
      <c r="H7" s="22">
        <v>96</v>
      </c>
      <c r="I7" s="22">
        <v>644</v>
      </c>
      <c r="J7" s="17">
        <v>649</v>
      </c>
      <c r="K7" s="25">
        <v>69</v>
      </c>
      <c r="L7" s="22">
        <v>532</v>
      </c>
      <c r="M7" s="17">
        <v>585</v>
      </c>
      <c r="N7" s="29">
        <v>2</v>
      </c>
      <c r="O7" s="22">
        <v>496</v>
      </c>
      <c r="P7" s="27">
        <v>527</v>
      </c>
      <c r="Q7" s="25">
        <v>43</v>
      </c>
      <c r="R7" s="22">
        <v>479</v>
      </c>
      <c r="S7" s="17">
        <v>503</v>
      </c>
      <c r="T7" s="29">
        <v>4</v>
      </c>
      <c r="U7" s="22">
        <v>542</v>
      </c>
      <c r="V7" s="27"/>
    </row>
    <row r="8" spans="1:22" x14ac:dyDescent="0.25">
      <c r="A8" s="88" t="s">
        <v>24</v>
      </c>
      <c r="B8" s="25">
        <v>139</v>
      </c>
      <c r="C8" s="22">
        <v>288</v>
      </c>
      <c r="D8" s="27">
        <v>291</v>
      </c>
      <c r="E8" s="25">
        <v>156</v>
      </c>
      <c r="F8" s="22">
        <v>301</v>
      </c>
      <c r="G8" s="22">
        <v>318</v>
      </c>
      <c r="H8" s="22">
        <v>79</v>
      </c>
      <c r="I8" s="22">
        <v>322</v>
      </c>
      <c r="J8" s="17">
        <v>329</v>
      </c>
      <c r="K8" s="25">
        <v>34</v>
      </c>
      <c r="L8" s="22">
        <v>303</v>
      </c>
      <c r="M8" s="17">
        <v>311</v>
      </c>
      <c r="N8" s="29">
        <v>1</v>
      </c>
      <c r="O8" s="22">
        <v>265</v>
      </c>
      <c r="P8" s="27">
        <v>239</v>
      </c>
      <c r="Q8" s="25">
        <v>34</v>
      </c>
      <c r="R8" s="22">
        <v>228</v>
      </c>
      <c r="S8" s="17">
        <v>226</v>
      </c>
      <c r="T8" s="29">
        <v>1</v>
      </c>
      <c r="U8" s="22">
        <v>216</v>
      </c>
      <c r="V8" s="27"/>
    </row>
    <row r="9" spans="1:22" x14ac:dyDescent="0.25">
      <c r="A9" s="88" t="s">
        <v>25</v>
      </c>
      <c r="B9" s="25">
        <v>32</v>
      </c>
      <c r="C9" s="22">
        <v>89</v>
      </c>
      <c r="D9" s="27">
        <v>92</v>
      </c>
      <c r="E9" s="25">
        <v>21</v>
      </c>
      <c r="F9" s="22">
        <v>99</v>
      </c>
      <c r="G9" s="22">
        <v>99</v>
      </c>
      <c r="H9" s="22">
        <v>18</v>
      </c>
      <c r="I9" s="22">
        <v>87</v>
      </c>
      <c r="J9" s="17">
        <v>91</v>
      </c>
      <c r="K9" s="25">
        <v>10</v>
      </c>
      <c r="L9" s="22">
        <v>66</v>
      </c>
      <c r="M9" s="17">
        <v>66</v>
      </c>
      <c r="N9" s="29" t="s">
        <v>49</v>
      </c>
      <c r="O9" s="22">
        <v>44</v>
      </c>
      <c r="P9" s="27">
        <v>52</v>
      </c>
      <c r="Q9" s="25">
        <v>2</v>
      </c>
      <c r="R9" s="22">
        <v>42</v>
      </c>
      <c r="S9" s="17">
        <v>38</v>
      </c>
      <c r="T9" s="29">
        <v>0</v>
      </c>
      <c r="U9" s="22">
        <v>35</v>
      </c>
      <c r="V9" s="27"/>
    </row>
    <row r="10" spans="1:22" x14ac:dyDescent="0.25">
      <c r="A10" s="88" t="s">
        <v>26</v>
      </c>
      <c r="B10" s="25">
        <v>142</v>
      </c>
      <c r="C10" s="22">
        <v>433</v>
      </c>
      <c r="D10" s="27">
        <v>439</v>
      </c>
      <c r="E10" s="25">
        <v>155</v>
      </c>
      <c r="F10" s="22">
        <v>475</v>
      </c>
      <c r="G10" s="22">
        <v>416</v>
      </c>
      <c r="H10" s="22">
        <v>83</v>
      </c>
      <c r="I10" s="22">
        <v>463</v>
      </c>
      <c r="J10" s="17">
        <v>428</v>
      </c>
      <c r="K10" s="25">
        <v>26</v>
      </c>
      <c r="L10" s="22">
        <v>383</v>
      </c>
      <c r="M10" s="17">
        <v>373</v>
      </c>
      <c r="N10" s="29" t="s">
        <v>49</v>
      </c>
      <c r="O10" s="22">
        <v>344</v>
      </c>
      <c r="P10" s="27">
        <v>364</v>
      </c>
      <c r="Q10" s="25">
        <v>37</v>
      </c>
      <c r="R10" s="22">
        <v>339</v>
      </c>
      <c r="S10" s="17">
        <v>327</v>
      </c>
      <c r="T10" s="29">
        <v>0</v>
      </c>
      <c r="U10" s="22">
        <v>317</v>
      </c>
      <c r="V10" s="27"/>
    </row>
    <row r="11" spans="1:22" x14ac:dyDescent="0.25">
      <c r="A11" s="88" t="s">
        <v>27</v>
      </c>
      <c r="B11" s="25">
        <v>22</v>
      </c>
      <c r="C11" s="22">
        <v>61</v>
      </c>
      <c r="D11" s="27">
        <v>61</v>
      </c>
      <c r="E11" s="25">
        <v>25</v>
      </c>
      <c r="F11" s="22">
        <v>69</v>
      </c>
      <c r="G11" s="22">
        <v>73</v>
      </c>
      <c r="H11" s="22">
        <v>4</v>
      </c>
      <c r="I11" s="22">
        <v>73</v>
      </c>
      <c r="J11" s="17">
        <v>64</v>
      </c>
      <c r="K11" s="25">
        <v>6</v>
      </c>
      <c r="L11" s="22">
        <v>51</v>
      </c>
      <c r="M11" s="17">
        <v>42</v>
      </c>
      <c r="N11" s="29" t="s">
        <v>49</v>
      </c>
      <c r="O11" s="22">
        <v>30</v>
      </c>
      <c r="P11" s="27">
        <v>29</v>
      </c>
      <c r="Q11" s="25">
        <v>3</v>
      </c>
      <c r="R11" s="22">
        <v>29</v>
      </c>
      <c r="S11" s="17">
        <v>27</v>
      </c>
      <c r="T11" s="29">
        <v>1</v>
      </c>
      <c r="U11" s="22">
        <v>33</v>
      </c>
      <c r="V11" s="27"/>
    </row>
    <row r="12" spans="1:22" x14ac:dyDescent="0.25">
      <c r="A12" s="88" t="s">
        <v>28</v>
      </c>
      <c r="B12" s="25">
        <v>32</v>
      </c>
      <c r="C12" s="22">
        <v>112</v>
      </c>
      <c r="D12" s="27">
        <v>114</v>
      </c>
      <c r="E12" s="25">
        <v>43</v>
      </c>
      <c r="F12" s="22">
        <v>126</v>
      </c>
      <c r="G12" s="22">
        <v>133</v>
      </c>
      <c r="H12" s="22">
        <v>25</v>
      </c>
      <c r="I12" s="22">
        <v>225</v>
      </c>
      <c r="J12" s="17">
        <v>281</v>
      </c>
      <c r="K12" s="25">
        <v>25</v>
      </c>
      <c r="L12" s="22">
        <v>303</v>
      </c>
      <c r="M12" s="17">
        <v>354</v>
      </c>
      <c r="N12" s="29">
        <v>3</v>
      </c>
      <c r="O12" s="22">
        <v>387</v>
      </c>
      <c r="P12" s="27">
        <v>436</v>
      </c>
      <c r="Q12" s="25">
        <v>31</v>
      </c>
      <c r="R12" s="22">
        <v>427</v>
      </c>
      <c r="S12" s="17">
        <v>419</v>
      </c>
      <c r="T12" s="29">
        <v>5</v>
      </c>
      <c r="U12" s="22">
        <v>479</v>
      </c>
      <c r="V12" s="27"/>
    </row>
    <row r="13" spans="1:22" ht="15.75" thickBot="1" x14ac:dyDescent="0.3">
      <c r="A13" s="89" t="s">
        <v>29</v>
      </c>
      <c r="B13" s="30">
        <v>213</v>
      </c>
      <c r="C13" s="31">
        <v>641</v>
      </c>
      <c r="D13" s="32">
        <v>621</v>
      </c>
      <c r="E13" s="30">
        <v>243</v>
      </c>
      <c r="F13" s="31">
        <v>757</v>
      </c>
      <c r="G13" s="31">
        <v>805</v>
      </c>
      <c r="H13" s="31">
        <v>127</v>
      </c>
      <c r="I13" s="31">
        <v>873</v>
      </c>
      <c r="J13" s="33">
        <v>739</v>
      </c>
      <c r="K13" s="30">
        <v>53</v>
      </c>
      <c r="L13" s="31">
        <v>544</v>
      </c>
      <c r="M13" s="33">
        <v>509</v>
      </c>
      <c r="N13" s="34">
        <v>2</v>
      </c>
      <c r="O13" s="31">
        <v>359</v>
      </c>
      <c r="P13" s="27">
        <v>338</v>
      </c>
      <c r="Q13" s="49">
        <v>15</v>
      </c>
      <c r="R13" s="50">
        <v>216</v>
      </c>
      <c r="S13" s="51">
        <v>189</v>
      </c>
      <c r="T13" s="34">
        <v>1</v>
      </c>
      <c r="U13" s="31">
        <v>144</v>
      </c>
      <c r="V13" s="27"/>
    </row>
    <row r="14" spans="1:22" ht="15.75" thickBot="1" x14ac:dyDescent="0.3">
      <c r="A14" s="20" t="s">
        <v>30</v>
      </c>
      <c r="B14" s="36">
        <v>2511</v>
      </c>
      <c r="C14" s="37">
        <v>8669</v>
      </c>
      <c r="D14" s="38">
        <v>8477</v>
      </c>
      <c r="E14" s="36">
        <v>2821</v>
      </c>
      <c r="F14" s="37">
        <v>9490</v>
      </c>
      <c r="G14" s="37">
        <v>9655</v>
      </c>
      <c r="H14" s="37">
        <v>1503</v>
      </c>
      <c r="I14" s="37">
        <v>10474</v>
      </c>
      <c r="J14" s="35">
        <v>10153</v>
      </c>
      <c r="K14" s="36">
        <v>763</v>
      </c>
      <c r="L14" s="37">
        <v>9133</v>
      </c>
      <c r="M14" s="35">
        <v>9175</v>
      </c>
      <c r="N14" s="39">
        <v>37</v>
      </c>
      <c r="O14" s="37">
        <v>8523</v>
      </c>
      <c r="P14" s="38">
        <v>8923</v>
      </c>
      <c r="Q14" s="53">
        <v>623</v>
      </c>
      <c r="R14" s="47">
        <f t="shared" ref="R14:U14" si="0">SUM(R5:R13)</f>
        <v>8117</v>
      </c>
      <c r="S14" s="54">
        <f t="shared" si="0"/>
        <v>8065</v>
      </c>
      <c r="T14" s="39">
        <f t="shared" si="0"/>
        <v>55</v>
      </c>
      <c r="U14" s="37">
        <f t="shared" si="0"/>
        <v>8163</v>
      </c>
      <c r="V14" s="38"/>
    </row>
    <row r="15" spans="1:22" ht="15.75" thickBot="1" x14ac:dyDescent="0.3">
      <c r="A15" s="21" t="s">
        <v>5</v>
      </c>
      <c r="B15" s="121">
        <v>13221</v>
      </c>
      <c r="C15" s="122"/>
      <c r="D15" s="123"/>
      <c r="E15" s="131">
        <v>14790</v>
      </c>
      <c r="F15" s="122"/>
      <c r="G15" s="124"/>
      <c r="H15" s="121">
        <v>14991</v>
      </c>
      <c r="I15" s="122"/>
      <c r="J15" s="123"/>
      <c r="K15" s="131">
        <v>12920</v>
      </c>
      <c r="L15" s="122"/>
      <c r="M15" s="124"/>
      <c r="N15" s="121">
        <v>11797</v>
      </c>
      <c r="O15" s="122"/>
      <c r="P15" s="124"/>
      <c r="Q15" s="121">
        <v>11220</v>
      </c>
      <c r="R15" s="122"/>
      <c r="S15" s="123"/>
      <c r="T15" s="121"/>
      <c r="U15" s="122"/>
      <c r="V15" s="124"/>
    </row>
    <row r="16" spans="1:22" ht="15.75" thickBot="1" x14ac:dyDescent="0.3">
      <c r="A16" s="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22" ht="15.75" x14ac:dyDescent="0.25">
      <c r="A17" s="128" t="s">
        <v>31</v>
      </c>
      <c r="B17" s="117" t="s">
        <v>32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</row>
    <row r="18" spans="1:22" ht="16.5" thickBot="1" x14ac:dyDescent="0.3">
      <c r="A18" s="129"/>
      <c r="B18" s="119" t="s">
        <v>40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</row>
    <row r="19" spans="1:22" ht="15.75" thickBot="1" x14ac:dyDescent="0.3">
      <c r="A19" s="130"/>
      <c r="B19" s="114" t="s">
        <v>0</v>
      </c>
      <c r="C19" s="115"/>
      <c r="D19" s="116"/>
      <c r="E19" s="111" t="s">
        <v>1</v>
      </c>
      <c r="F19" s="112"/>
      <c r="G19" s="113"/>
      <c r="H19" s="114" t="s">
        <v>2</v>
      </c>
      <c r="I19" s="115"/>
      <c r="J19" s="116"/>
      <c r="K19" s="111" t="s">
        <v>3</v>
      </c>
      <c r="L19" s="112"/>
      <c r="M19" s="113"/>
      <c r="N19" s="114" t="s">
        <v>4</v>
      </c>
      <c r="O19" s="115"/>
      <c r="P19" s="116"/>
      <c r="Q19" s="111" t="s">
        <v>41</v>
      </c>
      <c r="R19" s="112"/>
      <c r="S19" s="113"/>
      <c r="T19" s="114" t="s">
        <v>42</v>
      </c>
      <c r="U19" s="115"/>
      <c r="V19" s="116"/>
    </row>
    <row r="20" spans="1:22" ht="15.75" thickBot="1" x14ac:dyDescent="0.3">
      <c r="A20" s="58" t="s">
        <v>38</v>
      </c>
      <c r="B20" s="74" t="s">
        <v>6</v>
      </c>
      <c r="C20" s="75" t="s">
        <v>7</v>
      </c>
      <c r="D20" s="76" t="s">
        <v>8</v>
      </c>
      <c r="E20" s="77" t="s">
        <v>9</v>
      </c>
      <c r="F20" s="78" t="s">
        <v>10</v>
      </c>
      <c r="G20" s="79" t="s">
        <v>11</v>
      </c>
      <c r="H20" s="74" t="s">
        <v>12</v>
      </c>
      <c r="I20" s="75" t="s">
        <v>13</v>
      </c>
      <c r="J20" s="76" t="s">
        <v>14</v>
      </c>
      <c r="K20" s="77" t="s">
        <v>15</v>
      </c>
      <c r="L20" s="78" t="s">
        <v>16</v>
      </c>
      <c r="M20" s="79" t="s">
        <v>17</v>
      </c>
      <c r="N20" s="74" t="s">
        <v>18</v>
      </c>
      <c r="O20" s="75" t="s">
        <v>19</v>
      </c>
      <c r="P20" s="76" t="s">
        <v>20</v>
      </c>
      <c r="Q20" s="77" t="s">
        <v>43</v>
      </c>
      <c r="R20" s="78" t="s">
        <v>44</v>
      </c>
      <c r="S20" s="79" t="s">
        <v>46</v>
      </c>
      <c r="T20" s="74" t="s">
        <v>47</v>
      </c>
      <c r="U20" s="75" t="s">
        <v>48</v>
      </c>
      <c r="V20" s="80" t="s">
        <v>45</v>
      </c>
    </row>
    <row r="21" spans="1:22" x14ac:dyDescent="0.25">
      <c r="A21" s="59" t="s">
        <v>21</v>
      </c>
      <c r="B21" s="55">
        <f>B5/B$14</f>
        <v>0.41935483870967744</v>
      </c>
      <c r="C21" s="62">
        <f t="shared" ref="C21:P22" si="1">C5/C$14</f>
        <v>0.48137040027684852</v>
      </c>
      <c r="D21" s="68">
        <f t="shared" si="1"/>
        <v>0.4738704730447092</v>
      </c>
      <c r="E21" s="55">
        <f t="shared" si="1"/>
        <v>0.40801134349521445</v>
      </c>
      <c r="F21" s="62">
        <f t="shared" si="1"/>
        <v>0.46880927291886199</v>
      </c>
      <c r="G21" s="56">
        <f t="shared" si="1"/>
        <v>0.46815121698601758</v>
      </c>
      <c r="H21" s="71">
        <f t="shared" si="1"/>
        <v>0.3985362608117099</v>
      </c>
      <c r="I21" s="62">
        <f t="shared" si="1"/>
        <v>0.45694099675386673</v>
      </c>
      <c r="J21" s="68">
        <f t="shared" si="1"/>
        <v>0.44666601004629175</v>
      </c>
      <c r="K21" s="55">
        <f t="shared" si="1"/>
        <v>0.4076015727391874</v>
      </c>
      <c r="L21" s="62">
        <f t="shared" si="1"/>
        <v>0.44268038979524799</v>
      </c>
      <c r="M21" s="56">
        <f t="shared" si="1"/>
        <v>0.42953678474114443</v>
      </c>
      <c r="N21" s="71">
        <f t="shared" si="1"/>
        <v>0.35135135135135137</v>
      </c>
      <c r="O21" s="62">
        <f t="shared" si="1"/>
        <v>0.41921858500527981</v>
      </c>
      <c r="P21" s="110">
        <f t="shared" si="1"/>
        <v>0.4068138518435504</v>
      </c>
      <c r="Q21" s="85">
        <v>0.36599999999999999</v>
      </c>
      <c r="R21" s="92">
        <v>0.38500000000000001</v>
      </c>
      <c r="S21" s="14">
        <v>0.378</v>
      </c>
      <c r="T21" s="85">
        <v>0.29089999999999999</v>
      </c>
      <c r="U21" s="92">
        <v>0.35449999999999998</v>
      </c>
      <c r="V21" s="14"/>
    </row>
    <row r="22" spans="1:22" x14ac:dyDescent="0.25">
      <c r="A22" s="60" t="s">
        <v>22</v>
      </c>
      <c r="B22" s="67">
        <f t="shared" ref="B22:O22" si="2">B6/B$14</f>
        <v>0.29231381919553961</v>
      </c>
      <c r="C22" s="63">
        <f t="shared" si="2"/>
        <v>0.27096550928596147</v>
      </c>
      <c r="D22" s="69">
        <f t="shared" si="2"/>
        <v>0.27297392945617555</v>
      </c>
      <c r="E22" s="67">
        <f t="shared" si="2"/>
        <v>0.2998936547323644</v>
      </c>
      <c r="F22" s="63">
        <f t="shared" si="2"/>
        <v>0.27776606954689148</v>
      </c>
      <c r="G22" s="57">
        <f t="shared" si="2"/>
        <v>0.27622993267736923</v>
      </c>
      <c r="H22" s="72">
        <f t="shared" si="2"/>
        <v>0.31403858948769131</v>
      </c>
      <c r="I22" s="63">
        <f t="shared" si="2"/>
        <v>0.28651899942715298</v>
      </c>
      <c r="J22" s="69">
        <f t="shared" si="2"/>
        <v>0.29912341179946816</v>
      </c>
      <c r="K22" s="67">
        <f t="shared" si="2"/>
        <v>0.30013106159895153</v>
      </c>
      <c r="L22" s="63">
        <f t="shared" si="2"/>
        <v>0.3184057812328917</v>
      </c>
      <c r="M22" s="57">
        <f t="shared" si="2"/>
        <v>0.32632152588555857</v>
      </c>
      <c r="N22" s="72">
        <f t="shared" si="2"/>
        <v>0.43243243243243246</v>
      </c>
      <c r="O22" s="63">
        <f t="shared" si="2"/>
        <v>0.35492197583010676</v>
      </c>
      <c r="P22" s="98">
        <f t="shared" si="1"/>
        <v>0.37072733385632634</v>
      </c>
      <c r="Q22" s="97">
        <v>0.36899999999999999</v>
      </c>
      <c r="R22" s="93">
        <v>0.39800000000000002</v>
      </c>
      <c r="S22" s="86">
        <v>0.40860000000000002</v>
      </c>
      <c r="T22" s="97">
        <v>0.4909</v>
      </c>
      <c r="U22" s="93">
        <v>0.42909999999999998</v>
      </c>
      <c r="V22" s="86"/>
    </row>
    <row r="23" spans="1:22" x14ac:dyDescent="0.25">
      <c r="A23" s="60" t="s">
        <v>23</v>
      </c>
      <c r="B23" s="67">
        <f t="shared" ref="B23:P23" si="3">B7/B$14</f>
        <v>5.7347670250896057E-2</v>
      </c>
      <c r="C23" s="63">
        <f t="shared" si="3"/>
        <v>6.0329911177759835E-2</v>
      </c>
      <c r="D23" s="69">
        <f t="shared" si="3"/>
        <v>6.2286186150760883E-2</v>
      </c>
      <c r="E23" s="67">
        <f t="shared" si="3"/>
        <v>6.4161644806806098E-2</v>
      </c>
      <c r="F23" s="63">
        <f t="shared" si="3"/>
        <v>6.0906217070600635E-2</v>
      </c>
      <c r="G23" s="57">
        <f t="shared" si="3"/>
        <v>6.4629725530813045E-2</v>
      </c>
      <c r="H23" s="72">
        <f t="shared" si="3"/>
        <v>6.3872255489021951E-2</v>
      </c>
      <c r="I23" s="63">
        <f t="shared" si="3"/>
        <v>6.1485583349245754E-2</v>
      </c>
      <c r="J23" s="69">
        <f t="shared" si="3"/>
        <v>6.3921993499458291E-2</v>
      </c>
      <c r="K23" s="67">
        <f t="shared" si="3"/>
        <v>9.0432503276539969E-2</v>
      </c>
      <c r="L23" s="63">
        <f t="shared" si="3"/>
        <v>5.8250301105879775E-2</v>
      </c>
      <c r="M23" s="57">
        <f t="shared" si="3"/>
        <v>6.3760217983651224E-2</v>
      </c>
      <c r="N23" s="72">
        <f t="shared" si="3"/>
        <v>5.4054054054054057E-2</v>
      </c>
      <c r="O23" s="63">
        <f t="shared" si="3"/>
        <v>5.8195471078258829E-2</v>
      </c>
      <c r="P23" s="98">
        <f t="shared" si="3"/>
        <v>5.9060853972879079E-2</v>
      </c>
      <c r="Q23" s="97">
        <v>6.9000000000000006E-2</v>
      </c>
      <c r="R23" s="93">
        <v>5.8999999999999997E-2</v>
      </c>
      <c r="S23" s="86">
        <v>6.2399999999999997E-2</v>
      </c>
      <c r="T23" s="97">
        <v>7.2700000000000001E-2</v>
      </c>
      <c r="U23" s="93">
        <v>6.6400000000000001E-2</v>
      </c>
      <c r="V23" s="86"/>
    </row>
    <row r="24" spans="1:22" x14ac:dyDescent="0.25">
      <c r="A24" s="60" t="s">
        <v>24</v>
      </c>
      <c r="B24" s="67">
        <f t="shared" ref="B24:P24" si="4">B8/B$14</f>
        <v>5.5356431700517725E-2</v>
      </c>
      <c r="C24" s="63">
        <f t="shared" si="4"/>
        <v>3.322182489329796E-2</v>
      </c>
      <c r="D24" s="69">
        <f t="shared" si="4"/>
        <v>3.4328182139907987E-2</v>
      </c>
      <c r="E24" s="67">
        <f t="shared" si="4"/>
        <v>5.5299539170506916E-2</v>
      </c>
      <c r="F24" s="63">
        <f t="shared" si="4"/>
        <v>3.1717597471022131E-2</v>
      </c>
      <c r="G24" s="57">
        <f t="shared" si="4"/>
        <v>3.2936302433972033E-2</v>
      </c>
      <c r="H24" s="72">
        <f t="shared" si="4"/>
        <v>5.2561543579507652E-2</v>
      </c>
      <c r="I24" s="63">
        <f t="shared" si="4"/>
        <v>3.0742791674622877E-2</v>
      </c>
      <c r="J24" s="69">
        <f t="shared" si="4"/>
        <v>3.2404215502807053E-2</v>
      </c>
      <c r="K24" s="67">
        <f t="shared" si="4"/>
        <v>4.456094364351245E-2</v>
      </c>
      <c r="L24" s="63">
        <f t="shared" si="4"/>
        <v>3.3176393299025511E-2</v>
      </c>
      <c r="M24" s="57">
        <f t="shared" si="4"/>
        <v>3.3896457765667576E-2</v>
      </c>
      <c r="N24" s="72">
        <f t="shared" si="4"/>
        <v>2.7027027027027029E-2</v>
      </c>
      <c r="O24" s="63">
        <f t="shared" si="4"/>
        <v>3.1092338378505221E-2</v>
      </c>
      <c r="P24" s="98">
        <f t="shared" si="4"/>
        <v>2.6784713661324667E-2</v>
      </c>
      <c r="Q24" s="97">
        <v>5.4600000000000003E-2</v>
      </c>
      <c r="R24" s="93">
        <v>2.81E-2</v>
      </c>
      <c r="S24" s="86">
        <v>2.8000000000000001E-2</v>
      </c>
      <c r="T24" s="97">
        <v>1.8200000000000001E-2</v>
      </c>
      <c r="U24" s="93">
        <v>2.6499999999999999E-2</v>
      </c>
      <c r="V24" s="86"/>
    </row>
    <row r="25" spans="1:22" x14ac:dyDescent="0.25">
      <c r="A25" s="60" t="s">
        <v>25</v>
      </c>
      <c r="B25" s="67">
        <f t="shared" ref="B25:P25" si="5">B9/B$14</f>
        <v>1.2743926722421346E-2</v>
      </c>
      <c r="C25" s="63">
        <f t="shared" si="5"/>
        <v>1.0266466720498328E-2</v>
      </c>
      <c r="D25" s="69">
        <f t="shared" si="5"/>
        <v>1.0852896071723487E-2</v>
      </c>
      <c r="E25" s="67">
        <f t="shared" si="5"/>
        <v>7.4441687344913151E-3</v>
      </c>
      <c r="F25" s="63">
        <f t="shared" si="5"/>
        <v>1.0432033719704952E-2</v>
      </c>
      <c r="G25" s="57">
        <f t="shared" si="5"/>
        <v>1.0253754531330917E-2</v>
      </c>
      <c r="H25" s="72">
        <f t="shared" si="5"/>
        <v>1.1976047904191617E-2</v>
      </c>
      <c r="I25" s="63">
        <f t="shared" si="5"/>
        <v>8.3062822226465539E-3</v>
      </c>
      <c r="J25" s="69">
        <f t="shared" si="5"/>
        <v>8.9628681177976958E-3</v>
      </c>
      <c r="K25" s="67">
        <f t="shared" si="5"/>
        <v>1.310615989515072E-2</v>
      </c>
      <c r="L25" s="63">
        <f t="shared" si="5"/>
        <v>7.2265411146392204E-3</v>
      </c>
      <c r="M25" s="57">
        <f t="shared" si="5"/>
        <v>7.1934604904632157E-3</v>
      </c>
      <c r="N25" s="72">
        <v>0</v>
      </c>
      <c r="O25" s="63">
        <f t="shared" si="5"/>
        <v>5.1625014666197349E-3</v>
      </c>
      <c r="P25" s="98">
        <f t="shared" si="5"/>
        <v>5.8276364451417687E-3</v>
      </c>
      <c r="Q25" s="97">
        <v>3.2000000000000002E-3</v>
      </c>
      <c r="R25" s="93">
        <v>5.1999999999999998E-3</v>
      </c>
      <c r="S25" s="86">
        <v>4.7000000000000002E-3</v>
      </c>
      <c r="T25" s="97">
        <v>0</v>
      </c>
      <c r="U25" s="93">
        <v>4.3E-3</v>
      </c>
      <c r="V25" s="86"/>
    </row>
    <row r="26" spans="1:22" x14ac:dyDescent="0.25">
      <c r="A26" s="60" t="s">
        <v>26</v>
      </c>
      <c r="B26" s="67">
        <f t="shared" ref="B26:P26" si="6">B10/B$14</f>
        <v>5.6551174830744726E-2</v>
      </c>
      <c r="C26" s="63">
        <f t="shared" si="6"/>
        <v>4.9948090898604219E-2</v>
      </c>
      <c r="D26" s="69">
        <f t="shared" si="6"/>
        <v>5.1787188863984902E-2</v>
      </c>
      <c r="E26" s="67">
        <f t="shared" si="6"/>
        <v>5.4945054945054944E-2</v>
      </c>
      <c r="F26" s="63">
        <f t="shared" si="6"/>
        <v>5.0052687038988408E-2</v>
      </c>
      <c r="G26" s="57">
        <f t="shared" si="6"/>
        <v>4.3086483687208701E-2</v>
      </c>
      <c r="H26" s="72">
        <f t="shared" si="6"/>
        <v>5.5222887558216902E-2</v>
      </c>
      <c r="I26" s="63">
        <f t="shared" si="6"/>
        <v>4.4204697345808668E-2</v>
      </c>
      <c r="J26" s="69">
        <f t="shared" si="6"/>
        <v>4.2155028070521031E-2</v>
      </c>
      <c r="K26" s="67">
        <f t="shared" si="6"/>
        <v>3.4076015727391877E-2</v>
      </c>
      <c r="L26" s="63">
        <f t="shared" si="6"/>
        <v>4.1935837074345776E-2</v>
      </c>
      <c r="M26" s="57">
        <f t="shared" si="6"/>
        <v>4.0653950953678471E-2</v>
      </c>
      <c r="N26" s="72">
        <v>0</v>
      </c>
      <c r="O26" s="63">
        <f t="shared" si="6"/>
        <v>4.0361375102663383E-2</v>
      </c>
      <c r="P26" s="98">
        <f t="shared" si="6"/>
        <v>4.0793455115992382E-2</v>
      </c>
      <c r="Q26" s="97">
        <v>5.9400000000000001E-2</v>
      </c>
      <c r="R26" s="93">
        <v>4.1799999999999997E-2</v>
      </c>
      <c r="S26" s="86">
        <v>4.0500000000000001E-2</v>
      </c>
      <c r="T26" s="97">
        <v>0</v>
      </c>
      <c r="U26" s="93">
        <v>3.8800000000000001E-2</v>
      </c>
      <c r="V26" s="86"/>
    </row>
    <row r="27" spans="1:22" x14ac:dyDescent="0.25">
      <c r="A27" s="60" t="s">
        <v>27</v>
      </c>
      <c r="B27" s="67">
        <f t="shared" ref="B27:P27" si="7">B11/B$14</f>
        <v>8.7614496216646756E-3</v>
      </c>
      <c r="C27" s="63">
        <f t="shared" si="7"/>
        <v>7.0365670780943596E-3</v>
      </c>
      <c r="D27" s="69">
        <f t="shared" si="7"/>
        <v>7.1959419605992685E-3</v>
      </c>
      <c r="E27" s="67">
        <f t="shared" si="7"/>
        <v>8.8621056362991855E-3</v>
      </c>
      <c r="F27" s="63">
        <f t="shared" si="7"/>
        <v>7.2708113804004215E-3</v>
      </c>
      <c r="G27" s="57">
        <f t="shared" si="7"/>
        <v>7.5608493008803733E-3</v>
      </c>
      <c r="H27" s="72">
        <f t="shared" si="7"/>
        <v>2.6613439787092482E-3</v>
      </c>
      <c r="I27" s="63">
        <f t="shared" si="7"/>
        <v>6.9696391063586022E-3</v>
      </c>
      <c r="J27" s="69">
        <f t="shared" si="7"/>
        <v>6.3035555993302475E-3</v>
      </c>
      <c r="K27" s="67">
        <f t="shared" si="7"/>
        <v>7.8636959370904317E-3</v>
      </c>
      <c r="L27" s="63">
        <f t="shared" si="7"/>
        <v>5.5841454067666703E-3</v>
      </c>
      <c r="M27" s="57">
        <f t="shared" si="7"/>
        <v>4.5776566757493187E-3</v>
      </c>
      <c r="N27" s="72">
        <v>0</v>
      </c>
      <c r="O27" s="63">
        <f t="shared" si="7"/>
        <v>3.5198873636043647E-3</v>
      </c>
      <c r="P27" s="98">
        <f t="shared" si="7"/>
        <v>3.2500280174829095E-3</v>
      </c>
      <c r="Q27" s="97">
        <v>4.7999999999999996E-3</v>
      </c>
      <c r="R27" s="93">
        <v>3.5999999999999999E-3</v>
      </c>
      <c r="S27" s="86">
        <v>3.3E-3</v>
      </c>
      <c r="T27" s="97">
        <v>1.8200000000000001E-2</v>
      </c>
      <c r="U27" s="93">
        <v>4.0000000000000001E-3</v>
      </c>
      <c r="V27" s="86"/>
    </row>
    <row r="28" spans="1:22" x14ac:dyDescent="0.25">
      <c r="A28" s="60" t="s">
        <v>28</v>
      </c>
      <c r="B28" s="67">
        <f t="shared" ref="B28:P28" si="8">B12/B$14</f>
        <v>1.2743926722421346E-2</v>
      </c>
      <c r="C28" s="63">
        <f t="shared" si="8"/>
        <v>1.2919598569615873E-2</v>
      </c>
      <c r="D28" s="69">
        <f t="shared" si="8"/>
        <v>1.3448153828005191E-2</v>
      </c>
      <c r="E28" s="67">
        <f t="shared" si="8"/>
        <v>1.5242821694434599E-2</v>
      </c>
      <c r="F28" s="63">
        <f t="shared" si="8"/>
        <v>1.3277133825079031E-2</v>
      </c>
      <c r="G28" s="57">
        <f t="shared" si="8"/>
        <v>1.3775245986535473E-2</v>
      </c>
      <c r="H28" s="72">
        <f t="shared" si="8"/>
        <v>1.66333998669328E-2</v>
      </c>
      <c r="I28" s="63">
        <f t="shared" si="8"/>
        <v>2.1481764368913501E-2</v>
      </c>
      <c r="J28" s="69">
        <f t="shared" si="8"/>
        <v>2.7676548803309366E-2</v>
      </c>
      <c r="K28" s="67">
        <f t="shared" si="8"/>
        <v>3.2765399737876802E-2</v>
      </c>
      <c r="L28" s="63">
        <f t="shared" si="8"/>
        <v>3.3176393299025511E-2</v>
      </c>
      <c r="M28" s="57">
        <f t="shared" si="8"/>
        <v>3.8583106267029973E-2</v>
      </c>
      <c r="N28" s="72">
        <f t="shared" si="8"/>
        <v>8.1081081081081086E-2</v>
      </c>
      <c r="O28" s="63">
        <f t="shared" si="8"/>
        <v>4.5406546990496302E-2</v>
      </c>
      <c r="P28" s="98">
        <f t="shared" si="8"/>
        <v>4.8862490193880982E-2</v>
      </c>
      <c r="Q28" s="97">
        <v>4.9799999999999997E-2</v>
      </c>
      <c r="R28" s="93">
        <v>5.2600000000000001E-2</v>
      </c>
      <c r="S28" s="86">
        <v>5.1999999999999998E-2</v>
      </c>
      <c r="T28" s="97">
        <v>9.0899999999999995E-2</v>
      </c>
      <c r="U28" s="93">
        <v>5.8700000000000002E-2</v>
      </c>
      <c r="V28" s="86"/>
    </row>
    <row r="29" spans="1:22" ht="15.75" thickBot="1" x14ac:dyDescent="0.3">
      <c r="A29" s="61" t="s">
        <v>29</v>
      </c>
      <c r="B29" s="65">
        <f t="shared" ref="B29:P29" si="9">B13/B$14</f>
        <v>8.4826762246117085E-2</v>
      </c>
      <c r="C29" s="66">
        <f t="shared" si="9"/>
        <v>7.3941631099319408E-2</v>
      </c>
      <c r="D29" s="70">
        <f t="shared" si="9"/>
        <v>7.3257048484133544E-2</v>
      </c>
      <c r="E29" s="65">
        <f t="shared" si="9"/>
        <v>8.6139666784828081E-2</v>
      </c>
      <c r="F29" s="66">
        <f t="shared" si="9"/>
        <v>7.9768177028451001E-2</v>
      </c>
      <c r="G29" s="64">
        <f t="shared" si="9"/>
        <v>8.3376488865872608E-2</v>
      </c>
      <c r="H29" s="73">
        <f t="shared" si="9"/>
        <v>8.4497671324018628E-2</v>
      </c>
      <c r="I29" s="66">
        <f t="shared" si="9"/>
        <v>8.3349245751384374E-2</v>
      </c>
      <c r="J29" s="70">
        <f t="shared" si="9"/>
        <v>7.2786368561016446E-2</v>
      </c>
      <c r="K29" s="65">
        <f t="shared" si="9"/>
        <v>6.9462647444298822E-2</v>
      </c>
      <c r="L29" s="66">
        <f t="shared" si="9"/>
        <v>5.9564217672177816E-2</v>
      </c>
      <c r="M29" s="64">
        <f t="shared" si="9"/>
        <v>5.5476839237057221E-2</v>
      </c>
      <c r="N29" s="73">
        <f t="shared" si="9"/>
        <v>5.4054054054054057E-2</v>
      </c>
      <c r="O29" s="66">
        <f t="shared" si="9"/>
        <v>4.2121318784465567E-2</v>
      </c>
      <c r="P29" s="99">
        <f t="shared" si="9"/>
        <v>3.7879636893421498E-2</v>
      </c>
      <c r="Q29" s="95">
        <v>2.41E-2</v>
      </c>
      <c r="R29" s="96">
        <v>2.6599999999999999E-2</v>
      </c>
      <c r="S29" s="94">
        <v>2.3400000000000001E-2</v>
      </c>
      <c r="T29" s="95">
        <v>1.8200000000000001E-2</v>
      </c>
      <c r="U29" s="96">
        <v>1.7600000000000001E-2</v>
      </c>
      <c r="V29" s="94"/>
    </row>
    <row r="30" spans="1:22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22" ht="15.75" x14ac:dyDescent="0.25">
      <c r="A31" s="128" t="s">
        <v>33</v>
      </c>
      <c r="B31" s="117" t="s">
        <v>33</v>
      </c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</row>
    <row r="32" spans="1:22" ht="16.5" thickBot="1" x14ac:dyDescent="0.3">
      <c r="A32" s="129"/>
      <c r="B32" s="119" t="s">
        <v>40</v>
      </c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</row>
    <row r="33" spans="1:22" ht="15.75" thickBot="1" x14ac:dyDescent="0.3">
      <c r="A33" s="130"/>
      <c r="B33" s="114" t="s">
        <v>0</v>
      </c>
      <c r="C33" s="115"/>
      <c r="D33" s="116"/>
      <c r="E33" s="111" t="s">
        <v>1</v>
      </c>
      <c r="F33" s="112"/>
      <c r="G33" s="113"/>
      <c r="H33" s="114" t="s">
        <v>2</v>
      </c>
      <c r="I33" s="115"/>
      <c r="J33" s="116"/>
      <c r="K33" s="111" t="s">
        <v>3</v>
      </c>
      <c r="L33" s="112"/>
      <c r="M33" s="113"/>
      <c r="N33" s="114" t="s">
        <v>4</v>
      </c>
      <c r="O33" s="115"/>
      <c r="P33" s="116"/>
      <c r="Q33" s="111" t="s">
        <v>41</v>
      </c>
      <c r="R33" s="112"/>
      <c r="S33" s="113"/>
      <c r="T33" s="114" t="s">
        <v>42</v>
      </c>
      <c r="U33" s="115"/>
      <c r="V33" s="116"/>
    </row>
    <row r="34" spans="1:22" ht="15.75" thickBot="1" x14ac:dyDescent="0.3">
      <c r="A34" s="84" t="s">
        <v>37</v>
      </c>
      <c r="B34" s="102" t="s">
        <v>6</v>
      </c>
      <c r="C34" s="103" t="s">
        <v>7</v>
      </c>
      <c r="D34" s="104" t="s">
        <v>8</v>
      </c>
      <c r="E34" s="105" t="s">
        <v>9</v>
      </c>
      <c r="F34" s="106" t="s">
        <v>10</v>
      </c>
      <c r="G34" s="107" t="s">
        <v>11</v>
      </c>
      <c r="H34" s="102" t="s">
        <v>12</v>
      </c>
      <c r="I34" s="103" t="s">
        <v>13</v>
      </c>
      <c r="J34" s="104" t="s">
        <v>14</v>
      </c>
      <c r="K34" s="105" t="s">
        <v>15</v>
      </c>
      <c r="L34" s="106" t="s">
        <v>16</v>
      </c>
      <c r="M34" s="107" t="s">
        <v>17</v>
      </c>
      <c r="N34" s="102" t="s">
        <v>18</v>
      </c>
      <c r="O34" s="103" t="s">
        <v>19</v>
      </c>
      <c r="P34" s="104" t="s">
        <v>20</v>
      </c>
      <c r="Q34" s="105" t="s">
        <v>43</v>
      </c>
      <c r="R34" s="106" t="s">
        <v>44</v>
      </c>
      <c r="S34" s="107" t="s">
        <v>46</v>
      </c>
      <c r="T34" s="102" t="s">
        <v>47</v>
      </c>
      <c r="U34" s="103" t="s">
        <v>48</v>
      </c>
      <c r="V34" s="108" t="s">
        <v>45</v>
      </c>
    </row>
    <row r="35" spans="1:22" x14ac:dyDescent="0.25">
      <c r="A35" s="87" t="s">
        <v>21</v>
      </c>
      <c r="B35" s="91">
        <v>0.86</v>
      </c>
      <c r="C35" s="91">
        <v>0.68</v>
      </c>
      <c r="D35" s="91">
        <v>0.71</v>
      </c>
      <c r="E35" s="91">
        <v>0.86</v>
      </c>
      <c r="F35" s="91">
        <v>0.7</v>
      </c>
      <c r="G35" s="91">
        <v>0.71</v>
      </c>
      <c r="H35" s="91">
        <v>0.87</v>
      </c>
      <c r="I35" s="91">
        <v>0.73</v>
      </c>
      <c r="J35" s="91">
        <v>0.73</v>
      </c>
      <c r="K35" s="91">
        <v>0.85</v>
      </c>
      <c r="L35" s="91">
        <v>0.74</v>
      </c>
      <c r="M35" s="91">
        <v>0.74</v>
      </c>
      <c r="N35" s="91">
        <v>1</v>
      </c>
      <c r="O35" s="91">
        <v>0.76</v>
      </c>
      <c r="P35" s="91">
        <v>0.74</v>
      </c>
      <c r="Q35" s="91">
        <v>0.80769999999999997</v>
      </c>
      <c r="R35" s="91">
        <v>0.75309999999999999</v>
      </c>
      <c r="S35" s="12">
        <v>0.75629999999999997</v>
      </c>
      <c r="T35" s="11">
        <v>1</v>
      </c>
      <c r="U35" s="11">
        <v>0.74</v>
      </c>
      <c r="V35" s="7"/>
    </row>
    <row r="36" spans="1:22" x14ac:dyDescent="0.25">
      <c r="A36" s="88" t="s">
        <v>22</v>
      </c>
      <c r="B36" s="91">
        <v>0.81</v>
      </c>
      <c r="C36" s="91">
        <v>0.61</v>
      </c>
      <c r="D36" s="91">
        <v>0.64</v>
      </c>
      <c r="E36" s="91">
        <v>0.8</v>
      </c>
      <c r="F36" s="91">
        <v>0.64</v>
      </c>
      <c r="G36" s="91">
        <v>0.64</v>
      </c>
      <c r="H36" s="91">
        <v>0.8</v>
      </c>
      <c r="I36" s="91">
        <v>0.67</v>
      </c>
      <c r="J36" s="91">
        <v>0.66</v>
      </c>
      <c r="K36" s="91">
        <v>0.81</v>
      </c>
      <c r="L36" s="91">
        <v>0.69</v>
      </c>
      <c r="M36" s="91">
        <v>0.68</v>
      </c>
      <c r="N36" s="91">
        <v>1</v>
      </c>
      <c r="O36" s="91">
        <v>0.7</v>
      </c>
      <c r="P36" s="91">
        <v>0.67</v>
      </c>
      <c r="Q36" s="91">
        <v>0.7913</v>
      </c>
      <c r="R36" s="91">
        <v>0.69869999999999999</v>
      </c>
      <c r="S36" s="82">
        <v>0.68359999999999999</v>
      </c>
      <c r="T36" s="10">
        <v>0.93</v>
      </c>
      <c r="U36" s="10">
        <v>0.69</v>
      </c>
      <c r="V36" s="15"/>
    </row>
    <row r="37" spans="1:22" x14ac:dyDescent="0.25">
      <c r="A37" s="88" t="s">
        <v>23</v>
      </c>
      <c r="B37" s="91">
        <v>0.75</v>
      </c>
      <c r="C37" s="91">
        <v>0.53</v>
      </c>
      <c r="D37" s="91">
        <v>0.56000000000000005</v>
      </c>
      <c r="E37" s="91">
        <v>0.7</v>
      </c>
      <c r="F37" s="91">
        <v>0.54</v>
      </c>
      <c r="G37" s="91">
        <v>0.57999999999999996</v>
      </c>
      <c r="H37" s="91">
        <v>0.76</v>
      </c>
      <c r="I37" s="91">
        <v>0.6</v>
      </c>
      <c r="J37" s="91">
        <v>0.56999999999999995</v>
      </c>
      <c r="K37" s="91">
        <v>0.71</v>
      </c>
      <c r="L37" s="91">
        <v>0.65</v>
      </c>
      <c r="M37" s="91">
        <v>0.6</v>
      </c>
      <c r="N37" s="91">
        <v>1</v>
      </c>
      <c r="O37" s="91">
        <v>0.65</v>
      </c>
      <c r="P37" s="91">
        <v>0.62</v>
      </c>
      <c r="Q37" s="91">
        <v>0.79069999999999996</v>
      </c>
      <c r="R37" s="91">
        <v>0.62150000000000005</v>
      </c>
      <c r="S37" s="82">
        <v>0.6472</v>
      </c>
      <c r="T37" s="10">
        <v>1</v>
      </c>
      <c r="U37" s="10">
        <v>0.63</v>
      </c>
      <c r="V37" s="15"/>
    </row>
    <row r="38" spans="1:22" x14ac:dyDescent="0.25">
      <c r="A38" s="88" t="s">
        <v>24</v>
      </c>
      <c r="B38" s="91">
        <v>0.81</v>
      </c>
      <c r="C38" s="91">
        <v>0.74</v>
      </c>
      <c r="D38" s="91">
        <v>0.72</v>
      </c>
      <c r="E38" s="91">
        <v>0.87</v>
      </c>
      <c r="F38" s="91">
        <v>0.75</v>
      </c>
      <c r="G38" s="91">
        <v>0.73</v>
      </c>
      <c r="H38" s="91">
        <v>0.89</v>
      </c>
      <c r="I38" s="91">
        <v>0.75</v>
      </c>
      <c r="J38" s="91">
        <v>0.73</v>
      </c>
      <c r="K38" s="91">
        <v>0.91</v>
      </c>
      <c r="L38" s="91">
        <v>0.79</v>
      </c>
      <c r="M38" s="91">
        <v>0.78</v>
      </c>
      <c r="N38" s="91">
        <v>1</v>
      </c>
      <c r="O38" s="91">
        <v>0.8</v>
      </c>
      <c r="P38" s="91">
        <v>0.8</v>
      </c>
      <c r="Q38" s="91">
        <v>0.91180000000000005</v>
      </c>
      <c r="R38" s="91">
        <v>0.78800000000000003</v>
      </c>
      <c r="S38" s="82">
        <v>0.81950000000000001</v>
      </c>
      <c r="T38" s="10">
        <v>1</v>
      </c>
      <c r="U38" s="10">
        <v>0.84</v>
      </c>
      <c r="V38" s="15"/>
    </row>
    <row r="39" spans="1:22" x14ac:dyDescent="0.25">
      <c r="A39" s="88" t="s">
        <v>25</v>
      </c>
      <c r="B39" s="91">
        <v>0.77</v>
      </c>
      <c r="C39" s="91">
        <v>0.56999999999999995</v>
      </c>
      <c r="D39" s="91">
        <v>0.59</v>
      </c>
      <c r="E39" s="91">
        <v>0.8</v>
      </c>
      <c r="F39" s="91">
        <v>0.61</v>
      </c>
      <c r="G39" s="91">
        <v>0.62</v>
      </c>
      <c r="H39" s="91">
        <v>0.68</v>
      </c>
      <c r="I39" s="91">
        <v>0.64</v>
      </c>
      <c r="J39" s="91">
        <v>0.67</v>
      </c>
      <c r="K39" s="91">
        <v>1</v>
      </c>
      <c r="L39" s="91">
        <v>0.65</v>
      </c>
      <c r="M39" s="91">
        <v>0.71</v>
      </c>
      <c r="N39" s="91"/>
      <c r="O39" s="91">
        <v>0.73</v>
      </c>
      <c r="P39" s="91">
        <v>0.64</v>
      </c>
      <c r="Q39" s="91">
        <v>1</v>
      </c>
      <c r="R39" s="91">
        <v>0.75319999999999998</v>
      </c>
      <c r="S39" s="82">
        <v>0.79749999999999999</v>
      </c>
      <c r="T39" s="10"/>
      <c r="U39" s="10">
        <v>0.69</v>
      </c>
      <c r="V39" s="15"/>
    </row>
    <row r="40" spans="1:22" x14ac:dyDescent="0.25">
      <c r="A40" s="88" t="s">
        <v>26</v>
      </c>
      <c r="B40" s="91">
        <v>0.85</v>
      </c>
      <c r="C40" s="91">
        <v>0.69</v>
      </c>
      <c r="D40" s="91">
        <v>0.7</v>
      </c>
      <c r="E40" s="91">
        <v>0.86</v>
      </c>
      <c r="F40" s="91">
        <v>0.72</v>
      </c>
      <c r="G40" s="91">
        <v>0.74</v>
      </c>
      <c r="H40" s="91">
        <v>0.87</v>
      </c>
      <c r="I40" s="91">
        <v>0.73</v>
      </c>
      <c r="J40" s="91">
        <v>0.69</v>
      </c>
      <c r="K40" s="91">
        <v>0.9</v>
      </c>
      <c r="L40" s="91">
        <v>0.77</v>
      </c>
      <c r="M40" s="91">
        <v>0.77</v>
      </c>
      <c r="N40" s="91"/>
      <c r="O40" s="91">
        <v>0.79</v>
      </c>
      <c r="P40" s="91">
        <v>0.79</v>
      </c>
      <c r="Q40" s="91">
        <v>0.73680000000000001</v>
      </c>
      <c r="R40" s="91">
        <v>0.75349999999999995</v>
      </c>
      <c r="S40" s="82">
        <v>0.77090000000000003</v>
      </c>
      <c r="T40" s="10"/>
      <c r="U40" s="10">
        <v>0.82</v>
      </c>
      <c r="V40" s="15"/>
    </row>
    <row r="41" spans="1:22" x14ac:dyDescent="0.25">
      <c r="A41" s="88" t="s">
        <v>27</v>
      </c>
      <c r="B41" s="91">
        <v>0.73</v>
      </c>
      <c r="C41" s="91">
        <v>0.66</v>
      </c>
      <c r="D41" s="91">
        <v>0.66</v>
      </c>
      <c r="E41" s="91">
        <v>0.79</v>
      </c>
      <c r="F41" s="91">
        <v>0.63</v>
      </c>
      <c r="G41" s="91">
        <v>0.64</v>
      </c>
      <c r="H41" s="91">
        <v>1</v>
      </c>
      <c r="I41" s="91">
        <v>0.63</v>
      </c>
      <c r="J41" s="91">
        <v>0.74</v>
      </c>
      <c r="K41" s="91">
        <v>0.71</v>
      </c>
      <c r="L41" s="91">
        <v>0.67</v>
      </c>
      <c r="M41" s="91">
        <v>0.71</v>
      </c>
      <c r="N41" s="91"/>
      <c r="O41" s="91">
        <v>0.59</v>
      </c>
      <c r="P41" s="91">
        <v>0.64</v>
      </c>
      <c r="Q41" s="91">
        <v>1</v>
      </c>
      <c r="R41" s="91">
        <v>0.63490000000000002</v>
      </c>
      <c r="S41" s="82">
        <v>0.77</v>
      </c>
      <c r="T41" s="10">
        <v>1</v>
      </c>
      <c r="U41" s="10">
        <v>0.67</v>
      </c>
      <c r="V41" s="15"/>
    </row>
    <row r="42" spans="1:22" x14ac:dyDescent="0.25">
      <c r="A42" s="88" t="s">
        <v>28</v>
      </c>
      <c r="B42" s="91">
        <v>0.68</v>
      </c>
      <c r="C42" s="91">
        <v>0.55000000000000004</v>
      </c>
      <c r="D42" s="91">
        <v>0.65</v>
      </c>
      <c r="E42" s="91">
        <v>0.69</v>
      </c>
      <c r="F42" s="91">
        <v>0.49</v>
      </c>
      <c r="G42" s="91">
        <v>0.53</v>
      </c>
      <c r="H42" s="91">
        <v>0.87</v>
      </c>
      <c r="I42" s="91">
        <v>0.66</v>
      </c>
      <c r="J42" s="91">
        <v>0.65</v>
      </c>
      <c r="K42" s="91">
        <v>0.94</v>
      </c>
      <c r="L42" s="91">
        <v>0.7</v>
      </c>
      <c r="M42" s="91">
        <v>0.7</v>
      </c>
      <c r="N42" s="91">
        <v>1</v>
      </c>
      <c r="O42" s="91">
        <v>0.71</v>
      </c>
      <c r="P42" s="91">
        <v>0.66</v>
      </c>
      <c r="Q42" s="91">
        <v>0.75</v>
      </c>
      <c r="R42" s="91">
        <v>0.68669999999999998</v>
      </c>
      <c r="S42" s="82">
        <v>0.72</v>
      </c>
      <c r="T42" s="10">
        <v>0.8</v>
      </c>
      <c r="U42" s="10">
        <v>0.71</v>
      </c>
      <c r="V42" s="15"/>
    </row>
    <row r="43" spans="1:22" ht="15.75" thickBot="1" x14ac:dyDescent="0.3">
      <c r="A43" s="89" t="s">
        <v>29</v>
      </c>
      <c r="B43" s="101">
        <v>0.83</v>
      </c>
      <c r="C43" s="101">
        <v>0.67</v>
      </c>
      <c r="D43" s="101">
        <v>0.71</v>
      </c>
      <c r="E43" s="101">
        <v>0.86</v>
      </c>
      <c r="F43" s="101">
        <v>0.7</v>
      </c>
      <c r="G43" s="101">
        <v>0.71</v>
      </c>
      <c r="H43" s="101">
        <v>0.86</v>
      </c>
      <c r="I43" s="101">
        <v>0.72</v>
      </c>
      <c r="J43" s="101">
        <v>0.71</v>
      </c>
      <c r="K43" s="101">
        <v>0.79</v>
      </c>
      <c r="L43" s="101">
        <v>0.73</v>
      </c>
      <c r="M43" s="101">
        <v>0.76</v>
      </c>
      <c r="N43" s="101">
        <v>1</v>
      </c>
      <c r="O43" s="101">
        <v>0.76</v>
      </c>
      <c r="P43" s="101">
        <v>0.77</v>
      </c>
      <c r="Q43" s="101">
        <v>1</v>
      </c>
      <c r="R43" s="101">
        <v>0.73929999999999996</v>
      </c>
      <c r="S43" s="83">
        <v>0.74</v>
      </c>
      <c r="T43" s="9">
        <v>1</v>
      </c>
      <c r="U43" s="9">
        <v>0.74</v>
      </c>
      <c r="V43" s="8"/>
    </row>
    <row r="44" spans="1:22" ht="15.75" thickBot="1" x14ac:dyDescent="0.3">
      <c r="A44" s="90" t="s">
        <v>34</v>
      </c>
      <c r="B44" s="100">
        <f>VLOOKUP('[1]success rates'!$A$13,'[1]success rates'!$A:$P,HLOOKUP(B$34,'[1]success rates'!$1:$2,2,FALSE),FALSE)</f>
        <v>0.7061986084756483</v>
      </c>
      <c r="C44" s="100">
        <f>VLOOKUP('[1]success rates'!$A$13,'[1]success rates'!$A:$P,HLOOKUP(C$34,'[1]success rates'!$1:$2,2,FALSE),FALSE)</f>
        <v>0.58680748564017049</v>
      </c>
      <c r="D44" s="100">
        <f>VLOOKUP('[1]success rates'!$A$13,'[1]success rates'!$A:$P,HLOOKUP(D$34,'[1]success rates'!$1:$2,2,FALSE),FALSE)</f>
        <v>0.61255028157683022</v>
      </c>
      <c r="E44" s="100">
        <f>VLOOKUP('[1]success rates'!$A$13,'[1]success rates'!$A:$P,HLOOKUP(E$34,'[1]success rates'!$1:$2,2,FALSE),FALSE)</f>
        <v>0.75145687645687642</v>
      </c>
      <c r="F44" s="100">
        <f>VLOOKUP('[1]success rates'!$A$13,'[1]success rates'!$A:$P,HLOOKUP(F$34,'[1]success rates'!$1:$2,2,FALSE),FALSE)</f>
        <v>0.61901859189271569</v>
      </c>
      <c r="G44" s="100">
        <f>VLOOKUP('[1]success rates'!$A$13,'[1]success rates'!$A:$P,HLOOKUP(G$34,'[1]success rates'!$1:$2,2,FALSE),FALSE)</f>
        <v>0.63339920948616601</v>
      </c>
      <c r="H44" s="100">
        <f>VLOOKUP('[1]success rates'!$A$13,'[1]success rates'!$A:$P,HLOOKUP(H$34,'[1]success rates'!$1:$2,2,FALSE),FALSE)</f>
        <v>0.73141486810551559</v>
      </c>
      <c r="I44" s="100">
        <f>VLOOKUP('[1]success rates'!$A$13,'[1]success rates'!$A:$P,HLOOKUP(I$34,'[1]success rates'!$1:$2,2,FALSE),FALSE)</f>
        <v>0.63803850948884888</v>
      </c>
      <c r="J44" s="100">
        <f>VLOOKUP('[1]success rates'!$A$13,'[1]success rates'!$A:$P,HLOOKUP(J$34,'[1]success rates'!$1:$2,2,FALSE),FALSE)</f>
        <v>0.60754025395994238</v>
      </c>
      <c r="K44" s="100">
        <f>VLOOKUP('[1]success rates'!$A$13,'[1]success rates'!$A:$P,HLOOKUP(K$34,'[1]success rates'!$1:$2,2,FALSE),FALSE)</f>
        <v>0.77724358974358976</v>
      </c>
      <c r="L44" s="100">
        <f>VLOOKUP('[1]success rates'!$A$13,'[1]success rates'!$A:$P,HLOOKUP(L$34,'[1]success rates'!$1:$2,2,FALSE),FALSE)</f>
        <v>0.64197709813016379</v>
      </c>
      <c r="M44" s="100">
        <f>VLOOKUP('[1]success rates'!$A$13,'[1]success rates'!$A:$P,HLOOKUP(M$34,'[1]success rates'!$1:$2,2,FALSE),FALSE)</f>
        <v>0.63986165153480323</v>
      </c>
      <c r="N44" s="100" t="str">
        <f>VLOOKUP('[1]success rates'!$A$13,'[1]success rates'!$A:$P,HLOOKUP(N$34,'[1]success rates'!$1:$2,2,FALSE),FALSE)</f>
        <v/>
      </c>
      <c r="O44" s="100">
        <f>VLOOKUP('[1]success rates'!$A$13,'[1]success rates'!$A:$P,HLOOKUP(O$34,'[1]success rates'!$1:$2,2,FALSE),FALSE)</f>
        <v>0.64544875875238705</v>
      </c>
      <c r="P44" s="100">
        <f>VLOOKUP('[1]success rates'!$A$13,'[1]success rates'!$A:$P,HLOOKUP(P$34,'[1]success rates'!$1:$2,2,FALSE),FALSE)</f>
        <v>0.60468103325246181</v>
      </c>
      <c r="Q44" s="100">
        <v>0.81</v>
      </c>
      <c r="R44" s="100">
        <v>0.72</v>
      </c>
      <c r="S44" s="109">
        <v>0.72</v>
      </c>
      <c r="T44" s="81">
        <v>0.95</v>
      </c>
      <c r="U44" s="81">
        <v>0.73</v>
      </c>
      <c r="V44" s="13"/>
    </row>
    <row r="45" spans="1:22" x14ac:dyDescent="0.25">
      <c r="A45" s="5" t="s">
        <v>36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2" x14ac:dyDescent="0.25">
      <c r="A46" s="6" t="s">
        <v>39</v>
      </c>
    </row>
    <row r="52" spans="1:16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"/>
      <c r="O52" s="2"/>
      <c r="P52" s="1"/>
    </row>
    <row r="53" spans="1:16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1"/>
    </row>
    <row r="56" spans="1:16" x14ac:dyDescent="0.25">
      <c r="A56" s="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1"/>
    </row>
    <row r="57" spans="1:16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1"/>
    </row>
  </sheetData>
  <mergeCells count="37">
    <mergeCell ref="N15:P15"/>
    <mergeCell ref="N19:P19"/>
    <mergeCell ref="A31:A33"/>
    <mergeCell ref="B33:D33"/>
    <mergeCell ref="E33:G33"/>
    <mergeCell ref="H33:J33"/>
    <mergeCell ref="K33:M33"/>
    <mergeCell ref="N33:P33"/>
    <mergeCell ref="A1:A3"/>
    <mergeCell ref="K3:M3"/>
    <mergeCell ref="E3:G3"/>
    <mergeCell ref="H3:J3"/>
    <mergeCell ref="A17:A19"/>
    <mergeCell ref="B19:D19"/>
    <mergeCell ref="E19:G19"/>
    <mergeCell ref="H19:J19"/>
    <mergeCell ref="K19:M19"/>
    <mergeCell ref="B15:D15"/>
    <mergeCell ref="E15:G15"/>
    <mergeCell ref="H15:J15"/>
    <mergeCell ref="K15:M15"/>
    <mergeCell ref="Q33:S33"/>
    <mergeCell ref="T33:V33"/>
    <mergeCell ref="B1:V1"/>
    <mergeCell ref="B2:V2"/>
    <mergeCell ref="B17:V17"/>
    <mergeCell ref="B18:V18"/>
    <mergeCell ref="B31:V31"/>
    <mergeCell ref="B32:V32"/>
    <mergeCell ref="Q3:S3"/>
    <mergeCell ref="T3:V3"/>
    <mergeCell ref="Q19:S19"/>
    <mergeCell ref="T19:V19"/>
    <mergeCell ref="Q15:S15"/>
    <mergeCell ref="T15:V15"/>
    <mergeCell ref="B3:D3"/>
    <mergeCell ref="N3:P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6E8D66-1645-4374-BD96-87E0E6BB91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C91C2A-BE52-4E92-A5B4-A2C646D7BE27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E47171B-E73D-4FAA-82CF-DF957A32A9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LIVE.mvc.ethnicity</dc:title>
  <dc:creator>nmesaris</dc:creator>
  <cp:lastModifiedBy>Wesley Klein</cp:lastModifiedBy>
  <dcterms:created xsi:type="dcterms:W3CDTF">2012-03-22T20:23:25Z</dcterms:created>
  <dcterms:modified xsi:type="dcterms:W3CDTF">2014-04-25T15:34:59Z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