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/>
  <bookViews>
    <workbookView xWindow="-12" yWindow="7572" windowWidth="15600" windowHeight="2508" firstSheet="4" activeTab="4"/>
  </bookViews>
  <sheets>
    <sheet name="Sheet1" sheetId="2" state="veryHidden" r:id="rId1"/>
    <sheet name="Fall.Spring.ActionForm" sheetId="3" state="veryHidden" r:id="rId2"/>
    <sheet name="SummerAssignmentActionForm" sheetId="1" state="veryHidden" r:id="rId3"/>
    <sheet name="PAF.OriginalRevised" sheetId="4" state="veryHidden" r:id="rId4"/>
    <sheet name="PAF" sheetId="6" r:id="rId5"/>
    <sheet name="PAF (2)" sheetId="12" r:id="rId6"/>
    <sheet name="PAF (3)" sheetId="13" r:id="rId7"/>
    <sheet name="PAF (4)" sheetId="14" r:id="rId8"/>
    <sheet name="PAF (5)" sheetId="15" r:id="rId9"/>
    <sheet name="Worksheet.Per Other" sheetId="5" r:id="rId10"/>
  </sheets>
  <definedNames>
    <definedName name="__IntlFixup" hidden="1">TRUE</definedName>
    <definedName name="_Order1" hidden="1">0</definedName>
    <definedName name="Data.Dump" localSheetId="1" hidden="1">OFFSET([0]!Data.Top.Left,1,0)</definedName>
    <definedName name="Data.Dump" localSheetId="4" hidden="1">OFFSET([0]!Data.Top.Left,1,0)</definedName>
    <definedName name="Data.Dump" localSheetId="5" hidden="1">OFFSET([0]!Data.Top.Left,1,0)</definedName>
    <definedName name="Data.Dump" localSheetId="6" hidden="1">OFFSET([0]!Data.Top.Left,1,0)</definedName>
    <definedName name="Data.Dump" localSheetId="7" hidden="1">OFFSET([0]!Data.Top.Left,1,0)</definedName>
    <definedName name="Data.Dump" localSheetId="8" hidden="1">OFFSET([0]!Data.Top.Left,1,0)</definedName>
    <definedName name="Data.Dump" hidden="1">OFFSET([0]!Data.Top.Left,1,0)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localSheetId="1" hidden="1">OFFSET([0]!Data.Top.Left,1,0)</definedName>
    <definedName name="Ownership" localSheetId="4" hidden="1">OFFSET([0]!Data.Top.Left,1,0)</definedName>
    <definedName name="Ownership" localSheetId="5" hidden="1">OFFSET([0]!Data.Top.Left,1,0)</definedName>
    <definedName name="Ownership" localSheetId="6" hidden="1">OFFSET([0]!Data.Top.Left,1,0)</definedName>
    <definedName name="Ownership" localSheetId="7" hidden="1">OFFSET([0]!Data.Top.Left,1,0)</definedName>
    <definedName name="Ownership" localSheetId="8" hidden="1">OFFSET([0]!Data.Top.Left,1,0)</definedName>
    <definedName name="Ownership" hidden="1">OFFSET([0]!Data.Top.Left,1,0)</definedName>
    <definedName name="_xlnm.Print_Area" localSheetId="1">Fall.Spring.ActionForm!$A$1:$J$55</definedName>
    <definedName name="_xlnm.Print_Area" localSheetId="4">PAF!$B$1:$W$97</definedName>
    <definedName name="_xlnm.Print_Area" localSheetId="5">'PAF (2)'!$B$1:$W$97</definedName>
    <definedName name="_xlnm.Print_Area" localSheetId="6">'PAF (3)'!$B$1:$W$97</definedName>
    <definedName name="_xlnm.Print_Area" localSheetId="7">'PAF (4)'!$B$1:$W$97</definedName>
    <definedName name="_xlnm.Print_Area" localSheetId="8">'PAF (5)'!$B$1:$W$97</definedName>
    <definedName name="_xlnm.Print_Area" localSheetId="3">PAF.OriginalRevised!$B$1:$W$96</definedName>
    <definedName name="_xlnm.Print_Area" localSheetId="2">SummerAssignmentActionForm!$A$1:$R$71</definedName>
  </definedNames>
  <calcPr calcId="125725"/>
</workbook>
</file>

<file path=xl/calcChain.xml><?xml version="1.0" encoding="utf-8"?>
<calcChain xmlns="http://schemas.openxmlformats.org/spreadsheetml/2006/main">
  <c r="U82" i="15"/>
  <c r="S80"/>
  <c r="M80"/>
  <c r="S79"/>
  <c r="M79"/>
  <c r="S78"/>
  <c r="M78"/>
  <c r="S77"/>
  <c r="M77"/>
  <c r="S76"/>
  <c r="M76"/>
  <c r="S75"/>
  <c r="S82" s="1"/>
  <c r="M75"/>
  <c r="U67"/>
  <c r="S65"/>
  <c r="M65"/>
  <c r="S64"/>
  <c r="M64"/>
  <c r="S63"/>
  <c r="M63"/>
  <c r="S62"/>
  <c r="M62"/>
  <c r="S61"/>
  <c r="M61"/>
  <c r="S60"/>
  <c r="S67" s="1"/>
  <c r="M60"/>
  <c r="G51"/>
  <c r="L37"/>
  <c r="N37" s="1"/>
  <c r="U82" i="14"/>
  <c r="S80"/>
  <c r="M80"/>
  <c r="S79"/>
  <c r="M79"/>
  <c r="S78"/>
  <c r="M78"/>
  <c r="S77"/>
  <c r="M77"/>
  <c r="S76"/>
  <c r="M76"/>
  <c r="S75"/>
  <c r="S82" s="1"/>
  <c r="M75"/>
  <c r="U67"/>
  <c r="S67"/>
  <c r="S65"/>
  <c r="M65"/>
  <c r="S64"/>
  <c r="M64"/>
  <c r="S63"/>
  <c r="M63"/>
  <c r="S62"/>
  <c r="M62"/>
  <c r="S61"/>
  <c r="M61"/>
  <c r="S60"/>
  <c r="M60"/>
  <c r="G51"/>
  <c r="N37"/>
  <c r="L37"/>
  <c r="U82" i="13"/>
  <c r="S80"/>
  <c r="M80"/>
  <c r="S79"/>
  <c r="M79"/>
  <c r="S78"/>
  <c r="M78"/>
  <c r="S77"/>
  <c r="M77"/>
  <c r="S76"/>
  <c r="M76"/>
  <c r="S75"/>
  <c r="S82" s="1"/>
  <c r="M75"/>
  <c r="U67"/>
  <c r="S67"/>
  <c r="S65"/>
  <c r="M65"/>
  <c r="S64"/>
  <c r="M64"/>
  <c r="S63"/>
  <c r="M63"/>
  <c r="S62"/>
  <c r="M62"/>
  <c r="S61"/>
  <c r="M61"/>
  <c r="S60"/>
  <c r="M60"/>
  <c r="G51"/>
  <c r="N37"/>
  <c r="L37"/>
  <c r="U82" i="12"/>
  <c r="S82"/>
  <c r="S80"/>
  <c r="M80"/>
  <c r="S79"/>
  <c r="M79"/>
  <c r="S78"/>
  <c r="M78"/>
  <c r="S77"/>
  <c r="M77"/>
  <c r="S76"/>
  <c r="M76"/>
  <c r="S75"/>
  <c r="M75"/>
  <c r="U67"/>
  <c r="S67"/>
  <c r="S65"/>
  <c r="M65"/>
  <c r="S64"/>
  <c r="M64"/>
  <c r="S63"/>
  <c r="M63"/>
  <c r="S62"/>
  <c r="M62"/>
  <c r="S61"/>
  <c r="M61"/>
  <c r="S60"/>
  <c r="M60"/>
  <c r="G51"/>
  <c r="L37"/>
  <c r="N37" s="1"/>
  <c r="U82" i="6"/>
  <c r="S82"/>
  <c r="S80"/>
  <c r="M80"/>
  <c r="S79"/>
  <c r="M79"/>
  <c r="S78"/>
  <c r="M78"/>
  <c r="S77"/>
  <c r="M77"/>
  <c r="S76"/>
  <c r="M76"/>
  <c r="S75"/>
  <c r="M75"/>
  <c r="U67"/>
  <c r="S67"/>
  <c r="S65"/>
  <c r="M65"/>
  <c r="S64"/>
  <c r="M64"/>
  <c r="S63"/>
  <c r="M63"/>
  <c r="S62"/>
  <c r="M62"/>
  <c r="S61"/>
  <c r="M61"/>
  <c r="S60"/>
  <c r="M60"/>
  <c r="G51"/>
  <c r="C27" i="5"/>
  <c r="C30" s="1"/>
  <c r="J1" i="2"/>
  <c r="L36" i="4" s="1"/>
  <c r="U81"/>
  <c r="S78" s="1"/>
  <c r="U66"/>
  <c r="S60" s="1"/>
  <c r="M60"/>
  <c r="M61"/>
  <c r="M62"/>
  <c r="M63"/>
  <c r="M64"/>
  <c r="M59"/>
  <c r="M75"/>
  <c r="M76"/>
  <c r="M77"/>
  <c r="M78"/>
  <c r="M79"/>
  <c r="M74"/>
  <c r="G50"/>
  <c r="L37" i="6" l="1"/>
  <c r="N37" s="1"/>
  <c r="C32" i="5"/>
  <c r="C31"/>
  <c r="C34" s="1"/>
  <c r="N36" i="4"/>
  <c r="S61"/>
  <c r="S59"/>
  <c r="S77"/>
  <c r="S75"/>
  <c r="S79"/>
  <c r="S74"/>
  <c r="S76"/>
  <c r="S62"/>
  <c r="S63"/>
  <c r="S64"/>
  <c r="H16" i="1"/>
  <c r="P57"/>
  <c r="P62"/>
  <c r="P61"/>
  <c r="P60"/>
  <c r="P59"/>
  <c r="P58"/>
  <c r="P50"/>
  <c r="P49"/>
  <c r="P48"/>
  <c r="P47"/>
  <c r="P46"/>
  <c r="P45"/>
  <c r="I48" i="3"/>
  <c r="G17"/>
  <c r="L39" i="1"/>
  <c r="J23"/>
  <c r="J24"/>
  <c r="J25"/>
  <c r="J26"/>
  <c r="J27"/>
  <c r="J28"/>
  <c r="J29"/>
  <c r="J30"/>
  <c r="J31"/>
  <c r="J32"/>
  <c r="J33"/>
  <c r="J34"/>
  <c r="J35"/>
  <c r="J36"/>
  <c r="J22"/>
  <c r="S66" i="4" l="1"/>
  <c r="S81"/>
</calcChain>
</file>

<file path=xl/comments1.xml><?xml version="1.0" encoding="utf-8"?>
<comments xmlns="http://schemas.openxmlformats.org/spreadsheetml/2006/main">
  <authors>
    <author>Author</author>
  </authors>
  <commentList>
    <comment ref="C14" authorId="0">
      <text>
        <r>
          <rPr>
            <sz val="12"/>
            <color indexed="81"/>
            <rFont val="Tahoma"/>
            <family val="2"/>
          </rPr>
          <t>Original Appointment to the University</t>
        </r>
      </text>
    </comment>
    <comment ref="C15" authorId="0">
      <text>
        <r>
          <rPr>
            <sz val="12"/>
            <color indexed="81"/>
            <rFont val="Tahoma"/>
            <family val="2"/>
          </rPr>
          <t>Re-employed to the University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15" authorId="0">
      <text>
        <r>
          <rPr>
            <sz val="12"/>
            <color indexed="81"/>
            <rFont val="Tahoma"/>
            <family val="2"/>
          </rPr>
          <t>Original Appointment to the University</t>
        </r>
      </text>
    </comment>
    <comment ref="C16" authorId="0">
      <text>
        <r>
          <rPr>
            <sz val="12"/>
            <color indexed="81"/>
            <rFont val="Tahoma"/>
            <family val="2"/>
          </rPr>
          <t>Re-employed to the University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15" authorId="0">
      <text>
        <r>
          <rPr>
            <sz val="12"/>
            <color indexed="81"/>
            <rFont val="Tahoma"/>
            <family val="2"/>
          </rPr>
          <t>Original Appointment to the University</t>
        </r>
      </text>
    </comment>
    <comment ref="C16" authorId="0">
      <text>
        <r>
          <rPr>
            <sz val="12"/>
            <color indexed="81"/>
            <rFont val="Tahoma"/>
            <family val="2"/>
          </rPr>
          <t>Re-employed to the University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15" authorId="0">
      <text>
        <r>
          <rPr>
            <sz val="12"/>
            <color indexed="81"/>
            <rFont val="Tahoma"/>
            <family val="2"/>
          </rPr>
          <t>Original Appointment to the University</t>
        </r>
      </text>
    </comment>
    <comment ref="C16" authorId="0">
      <text>
        <r>
          <rPr>
            <sz val="12"/>
            <color indexed="81"/>
            <rFont val="Tahoma"/>
            <family val="2"/>
          </rPr>
          <t>Re-employed to the University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5" authorId="0">
      <text>
        <r>
          <rPr>
            <sz val="12"/>
            <color indexed="81"/>
            <rFont val="Tahoma"/>
            <family val="2"/>
          </rPr>
          <t>Original Appointment to the University</t>
        </r>
      </text>
    </comment>
    <comment ref="C16" authorId="0">
      <text>
        <r>
          <rPr>
            <sz val="12"/>
            <color indexed="81"/>
            <rFont val="Tahoma"/>
            <family val="2"/>
          </rPr>
          <t>Re-employed to the University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15" authorId="0">
      <text>
        <r>
          <rPr>
            <sz val="12"/>
            <color indexed="81"/>
            <rFont val="Tahoma"/>
            <family val="2"/>
          </rPr>
          <t>Original Appointment to the University</t>
        </r>
      </text>
    </comment>
    <comment ref="C16" authorId="0">
      <text>
        <r>
          <rPr>
            <sz val="12"/>
            <color indexed="81"/>
            <rFont val="Tahoma"/>
            <family val="2"/>
          </rPr>
          <t>Re-employed to the University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Carry the Percentage 2 Decimal Places.</t>
        </r>
      </text>
    </comment>
  </commentList>
</comments>
</file>

<file path=xl/sharedStrings.xml><?xml version="1.0" encoding="utf-8"?>
<sst xmlns="http://schemas.openxmlformats.org/spreadsheetml/2006/main" count="2590" uniqueCount="498">
  <si>
    <t>ID NUMBER</t>
  </si>
  <si>
    <t>POSITION NUMBER</t>
  </si>
  <si>
    <t>ALCORN STATE UNIVERSITY</t>
  </si>
  <si>
    <t>DEPARTMENT</t>
  </si>
  <si>
    <t>DATE:</t>
  </si>
  <si>
    <t>AMOUNT DUE</t>
  </si>
  <si>
    <t>Chairperson</t>
  </si>
  <si>
    <t>Dean</t>
  </si>
  <si>
    <t>Area Vice President</t>
  </si>
  <si>
    <t>Date:</t>
  </si>
  <si>
    <t>COMMENTS:</t>
  </si>
  <si>
    <t>Biological Sciences-Adjunct Faculty</t>
  </si>
  <si>
    <t>Chemistry-Adjunct Faculty</t>
  </si>
  <si>
    <t>English &amp; Foreign L-Adjunct Faculty</t>
  </si>
  <si>
    <t>Fine Arts-Adjunct Faculty</t>
  </si>
  <si>
    <t>Mathematics-Adjunct Faculty</t>
  </si>
  <si>
    <t>Social Sciences-Adjunct Faculty</t>
  </si>
  <si>
    <t>Business Administra-Adjunct Faculty</t>
  </si>
  <si>
    <t>Communications-Adjunct Faculty</t>
  </si>
  <si>
    <t>Elem. Education-Adjunct Faculty</t>
  </si>
  <si>
    <t>Health &amp; Physical E-Adjunct Faculty</t>
  </si>
  <si>
    <t>Nursing B.S. -Adjunct Faculty</t>
  </si>
  <si>
    <t>Nursing M.S. -Adjunct Faculty</t>
  </si>
  <si>
    <t>Academic Supp Serv-Adjunct Faculty</t>
  </si>
  <si>
    <t>Social Work-Adjunct Faculty</t>
  </si>
  <si>
    <t>Nursing A.D. -Adjunct Faculty</t>
  </si>
  <si>
    <t>Advanced Technology-Adjunct Faculty</t>
  </si>
  <si>
    <t>Agriculture-Adjunct Faculty</t>
  </si>
  <si>
    <t>Human Sciences - Adjunct Faculty</t>
  </si>
  <si>
    <t>Agriculture - Summer School</t>
  </si>
  <si>
    <t>Home Economics - Summer School</t>
  </si>
  <si>
    <t>Advanced Technologies-Summer Sch</t>
  </si>
  <si>
    <t>Arts - Summer School</t>
  </si>
  <si>
    <t>Band - Summer School</t>
  </si>
  <si>
    <t>Biological Sciences-Summer Sch</t>
  </si>
  <si>
    <t>Chemistry - Summer School</t>
  </si>
  <si>
    <t>Choir-Summer School</t>
  </si>
  <si>
    <t>English &amp; Foreign Lang.-Summer Sch.</t>
  </si>
  <si>
    <t>Fine Arts - Summer School</t>
  </si>
  <si>
    <t>Mathematics - Summer School</t>
  </si>
  <si>
    <t>Music - Summer School</t>
  </si>
  <si>
    <t>Social Science - Summer School</t>
  </si>
  <si>
    <t>Speech - Summer School</t>
  </si>
  <si>
    <t>Business Admini. - Summer School</t>
  </si>
  <si>
    <t>Business Education - Summer School</t>
  </si>
  <si>
    <t>Elementary Education - Summer Sch.</t>
  </si>
  <si>
    <t>Health &amp; Physical Educ. - Summer</t>
  </si>
  <si>
    <t>Nursing - A.D. - Summer School</t>
  </si>
  <si>
    <t>Nursing - B.S. - Summer School</t>
  </si>
  <si>
    <t>Nursing - M.S. - Summer School</t>
  </si>
  <si>
    <t>Graduate Studies-Summer School</t>
  </si>
  <si>
    <t>Master of Science-Summer School</t>
  </si>
  <si>
    <t>MBA Program-Summer School</t>
  </si>
  <si>
    <t>Communications-Summer School</t>
  </si>
  <si>
    <t>Mass Communications-Summer School</t>
  </si>
  <si>
    <t>Acad. Supp. Services-Summer School</t>
  </si>
  <si>
    <t>Social Work - Summer School</t>
  </si>
  <si>
    <t>MONTHLY SALARY</t>
  </si>
  <si>
    <t>FACULTY/STAFF MEMBER</t>
  </si>
  <si>
    <t>TOTAL</t>
  </si>
  <si>
    <t>CHECK ONE:</t>
  </si>
  <si>
    <t>FALL</t>
  </si>
  <si>
    <t>SPRING</t>
  </si>
  <si>
    <t>SUMMER I</t>
  </si>
  <si>
    <t>SUMMER II</t>
  </si>
  <si>
    <t>ACCT</t>
  </si>
  <si>
    <t>ORGN</t>
  </si>
  <si>
    <t>Grants Accountant</t>
  </si>
  <si>
    <t>ERROR!!!!  PLEASE USE A VALID CODE</t>
  </si>
  <si>
    <t>RESTRICTED FUND</t>
  </si>
  <si>
    <t>ANNUAL SALARY</t>
  </si>
  <si>
    <t>ADJUNCT ORGANIZATION CODE:</t>
  </si>
  <si>
    <t>FACULTY OR STAFF MEMBER</t>
  </si>
  <si>
    <t>Budget Office</t>
  </si>
  <si>
    <t>SUMMER ASSIGNMENT ACTION FORM</t>
  </si>
  <si>
    <t>AMOUNT DUE 
(DAYS IN MAY)</t>
  </si>
  <si>
    <t>AMOUNT DUE 
(JUNE)</t>
  </si>
  <si>
    <t>TOTAL 
AMOUNT DUE</t>
  </si>
  <si>
    <t>AMOUNT DUE 
(DAYS IN AUGUST)</t>
  </si>
  <si>
    <t>AMOUNT DUE 
(JULY)</t>
  </si>
  <si>
    <t>of pay that is to be charged to RESTRICTED SOURCES.</t>
  </si>
  <si>
    <t>SUMMER ORGANIZATION CODE:</t>
  </si>
  <si>
    <t>For Business
 Office Use</t>
  </si>
  <si>
    <t>Date</t>
  </si>
  <si>
    <t>Banner Entry Date</t>
  </si>
  <si>
    <r>
      <t xml:space="preserve"> Yes </t>
    </r>
    <r>
      <rPr>
        <b/>
        <sz val="16"/>
        <rFont val="Wingdings"/>
        <charset val="2"/>
      </rPr>
      <t>o</t>
    </r>
    <r>
      <rPr>
        <b/>
        <sz val="14"/>
        <rFont val="Wingdings"/>
        <charset val="2"/>
      </rPr>
      <t xml:space="preserve">  </t>
    </r>
    <r>
      <rPr>
        <b/>
        <sz val="10"/>
        <rFont val="Arial"/>
        <family val="2"/>
      </rPr>
      <t xml:space="preserve">No </t>
    </r>
    <r>
      <rPr>
        <b/>
        <sz val="16"/>
        <rFont val="Wingdings"/>
        <charset val="2"/>
      </rPr>
      <t>o</t>
    </r>
  </si>
  <si>
    <t>Is Position Exempt under FLSA?</t>
  </si>
  <si>
    <t>Employee</t>
  </si>
  <si>
    <t>Dir. of Human Resources</t>
  </si>
  <si>
    <t>Signature (Original Appointments &amp; Re-Employed Only)</t>
  </si>
  <si>
    <t xml:space="preserve"> </t>
  </si>
  <si>
    <r>
      <t>Approvals Required for Section 4B (</t>
    </r>
    <r>
      <rPr>
        <b/>
        <i/>
        <sz val="12"/>
        <rFont val="Arial"/>
        <family val="2"/>
      </rPr>
      <t>RELEASING DEPARTMENT</t>
    </r>
    <r>
      <rPr>
        <b/>
        <sz val="12"/>
        <rFont val="Arial"/>
        <family val="2"/>
      </rPr>
      <t>)</t>
    </r>
  </si>
  <si>
    <r>
      <t>Approvals Required for Section 4A (</t>
    </r>
    <r>
      <rPr>
        <b/>
        <i/>
        <sz val="12"/>
        <rFont val="Arial"/>
        <family val="2"/>
      </rPr>
      <t>RECEIVING DEPARTMENT</t>
    </r>
    <r>
      <rPr>
        <b/>
        <sz val="12"/>
        <rFont val="Arial"/>
        <family val="2"/>
      </rPr>
      <t>)</t>
    </r>
  </si>
  <si>
    <t>*I UNDERSTAND THAT NO INDIVIDUAL SHALL BE ALLOWED TO START A WORK ASSIGNMENT WITHOUT PRIOR AUTHORIZATION OF HUMAN RESOURCES*</t>
  </si>
  <si>
    <t>Approvals</t>
  </si>
  <si>
    <t>Grants and Contracts</t>
  </si>
  <si>
    <t>Funds Approval</t>
  </si>
  <si>
    <t>Salary Amount Per Account</t>
  </si>
  <si>
    <t>Budget / Grant Name</t>
  </si>
  <si>
    <t>Account Code</t>
  </si>
  <si>
    <t>Organization Code</t>
  </si>
  <si>
    <t>Fund Code</t>
  </si>
  <si>
    <r>
      <t xml:space="preserve">Source of Funding </t>
    </r>
    <r>
      <rPr>
        <b/>
        <i/>
        <sz val="12"/>
        <rFont val="Arial"/>
        <family val="2"/>
      </rPr>
      <t>(RELEASING DEPARTMENT)</t>
    </r>
    <r>
      <rPr>
        <b/>
        <sz val="11"/>
        <rFont val="Arial"/>
        <family val="2"/>
      </rPr>
      <t/>
    </r>
  </si>
  <si>
    <t>Position Number</t>
  </si>
  <si>
    <t>Position Title</t>
  </si>
  <si>
    <t>From</t>
  </si>
  <si>
    <t>Releasing Department</t>
  </si>
  <si>
    <t>4B</t>
  </si>
  <si>
    <r>
      <t xml:space="preserve">Source of Funding </t>
    </r>
    <r>
      <rPr>
        <b/>
        <i/>
        <sz val="12"/>
        <rFont val="Arial"/>
        <family val="2"/>
      </rPr>
      <t>(RECEIVING DEPARTMENT)</t>
    </r>
    <r>
      <rPr>
        <b/>
        <sz val="11"/>
        <rFont val="Arial"/>
        <family val="2"/>
      </rPr>
      <t/>
    </r>
  </si>
  <si>
    <t>To</t>
  </si>
  <si>
    <t>Receiving Department</t>
  </si>
  <si>
    <t>4A</t>
  </si>
  <si>
    <t>Professor</t>
  </si>
  <si>
    <t>Monthly</t>
  </si>
  <si>
    <t>No</t>
  </si>
  <si>
    <t>Per Other</t>
  </si>
  <si>
    <t>Instructor</t>
  </si>
  <si>
    <t>Per Hour</t>
  </si>
  <si>
    <t>Per Year</t>
  </si>
  <si>
    <t>12 Months</t>
  </si>
  <si>
    <t>11 Months</t>
  </si>
  <si>
    <t>10 Months</t>
  </si>
  <si>
    <t>Staff</t>
  </si>
  <si>
    <t>Regular</t>
  </si>
  <si>
    <t>Full Time</t>
  </si>
  <si>
    <t>Faculty</t>
  </si>
  <si>
    <t>Effective Date</t>
  </si>
  <si>
    <t>Complete Section 4A</t>
  </si>
  <si>
    <t>Complete Section 4B</t>
  </si>
  <si>
    <t>Separation</t>
  </si>
  <si>
    <t>Complete Sections 4A and 4B</t>
  </si>
  <si>
    <t xml:space="preserve">Transfer </t>
  </si>
  <si>
    <t>Effective date provided by HR</t>
  </si>
  <si>
    <t>Use the section below for further explanation</t>
  </si>
  <si>
    <t>Original Appointment</t>
  </si>
  <si>
    <t xml:space="preserve">Comments </t>
  </si>
  <si>
    <t>Action Dates</t>
  </si>
  <si>
    <t>Type of Action</t>
  </si>
  <si>
    <t>Zip Code</t>
  </si>
  <si>
    <t>State</t>
  </si>
  <si>
    <t>County</t>
  </si>
  <si>
    <t>City</t>
  </si>
  <si>
    <t>Street Address</t>
  </si>
  <si>
    <t>Home Phone #</t>
  </si>
  <si>
    <t>Date of    Birth</t>
  </si>
  <si>
    <t>SSN</t>
  </si>
  <si>
    <t>Current Date</t>
  </si>
  <si>
    <t>SSN / ID</t>
  </si>
  <si>
    <t>Prefix</t>
  </si>
  <si>
    <t>Middle</t>
  </si>
  <si>
    <t>First Name</t>
  </si>
  <si>
    <t>Suffix</t>
  </si>
  <si>
    <t>Last Name</t>
  </si>
  <si>
    <t>Personal Data</t>
  </si>
  <si>
    <t>To avoid processing delays, please ensure all applicable sections are complete and accurate.</t>
  </si>
  <si>
    <t>PERSONNEL ACTION FORM</t>
  </si>
  <si>
    <t>Assistant Professor</t>
  </si>
  <si>
    <t>Associate Professor</t>
  </si>
  <si>
    <t>9 Months</t>
  </si>
  <si>
    <t>Bi Weekly</t>
  </si>
  <si>
    <t>Home Organization Code:</t>
  </si>
  <si>
    <r>
      <rPr>
        <b/>
        <u/>
        <sz val="10"/>
        <rFont val="Arial"/>
        <family val="2"/>
      </rPr>
      <t>POSITIONS CONTAINING E&amp;G FUNDS</t>
    </r>
    <r>
      <rPr>
        <b/>
        <sz val="10"/>
        <rFont val="Arial"/>
        <family val="2"/>
      </rPr>
      <t>: budget managers should assign a position from your printed budget.  If the position is temporary, an applicable pooled position number should be assigned.</t>
    </r>
  </si>
  <si>
    <t>*Account Code</t>
  </si>
  <si>
    <t>**Percentage of Funds</t>
  </si>
  <si>
    <t>EEOC CODE:</t>
  </si>
  <si>
    <t>Effective Date of Hire:</t>
  </si>
  <si>
    <t>ORGN CODE</t>
  </si>
  <si>
    <t xml:space="preserve"> FUND CODE</t>
  </si>
  <si>
    <t>PROG CODE</t>
  </si>
  <si>
    <t>ORGN DESCRIPTION</t>
  </si>
  <si>
    <t>00</t>
  </si>
  <si>
    <t>Bookstore</t>
  </si>
  <si>
    <t>Campus Union</t>
  </si>
  <si>
    <t>Dining Hall</t>
  </si>
  <si>
    <t>Faculty Dwelling</t>
  </si>
  <si>
    <t>Laundry</t>
  </si>
  <si>
    <t>Laundromat</t>
  </si>
  <si>
    <t>Budgeted for Prior Year</t>
  </si>
  <si>
    <t>Residence Halls/Student Housing</t>
  </si>
  <si>
    <t>Residence Halls/Housekeeping</t>
  </si>
  <si>
    <t>01</t>
  </si>
  <si>
    <t>AYERS -  Enhancement and Diversity</t>
  </si>
  <si>
    <t>AYERS - Master of Science, Biotech</t>
  </si>
  <si>
    <t>Biological Sciences</t>
  </si>
  <si>
    <t>Chemistry</t>
  </si>
  <si>
    <t>Communications</t>
  </si>
  <si>
    <t>AYERS - Computer Networking</t>
  </si>
  <si>
    <t>English &amp; Foreign Language</t>
  </si>
  <si>
    <t>Fine Arts</t>
  </si>
  <si>
    <t>Music</t>
  </si>
  <si>
    <t>Speech</t>
  </si>
  <si>
    <t>Humanities</t>
  </si>
  <si>
    <t>Band</t>
  </si>
  <si>
    <t>Choir</t>
  </si>
  <si>
    <t>Mathematical Sciences</t>
  </si>
  <si>
    <t>Military Science</t>
  </si>
  <si>
    <t>Social Science</t>
  </si>
  <si>
    <t>Agriculture Education</t>
  </si>
  <si>
    <t>Human Sciences</t>
  </si>
  <si>
    <t>Child Development Center</t>
  </si>
  <si>
    <t>Advanced Technologies</t>
  </si>
  <si>
    <t>Business Administration</t>
  </si>
  <si>
    <t>Master Business Administration</t>
  </si>
  <si>
    <t>Department of Education</t>
  </si>
  <si>
    <t>Health &amp; Physical Education</t>
  </si>
  <si>
    <t>AYERS - Vicksburg Expansion</t>
  </si>
  <si>
    <t>Nursing - Associate Degree</t>
  </si>
  <si>
    <t>Nursing - Bachelor of Science</t>
  </si>
  <si>
    <t>Nursing - Enhancement</t>
  </si>
  <si>
    <t>Nursing - Master of Science</t>
  </si>
  <si>
    <t>Honors Program</t>
  </si>
  <si>
    <t>General Instructional Equipment</t>
  </si>
  <si>
    <t>General Instructional Expense</t>
  </si>
  <si>
    <t>100000</t>
  </si>
  <si>
    <t>Instruction Encumbrances</t>
  </si>
  <si>
    <t>02</t>
  </si>
  <si>
    <t>Research Encumbrances</t>
  </si>
  <si>
    <t>Research</t>
  </si>
  <si>
    <t>Branch Experiment Station</t>
  </si>
  <si>
    <t>MS River Research</t>
  </si>
  <si>
    <t>Swine Development</t>
  </si>
  <si>
    <t>Small Farm Development Center</t>
  </si>
  <si>
    <t>Kemper/Winston County Incubator Pro</t>
  </si>
  <si>
    <t>Bolivar County Ext/Res &amp; Tech Center</t>
  </si>
  <si>
    <t>Agriculture Special Reserve</t>
  </si>
  <si>
    <t>Alternative Energy Center</t>
  </si>
  <si>
    <t>03</t>
  </si>
  <si>
    <t>Public Service Encumbrances</t>
  </si>
  <si>
    <t>Natural Products - Rural Co-op</t>
  </si>
  <si>
    <t>Natural Products - Alcorn</t>
  </si>
  <si>
    <t>Cooperative Extension</t>
  </si>
  <si>
    <t>Gulf Coast Mississippi Extension</t>
  </si>
  <si>
    <t>Global Programs</t>
  </si>
  <si>
    <t>Small Farm Dev Ctr &amp; Other Ag Units</t>
  </si>
  <si>
    <t>Public Service</t>
  </si>
  <si>
    <t>04</t>
  </si>
  <si>
    <t>Faculty Senate</t>
  </si>
  <si>
    <t>Office of Academic Affairs</t>
  </si>
  <si>
    <t>Faculty Development</t>
  </si>
  <si>
    <t>Dean of Division of Arts &amp; Sciences</t>
  </si>
  <si>
    <t>Mass Communications</t>
  </si>
  <si>
    <t>Department of Agriculture</t>
  </si>
  <si>
    <t>Farm Crops</t>
  </si>
  <si>
    <t>Dean of School of Business</t>
  </si>
  <si>
    <t>Dean of Education and Psychology</t>
  </si>
  <si>
    <t>Vicksburg Expansion-Administrative</t>
  </si>
  <si>
    <t>Dean of Divison of Nursing</t>
  </si>
  <si>
    <t>AYERS - Nursing Center</t>
  </si>
  <si>
    <t>AYERS - ASU Family Clinic</t>
  </si>
  <si>
    <t>Academic Support &amp; Facilities</t>
  </si>
  <si>
    <t>Library</t>
  </si>
  <si>
    <t>AYERS - Library Enhancement</t>
  </si>
  <si>
    <t>AYERS - Academic Technology</t>
  </si>
  <si>
    <t>Institutional Self Study (SACS)</t>
  </si>
  <si>
    <t>Enhanced Training for Special Scholars</t>
  </si>
  <si>
    <t>Office of Graduate Studies</t>
  </si>
  <si>
    <t>Academic Support Encumbrances</t>
  </si>
  <si>
    <t>Center for Information Technology</t>
  </si>
  <si>
    <t>AYERS - Pre-Prof Prog &amp; Acad Prog</t>
  </si>
  <si>
    <t>05</t>
  </si>
  <si>
    <t>Counseling &amp; Testing</t>
  </si>
  <si>
    <t>Commencement</t>
  </si>
  <si>
    <t>Registrar's Office</t>
  </si>
  <si>
    <t>Admissions Office</t>
  </si>
  <si>
    <t>Student Services Encumbrances</t>
  </si>
  <si>
    <t>Athletics-Administration</t>
  </si>
  <si>
    <t>Athletics-Recruiting</t>
  </si>
  <si>
    <t>Athletics-Sports Information</t>
  </si>
  <si>
    <t>Athletics-Football</t>
  </si>
  <si>
    <t>Athletics-Baseball</t>
  </si>
  <si>
    <t>Athletics-Men's Basketball</t>
  </si>
  <si>
    <t>Athletics-Track</t>
  </si>
  <si>
    <t>Athletics-Tennis</t>
  </si>
  <si>
    <t>Athletics-Golf</t>
  </si>
  <si>
    <t>Athletics-Women's Basketball</t>
  </si>
  <si>
    <t>Athletics-Women's Volleyball</t>
  </si>
  <si>
    <t>Athletics-Women's Tennis</t>
  </si>
  <si>
    <t>Athletics-Women's Softball</t>
  </si>
  <si>
    <t>Athletics-Sports Medicine</t>
  </si>
  <si>
    <t>Athletics-Soccer</t>
  </si>
  <si>
    <t>Athletics-Book Loan Program</t>
  </si>
  <si>
    <t>Athletics-Women's Track</t>
  </si>
  <si>
    <t>Athletics-Women's Golf</t>
  </si>
  <si>
    <t>Athletics-Football Recruiting</t>
  </si>
  <si>
    <t>Athletics-Officials</t>
  </si>
  <si>
    <t>Financial Aid</t>
  </si>
  <si>
    <t>Health Services</t>
  </si>
  <si>
    <t>Administration-Student Activities</t>
  </si>
  <si>
    <t>ASU Cheer Squad</t>
  </si>
  <si>
    <t>06</t>
  </si>
  <si>
    <t>Printing and Duplicating</t>
  </si>
  <si>
    <t>Special Assessment IHL</t>
  </si>
  <si>
    <t>Miscellaneous</t>
  </si>
  <si>
    <t>Infrastructure Technology</t>
  </si>
  <si>
    <t>Tort Liability</t>
  </si>
  <si>
    <t>Accounting</t>
  </si>
  <si>
    <t>Human Resources</t>
  </si>
  <si>
    <t>Purchasing</t>
  </si>
  <si>
    <t>Campus Police</t>
  </si>
  <si>
    <t>Receiving &amp; Storage</t>
  </si>
  <si>
    <t>Telecommunications</t>
  </si>
  <si>
    <t>Post Office</t>
  </si>
  <si>
    <t>Prior Period Adjustments Gen. Fund</t>
  </si>
  <si>
    <t>Alumni Affairs</t>
  </si>
  <si>
    <t>Institutional Assessment - E &amp; G</t>
  </si>
  <si>
    <t>President's Office</t>
  </si>
  <si>
    <t>Staff Senate</t>
  </si>
  <si>
    <t>Executive Vice-President's Office</t>
  </si>
  <si>
    <t>AYERS - Image Building/Recruiting</t>
  </si>
  <si>
    <t>Institutional Membership Dues</t>
  </si>
  <si>
    <t>Speakers &amp; Lectures</t>
  </si>
  <si>
    <t>University Press</t>
  </si>
  <si>
    <t>Office of Student Affairs</t>
  </si>
  <si>
    <t>07</t>
  </si>
  <si>
    <t>Administration-Physical Plant</t>
  </si>
  <si>
    <t>Custodial Services</t>
  </si>
  <si>
    <t>Maintenance of Buildings</t>
  </si>
  <si>
    <t>Maintenance of Grounds</t>
  </si>
  <si>
    <t>Repair and Minor Renovations</t>
  </si>
  <si>
    <t>Transportation</t>
  </si>
  <si>
    <t>Utilities</t>
  </si>
  <si>
    <t>Water Treatment</t>
  </si>
  <si>
    <t>Water WasteTreatment Plant</t>
  </si>
  <si>
    <t>Physical Plant Encumbrances</t>
  </si>
  <si>
    <t>Maintenance of President's Home</t>
  </si>
  <si>
    <t>08</t>
  </si>
  <si>
    <t>Student Aid</t>
  </si>
  <si>
    <t>Diversity Scholarship</t>
  </si>
  <si>
    <t>INVALID</t>
  </si>
  <si>
    <t>Summer Developmental Program</t>
  </si>
  <si>
    <t>Ag Biotechnology Research Center</t>
  </si>
  <si>
    <t>Faculty/Staff Convocation</t>
  </si>
  <si>
    <t>Academic Excellence &amp; Innovation</t>
  </si>
  <si>
    <t>Division of Administration &amp; Finance</t>
  </si>
  <si>
    <t>EClass:</t>
  </si>
  <si>
    <t>Human Resources or Payroll Use Only</t>
  </si>
  <si>
    <t>Date to HR</t>
  </si>
  <si>
    <t>Promotion / Merit / Annual Inc.</t>
  </si>
  <si>
    <t>E&amp;G Budget Line #</t>
  </si>
  <si>
    <t>Budget Page #</t>
  </si>
  <si>
    <t>Other (specify):</t>
  </si>
  <si>
    <t>Other</t>
  </si>
  <si>
    <t>Position Data</t>
  </si>
  <si>
    <t>INVALID. PLEASE SELECT VALID ORGN E&amp;G ORGN</t>
  </si>
  <si>
    <t>INVALID HOME ORGN….. PLEASE SELECT A VALID E&amp;G ORGN</t>
  </si>
  <si>
    <t>Small Farm Dev. Ctr. - RESTRICTED</t>
  </si>
  <si>
    <t>Nursing - Enhancement - RESTRICTED</t>
  </si>
  <si>
    <t>Student Affairs - RESTRICTED</t>
  </si>
  <si>
    <t>Master Business Admin - RESTRICTED</t>
  </si>
  <si>
    <r>
      <rPr>
        <b/>
        <u/>
        <sz val="10"/>
        <rFont val="Arial"/>
        <family val="2"/>
      </rPr>
      <t>100% RESTRICTED FUNDS</t>
    </r>
    <r>
      <rPr>
        <b/>
        <sz val="10"/>
        <rFont val="Arial"/>
        <family val="2"/>
      </rPr>
      <t>:  the position number will be assigned by a Grants &amp; Contracts Accountant</t>
    </r>
  </si>
  <si>
    <t>and staff members/2nd assignment for classes taught during the Fall or Spring Semester.  Payment will be made at the close</t>
  </si>
  <si>
    <t>and staff members/2nd assignment for classes taught during a summer session.  Payment will be made at the close of the</t>
  </si>
  <si>
    <t>applicable summer session.</t>
  </si>
  <si>
    <t xml:space="preserve">This form is submitted to request a one time payment to existing faculty members/overload, *RECURRING adjunct faculty members, </t>
  </si>
  <si>
    <t>of the applicable semester.</t>
  </si>
  <si>
    <t>FALL &amp; SPRING</t>
  </si>
  <si>
    <t>Budgetary Authority:</t>
  </si>
  <si>
    <t>Dean or Administrative Head:</t>
  </si>
  <si>
    <t>Area Vice President:</t>
  </si>
  <si>
    <t>President (if applicable):</t>
  </si>
  <si>
    <r>
      <t xml:space="preserve">If an employee </t>
    </r>
    <r>
      <rPr>
        <b/>
        <u/>
        <sz val="10"/>
        <color rgb="FF7030A0"/>
        <rFont val="Arial"/>
        <family val="2"/>
      </rPr>
      <t>WHO IS LISTED ABOVE</t>
    </r>
    <r>
      <rPr>
        <sz val="10"/>
        <color rgb="FF7030A0"/>
        <rFont val="Arial"/>
        <family val="2"/>
      </rPr>
      <t xml:space="preserve"> will also be working on a project during SUMMER I, complete this section to request compensation for the portion </t>
    </r>
  </si>
  <si>
    <r>
      <t xml:space="preserve">If an employee </t>
    </r>
    <r>
      <rPr>
        <b/>
        <u/>
        <sz val="10"/>
        <color rgb="FF7030A0"/>
        <rFont val="Arial"/>
        <family val="2"/>
      </rPr>
      <t>WHO IS LISTED ABOVE</t>
    </r>
    <r>
      <rPr>
        <sz val="10"/>
        <color rgb="FF7030A0"/>
        <rFont val="Arial"/>
        <family val="2"/>
      </rPr>
      <t xml:space="preserve"> will also be working on a project during SUMMER II, complete this section to request compensation for the portion </t>
    </r>
  </si>
  <si>
    <t>A.  Position Type:</t>
  </si>
  <si>
    <t>C.  Pay Type:</t>
  </si>
  <si>
    <t>D.  Pay Frequency:</t>
  </si>
  <si>
    <t>E.  Job Status:</t>
  </si>
  <si>
    <t>F.  Assignment:</t>
  </si>
  <si>
    <t>G.  Retiree of PERS of MS?</t>
  </si>
  <si>
    <t>H.  Total Salary:</t>
  </si>
  <si>
    <t xml:space="preserve">    indicate the department to which the employee's check should be distributed.</t>
  </si>
  <si>
    <r>
      <t xml:space="preserve">I.  </t>
    </r>
    <r>
      <rPr>
        <b/>
        <u/>
        <sz val="10"/>
        <rFont val="Arial"/>
        <family val="2"/>
      </rPr>
      <t>HOME ORGANIZATION (or HOME DEPARTMENT)</t>
    </r>
    <r>
      <rPr>
        <b/>
        <sz val="10"/>
        <rFont val="Arial"/>
        <family val="2"/>
      </rPr>
      <t>:  If this is a Restricted Project, Indicate a Department from the E&amp;G printed budget's Table of Contents that most closely relates to the project, or</t>
    </r>
  </si>
  <si>
    <r>
      <t xml:space="preserve">NOTE: Adjunct Faculty Members who are </t>
    </r>
    <r>
      <rPr>
        <b/>
        <u/>
        <sz val="10"/>
        <color rgb="FF7030A0"/>
        <rFont val="Arial"/>
        <family val="2"/>
      </rPr>
      <t>ORIGINAL APPOINTMENTS</t>
    </r>
    <r>
      <rPr>
        <sz val="10"/>
        <color rgb="FF7030A0"/>
        <rFont val="Arial"/>
        <family val="2"/>
      </rPr>
      <t xml:space="preserve"> to the university, </t>
    </r>
    <r>
      <rPr>
        <b/>
        <i/>
        <u/>
        <sz val="10"/>
        <color rgb="FF7030A0"/>
        <rFont val="Arial"/>
        <family val="2"/>
      </rPr>
      <t>RECENTLY RETIRED,</t>
    </r>
    <r>
      <rPr>
        <sz val="10"/>
        <color rgb="FF7030A0"/>
        <rFont val="Arial"/>
        <family val="2"/>
      </rPr>
      <t xml:space="preserve"> or need to </t>
    </r>
    <r>
      <rPr>
        <b/>
        <i/>
        <u/>
        <sz val="10"/>
        <color rgb="FF7030A0"/>
        <rFont val="Arial"/>
        <family val="2"/>
      </rPr>
      <t>RENEW</t>
    </r>
  </si>
  <si>
    <r>
      <t xml:space="preserve">Adjunct Faculty </t>
    </r>
    <r>
      <rPr>
        <sz val="8"/>
        <rFont val="Arial"/>
        <family val="2"/>
      </rPr>
      <t xml:space="preserve">(select for </t>
    </r>
    <r>
      <rPr>
        <b/>
        <u/>
        <sz val="8"/>
        <rFont val="Arial"/>
        <family val="2"/>
      </rPr>
      <t>NEW</t>
    </r>
    <r>
      <rPr>
        <sz val="8"/>
        <rFont val="Arial"/>
        <family val="2"/>
      </rPr>
      <t xml:space="preserve"> Adjunct Faculty, </t>
    </r>
    <r>
      <rPr>
        <b/>
        <u/>
        <sz val="8"/>
        <rFont val="Arial"/>
        <family val="2"/>
      </rPr>
      <t>RECENTLY RETIRED</t>
    </r>
    <r>
      <rPr>
        <sz val="8"/>
        <rFont val="Arial"/>
        <family val="2"/>
      </rPr>
      <t xml:space="preserve">, or to </t>
    </r>
    <r>
      <rPr>
        <b/>
        <u/>
        <sz val="8"/>
        <rFont val="Arial"/>
        <family val="2"/>
      </rPr>
      <t>RENEW</t>
    </r>
    <r>
      <rPr>
        <sz val="8"/>
        <rFont val="Arial"/>
        <family val="2"/>
      </rPr>
      <t xml:space="preserve"> former members if there has been more than 1 year break in service, otherwise include on Overload or Summer Assignment Action Form)</t>
    </r>
  </si>
  <si>
    <r>
      <t>Re-Employed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>(break in employment)</t>
    </r>
  </si>
  <si>
    <r>
      <rPr>
        <b/>
        <u/>
        <sz val="8"/>
        <rFont val="Arial"/>
        <family val="2"/>
      </rPr>
      <t>**Percentage of funds: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to be carried 2 decimal places. </t>
    </r>
    <r>
      <rPr>
        <b/>
        <sz val="8"/>
        <rFont val="Arial"/>
        <family val="2"/>
      </rPr>
      <t>Do not round</t>
    </r>
  </si>
  <si>
    <t>Home</t>
  </si>
  <si>
    <t>*</t>
  </si>
  <si>
    <t>**</t>
  </si>
  <si>
    <t>Academic Support Services</t>
  </si>
  <si>
    <t>Academic Support Services - General Education</t>
  </si>
  <si>
    <t>Career Planning, Placement, &amp; Cooperative Education</t>
  </si>
  <si>
    <t>Student Government Association</t>
  </si>
  <si>
    <t>University Relations</t>
  </si>
  <si>
    <t>INVALID HOME ORGN</t>
  </si>
  <si>
    <t>Accreditation Priorities - QEP</t>
  </si>
  <si>
    <t>Office of Fiscal Affairs</t>
  </si>
  <si>
    <t>Office of Institutional Affairs</t>
  </si>
  <si>
    <r>
      <rPr>
        <b/>
        <u/>
        <sz val="8"/>
        <rFont val="Arial"/>
        <family val="2"/>
      </rPr>
      <t>*Account Code</t>
    </r>
    <r>
      <rPr>
        <b/>
        <sz val="8"/>
        <rFont val="Arial"/>
        <family val="2"/>
      </rPr>
      <t>:</t>
    </r>
    <r>
      <rPr>
        <sz val="8"/>
        <rFont val="Arial"/>
        <family val="2"/>
      </rPr>
      <t xml:space="preserve"> Indicate </t>
    </r>
    <r>
      <rPr>
        <b/>
        <i/>
        <u/>
        <sz val="8"/>
        <rFont val="Arial"/>
        <family val="2"/>
      </rPr>
      <t>611000</t>
    </r>
    <r>
      <rPr>
        <sz val="8"/>
        <rFont val="Arial"/>
        <family val="2"/>
      </rPr>
      <t xml:space="preserve"> for instructional compensation allotment,     </t>
    </r>
    <r>
      <rPr>
        <b/>
        <i/>
        <u/>
        <sz val="8"/>
        <rFont val="Arial"/>
        <family val="2"/>
      </rPr>
      <t>612000</t>
    </r>
    <r>
      <rPr>
        <sz val="8"/>
        <rFont val="Arial"/>
        <family val="2"/>
      </rPr>
      <t xml:space="preserve"> for all other monthly compensation,     </t>
    </r>
    <r>
      <rPr>
        <b/>
        <i/>
        <u/>
        <sz val="8"/>
        <rFont val="Arial"/>
        <family val="2"/>
      </rPr>
      <t>622000</t>
    </r>
    <r>
      <rPr>
        <sz val="8"/>
        <rFont val="Arial"/>
        <family val="2"/>
      </rPr>
      <t xml:space="preserve"> for biweekly compensation</t>
    </r>
  </si>
  <si>
    <t>Part-time   -   FTE for part-time:</t>
  </si>
  <si>
    <t>Yes  -  Retirement Date:</t>
  </si>
  <si>
    <r>
      <t xml:space="preserve">after </t>
    </r>
    <r>
      <rPr>
        <b/>
        <sz val="10"/>
        <color rgb="FF7030A0"/>
        <rFont val="Arial"/>
        <family val="2"/>
      </rPr>
      <t xml:space="preserve">a </t>
    </r>
    <r>
      <rPr>
        <b/>
        <i/>
        <sz val="10"/>
        <color rgb="FF7030A0"/>
        <rFont val="Arial"/>
        <family val="2"/>
      </rPr>
      <t>break in service</t>
    </r>
    <r>
      <rPr>
        <sz val="10"/>
        <color rgb="FF7030A0"/>
        <rFont val="Arial"/>
        <family val="2"/>
      </rPr>
      <t xml:space="preserve"> that extends beyond 1 year are NOT included on this form.  A PAF is required by Human Resources.</t>
    </r>
  </si>
  <si>
    <r>
      <t xml:space="preserve">after a </t>
    </r>
    <r>
      <rPr>
        <b/>
        <i/>
        <sz val="9"/>
        <color rgb="FF7030A0"/>
        <rFont val="Arial"/>
        <family val="2"/>
      </rPr>
      <t>break in service</t>
    </r>
    <r>
      <rPr>
        <sz val="9"/>
        <color rgb="FF7030A0"/>
        <rFont val="Arial"/>
        <family val="2"/>
      </rPr>
      <t xml:space="preserve"> that extends beyond 1 year are NOT included on this form.  A PAF is required by Human Resources.</t>
    </r>
  </si>
  <si>
    <r>
      <t xml:space="preserve">NOTE: Adjunct Faculty Members who are </t>
    </r>
    <r>
      <rPr>
        <b/>
        <i/>
        <u/>
        <sz val="9"/>
        <color rgb="FF7030A0"/>
        <rFont val="Arial"/>
        <family val="2"/>
      </rPr>
      <t>ORIGINAL APPOINTLENTS</t>
    </r>
    <r>
      <rPr>
        <sz val="9"/>
        <color rgb="FF7030A0"/>
        <rFont val="Arial"/>
        <family val="2"/>
      </rPr>
      <t xml:space="preserve"> to the university, </t>
    </r>
    <r>
      <rPr>
        <b/>
        <i/>
        <u/>
        <sz val="9"/>
        <color rgb="FF7030A0"/>
        <rFont val="Arial"/>
        <family val="2"/>
      </rPr>
      <t>RECENTLY RETIRED</t>
    </r>
    <r>
      <rPr>
        <sz val="9"/>
        <color rgb="FF7030A0"/>
        <rFont val="Arial"/>
        <family val="2"/>
      </rPr>
      <t xml:space="preserve">, or need to </t>
    </r>
    <r>
      <rPr>
        <b/>
        <i/>
        <u/>
        <sz val="9"/>
        <color rgb="FF7030A0"/>
        <rFont val="Arial"/>
        <family val="2"/>
      </rPr>
      <t>RENEW</t>
    </r>
    <r>
      <rPr>
        <b/>
        <i/>
        <sz val="9"/>
        <color rgb="FF7030A0"/>
        <rFont val="Arial"/>
        <family val="2"/>
      </rPr>
      <t/>
    </r>
  </si>
  <si>
    <t>Office of Academic Affairs - RESTRICTED</t>
  </si>
  <si>
    <t>Biology - RESTRICTED</t>
  </si>
  <si>
    <t>Chemistry - RESTRICTED</t>
  </si>
  <si>
    <t>Communications - RESTRICTED</t>
  </si>
  <si>
    <t>English &amp; Foreign Language - RESTRICTED</t>
  </si>
  <si>
    <t>Fine Arts - RESTRICTED</t>
  </si>
  <si>
    <t>Music - RESTRICTED</t>
  </si>
  <si>
    <t>Humanities - RESTRICTED</t>
  </si>
  <si>
    <t>Speech - RESTRICTED</t>
  </si>
  <si>
    <t>Arts - RESTRICTED</t>
  </si>
  <si>
    <t>Mathematics - RESTRICTED</t>
  </si>
  <si>
    <t>Military Science - RESTRICTED</t>
  </si>
  <si>
    <t>Social Science - RESTRICTED</t>
  </si>
  <si>
    <t>Mass Communications - RESTRICTED</t>
  </si>
  <si>
    <t>Department of Agriculture - RESTRICTED</t>
  </si>
  <si>
    <t>Agriculture Education - RESTRICTED</t>
  </si>
  <si>
    <t>Cooperative Extension - RESTRICTED</t>
  </si>
  <si>
    <t>Branch Experiment Station - RESTRICTED</t>
  </si>
  <si>
    <t>MS River Research - RESTRICTED</t>
  </si>
  <si>
    <t>Swine Development - RESTRICTED</t>
  </si>
  <si>
    <t>Small Farm &amp; Other - RESTRICTED</t>
  </si>
  <si>
    <t>Human Sciences - RESTRICTED</t>
  </si>
  <si>
    <t>Human Sciences Tea. Ed.  - RESTRICTED</t>
  </si>
  <si>
    <t>Advanced Technologies - RESTRICTED</t>
  </si>
  <si>
    <t>Advanced Technologies-Tea. Edu. - RESTRICTED</t>
  </si>
  <si>
    <t>Agriculture Teacher Educ. - RESTRICTED</t>
  </si>
  <si>
    <t>Dean of Division of Business - RESTRICTED</t>
  </si>
  <si>
    <t>Business Administration - RESTRICTED</t>
  </si>
  <si>
    <t>Business Education - RESTRICTED</t>
  </si>
  <si>
    <t>Dean of Education and Psy. - RESTRICTED</t>
  </si>
  <si>
    <t>Elementary Education - RESTRICTED</t>
  </si>
  <si>
    <t>Health &amp; Physical Educ. - RESTRICTED</t>
  </si>
  <si>
    <t>Student Teaching - RESTRICTED</t>
  </si>
  <si>
    <t>Dean of Divison of Nursing - RESTRICTED</t>
  </si>
  <si>
    <t>Nursing - Associate Degree - RESTRICTED</t>
  </si>
  <si>
    <t>Nursing - Bachelor of Science - RESTRICTED</t>
  </si>
  <si>
    <t>Nursing - Master of Science - RESTRICTED</t>
  </si>
  <si>
    <t>General College of Excellence - RESTRICTED</t>
  </si>
  <si>
    <t>Dean of Gen. College - RESTRICTED</t>
  </si>
  <si>
    <t>Counseling &amp; Testing - RESTRICTED</t>
  </si>
  <si>
    <t>Honors Program - RESTRICTED</t>
  </si>
  <si>
    <t>Library - RESTRICTED</t>
  </si>
  <si>
    <t>Upward Bound - RESTRICTED</t>
  </si>
  <si>
    <t>Title III - RESTRICTED</t>
  </si>
  <si>
    <t>Alumni Affairs - RESTRICTED</t>
  </si>
  <si>
    <t>Institutional Assessment - RESTRICTED</t>
  </si>
  <si>
    <t>Office of Business Affairs - RESTRICTED</t>
  </si>
  <si>
    <t>Financial Aid - RESTRICTED</t>
  </si>
  <si>
    <t>Human Resources - RESTRICTED</t>
  </si>
  <si>
    <t>Campus Police - RESTRICTED</t>
  </si>
  <si>
    <t>Physical Plant Administration - RESTRICTED</t>
  </si>
  <si>
    <t>Athletics Administration - RESTRICTED</t>
  </si>
  <si>
    <t>Payroll Review:</t>
  </si>
  <si>
    <t>Approvals Required for Original Appointment/Re-Employed Only</t>
  </si>
  <si>
    <t>OR</t>
  </si>
  <si>
    <t>NON FACULTY</t>
  </si>
  <si>
    <t>B.  Rank, if Faculty:</t>
  </si>
  <si>
    <t>Temp Employment - End Date:</t>
  </si>
  <si>
    <r>
      <t xml:space="preserve">Regular </t>
    </r>
    <r>
      <rPr>
        <b/>
        <i/>
        <sz val="8"/>
        <rFont val="Arial"/>
        <family val="2"/>
      </rPr>
      <t>(Temporary Funding Source)</t>
    </r>
    <r>
      <rPr>
        <b/>
        <i/>
        <sz val="10"/>
        <rFont val="Arial"/>
        <family val="2"/>
      </rPr>
      <t>-</t>
    </r>
    <r>
      <rPr>
        <b/>
        <sz val="10"/>
        <rFont val="Arial"/>
        <family val="2"/>
      </rPr>
      <t>End Date:</t>
    </r>
  </si>
  <si>
    <t>One Time Pay at END of the: Semester/Summer Session/Assignment</t>
  </si>
  <si>
    <t>ENTER FTE FOR PART-TIME</t>
  </si>
  <si>
    <t>9 for 9 month faculty</t>
  </si>
  <si>
    <t>10 for 10 month faculty</t>
  </si>
  <si>
    <t>11 for 11 month faculty</t>
  </si>
  <si>
    <t>Monthly salary</t>
  </si>
  <si>
    <t>Partial beginning month - pay for actual days</t>
  </si>
  <si>
    <t>Partial ending month - pay for actual days</t>
  </si>
  <si>
    <t>Pay for actual full months the employee will work</t>
  </si>
  <si>
    <t>Worksheet for Calculating a 'Per Other' Amount</t>
  </si>
  <si>
    <t>TOTAL This is the per other amount for Section 3-H of the PAF</t>
  </si>
  <si>
    <r>
      <rPr>
        <b/>
        <sz val="10"/>
        <rFont val="Arial"/>
        <family val="2"/>
      </rPr>
      <t>ANNUAL SALARY:</t>
    </r>
    <r>
      <rPr>
        <sz val="10"/>
        <rFont val="Arial"/>
        <family val="2"/>
      </rPr>
      <t xml:space="preserve">  What is the total </t>
    </r>
    <r>
      <rPr>
        <b/>
        <sz val="10"/>
        <color rgb="FF00B050"/>
        <rFont val="Arial"/>
        <family val="2"/>
      </rPr>
      <t>ANNUAL SALARY</t>
    </r>
    <r>
      <rPr>
        <sz val="10"/>
        <rFont val="Arial"/>
        <family val="2"/>
      </rPr>
      <t xml:space="preserve"> base?</t>
    </r>
  </si>
  <si>
    <t>in the month by including holidays and excluding Saturday and Sunday.)</t>
  </si>
  <si>
    <t>month by including holidays and excluding Saturday and Sunday.)</t>
  </si>
  <si>
    <r>
      <rPr>
        <b/>
        <sz val="10"/>
        <rFont val="Arial"/>
        <family val="2"/>
      </rPr>
      <t>ANNUAL MONTHS:</t>
    </r>
    <r>
      <rPr>
        <sz val="10"/>
        <rFont val="Arial"/>
        <family val="2"/>
      </rPr>
      <t xml:space="preserve">  What is the total </t>
    </r>
    <r>
      <rPr>
        <b/>
        <sz val="10"/>
        <color rgb="FF00B050"/>
        <rFont val="Arial"/>
        <family val="2"/>
      </rPr>
      <t>ANNUAL NUMBER OF MONTHS</t>
    </r>
    <r>
      <rPr>
        <sz val="10"/>
        <rFont val="Arial"/>
        <family val="2"/>
      </rPr>
      <t xml:space="preserve"> for the position.</t>
    </r>
  </si>
  <si>
    <t>12 for 12 month faculty, staff, and biweekly staff</t>
  </si>
  <si>
    <r>
      <rPr>
        <b/>
        <sz val="10"/>
        <rFont val="Arial"/>
        <family val="2"/>
      </rPr>
      <t>ACTUAL DAYS TO WORK (final month):</t>
    </r>
    <r>
      <rPr>
        <sz val="10"/>
        <rFont val="Arial"/>
        <family val="2"/>
      </rPr>
      <t xml:space="preserve">  If the employee will not work a full last month, how many </t>
    </r>
    <r>
      <rPr>
        <b/>
        <sz val="10"/>
        <rFont val="Arial"/>
        <family val="2"/>
      </rPr>
      <t>DAYS</t>
    </r>
    <r>
      <rPr>
        <sz val="10"/>
        <rFont val="Arial"/>
        <family val="2"/>
      </rPr>
      <t xml:space="preserve"> are expected to be </t>
    </r>
    <r>
      <rPr>
        <b/>
        <sz val="10"/>
        <rFont val="Arial"/>
        <family val="2"/>
      </rPr>
      <t>ACTUALLY WORKED</t>
    </r>
    <r>
      <rPr>
        <i/>
        <sz val="10"/>
        <rFont val="Arial"/>
        <family val="2"/>
      </rPr>
      <t>?</t>
    </r>
  </si>
  <si>
    <r>
      <rPr>
        <b/>
        <sz val="10"/>
        <rFont val="Arial"/>
        <family val="2"/>
      </rPr>
      <t>ACTUAL DAYS WORKED (1st month):</t>
    </r>
    <r>
      <rPr>
        <sz val="10"/>
        <rFont val="Arial"/>
        <family val="2"/>
      </rPr>
      <t xml:space="preserve">  If the employee will not work a full first month, how many </t>
    </r>
    <r>
      <rPr>
        <b/>
        <sz val="10"/>
        <rFont val="Arial"/>
        <family val="2"/>
      </rPr>
      <t>DAYS</t>
    </r>
    <r>
      <rPr>
        <sz val="10"/>
        <rFont val="Arial"/>
        <family val="2"/>
      </rPr>
      <t xml:space="preserve"> are expected to be </t>
    </r>
    <r>
      <rPr>
        <b/>
        <sz val="10"/>
        <rFont val="Arial"/>
        <family val="2"/>
      </rPr>
      <t>ACTUALLY WORKED</t>
    </r>
    <r>
      <rPr>
        <i/>
        <sz val="10"/>
        <rFont val="Arial"/>
        <family val="2"/>
      </rPr>
      <t>?</t>
    </r>
  </si>
  <si>
    <t>Last Date Worked</t>
  </si>
  <si>
    <r>
      <t xml:space="preserve">Extension of Employment </t>
    </r>
    <r>
      <rPr>
        <i/>
        <sz val="8"/>
        <rFont val="Arial"/>
        <family val="2"/>
      </rPr>
      <t>(no break)</t>
    </r>
  </si>
  <si>
    <r>
      <t xml:space="preserve">Release Time </t>
    </r>
    <r>
      <rPr>
        <i/>
        <sz val="8"/>
        <rFont val="Arial"/>
        <family val="2"/>
      </rPr>
      <t>(Projects Only)</t>
    </r>
  </si>
  <si>
    <t>PERSONAL DATA</t>
  </si>
  <si>
    <t>TYPE OF ACTION</t>
  </si>
  <si>
    <t>ACTION DATES</t>
  </si>
  <si>
    <t>COMMENTS</t>
  </si>
  <si>
    <t>POSITION DATA</t>
  </si>
  <si>
    <t>RECEIVING DEPARTMENT</t>
  </si>
  <si>
    <t>RELEASING DEPARTMENT</t>
  </si>
  <si>
    <t>APPROVALS</t>
  </si>
  <si>
    <r>
      <t xml:space="preserve">Part-time - </t>
    </r>
    <r>
      <rPr>
        <b/>
        <sz val="10"/>
        <rFont val="Arial"/>
        <family val="2"/>
      </rPr>
      <t>FTE for part-time:</t>
    </r>
  </si>
  <si>
    <r>
      <t xml:space="preserve">Regular </t>
    </r>
    <r>
      <rPr>
        <sz val="6.5"/>
        <rFont val="Arial"/>
        <family val="2"/>
      </rPr>
      <t>(Temporary Funding Source)</t>
    </r>
    <r>
      <rPr>
        <b/>
        <i/>
        <sz val="6.5"/>
        <rFont val="Arial"/>
        <family val="2"/>
      </rPr>
      <t>-</t>
    </r>
    <r>
      <rPr>
        <b/>
        <sz val="10"/>
        <rFont val="Arial"/>
        <family val="2"/>
      </rPr>
      <t>End Date:</t>
    </r>
  </si>
  <si>
    <r>
      <t>Yes -</t>
    </r>
    <r>
      <rPr>
        <b/>
        <sz val="10"/>
        <rFont val="Arial"/>
        <family val="2"/>
      </rPr>
      <t xml:space="preserve"> Retirement Date:</t>
    </r>
  </si>
  <si>
    <r>
      <rPr>
        <b/>
        <u/>
        <sz val="12"/>
        <rFont val="Arial"/>
        <family val="2"/>
      </rPr>
      <t>100% RESTRICTED FUNDS</t>
    </r>
    <r>
      <rPr>
        <b/>
        <sz val="12"/>
        <rFont val="Arial"/>
        <family val="2"/>
      </rPr>
      <t>:  the position number will be assigned by a Grants &amp; Contracts Accountant</t>
    </r>
  </si>
  <si>
    <r>
      <rPr>
        <b/>
        <u/>
        <sz val="10"/>
        <rFont val="Arial"/>
        <family val="2"/>
      </rPr>
      <t>*Account Code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Indicate </t>
    </r>
    <r>
      <rPr>
        <b/>
        <i/>
        <u/>
        <sz val="10"/>
        <rFont val="Arial"/>
        <family val="2"/>
      </rPr>
      <t>611000</t>
    </r>
    <r>
      <rPr>
        <sz val="10"/>
        <rFont val="Arial"/>
        <family val="2"/>
      </rPr>
      <t xml:space="preserve"> for instructional compensation allotment,     </t>
    </r>
    <r>
      <rPr>
        <b/>
        <i/>
        <u/>
        <sz val="10"/>
        <rFont val="Arial"/>
        <family val="2"/>
      </rPr>
      <t>612000</t>
    </r>
    <r>
      <rPr>
        <sz val="10"/>
        <rFont val="Arial"/>
        <family val="2"/>
      </rPr>
      <t xml:space="preserve"> for all other monthly compensation,     </t>
    </r>
    <r>
      <rPr>
        <b/>
        <i/>
        <u/>
        <sz val="10"/>
        <rFont val="Arial"/>
        <family val="2"/>
      </rPr>
      <t>622000</t>
    </r>
    <r>
      <rPr>
        <sz val="10"/>
        <rFont val="Arial"/>
        <family val="2"/>
      </rPr>
      <t xml:space="preserve"> for biweekly compensation</t>
    </r>
  </si>
  <si>
    <r>
      <t>Re-Employed</t>
    </r>
    <r>
      <rPr>
        <sz val="12"/>
        <rFont val="Arial"/>
        <family val="2"/>
      </rPr>
      <t xml:space="preserve"> </t>
    </r>
    <r>
      <rPr>
        <i/>
        <sz val="8"/>
        <rFont val="Arial"/>
        <family val="2"/>
      </rPr>
      <t>(break in employment)</t>
    </r>
  </si>
  <si>
    <r>
      <rPr>
        <b/>
        <sz val="11"/>
        <rFont val="Arial"/>
        <family val="2"/>
      </rPr>
      <t>Extension of Employment</t>
    </r>
    <r>
      <rPr>
        <b/>
        <sz val="12"/>
        <rFont val="Arial"/>
        <family val="2"/>
      </rPr>
      <t xml:space="preserve"> </t>
    </r>
    <r>
      <rPr>
        <i/>
        <sz val="8"/>
        <rFont val="Arial"/>
        <family val="2"/>
      </rPr>
      <t>(no break)</t>
    </r>
  </si>
  <si>
    <r>
      <t xml:space="preserve">I.  </t>
    </r>
    <r>
      <rPr>
        <b/>
        <u/>
        <sz val="12"/>
        <rFont val="Arial"/>
        <family val="2"/>
      </rPr>
      <t>HOME ORGANIZATION (or HOME DEPARTMENT)</t>
    </r>
    <r>
      <rPr>
        <b/>
        <sz val="12"/>
        <rFont val="Arial"/>
        <family val="2"/>
      </rPr>
      <t>:  If this is a Restricted Project, Indicate a Department from the E&amp;G printed budget's Table of Contents that most closely</t>
    </r>
  </si>
  <si>
    <t xml:space="preserve">   relates to the project, or indicate the department to which the employee's check should be distributed.</t>
  </si>
  <si>
    <r>
      <rPr>
        <b/>
        <u/>
        <sz val="12"/>
        <rFont val="Arial"/>
        <family val="2"/>
      </rPr>
      <t>POSITIONS CONTAINING E&amp;G FUNDS</t>
    </r>
    <r>
      <rPr>
        <b/>
        <sz val="12"/>
        <rFont val="Arial"/>
        <family val="2"/>
      </rPr>
      <t>: assign a position from the printed budget.  If the position is temporary, an applicable pooled position number may be assigned.</t>
    </r>
  </si>
  <si>
    <r>
      <rPr>
        <b/>
        <sz val="11"/>
        <rFont val="Arial"/>
        <family val="2"/>
      </rPr>
      <t xml:space="preserve">Temp Employment </t>
    </r>
    <r>
      <rPr>
        <b/>
        <sz val="6.5"/>
        <rFont val="Arial"/>
        <family val="2"/>
      </rPr>
      <t>-</t>
    </r>
    <r>
      <rPr>
        <b/>
        <sz val="8"/>
        <rFont val="Arial"/>
        <family val="2"/>
      </rPr>
      <t xml:space="preserve"> End Date:</t>
    </r>
  </si>
  <si>
    <t>Date Last Worked</t>
  </si>
  <si>
    <r>
      <rPr>
        <b/>
        <sz val="10"/>
        <rFont val="Arial"/>
        <family val="2"/>
      </rPr>
      <t>FULL MONTHS TO BE WORKED:</t>
    </r>
    <r>
      <rPr>
        <sz val="10"/>
        <rFont val="Arial"/>
        <family val="2"/>
      </rPr>
      <t xml:space="preserve"> How many </t>
    </r>
    <r>
      <rPr>
        <b/>
        <sz val="10"/>
        <rFont val="Arial"/>
        <family val="2"/>
      </rPr>
      <t>FULL MONTHS</t>
    </r>
    <r>
      <rPr>
        <sz val="10"/>
        <rFont val="Arial"/>
        <family val="2"/>
      </rPr>
      <t xml:space="preserve"> will actually be worked by the employee?</t>
    </r>
  </si>
  <si>
    <r>
      <rPr>
        <b/>
        <sz val="10"/>
        <rFont val="Arial"/>
        <family val="2"/>
      </rPr>
      <t>WORKING DAYS (final month):</t>
    </r>
    <r>
      <rPr>
        <sz val="10"/>
        <rFont val="Arial"/>
        <family val="2"/>
      </rPr>
      <t xml:space="preserve">  How many </t>
    </r>
    <r>
      <rPr>
        <b/>
        <sz val="10"/>
        <rFont val="Arial"/>
        <family val="2"/>
      </rPr>
      <t>WORKING DAYS</t>
    </r>
    <r>
      <rPr>
        <sz val="10"/>
        <rFont val="Arial"/>
        <family val="2"/>
      </rPr>
      <t xml:space="preserve"> are in the </t>
    </r>
    <r>
      <rPr>
        <i/>
        <sz val="10"/>
        <rFont val="Arial"/>
        <family val="2"/>
      </rPr>
      <t>partial ending month? (Count the number of weekdays in the</t>
    </r>
  </si>
  <si>
    <r>
      <rPr>
        <b/>
        <sz val="10"/>
        <rFont val="Arial"/>
        <family val="2"/>
      </rPr>
      <t>WORKING DAYS (beginning month):</t>
    </r>
    <r>
      <rPr>
        <sz val="10"/>
        <rFont val="Arial"/>
        <family val="2"/>
      </rPr>
      <t xml:space="preserve">  How many </t>
    </r>
    <r>
      <rPr>
        <b/>
        <sz val="10"/>
        <rFont val="Arial"/>
        <family val="2"/>
      </rPr>
      <t>WORKING DAYS</t>
    </r>
    <r>
      <rPr>
        <sz val="10"/>
        <rFont val="Arial"/>
        <family val="2"/>
      </rPr>
      <t xml:space="preserve"> are in the </t>
    </r>
    <r>
      <rPr>
        <i/>
        <sz val="10"/>
        <rFont val="Arial"/>
        <family val="2"/>
      </rPr>
      <t>partial beginning month? (Count the number of weekdays</t>
    </r>
  </si>
  <si>
    <t>ADJUNCT &amp; OVERLOAD ASSIGNMENT ACTION FORM</t>
  </si>
  <si>
    <r>
      <t xml:space="preserve">Yes   </t>
    </r>
    <r>
      <rPr>
        <b/>
        <sz val="14"/>
        <rFont val="Wingdings"/>
        <charset val="2"/>
      </rPr>
      <t xml:space="preserve">  </t>
    </r>
  </si>
</sst>
</file>

<file path=xl/styles.xml><?xml version="1.0" encoding="utf-8"?>
<styleSheet xmlns="http://schemas.openxmlformats.org/spreadsheetml/2006/main">
  <numFmts count="16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dd\-mmm\-yy_)"/>
    <numFmt numFmtId="171" formatCode="_(&quot;$&quot;* #,##0_);_(&quot;$&quot;* \(#,##0\);_(&quot;$&quot;* &quot;-&quot;??_);_(@_)"/>
    <numFmt numFmtId="172" formatCode="&quot;$&quot;#,##0"/>
    <numFmt numFmtId="173" formatCode="000\-00\-0000"/>
    <numFmt numFmtId="174" formatCode="[$-409]mmmm\ d\,\ yyyy;@"/>
    <numFmt numFmtId="175" formatCode="mm/dd/yy;@"/>
  </numFmts>
  <fonts count="10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sz val="8"/>
      <name val="Times New Roman"/>
      <family val="1"/>
    </font>
    <font>
      <sz val="8"/>
      <name val="Verdana"/>
      <family val="2"/>
    </font>
    <font>
      <sz val="10"/>
      <name val="Helv"/>
    </font>
    <font>
      <b/>
      <sz val="9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8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1"/>
      <name val="Calibri"/>
      <family val="2"/>
    </font>
    <font>
      <b/>
      <sz val="11"/>
      <color indexed="4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6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b/>
      <sz val="12"/>
      <color rgb="FF7030A0"/>
      <name val="Arial"/>
      <family val="2"/>
    </font>
    <font>
      <b/>
      <sz val="10"/>
      <color rgb="FF7030A0"/>
      <name val="Arial"/>
      <family val="2"/>
    </font>
    <font>
      <sz val="16"/>
      <name val="Arial"/>
      <family val="2"/>
    </font>
    <font>
      <b/>
      <sz val="16"/>
      <color indexed="9"/>
      <name val="Arial"/>
      <family val="2"/>
    </font>
    <font>
      <sz val="16"/>
      <color indexed="9"/>
      <name val="Arial"/>
      <family val="2"/>
    </font>
    <font>
      <sz val="10"/>
      <color rgb="FF7030A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0"/>
      <color rgb="FF7030A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6"/>
      <name val="Wingdings"/>
      <charset val="2"/>
    </font>
    <font>
      <b/>
      <sz val="14"/>
      <name val="Wingdings"/>
      <charset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4"/>
      <color rgb="FF7030A0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b/>
      <sz val="16"/>
      <color rgb="FF7030A0"/>
      <name val="Arial"/>
      <family val="2"/>
    </font>
    <font>
      <sz val="9"/>
      <name val="Arial"/>
      <family val="2"/>
    </font>
    <font>
      <i/>
      <sz val="14"/>
      <name val="Arial"/>
      <family val="2"/>
    </font>
    <font>
      <sz val="11"/>
      <name val="Arial"/>
      <family val="2"/>
    </font>
    <font>
      <b/>
      <i/>
      <sz val="18"/>
      <name val="Arial"/>
      <family val="2"/>
    </font>
    <font>
      <sz val="12"/>
      <name val="Arial"/>
      <family val="2"/>
    </font>
    <font>
      <sz val="12"/>
      <color indexed="81"/>
      <name val="Tahoma"/>
      <family val="2"/>
    </font>
    <font>
      <b/>
      <sz val="16"/>
      <name val="Arial"/>
      <family val="2"/>
    </font>
    <font>
      <b/>
      <u/>
      <sz val="10"/>
      <name val="Arial"/>
      <family val="2"/>
    </font>
    <font>
      <sz val="10"/>
      <color indexed="81"/>
      <name val="Tahoma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b/>
      <i/>
      <sz val="10"/>
      <color rgb="FF7030A0"/>
      <name val="Arial"/>
      <family val="2"/>
    </font>
    <font>
      <b/>
      <sz val="9"/>
      <color rgb="FF7030A0"/>
      <name val="Arial"/>
      <family val="2"/>
    </font>
    <font>
      <sz val="9"/>
      <color rgb="FF7030A0"/>
      <name val="Arial"/>
      <family val="2"/>
    </font>
    <font>
      <sz val="8"/>
      <color rgb="FF7030A0"/>
      <name val="Arial"/>
      <family val="2"/>
    </font>
    <font>
      <b/>
      <i/>
      <sz val="8"/>
      <color rgb="FF7030A0"/>
      <name val="Arial"/>
      <family val="2"/>
    </font>
    <font>
      <b/>
      <i/>
      <sz val="9"/>
      <color rgb="FF7030A0"/>
      <name val="Arial"/>
      <family val="2"/>
    </font>
    <font>
      <sz val="12"/>
      <color rgb="FF7030A0"/>
      <name val="Arial"/>
      <family val="2"/>
    </font>
    <font>
      <b/>
      <i/>
      <u/>
      <sz val="8"/>
      <name val="Arial"/>
      <family val="2"/>
    </font>
    <font>
      <b/>
      <u/>
      <sz val="8"/>
      <name val="Arial"/>
      <family val="2"/>
    </font>
    <font>
      <b/>
      <i/>
      <u/>
      <sz val="9"/>
      <color rgb="FF7030A0"/>
      <name val="Arial"/>
      <family val="2"/>
    </font>
    <font>
      <b/>
      <i/>
      <u/>
      <sz val="10"/>
      <color rgb="FF7030A0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i/>
      <u val="double"/>
      <vertAlign val="superscript"/>
      <sz val="10"/>
      <color theme="9" tint="-0.249977111117893"/>
      <name val="Arial Unicode MS"/>
      <family val="2"/>
    </font>
    <font>
      <b/>
      <sz val="10"/>
      <color rgb="FF00B050"/>
      <name val="Arial"/>
      <family val="2"/>
    </font>
    <font>
      <b/>
      <u val="doubleAccounting"/>
      <sz val="14"/>
      <name val="Arial"/>
      <family val="2"/>
    </font>
    <font>
      <b/>
      <sz val="7"/>
      <name val="Arial"/>
      <family val="2"/>
    </font>
    <font>
      <b/>
      <sz val="12"/>
      <color theme="0"/>
      <name val="Arial"/>
      <family val="2"/>
    </font>
    <font>
      <b/>
      <sz val="6.5"/>
      <name val="Arial"/>
      <family val="2"/>
    </font>
    <font>
      <b/>
      <i/>
      <sz val="6.5"/>
      <name val="Arial"/>
      <family val="2"/>
    </font>
    <font>
      <sz val="6.5"/>
      <name val="Arial"/>
      <family val="2"/>
    </font>
    <font>
      <b/>
      <u/>
      <sz val="12"/>
      <name val="Arial"/>
      <family val="2"/>
    </font>
    <font>
      <b/>
      <i/>
      <u/>
      <sz val="10"/>
      <name val="Arial"/>
      <family val="2"/>
    </font>
    <font>
      <sz val="11"/>
      <color rgb="FF7030A0"/>
      <name val="Arial"/>
      <family val="2"/>
    </font>
    <font>
      <b/>
      <i/>
      <u val="double"/>
      <vertAlign val="superscript"/>
      <sz val="12"/>
      <color theme="9" tint="-0.249977111117893"/>
      <name val="Chicago"/>
      <family val="2"/>
    </font>
  </fonts>
  <fills count="4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18"/>
        <bgColor indexed="9"/>
      </patternFill>
    </fill>
    <fill>
      <patternFill patternType="solid">
        <fgColor theme="4" tint="0.79998168889431442"/>
        <bgColor indexed="9"/>
      </patternFill>
    </fill>
    <fill>
      <patternFill patternType="solid">
        <fgColor theme="0" tint="-4.9989318521683403E-2"/>
        <bgColor indexed="9"/>
      </patternFill>
    </fill>
    <fill>
      <patternFill patternType="solid">
        <fgColor rgb="FFFFC000"/>
        <bgColor indexed="9"/>
      </patternFill>
    </fill>
    <fill>
      <patternFill patternType="solid">
        <fgColor indexed="65"/>
        <bgColor indexed="64"/>
      </patternFill>
    </fill>
    <fill>
      <patternFill patternType="gray125"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gray125"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4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2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37" fontId="3" fillId="16" borderId="1" applyBorder="0" applyProtection="0">
      <alignment vertical="center"/>
    </xf>
    <xf numFmtId="0" fontId="19" fillId="17" borderId="0" applyNumberFormat="0" applyBorder="0" applyAlignment="0" applyProtection="0"/>
    <xf numFmtId="5" fontId="4" fillId="0" borderId="2">
      <protection locked="0"/>
    </xf>
    <xf numFmtId="0" fontId="5" fillId="18" borderId="0" applyBorder="0">
      <alignment horizontal="left" vertical="center" indent="1"/>
    </xf>
    <xf numFmtId="0" fontId="20" fillId="4" borderId="3" applyNumberFormat="0" applyAlignment="0" applyProtection="0"/>
    <xf numFmtId="0" fontId="21" fillId="19" borderId="4" applyNumberFormat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6" fillId="0" borderId="5"/>
    <xf numFmtId="4" fontId="4" fillId="20" borderId="5">
      <protection locked="0"/>
    </xf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23" fillId="6" borderId="0" applyNumberFormat="0" applyBorder="0" applyAlignment="0" applyProtection="0"/>
    <xf numFmtId="4" fontId="4" fillId="21" borderId="5"/>
    <xf numFmtId="43" fontId="7" fillId="0" borderId="6"/>
    <xf numFmtId="37" fontId="8" fillId="22" borderId="2" applyBorder="0">
      <alignment horizontal="left" vertical="center" indent="1"/>
    </xf>
    <xf numFmtId="37" fontId="9" fillId="23" borderId="7" applyFill="0">
      <alignment vertical="center"/>
    </xf>
    <xf numFmtId="0" fontId="9" fillId="24" borderId="8" applyNumberFormat="0">
      <alignment horizontal="left" vertical="top" indent="1"/>
    </xf>
    <xf numFmtId="0" fontId="9" fillId="16" borderId="0" applyBorder="0">
      <alignment horizontal="left" vertical="center" indent="1"/>
    </xf>
    <xf numFmtId="0" fontId="9" fillId="0" borderId="8" applyNumberFormat="0" applyFill="0">
      <alignment horizontal="centerContinuous" vertical="top"/>
    </xf>
    <xf numFmtId="0" fontId="10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10" borderId="3" applyNumberFormat="0" applyAlignment="0" applyProtection="0"/>
    <xf numFmtId="43" fontId="7" fillId="0" borderId="10"/>
    <xf numFmtId="0" fontId="26" fillId="0" borderId="11" applyNumberFormat="0" applyFill="0" applyAlignment="0" applyProtection="0"/>
    <xf numFmtId="44" fontId="7" fillId="0" borderId="12"/>
    <xf numFmtId="0" fontId="27" fillId="7" borderId="0" applyNumberFormat="0" applyBorder="0" applyAlignment="0" applyProtection="0"/>
    <xf numFmtId="0" fontId="11" fillId="23" borderId="0">
      <alignment horizontal="left" wrapText="1" indent="1"/>
    </xf>
    <xf numFmtId="37" fontId="3" fillId="16" borderId="13" applyBorder="0">
      <alignment horizontal="left" vertical="center" indent="2"/>
    </xf>
    <xf numFmtId="0" fontId="12" fillId="0" borderId="0"/>
    <xf numFmtId="0" fontId="1" fillId="7" borderId="14" applyNumberFormat="0" applyFont="0" applyAlignment="0" applyProtection="0"/>
    <xf numFmtId="0" fontId="28" fillId="4" borderId="15" applyNumberFormat="0" applyAlignment="0" applyProtection="0"/>
    <xf numFmtId="169" fontId="13" fillId="25" borderId="16"/>
    <xf numFmtId="168" fontId="13" fillId="0" borderId="16" applyFont="0" applyFill="0" applyBorder="0" applyAlignment="0" applyProtection="0">
      <protection locked="0"/>
    </xf>
    <xf numFmtId="2" fontId="14" fillId="0" borderId="0">
      <protection locked="0"/>
    </xf>
    <xf numFmtId="0" fontId="1" fillId="26" borderId="0"/>
    <xf numFmtId="49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>
      <alignment horizontal="right"/>
    </xf>
    <xf numFmtId="0" fontId="16" fillId="0" borderId="0"/>
    <xf numFmtId="0" fontId="1" fillId="0" borderId="17" applyNumberFormat="0" applyFon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44" fontId="49" fillId="0" borderId="0" applyFont="0" applyFill="0" applyBorder="0" applyAlignment="0" applyProtection="0"/>
  </cellStyleXfs>
  <cellXfs count="912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7" fillId="0" borderId="0" xfId="0" applyFont="1" applyProtection="1"/>
    <xf numFmtId="0" fontId="1" fillId="16" borderId="10" xfId="0" applyFont="1" applyFill="1" applyBorder="1" applyAlignment="1" applyProtection="1">
      <alignment horizontal="left"/>
      <protection locked="0"/>
    </xf>
    <xf numFmtId="0" fontId="1" fillId="16" borderId="0" xfId="0" applyFont="1" applyFill="1" applyBorder="1" applyAlignment="1" applyProtection="1">
      <alignment horizontal="left"/>
      <protection locked="0"/>
    </xf>
    <xf numFmtId="0" fontId="1" fillId="0" borderId="0" xfId="0" applyFont="1" applyFill="1" applyProtection="1"/>
    <xf numFmtId="0" fontId="31" fillId="0" borderId="0" xfId="0" applyFont="1" applyProtection="1">
      <protection locked="0"/>
    </xf>
    <xf numFmtId="0" fontId="32" fillId="24" borderId="0" xfId="0" applyFont="1" applyFill="1" applyProtection="1">
      <protection locked="0"/>
    </xf>
    <xf numFmtId="0" fontId="2" fillId="24" borderId="0" xfId="0" applyFont="1" applyFill="1" applyProtection="1">
      <protection locked="0"/>
    </xf>
    <xf numFmtId="14" fontId="2" fillId="24" borderId="0" xfId="0" applyNumberFormat="1" applyFont="1" applyFill="1" applyBorder="1" applyAlignment="1" applyProtection="1">
      <alignment horizontal="centerContinuous"/>
      <protection locked="0"/>
    </xf>
    <xf numFmtId="0" fontId="2" fillId="24" borderId="0" xfId="0" applyFont="1" applyFill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34" fillId="0" borderId="0" xfId="0" applyFont="1" applyBorder="1" applyAlignment="1" applyProtection="1">
      <alignment vertical="center"/>
      <protection locked="0"/>
    </xf>
    <xf numFmtId="0" fontId="35" fillId="27" borderId="0" xfId="0" applyFont="1" applyFill="1" applyBorder="1" applyAlignment="1" applyProtection="1">
      <alignment horizontal="centerContinuous" vertical="center"/>
      <protection locked="0"/>
    </xf>
    <xf numFmtId="0" fontId="36" fillId="27" borderId="0" xfId="0" applyFont="1" applyFill="1" applyBorder="1" applyAlignment="1" applyProtection="1">
      <alignment horizontal="centerContinuous" vertical="center"/>
      <protection locked="0"/>
    </xf>
    <xf numFmtId="0" fontId="1" fillId="0" borderId="0" xfId="0" applyFont="1" applyProtection="1">
      <protection locked="0"/>
    </xf>
    <xf numFmtId="0" fontId="1" fillId="24" borderId="0" xfId="0" applyFont="1" applyFill="1" applyProtection="1">
      <protection locked="0"/>
    </xf>
    <xf numFmtId="0" fontId="31" fillId="24" borderId="0" xfId="0" applyFont="1" applyFill="1" applyAlignment="1" applyProtection="1">
      <alignment horizontal="left"/>
      <protection locked="0"/>
    </xf>
    <xf numFmtId="0" fontId="1" fillId="24" borderId="0" xfId="0" applyFont="1" applyFill="1" applyBorder="1" applyProtection="1">
      <protection locked="0"/>
    </xf>
    <xf numFmtId="0" fontId="31" fillId="24" borderId="0" xfId="0" applyFont="1" applyFill="1" applyBorder="1" applyAlignment="1" applyProtection="1">
      <alignment horizontal="right"/>
      <protection locked="0"/>
    </xf>
    <xf numFmtId="0" fontId="1" fillId="24" borderId="10" xfId="0" applyFont="1" applyFill="1" applyBorder="1" applyProtection="1">
      <protection locked="0"/>
    </xf>
    <xf numFmtId="0" fontId="31" fillId="24" borderId="0" xfId="0" applyFont="1" applyFill="1" applyBorder="1" applyAlignment="1" applyProtection="1">
      <alignment horizontal="left"/>
      <protection locked="0"/>
    </xf>
    <xf numFmtId="0" fontId="31" fillId="24" borderId="0" xfId="0" applyFont="1" applyFill="1" applyBorder="1" applyAlignment="1" applyProtection="1">
      <alignment horizontal="center"/>
      <protection locked="0"/>
    </xf>
    <xf numFmtId="14" fontId="1" fillId="0" borderId="0" xfId="0" applyNumberFormat="1" applyFont="1" applyBorder="1" applyProtection="1">
      <protection locked="0"/>
    </xf>
    <xf numFmtId="0" fontId="33" fillId="24" borderId="0" xfId="0" applyFont="1" applyFill="1" applyBorder="1" applyAlignment="1" applyProtection="1">
      <alignment horizontal="right"/>
      <protection locked="0"/>
    </xf>
    <xf numFmtId="0" fontId="37" fillId="24" borderId="0" xfId="0" applyFont="1" applyFill="1" applyAlignment="1" applyProtection="1">
      <alignment horizontal="left" vertical="center"/>
      <protection locked="0"/>
    </xf>
    <xf numFmtId="0" fontId="1" fillId="24" borderId="0" xfId="0" applyFont="1" applyFill="1" applyAlignment="1" applyProtection="1">
      <alignment horizontal="centerContinuous"/>
      <protection locked="0"/>
    </xf>
    <xf numFmtId="0" fontId="1" fillId="0" borderId="0" xfId="0" applyFont="1" applyBorder="1" applyAlignment="1" applyProtection="1">
      <alignment vertical="top"/>
      <protection locked="0"/>
    </xf>
    <xf numFmtId="0" fontId="1" fillId="0" borderId="0" xfId="0" applyFont="1" applyBorder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4" borderId="0" xfId="0" applyFont="1" applyFill="1" applyAlignment="1" applyProtection="1">
      <alignment horizontal="center"/>
      <protection locked="0"/>
    </xf>
    <xf numFmtId="0" fontId="7" fillId="24" borderId="0" xfId="0" applyFont="1" applyFill="1" applyAlignment="1" applyProtection="1">
      <alignment horizontal="centerContinuous"/>
      <protection locked="0"/>
    </xf>
    <xf numFmtId="0" fontId="31" fillId="0" borderId="0" xfId="0" applyFont="1" applyAlignment="1" applyProtection="1">
      <alignment horizontal="center"/>
      <protection locked="0"/>
    </xf>
    <xf numFmtId="0" fontId="31" fillId="24" borderId="0" xfId="0" applyFont="1" applyFill="1" applyAlignment="1" applyProtection="1">
      <alignment horizontal="center"/>
      <protection locked="0"/>
    </xf>
    <xf numFmtId="0" fontId="31" fillId="24" borderId="0" xfId="0" applyFont="1" applyFill="1" applyAlignment="1" applyProtection="1">
      <alignment horizontal="centerContinuous"/>
      <protection locked="0"/>
    </xf>
    <xf numFmtId="0" fontId="1" fillId="0" borderId="0" xfId="0" applyFont="1" applyFill="1" applyProtection="1">
      <protection locked="0"/>
    </xf>
    <xf numFmtId="0" fontId="1" fillId="0" borderId="0" xfId="0" applyFont="1" applyFill="1" applyBorder="1" applyProtection="1">
      <protection locked="0"/>
    </xf>
    <xf numFmtId="0" fontId="38" fillId="0" borderId="0" xfId="0" applyFont="1" applyFill="1" applyBorder="1" applyAlignment="1" applyProtection="1">
      <alignment horizontal="center"/>
      <protection locked="0"/>
    </xf>
    <xf numFmtId="0" fontId="39" fillId="0" borderId="0" xfId="0" applyFont="1" applyFill="1" applyProtection="1">
      <protection locked="0"/>
    </xf>
    <xf numFmtId="171" fontId="38" fillId="0" borderId="0" xfId="0" applyNumberFormat="1" applyFont="1" applyFill="1" applyBorder="1" applyProtection="1">
      <protection locked="0"/>
    </xf>
    <xf numFmtId="0" fontId="39" fillId="0" borderId="0" xfId="0" applyFont="1" applyFill="1" applyBorder="1" applyProtection="1">
      <protection locked="0"/>
    </xf>
    <xf numFmtId="0" fontId="7" fillId="24" borderId="0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7" fillId="24" borderId="0" xfId="0" applyFont="1" applyFill="1" applyAlignment="1" applyProtection="1">
      <alignment horizontal="right"/>
      <protection locked="0"/>
    </xf>
    <xf numFmtId="0" fontId="7" fillId="24" borderId="18" xfId="0" applyFont="1" applyFill="1" applyBorder="1" applyProtection="1">
      <protection locked="0"/>
    </xf>
    <xf numFmtId="0" fontId="7" fillId="0" borderId="18" xfId="0" applyFont="1" applyBorder="1" applyProtection="1">
      <protection locked="0"/>
    </xf>
    <xf numFmtId="0" fontId="7" fillId="24" borderId="0" xfId="0" applyFont="1" applyFill="1" applyProtection="1">
      <protection locked="0"/>
    </xf>
    <xf numFmtId="0" fontId="7" fillId="24" borderId="18" xfId="0" applyFont="1" applyFill="1" applyBorder="1" applyAlignment="1" applyProtection="1">
      <alignment horizontal="centerContinuous"/>
      <protection locked="0"/>
    </xf>
    <xf numFmtId="0" fontId="1" fillId="0" borderId="21" xfId="0" applyFont="1" applyBorder="1" applyProtection="1">
      <protection locked="0"/>
    </xf>
    <xf numFmtId="42" fontId="31" fillId="24" borderId="0" xfId="0" applyNumberFormat="1" applyFont="1" applyFill="1" applyAlignment="1" applyProtection="1">
      <alignment horizontal="center"/>
      <protection locked="0"/>
    </xf>
    <xf numFmtId="42" fontId="1" fillId="24" borderId="0" xfId="0" applyNumberFormat="1" applyFont="1" applyFill="1" applyBorder="1" applyProtection="1">
      <protection locked="0"/>
    </xf>
    <xf numFmtId="42" fontId="1" fillId="24" borderId="0" xfId="0" applyNumberFormat="1" applyFont="1" applyFill="1" applyProtection="1">
      <protection locked="0"/>
    </xf>
    <xf numFmtId="0" fontId="1" fillId="24" borderId="0" xfId="0" applyNumberFormat="1" applyFont="1" applyFill="1" applyBorder="1" applyProtection="1">
      <protection locked="0"/>
    </xf>
    <xf numFmtId="0" fontId="1" fillId="24" borderId="0" xfId="0" applyNumberFormat="1" applyFont="1" applyFill="1" applyProtection="1">
      <protection locked="0"/>
    </xf>
    <xf numFmtId="0" fontId="7" fillId="24" borderId="0" xfId="0" applyFont="1" applyFill="1" applyAlignment="1" applyProtection="1">
      <alignment horizontal="center"/>
    </xf>
    <xf numFmtId="0" fontId="1" fillId="0" borderId="6" xfId="0" applyFont="1" applyFill="1" applyBorder="1" applyProtection="1"/>
    <xf numFmtId="0" fontId="1" fillId="0" borderId="0" xfId="0" applyFont="1" applyFill="1" applyBorder="1" applyProtection="1"/>
    <xf numFmtId="0" fontId="7" fillId="24" borderId="0" xfId="0" applyFont="1" applyFill="1" applyAlignment="1" applyProtection="1">
      <alignment horizontal="centerContinuous"/>
    </xf>
    <xf numFmtId="0" fontId="39" fillId="0" borderId="6" xfId="0" applyFont="1" applyFill="1" applyBorder="1" applyProtection="1"/>
    <xf numFmtId="0" fontId="39" fillId="0" borderId="0" xfId="0" applyFont="1" applyFill="1" applyBorder="1" applyProtection="1"/>
    <xf numFmtId="0" fontId="7" fillId="0" borderId="25" xfId="0" applyFont="1" applyBorder="1" applyProtection="1"/>
    <xf numFmtId="0" fontId="7" fillId="24" borderId="0" xfId="0" applyFont="1" applyFill="1" applyBorder="1" applyAlignment="1" applyProtection="1">
      <alignment horizontal="center"/>
    </xf>
    <xf numFmtId="0" fontId="7" fillId="24" borderId="0" xfId="0" applyFont="1" applyFill="1" applyBorder="1" applyAlignment="1" applyProtection="1">
      <alignment horizontal="left"/>
    </xf>
    <xf numFmtId="0" fontId="7" fillId="24" borderId="0" xfId="0" applyFont="1" applyFill="1" applyBorder="1" applyProtection="1"/>
    <xf numFmtId="0" fontId="7" fillId="24" borderId="0" xfId="0" applyFont="1" applyFill="1" applyAlignment="1" applyProtection="1">
      <alignment horizontal="right"/>
    </xf>
    <xf numFmtId="0" fontId="7" fillId="24" borderId="0" xfId="0" applyFont="1" applyFill="1" applyBorder="1" applyAlignment="1" applyProtection="1">
      <alignment horizontal="right"/>
    </xf>
    <xf numFmtId="170" fontId="7" fillId="24" borderId="0" xfId="0" applyNumberFormat="1" applyFont="1" applyFill="1" applyBorder="1" applyAlignment="1" applyProtection="1">
      <alignment horizontal="right"/>
    </xf>
    <xf numFmtId="0" fontId="32" fillId="24" borderId="0" xfId="0" applyFont="1" applyFill="1" applyProtection="1"/>
    <xf numFmtId="0" fontId="1" fillId="24" borderId="0" xfId="0" applyFont="1" applyFill="1" applyBorder="1" applyAlignment="1" applyProtection="1">
      <alignment horizontal="center"/>
      <protection locked="0"/>
    </xf>
    <xf numFmtId="0" fontId="1" fillId="16" borderId="0" xfId="0" applyFont="1" applyFill="1" applyBorder="1" applyAlignment="1" applyProtection="1">
      <alignment horizontal="center"/>
      <protection locked="0"/>
    </xf>
    <xf numFmtId="0" fontId="1" fillId="24" borderId="0" xfId="0" applyFont="1" applyFill="1" applyAlignment="1" applyProtection="1">
      <alignment horizontal="center"/>
      <protection locked="0"/>
    </xf>
    <xf numFmtId="0" fontId="31" fillId="16" borderId="0" xfId="0" applyFont="1" applyFill="1" applyBorder="1" applyAlignment="1" applyProtection="1">
      <alignment horizontal="left"/>
    </xf>
    <xf numFmtId="0" fontId="31" fillId="24" borderId="0" xfId="0" applyFont="1" applyFill="1" applyBorder="1" applyAlignment="1" applyProtection="1">
      <alignment horizontal="left"/>
    </xf>
    <xf numFmtId="14" fontId="31" fillId="0" borderId="0" xfId="0" applyNumberFormat="1" applyFont="1" applyBorder="1" applyProtection="1"/>
    <xf numFmtId="0" fontId="1" fillId="0" borderId="0" xfId="0" applyFont="1" applyBorder="1" applyProtection="1">
      <protection locked="0"/>
    </xf>
    <xf numFmtId="0" fontId="1" fillId="24" borderId="22" xfId="0" applyFont="1" applyFill="1" applyBorder="1" applyProtection="1">
      <protection locked="0"/>
    </xf>
    <xf numFmtId="0" fontId="7" fillId="0" borderId="0" xfId="0" applyFont="1" applyBorder="1" applyAlignment="1" applyProtection="1">
      <alignment horizontal="center"/>
    </xf>
    <xf numFmtId="0" fontId="1" fillId="24" borderId="8" xfId="0" applyFont="1" applyFill="1" applyBorder="1" applyProtection="1">
      <protection locked="0"/>
    </xf>
    <xf numFmtId="0" fontId="13" fillId="0" borderId="0" xfId="0" applyFont="1" applyProtection="1">
      <protection locked="0"/>
    </xf>
    <xf numFmtId="0" fontId="13" fillId="0" borderId="25" xfId="0" applyFont="1" applyBorder="1" applyProtection="1">
      <protection locked="0"/>
    </xf>
    <xf numFmtId="0" fontId="31" fillId="29" borderId="28" xfId="0" applyFont="1" applyFill="1" applyBorder="1" applyAlignment="1" applyProtection="1">
      <alignment horizontal="center" vertical="center"/>
    </xf>
    <xf numFmtId="0" fontId="41" fillId="0" borderId="0" xfId="0" applyFont="1" applyBorder="1" applyAlignment="1" applyProtection="1">
      <alignment vertical="top" wrapText="1"/>
      <protection locked="0"/>
    </xf>
    <xf numFmtId="0" fontId="7" fillId="24" borderId="0" xfId="0" applyFont="1" applyFill="1" applyBorder="1" applyAlignment="1" applyProtection="1">
      <alignment horizontal="centerContinuous"/>
      <protection locked="0"/>
    </xf>
    <xf numFmtId="0" fontId="0" fillId="0" borderId="0" xfId="0" applyBorder="1" applyProtection="1">
      <protection locked="0"/>
    </xf>
    <xf numFmtId="0" fontId="1" fillId="24" borderId="0" xfId="0" applyFont="1" applyFill="1" applyBorder="1" applyAlignment="1" applyProtection="1">
      <alignment horizontal="centerContinuous"/>
      <protection locked="0"/>
    </xf>
    <xf numFmtId="0" fontId="0" fillId="0" borderId="0" xfId="0" applyFill="1" applyBorder="1" applyProtection="1">
      <protection locked="0"/>
    </xf>
    <xf numFmtId="14" fontId="2" fillId="0" borderId="0" xfId="0" applyNumberFormat="1" applyFont="1" applyFill="1" applyBorder="1" applyAlignment="1" applyProtection="1">
      <alignment horizontal="centerContinuous"/>
      <protection locked="0"/>
    </xf>
    <xf numFmtId="0" fontId="36" fillId="0" borderId="0" xfId="0" applyFont="1" applyFill="1" applyBorder="1" applyAlignment="1" applyProtection="1">
      <alignment horizontal="centerContinuous" vertical="center"/>
    </xf>
    <xf numFmtId="0" fontId="1" fillId="0" borderId="0" xfId="0" applyFont="1" applyFill="1" applyBorder="1" applyAlignment="1" applyProtection="1">
      <alignment horizontal="centerContinuous"/>
      <protection locked="0"/>
    </xf>
    <xf numFmtId="0" fontId="31" fillId="0" borderId="0" xfId="0" applyFont="1" applyFill="1" applyBorder="1" applyAlignment="1" applyProtection="1">
      <alignment horizontal="right"/>
      <protection locked="0"/>
    </xf>
    <xf numFmtId="0" fontId="41" fillId="0" borderId="0" xfId="0" applyFont="1" applyFill="1" applyBorder="1" applyAlignment="1" applyProtection="1">
      <alignment vertical="top" wrapText="1"/>
      <protection locked="0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42" fontId="31" fillId="0" borderId="0" xfId="0" applyNumberFormat="1" applyFont="1" applyFill="1" applyBorder="1" applyAlignment="1" applyProtection="1">
      <alignment horizontal="center"/>
      <protection locked="0"/>
    </xf>
    <xf numFmtId="42" fontId="1" fillId="0" borderId="0" xfId="0" applyNumberFormat="1" applyFont="1" applyFill="1" applyBorder="1" applyProtection="1">
      <protection locked="0"/>
    </xf>
    <xf numFmtId="0" fontId="1" fillId="0" borderId="0" xfId="0" applyNumberFormat="1" applyFont="1" applyFill="1" applyBorder="1" applyProtection="1">
      <protection locked="0"/>
    </xf>
    <xf numFmtId="42" fontId="39" fillId="0" borderId="0" xfId="0" applyNumberFormat="1" applyFont="1" applyFill="1" applyBorder="1" applyProtection="1"/>
    <xf numFmtId="0" fontId="7" fillId="0" borderId="0" xfId="0" applyFont="1" applyFill="1" applyBorder="1" applyProtection="1"/>
    <xf numFmtId="0" fontId="31" fillId="0" borderId="0" xfId="0" applyFont="1" applyFill="1" applyBorder="1" applyAlignment="1" applyProtection="1">
      <protection locked="0"/>
    </xf>
    <xf numFmtId="0" fontId="7" fillId="0" borderId="0" xfId="0" applyFont="1" applyFill="1" applyBorder="1" applyProtection="1">
      <protection locked="0"/>
    </xf>
    <xf numFmtId="0" fontId="7" fillId="0" borderId="0" xfId="0" applyFont="1" applyFill="1" applyBorder="1" applyAlignment="1" applyProtection="1">
      <alignment horizontal="centerContinuous"/>
      <protection locked="0"/>
    </xf>
    <xf numFmtId="0" fontId="1" fillId="0" borderId="18" xfId="0" applyFont="1" applyBorder="1" applyProtection="1"/>
    <xf numFmtId="0" fontId="1" fillId="0" borderId="13" xfId="0" applyFont="1" applyBorder="1" applyProtection="1"/>
    <xf numFmtId="0" fontId="31" fillId="0" borderId="18" xfId="0" applyFont="1" applyBorder="1" applyProtection="1"/>
    <xf numFmtId="0" fontId="31" fillId="0" borderId="13" xfId="0" applyFont="1" applyBorder="1" applyProtection="1"/>
    <xf numFmtId="0" fontId="7" fillId="0" borderId="0" xfId="0" applyFont="1" applyAlignment="1" applyProtection="1">
      <alignment horizontal="centerContinuous"/>
      <protection locked="0"/>
    </xf>
    <xf numFmtId="0" fontId="31" fillId="29" borderId="28" xfId="0" applyFont="1" applyFill="1" applyBorder="1" applyAlignment="1" applyProtection="1">
      <alignment horizontal="center" vertical="center"/>
      <protection locked="0"/>
    </xf>
    <xf numFmtId="42" fontId="1" fillId="0" borderId="10" xfId="0" applyNumberFormat="1" applyFont="1" applyBorder="1" applyProtection="1">
      <protection locked="0"/>
    </xf>
    <xf numFmtId="0" fontId="38" fillId="0" borderId="0" xfId="0" applyNumberFormat="1" applyFont="1" applyFill="1" applyBorder="1" applyAlignment="1" applyProtection="1">
      <alignment horizontal="center"/>
      <protection locked="0"/>
    </xf>
    <xf numFmtId="42" fontId="39" fillId="0" borderId="0" xfId="0" applyNumberFormat="1" applyFont="1" applyFill="1" applyProtection="1">
      <protection locked="0"/>
    </xf>
    <xf numFmtId="0" fontId="42" fillId="24" borderId="0" xfId="0" applyFont="1" applyFill="1" applyBorder="1" applyAlignment="1" applyProtection="1">
      <alignment horizontal="right"/>
      <protection locked="0"/>
    </xf>
    <xf numFmtId="0" fontId="42" fillId="24" borderId="0" xfId="0" applyFont="1" applyFill="1" applyAlignment="1" applyProtection="1">
      <alignment horizontal="right"/>
      <protection locked="0"/>
    </xf>
    <xf numFmtId="170" fontId="42" fillId="24" borderId="0" xfId="0" applyNumberFormat="1" applyFont="1" applyFill="1" applyBorder="1" applyAlignment="1" applyProtection="1">
      <alignment horizontal="right"/>
      <protection locked="0"/>
    </xf>
    <xf numFmtId="42" fontId="31" fillId="24" borderId="0" xfId="0" applyNumberFormat="1" applyFont="1" applyFill="1" applyBorder="1" applyAlignment="1" applyProtection="1">
      <alignment horizontal="centerContinuous"/>
      <protection locked="0"/>
    </xf>
    <xf numFmtId="42" fontId="31" fillId="24" borderId="0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</xf>
    <xf numFmtId="42" fontId="43" fillId="0" borderId="21" xfId="0" applyNumberFormat="1" applyFont="1" applyFill="1" applyBorder="1" applyAlignment="1" applyProtection="1">
      <alignment horizontal="centerContinuous"/>
      <protection locked="0"/>
    </xf>
    <xf numFmtId="0" fontId="13" fillId="0" borderId="22" xfId="0" applyFont="1" applyFill="1" applyBorder="1" applyProtection="1">
      <protection locked="0"/>
    </xf>
    <xf numFmtId="0" fontId="7" fillId="24" borderId="0" xfId="0" applyFont="1" applyFill="1" applyAlignment="1" applyProtection="1">
      <alignment horizontal="left"/>
      <protection locked="0"/>
    </xf>
    <xf numFmtId="0" fontId="7" fillId="0" borderId="0" xfId="0" applyFont="1" applyBorder="1" applyAlignment="1" applyProtection="1">
      <protection locked="0"/>
    </xf>
    <xf numFmtId="0" fontId="7" fillId="24" borderId="0" xfId="0" applyFont="1" applyFill="1" applyBorder="1" applyAlignment="1" applyProtection="1">
      <alignment horizontal="right"/>
      <protection locked="0"/>
    </xf>
    <xf numFmtId="0" fontId="41" fillId="0" borderId="0" xfId="0" applyFont="1" applyProtection="1">
      <protection locked="0"/>
    </xf>
    <xf numFmtId="0" fontId="41" fillId="0" borderId="0" xfId="0" applyFont="1" applyBorder="1" applyProtection="1">
      <protection locked="0"/>
    </xf>
    <xf numFmtId="0" fontId="7" fillId="0" borderId="0" xfId="0" applyFont="1" applyFill="1" applyBorder="1" applyAlignment="1" applyProtection="1">
      <alignment horizontal="right"/>
      <protection locked="0"/>
    </xf>
    <xf numFmtId="0" fontId="41" fillId="24" borderId="10" xfId="0" applyFont="1" applyFill="1" applyBorder="1" applyProtection="1">
      <protection locked="0"/>
    </xf>
    <xf numFmtId="0" fontId="41" fillId="16" borderId="10" xfId="0" applyFont="1" applyFill="1" applyBorder="1" applyAlignment="1" applyProtection="1">
      <alignment horizontal="left"/>
      <protection locked="0"/>
    </xf>
    <xf numFmtId="0" fontId="41" fillId="24" borderId="0" xfId="0" applyFont="1" applyFill="1" applyBorder="1" applyProtection="1">
      <protection locked="0"/>
    </xf>
    <xf numFmtId="0" fontId="41" fillId="0" borderId="0" xfId="0" applyFont="1" applyFill="1" applyBorder="1" applyProtection="1">
      <protection locked="0"/>
    </xf>
    <xf numFmtId="0" fontId="7" fillId="24" borderId="0" xfId="0" applyFont="1" applyFill="1" applyBorder="1" applyAlignment="1" applyProtection="1">
      <alignment horizontal="left"/>
      <protection locked="0"/>
    </xf>
    <xf numFmtId="0" fontId="7" fillId="16" borderId="0" xfId="0" applyFont="1" applyFill="1" applyBorder="1" applyAlignment="1" applyProtection="1">
      <alignment horizontal="left"/>
      <protection locked="0"/>
    </xf>
    <xf numFmtId="0" fontId="7" fillId="24" borderId="0" xfId="0" applyFont="1" applyFill="1" applyBorder="1" applyAlignment="1" applyProtection="1">
      <alignment horizontal="center"/>
      <protection locked="0"/>
    </xf>
    <xf numFmtId="0" fontId="41" fillId="16" borderId="0" xfId="0" applyFont="1" applyFill="1" applyBorder="1" applyAlignment="1" applyProtection="1">
      <alignment horizontal="left"/>
      <protection locked="0"/>
    </xf>
    <xf numFmtId="0" fontId="41" fillId="24" borderId="0" xfId="0" applyFont="1" applyFill="1" applyProtection="1">
      <protection locked="0"/>
    </xf>
    <xf numFmtId="0" fontId="41" fillId="0" borderId="18" xfId="0" applyFont="1" applyBorder="1" applyProtection="1">
      <protection locked="0"/>
    </xf>
    <xf numFmtId="0" fontId="35" fillId="30" borderId="0" xfId="0" applyFont="1" applyFill="1" applyBorder="1" applyAlignment="1" applyProtection="1">
      <alignment horizontal="centerContinuous" vertical="center"/>
    </xf>
    <xf numFmtId="0" fontId="36" fillId="30" borderId="0" xfId="0" applyFont="1" applyFill="1" applyBorder="1" applyAlignment="1" applyProtection="1">
      <alignment horizontal="centerContinuous" vertical="center"/>
    </xf>
    <xf numFmtId="0" fontId="7" fillId="24" borderId="0" xfId="0" applyFont="1" applyFill="1" applyAlignment="1" applyProtection="1">
      <alignment horizontal="center" wrapText="1"/>
    </xf>
    <xf numFmtId="0" fontId="7" fillId="24" borderId="26" xfId="0" applyFont="1" applyFill="1" applyBorder="1" applyAlignment="1" applyProtection="1">
      <alignment horizontal="center" wrapText="1"/>
    </xf>
    <xf numFmtId="0" fontId="7" fillId="24" borderId="0" xfId="0" applyFont="1" applyFill="1" applyBorder="1" applyAlignment="1" applyProtection="1">
      <alignment horizontal="center" wrapText="1"/>
    </xf>
    <xf numFmtId="42" fontId="38" fillId="0" borderId="0" xfId="0" applyNumberFormat="1" applyFont="1" applyFill="1" applyBorder="1" applyProtection="1"/>
    <xf numFmtId="0" fontId="1" fillId="0" borderId="8" xfId="0" applyFont="1" applyFill="1" applyBorder="1" applyProtection="1">
      <protection locked="0"/>
    </xf>
    <xf numFmtId="14" fontId="31" fillId="0" borderId="0" xfId="0" applyNumberFormat="1" applyFont="1" applyFill="1" applyBorder="1" applyAlignment="1" applyProtection="1">
      <alignment horizontal="center"/>
      <protection locked="0"/>
    </xf>
    <xf numFmtId="0" fontId="31" fillId="24" borderId="0" xfId="0" applyFont="1" applyFill="1" applyProtection="1">
      <protection locked="0"/>
    </xf>
    <xf numFmtId="0" fontId="31" fillId="0" borderId="0" xfId="0" applyFont="1" applyFill="1" applyProtection="1">
      <protection locked="0"/>
    </xf>
    <xf numFmtId="42" fontId="44" fillId="0" borderId="8" xfId="0" applyNumberFormat="1" applyFont="1" applyFill="1" applyBorder="1" applyAlignment="1" applyProtection="1">
      <alignment horizontal="centerContinuous"/>
      <protection locked="0"/>
    </xf>
    <xf numFmtId="0" fontId="45" fillId="28" borderId="28" xfId="0" applyNumberFormat="1" applyFont="1" applyFill="1" applyBorder="1" applyAlignment="1" applyProtection="1">
      <alignment horizontal="center"/>
    </xf>
    <xf numFmtId="42" fontId="46" fillId="28" borderId="7" xfId="0" applyNumberFormat="1" applyFont="1" applyFill="1" applyBorder="1" applyProtection="1"/>
    <xf numFmtId="0" fontId="47" fillId="0" borderId="0" xfId="0" applyFont="1" applyProtection="1">
      <protection locked="0"/>
    </xf>
    <xf numFmtId="42" fontId="47" fillId="0" borderId="0" xfId="0" applyNumberFormat="1" applyFont="1" applyFill="1" applyBorder="1" applyProtection="1">
      <protection locked="0"/>
    </xf>
    <xf numFmtId="0" fontId="0" fillId="0" borderId="0" xfId="0" applyAlignment="1" applyProtection="1"/>
    <xf numFmtId="0" fontId="50" fillId="0" borderId="0" xfId="0" applyFont="1" applyAlignment="1" applyProtection="1"/>
    <xf numFmtId="0" fontId="50" fillId="0" borderId="0" xfId="0" applyFont="1" applyAlignment="1" applyProtection="1">
      <alignment horizontal="center"/>
    </xf>
    <xf numFmtId="0" fontId="58" fillId="0" borderId="28" xfId="0" applyFont="1" applyBorder="1" applyAlignment="1" applyProtection="1">
      <alignment horizontal="center" vertical="center"/>
    </xf>
    <xf numFmtId="0" fontId="65" fillId="0" borderId="0" xfId="0" applyFont="1" applyAlignment="1" applyProtection="1">
      <alignment horizontal="center"/>
    </xf>
    <xf numFmtId="0" fontId="53" fillId="0" borderId="52" xfId="0" applyFont="1" applyBorder="1" applyAlignment="1" applyProtection="1"/>
    <xf numFmtId="0" fontId="53" fillId="0" borderId="49" xfId="0" applyFont="1" applyBorder="1" applyAlignment="1" applyProtection="1"/>
    <xf numFmtId="0" fontId="53" fillId="0" borderId="50" xfId="0" applyFont="1" applyBorder="1" applyAlignment="1" applyProtection="1">
      <alignment horizontal="center"/>
    </xf>
    <xf numFmtId="0" fontId="53" fillId="0" borderId="10" xfId="0" applyFont="1" applyBorder="1" applyAlignment="1" applyProtection="1"/>
    <xf numFmtId="0" fontId="53" fillId="0" borderId="1" xfId="0" applyFont="1" applyBorder="1" applyAlignment="1" applyProtection="1">
      <alignment horizontal="center"/>
    </xf>
    <xf numFmtId="0" fontId="53" fillId="0" borderId="42" xfId="0" applyFont="1" applyBorder="1" applyAlignment="1" applyProtection="1">
      <alignment horizontal="center"/>
    </xf>
    <xf numFmtId="0" fontId="53" fillId="0" borderId="34" xfId="0" applyFont="1" applyBorder="1" applyAlignment="1" applyProtection="1">
      <alignment horizontal="center"/>
    </xf>
    <xf numFmtId="0" fontId="53" fillId="0" borderId="13" xfId="0" applyFont="1" applyBorder="1" applyAlignment="1" applyProtection="1">
      <alignment horizontal="center"/>
    </xf>
    <xf numFmtId="0" fontId="53" fillId="0" borderId="13" xfId="0" applyFont="1" applyBorder="1" applyAlignment="1" applyProtection="1"/>
    <xf numFmtId="0" fontId="53" fillId="0" borderId="34" xfId="0" applyFont="1" applyBorder="1" applyAlignment="1" applyProtection="1"/>
    <xf numFmtId="0" fontId="53" fillId="0" borderId="18" xfId="0" applyFont="1" applyBorder="1" applyAlignment="1" applyProtection="1"/>
    <xf numFmtId="0" fontId="53" fillId="0" borderId="18" xfId="0" applyFont="1" applyBorder="1" applyAlignment="1" applyProtection="1">
      <alignment horizontal="center"/>
    </xf>
    <xf numFmtId="49" fontId="64" fillId="0" borderId="23" xfId="0" applyNumberFormat="1" applyFont="1" applyBorder="1" applyAlignment="1" applyProtection="1">
      <alignment horizontal="center" vertical="center"/>
      <protection locked="0"/>
    </xf>
    <xf numFmtId="49" fontId="64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/>
    <xf numFmtId="0" fontId="69" fillId="0" borderId="0" xfId="0" applyFont="1" applyAlignment="1" applyProtection="1"/>
    <xf numFmtId="0" fontId="58" fillId="0" borderId="28" xfId="0" applyFont="1" applyBorder="1" applyAlignment="1" applyProtection="1">
      <alignment horizontal="left" vertical="center"/>
    </xf>
    <xf numFmtId="0" fontId="58" fillId="0" borderId="7" xfId="0" applyFont="1" applyBorder="1" applyAlignment="1" applyProtection="1">
      <alignment horizontal="left" vertical="center"/>
    </xf>
    <xf numFmtId="0" fontId="58" fillId="0" borderId="29" xfId="0" applyFont="1" applyBorder="1" applyAlignment="1" applyProtection="1">
      <alignment horizontal="left" vertical="center"/>
    </xf>
    <xf numFmtId="0" fontId="58" fillId="0" borderId="7" xfId="0" applyFont="1" applyBorder="1" applyAlignment="1" applyProtection="1">
      <alignment horizontal="center" vertical="center"/>
    </xf>
    <xf numFmtId="0" fontId="53" fillId="0" borderId="48" xfId="0" applyFont="1" applyBorder="1" applyAlignment="1" applyProtection="1">
      <alignment horizontal="center"/>
    </xf>
    <xf numFmtId="0" fontId="53" fillId="0" borderId="51" xfId="0" applyFont="1" applyBorder="1" applyAlignment="1" applyProtection="1">
      <alignment horizontal="center"/>
    </xf>
    <xf numFmtId="0" fontId="53" fillId="0" borderId="50" xfId="0" applyFont="1" applyBorder="1" applyAlignment="1" applyProtection="1"/>
    <xf numFmtId="0" fontId="53" fillId="0" borderId="52" xfId="0" applyFont="1" applyBorder="1" applyAlignment="1" applyProtection="1">
      <alignment horizontal="center"/>
    </xf>
    <xf numFmtId="0" fontId="2" fillId="0" borderId="13" xfId="0" applyFont="1" applyFill="1" applyBorder="1" applyAlignment="1" applyProtection="1">
      <alignment horizontal="left" vertical="center"/>
    </xf>
    <xf numFmtId="0" fontId="13" fillId="0" borderId="34" xfId="0" applyFont="1" applyFill="1" applyBorder="1" applyAlignment="1" applyProtection="1">
      <alignment vertical="center"/>
    </xf>
    <xf numFmtId="0" fontId="2" fillId="0" borderId="34" xfId="0" applyFont="1" applyFill="1" applyBorder="1" applyAlignment="1" applyProtection="1">
      <alignment horizontal="left" vertical="center"/>
    </xf>
    <xf numFmtId="0" fontId="32" fillId="0" borderId="28" xfId="0" applyFont="1" applyBorder="1" applyAlignment="1" applyProtection="1">
      <alignment horizontal="center"/>
    </xf>
    <xf numFmtId="0" fontId="32" fillId="0" borderId="7" xfId="0" applyFont="1" applyBorder="1" applyAlignment="1" applyProtection="1">
      <alignment horizontal="center"/>
    </xf>
    <xf numFmtId="0" fontId="51" fillId="0" borderId="0" xfId="0" applyFont="1" applyAlignment="1" applyProtection="1"/>
    <xf numFmtId="0" fontId="65" fillId="0" borderId="0" xfId="0" applyFont="1" applyAlignment="1" applyProtection="1"/>
    <xf numFmtId="0" fontId="2" fillId="0" borderId="31" xfId="0" applyFont="1" applyFill="1" applyBorder="1" applyAlignment="1" applyProtection="1">
      <alignment horizontal="left" vertical="center"/>
    </xf>
    <xf numFmtId="0" fontId="13" fillId="0" borderId="33" xfId="0" applyFont="1" applyFill="1" applyBorder="1" applyAlignment="1" applyProtection="1">
      <alignment vertical="center"/>
    </xf>
    <xf numFmtId="0" fontId="50" fillId="0" borderId="0" xfId="0" applyFont="1" applyBorder="1" applyAlignment="1" applyProtection="1">
      <alignment horizontal="center"/>
    </xf>
    <xf numFmtId="0" fontId="32" fillId="0" borderId="28" xfId="0" applyFont="1" applyFill="1" applyBorder="1" applyAlignment="1" applyProtection="1">
      <alignment horizontal="center" vertical="center"/>
    </xf>
    <xf numFmtId="0" fontId="32" fillId="0" borderId="7" xfId="0" applyFont="1" applyFill="1" applyBorder="1" applyAlignment="1" applyProtection="1">
      <alignment horizontal="center" vertical="center"/>
    </xf>
    <xf numFmtId="0" fontId="32" fillId="0" borderId="29" xfId="0" applyFont="1" applyFill="1" applyBorder="1" applyAlignment="1" applyProtection="1">
      <alignment horizontal="center" vertical="center"/>
    </xf>
    <xf numFmtId="0" fontId="52" fillId="0" borderId="32" xfId="0" applyFont="1" applyBorder="1" applyAlignment="1" applyProtection="1">
      <alignment horizontal="left" vertical="top"/>
    </xf>
    <xf numFmtId="0" fontId="52" fillId="0" borderId="30" xfId="0" applyFont="1" applyBorder="1" applyAlignment="1" applyProtection="1">
      <alignment horizontal="left" vertical="top"/>
    </xf>
    <xf numFmtId="0" fontId="54" fillId="0" borderId="31" xfId="0" applyFont="1" applyBorder="1" applyAlignment="1" applyProtection="1">
      <alignment horizontal="left" vertical="center"/>
    </xf>
    <xf numFmtId="0" fontId="52" fillId="0" borderId="1" xfId="0" applyFont="1" applyBorder="1" applyAlignment="1" applyProtection="1">
      <alignment horizontal="left" vertical="top"/>
    </xf>
    <xf numFmtId="0" fontId="52" fillId="0" borderId="27" xfId="0" applyFont="1" applyBorder="1" applyAlignment="1" applyProtection="1">
      <alignment horizontal="left" vertical="top"/>
    </xf>
    <xf numFmtId="0" fontId="54" fillId="0" borderId="13" xfId="0" applyFont="1" applyBorder="1" applyAlignment="1" applyProtection="1">
      <alignment horizontal="left" vertical="center"/>
    </xf>
    <xf numFmtId="0" fontId="52" fillId="0" borderId="41" xfId="0" applyFont="1" applyBorder="1" applyAlignment="1" applyProtection="1">
      <alignment horizontal="left" vertical="top"/>
    </xf>
    <xf numFmtId="0" fontId="52" fillId="0" borderId="22" xfId="0" applyFont="1" applyBorder="1" applyAlignment="1" applyProtection="1">
      <alignment horizontal="left" vertical="top"/>
    </xf>
    <xf numFmtId="0" fontId="54" fillId="0" borderId="8" xfId="0" applyFont="1" applyBorder="1" applyAlignment="1" applyProtection="1">
      <alignment horizontal="left" vertical="center"/>
    </xf>
    <xf numFmtId="0" fontId="54" fillId="0" borderId="39" xfId="0" applyFont="1" applyBorder="1" applyAlignment="1" applyProtection="1">
      <alignment horizontal="left" vertical="center"/>
    </xf>
    <xf numFmtId="0" fontId="52" fillId="0" borderId="37" xfId="0" applyFont="1" applyBorder="1" applyAlignment="1" applyProtection="1">
      <alignment horizontal="left" vertical="top"/>
    </xf>
    <xf numFmtId="0" fontId="52" fillId="0" borderId="7" xfId="0" applyFont="1" applyBorder="1" applyAlignment="1" applyProtection="1">
      <alignment horizontal="left" vertical="top"/>
    </xf>
    <xf numFmtId="0" fontId="31" fillId="0" borderId="28" xfId="0" applyFont="1" applyBorder="1" applyAlignment="1" applyProtection="1">
      <alignment horizontal="left" vertical="center"/>
    </xf>
    <xf numFmtId="0" fontId="31" fillId="0" borderId="7" xfId="0" applyFont="1" applyBorder="1" applyAlignment="1" applyProtection="1">
      <alignment horizontal="left" vertical="center"/>
    </xf>
    <xf numFmtId="0" fontId="31" fillId="0" borderId="36" xfId="0" applyFont="1" applyBorder="1" applyAlignment="1" applyProtection="1">
      <alignment horizontal="left" vertical="center"/>
    </xf>
    <xf numFmtId="0" fontId="31" fillId="31" borderId="32" xfId="0" applyFont="1" applyFill="1" applyBorder="1" applyAlignment="1" applyProtection="1">
      <alignment horizontal="center" vertical="center"/>
    </xf>
    <xf numFmtId="0" fontId="52" fillId="0" borderId="32" xfId="0" applyFont="1" applyFill="1" applyBorder="1" applyAlignment="1" applyProtection="1">
      <alignment horizontal="left" vertical="top"/>
    </xf>
    <xf numFmtId="0" fontId="52" fillId="1" borderId="6" xfId="0" applyFont="1" applyFill="1" applyBorder="1" applyAlignment="1" applyProtection="1">
      <alignment horizontal="left" vertical="top"/>
    </xf>
    <xf numFmtId="0" fontId="61" fillId="0" borderId="0" xfId="0" applyFont="1" applyFill="1" applyBorder="1" applyAlignment="1" applyProtection="1">
      <alignment horizontal="left" vertical="center"/>
    </xf>
    <xf numFmtId="0" fontId="13" fillId="0" borderId="0" xfId="0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left"/>
    </xf>
    <xf numFmtId="0" fontId="31" fillId="0" borderId="0" xfId="0" applyFont="1" applyFill="1" applyBorder="1" applyAlignment="1" applyProtection="1">
      <alignment horizontal="left" vertical="center"/>
    </xf>
    <xf numFmtId="0" fontId="62" fillId="0" borderId="0" xfId="0" applyFont="1" applyFill="1" applyBorder="1" applyAlignment="1" applyProtection="1">
      <alignment horizontal="left" vertical="center"/>
    </xf>
    <xf numFmtId="0" fontId="66" fillId="23" borderId="42" xfId="0" applyFont="1" applyFill="1" applyBorder="1" applyAlignment="1" applyProtection="1">
      <alignment horizontal="centerContinuous" vertical="center"/>
    </xf>
    <xf numFmtId="0" fontId="66" fillId="23" borderId="1" xfId="0" applyFont="1" applyFill="1" applyBorder="1" applyAlignment="1" applyProtection="1">
      <alignment horizontal="centerContinuous" vertical="center"/>
    </xf>
    <xf numFmtId="0" fontId="31" fillId="0" borderId="0" xfId="0" applyFont="1" applyFill="1" applyBorder="1" applyAlignment="1" applyProtection="1">
      <alignment horizontal="left" vertical="center" shrinkToFit="1"/>
    </xf>
    <xf numFmtId="0" fontId="1" fillId="0" borderId="0" xfId="0" applyFont="1" applyFill="1" applyBorder="1" applyAlignment="1" applyProtection="1">
      <alignment horizontal="left" vertical="center"/>
    </xf>
    <xf numFmtId="0" fontId="68" fillId="0" borderId="0" xfId="0" applyFont="1" applyAlignment="1" applyProtection="1">
      <alignment horizontal="centerContinuous" vertical="center"/>
    </xf>
    <xf numFmtId="0" fontId="2" fillId="0" borderId="0" xfId="0" applyFont="1" applyAlignment="1" applyProtection="1">
      <alignment horizontal="centerContinuous"/>
    </xf>
    <xf numFmtId="0" fontId="58" fillId="0" borderId="28" xfId="0" applyFont="1" applyBorder="1" applyAlignment="1" applyProtection="1">
      <alignment horizontal="centerContinuous" vertical="center"/>
    </xf>
    <xf numFmtId="0" fontId="58" fillId="0" borderId="7" xfId="0" applyFont="1" applyBorder="1" applyAlignment="1" applyProtection="1">
      <alignment horizontal="centerContinuous" vertical="center"/>
    </xf>
    <xf numFmtId="0" fontId="58" fillId="0" borderId="29" xfId="0" applyFont="1" applyBorder="1" applyAlignment="1" applyProtection="1">
      <alignment horizontal="centerContinuous" vertical="center"/>
    </xf>
    <xf numFmtId="0" fontId="31" fillId="0" borderId="0" xfId="0" applyFont="1" applyFill="1" applyBorder="1" applyAlignment="1" applyProtection="1">
      <alignment horizontal="center" vertical="center"/>
    </xf>
    <xf numFmtId="0" fontId="2" fillId="23" borderId="7" xfId="0" applyFont="1" applyFill="1" applyBorder="1" applyAlignment="1" applyProtection="1">
      <alignment horizontal="centerContinuous" vertical="center"/>
    </xf>
    <xf numFmtId="0" fontId="31" fillId="0" borderId="0" xfId="0" applyFont="1" applyFill="1" applyBorder="1" applyAlignment="1" applyProtection="1">
      <alignment horizontal="right" vertical="center"/>
    </xf>
    <xf numFmtId="0" fontId="13" fillId="0" borderId="0" xfId="0" applyFont="1" applyFill="1" applyBorder="1" applyAlignment="1" applyProtection="1">
      <alignment horizontal="left" vertical="center"/>
    </xf>
    <xf numFmtId="0" fontId="50" fillId="0" borderId="0" xfId="0" applyFont="1" applyFill="1" applyBorder="1" applyAlignment="1" applyProtection="1"/>
    <xf numFmtId="0" fontId="31" fillId="0" borderId="21" xfId="0" applyFont="1" applyBorder="1" applyAlignment="1" applyProtection="1">
      <alignment horizontal="left" vertical="center"/>
    </xf>
    <xf numFmtId="0" fontId="57" fillId="0" borderId="37" xfId="0" applyFont="1" applyBorder="1" applyAlignment="1" applyProtection="1">
      <alignment horizontal="center"/>
    </xf>
    <xf numFmtId="0" fontId="57" fillId="0" borderId="7" xfId="0" applyFont="1" applyBorder="1" applyAlignment="1" applyProtection="1">
      <alignment horizontal="center"/>
    </xf>
    <xf numFmtId="0" fontId="57" fillId="0" borderId="36" xfId="0" applyFont="1" applyBorder="1" applyAlignment="1" applyProtection="1">
      <alignment horizontal="center"/>
    </xf>
    <xf numFmtId="0" fontId="42" fillId="31" borderId="38" xfId="0" applyFont="1" applyFill="1" applyBorder="1" applyAlignment="1" applyProtection="1">
      <alignment horizontal="left" vertical="center"/>
    </xf>
    <xf numFmtId="0" fontId="7" fillId="0" borderId="28" xfId="0" applyFont="1" applyBorder="1" applyAlignment="1" applyProtection="1">
      <alignment horizontal="centerContinuous" vertical="top"/>
    </xf>
    <xf numFmtId="0" fontId="7" fillId="0" borderId="7" xfId="0" applyFont="1" applyBorder="1" applyAlignment="1" applyProtection="1">
      <alignment horizontal="centerContinuous" vertical="top"/>
    </xf>
    <xf numFmtId="0" fontId="7" fillId="0" borderId="29" xfId="0" applyFont="1" applyBorder="1" applyAlignment="1" applyProtection="1">
      <alignment horizontal="centerContinuous" vertical="top"/>
    </xf>
    <xf numFmtId="0" fontId="53" fillId="31" borderId="31" xfId="0" applyFont="1" applyFill="1" applyBorder="1" applyAlignment="1" applyProtection="1">
      <alignment horizontal="center" vertical="center"/>
    </xf>
    <xf numFmtId="0" fontId="31" fillId="31" borderId="32" xfId="0" applyFont="1" applyFill="1" applyBorder="1" applyAlignment="1" applyProtection="1">
      <alignment horizontal="left" vertical="center"/>
    </xf>
    <xf numFmtId="0" fontId="58" fillId="0" borderId="36" xfId="0" applyFont="1" applyBorder="1" applyAlignment="1" applyProtection="1">
      <alignment horizontal="center" vertical="center"/>
    </xf>
    <xf numFmtId="0" fontId="0" fillId="0" borderId="40" xfId="0" applyBorder="1" applyAlignment="1" applyProtection="1">
      <alignment horizontal="left"/>
    </xf>
    <xf numFmtId="0" fontId="50" fillId="0" borderId="0" xfId="0" applyFont="1" applyFill="1" applyAlignment="1" applyProtection="1"/>
    <xf numFmtId="10" fontId="32" fillId="0" borderId="6" xfId="0" applyNumberFormat="1" applyFont="1" applyFill="1" applyBorder="1" applyAlignment="1" applyProtection="1">
      <alignment horizontal="center" vertical="center"/>
    </xf>
    <xf numFmtId="0" fontId="50" fillId="0" borderId="0" xfId="0" applyFont="1" applyFill="1" applyAlignment="1" applyProtection="1">
      <alignment horizontal="center"/>
    </xf>
    <xf numFmtId="0" fontId="31" fillId="0" borderId="6" xfId="0" applyFont="1" applyFill="1" applyBorder="1" applyAlignment="1" applyProtection="1">
      <alignment horizontal="left" vertical="center"/>
    </xf>
    <xf numFmtId="0" fontId="31" fillId="0" borderId="6" xfId="0" applyFont="1" applyFill="1" applyBorder="1" applyAlignment="1" applyProtection="1">
      <alignment horizontal="right" vertical="center"/>
    </xf>
    <xf numFmtId="0" fontId="66" fillId="23" borderId="43" xfId="0" applyFont="1" applyFill="1" applyBorder="1" applyAlignment="1" applyProtection="1">
      <alignment horizontal="centerContinuous" vertical="center"/>
    </xf>
    <xf numFmtId="0" fontId="66" fillId="23" borderId="32" xfId="0" applyFont="1" applyFill="1" applyBorder="1" applyAlignment="1" applyProtection="1">
      <alignment horizontal="centerContinuous" vertical="center"/>
    </xf>
    <xf numFmtId="0" fontId="2" fillId="0" borderId="47" xfId="0" applyFont="1" applyFill="1" applyBorder="1" applyAlignment="1" applyProtection="1">
      <alignment horizontal="left" vertical="center"/>
    </xf>
    <xf numFmtId="0" fontId="31" fillId="0" borderId="10" xfId="0" applyFont="1" applyFill="1" applyBorder="1" applyAlignment="1" applyProtection="1">
      <alignment horizontal="center" vertical="center"/>
    </xf>
    <xf numFmtId="0" fontId="31" fillId="0" borderId="18" xfId="0" applyFont="1" applyFill="1" applyBorder="1" applyAlignment="1" applyProtection="1">
      <alignment horizontal="left" vertical="center"/>
    </xf>
    <xf numFmtId="0" fontId="31" fillId="0" borderId="51" xfId="0" applyFont="1" applyFill="1" applyBorder="1" applyAlignment="1" applyProtection="1">
      <alignment horizontal="left" vertical="center"/>
    </xf>
    <xf numFmtId="0" fontId="42" fillId="0" borderId="0" xfId="0" applyFont="1" applyFill="1" applyBorder="1" applyAlignment="1" applyProtection="1">
      <alignment horizontal="left" vertical="top"/>
    </xf>
    <xf numFmtId="0" fontId="31" fillId="0" borderId="1" xfId="0" applyFont="1" applyFill="1" applyBorder="1" applyAlignment="1" applyProtection="1">
      <alignment horizontal="left" vertical="center"/>
    </xf>
    <xf numFmtId="0" fontId="31" fillId="33" borderId="13" xfId="0" applyFont="1" applyFill="1" applyBorder="1" applyAlignment="1">
      <alignment horizontal="center" wrapText="1"/>
    </xf>
    <xf numFmtId="0" fontId="31" fillId="0" borderId="13" xfId="0" applyFont="1" applyBorder="1" applyAlignment="1">
      <alignment horizontal="center" wrapText="1"/>
    </xf>
    <xf numFmtId="0" fontId="31" fillId="0" borderId="13" xfId="0" applyFont="1" applyBorder="1" applyAlignment="1">
      <alignment horizontal="left" wrapText="1"/>
    </xf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 wrapText="1"/>
    </xf>
    <xf numFmtId="0" fontId="74" fillId="0" borderId="0" xfId="0" applyFont="1" applyFill="1"/>
    <xf numFmtId="0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34" borderId="0" xfId="0" applyFill="1"/>
    <xf numFmtId="0" fontId="1" fillId="0" borderId="0" xfId="0" applyFont="1"/>
    <xf numFmtId="0" fontId="75" fillId="0" borderId="0" xfId="0" applyFont="1" applyFill="1"/>
    <xf numFmtId="0" fontId="0" fillId="16" borderId="0" xfId="0" applyFill="1"/>
    <xf numFmtId="0" fontId="0" fillId="16" borderId="0" xfId="0" applyFill="1" applyAlignment="1">
      <alignment horizontal="center"/>
    </xf>
    <xf numFmtId="0" fontId="0" fillId="35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6" borderId="0" xfId="0" applyFill="1"/>
    <xf numFmtId="0" fontId="32" fillId="0" borderId="7" xfId="0" applyFont="1" applyBorder="1" applyAlignment="1" applyProtection="1">
      <alignment horizontal="left" vertical="center"/>
      <protection locked="0"/>
    </xf>
    <xf numFmtId="0" fontId="32" fillId="0" borderId="29" xfId="0" applyFont="1" applyBorder="1" applyAlignment="1" applyProtection="1">
      <alignment horizontal="left" vertical="center"/>
      <protection locked="0"/>
    </xf>
    <xf numFmtId="49" fontId="60" fillId="0" borderId="28" xfId="0" applyNumberFormat="1" applyFont="1" applyBorder="1" applyAlignment="1" applyProtection="1">
      <alignment horizontal="center" vertical="top"/>
      <protection locked="0"/>
    </xf>
    <xf numFmtId="0" fontId="31" fillId="0" borderId="37" xfId="0" applyFont="1" applyFill="1" applyBorder="1" applyAlignment="1" applyProtection="1">
      <alignment horizontal="left" vertical="center"/>
    </xf>
    <xf numFmtId="0" fontId="31" fillId="0" borderId="38" xfId="0" applyFont="1" applyFill="1" applyBorder="1" applyAlignment="1" applyProtection="1">
      <alignment horizontal="left" vertical="center"/>
    </xf>
    <xf numFmtId="0" fontId="31" fillId="0" borderId="35" xfId="0" applyFont="1" applyFill="1" applyBorder="1" applyAlignment="1" applyProtection="1">
      <alignment horizontal="left" vertical="center"/>
    </xf>
    <xf numFmtId="0" fontId="31" fillId="0" borderId="46" xfId="0" applyFont="1" applyFill="1" applyBorder="1" applyAlignment="1" applyProtection="1">
      <alignment horizontal="left" vertical="center"/>
    </xf>
    <xf numFmtId="0" fontId="31" fillId="0" borderId="53" xfId="0" applyFont="1" applyFill="1" applyBorder="1" applyAlignment="1" applyProtection="1">
      <alignment horizontal="left" vertical="center"/>
    </xf>
    <xf numFmtId="0" fontId="31" fillId="0" borderId="28" xfId="0" applyFont="1" applyBorder="1" applyAlignment="1" applyProtection="1">
      <alignment horizontal="center" vertical="center"/>
    </xf>
    <xf numFmtId="0" fontId="31" fillId="0" borderId="28" xfId="0" applyFont="1" applyBorder="1" applyAlignment="1" applyProtection="1">
      <alignment horizontal="centerContinuous" vertical="center"/>
    </xf>
    <xf numFmtId="0" fontId="31" fillId="0" borderId="29" xfId="0" applyFont="1" applyBorder="1" applyAlignment="1" applyProtection="1">
      <alignment horizontal="centerContinuous" vertical="center"/>
    </xf>
    <xf numFmtId="0" fontId="31" fillId="0" borderId="28" xfId="0" applyFont="1" applyBorder="1" applyAlignment="1" applyProtection="1">
      <alignment horizontal="centerContinuous" vertical="center" shrinkToFit="1"/>
    </xf>
    <xf numFmtId="0" fontId="31" fillId="0" borderId="29" xfId="0" applyFont="1" applyBorder="1" applyAlignment="1" applyProtection="1">
      <alignment horizontal="centerContinuous" vertical="center" shrinkToFit="1"/>
    </xf>
    <xf numFmtId="0" fontId="1" fillId="0" borderId="7" xfId="0" applyFont="1" applyBorder="1" applyAlignment="1" applyProtection="1">
      <alignment horizontal="centerContinuous"/>
    </xf>
    <xf numFmtId="0" fontId="31" fillId="0" borderId="7" xfId="0" applyFont="1" applyBorder="1" applyAlignment="1" applyProtection="1">
      <alignment horizontal="centerContinuous" vertical="center"/>
    </xf>
    <xf numFmtId="0" fontId="3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/>
    <xf numFmtId="0" fontId="13" fillId="0" borderId="31" xfId="0" applyFont="1" applyFill="1" applyBorder="1" applyAlignment="1" applyProtection="1">
      <alignment horizontal="left" vertical="center" indent="1"/>
    </xf>
    <xf numFmtId="0" fontId="13" fillId="0" borderId="13" xfId="0" applyFont="1" applyFill="1" applyBorder="1" applyAlignment="1" applyProtection="1">
      <alignment horizontal="left" vertical="center" indent="1"/>
    </xf>
    <xf numFmtId="10" fontId="32" fillId="0" borderId="7" xfId="0" applyNumberFormat="1" applyFont="1" applyBorder="1" applyAlignment="1" applyProtection="1">
      <alignment horizontal="centerContinuous" vertical="center"/>
    </xf>
    <xf numFmtId="0" fontId="37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2" fillId="0" borderId="28" xfId="0" applyFont="1" applyBorder="1" applyAlignment="1" applyProtection="1">
      <alignment horizontal="centerContinuous" vertical="center"/>
    </xf>
    <xf numFmtId="0" fontId="2" fillId="0" borderId="7" xfId="0" applyFont="1" applyBorder="1" applyAlignment="1" applyProtection="1">
      <alignment horizontal="centerContinuous" vertical="center"/>
    </xf>
    <xf numFmtId="0" fontId="31" fillId="0" borderId="7" xfId="0" applyFont="1" applyBorder="1" applyAlignment="1" applyProtection="1">
      <alignment horizontal="center" vertical="center"/>
    </xf>
    <xf numFmtId="0" fontId="38" fillId="23" borderId="43" xfId="0" applyFont="1" applyFill="1" applyBorder="1" applyAlignment="1" applyProtection="1">
      <alignment horizontal="centerContinuous" vertical="center"/>
    </xf>
    <xf numFmtId="0" fontId="38" fillId="23" borderId="42" xfId="0" applyFont="1" applyFill="1" applyBorder="1" applyAlignment="1" applyProtection="1">
      <alignment horizontal="centerContinuous" vertical="center"/>
    </xf>
    <xf numFmtId="0" fontId="76" fillId="0" borderId="0" xfId="0" applyFont="1"/>
    <xf numFmtId="0" fontId="43" fillId="39" borderId="28" xfId="0" applyNumberFormat="1" applyFont="1" applyFill="1" applyBorder="1" applyAlignment="1" applyProtection="1">
      <alignment horizontal="centerContinuous"/>
      <protection locked="0"/>
    </xf>
    <xf numFmtId="42" fontId="44" fillId="39" borderId="7" xfId="0" applyNumberFormat="1" applyFont="1" applyFill="1" applyBorder="1" applyAlignment="1" applyProtection="1">
      <alignment horizontal="centerContinuous"/>
      <protection locked="0"/>
    </xf>
    <xf numFmtId="0" fontId="2" fillId="40" borderId="7" xfId="0" applyFont="1" applyFill="1" applyBorder="1" applyAlignment="1" applyProtection="1">
      <alignment horizontal="centerContinuous" vertical="center"/>
    </xf>
    <xf numFmtId="0" fontId="2" fillId="40" borderId="28" xfId="0" applyFont="1" applyFill="1" applyBorder="1" applyAlignment="1" applyProtection="1">
      <alignment horizontal="centerContinuous" vertical="center"/>
    </xf>
    <xf numFmtId="0" fontId="1" fillId="35" borderId="0" xfId="0" applyFont="1" applyFill="1" applyAlignment="1">
      <alignment horizontal="center" vertical="center"/>
    </xf>
    <xf numFmtId="0" fontId="1" fillId="35" borderId="0" xfId="0" applyFont="1" applyFill="1" applyAlignment="1">
      <alignment horizontal="center"/>
    </xf>
    <xf numFmtId="15" fontId="0" fillId="0" borderId="0" xfId="0" applyNumberFormat="1" applyFill="1"/>
    <xf numFmtId="0" fontId="1" fillId="42" borderId="0" xfId="0" applyFont="1" applyFill="1"/>
    <xf numFmtId="0" fontId="31" fillId="0" borderId="0" xfId="0" applyFont="1" applyFill="1" applyBorder="1" applyAlignment="1" applyProtection="1">
      <alignment horizontal="left" vertical="top"/>
    </xf>
    <xf numFmtId="0" fontId="31" fillId="0" borderId="0" xfId="0" applyFont="1" applyFill="1" applyBorder="1" applyAlignment="1" applyProtection="1">
      <alignment horizontal="left"/>
    </xf>
    <xf numFmtId="0" fontId="31" fillId="0" borderId="6" xfId="0" applyFont="1" applyFill="1" applyBorder="1" applyAlignment="1" applyProtection="1">
      <alignment horizontal="left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78" fillId="24" borderId="18" xfId="0" applyFont="1" applyFill="1" applyBorder="1" applyAlignment="1" applyProtection="1">
      <alignment horizontal="center"/>
      <protection locked="0"/>
    </xf>
    <xf numFmtId="0" fontId="78" fillId="24" borderId="18" xfId="0" quotePrefix="1" applyFont="1" applyFill="1" applyBorder="1" applyAlignment="1" applyProtection="1">
      <alignment horizontal="left"/>
      <protection locked="0"/>
    </xf>
    <xf numFmtId="0" fontId="37" fillId="16" borderId="18" xfId="0" applyFont="1" applyFill="1" applyBorder="1" applyAlignment="1" applyProtection="1">
      <alignment horizontal="center"/>
      <protection locked="0"/>
    </xf>
    <xf numFmtId="0" fontId="37" fillId="16" borderId="13" xfId="0" applyFont="1" applyFill="1" applyBorder="1" applyAlignment="1" applyProtection="1">
      <alignment horizontal="center"/>
      <protection locked="0"/>
    </xf>
    <xf numFmtId="0" fontId="37" fillId="0" borderId="18" xfId="0" applyFont="1" applyBorder="1" applyAlignment="1" applyProtection="1">
      <alignment horizontal="left"/>
      <protection locked="0"/>
    </xf>
    <xf numFmtId="0" fontId="37" fillId="24" borderId="18" xfId="0" applyFont="1" applyFill="1" applyBorder="1" applyProtection="1">
      <protection locked="0"/>
    </xf>
    <xf numFmtId="42" fontId="37" fillId="16" borderId="18" xfId="0" quotePrefix="1" applyNumberFormat="1" applyFont="1" applyFill="1" applyBorder="1" applyAlignment="1" applyProtection="1">
      <alignment horizontal="center"/>
      <protection locked="0"/>
    </xf>
    <xf numFmtId="0" fontId="37" fillId="0" borderId="13" xfId="0" applyFont="1" applyBorder="1" applyAlignment="1" applyProtection="1">
      <alignment horizontal="left"/>
      <protection locked="0"/>
    </xf>
    <xf numFmtId="0" fontId="37" fillId="24" borderId="13" xfId="0" applyFont="1" applyFill="1" applyBorder="1" applyProtection="1">
      <protection locked="0"/>
    </xf>
    <xf numFmtId="42" fontId="37" fillId="16" borderId="13" xfId="0" applyNumberFormat="1" applyFont="1" applyFill="1" applyBorder="1" applyAlignment="1" applyProtection="1">
      <alignment horizontal="center"/>
      <protection locked="0"/>
    </xf>
    <xf numFmtId="0" fontId="37" fillId="24" borderId="13" xfId="0" applyFont="1" applyFill="1" applyBorder="1" applyAlignment="1" applyProtection="1">
      <alignment horizontal="left"/>
      <protection locked="0"/>
    </xf>
    <xf numFmtId="42" fontId="80" fillId="0" borderId="18" xfId="0" applyNumberFormat="1" applyFont="1" applyBorder="1" applyAlignment="1" applyProtection="1">
      <alignment horizontal="left"/>
      <protection locked="0"/>
    </xf>
    <xf numFmtId="42" fontId="80" fillId="0" borderId="13" xfId="0" applyNumberFormat="1" applyFont="1" applyBorder="1" applyAlignment="1" applyProtection="1">
      <alignment horizontal="left"/>
      <protection locked="0"/>
    </xf>
    <xf numFmtId="42" fontId="81" fillId="39" borderId="29" xfId="0" applyNumberFormat="1" applyFont="1" applyFill="1" applyBorder="1" applyProtection="1">
      <protection locked="0"/>
    </xf>
    <xf numFmtId="14" fontId="33" fillId="24" borderId="18" xfId="0" applyNumberFormat="1" applyFont="1" applyFill="1" applyBorder="1" applyAlignment="1" applyProtection="1">
      <alignment horizontal="center"/>
      <protection locked="0"/>
    </xf>
    <xf numFmtId="0" fontId="33" fillId="24" borderId="23" xfId="0" applyFont="1" applyFill="1" applyBorder="1" applyAlignment="1" applyProtection="1">
      <alignment horizontal="center"/>
      <protection locked="0"/>
    </xf>
    <xf numFmtId="0" fontId="33" fillId="24" borderId="18" xfId="0" applyFont="1" applyFill="1" applyBorder="1" applyAlignment="1" applyProtection="1">
      <alignment horizontal="center"/>
      <protection locked="0"/>
    </xf>
    <xf numFmtId="0" fontId="33" fillId="24" borderId="18" xfId="0" quotePrefix="1" applyFont="1" applyFill="1" applyBorder="1" applyAlignment="1" applyProtection="1">
      <alignment horizontal="left"/>
      <protection hidden="1"/>
    </xf>
    <xf numFmtId="0" fontId="37" fillId="16" borderId="18" xfId="0" applyFont="1" applyFill="1" applyBorder="1" applyAlignment="1" applyProtection="1">
      <alignment horizontal="left"/>
      <protection locked="0"/>
    </xf>
    <xf numFmtId="0" fontId="37" fillId="24" borderId="0" xfId="0" applyFont="1" applyFill="1" applyBorder="1" applyAlignment="1" applyProtection="1">
      <alignment horizontal="center"/>
      <protection locked="0"/>
    </xf>
    <xf numFmtId="0" fontId="37" fillId="24" borderId="0" xfId="0" applyFont="1" applyFill="1" applyProtection="1">
      <protection locked="0"/>
    </xf>
    <xf numFmtId="0" fontId="37" fillId="24" borderId="0" xfId="0" applyFont="1" applyFill="1" applyBorder="1" applyProtection="1">
      <protection locked="0"/>
    </xf>
    <xf numFmtId="42" fontId="37" fillId="16" borderId="18" xfId="0" applyNumberFormat="1" applyFont="1" applyFill="1" applyBorder="1" applyProtection="1">
      <protection locked="0"/>
    </xf>
    <xf numFmtId="42" fontId="37" fillId="24" borderId="0" xfId="0" applyNumberFormat="1" applyFont="1" applyFill="1" applyBorder="1" applyProtection="1">
      <protection locked="0"/>
    </xf>
    <xf numFmtId="42" fontId="37" fillId="24" borderId="18" xfId="0" applyNumberFormat="1" applyFont="1" applyFill="1" applyBorder="1" applyProtection="1">
      <protection locked="0"/>
    </xf>
    <xf numFmtId="42" fontId="37" fillId="24" borderId="0" xfId="0" applyNumberFormat="1" applyFont="1" applyFill="1" applyProtection="1">
      <protection locked="0"/>
    </xf>
    <xf numFmtId="0" fontId="37" fillId="16" borderId="0" xfId="0" applyFont="1" applyFill="1" applyBorder="1" applyAlignment="1" applyProtection="1">
      <alignment horizontal="center"/>
      <protection locked="0"/>
    </xf>
    <xf numFmtId="42" fontId="37" fillId="16" borderId="18" xfId="0" applyNumberFormat="1" applyFont="1" applyFill="1" applyBorder="1" applyAlignment="1" applyProtection="1">
      <alignment horizontal="center"/>
      <protection locked="0"/>
    </xf>
    <xf numFmtId="0" fontId="37" fillId="24" borderId="0" xfId="0" applyFont="1" applyFill="1" applyAlignment="1" applyProtection="1">
      <alignment horizontal="center"/>
      <protection locked="0"/>
    </xf>
    <xf numFmtId="0" fontId="37" fillId="24" borderId="18" xfId="0" applyFont="1" applyFill="1" applyBorder="1" applyAlignment="1" applyProtection="1">
      <alignment horizontal="center"/>
      <protection locked="0"/>
    </xf>
    <xf numFmtId="42" fontId="82" fillId="28" borderId="29" xfId="0" applyNumberFormat="1" applyFont="1" applyFill="1" applyBorder="1" applyProtection="1"/>
    <xf numFmtId="0" fontId="37" fillId="24" borderId="18" xfId="0" applyFont="1" applyFill="1" applyBorder="1" applyAlignment="1" applyProtection="1">
      <alignment horizontal="left"/>
      <protection locked="0"/>
    </xf>
    <xf numFmtId="0" fontId="33" fillId="24" borderId="0" xfId="0" applyFont="1" applyFill="1" applyBorder="1" applyAlignment="1" applyProtection="1">
      <protection locked="0"/>
    </xf>
    <xf numFmtId="42" fontId="37" fillId="24" borderId="18" xfId="0" applyNumberFormat="1" applyFont="1" applyFill="1" applyBorder="1" applyAlignment="1" applyProtection="1">
      <alignment horizontal="center"/>
      <protection locked="0"/>
    </xf>
    <xf numFmtId="0" fontId="33" fillId="0" borderId="0" xfId="0" applyFont="1" applyFill="1" applyBorder="1" applyAlignment="1" applyProtection="1">
      <protection locked="0"/>
    </xf>
    <xf numFmtId="42" fontId="37" fillId="24" borderId="24" xfId="0" applyNumberFormat="1" applyFont="1" applyFill="1" applyBorder="1" applyAlignment="1" applyProtection="1">
      <alignment horizontal="center"/>
      <protection locked="0"/>
    </xf>
    <xf numFmtId="0" fontId="37" fillId="24" borderId="13" xfId="0" applyFont="1" applyFill="1" applyBorder="1" applyAlignment="1" applyProtection="1">
      <alignment horizontal="center"/>
      <protection locked="0"/>
    </xf>
    <xf numFmtId="42" fontId="37" fillId="24" borderId="13" xfId="0" applyNumberFormat="1" applyFont="1" applyFill="1" applyBorder="1" applyAlignment="1" applyProtection="1">
      <alignment horizontal="center"/>
      <protection locked="0"/>
    </xf>
    <xf numFmtId="42" fontId="37" fillId="24" borderId="27" xfId="0" applyNumberFormat="1" applyFont="1" applyFill="1" applyBorder="1" applyAlignment="1" applyProtection="1">
      <alignment horizontal="center"/>
      <protection locked="0"/>
    </xf>
    <xf numFmtId="174" fontId="13" fillId="0" borderId="0" xfId="0" applyNumberFormat="1" applyFont="1" applyBorder="1" applyProtection="1">
      <protection locked="0"/>
    </xf>
    <xf numFmtId="0" fontId="37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centerContinuous"/>
    </xf>
    <xf numFmtId="0" fontId="1" fillId="0" borderId="0" xfId="0" applyFont="1" applyFill="1" applyAlignment="1" applyProtection="1">
      <alignment horizontal="centerContinuous"/>
      <protection locked="0"/>
    </xf>
    <xf numFmtId="0" fontId="37" fillId="0" borderId="0" xfId="0" applyFont="1" applyFill="1" applyProtection="1">
      <protection locked="0"/>
    </xf>
    <xf numFmtId="0" fontId="79" fillId="24" borderId="0" xfId="0" applyFont="1" applyFill="1" applyAlignment="1" applyProtection="1">
      <alignment horizontal="left" vertical="center"/>
    </xf>
    <xf numFmtId="0" fontId="41" fillId="24" borderId="0" xfId="0" applyFont="1" applyFill="1" applyAlignment="1" applyProtection="1">
      <alignment horizontal="centerContinuous"/>
      <protection locked="0"/>
    </xf>
    <xf numFmtId="0" fontId="41" fillId="0" borderId="0" xfId="0" applyFont="1" applyFill="1" applyBorder="1" applyAlignment="1" applyProtection="1">
      <alignment horizontal="centerContinuous"/>
      <protection locked="0"/>
    </xf>
    <xf numFmtId="0" fontId="79" fillId="0" borderId="0" xfId="0" applyFont="1" applyProtection="1">
      <protection locked="0"/>
    </xf>
    <xf numFmtId="0" fontId="36" fillId="0" borderId="0" xfId="0" applyFont="1" applyFill="1" applyBorder="1" applyAlignment="1" applyProtection="1">
      <alignment horizontal="left" vertical="center"/>
      <protection locked="0"/>
    </xf>
    <xf numFmtId="0" fontId="34" fillId="0" borderId="0" xfId="0" applyFont="1" applyBorder="1" applyAlignment="1" applyProtection="1">
      <alignment horizontal="left" vertical="center"/>
      <protection locked="0"/>
    </xf>
    <xf numFmtId="14" fontId="78" fillId="24" borderId="18" xfId="0" applyNumberFormat="1" applyFont="1" applyFill="1" applyBorder="1" applyProtection="1">
      <protection locked="0"/>
    </xf>
    <xf numFmtId="0" fontId="78" fillId="24" borderId="23" xfId="0" applyFont="1" applyFill="1" applyBorder="1" applyAlignment="1" applyProtection="1">
      <alignment horizontal="center"/>
      <protection locked="0"/>
    </xf>
    <xf numFmtId="0" fontId="58" fillId="0" borderId="31" xfId="0" applyFont="1" applyBorder="1" applyAlignment="1" applyProtection="1">
      <alignment horizontal="center" vertical="center"/>
    </xf>
    <xf numFmtId="0" fontId="58" fillId="0" borderId="33" xfId="0" applyFont="1" applyBorder="1" applyAlignment="1" applyProtection="1">
      <alignment horizontal="center" vertical="center"/>
    </xf>
    <xf numFmtId="0" fontId="57" fillId="0" borderId="13" xfId="0" applyFont="1" applyBorder="1" applyAlignment="1" applyProtection="1">
      <alignment horizontal="center"/>
    </xf>
    <xf numFmtId="0" fontId="57" fillId="0" borderId="34" xfId="0" applyFont="1" applyBorder="1" applyAlignment="1" applyProtection="1">
      <alignment horizontal="center"/>
    </xf>
    <xf numFmtId="0" fontId="57" fillId="0" borderId="45" xfId="0" applyFont="1" applyBorder="1" applyAlignment="1" applyProtection="1">
      <alignment horizontal="center"/>
    </xf>
    <xf numFmtId="0" fontId="57" fillId="0" borderId="47" xfId="0" applyFont="1" applyBorder="1" applyAlignment="1" applyProtection="1">
      <alignment horizontal="center"/>
    </xf>
    <xf numFmtId="0" fontId="58" fillId="0" borderId="13" xfId="0" applyFont="1" applyBorder="1" applyAlignment="1" applyProtection="1">
      <alignment horizontal="center" vertical="center"/>
    </xf>
    <xf numFmtId="0" fontId="58" fillId="0" borderId="34" xfId="0" applyFont="1" applyBorder="1" applyAlignment="1" applyProtection="1">
      <alignment horizontal="center" vertical="center"/>
    </xf>
    <xf numFmtId="0" fontId="58" fillId="0" borderId="45" xfId="0" applyFont="1" applyBorder="1" applyAlignment="1" applyProtection="1">
      <alignment horizontal="center" vertical="center"/>
    </xf>
    <xf numFmtId="0" fontId="58" fillId="0" borderId="47" xfId="0" applyFont="1" applyBorder="1" applyAlignment="1" applyProtection="1">
      <alignment horizontal="center" vertical="center"/>
    </xf>
    <xf numFmtId="0" fontId="1" fillId="24" borderId="0" xfId="0" applyFont="1" applyFill="1" applyAlignment="1" applyProtection="1">
      <alignment horizontal="left"/>
      <protection locked="0"/>
    </xf>
    <xf numFmtId="0" fontId="1" fillId="0" borderId="0" xfId="0" applyFont="1" applyFill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/>
    </xf>
    <xf numFmtId="0" fontId="64" fillId="0" borderId="42" xfId="0" applyFont="1" applyFill="1" applyBorder="1" applyAlignment="1" applyProtection="1">
      <alignment horizontal="center" vertical="center"/>
      <protection locked="0"/>
    </xf>
    <xf numFmtId="0" fontId="31" fillId="0" borderId="13" xfId="0" applyFont="1" applyFill="1" applyBorder="1" applyAlignment="1" applyProtection="1">
      <alignment horizontal="center" vertical="center"/>
    </xf>
    <xf numFmtId="0" fontId="71" fillId="0" borderId="0" xfId="0" applyFont="1" applyFill="1" applyBorder="1" applyAlignment="1" applyProtection="1">
      <alignment horizontal="center" vertical="center"/>
    </xf>
    <xf numFmtId="0" fontId="64" fillId="31" borderId="32" xfId="0" applyFont="1" applyFill="1" applyBorder="1" applyAlignment="1" applyProtection="1">
      <alignment horizontal="center" vertical="center"/>
      <protection locked="0"/>
    </xf>
    <xf numFmtId="0" fontId="64" fillId="31" borderId="1" xfId="0" applyFont="1" applyFill="1" applyBorder="1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/>
      <protection locked="0"/>
    </xf>
    <xf numFmtId="0" fontId="64" fillId="0" borderId="53" xfId="0" applyFont="1" applyFill="1" applyBorder="1" applyAlignment="1" applyProtection="1">
      <alignment horizontal="center" vertical="center"/>
      <protection locked="0"/>
    </xf>
    <xf numFmtId="0" fontId="80" fillId="0" borderId="0" xfId="0" applyFont="1" applyAlignment="1" applyProtection="1">
      <alignment horizontal="center"/>
    </xf>
    <xf numFmtId="0" fontId="80" fillId="0" borderId="0" xfId="0" applyFont="1" applyAlignment="1" applyProtection="1"/>
    <xf numFmtId="0" fontId="31" fillId="0" borderId="38" xfId="0" applyFont="1" applyBorder="1" applyAlignment="1" applyProtection="1">
      <alignment horizontal="left" vertical="center"/>
    </xf>
    <xf numFmtId="0" fontId="31" fillId="0" borderId="35" xfId="0" applyFont="1" applyBorder="1" applyAlignment="1" applyProtection="1">
      <alignment horizontal="left" vertical="center"/>
    </xf>
    <xf numFmtId="0" fontId="57" fillId="0" borderId="8" xfId="0" applyFont="1" applyBorder="1" applyAlignment="1" applyProtection="1">
      <alignment horizontal="center"/>
    </xf>
    <xf numFmtId="0" fontId="71" fillId="0" borderId="0" xfId="0" applyFont="1" applyFill="1" applyBorder="1" applyAlignment="1" applyProtection="1">
      <alignment horizontal="left" vertical="center"/>
    </xf>
    <xf numFmtId="2" fontId="31" fillId="0" borderId="0" xfId="0" applyNumberFormat="1" applyFont="1" applyFill="1" applyBorder="1" applyAlignment="1" applyProtection="1">
      <alignment horizontal="left" vertical="center"/>
    </xf>
    <xf numFmtId="172" fontId="31" fillId="0" borderId="0" xfId="0" applyNumberFormat="1" applyFont="1" applyFill="1" applyBorder="1" applyAlignment="1" applyProtection="1">
      <alignment horizontal="left" vertical="center"/>
    </xf>
    <xf numFmtId="0" fontId="37" fillId="0" borderId="0" xfId="0" applyFont="1" applyBorder="1" applyAlignment="1" applyProtection="1">
      <alignment horizontal="center" vertical="center"/>
    </xf>
    <xf numFmtId="172" fontId="31" fillId="0" borderId="0" xfId="0" applyNumberFormat="1" applyFont="1" applyFill="1" applyBorder="1" applyAlignment="1" applyProtection="1">
      <alignment horizontal="right" vertical="center"/>
    </xf>
    <xf numFmtId="0" fontId="32" fillId="0" borderId="7" xfId="0" applyFont="1" applyBorder="1" applyAlignment="1" applyProtection="1">
      <alignment horizontal="left" vertical="center"/>
    </xf>
    <xf numFmtId="49" fontId="60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60" fillId="0" borderId="0" xfId="0" applyFont="1" applyBorder="1" applyAlignment="1" applyProtection="1">
      <alignment horizontal="center" vertical="center"/>
    </xf>
    <xf numFmtId="0" fontId="32" fillId="0" borderId="0" xfId="0" applyFont="1" applyBorder="1" applyAlignment="1" applyProtection="1">
      <alignment horizontal="left" vertical="center"/>
    </xf>
    <xf numFmtId="3" fontId="60" fillId="0" borderId="7" xfId="74" applyNumberFormat="1" applyFont="1" applyBorder="1" applyAlignment="1" applyProtection="1">
      <alignment horizontal="right" vertical="center"/>
    </xf>
    <xf numFmtId="0" fontId="0" fillId="0" borderId="7" xfId="0" applyBorder="1" applyAlignment="1" applyProtection="1">
      <alignment horizontal="right" vertical="center"/>
    </xf>
    <xf numFmtId="0" fontId="32" fillId="41" borderId="23" xfId="0" applyFont="1" applyFill="1" applyBorder="1" applyAlignment="1" applyProtection="1">
      <alignment horizontal="centerContinuous" vertical="center"/>
    </xf>
    <xf numFmtId="49" fontId="6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32" fillId="0" borderId="0" xfId="0" applyFont="1" applyFill="1" applyBorder="1" applyAlignment="1" applyProtection="1">
      <alignment horizontal="left" vertical="center"/>
    </xf>
    <xf numFmtId="0" fontId="32" fillId="0" borderId="7" xfId="0" applyFont="1" applyFill="1" applyBorder="1" applyAlignment="1" applyProtection="1">
      <alignment horizontal="left" vertical="center"/>
    </xf>
    <xf numFmtId="0" fontId="0" fillId="0" borderId="6" xfId="0" applyFill="1" applyBorder="1" applyAlignment="1" applyProtection="1">
      <alignment horizontal="center" vertical="center"/>
    </xf>
    <xf numFmtId="3" fontId="60" fillId="0" borderId="7" xfId="74" applyNumberFormat="1" applyFont="1" applyFill="1" applyBorder="1" applyAlignment="1" applyProtection="1">
      <alignment horizontal="right" vertical="center"/>
    </xf>
    <xf numFmtId="0" fontId="0" fillId="0" borderId="7" xfId="0" applyFill="1" applyBorder="1" applyAlignment="1" applyProtection="1">
      <alignment horizontal="right" vertical="center"/>
    </xf>
    <xf numFmtId="0" fontId="0" fillId="0" borderId="31" xfId="0" applyBorder="1" applyAlignment="1" applyProtection="1"/>
    <xf numFmtId="0" fontId="0" fillId="0" borderId="33" xfId="0" applyBorder="1" applyAlignment="1" applyProtection="1"/>
    <xf numFmtId="0" fontId="0" fillId="0" borderId="7" xfId="0" applyBorder="1" applyAlignment="1" applyProtection="1">
      <alignment horizontal="left"/>
    </xf>
    <xf numFmtId="0" fontId="0" fillId="0" borderId="36" xfId="0" applyBorder="1" applyAlignment="1" applyProtection="1">
      <alignment horizontal="left"/>
    </xf>
    <xf numFmtId="0" fontId="0" fillId="0" borderId="30" xfId="0" applyBorder="1" applyAlignment="1" applyProtection="1"/>
    <xf numFmtId="2" fontId="64" fillId="0" borderId="42" xfId="0" applyNumberFormat="1" applyFont="1" applyFill="1" applyBorder="1" applyAlignment="1" applyProtection="1">
      <alignment horizontal="center" vertical="center"/>
      <protection locked="0"/>
    </xf>
    <xf numFmtId="44" fontId="32" fillId="0" borderId="18" xfId="0" applyNumberFormat="1" applyFont="1" applyFill="1" applyBorder="1" applyAlignment="1" applyProtection="1">
      <alignment horizontal="center"/>
      <protection locked="0"/>
    </xf>
    <xf numFmtId="0" fontId="37" fillId="0" borderId="19" xfId="0" applyFont="1" applyFill="1" applyBorder="1" applyProtection="1"/>
    <xf numFmtId="0" fontId="39" fillId="0" borderId="6" xfId="0" applyFont="1" applyFill="1" applyBorder="1" applyAlignment="1" applyProtection="1">
      <alignment horizontal="center"/>
    </xf>
    <xf numFmtId="171" fontId="39" fillId="0" borderId="6" xfId="0" applyNumberFormat="1" applyFont="1" applyFill="1" applyBorder="1" applyProtection="1"/>
    <xf numFmtId="171" fontId="39" fillId="0" borderId="20" xfId="0" applyNumberFormat="1" applyFont="1" applyFill="1" applyBorder="1" applyProtection="1"/>
    <xf numFmtId="0" fontId="37" fillId="0" borderId="25" xfId="0" applyFont="1" applyFill="1" applyBorder="1" applyProtection="1"/>
    <xf numFmtId="0" fontId="39" fillId="0" borderId="0" xfId="0" applyFont="1" applyFill="1" applyBorder="1" applyAlignment="1" applyProtection="1">
      <alignment horizontal="center"/>
    </xf>
    <xf numFmtId="171" fontId="39" fillId="0" borderId="0" xfId="0" applyNumberFormat="1" applyFont="1" applyFill="1" applyBorder="1" applyProtection="1"/>
    <xf numFmtId="171" fontId="39" fillId="0" borderId="26" xfId="0" applyNumberFormat="1" applyFont="1" applyFill="1" applyBorder="1" applyProtection="1"/>
    <xf numFmtId="0" fontId="13" fillId="0" borderId="0" xfId="0" applyFont="1" applyAlignment="1" applyProtection="1"/>
    <xf numFmtId="0" fontId="32" fillId="1" borderId="6" xfId="0" applyFont="1" applyFill="1" applyBorder="1" applyAlignment="1" applyProtection="1">
      <alignment vertical="top"/>
    </xf>
    <xf numFmtId="0" fontId="32" fillId="1" borderId="8" xfId="0" applyFont="1" applyFill="1" applyBorder="1" applyAlignment="1" applyProtection="1">
      <alignment vertical="top"/>
    </xf>
    <xf numFmtId="0" fontId="32" fillId="1" borderId="19" xfId="0" applyFont="1" applyFill="1" applyBorder="1" applyAlignment="1" applyProtection="1">
      <alignment vertical="top"/>
    </xf>
    <xf numFmtId="0" fontId="32" fillId="1" borderId="21" xfId="0" applyFont="1" applyFill="1" applyBorder="1" applyAlignment="1" applyProtection="1">
      <alignment vertical="top"/>
    </xf>
    <xf numFmtId="0" fontId="0" fillId="0" borderId="0" xfId="0"/>
    <xf numFmtId="0" fontId="42" fillId="0" borderId="0" xfId="0" applyFont="1" applyFill="1" applyBorder="1" applyAlignment="1" applyProtection="1">
      <alignment horizontal="center" vertical="top"/>
    </xf>
    <xf numFmtId="0" fontId="13" fillId="0" borderId="0" xfId="0" applyFont="1" applyFill="1" applyBorder="1" applyAlignment="1" applyProtection="1">
      <alignment horizontal="left" vertical="top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0" fillId="0" borderId="0" xfId="0" applyFill="1" applyAlignment="1">
      <alignment horizontal="center" vertical="center"/>
    </xf>
    <xf numFmtId="0" fontId="32" fillId="0" borderId="28" xfId="0" applyFont="1" applyBorder="1" applyAlignment="1" applyProtection="1">
      <alignment horizontal="left" vertical="center"/>
      <protection locked="0" hidden="1"/>
    </xf>
    <xf numFmtId="0" fontId="0" fillId="0" borderId="0" xfId="0" applyAlignment="1">
      <alignment horizontal="left"/>
    </xf>
    <xf numFmtId="0" fontId="1" fillId="42" borderId="0" xfId="0" applyFont="1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75" fillId="0" borderId="0" xfId="0" applyFont="1" applyAlignment="1">
      <alignment horizontal="left"/>
    </xf>
    <xf numFmtId="0" fontId="0" fillId="16" borderId="0" xfId="0" applyFill="1" applyAlignment="1">
      <alignment horizontal="left"/>
    </xf>
    <xf numFmtId="0" fontId="0" fillId="43" borderId="0" xfId="0" applyFill="1" applyAlignment="1">
      <alignment horizontal="left"/>
    </xf>
    <xf numFmtId="0" fontId="1" fillId="43" borderId="0" xfId="0" applyFont="1" applyFill="1" applyAlignment="1">
      <alignment horizontal="left"/>
    </xf>
    <xf numFmtId="0" fontId="1" fillId="35" borderId="0" xfId="0" applyFont="1" applyFill="1" applyAlignment="1">
      <alignment horizontal="left"/>
    </xf>
    <xf numFmtId="0" fontId="1" fillId="36" borderId="0" xfId="0" applyFont="1" applyFill="1" applyAlignment="1">
      <alignment horizontal="left"/>
    </xf>
    <xf numFmtId="0" fontId="1" fillId="35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Alignment="1">
      <alignment horizontal="left"/>
    </xf>
    <xf numFmtId="0" fontId="31" fillId="0" borderId="18" xfId="0" applyFont="1" applyFill="1" applyBorder="1" applyAlignment="1" applyProtection="1">
      <alignment horizontal="center" vertical="center"/>
    </xf>
    <xf numFmtId="0" fontId="31" fillId="0" borderId="54" xfId="0" applyFont="1" applyFill="1" applyBorder="1" applyAlignment="1" applyProtection="1">
      <alignment horizontal="left" vertical="center"/>
    </xf>
    <xf numFmtId="0" fontId="71" fillId="0" borderId="18" xfId="0" applyFont="1" applyFill="1" applyBorder="1" applyAlignment="1" applyProtection="1">
      <alignment horizontal="center" vertical="center"/>
    </xf>
    <xf numFmtId="0" fontId="31" fillId="0" borderId="18" xfId="0" applyFont="1" applyFill="1" applyBorder="1" applyAlignment="1" applyProtection="1">
      <alignment horizontal="right" vertical="center"/>
    </xf>
    <xf numFmtId="0" fontId="88" fillId="32" borderId="6" xfId="0" applyFont="1" applyFill="1" applyBorder="1" applyAlignment="1" applyProtection="1">
      <alignment horizontal="centerContinuous" vertical="center"/>
    </xf>
    <xf numFmtId="0" fontId="88" fillId="32" borderId="7" xfId="0" applyFont="1" applyFill="1" applyBorder="1" applyAlignment="1" applyProtection="1">
      <alignment horizontal="centerContinuous" vertical="center"/>
    </xf>
    <xf numFmtId="0" fontId="69" fillId="0" borderId="0" xfId="0" applyFont="1" applyBorder="1" applyAlignment="1" applyProtection="1">
      <alignment horizontal="center" vertical="center"/>
    </xf>
    <xf numFmtId="0" fontId="69" fillId="0" borderId="0" xfId="0" applyFont="1" applyAlignment="1" applyProtection="1">
      <alignment vertical="center"/>
    </xf>
    <xf numFmtId="0" fontId="88" fillId="32" borderId="7" xfId="0" applyFont="1" applyFill="1" applyBorder="1" applyAlignment="1" applyProtection="1">
      <alignment horizontal="centerContinuous"/>
    </xf>
    <xf numFmtId="0" fontId="69" fillId="0" borderId="0" xfId="0" applyFont="1" applyFill="1" applyBorder="1" applyAlignment="1" applyProtection="1">
      <alignment horizontal="center" vertical="center"/>
    </xf>
    <xf numFmtId="0" fontId="69" fillId="0" borderId="0" xfId="0" applyFont="1" applyFill="1" applyAlignment="1" applyProtection="1">
      <alignment vertical="center"/>
    </xf>
    <xf numFmtId="0" fontId="88" fillId="32" borderId="28" xfId="0" applyFont="1" applyFill="1" applyBorder="1" applyAlignment="1" applyProtection="1">
      <alignment horizontal="centerContinuous" vertical="center"/>
    </xf>
    <xf numFmtId="0" fontId="88" fillId="32" borderId="8" xfId="0" applyFont="1" applyFill="1" applyBorder="1" applyAlignment="1" applyProtection="1">
      <alignment horizontal="centerContinuous" vertical="center"/>
    </xf>
    <xf numFmtId="0" fontId="2" fillId="0" borderId="0" xfId="0" applyFont="1" applyAlignment="1" applyProtection="1"/>
    <xf numFmtId="0" fontId="2" fillId="0" borderId="0" xfId="0" applyFont="1" applyFill="1" applyAlignment="1" applyProtection="1">
      <alignment horizontal="center"/>
    </xf>
    <xf numFmtId="0" fontId="88" fillId="32" borderId="25" xfId="0" applyFont="1" applyFill="1" applyBorder="1" applyAlignment="1" applyProtection="1">
      <alignment horizontal="centerContinuous" vertical="center"/>
    </xf>
    <xf numFmtId="0" fontId="88" fillId="32" borderId="0" xfId="0" applyFont="1" applyFill="1" applyBorder="1" applyAlignment="1" applyProtection="1">
      <alignment horizontal="centerContinuous" vertical="center"/>
    </xf>
    <xf numFmtId="0" fontId="88" fillId="32" borderId="0" xfId="0" applyFont="1" applyFill="1" applyBorder="1" applyAlignment="1" applyProtection="1">
      <alignment horizontal="center" vertical="center"/>
    </xf>
    <xf numFmtId="0" fontId="69" fillId="0" borderId="0" xfId="0" applyFont="1" applyAlignment="1" applyProtection="1">
      <alignment horizontal="center"/>
    </xf>
    <xf numFmtId="0" fontId="91" fillId="44" borderId="55" xfId="0" applyFont="1" applyFill="1" applyBorder="1" applyAlignment="1" applyProtection="1">
      <alignment horizontal="center" vertical="top"/>
    </xf>
    <xf numFmtId="0" fontId="31" fillId="44" borderId="42" xfId="0" applyFont="1" applyFill="1" applyBorder="1" applyAlignment="1" applyProtection="1">
      <alignment horizontal="left" vertical="center"/>
    </xf>
    <xf numFmtId="0" fontId="38" fillId="44" borderId="0" xfId="0" applyFont="1" applyFill="1" applyBorder="1" applyAlignment="1" applyProtection="1">
      <alignment horizontal="left" vertical="center"/>
    </xf>
    <xf numFmtId="0" fontId="31" fillId="0" borderId="2" xfId="0" applyFont="1" applyFill="1" applyBorder="1" applyAlignment="1" applyProtection="1">
      <alignment horizontal="left" vertical="center"/>
    </xf>
    <xf numFmtId="0" fontId="89" fillId="0" borderId="42" xfId="0" applyFont="1" applyFill="1" applyBorder="1" applyAlignment="1" applyProtection="1">
      <alignment horizontal="right" vertical="center"/>
      <protection locked="0"/>
    </xf>
    <xf numFmtId="0" fontId="31" fillId="0" borderId="0" xfId="0" applyFont="1" applyFill="1" applyBorder="1" applyAlignment="1" applyProtection="1">
      <alignment horizontal="left" vertical="center"/>
      <protection locked="0"/>
    </xf>
    <xf numFmtId="0" fontId="31" fillId="0" borderId="18" xfId="0" quotePrefix="1" applyFont="1" applyFill="1" applyBorder="1" applyAlignment="1" applyProtection="1">
      <alignment horizontal="left" vertical="center"/>
    </xf>
    <xf numFmtId="0" fontId="31" fillId="0" borderId="18" xfId="0" quotePrefix="1" applyFont="1" applyFill="1" applyBorder="1" applyAlignment="1" applyProtection="1">
      <alignment horizontal="right" vertical="center"/>
    </xf>
    <xf numFmtId="0" fontId="90" fillId="0" borderId="0" xfId="0" applyFont="1" applyFill="1" applyBorder="1" applyAlignment="1" applyProtection="1">
      <alignment horizontal="left" vertical="center"/>
    </xf>
    <xf numFmtId="175" fontId="32" fillId="0" borderId="42" xfId="0" applyNumberFormat="1" applyFont="1" applyFill="1" applyBorder="1" applyAlignment="1" applyProtection="1">
      <alignment horizontal="center" vertical="center"/>
      <protection locked="0"/>
    </xf>
    <xf numFmtId="42" fontId="0" fillId="0" borderId="18" xfId="0" applyNumberFormat="1" applyBorder="1" applyAlignment="1">
      <alignment horizontal="right"/>
    </xf>
    <xf numFmtId="42" fontId="0" fillId="0" borderId="13" xfId="0" applyNumberFormat="1" applyBorder="1" applyAlignment="1">
      <alignment horizontal="right"/>
    </xf>
    <xf numFmtId="0" fontId="31" fillId="0" borderId="0" xfId="0" applyFont="1" applyFill="1"/>
    <xf numFmtId="0" fontId="1" fillId="0" borderId="0" xfId="0" applyFont="1" applyFill="1" applyBorder="1" applyAlignment="1">
      <alignment horizontal="left"/>
    </xf>
    <xf numFmtId="42" fontId="0" fillId="0" borderId="0" xfId="0" applyNumberFormat="1"/>
    <xf numFmtId="42" fontId="93" fillId="42" borderId="23" xfId="0" applyNumberFormat="1" applyFont="1" applyFill="1" applyBorder="1"/>
    <xf numFmtId="0" fontId="0" fillId="0" borderId="19" xfId="0" applyFill="1" applyBorder="1"/>
    <xf numFmtId="0" fontId="1" fillId="0" borderId="6" xfId="0" applyFont="1" applyFill="1" applyBorder="1" applyAlignment="1">
      <alignment horizontal="left"/>
    </xf>
    <xf numFmtId="0" fontId="0" fillId="0" borderId="20" xfId="0" applyFill="1" applyBorder="1"/>
    <xf numFmtId="0" fontId="1" fillId="46" borderId="26" xfId="0" applyFont="1" applyFill="1" applyBorder="1"/>
    <xf numFmtId="0" fontId="0" fillId="0" borderId="25" xfId="0" applyBorder="1"/>
    <xf numFmtId="0" fontId="0" fillId="0" borderId="0" xfId="0" applyBorder="1" applyAlignment="1">
      <alignment horizontal="left"/>
    </xf>
    <xf numFmtId="0" fontId="0" fillId="0" borderId="26" xfId="0" applyBorder="1"/>
    <xf numFmtId="0" fontId="1" fillId="0" borderId="26" xfId="0" applyFont="1" applyBorder="1"/>
    <xf numFmtId="42" fontId="0" fillId="0" borderId="0" xfId="0" applyNumberFormat="1" applyBorder="1" applyAlignment="1">
      <alignment horizontal="right"/>
    </xf>
    <xf numFmtId="0" fontId="61" fillId="42" borderId="26" xfId="0" applyFont="1" applyFill="1" applyBorder="1"/>
    <xf numFmtId="0" fontId="0" fillId="0" borderId="21" xfId="0" applyBorder="1"/>
    <xf numFmtId="42" fontId="0" fillId="0" borderId="8" xfId="0" applyNumberFormat="1" applyBorder="1"/>
    <xf numFmtId="0" fontId="0" fillId="0" borderId="22" xfId="0" applyBorder="1"/>
    <xf numFmtId="0" fontId="0" fillId="0" borderId="19" xfId="0" applyBorder="1"/>
    <xf numFmtId="0" fontId="0" fillId="0" borderId="6" xfId="0" applyBorder="1"/>
    <xf numFmtId="0" fontId="0" fillId="0" borderId="20" xfId="0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39" fillId="0" borderId="0" xfId="0" applyFont="1" applyFill="1" applyBorder="1" applyAlignment="1">
      <alignment horizontal="left"/>
    </xf>
    <xf numFmtId="0" fontId="0" fillId="0" borderId="26" xfId="0" applyFill="1" applyBorder="1"/>
    <xf numFmtId="0" fontId="0" fillId="0" borderId="21" xfId="0" applyFill="1" applyBorder="1"/>
    <xf numFmtId="0" fontId="39" fillId="0" borderId="8" xfId="0" applyFont="1" applyFill="1" applyBorder="1" applyAlignment="1">
      <alignment horizontal="left"/>
    </xf>
    <xf numFmtId="0" fontId="0" fillId="0" borderId="22" xfId="0" applyFill="1" applyBorder="1"/>
    <xf numFmtId="0" fontId="3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42" fontId="1" fillId="0" borderId="25" xfId="0" applyNumberFormat="1" applyFont="1" applyFill="1" applyBorder="1"/>
    <xf numFmtId="0" fontId="1" fillId="0" borderId="26" xfId="0" applyFont="1" applyFill="1" applyBorder="1"/>
    <xf numFmtId="0" fontId="1" fillId="0" borderId="25" xfId="0" applyNumberFormat="1" applyFont="1" applyFill="1" applyBorder="1"/>
    <xf numFmtId="0" fontId="0" fillId="0" borderId="25" xfId="0" applyFill="1" applyBorder="1"/>
    <xf numFmtId="42" fontId="1" fillId="46" borderId="0" xfId="0" applyNumberFormat="1" applyFont="1" applyFill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0" xfId="0" applyFont="1" applyFill="1" applyAlignment="1">
      <alignment horizontal="right"/>
    </xf>
    <xf numFmtId="42" fontId="0" fillId="0" borderId="25" xfId="0" applyNumberFormat="1" applyFill="1" applyBorder="1"/>
    <xf numFmtId="42" fontId="0" fillId="45" borderId="23" xfId="0" applyNumberFormat="1" applyFill="1" applyBorder="1"/>
    <xf numFmtId="0" fontId="0" fillId="45" borderId="23" xfId="0" applyFill="1" applyBorder="1"/>
    <xf numFmtId="175" fontId="32" fillId="0" borderId="18" xfId="0" applyNumberFormat="1" applyFont="1" applyFill="1" applyBorder="1" applyAlignment="1" applyProtection="1">
      <alignment horizontal="right" vertical="center"/>
    </xf>
    <xf numFmtId="175" fontId="32" fillId="0" borderId="18" xfId="0" applyNumberFormat="1" applyFont="1" applyBorder="1" applyAlignment="1" applyProtection="1">
      <alignment horizontal="right" vertical="center"/>
    </xf>
    <xf numFmtId="175" fontId="31" fillId="0" borderId="18" xfId="0" quotePrefix="1" applyNumberFormat="1" applyFont="1" applyBorder="1" applyAlignment="1" applyProtection="1">
      <alignment horizontal="right" vertical="center"/>
    </xf>
    <xf numFmtId="0" fontId="0" fillId="0" borderId="0" xfId="0" applyFill="1" applyAlignment="1" applyProtection="1"/>
    <xf numFmtId="0" fontId="31" fillId="0" borderId="10" xfId="0" applyFont="1" applyFill="1" applyBorder="1" applyAlignment="1" applyProtection="1">
      <alignment horizontal="center"/>
    </xf>
    <xf numFmtId="0" fontId="50" fillId="0" borderId="0" xfId="0" applyFont="1" applyBorder="1" applyAlignment="1" applyProtection="1"/>
    <xf numFmtId="0" fontId="42" fillId="0" borderId="56" xfId="0" applyFont="1" applyBorder="1" applyAlignment="1" applyProtection="1">
      <alignment horizontal="centerContinuous" vertical="center"/>
    </xf>
    <xf numFmtId="0" fontId="42" fillId="0" borderId="57" xfId="0" applyFont="1" applyBorder="1" applyAlignment="1" applyProtection="1">
      <alignment horizontal="centerContinuous" vertical="center"/>
    </xf>
    <xf numFmtId="0" fontId="42" fillId="0" borderId="58" xfId="0" applyFont="1" applyBorder="1" applyAlignment="1" applyProtection="1">
      <alignment horizontal="centerContinuous" vertical="center"/>
    </xf>
    <xf numFmtId="0" fontId="2" fillId="1" borderId="59" xfId="0" applyFont="1" applyFill="1" applyBorder="1" applyAlignment="1" applyProtection="1"/>
    <xf numFmtId="0" fontId="2" fillId="0" borderId="60" xfId="0" applyFont="1" applyBorder="1" applyAlignment="1" applyProtection="1"/>
    <xf numFmtId="0" fontId="88" fillId="32" borderId="61" xfId="0" applyFont="1" applyFill="1" applyBorder="1" applyAlignment="1" applyProtection="1">
      <alignment horizontal="centerContinuous" vertical="center"/>
    </xf>
    <xf numFmtId="0" fontId="88" fillId="32" borderId="62" xfId="0" applyFont="1" applyFill="1" applyBorder="1" applyAlignment="1" applyProtection="1">
      <alignment horizontal="centerContinuous" vertical="center"/>
    </xf>
    <xf numFmtId="0" fontId="54" fillId="0" borderId="63" xfId="0" applyFont="1" applyBorder="1" applyAlignment="1" applyProtection="1">
      <alignment horizontal="center" vertical="center"/>
    </xf>
    <xf numFmtId="0" fontId="58" fillId="0" borderId="62" xfId="0" applyFont="1" applyBorder="1" applyAlignment="1" applyProtection="1">
      <alignment horizontal="centerContinuous" vertical="center"/>
    </xf>
    <xf numFmtId="0" fontId="67" fillId="1" borderId="63" xfId="0" applyFont="1" applyFill="1" applyBorder="1" applyAlignment="1" applyProtection="1">
      <alignment horizontal="center"/>
    </xf>
    <xf numFmtId="0" fontId="53" fillId="0" borderId="64" xfId="0" applyFont="1" applyBorder="1" applyAlignment="1" applyProtection="1">
      <alignment horizontal="center"/>
    </xf>
    <xf numFmtId="0" fontId="53" fillId="0" borderId="65" xfId="0" applyFont="1" applyBorder="1" applyAlignment="1" applyProtection="1">
      <alignment horizontal="center"/>
    </xf>
    <xf numFmtId="0" fontId="53" fillId="0" borderId="66" xfId="0" applyFont="1" applyBorder="1" applyAlignment="1" applyProtection="1">
      <alignment horizontal="center"/>
    </xf>
    <xf numFmtId="0" fontId="53" fillId="0" borderId="67" xfId="0" applyFont="1" applyBorder="1" applyAlignment="1" applyProtection="1"/>
    <xf numFmtId="0" fontId="69" fillId="37" borderId="63" xfId="0" applyFont="1" applyFill="1" applyBorder="1" applyAlignment="1" applyProtection="1">
      <alignment horizontal="center"/>
    </xf>
    <xf numFmtId="0" fontId="88" fillId="32" borderId="68" xfId="0" applyFont="1" applyFill="1" applyBorder="1" applyAlignment="1" applyProtection="1">
      <alignment horizontal="center" vertical="center"/>
    </xf>
    <xf numFmtId="0" fontId="54" fillId="0" borderId="69" xfId="0" applyFont="1" applyFill="1" applyBorder="1" applyAlignment="1" applyProtection="1">
      <alignment horizontal="center" vertical="center"/>
    </xf>
    <xf numFmtId="0" fontId="2" fillId="40" borderId="62" xfId="0" applyFont="1" applyFill="1" applyBorder="1" applyAlignment="1" applyProtection="1">
      <alignment horizontal="centerContinuous" vertical="center"/>
    </xf>
    <xf numFmtId="0" fontId="54" fillId="1" borderId="63" xfId="0" applyFont="1" applyFill="1" applyBorder="1" applyAlignment="1" applyProtection="1">
      <alignment horizontal="center" vertical="center"/>
    </xf>
    <xf numFmtId="0" fontId="54" fillId="1" borderId="59" xfId="0" applyFont="1" applyFill="1" applyBorder="1" applyAlignment="1" applyProtection="1">
      <alignment horizontal="center" vertical="center"/>
    </xf>
    <xf numFmtId="0" fontId="88" fillId="32" borderId="71" xfId="0" applyFont="1" applyFill="1" applyBorder="1" applyAlignment="1" applyProtection="1">
      <alignment horizontal="centerContinuous" vertical="center"/>
    </xf>
    <xf numFmtId="0" fontId="88" fillId="32" borderId="60" xfId="0" applyFont="1" applyFill="1" applyBorder="1" applyAlignment="1" applyProtection="1">
      <alignment horizontal="centerContinuous" vertical="center"/>
    </xf>
    <xf numFmtId="0" fontId="54" fillId="0" borderId="72" xfId="0" applyFont="1" applyFill="1" applyBorder="1" applyAlignment="1" applyProtection="1">
      <alignment horizontal="center" vertical="center"/>
    </xf>
    <xf numFmtId="0" fontId="31" fillId="0" borderId="63" xfId="0" applyFont="1" applyFill="1" applyBorder="1" applyAlignment="1" applyProtection="1">
      <alignment horizontal="center" vertical="center"/>
    </xf>
    <xf numFmtId="0" fontId="2" fillId="1" borderId="63" xfId="0" applyFont="1" applyFill="1" applyBorder="1" applyAlignment="1" applyProtection="1">
      <alignment horizontal="center" vertical="center"/>
    </xf>
    <xf numFmtId="0" fontId="1" fillId="44" borderId="68" xfId="0" applyFont="1" applyFill="1" applyBorder="1" applyAlignment="1" applyProtection="1">
      <alignment horizontal="left"/>
    </xf>
    <xf numFmtId="0" fontId="1" fillId="0" borderId="64" xfId="0" applyFont="1" applyFill="1" applyBorder="1" applyAlignment="1" applyProtection="1">
      <alignment horizontal="left"/>
    </xf>
    <xf numFmtId="0" fontId="1" fillId="0" borderId="68" xfId="0" applyFont="1" applyFill="1" applyBorder="1" applyAlignment="1" applyProtection="1">
      <alignment horizontal="left"/>
    </xf>
    <xf numFmtId="0" fontId="1" fillId="0" borderId="68" xfId="0" applyFont="1" applyFill="1" applyBorder="1" applyAlignment="1" applyProtection="1">
      <alignment horizontal="left" wrapText="1" shrinkToFit="1"/>
    </xf>
    <xf numFmtId="0" fontId="31" fillId="0" borderId="73" xfId="0" applyFont="1" applyFill="1" applyBorder="1" applyAlignment="1" applyProtection="1">
      <alignment horizontal="left" vertical="center"/>
    </xf>
    <xf numFmtId="0" fontId="31" fillId="0" borderId="68" xfId="0" applyFont="1" applyFill="1" applyBorder="1" applyAlignment="1" applyProtection="1">
      <alignment horizontal="left" vertical="center"/>
    </xf>
    <xf numFmtId="0" fontId="69" fillId="1" borderId="63" xfId="0" applyFont="1" applyFill="1" applyBorder="1" applyAlignment="1" applyProtection="1">
      <alignment horizontal="center" vertical="center"/>
    </xf>
    <xf numFmtId="0" fontId="2" fillId="37" borderId="63" xfId="0" applyFont="1" applyFill="1" applyBorder="1" applyAlignment="1" applyProtection="1"/>
    <xf numFmtId="0" fontId="54" fillId="31" borderId="72" xfId="0" applyFont="1" applyFill="1" applyBorder="1" applyAlignment="1" applyProtection="1">
      <alignment horizontal="center" vertical="center"/>
    </xf>
    <xf numFmtId="0" fontId="31" fillId="0" borderId="70" xfId="0" applyFont="1" applyFill="1" applyBorder="1" applyAlignment="1" applyProtection="1">
      <alignment horizontal="left" vertical="center"/>
    </xf>
    <xf numFmtId="0" fontId="31" fillId="0" borderId="63" xfId="0" applyFont="1" applyFill="1" applyBorder="1" applyAlignment="1" applyProtection="1">
      <alignment horizontal="left" vertical="center"/>
    </xf>
    <xf numFmtId="0" fontId="42" fillId="0" borderId="63" xfId="0" applyFont="1" applyFill="1" applyBorder="1" applyAlignment="1" applyProtection="1">
      <alignment horizontal="center" vertical="top"/>
    </xf>
    <xf numFmtId="0" fontId="1" fillId="1" borderId="63" xfId="0" applyFont="1" applyFill="1" applyBorder="1" applyAlignment="1" applyProtection="1">
      <alignment horizontal="left"/>
    </xf>
    <xf numFmtId="0" fontId="50" fillId="1" borderId="63" xfId="0" applyFont="1" applyFill="1" applyBorder="1" applyAlignment="1" applyProtection="1"/>
    <xf numFmtId="0" fontId="2" fillId="23" borderId="62" xfId="0" applyFont="1" applyFill="1" applyBorder="1" applyAlignment="1" applyProtection="1">
      <alignment horizontal="centerContinuous" vertical="center"/>
    </xf>
    <xf numFmtId="0" fontId="31" fillId="1" borderId="63" xfId="0" applyFont="1" applyFill="1" applyBorder="1" applyAlignment="1" applyProtection="1">
      <alignment vertical="center"/>
    </xf>
    <xf numFmtId="0" fontId="1" fillId="0" borderId="68" xfId="0" applyFont="1" applyFill="1" applyBorder="1" applyAlignment="1" applyProtection="1"/>
    <xf numFmtId="0" fontId="78" fillId="1" borderId="63" xfId="0" applyFont="1" applyFill="1" applyBorder="1" applyAlignment="1" applyProtection="1">
      <alignment vertical="center"/>
    </xf>
    <xf numFmtId="0" fontId="80" fillId="0" borderId="68" xfId="0" applyFont="1" applyFill="1" applyBorder="1" applyAlignment="1" applyProtection="1"/>
    <xf numFmtId="0" fontId="63" fillId="1" borderId="74" xfId="0" applyFont="1" applyFill="1" applyBorder="1" applyAlignment="1" applyProtection="1">
      <alignment vertical="center"/>
    </xf>
    <xf numFmtId="0" fontId="50" fillId="0" borderId="68" xfId="0" applyFont="1" applyFill="1" applyBorder="1" applyAlignment="1" applyProtection="1"/>
    <xf numFmtId="0" fontId="31" fillId="1" borderId="74" xfId="0" applyFont="1" applyFill="1" applyBorder="1" applyAlignment="1" applyProtection="1">
      <alignment horizontal="left" vertical="center"/>
    </xf>
    <xf numFmtId="0" fontId="31" fillId="1" borderId="71" xfId="0" applyFont="1" applyFill="1" applyBorder="1" applyAlignment="1" applyProtection="1">
      <alignment horizontal="left" vertical="center"/>
    </xf>
    <xf numFmtId="0" fontId="2" fillId="38" borderId="63" xfId="0" applyFont="1" applyFill="1" applyBorder="1" applyAlignment="1" applyProtection="1">
      <alignment horizontal="center" vertical="center"/>
    </xf>
    <xf numFmtId="0" fontId="1" fillId="0" borderId="63" xfId="0" applyFont="1" applyFill="1" applyBorder="1" applyAlignment="1" applyProtection="1">
      <alignment horizontal="left"/>
    </xf>
    <xf numFmtId="0" fontId="94" fillId="0" borderId="63" xfId="0" applyFont="1" applyBorder="1" applyAlignment="1" applyProtection="1">
      <alignment horizontal="center"/>
    </xf>
    <xf numFmtId="0" fontId="54" fillId="0" borderId="72" xfId="0" applyFont="1" applyBorder="1" applyAlignment="1" applyProtection="1">
      <alignment horizontal="center" vertical="center"/>
    </xf>
    <xf numFmtId="0" fontId="32" fillId="1" borderId="70" xfId="0" applyFont="1" applyFill="1" applyBorder="1" applyAlignment="1" applyProtection="1">
      <alignment vertical="top"/>
    </xf>
    <xf numFmtId="0" fontId="49" fillId="1" borderId="63" xfId="0" applyFont="1" applyFill="1" applyBorder="1" applyAlignment="1" applyProtection="1">
      <alignment horizontal="center" vertical="center"/>
    </xf>
    <xf numFmtId="0" fontId="32" fillId="1" borderId="60" xfId="0" applyFont="1" applyFill="1" applyBorder="1" applyAlignment="1" applyProtection="1">
      <alignment vertical="top"/>
    </xf>
    <xf numFmtId="0" fontId="2" fillId="40" borderId="61" xfId="0" applyFont="1" applyFill="1" applyBorder="1" applyAlignment="1" applyProtection="1">
      <alignment horizontal="center" vertical="center"/>
    </xf>
    <xf numFmtId="0" fontId="2" fillId="40" borderId="62" xfId="0" applyFont="1" applyFill="1" applyBorder="1" applyAlignment="1" applyProtection="1">
      <alignment horizontal="center" vertical="center"/>
    </xf>
    <xf numFmtId="0" fontId="58" fillId="1" borderId="63" xfId="0" applyFont="1" applyFill="1" applyBorder="1" applyAlignment="1" applyProtection="1">
      <alignment horizontal="center" vertical="center"/>
    </xf>
    <xf numFmtId="0" fontId="2" fillId="0" borderId="62" xfId="0" applyFont="1" applyBorder="1" applyAlignment="1" applyProtection="1">
      <alignment horizontal="centerContinuous" vertical="center"/>
    </xf>
    <xf numFmtId="0" fontId="52" fillId="0" borderId="75" xfId="0" applyFont="1" applyBorder="1" applyAlignment="1" applyProtection="1">
      <alignment horizontal="left" vertical="top"/>
    </xf>
    <xf numFmtId="0" fontId="58" fillId="1" borderId="74" xfId="0" applyFont="1" applyFill="1" applyBorder="1" applyAlignment="1" applyProtection="1">
      <alignment horizontal="center" vertical="center"/>
    </xf>
    <xf numFmtId="0" fontId="52" fillId="0" borderId="65" xfId="0" applyFont="1" applyBorder="1" applyAlignment="1" applyProtection="1">
      <alignment horizontal="left" vertical="top"/>
    </xf>
    <xf numFmtId="0" fontId="58" fillId="1" borderId="71" xfId="0" applyFont="1" applyFill="1" applyBorder="1" applyAlignment="1" applyProtection="1">
      <alignment horizontal="center" vertical="center"/>
    </xf>
    <xf numFmtId="0" fontId="52" fillId="0" borderId="60" xfId="0" applyFont="1" applyBorder="1" applyAlignment="1" applyProtection="1">
      <alignment horizontal="left" vertical="top"/>
    </xf>
    <xf numFmtId="0" fontId="88" fillId="32" borderId="69" xfId="0" applyFont="1" applyFill="1" applyBorder="1" applyAlignment="1" applyProtection="1">
      <alignment horizontal="centerContinuous" vertical="center"/>
    </xf>
    <xf numFmtId="0" fontId="54" fillId="31" borderId="74" xfId="0" applyFont="1" applyFill="1" applyBorder="1" applyAlignment="1" applyProtection="1">
      <alignment horizontal="center" vertical="center"/>
    </xf>
    <xf numFmtId="0" fontId="52" fillId="0" borderId="62" xfId="0" applyFont="1" applyBorder="1" applyAlignment="1" applyProtection="1">
      <alignment horizontal="left" vertical="top"/>
    </xf>
    <xf numFmtId="0" fontId="88" fillId="32" borderId="61" xfId="0" applyFont="1" applyFill="1" applyBorder="1" applyAlignment="1" applyProtection="1">
      <alignment horizontal="centerContinuous"/>
    </xf>
    <xf numFmtId="0" fontId="88" fillId="32" borderId="62" xfId="0" applyFont="1" applyFill="1" applyBorder="1" applyAlignment="1" applyProtection="1">
      <alignment horizontal="centerContinuous"/>
    </xf>
    <xf numFmtId="0" fontId="54" fillId="31" borderId="69" xfId="0" applyFont="1" applyFill="1" applyBorder="1" applyAlignment="1" applyProtection="1">
      <alignment horizontal="center" vertical="center"/>
    </xf>
    <xf numFmtId="0" fontId="52" fillId="1" borderId="70" xfId="0" applyFont="1" applyFill="1" applyBorder="1" applyAlignment="1" applyProtection="1">
      <alignment horizontal="left" vertical="top"/>
    </xf>
    <xf numFmtId="0" fontId="54" fillId="1" borderId="76" xfId="0" applyFont="1" applyFill="1" applyBorder="1" applyAlignment="1" applyProtection="1">
      <alignment horizontal="center" vertical="center"/>
    </xf>
    <xf numFmtId="0" fontId="31" fillId="31" borderId="77" xfId="0" applyFont="1" applyFill="1" applyBorder="1" applyAlignment="1" applyProtection="1">
      <alignment horizontal="left" vertical="center"/>
    </xf>
    <xf numFmtId="0" fontId="0" fillId="0" borderId="78" xfId="0" applyBorder="1" applyAlignment="1" applyProtection="1"/>
    <xf numFmtId="0" fontId="0" fillId="0" borderId="79" xfId="0" applyBorder="1" applyAlignment="1" applyProtection="1"/>
    <xf numFmtId="0" fontId="31" fillId="31" borderId="80" xfId="0" applyFont="1" applyFill="1" applyBorder="1" applyAlignment="1" applyProtection="1">
      <alignment horizontal="left" vertical="center"/>
    </xf>
    <xf numFmtId="0" fontId="52" fillId="0" borderId="80" xfId="0" applyFont="1" applyBorder="1" applyAlignment="1" applyProtection="1">
      <alignment horizontal="left" vertical="top"/>
    </xf>
    <xf numFmtId="0" fontId="31" fillId="0" borderId="81" xfId="0" applyFont="1" applyFill="1" applyBorder="1" applyAlignment="1" applyProtection="1">
      <alignment horizontal="left" vertical="center"/>
    </xf>
    <xf numFmtId="0" fontId="0" fillId="0" borderId="82" xfId="0" applyBorder="1" applyAlignment="1" applyProtection="1">
      <alignment horizontal="left"/>
    </xf>
    <xf numFmtId="0" fontId="0" fillId="0" borderId="83" xfId="0" applyBorder="1" applyAlignment="1" applyProtection="1">
      <alignment horizontal="left"/>
    </xf>
    <xf numFmtId="0" fontId="52" fillId="0" borderId="81" xfId="0" applyFont="1" applyFill="1" applyBorder="1" applyAlignment="1" applyProtection="1">
      <alignment horizontal="left" vertical="top"/>
    </xf>
    <xf numFmtId="0" fontId="0" fillId="0" borderId="82" xfId="0" applyBorder="1" applyAlignment="1" applyProtection="1"/>
    <xf numFmtId="0" fontId="0" fillId="0" borderId="84" xfId="0" applyBorder="1" applyAlignment="1" applyProtection="1"/>
    <xf numFmtId="0" fontId="52" fillId="1" borderId="85" xfId="0" applyFont="1" applyFill="1" applyBorder="1" applyAlignment="1" applyProtection="1">
      <alignment horizontal="left" vertical="top"/>
    </xf>
    <xf numFmtId="0" fontId="52" fillId="1" borderId="86" xfId="0" applyFont="1" applyFill="1" applyBorder="1" applyAlignment="1" applyProtection="1">
      <alignment horizontal="left" vertical="top"/>
    </xf>
    <xf numFmtId="49" fontId="60" fillId="0" borderId="28" xfId="0" applyNumberFormat="1" applyFont="1" applyBorder="1" applyAlignment="1" applyProtection="1">
      <alignment horizontal="center" vertical="center"/>
      <protection locked="0"/>
    </xf>
    <xf numFmtId="0" fontId="0" fillId="0" borderId="0" xfId="0" applyBorder="1" applyAlignment="1"/>
    <xf numFmtId="0" fontId="0" fillId="0" borderId="68" xfId="0" applyBorder="1" applyAlignment="1"/>
    <xf numFmtId="42" fontId="32" fillId="0" borderId="18" xfId="0" applyNumberFormat="1" applyFont="1" applyFill="1" applyBorder="1" applyAlignment="1" applyProtection="1">
      <alignment horizontal="center"/>
      <protection locked="0"/>
    </xf>
    <xf numFmtId="0" fontId="89" fillId="0" borderId="0" xfId="0" applyFont="1" applyFill="1" applyBorder="1" applyAlignment="1" applyProtection="1">
      <alignment horizontal="left" vertical="center"/>
      <protection locked="0"/>
    </xf>
    <xf numFmtId="0" fontId="89" fillId="0" borderId="68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0" fillId="0" borderId="68" xfId="0" applyBorder="1" applyAlignment="1"/>
    <xf numFmtId="42" fontId="32" fillId="0" borderId="18" xfId="0" applyNumberFormat="1" applyFont="1" applyFill="1" applyBorder="1" applyAlignment="1" applyProtection="1">
      <alignment horizontal="center"/>
      <protection locked="0"/>
    </xf>
    <xf numFmtId="0" fontId="2" fillId="40" borderId="0" xfId="0" applyFont="1" applyFill="1" applyBorder="1" applyAlignment="1" applyProtection="1">
      <alignment horizontal="centerContinuous" vertical="center"/>
    </xf>
    <xf numFmtId="0" fontId="2" fillId="40" borderId="0" xfId="0" applyFont="1" applyFill="1" applyBorder="1" applyAlignment="1" applyProtection="1">
      <alignment horizontal="center" vertical="center"/>
    </xf>
    <xf numFmtId="0" fontId="2" fillId="40" borderId="8" xfId="0" applyFont="1" applyFill="1" applyBorder="1" applyAlignment="1" applyProtection="1">
      <alignment horizontal="centerContinuous" vertical="center"/>
    </xf>
    <xf numFmtId="0" fontId="95" fillId="38" borderId="61" xfId="0" applyFont="1" applyFill="1" applyBorder="1" applyAlignment="1" applyProtection="1">
      <alignment horizontal="center" vertical="center"/>
    </xf>
    <xf numFmtId="0" fontId="95" fillId="38" borderId="7" xfId="0" applyFont="1" applyFill="1" applyBorder="1" applyAlignment="1" applyProtection="1">
      <alignment horizontal="centerContinuous" vertical="center"/>
    </xf>
    <xf numFmtId="0" fontId="95" fillId="38" borderId="62" xfId="0" applyFont="1" applyFill="1" applyBorder="1" applyAlignment="1" applyProtection="1">
      <alignment horizontal="center" vertical="center"/>
    </xf>
    <xf numFmtId="0" fontId="54" fillId="1" borderId="69" xfId="0" applyFont="1" applyFill="1" applyBorder="1" applyAlignment="1" applyProtection="1">
      <alignment horizontal="center" vertical="center"/>
    </xf>
    <xf numFmtId="0" fontId="54" fillId="1" borderId="74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Continuous" vertical="center"/>
    </xf>
    <xf numFmtId="0" fontId="2" fillId="0" borderId="62" xfId="0" applyFont="1" applyFill="1" applyBorder="1" applyAlignment="1" applyProtection="1">
      <alignment horizontal="centerContinuous" vertical="center"/>
    </xf>
    <xf numFmtId="0" fontId="96" fillId="0" borderId="63" xfId="0" applyFont="1" applyBorder="1" applyAlignment="1" applyProtection="1">
      <alignment horizontal="center"/>
    </xf>
    <xf numFmtId="0" fontId="2" fillId="0" borderId="28" xfId="0" applyFont="1" applyFill="1" applyBorder="1" applyAlignment="1" applyProtection="1">
      <alignment horizontal="centerContinuous" vertical="center"/>
    </xf>
    <xf numFmtId="0" fontId="69" fillId="40" borderId="71" xfId="0" applyFont="1" applyFill="1" applyBorder="1" applyAlignment="1" applyProtection="1">
      <alignment horizontal="center"/>
    </xf>
    <xf numFmtId="0" fontId="67" fillId="1" borderId="59" xfId="0" applyFont="1" applyFill="1" applyBorder="1" applyAlignment="1" applyProtection="1">
      <alignment horizontal="center"/>
    </xf>
    <xf numFmtId="0" fontId="2" fillId="40" borderId="21" xfId="0" applyFont="1" applyFill="1" applyBorder="1" applyAlignment="1" applyProtection="1">
      <alignment horizontal="centerContinuous" vertical="center"/>
    </xf>
    <xf numFmtId="0" fontId="2" fillId="40" borderId="22" xfId="0" applyFont="1" applyFill="1" applyBorder="1" applyAlignment="1" applyProtection="1">
      <alignment horizontal="centerContinuous" vertical="center"/>
    </xf>
    <xf numFmtId="0" fontId="2" fillId="40" borderId="68" xfId="0" applyFont="1" applyFill="1" applyBorder="1" applyAlignment="1" applyProtection="1">
      <alignment horizontal="centerContinuous" vertical="center"/>
    </xf>
    <xf numFmtId="0" fontId="64" fillId="0" borderId="52" xfId="0" applyFont="1" applyFill="1" applyBorder="1" applyAlignment="1" applyProtection="1">
      <alignment horizontal="center" vertical="center"/>
      <protection locked="0"/>
    </xf>
    <xf numFmtId="0" fontId="2" fillId="0" borderId="50" xfId="0" applyFont="1" applyFill="1" applyBorder="1" applyAlignment="1" applyProtection="1">
      <alignment horizontal="left" vertical="center"/>
    </xf>
    <xf numFmtId="0" fontId="2" fillId="1" borderId="63" xfId="0" applyFont="1" applyFill="1" applyBorder="1" applyAlignment="1" applyProtection="1"/>
    <xf numFmtId="0" fontId="2" fillId="0" borderId="0" xfId="0" applyFont="1" applyBorder="1" applyAlignment="1" applyProtection="1"/>
    <xf numFmtId="0" fontId="2" fillId="0" borderId="68" xfId="0" applyFont="1" applyBorder="1" applyAlignment="1" applyProtection="1"/>
    <xf numFmtId="0" fontId="58" fillId="0" borderId="21" xfId="0" applyFont="1" applyBorder="1" applyAlignment="1" applyProtection="1">
      <alignment horizontal="left" vertical="center"/>
    </xf>
    <xf numFmtId="0" fontId="58" fillId="0" borderId="8" xfId="0" applyFont="1" applyBorder="1" applyAlignment="1" applyProtection="1">
      <alignment horizontal="left" vertical="center"/>
    </xf>
    <xf numFmtId="0" fontId="58" fillId="0" borderId="22" xfId="0" applyFont="1" applyBorder="1" applyAlignment="1" applyProtection="1">
      <alignment horizontal="left" vertical="center"/>
    </xf>
    <xf numFmtId="0" fontId="58" fillId="0" borderId="21" xfId="0" applyFont="1" applyBorder="1" applyAlignment="1" applyProtection="1">
      <alignment horizontal="centerContinuous" vertical="center"/>
    </xf>
    <xf numFmtId="0" fontId="58" fillId="0" borderId="8" xfId="0" applyFont="1" applyBorder="1" applyAlignment="1" applyProtection="1">
      <alignment horizontal="centerContinuous" vertical="center"/>
    </xf>
    <xf numFmtId="0" fontId="58" fillId="0" borderId="22" xfId="0" applyFont="1" applyBorder="1" applyAlignment="1" applyProtection="1">
      <alignment horizontal="centerContinuous" vertical="center"/>
    </xf>
    <xf numFmtId="0" fontId="58" fillId="0" borderId="21" xfId="0" applyFont="1" applyBorder="1" applyAlignment="1" applyProtection="1">
      <alignment horizontal="center" vertical="center"/>
    </xf>
    <xf numFmtId="0" fontId="58" fillId="0" borderId="60" xfId="0" applyFont="1" applyBorder="1" applyAlignment="1" applyProtection="1">
      <alignment horizontal="centerContinuous" vertical="center"/>
    </xf>
    <xf numFmtId="0" fontId="2" fillId="40" borderId="89" xfId="0" applyFont="1" applyFill="1" applyBorder="1" applyAlignment="1" applyProtection="1">
      <alignment horizontal="centerContinuous" vertical="center"/>
    </xf>
    <xf numFmtId="0" fontId="2" fillId="40" borderId="90" xfId="0" applyFont="1" applyFill="1" applyBorder="1" applyAlignment="1" applyProtection="1">
      <alignment horizontal="centerContinuous" vertical="center"/>
    </xf>
    <xf numFmtId="0" fontId="2" fillId="40" borderId="91" xfId="0" applyFont="1" applyFill="1" applyBorder="1" applyAlignment="1" applyProtection="1">
      <alignment horizontal="centerContinuous" vertical="center"/>
    </xf>
    <xf numFmtId="0" fontId="54" fillId="0" borderId="63" xfId="0" applyFont="1" applyFill="1" applyBorder="1" applyAlignment="1" applyProtection="1">
      <alignment horizontal="center" vertical="center"/>
    </xf>
    <xf numFmtId="0" fontId="2" fillId="40" borderId="89" xfId="0" applyFont="1" applyFill="1" applyBorder="1" applyAlignment="1" applyProtection="1"/>
    <xf numFmtId="0" fontId="2" fillId="40" borderId="89" xfId="0" applyFont="1" applyFill="1" applyBorder="1" applyAlignment="1" applyProtection="1">
      <alignment horizontal="center" vertical="center"/>
    </xf>
    <xf numFmtId="0" fontId="32" fillId="0" borderId="6" xfId="0" applyFont="1" applyFill="1" applyBorder="1" applyAlignment="1" applyProtection="1">
      <alignment horizontal="left" vertical="center"/>
    </xf>
    <xf numFmtId="3" fontId="60" fillId="0" borderId="6" xfId="74" applyNumberFormat="1" applyFont="1" applyFill="1" applyBorder="1" applyAlignment="1" applyProtection="1">
      <alignment horizontal="right" vertical="center"/>
    </xf>
    <xf numFmtId="0" fontId="0" fillId="0" borderId="6" xfId="0" applyFill="1" applyBorder="1" applyAlignment="1" applyProtection="1">
      <alignment horizontal="right" vertical="center"/>
    </xf>
    <xf numFmtId="0" fontId="32" fillId="0" borderId="21" xfId="0" applyFont="1" applyFill="1" applyBorder="1" applyAlignment="1" applyProtection="1">
      <alignment horizontal="center" vertical="center"/>
    </xf>
    <xf numFmtId="0" fontId="32" fillId="0" borderId="8" xfId="0" applyFont="1" applyFill="1" applyBorder="1" applyAlignment="1" applyProtection="1">
      <alignment horizontal="center" vertical="center"/>
    </xf>
    <xf numFmtId="0" fontId="32" fillId="0" borderId="22" xfId="0" applyFont="1" applyFill="1" applyBorder="1" applyAlignment="1" applyProtection="1">
      <alignment horizontal="center" vertical="center"/>
    </xf>
    <xf numFmtId="0" fontId="32" fillId="0" borderId="21" xfId="0" applyFont="1" applyBorder="1" applyAlignment="1" applyProtection="1">
      <alignment horizontal="center"/>
    </xf>
    <xf numFmtId="0" fontId="32" fillId="0" borderId="8" xfId="0" applyFont="1" applyBorder="1" applyAlignment="1" applyProtection="1">
      <alignment horizontal="center"/>
    </xf>
    <xf numFmtId="0" fontId="32" fillId="1" borderId="25" xfId="0" applyFont="1" applyFill="1" applyBorder="1" applyAlignment="1" applyProtection="1">
      <alignment vertical="top"/>
    </xf>
    <xf numFmtId="0" fontId="32" fillId="1" borderId="0" xfId="0" applyFont="1" applyFill="1" applyBorder="1" applyAlignment="1" applyProtection="1">
      <alignment vertical="top"/>
    </xf>
    <xf numFmtId="0" fontId="32" fillId="1" borderId="68" xfId="0" applyFont="1" applyFill="1" applyBorder="1" applyAlignment="1" applyProtection="1">
      <alignment vertical="top"/>
    </xf>
    <xf numFmtId="0" fontId="38" fillId="23" borderId="92" xfId="0" applyFont="1" applyFill="1" applyBorder="1" applyAlignment="1" applyProtection="1">
      <alignment horizontal="centerContinuous" vertical="center"/>
    </xf>
    <xf numFmtId="0" fontId="38" fillId="23" borderId="93" xfId="0" applyFont="1" applyFill="1" applyBorder="1" applyAlignment="1" applyProtection="1">
      <alignment horizontal="centerContinuous" vertical="center"/>
    </xf>
    <xf numFmtId="0" fontId="31" fillId="0" borderId="77" xfId="0" applyFont="1" applyFill="1" applyBorder="1" applyAlignment="1" applyProtection="1">
      <alignment horizontal="left" vertical="center"/>
    </xf>
    <xf numFmtId="0" fontId="53" fillId="0" borderId="0" xfId="0" applyFont="1" applyFill="1" applyBorder="1" applyAlignment="1" applyProtection="1">
      <alignment horizontal="left" vertical="center"/>
    </xf>
    <xf numFmtId="0" fontId="2" fillId="0" borderId="63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/>
    </xf>
    <xf numFmtId="0" fontId="32" fillId="0" borderId="42" xfId="0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Fill="1" applyBorder="1" applyAlignment="1" applyProtection="1">
      <alignment horizontal="left" vertical="center"/>
    </xf>
    <xf numFmtId="2" fontId="32" fillId="0" borderId="42" xfId="0" applyNumberFormat="1" applyFont="1" applyFill="1" applyBorder="1" applyAlignment="1" applyProtection="1">
      <alignment horizontal="center" vertical="center"/>
      <protection locked="0"/>
    </xf>
    <xf numFmtId="0" fontId="69" fillId="0" borderId="0" xfId="0" applyFont="1" applyFill="1" applyBorder="1" applyAlignment="1" applyProtection="1">
      <alignment horizontal="left"/>
    </xf>
    <xf numFmtId="0" fontId="2" fillId="44" borderId="42" xfId="0" applyFont="1" applyFill="1" applyBorder="1" applyAlignment="1" applyProtection="1">
      <alignment horizontal="left" vertical="center"/>
    </xf>
    <xf numFmtId="0" fontId="59" fillId="44" borderId="0" xfId="0" applyFont="1" applyFill="1" applyBorder="1" applyAlignment="1" applyProtection="1">
      <alignment horizontal="left" vertical="center"/>
    </xf>
    <xf numFmtId="0" fontId="69" fillId="44" borderId="68" xfId="0" applyFont="1" applyFill="1" applyBorder="1" applyAlignment="1" applyProtection="1">
      <alignment horizontal="left"/>
    </xf>
    <xf numFmtId="0" fontId="2" fillId="0" borderId="54" xfId="0" applyFont="1" applyFill="1" applyBorder="1" applyAlignment="1" applyProtection="1">
      <alignment horizontal="left" vertical="center"/>
    </xf>
    <xf numFmtId="0" fontId="2" fillId="0" borderId="18" xfId="0" applyFont="1" applyFill="1" applyBorder="1" applyAlignment="1" applyProtection="1">
      <alignment horizontal="left" vertical="center"/>
    </xf>
    <xf numFmtId="0" fontId="2" fillId="0" borderId="13" xfId="0" applyFont="1" applyFill="1" applyBorder="1" applyAlignment="1" applyProtection="1">
      <alignment horizontal="center" vertical="center"/>
    </xf>
    <xf numFmtId="0" fontId="2" fillId="0" borderId="18" xfId="0" applyFont="1" applyFill="1" applyBorder="1" applyAlignment="1" applyProtection="1">
      <alignment horizontal="center" vertical="center"/>
    </xf>
    <xf numFmtId="0" fontId="69" fillId="0" borderId="64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 vertical="center"/>
    </xf>
    <xf numFmtId="0" fontId="69" fillId="0" borderId="68" xfId="0" applyFont="1" applyFill="1" applyBorder="1" applyAlignment="1" applyProtection="1">
      <alignment horizontal="left"/>
    </xf>
    <xf numFmtId="172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95" fillId="0" borderId="42" xfId="0" applyFont="1" applyFill="1" applyBorder="1" applyAlignment="1" applyProtection="1">
      <alignment horizontal="right" vertical="center"/>
      <protection locked="0"/>
    </xf>
    <xf numFmtId="0" fontId="2" fillId="0" borderId="51" xfId="0" applyFont="1" applyFill="1" applyBorder="1" applyAlignment="1" applyProtection="1">
      <alignment horizontal="left" vertical="center"/>
    </xf>
    <xf numFmtId="0" fontId="2" fillId="0" borderId="18" xfId="0" quotePrefix="1" applyFont="1" applyFill="1" applyBorder="1" applyAlignment="1" applyProtection="1">
      <alignment horizontal="left" vertical="center"/>
    </xf>
    <xf numFmtId="0" fontId="2" fillId="0" borderId="18" xfId="0" quotePrefix="1" applyFont="1" applyFill="1" applyBorder="1" applyAlignment="1" applyProtection="1">
      <alignment horizontal="right" vertical="center"/>
    </xf>
    <xf numFmtId="0" fontId="2" fillId="0" borderId="0" xfId="0" applyFont="1" applyFill="1" applyBorder="1" applyAlignment="1" applyProtection="1">
      <alignment horizontal="left" vertical="center" shrinkToFit="1"/>
    </xf>
    <xf numFmtId="0" fontId="2" fillId="0" borderId="0" xfId="0" applyFont="1" applyFill="1" applyBorder="1" applyAlignment="1" applyProtection="1">
      <alignment horizontal="right" vertical="center"/>
    </xf>
    <xf numFmtId="0" fontId="69" fillId="0" borderId="68" xfId="0" applyFont="1" applyFill="1" applyBorder="1" applyAlignment="1" applyProtection="1">
      <alignment horizontal="left" wrapText="1" shrinkToFit="1"/>
    </xf>
    <xf numFmtId="0" fontId="2" fillId="0" borderId="18" xfId="0" applyFont="1" applyFill="1" applyBorder="1" applyAlignment="1" applyProtection="1">
      <alignment horizontal="right" vertical="center"/>
    </xf>
    <xf numFmtId="175" fontId="2" fillId="0" borderId="18" xfId="0" quotePrefix="1" applyNumberFormat="1" applyFont="1" applyBorder="1" applyAlignment="1" applyProtection="1">
      <alignment horizontal="right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73" xfId="0" applyFont="1" applyFill="1" applyBorder="1" applyAlignment="1" applyProtection="1">
      <alignment horizontal="left" vertical="center"/>
    </xf>
    <xf numFmtId="0" fontId="83" fillId="0" borderId="0" xfId="0" applyFont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/>
    </xf>
    <xf numFmtId="0" fontId="2" fillId="0" borderId="68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left" vertical="top"/>
    </xf>
    <xf numFmtId="0" fontId="95" fillId="0" borderId="0" xfId="0" applyFont="1" applyFill="1" applyBorder="1" applyAlignment="1" applyProtection="1">
      <alignment horizontal="left" vertical="center"/>
      <protection locked="0"/>
    </xf>
    <xf numFmtId="0" fontId="95" fillId="0" borderId="68" xfId="0" applyFont="1" applyFill="1" applyBorder="1" applyAlignment="1" applyProtection="1">
      <alignment horizontal="left" vertical="center"/>
      <protection locked="0"/>
    </xf>
    <xf numFmtId="0" fontId="69" fillId="0" borderId="0" xfId="0" applyFont="1" applyFill="1" applyBorder="1" applyAlignment="1" applyProtection="1">
      <alignment horizontal="left" vertical="center"/>
    </xf>
    <xf numFmtId="0" fontId="2" fillId="31" borderId="63" xfId="0" applyFont="1" applyFill="1" applyBorder="1" applyAlignment="1" applyProtection="1">
      <alignment horizontal="center" vertical="center"/>
    </xf>
    <xf numFmtId="0" fontId="31" fillId="31" borderId="63" xfId="0" applyFont="1" applyFill="1" applyBorder="1" applyAlignment="1" applyProtection="1">
      <alignment horizontal="center" vertical="center"/>
    </xf>
    <xf numFmtId="0" fontId="31" fillId="0" borderId="63" xfId="0" applyFont="1" applyFill="1" applyBorder="1" applyAlignment="1" applyProtection="1">
      <alignment horizontal="center" vertical="top"/>
    </xf>
    <xf numFmtId="0" fontId="31" fillId="1" borderId="74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33" fillId="0" borderId="0" xfId="0" applyFont="1" applyBorder="1" applyAlignment="1" applyProtection="1">
      <alignment horizontal="left" vertical="center"/>
    </xf>
    <xf numFmtId="0" fontId="33" fillId="41" borderId="23" xfId="0" applyFont="1" applyFill="1" applyBorder="1" applyAlignment="1" applyProtection="1">
      <alignment horizontal="centerContinuous" vertical="center"/>
    </xf>
    <xf numFmtId="0" fontId="2" fillId="0" borderId="38" xfId="0" applyFont="1" applyFill="1" applyBorder="1" applyAlignment="1" applyProtection="1">
      <alignment horizontal="left" vertical="center"/>
    </xf>
    <xf numFmtId="0" fontId="2" fillId="0" borderId="35" xfId="0" applyFont="1" applyFill="1" applyBorder="1" applyAlignment="1" applyProtection="1">
      <alignment horizontal="left" vertical="center"/>
    </xf>
    <xf numFmtId="0" fontId="2" fillId="0" borderId="87" xfId="0" applyFont="1" applyFill="1" applyBorder="1" applyAlignment="1" applyProtection="1">
      <alignment horizontal="left" vertical="center"/>
    </xf>
    <xf numFmtId="49" fontId="60" fillId="0" borderId="38" xfId="0" applyNumberFormat="1" applyFont="1" applyBorder="1" applyAlignment="1" applyProtection="1">
      <alignment horizontal="center" vertical="center"/>
      <protection locked="0"/>
    </xf>
    <xf numFmtId="0" fontId="32" fillId="0" borderId="31" xfId="0" applyFont="1" applyBorder="1" applyAlignment="1" applyProtection="1">
      <alignment horizontal="left" vertical="center"/>
      <protection locked="0"/>
    </xf>
    <xf numFmtId="49" fontId="60" fillId="0" borderId="35" xfId="0" applyNumberFormat="1" applyFont="1" applyBorder="1" applyAlignment="1" applyProtection="1">
      <alignment horizontal="center" vertical="center"/>
      <protection locked="0"/>
    </xf>
    <xf numFmtId="0" fontId="32" fillId="0" borderId="13" xfId="0" applyFont="1" applyBorder="1" applyAlignment="1" applyProtection="1">
      <alignment horizontal="left" vertical="center"/>
      <protection locked="0"/>
    </xf>
    <xf numFmtId="49" fontId="60" fillId="0" borderId="46" xfId="0" applyNumberFormat="1" applyFont="1" applyBorder="1" applyAlignment="1" applyProtection="1">
      <alignment horizontal="center" vertical="center"/>
      <protection locked="0"/>
    </xf>
    <xf numFmtId="0" fontId="32" fillId="0" borderId="45" xfId="0" applyFont="1" applyBorder="1" applyAlignment="1" applyProtection="1">
      <alignment horizontal="left" vertical="center"/>
      <protection locked="0"/>
    </xf>
    <xf numFmtId="0" fontId="31" fillId="0" borderId="37" xfId="0" applyFont="1" applyBorder="1" applyAlignment="1" applyProtection="1">
      <alignment horizontal="centerContinuous" vertical="center" shrinkToFit="1"/>
    </xf>
    <xf numFmtId="0" fontId="31" fillId="0" borderId="36" xfId="0" applyFont="1" applyBorder="1" applyAlignment="1" applyProtection="1">
      <alignment horizontal="centerContinuous" vertical="center" shrinkToFit="1"/>
    </xf>
    <xf numFmtId="0" fontId="31" fillId="0" borderId="37" xfId="0" applyFont="1" applyBorder="1" applyAlignment="1" applyProtection="1">
      <alignment horizontal="centerContinuous" vertical="center"/>
    </xf>
    <xf numFmtId="0" fontId="31" fillId="0" borderId="36" xfId="0" applyFont="1" applyBorder="1" applyAlignment="1" applyProtection="1">
      <alignment horizontal="centerContinuous" vertical="center"/>
    </xf>
    <xf numFmtId="0" fontId="32" fillId="0" borderId="32" xfId="0" applyFont="1" applyBorder="1" applyAlignment="1" applyProtection="1">
      <alignment horizontal="left" vertical="center"/>
      <protection locked="0" hidden="1"/>
    </xf>
    <xf numFmtId="0" fontId="32" fillId="0" borderId="33" xfId="0" applyFont="1" applyBorder="1" applyAlignment="1" applyProtection="1">
      <alignment horizontal="left" vertical="center"/>
      <protection locked="0"/>
    </xf>
    <xf numFmtId="0" fontId="32" fillId="0" borderId="1" xfId="0" applyFont="1" applyBorder="1" applyAlignment="1" applyProtection="1">
      <alignment horizontal="left" vertical="center"/>
      <protection locked="0" hidden="1"/>
    </xf>
    <xf numFmtId="0" fontId="32" fillId="0" borderId="34" xfId="0" applyFont="1" applyBorder="1" applyAlignment="1" applyProtection="1">
      <alignment horizontal="left" vertical="center"/>
      <protection locked="0"/>
    </xf>
    <xf numFmtId="0" fontId="32" fillId="0" borderId="53" xfId="0" applyFont="1" applyBorder="1" applyAlignment="1" applyProtection="1">
      <alignment horizontal="left" vertical="center"/>
      <protection locked="0" hidden="1"/>
    </xf>
    <xf numFmtId="0" fontId="32" fillId="0" borderId="47" xfId="0" applyFont="1" applyBorder="1" applyAlignment="1" applyProtection="1">
      <alignment horizontal="left" vertical="center"/>
      <protection locked="0"/>
    </xf>
    <xf numFmtId="0" fontId="31" fillId="0" borderId="38" xfId="0" applyFont="1" applyBorder="1" applyAlignment="1" applyProtection="1">
      <alignment horizontal="center" vertical="center"/>
    </xf>
    <xf numFmtId="0" fontId="1" fillId="0" borderId="31" xfId="0" applyFont="1" applyBorder="1" applyAlignment="1" applyProtection="1">
      <alignment horizontal="centerContinuous"/>
    </xf>
    <xf numFmtId="0" fontId="31" fillId="0" borderId="31" xfId="0" applyFont="1" applyBorder="1" applyAlignment="1" applyProtection="1">
      <alignment horizontal="centerContinuous" vertical="center"/>
    </xf>
    <xf numFmtId="49" fontId="60" fillId="0" borderId="35" xfId="0" applyNumberFormat="1" applyFont="1" applyBorder="1" applyAlignment="1" applyProtection="1">
      <alignment horizontal="center" vertical="top"/>
      <protection locked="0"/>
    </xf>
    <xf numFmtId="0" fontId="31" fillId="0" borderId="32" xfId="0" applyFont="1" applyBorder="1" applyAlignment="1" applyProtection="1">
      <alignment horizontal="centerContinuous" vertical="center" shrinkToFit="1"/>
    </xf>
    <xf numFmtId="0" fontId="31" fillId="0" borderId="33" xfId="0" applyFont="1" applyBorder="1" applyAlignment="1" applyProtection="1">
      <alignment horizontal="centerContinuous" vertical="center" shrinkToFit="1"/>
    </xf>
    <xf numFmtId="0" fontId="31" fillId="0" borderId="32" xfId="0" applyFont="1" applyBorder="1" applyAlignment="1" applyProtection="1">
      <alignment horizontal="centerContinuous" vertical="center"/>
    </xf>
    <xf numFmtId="0" fontId="31" fillId="0" borderId="33" xfId="0" applyFont="1" applyBorder="1" applyAlignment="1" applyProtection="1">
      <alignment horizontal="centerContinuous" vertical="center"/>
    </xf>
    <xf numFmtId="0" fontId="102" fillId="44" borderId="55" xfId="0" applyFont="1" applyFill="1" applyBorder="1" applyAlignment="1" applyProtection="1">
      <alignment horizontal="center" vertical="top"/>
    </xf>
    <xf numFmtId="0" fontId="0" fillId="0" borderId="0" xfId="0" applyBorder="1" applyAlignment="1"/>
    <xf numFmtId="0" fontId="0" fillId="0" borderId="68" xfId="0" applyBorder="1" applyAlignment="1"/>
    <xf numFmtId="42" fontId="32" fillId="0" borderId="18" xfId="0" applyNumberFormat="1" applyFont="1" applyFill="1" applyBorder="1" applyAlignment="1" applyProtection="1">
      <alignment horizontal="center"/>
      <protection locked="0"/>
    </xf>
    <xf numFmtId="0" fontId="31" fillId="0" borderId="33" xfId="0" applyFont="1" applyBorder="1" applyAlignment="1" applyProtection="1"/>
    <xf numFmtId="0" fontId="80" fillId="0" borderId="7" xfId="0" applyFont="1" applyBorder="1" applyAlignment="1" applyProtection="1">
      <alignment horizontal="left" vertical="top" wrapText="1"/>
      <protection locked="0"/>
    </xf>
    <xf numFmtId="0" fontId="80" fillId="0" borderId="29" xfId="0" applyFont="1" applyBorder="1" applyAlignment="1" applyProtection="1">
      <alignment horizontal="left" vertical="top" wrapText="1"/>
      <protection locked="0"/>
    </xf>
    <xf numFmtId="0" fontId="78" fillId="24" borderId="18" xfId="0" applyFont="1" applyFill="1" applyBorder="1" applyAlignment="1" applyProtection="1">
      <alignment horizontal="left"/>
      <protection locked="0"/>
    </xf>
    <xf numFmtId="0" fontId="0" fillId="0" borderId="18" xfId="0" applyBorder="1" applyAlignment="1">
      <alignment horizontal="left"/>
    </xf>
    <xf numFmtId="0" fontId="48" fillId="0" borderId="0" xfId="0" applyFont="1" applyFill="1" applyBorder="1" applyAlignment="1" applyProtection="1">
      <alignment horizontal="right" wrapText="1"/>
      <protection locked="0"/>
    </xf>
    <xf numFmtId="0" fontId="48" fillId="0" borderId="0" xfId="0" applyFont="1" applyAlignment="1">
      <alignment horizontal="right"/>
    </xf>
    <xf numFmtId="0" fontId="79" fillId="0" borderId="7" xfId="0" applyFont="1" applyBorder="1" applyAlignment="1" applyProtection="1">
      <alignment vertical="top" wrapText="1"/>
      <protection locked="0"/>
    </xf>
    <xf numFmtId="0" fontId="79" fillId="0" borderId="29" xfId="0" applyFont="1" applyBorder="1" applyAlignment="1" applyProtection="1">
      <alignment vertical="top" wrapText="1"/>
      <protection locked="0"/>
    </xf>
    <xf numFmtId="0" fontId="33" fillId="24" borderId="18" xfId="0" applyFont="1" applyFill="1" applyBorder="1" applyAlignment="1" applyProtection="1">
      <protection locked="0"/>
    </xf>
    <xf numFmtId="0" fontId="33" fillId="0" borderId="18" xfId="0" applyFont="1" applyBorder="1" applyAlignment="1" applyProtection="1">
      <protection locked="0"/>
    </xf>
    <xf numFmtId="42" fontId="43" fillId="0" borderId="19" xfId="0" applyNumberFormat="1" applyFont="1" applyFill="1" applyBorder="1" applyAlignment="1" applyProtection="1">
      <alignment vertical="center"/>
      <protection locked="0"/>
    </xf>
    <xf numFmtId="0" fontId="0" fillId="0" borderId="6" xfId="0" applyBorder="1" applyAlignment="1"/>
    <xf numFmtId="0" fontId="0" fillId="0" borderId="20" xfId="0" applyBorder="1" applyAlignment="1"/>
    <xf numFmtId="0" fontId="0" fillId="0" borderId="21" xfId="0" applyBorder="1" applyAlignment="1">
      <alignment vertical="center"/>
    </xf>
    <xf numFmtId="0" fontId="0" fillId="0" borderId="8" xfId="0" applyBorder="1" applyAlignment="1"/>
    <xf numFmtId="0" fontId="0" fillId="0" borderId="22" xfId="0" applyBorder="1" applyAlignment="1"/>
    <xf numFmtId="10" fontId="32" fillId="0" borderId="28" xfId="0" applyNumberFormat="1" applyFont="1" applyBorder="1" applyAlignment="1" applyProtection="1">
      <alignment horizontal="center" vertical="center"/>
    </xf>
    <xf numFmtId="0" fontId="37" fillId="0" borderId="29" xfId="0" applyFont="1" applyBorder="1" applyAlignment="1" applyProtection="1">
      <alignment horizontal="center" vertical="center"/>
    </xf>
    <xf numFmtId="0" fontId="33" fillId="0" borderId="18" xfId="0" applyFont="1" applyFill="1" applyBorder="1" applyAlignment="1" applyProtection="1">
      <alignment horizontal="left" vertical="center"/>
      <protection locked="0"/>
    </xf>
    <xf numFmtId="0" fontId="0" fillId="0" borderId="18" xfId="0" applyBorder="1" applyProtection="1">
      <protection locked="0"/>
    </xf>
    <xf numFmtId="0" fontId="33" fillId="0" borderId="31" xfId="0" applyFont="1" applyFill="1" applyBorder="1" applyAlignment="1" applyProtection="1">
      <alignment horizontal="left" vertical="center"/>
      <protection locked="0"/>
    </xf>
    <xf numFmtId="0" fontId="37" fillId="0" borderId="31" xfId="0" applyFont="1" applyBorder="1" applyAlignment="1" applyProtection="1">
      <alignment horizontal="left" vertical="center"/>
      <protection locked="0"/>
    </xf>
    <xf numFmtId="0" fontId="32" fillId="0" borderId="18" xfId="0" applyFont="1" applyFill="1" applyBorder="1" applyAlignment="1" applyProtection="1">
      <alignment horizontal="center" vertical="center"/>
      <protection locked="0"/>
    </xf>
    <xf numFmtId="0" fontId="69" fillId="0" borderId="18" xfId="0" applyFont="1" applyBorder="1" applyAlignment="1" applyProtection="1">
      <alignment horizontal="center" vertical="center"/>
      <protection locked="0"/>
    </xf>
    <xf numFmtId="49" fontId="60" fillId="0" borderId="28" xfId="0" applyNumberFormat="1" applyFont="1" applyBorder="1" applyAlignment="1" applyProtection="1">
      <alignment horizontal="center" vertical="center"/>
      <protection locked="0"/>
    </xf>
    <xf numFmtId="0" fontId="37" fillId="0" borderId="29" xfId="0" applyFont="1" applyBorder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left" vertical="center" shrinkToFit="1"/>
    </xf>
    <xf numFmtId="0" fontId="1" fillId="0" borderId="29" xfId="0" applyFont="1" applyBorder="1" applyAlignment="1" applyProtection="1">
      <alignment vertical="center" shrinkToFit="1"/>
    </xf>
    <xf numFmtId="0" fontId="60" fillId="0" borderId="28" xfId="0" applyFont="1" applyBorder="1" applyAlignment="1" applyProtection="1">
      <alignment horizontal="center" vertical="center"/>
      <protection locked="0"/>
    </xf>
    <xf numFmtId="0" fontId="60" fillId="0" borderId="29" xfId="0" applyFont="1" applyBorder="1" applyAlignment="1" applyProtection="1">
      <alignment horizontal="center" vertical="center"/>
      <protection locked="0"/>
    </xf>
    <xf numFmtId="0" fontId="60" fillId="0" borderId="7" xfId="0" applyFont="1" applyBorder="1" applyAlignment="1" applyProtection="1">
      <alignment horizontal="center" vertical="center"/>
      <protection locked="0"/>
    </xf>
    <xf numFmtId="14" fontId="64" fillId="0" borderId="28" xfId="0" applyNumberFormat="1" applyFont="1" applyBorder="1" applyAlignment="1" applyProtection="1">
      <alignment horizontal="center" vertical="center"/>
      <protection locked="0"/>
    </xf>
    <xf numFmtId="0" fontId="37" fillId="0" borderId="7" xfId="0" applyFont="1" applyBorder="1" applyAlignment="1" applyProtection="1">
      <alignment horizontal="center" vertical="center"/>
      <protection locked="0"/>
    </xf>
    <xf numFmtId="0" fontId="37" fillId="0" borderId="62" xfId="0" applyFont="1" applyBorder="1" applyAlignment="1" applyProtection="1">
      <alignment horizontal="center" vertical="center"/>
      <protection locked="0"/>
    </xf>
    <xf numFmtId="173" fontId="64" fillId="0" borderId="28" xfId="0" applyNumberFormat="1" applyFont="1" applyBorder="1" applyAlignment="1" applyProtection="1">
      <alignment horizontal="center" vertical="center"/>
      <protection locked="0"/>
    </xf>
    <xf numFmtId="14" fontId="32" fillId="0" borderId="1" xfId="0" applyNumberFormat="1" applyFont="1" applyFill="1" applyBorder="1" applyAlignment="1" applyProtection="1">
      <alignment horizontal="center" vertical="center"/>
      <protection locked="0"/>
    </xf>
    <xf numFmtId="0" fontId="32" fillId="0" borderId="13" xfId="0" applyFont="1" applyBorder="1" applyAlignment="1" applyProtection="1">
      <alignment horizontal="center" vertical="center"/>
      <protection locked="0"/>
    </xf>
    <xf numFmtId="0" fontId="32" fillId="0" borderId="27" xfId="0" applyFont="1" applyBorder="1" applyAlignment="1" applyProtection="1">
      <alignment horizontal="center" vertical="center"/>
      <protection locked="0"/>
    </xf>
    <xf numFmtId="0" fontId="32" fillId="0" borderId="1" xfId="0" applyFont="1" applyFill="1" applyBorder="1" applyAlignment="1" applyProtection="1">
      <alignment horizontal="center" vertical="center"/>
      <protection locked="0"/>
    </xf>
    <xf numFmtId="0" fontId="83" fillId="0" borderId="34" xfId="0" applyFont="1" applyBorder="1" applyAlignment="1" applyProtection="1">
      <alignment horizontal="center" vertical="center"/>
      <protection locked="0"/>
    </xf>
    <xf numFmtId="49" fontId="64" fillId="0" borderId="28" xfId="0" applyNumberFormat="1" applyFont="1" applyBorder="1" applyAlignment="1" applyProtection="1">
      <alignment horizontal="center" vertical="center"/>
      <protection locked="0"/>
    </xf>
    <xf numFmtId="14" fontId="32" fillId="0" borderId="53" xfId="0" applyNumberFormat="1" applyFont="1" applyFill="1" applyBorder="1" applyAlignment="1" applyProtection="1">
      <alignment horizontal="center" vertical="center"/>
      <protection locked="0"/>
    </xf>
    <xf numFmtId="0" fontId="32" fillId="0" borderId="45" xfId="0" applyFont="1" applyBorder="1" applyAlignment="1" applyProtection="1">
      <alignment horizontal="center" vertical="center"/>
      <protection locked="0"/>
    </xf>
    <xf numFmtId="0" fontId="32" fillId="0" borderId="44" xfId="0" applyFont="1" applyBorder="1" applyAlignment="1" applyProtection="1">
      <alignment horizontal="center" vertical="center"/>
      <protection locked="0"/>
    </xf>
    <xf numFmtId="0" fontId="33" fillId="0" borderId="51" xfId="0" applyFont="1" applyFill="1" applyBorder="1" applyAlignment="1" applyProtection="1">
      <alignment horizontal="left" vertical="center"/>
      <protection hidden="1"/>
    </xf>
    <xf numFmtId="0" fontId="33" fillId="0" borderId="18" xfId="0" applyFont="1" applyBorder="1" applyAlignment="1" applyProtection="1">
      <alignment horizontal="left" vertical="center"/>
      <protection hidden="1"/>
    </xf>
    <xf numFmtId="0" fontId="31" fillId="0" borderId="6" xfId="0" applyFont="1" applyFill="1" applyBorder="1" applyAlignment="1" applyProtection="1">
      <alignment horizontal="left" wrapText="1" shrinkToFit="1"/>
    </xf>
    <xf numFmtId="0" fontId="0" fillId="0" borderId="70" xfId="0" applyBorder="1" applyAlignment="1"/>
    <xf numFmtId="0" fontId="0" fillId="0" borderId="0" xfId="0" applyBorder="1" applyAlignment="1"/>
    <xf numFmtId="0" fontId="0" fillId="0" borderId="68" xfId="0" applyBorder="1" applyAlignment="1"/>
    <xf numFmtId="0" fontId="0" fillId="0" borderId="18" xfId="0" applyBorder="1" applyAlignment="1"/>
    <xf numFmtId="0" fontId="0" fillId="0" borderId="64" xfId="0" applyBorder="1" applyAlignment="1"/>
    <xf numFmtId="2" fontId="32" fillId="0" borderId="1" xfId="0" applyNumberFormat="1" applyFont="1" applyFill="1" applyBorder="1" applyAlignment="1" applyProtection="1">
      <alignment horizontal="right" vertical="center"/>
      <protection locked="0"/>
    </xf>
    <xf numFmtId="2" fontId="32" fillId="0" borderId="34" xfId="0" applyNumberFormat="1" applyFont="1" applyBorder="1" applyAlignment="1" applyProtection="1">
      <alignment horizontal="right" vertical="center"/>
      <protection locked="0"/>
    </xf>
    <xf numFmtId="175" fontId="32" fillId="0" borderId="1" xfId="0" applyNumberFormat="1" applyFont="1" applyFill="1" applyBorder="1" applyAlignment="1" applyProtection="1">
      <alignment horizontal="center" vertical="center"/>
      <protection locked="0"/>
    </xf>
    <xf numFmtId="175" fontId="32" fillId="0" borderId="13" xfId="0" applyNumberFormat="1" applyFont="1" applyBorder="1" applyAlignment="1" applyProtection="1">
      <alignment horizontal="center" vertical="center"/>
      <protection locked="0"/>
    </xf>
    <xf numFmtId="175" fontId="32" fillId="0" borderId="34" xfId="0" applyNumberFormat="1" applyFont="1" applyBorder="1" applyAlignment="1" applyProtection="1">
      <alignment horizontal="center" vertical="center"/>
      <protection locked="0"/>
    </xf>
    <xf numFmtId="0" fontId="83" fillId="0" borderId="19" xfId="0" applyFont="1" applyFill="1" applyBorder="1" applyAlignment="1" applyProtection="1">
      <alignment horizontal="left" vertical="top" wrapText="1"/>
      <protection locked="0"/>
    </xf>
    <xf numFmtId="0" fontId="37" fillId="0" borderId="6" xfId="0" applyFont="1" applyBorder="1" applyAlignment="1" applyProtection="1">
      <alignment horizontal="left" vertical="top"/>
      <protection locked="0"/>
    </xf>
    <xf numFmtId="0" fontId="37" fillId="0" borderId="70" xfId="0" applyFont="1" applyBorder="1" applyAlignment="1" applyProtection="1">
      <alignment horizontal="left" vertical="top"/>
      <protection locked="0"/>
    </xf>
    <xf numFmtId="0" fontId="83" fillId="0" borderId="25" xfId="0" applyFont="1" applyFill="1" applyBorder="1" applyAlignment="1" applyProtection="1">
      <alignment horizontal="left" vertical="top"/>
      <protection locked="0"/>
    </xf>
    <xf numFmtId="0" fontId="37" fillId="0" borderId="0" xfId="0" applyFont="1" applyBorder="1" applyAlignment="1" applyProtection="1">
      <alignment horizontal="left" vertical="top"/>
      <protection locked="0"/>
    </xf>
    <xf numFmtId="0" fontId="37" fillId="0" borderId="68" xfId="0" applyFont="1" applyBorder="1" applyAlignment="1" applyProtection="1">
      <alignment horizontal="left" vertical="top"/>
      <protection locked="0"/>
    </xf>
    <xf numFmtId="0" fontId="37" fillId="0" borderId="25" xfId="0" applyFont="1" applyBorder="1" applyAlignment="1" applyProtection="1">
      <alignment horizontal="left" vertical="top"/>
      <protection locked="0"/>
    </xf>
    <xf numFmtId="0" fontId="37" fillId="0" borderId="21" xfId="0" applyFont="1" applyBorder="1" applyAlignment="1" applyProtection="1">
      <alignment horizontal="left" vertical="top"/>
      <protection locked="0"/>
    </xf>
    <xf numFmtId="0" fontId="37" fillId="0" borderId="8" xfId="0" applyFont="1" applyBorder="1" applyAlignment="1" applyProtection="1">
      <alignment horizontal="left" vertical="top"/>
      <protection locked="0"/>
    </xf>
    <xf numFmtId="0" fontId="37" fillId="0" borderId="60" xfId="0" applyFont="1" applyBorder="1" applyAlignment="1" applyProtection="1">
      <alignment horizontal="left" vertical="top"/>
      <protection locked="0"/>
    </xf>
    <xf numFmtId="0" fontId="31" fillId="0" borderId="28" xfId="0" applyFont="1" applyBorder="1" applyAlignment="1" applyProtection="1">
      <alignment horizontal="center" wrapText="1"/>
    </xf>
    <xf numFmtId="0" fontId="1" fillId="0" borderId="29" xfId="0" applyFont="1" applyBorder="1" applyAlignment="1" applyProtection="1">
      <alignment horizontal="center" wrapText="1"/>
    </xf>
    <xf numFmtId="0" fontId="31" fillId="0" borderId="28" xfId="0" applyFont="1" applyBorder="1" applyAlignment="1" applyProtection="1">
      <alignment horizontal="center" vertical="center" wrapText="1"/>
    </xf>
    <xf numFmtId="0" fontId="1" fillId="0" borderId="29" xfId="0" applyFont="1" applyBorder="1" applyAlignment="1" applyProtection="1">
      <alignment horizontal="center" vertical="center" wrapText="1"/>
    </xf>
    <xf numFmtId="3" fontId="60" fillId="0" borderId="28" xfId="74" applyNumberFormat="1" applyFont="1" applyBorder="1" applyAlignment="1" applyProtection="1">
      <alignment horizontal="right" vertical="center"/>
      <protection locked="0"/>
    </xf>
    <xf numFmtId="0" fontId="37" fillId="0" borderId="29" xfId="0" applyFont="1" applyBorder="1" applyAlignment="1" applyProtection="1">
      <alignment horizontal="right" vertical="center"/>
      <protection locked="0"/>
    </xf>
    <xf numFmtId="175" fontId="32" fillId="0" borderId="1" xfId="0" applyNumberFormat="1" applyFont="1" applyBorder="1" applyAlignment="1" applyProtection="1">
      <alignment horizontal="center" vertical="center"/>
      <protection locked="0"/>
    </xf>
    <xf numFmtId="10" fontId="32" fillId="41" borderId="38" xfId="0" applyNumberFormat="1" applyFont="1" applyFill="1" applyBorder="1" applyAlignment="1" applyProtection="1">
      <alignment horizontal="center" vertical="center"/>
    </xf>
    <xf numFmtId="0" fontId="37" fillId="41" borderId="30" xfId="0" applyFont="1" applyFill="1" applyBorder="1" applyAlignment="1" applyProtection="1">
      <alignment horizontal="center" vertical="center"/>
    </xf>
    <xf numFmtId="3" fontId="60" fillId="41" borderId="28" xfId="74" applyNumberFormat="1" applyFont="1" applyFill="1" applyBorder="1" applyAlignment="1" applyProtection="1">
      <alignment horizontal="right" vertical="center"/>
    </xf>
    <xf numFmtId="0" fontId="37" fillId="41" borderId="29" xfId="0" applyFont="1" applyFill="1" applyBorder="1" applyAlignment="1" applyProtection="1">
      <alignment horizontal="right" vertical="center"/>
    </xf>
    <xf numFmtId="0" fontId="78" fillId="0" borderId="1" xfId="0" applyFont="1" applyFill="1" applyBorder="1" applyAlignment="1" applyProtection="1">
      <alignment horizontal="left" vertical="center"/>
      <protection locked="0"/>
    </xf>
    <xf numFmtId="0" fontId="78" fillId="0" borderId="13" xfId="0" applyFont="1" applyFill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42" fontId="32" fillId="0" borderId="18" xfId="0" applyNumberFormat="1" applyFont="1" applyFill="1" applyBorder="1" applyAlignment="1" applyProtection="1">
      <alignment horizontal="center"/>
      <protection locked="0"/>
    </xf>
    <xf numFmtId="42" fontId="32" fillId="0" borderId="18" xfId="0" applyNumberFormat="1" applyFont="1" applyBorder="1" applyAlignment="1" applyProtection="1">
      <alignment horizontal="center"/>
      <protection locked="0"/>
    </xf>
    <xf numFmtId="0" fontId="2" fillId="1" borderId="19" xfId="0" applyFont="1" applyFill="1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 vertical="center"/>
    </xf>
    <xf numFmtId="0" fontId="0" fillId="0" borderId="25" xfId="0" applyBorder="1" applyAlignment="1" applyProtection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10" fontId="32" fillId="41" borderId="28" xfId="0" applyNumberFormat="1" applyFont="1" applyFill="1" applyBorder="1" applyAlignment="1" applyProtection="1">
      <alignment horizontal="center" vertical="center"/>
    </xf>
    <xf numFmtId="0" fontId="37" fillId="41" borderId="29" xfId="0" applyFont="1" applyFill="1" applyBorder="1" applyAlignment="1" applyProtection="1">
      <alignment horizontal="center" vertical="center"/>
    </xf>
    <xf numFmtId="0" fontId="2" fillId="1" borderId="25" xfId="0" applyFont="1" applyFill="1" applyBorder="1" applyAlignment="1" applyProtection="1">
      <alignment horizontal="center" vertical="center"/>
    </xf>
    <xf numFmtId="0" fontId="0" fillId="0" borderId="26" xfId="0" applyBorder="1" applyAlignment="1" applyProtection="1">
      <alignment horizontal="center" vertical="center"/>
    </xf>
    <xf numFmtId="49" fontId="60" fillId="0" borderId="53" xfId="0" applyNumberFormat="1" applyFont="1" applyBorder="1" applyAlignment="1" applyProtection="1">
      <alignment horizontal="center" vertical="center"/>
      <protection locked="0"/>
    </xf>
    <xf numFmtId="0" fontId="37" fillId="0" borderId="47" xfId="0" applyFont="1" applyBorder="1" applyAlignment="1" applyProtection="1">
      <alignment horizontal="center" vertical="center"/>
      <protection locked="0"/>
    </xf>
    <xf numFmtId="0" fontId="60" fillId="0" borderId="45" xfId="0" applyFont="1" applyBorder="1" applyAlignment="1" applyProtection="1">
      <alignment horizontal="center" vertical="center"/>
      <protection locked="0"/>
    </xf>
    <xf numFmtId="0" fontId="60" fillId="0" borderId="53" xfId="0" applyFont="1" applyBorder="1" applyAlignment="1" applyProtection="1">
      <alignment horizontal="center" vertical="center"/>
      <protection locked="0"/>
    </xf>
    <xf numFmtId="0" fontId="60" fillId="0" borderId="47" xfId="0" applyFont="1" applyBorder="1" applyAlignment="1" applyProtection="1">
      <alignment horizontal="center" vertical="center"/>
      <protection locked="0"/>
    </xf>
    <xf numFmtId="10" fontId="32" fillId="0" borderId="45" xfId="0" applyNumberFormat="1" applyFont="1" applyBorder="1" applyAlignment="1" applyProtection="1">
      <alignment horizontal="center" vertical="center"/>
    </xf>
    <xf numFmtId="0" fontId="37" fillId="0" borderId="45" xfId="0" applyFont="1" applyBorder="1" applyAlignment="1" applyProtection="1">
      <alignment horizontal="center" vertical="center"/>
    </xf>
    <xf numFmtId="3" fontId="60" fillId="0" borderId="53" xfId="74" applyNumberFormat="1" applyFont="1" applyBorder="1" applyAlignment="1" applyProtection="1">
      <alignment horizontal="right" vertical="center"/>
      <protection locked="0"/>
    </xf>
    <xf numFmtId="0" fontId="37" fillId="0" borderId="44" xfId="0" applyFont="1" applyBorder="1" applyAlignment="1" applyProtection="1">
      <alignment horizontal="right" vertical="center"/>
      <protection locked="0"/>
    </xf>
    <xf numFmtId="49" fontId="60" fillId="0" borderId="1" xfId="0" applyNumberFormat="1" applyFont="1" applyBorder="1" applyAlignment="1" applyProtection="1">
      <alignment horizontal="center" vertical="center"/>
      <protection locked="0"/>
    </xf>
    <xf numFmtId="0" fontId="37" fillId="0" borderId="34" xfId="0" applyFont="1" applyBorder="1" applyAlignment="1" applyProtection="1">
      <alignment horizontal="center" vertical="center"/>
      <protection locked="0"/>
    </xf>
    <xf numFmtId="0" fontId="60" fillId="0" borderId="13" xfId="0" applyFont="1" applyBorder="1" applyAlignment="1" applyProtection="1">
      <alignment horizontal="center" vertical="center"/>
      <protection locked="0"/>
    </xf>
    <xf numFmtId="0" fontId="60" fillId="0" borderId="1" xfId="0" applyFont="1" applyBorder="1" applyAlignment="1" applyProtection="1">
      <alignment horizontal="center" vertical="center"/>
      <protection locked="0"/>
    </xf>
    <xf numFmtId="0" fontId="60" fillId="0" borderId="34" xfId="0" applyFont="1" applyBorder="1" applyAlignment="1" applyProtection="1">
      <alignment horizontal="center" vertical="center"/>
      <protection locked="0"/>
    </xf>
    <xf numFmtId="10" fontId="32" fillId="0" borderId="13" xfId="0" applyNumberFormat="1" applyFont="1" applyBorder="1" applyAlignment="1" applyProtection="1">
      <alignment horizontal="center" vertical="center"/>
    </xf>
    <xf numFmtId="0" fontId="37" fillId="0" borderId="13" xfId="0" applyFont="1" applyBorder="1" applyAlignment="1" applyProtection="1">
      <alignment horizontal="center" vertical="center"/>
    </xf>
    <xf numFmtId="3" fontId="60" fillId="0" borderId="1" xfId="74" applyNumberFormat="1" applyFont="1" applyBorder="1" applyAlignment="1" applyProtection="1">
      <alignment horizontal="right" vertical="center"/>
      <protection locked="0"/>
    </xf>
    <xf numFmtId="0" fontId="37" fillId="0" borderId="27" xfId="0" applyFont="1" applyBorder="1" applyAlignment="1" applyProtection="1">
      <alignment horizontal="right" vertical="center"/>
      <protection locked="0"/>
    </xf>
    <xf numFmtId="10" fontId="33" fillId="41" borderId="28" xfId="0" applyNumberFormat="1" applyFont="1" applyFill="1" applyBorder="1" applyAlignment="1" applyProtection="1">
      <alignment horizontal="center" vertical="center"/>
    </xf>
    <xf numFmtId="3" fontId="33" fillId="41" borderId="28" xfId="74" applyNumberFormat="1" applyFont="1" applyFill="1" applyBorder="1" applyAlignment="1" applyProtection="1">
      <alignment horizontal="right" vertical="center"/>
    </xf>
    <xf numFmtId="0" fontId="32" fillId="0" borderId="18" xfId="0" applyFont="1" applyFill="1" applyBorder="1" applyAlignment="1" applyProtection="1">
      <alignment horizontal="left" vertical="center"/>
      <protection locked="0"/>
    </xf>
    <xf numFmtId="0" fontId="83" fillId="0" borderId="18" xfId="0" applyFont="1" applyBorder="1" applyAlignment="1" applyProtection="1">
      <alignment horizontal="left" vertical="center"/>
      <protection locked="0"/>
    </xf>
    <xf numFmtId="0" fontId="31" fillId="0" borderId="32" xfId="0" applyFont="1" applyBorder="1" applyAlignment="1" applyProtection="1">
      <alignment horizontal="left" vertical="center" shrinkToFit="1"/>
    </xf>
    <xf numFmtId="0" fontId="1" fillId="0" borderId="33" xfId="0" applyFont="1" applyBorder="1" applyAlignment="1" applyProtection="1">
      <alignment vertical="center" shrinkToFit="1"/>
    </xf>
    <xf numFmtId="0" fontId="31" fillId="0" borderId="31" xfId="0" applyFont="1" applyBorder="1" applyAlignment="1" applyProtection="1">
      <alignment horizontal="center" wrapText="1"/>
    </xf>
    <xf numFmtId="0" fontId="1" fillId="0" borderId="31" xfId="0" applyFont="1" applyBorder="1" applyAlignment="1" applyProtection="1">
      <alignment horizontal="center" wrapText="1"/>
    </xf>
    <xf numFmtId="0" fontId="31" fillId="0" borderId="32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 wrapText="1"/>
    </xf>
    <xf numFmtId="0" fontId="31" fillId="0" borderId="37" xfId="0" applyFont="1" applyBorder="1" applyAlignment="1" applyProtection="1">
      <alignment horizontal="left" vertical="center" shrinkToFit="1"/>
    </xf>
    <xf numFmtId="0" fontId="1" fillId="0" borderId="36" xfId="0" applyFont="1" applyBorder="1" applyAlignment="1" applyProtection="1">
      <alignment vertical="center" shrinkToFit="1"/>
    </xf>
    <xf numFmtId="0" fontId="31" fillId="0" borderId="7" xfId="0" applyFont="1" applyBorder="1" applyAlignment="1" applyProtection="1">
      <alignment horizontal="center" wrapText="1"/>
    </xf>
    <xf numFmtId="0" fontId="1" fillId="0" borderId="7" xfId="0" applyFont="1" applyBorder="1" applyAlignment="1" applyProtection="1">
      <alignment horizontal="center" wrapText="1"/>
    </xf>
    <xf numFmtId="0" fontId="31" fillId="0" borderId="37" xfId="0" applyFont="1" applyBorder="1" applyAlignment="1" applyProtection="1">
      <alignment horizontal="center" vertical="center" wrapText="1"/>
    </xf>
    <xf numFmtId="49" fontId="60" fillId="0" borderId="32" xfId="0" applyNumberFormat="1" applyFont="1" applyBorder="1" applyAlignment="1" applyProtection="1">
      <alignment horizontal="center" vertical="center"/>
      <protection locked="0"/>
    </xf>
    <xf numFmtId="0" fontId="37" fillId="0" borderId="33" xfId="0" applyFont="1" applyBorder="1" applyAlignment="1" applyProtection="1">
      <alignment horizontal="center" vertical="center"/>
      <protection locked="0"/>
    </xf>
    <xf numFmtId="0" fontId="60" fillId="0" borderId="31" xfId="0" applyFont="1" applyBorder="1" applyAlignment="1" applyProtection="1">
      <alignment horizontal="center" vertical="center"/>
      <protection locked="0"/>
    </xf>
    <xf numFmtId="0" fontId="60" fillId="0" borderId="32" xfId="0" applyFont="1" applyBorder="1" applyAlignment="1" applyProtection="1">
      <alignment horizontal="center" vertical="center"/>
      <protection locked="0"/>
    </xf>
    <xf numFmtId="0" fontId="60" fillId="0" borderId="33" xfId="0" applyFont="1" applyBorder="1" applyAlignment="1" applyProtection="1">
      <alignment horizontal="center" vertical="center"/>
      <protection locked="0"/>
    </xf>
    <xf numFmtId="10" fontId="32" fillId="0" borderId="31" xfId="0" applyNumberFormat="1" applyFont="1" applyBorder="1" applyAlignment="1" applyProtection="1">
      <alignment horizontal="center" vertical="center"/>
    </xf>
    <xf numFmtId="0" fontId="37" fillId="0" borderId="31" xfId="0" applyFont="1" applyBorder="1" applyAlignment="1" applyProtection="1">
      <alignment horizontal="center" vertical="center"/>
    </xf>
    <xf numFmtId="3" fontId="60" fillId="0" borderId="32" xfId="74" applyNumberFormat="1" applyFont="1" applyBorder="1" applyAlignment="1" applyProtection="1">
      <alignment horizontal="right" vertical="center"/>
      <protection locked="0"/>
    </xf>
    <xf numFmtId="0" fontId="37" fillId="0" borderId="30" xfId="0" applyFont="1" applyBorder="1" applyAlignment="1" applyProtection="1">
      <alignment horizontal="right" vertical="center"/>
      <protection locked="0"/>
    </xf>
    <xf numFmtId="0" fontId="32" fillId="0" borderId="51" xfId="0" applyFont="1" applyFill="1" applyBorder="1" applyAlignment="1" applyProtection="1">
      <alignment horizontal="left" vertical="center"/>
      <protection hidden="1"/>
    </xf>
    <xf numFmtId="0" fontId="32" fillId="0" borderId="18" xfId="0" applyFont="1" applyBorder="1" applyAlignment="1" applyProtection="1">
      <alignment horizontal="left" vertical="center"/>
      <protection hidden="1"/>
    </xf>
    <xf numFmtId="0" fontId="69" fillId="0" borderId="18" xfId="0" applyFont="1" applyBorder="1" applyProtection="1">
      <protection locked="0"/>
    </xf>
    <xf numFmtId="0" fontId="78" fillId="0" borderId="52" xfId="0" applyFont="1" applyFill="1" applyBorder="1" applyAlignment="1" applyProtection="1">
      <alignment horizontal="left" vertical="center"/>
      <protection locked="0"/>
    </xf>
    <xf numFmtId="0" fontId="78" fillId="0" borderId="10" xfId="0" applyFont="1" applyFill="1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50" xfId="0" applyBorder="1" applyAlignment="1" applyProtection="1">
      <alignment vertical="center"/>
      <protection locked="0"/>
    </xf>
    <xf numFmtId="14" fontId="32" fillId="0" borderId="52" xfId="0" applyNumberFormat="1" applyFont="1" applyFill="1" applyBorder="1" applyAlignment="1" applyProtection="1">
      <alignment horizontal="center" vertical="center"/>
      <protection locked="0"/>
    </xf>
    <xf numFmtId="0" fontId="32" fillId="0" borderId="10" xfId="0" applyFont="1" applyBorder="1" applyAlignment="1" applyProtection="1">
      <alignment horizontal="center" vertical="center"/>
      <protection locked="0"/>
    </xf>
    <xf numFmtId="0" fontId="32" fillId="0" borderId="88" xfId="0" applyFont="1" applyBorder="1" applyAlignment="1" applyProtection="1">
      <alignment horizontal="center" vertical="center"/>
      <protection locked="0"/>
    </xf>
    <xf numFmtId="0" fontId="31" fillId="0" borderId="0" xfId="0" applyFont="1" applyFill="1" applyBorder="1" applyAlignment="1" applyProtection="1">
      <alignment horizontal="left" wrapText="1" shrinkToFit="1"/>
    </xf>
    <xf numFmtId="0" fontId="101" fillId="0" borderId="19" xfId="0" applyFont="1" applyFill="1" applyBorder="1" applyAlignment="1" applyProtection="1">
      <alignment horizontal="left" vertical="top" wrapText="1"/>
      <protection locked="0"/>
    </xf>
    <xf numFmtId="0" fontId="101" fillId="0" borderId="6" xfId="0" applyFont="1" applyBorder="1" applyAlignment="1" applyProtection="1">
      <alignment horizontal="left" vertical="top"/>
      <protection locked="0"/>
    </xf>
    <xf numFmtId="0" fontId="101" fillId="0" borderId="70" xfId="0" applyFont="1" applyBorder="1" applyAlignment="1" applyProtection="1">
      <alignment horizontal="left" vertical="top"/>
      <protection locked="0"/>
    </xf>
    <xf numFmtId="0" fontId="101" fillId="0" borderId="25" xfId="0" applyFont="1" applyFill="1" applyBorder="1" applyAlignment="1" applyProtection="1">
      <alignment horizontal="left" vertical="top"/>
      <protection locked="0"/>
    </xf>
    <xf numFmtId="0" fontId="101" fillId="0" borderId="0" xfId="0" applyFont="1" applyBorder="1" applyAlignment="1" applyProtection="1">
      <alignment horizontal="left" vertical="top"/>
      <protection locked="0"/>
    </xf>
    <xf numFmtId="0" fontId="101" fillId="0" borderId="68" xfId="0" applyFont="1" applyBorder="1" applyAlignment="1" applyProtection="1">
      <alignment horizontal="left" vertical="top"/>
      <protection locked="0"/>
    </xf>
    <xf numFmtId="0" fontId="101" fillId="0" borderId="25" xfId="0" applyFont="1" applyBorder="1" applyAlignment="1" applyProtection="1">
      <alignment horizontal="left" vertical="top"/>
      <protection locked="0"/>
    </xf>
  </cellXfs>
  <cellStyles count="7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mount" xfId="25"/>
    <cellStyle name="Bad" xfId="26" builtinId="27" customBuiltin="1"/>
    <cellStyle name="Blank" xfId="27"/>
    <cellStyle name="Body text" xfId="28"/>
    <cellStyle name="Calculation" xfId="29" builtinId="22" customBuiltin="1"/>
    <cellStyle name="Check Cell" xfId="30" builtinId="23" customBuiltin="1"/>
    <cellStyle name="Comma0" xfId="31"/>
    <cellStyle name="Currency" xfId="74" builtinId="4"/>
    <cellStyle name="Currency0" xfId="32"/>
    <cellStyle name="DarkBlueOutline" xfId="33"/>
    <cellStyle name="DarkBlueOutlineYellow" xfId="34"/>
    <cellStyle name="Date" xfId="35"/>
    <cellStyle name="Dezimal [0]_Compiling Utility Macros" xfId="36"/>
    <cellStyle name="Dezimal_Compiling Utility Macros" xfId="37"/>
    <cellStyle name="Explanatory Text" xfId="38" builtinId="53" customBuiltin="1"/>
    <cellStyle name="Fixed" xfId="39"/>
    <cellStyle name="Good" xfId="40" builtinId="26" customBuiltin="1"/>
    <cellStyle name="GRAY" xfId="41"/>
    <cellStyle name="Gross Margin" xfId="42"/>
    <cellStyle name="header" xfId="43"/>
    <cellStyle name="Header Total" xfId="44"/>
    <cellStyle name="Header1" xfId="45"/>
    <cellStyle name="Header2" xfId="46"/>
    <cellStyle name="Header3" xfId="47"/>
    <cellStyle name="Heading 1" xfId="48" builtinId="16" customBuiltin="1"/>
    <cellStyle name="Heading 2" xfId="49" builtinId="17" customBuiltin="1"/>
    <cellStyle name="Heading 3" xfId="50" builtinId="18" customBuiltin="1"/>
    <cellStyle name="Heading 4" xfId="51" builtinId="19" customBuiltin="1"/>
    <cellStyle name="Input" xfId="52" builtinId="20" customBuiltin="1"/>
    <cellStyle name="Level 2 Total" xfId="53"/>
    <cellStyle name="Linked Cell" xfId="54" builtinId="24" customBuiltin="1"/>
    <cellStyle name="Major Total" xfId="55"/>
    <cellStyle name="Neutral" xfId="56" builtinId="28" customBuiltin="1"/>
    <cellStyle name="NonPrint_TemTitle" xfId="57"/>
    <cellStyle name="Normal" xfId="0" builtinId="0"/>
    <cellStyle name="Normal 2" xfId="58"/>
    <cellStyle name="NormalRed" xfId="59"/>
    <cellStyle name="Note" xfId="60" builtinId="10" customBuiltin="1"/>
    <cellStyle name="Output" xfId="61" builtinId="21" customBuiltin="1"/>
    <cellStyle name="Percent.0" xfId="62"/>
    <cellStyle name="Percent.00" xfId="63"/>
    <cellStyle name="RED POSTED" xfId="64"/>
    <cellStyle name="Standard_Anpassen der Amortisation" xfId="65"/>
    <cellStyle name="Text_simple" xfId="66"/>
    <cellStyle name="Title" xfId="67" builtinId="15" customBuiltin="1"/>
    <cellStyle name="TmsRmn10BlueItalic" xfId="68"/>
    <cellStyle name="TmsRmn10Bold" xfId="69"/>
    <cellStyle name="Total" xfId="70" builtinId="25" customBuiltin="1"/>
    <cellStyle name="Währung [0]_Compiling Utility Macros" xfId="71"/>
    <cellStyle name="Währung_Compiling Utility Macros" xfId="72"/>
    <cellStyle name="Warning Text" xfId="73" builtinId="11" customBuiltin="1"/>
  </cellStyles>
  <dxfs count="107">
    <dxf>
      <fill>
        <patternFill patternType="none">
          <bgColor auto="1"/>
        </patternFill>
      </fill>
    </dxf>
    <dxf>
      <fill>
        <patternFill>
          <fgColor auto="1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414"/>
  <sheetViews>
    <sheetView workbookViewId="0">
      <selection activeCell="K1" sqref="K1"/>
    </sheetView>
  </sheetViews>
  <sheetFormatPr defaultRowHeight="13.2"/>
  <cols>
    <col min="1" max="4" width="9.109375" style="438"/>
    <col min="5" max="5" width="10.33203125" customWidth="1"/>
    <col min="6" max="6" width="34.6640625" bestFit="1" customWidth="1"/>
    <col min="10" max="10" width="9.109375" style="447"/>
  </cols>
  <sheetData>
    <row r="1" spans="5:12">
      <c r="E1" s="303">
        <v>170701</v>
      </c>
      <c r="F1" s="303" t="s">
        <v>68</v>
      </c>
      <c r="I1">
        <v>0</v>
      </c>
      <c r="J1" s="447">
        <f>I1</f>
        <v>0</v>
      </c>
      <c r="K1" s="447">
        <v>2</v>
      </c>
      <c r="L1" s="267" t="s">
        <v>453</v>
      </c>
    </row>
    <row r="2" spans="5:12">
      <c r="E2">
        <v>170706</v>
      </c>
      <c r="F2" t="s">
        <v>11</v>
      </c>
    </row>
    <row r="3" spans="5:12">
      <c r="E3">
        <v>170707</v>
      </c>
      <c r="F3" t="s">
        <v>12</v>
      </c>
    </row>
    <row r="4" spans="5:12">
      <c r="E4">
        <v>170709</v>
      </c>
      <c r="F4" t="s">
        <v>13</v>
      </c>
    </row>
    <row r="5" spans="5:12">
      <c r="E5">
        <v>170710</v>
      </c>
      <c r="F5" t="s">
        <v>14</v>
      </c>
    </row>
    <row r="6" spans="5:12">
      <c r="E6">
        <v>170711</v>
      </c>
      <c r="F6" t="s">
        <v>15</v>
      </c>
    </row>
    <row r="7" spans="5:12">
      <c r="E7">
        <v>170713</v>
      </c>
      <c r="F7" t="s">
        <v>16</v>
      </c>
    </row>
    <row r="8" spans="5:12">
      <c r="E8">
        <v>170715</v>
      </c>
      <c r="F8" t="s">
        <v>17</v>
      </c>
    </row>
    <row r="9" spans="5:12">
      <c r="E9">
        <v>170716</v>
      </c>
      <c r="F9" t="s">
        <v>18</v>
      </c>
    </row>
    <row r="10" spans="5:12">
      <c r="E10">
        <v>170717</v>
      </c>
      <c r="F10" t="s">
        <v>19</v>
      </c>
    </row>
    <row r="11" spans="5:12">
      <c r="E11">
        <v>170718</v>
      </c>
      <c r="F11" t="s">
        <v>20</v>
      </c>
    </row>
    <row r="12" spans="5:12">
      <c r="E12">
        <v>170720</v>
      </c>
      <c r="F12" t="s">
        <v>21</v>
      </c>
    </row>
    <row r="13" spans="5:12">
      <c r="E13">
        <v>170721</v>
      </c>
      <c r="F13" t="s">
        <v>22</v>
      </c>
    </row>
    <row r="14" spans="5:12">
      <c r="E14">
        <v>170722</v>
      </c>
      <c r="F14" t="s">
        <v>23</v>
      </c>
    </row>
    <row r="15" spans="5:12">
      <c r="E15">
        <v>170723</v>
      </c>
      <c r="F15" t="s">
        <v>24</v>
      </c>
    </row>
    <row r="16" spans="5:12">
      <c r="E16">
        <v>170729</v>
      </c>
      <c r="F16" t="s">
        <v>25</v>
      </c>
    </row>
    <row r="17" spans="5:6">
      <c r="E17">
        <v>170730</v>
      </c>
      <c r="F17" t="s">
        <v>26</v>
      </c>
    </row>
    <row r="18" spans="5:6">
      <c r="E18">
        <v>170731</v>
      </c>
      <c r="F18" t="s">
        <v>27</v>
      </c>
    </row>
    <row r="19" spans="5:6">
      <c r="E19">
        <v>170732</v>
      </c>
      <c r="F19" t="s">
        <v>28</v>
      </c>
    </row>
    <row r="21" spans="5:6">
      <c r="E21" s="303">
        <v>181110</v>
      </c>
      <c r="F21" s="303" t="s">
        <v>68</v>
      </c>
    </row>
    <row r="22" spans="5:6">
      <c r="E22">
        <v>180100</v>
      </c>
      <c r="F22" t="s">
        <v>29</v>
      </c>
    </row>
    <row r="23" spans="5:6">
      <c r="E23">
        <v>180200</v>
      </c>
      <c r="F23" t="s">
        <v>30</v>
      </c>
    </row>
    <row r="24" spans="5:6">
      <c r="E24">
        <v>180300</v>
      </c>
      <c r="F24" t="s">
        <v>31</v>
      </c>
    </row>
    <row r="25" spans="5:6">
      <c r="E25">
        <v>180400</v>
      </c>
      <c r="F25" t="s">
        <v>32</v>
      </c>
    </row>
    <row r="26" spans="5:6">
      <c r="E26">
        <v>180500</v>
      </c>
      <c r="F26" t="s">
        <v>33</v>
      </c>
    </row>
    <row r="27" spans="5:6">
      <c r="E27">
        <v>180600</v>
      </c>
      <c r="F27" t="s">
        <v>34</v>
      </c>
    </row>
    <row r="28" spans="5:6">
      <c r="E28">
        <v>180700</v>
      </c>
      <c r="F28" t="s">
        <v>35</v>
      </c>
    </row>
    <row r="29" spans="5:6">
      <c r="E29">
        <v>180800</v>
      </c>
      <c r="F29" t="s">
        <v>36</v>
      </c>
    </row>
    <row r="30" spans="5:6">
      <c r="E30">
        <v>180900</v>
      </c>
      <c r="F30" t="s">
        <v>37</v>
      </c>
    </row>
    <row r="31" spans="5:6">
      <c r="E31">
        <v>181000</v>
      </c>
      <c r="F31" t="s">
        <v>38</v>
      </c>
    </row>
    <row r="32" spans="5:6">
      <c r="E32">
        <v>181100</v>
      </c>
      <c r="F32" t="s">
        <v>39</v>
      </c>
    </row>
    <row r="33" spans="5:6">
      <c r="E33">
        <v>181200</v>
      </c>
      <c r="F33" t="s">
        <v>40</v>
      </c>
    </row>
    <row r="34" spans="5:6">
      <c r="E34">
        <v>181300</v>
      </c>
      <c r="F34" t="s">
        <v>41</v>
      </c>
    </row>
    <row r="35" spans="5:6">
      <c r="E35">
        <v>181400</v>
      </c>
      <c r="F35" t="s">
        <v>42</v>
      </c>
    </row>
    <row r="36" spans="5:6">
      <c r="E36">
        <v>181500</v>
      </c>
      <c r="F36" t="s">
        <v>43</v>
      </c>
    </row>
    <row r="37" spans="5:6">
      <c r="E37">
        <v>181600</v>
      </c>
      <c r="F37" t="s">
        <v>44</v>
      </c>
    </row>
    <row r="38" spans="5:6">
      <c r="E38">
        <v>181700</v>
      </c>
      <c r="F38" t="s">
        <v>45</v>
      </c>
    </row>
    <row r="39" spans="5:6">
      <c r="E39">
        <v>181800</v>
      </c>
      <c r="F39" t="s">
        <v>46</v>
      </c>
    </row>
    <row r="40" spans="5:6">
      <c r="E40">
        <v>181900</v>
      </c>
      <c r="F40" t="s">
        <v>47</v>
      </c>
    </row>
    <row r="41" spans="5:6">
      <c r="E41">
        <v>182000</v>
      </c>
      <c r="F41" t="s">
        <v>48</v>
      </c>
    </row>
    <row r="42" spans="5:6">
      <c r="E42">
        <v>182100</v>
      </c>
      <c r="F42" t="s">
        <v>49</v>
      </c>
    </row>
    <row r="43" spans="5:6">
      <c r="E43">
        <v>182200</v>
      </c>
      <c r="F43" t="s">
        <v>50</v>
      </c>
    </row>
    <row r="44" spans="5:6">
      <c r="E44">
        <v>182300</v>
      </c>
      <c r="F44" t="s">
        <v>51</v>
      </c>
    </row>
    <row r="45" spans="5:6">
      <c r="E45">
        <v>182400</v>
      </c>
      <c r="F45" t="s">
        <v>52</v>
      </c>
    </row>
    <row r="46" spans="5:6">
      <c r="E46">
        <v>182500</v>
      </c>
      <c r="F46" t="s">
        <v>53</v>
      </c>
    </row>
    <row r="47" spans="5:6">
      <c r="E47">
        <v>182600</v>
      </c>
      <c r="F47" t="s">
        <v>54</v>
      </c>
    </row>
    <row r="48" spans="5:6">
      <c r="E48">
        <v>182700</v>
      </c>
      <c r="F48" t="s">
        <v>55</v>
      </c>
    </row>
    <row r="49" spans="4:10">
      <c r="E49">
        <v>182800</v>
      </c>
      <c r="F49" t="s">
        <v>56</v>
      </c>
    </row>
    <row r="53" spans="4:10" ht="39.6">
      <c r="E53" s="255" t="s">
        <v>166</v>
      </c>
      <c r="F53" s="255" t="s">
        <v>167</v>
      </c>
      <c r="G53" s="255" t="s">
        <v>168</v>
      </c>
      <c r="H53" s="256"/>
      <c r="I53" s="255" t="s">
        <v>166</v>
      </c>
      <c r="J53" s="257" t="s">
        <v>169</v>
      </c>
    </row>
    <row r="54" spans="4:10">
      <c r="D54" s="438" t="s">
        <v>66</v>
      </c>
      <c r="E54" s="311">
        <v>110103</v>
      </c>
      <c r="F54" s="311"/>
      <c r="I54" s="311">
        <v>110103</v>
      </c>
      <c r="J54" s="448" t="s">
        <v>393</v>
      </c>
    </row>
    <row r="55" spans="4:10">
      <c r="D55" s="438" t="s">
        <v>66</v>
      </c>
      <c r="E55" s="311">
        <v>121003</v>
      </c>
      <c r="F55" s="311"/>
      <c r="I55" s="311">
        <v>121003</v>
      </c>
      <c r="J55" s="448" t="s">
        <v>394</v>
      </c>
    </row>
    <row r="56" spans="4:10">
      <c r="D56" s="438" t="s">
        <v>66</v>
      </c>
      <c r="E56" s="311">
        <v>122003</v>
      </c>
      <c r="F56" s="311"/>
      <c r="I56" s="311">
        <v>122003</v>
      </c>
      <c r="J56" s="448" t="s">
        <v>395</v>
      </c>
    </row>
    <row r="57" spans="4:10">
      <c r="D57" s="438" t="s">
        <v>66</v>
      </c>
      <c r="E57" s="311">
        <v>123003</v>
      </c>
      <c r="F57" s="311"/>
      <c r="I57" s="311">
        <v>123003</v>
      </c>
      <c r="J57" s="448" t="s">
        <v>396</v>
      </c>
    </row>
    <row r="58" spans="4:10">
      <c r="D58" s="438" t="s">
        <v>66</v>
      </c>
      <c r="E58" s="311">
        <v>124003</v>
      </c>
      <c r="F58" s="311"/>
      <c r="I58" s="311">
        <v>124003</v>
      </c>
      <c r="J58" s="448" t="s">
        <v>397</v>
      </c>
    </row>
    <row r="59" spans="4:10">
      <c r="D59" s="438" t="s">
        <v>66</v>
      </c>
      <c r="E59" s="311">
        <v>125103</v>
      </c>
      <c r="F59" s="311"/>
      <c r="I59" s="311">
        <v>125103</v>
      </c>
      <c r="J59" s="448" t="s">
        <v>398</v>
      </c>
    </row>
    <row r="60" spans="4:10">
      <c r="D60" s="438" t="s">
        <v>66</v>
      </c>
      <c r="E60" s="311">
        <v>125203</v>
      </c>
      <c r="F60" s="311"/>
      <c r="I60" s="311">
        <v>125203</v>
      </c>
      <c r="J60" s="448" t="s">
        <v>399</v>
      </c>
    </row>
    <row r="61" spans="4:10">
      <c r="D61" s="438" t="s">
        <v>66</v>
      </c>
      <c r="E61" s="311">
        <v>125303</v>
      </c>
      <c r="F61" s="311"/>
      <c r="I61" s="311">
        <v>125303</v>
      </c>
      <c r="J61" s="448" t="s">
        <v>400</v>
      </c>
    </row>
    <row r="62" spans="4:10">
      <c r="D62" s="438" t="s">
        <v>66</v>
      </c>
      <c r="E62" s="311">
        <v>125403</v>
      </c>
      <c r="F62" s="311"/>
      <c r="I62" s="311">
        <v>125403</v>
      </c>
      <c r="J62" s="448" t="s">
        <v>401</v>
      </c>
    </row>
    <row r="63" spans="4:10">
      <c r="D63" s="438" t="s">
        <v>66</v>
      </c>
      <c r="E63" s="311">
        <v>125503</v>
      </c>
      <c r="F63" s="311"/>
      <c r="I63" s="311">
        <v>125503</v>
      </c>
      <c r="J63" s="448" t="s">
        <v>402</v>
      </c>
    </row>
    <row r="64" spans="4:10">
      <c r="D64" s="438" t="s">
        <v>66</v>
      </c>
      <c r="E64" s="311">
        <v>126003</v>
      </c>
      <c r="F64" s="311"/>
      <c r="I64" s="311">
        <v>126003</v>
      </c>
      <c r="J64" s="448" t="s">
        <v>403</v>
      </c>
    </row>
    <row r="65" spans="4:10">
      <c r="D65" s="438" t="s">
        <v>66</v>
      </c>
      <c r="E65" s="311">
        <v>127003</v>
      </c>
      <c r="F65" s="311"/>
      <c r="I65" s="311">
        <v>127003</v>
      </c>
      <c r="J65" s="448" t="s">
        <v>404</v>
      </c>
    </row>
    <row r="66" spans="4:10">
      <c r="D66" s="438" t="s">
        <v>66</v>
      </c>
      <c r="E66" s="311">
        <v>128003</v>
      </c>
      <c r="F66" s="311"/>
      <c r="I66" s="311">
        <v>128003</v>
      </c>
      <c r="J66" s="448" t="s">
        <v>405</v>
      </c>
    </row>
    <row r="67" spans="4:10">
      <c r="D67" s="438" t="s">
        <v>66</v>
      </c>
      <c r="E67" s="311">
        <v>129003</v>
      </c>
      <c r="F67" s="311"/>
      <c r="I67" s="311">
        <v>129003</v>
      </c>
      <c r="J67" s="448" t="s">
        <v>406</v>
      </c>
    </row>
    <row r="68" spans="4:10">
      <c r="D68" s="438" t="s">
        <v>66</v>
      </c>
      <c r="E68" s="311">
        <v>130103</v>
      </c>
      <c r="F68" s="311"/>
      <c r="I68" s="311">
        <v>130103</v>
      </c>
      <c r="J68" s="448" t="s">
        <v>407</v>
      </c>
    </row>
    <row r="69" spans="4:10">
      <c r="D69" s="438" t="s">
        <v>66</v>
      </c>
      <c r="E69" s="311">
        <v>130203</v>
      </c>
      <c r="F69" s="311"/>
      <c r="I69" s="311">
        <v>130203</v>
      </c>
      <c r="J69" s="448" t="s">
        <v>408</v>
      </c>
    </row>
    <row r="70" spans="4:10">
      <c r="D70" s="438" t="s">
        <v>66</v>
      </c>
      <c r="E70" s="311">
        <v>130303</v>
      </c>
      <c r="F70" s="311"/>
      <c r="I70" s="311">
        <v>130303</v>
      </c>
      <c r="J70" s="448" t="s">
        <v>409</v>
      </c>
    </row>
    <row r="71" spans="4:10">
      <c r="D71" s="438" t="s">
        <v>66</v>
      </c>
      <c r="E71" s="311">
        <v>130403</v>
      </c>
      <c r="F71" s="311"/>
      <c r="I71" s="311">
        <v>130403</v>
      </c>
      <c r="J71" s="448" t="s">
        <v>410</v>
      </c>
    </row>
    <row r="72" spans="4:10">
      <c r="D72" s="438" t="s">
        <v>66</v>
      </c>
      <c r="E72" s="311">
        <v>130503</v>
      </c>
      <c r="F72" s="311"/>
      <c r="I72" s="311">
        <v>130503</v>
      </c>
      <c r="J72" s="448" t="s">
        <v>411</v>
      </c>
    </row>
    <row r="73" spans="4:10">
      <c r="D73" s="438" t="s">
        <v>66</v>
      </c>
      <c r="E73" s="311">
        <v>130603</v>
      </c>
      <c r="F73" s="311"/>
      <c r="I73" s="311">
        <v>130603</v>
      </c>
      <c r="J73" s="448" t="s">
        <v>412</v>
      </c>
    </row>
    <row r="74" spans="4:10">
      <c r="D74" s="438" t="s">
        <v>66</v>
      </c>
      <c r="E74" s="311">
        <v>130703</v>
      </c>
      <c r="F74" s="311"/>
      <c r="I74" s="311">
        <v>130703</v>
      </c>
      <c r="J74" s="448" t="s">
        <v>345</v>
      </c>
    </row>
    <row r="75" spans="4:10">
      <c r="D75" s="438" t="s">
        <v>66</v>
      </c>
      <c r="E75" s="311">
        <v>130803</v>
      </c>
      <c r="F75" s="311"/>
      <c r="I75" s="311">
        <v>130803</v>
      </c>
      <c r="J75" s="448" t="s">
        <v>413</v>
      </c>
    </row>
    <row r="76" spans="4:10">
      <c r="D76" s="438" t="s">
        <v>66</v>
      </c>
      <c r="E76" s="311">
        <v>131003</v>
      </c>
      <c r="F76" s="311"/>
      <c r="I76" s="311">
        <v>131003</v>
      </c>
      <c r="J76" s="448" t="s">
        <v>414</v>
      </c>
    </row>
    <row r="77" spans="4:10">
      <c r="D77" s="438" t="s">
        <v>66</v>
      </c>
      <c r="E77" s="311">
        <v>131103</v>
      </c>
      <c r="F77" s="311"/>
      <c r="I77" s="311">
        <v>131103</v>
      </c>
      <c r="J77" s="448" t="s">
        <v>415</v>
      </c>
    </row>
    <row r="78" spans="4:10">
      <c r="D78" s="438" t="s">
        <v>66</v>
      </c>
      <c r="E78" s="311">
        <v>132003</v>
      </c>
      <c r="F78" s="311"/>
      <c r="I78" s="311">
        <v>132003</v>
      </c>
      <c r="J78" s="448" t="s">
        <v>416</v>
      </c>
    </row>
    <row r="79" spans="4:10">
      <c r="D79" s="438" t="s">
        <v>66</v>
      </c>
      <c r="E79" s="311">
        <v>132103</v>
      </c>
      <c r="F79" s="311"/>
      <c r="I79" s="311">
        <v>132103</v>
      </c>
      <c r="J79" s="448" t="s">
        <v>417</v>
      </c>
    </row>
    <row r="80" spans="4:10">
      <c r="D80" s="438" t="s">
        <v>66</v>
      </c>
      <c r="E80" s="311">
        <v>132203</v>
      </c>
      <c r="F80" s="311"/>
      <c r="I80" s="311">
        <v>132203</v>
      </c>
      <c r="J80" s="448" t="s">
        <v>418</v>
      </c>
    </row>
    <row r="81" spans="4:10">
      <c r="D81" s="438" t="s">
        <v>66</v>
      </c>
      <c r="E81" s="311">
        <v>140103</v>
      </c>
      <c r="F81" s="311"/>
      <c r="I81" s="311">
        <v>140103</v>
      </c>
      <c r="J81" s="448" t="s">
        <v>419</v>
      </c>
    </row>
    <row r="82" spans="4:10">
      <c r="D82" s="438" t="s">
        <v>66</v>
      </c>
      <c r="E82" s="311">
        <v>140203</v>
      </c>
      <c r="F82" s="311"/>
      <c r="I82" s="311">
        <v>140203</v>
      </c>
      <c r="J82" s="448" t="s">
        <v>420</v>
      </c>
    </row>
    <row r="83" spans="4:10">
      <c r="D83" s="438" t="s">
        <v>66</v>
      </c>
      <c r="E83" s="311">
        <v>140303</v>
      </c>
      <c r="F83" s="311"/>
      <c r="I83" s="311">
        <v>140303</v>
      </c>
      <c r="J83" s="448" t="s">
        <v>421</v>
      </c>
    </row>
    <row r="84" spans="4:10">
      <c r="D84" s="438" t="s">
        <v>66</v>
      </c>
      <c r="E84" s="311">
        <v>140403</v>
      </c>
      <c r="F84" s="311"/>
      <c r="I84" s="311">
        <v>140403</v>
      </c>
      <c r="J84" s="448" t="s">
        <v>348</v>
      </c>
    </row>
    <row r="85" spans="4:10">
      <c r="D85" s="438" t="s">
        <v>66</v>
      </c>
      <c r="E85" s="311">
        <v>150103</v>
      </c>
      <c r="F85" s="311"/>
      <c r="I85" s="311">
        <v>150103</v>
      </c>
      <c r="J85" s="448" t="s">
        <v>422</v>
      </c>
    </row>
    <row r="86" spans="4:10">
      <c r="D86" s="438" t="s">
        <v>66</v>
      </c>
      <c r="E86" s="311">
        <v>150203</v>
      </c>
      <c r="F86" s="311"/>
      <c r="I86" s="311">
        <v>150203</v>
      </c>
      <c r="J86" s="448" t="s">
        <v>423</v>
      </c>
    </row>
    <row r="87" spans="4:10">
      <c r="D87" s="438" t="s">
        <v>66</v>
      </c>
      <c r="E87" s="311">
        <v>150303</v>
      </c>
      <c r="F87" s="311"/>
      <c r="I87" s="311">
        <v>150303</v>
      </c>
      <c r="J87" s="448" t="s">
        <v>424</v>
      </c>
    </row>
    <row r="88" spans="4:10">
      <c r="D88" s="438" t="s">
        <v>66</v>
      </c>
      <c r="E88" s="311">
        <v>150403</v>
      </c>
      <c r="F88" s="311"/>
      <c r="I88" s="311">
        <v>150403</v>
      </c>
      <c r="J88" s="448" t="s">
        <v>425</v>
      </c>
    </row>
    <row r="89" spans="4:10">
      <c r="D89" s="438" t="s">
        <v>66</v>
      </c>
      <c r="E89" s="311">
        <v>160103</v>
      </c>
      <c r="F89" s="311"/>
      <c r="I89" s="311">
        <v>160103</v>
      </c>
      <c r="J89" s="448" t="s">
        <v>426</v>
      </c>
    </row>
    <row r="90" spans="4:10">
      <c r="D90" s="438" t="s">
        <v>66</v>
      </c>
      <c r="E90" s="311">
        <v>160203</v>
      </c>
      <c r="F90" s="311"/>
      <c r="I90" s="311">
        <v>160203</v>
      </c>
      <c r="J90" s="448" t="s">
        <v>427</v>
      </c>
    </row>
    <row r="91" spans="4:10">
      <c r="D91" s="438" t="s">
        <v>66</v>
      </c>
      <c r="E91" s="311">
        <v>160303</v>
      </c>
      <c r="F91" s="311"/>
      <c r="I91" s="311">
        <v>160303</v>
      </c>
      <c r="J91" s="448" t="s">
        <v>428</v>
      </c>
    </row>
    <row r="92" spans="4:10">
      <c r="D92" s="438" t="s">
        <v>66</v>
      </c>
      <c r="E92" s="311">
        <v>160403</v>
      </c>
      <c r="F92" s="311"/>
      <c r="I92" s="311">
        <v>160403</v>
      </c>
      <c r="J92" s="448" t="s">
        <v>346</v>
      </c>
    </row>
    <row r="93" spans="4:10">
      <c r="D93" s="438" t="s">
        <v>66</v>
      </c>
      <c r="E93" s="311">
        <v>160503</v>
      </c>
      <c r="F93" s="311"/>
      <c r="I93" s="311">
        <v>160503</v>
      </c>
      <c r="J93" s="448" t="s">
        <v>429</v>
      </c>
    </row>
    <row r="94" spans="4:10">
      <c r="D94" s="438" t="s">
        <v>66</v>
      </c>
      <c r="E94" s="311">
        <v>170003</v>
      </c>
      <c r="F94" s="311"/>
      <c r="I94" s="311">
        <v>170003</v>
      </c>
      <c r="J94" s="448" t="s">
        <v>430</v>
      </c>
    </row>
    <row r="95" spans="4:10">
      <c r="D95" s="438" t="s">
        <v>66</v>
      </c>
      <c r="E95" s="311">
        <v>170103</v>
      </c>
      <c r="F95" s="311"/>
      <c r="I95" s="311">
        <v>170103</v>
      </c>
      <c r="J95" s="448" t="s">
        <v>431</v>
      </c>
    </row>
    <row r="96" spans="4:10">
      <c r="D96" s="438" t="s">
        <v>66</v>
      </c>
      <c r="E96" s="311">
        <v>170203</v>
      </c>
      <c r="F96" s="311"/>
      <c r="I96" s="311">
        <v>170203</v>
      </c>
      <c r="J96" s="448" t="s">
        <v>432</v>
      </c>
    </row>
    <row r="97" spans="1:11">
      <c r="D97" s="438" t="s">
        <v>66</v>
      </c>
      <c r="E97" s="311">
        <v>170303</v>
      </c>
      <c r="F97" s="311"/>
      <c r="I97" s="311">
        <v>170303</v>
      </c>
      <c r="J97" s="448" t="s">
        <v>433</v>
      </c>
    </row>
    <row r="98" spans="1:11">
      <c r="D98" s="438" t="s">
        <v>66</v>
      </c>
      <c r="E98" s="311">
        <v>170403</v>
      </c>
      <c r="F98" s="311"/>
      <c r="I98" s="311">
        <v>170403</v>
      </c>
      <c r="J98" s="448" t="s">
        <v>434</v>
      </c>
    </row>
    <row r="99" spans="1:11">
      <c r="D99" s="438" t="s">
        <v>66</v>
      </c>
      <c r="E99" s="311">
        <v>170503</v>
      </c>
      <c r="F99" s="311"/>
      <c r="I99" s="311">
        <v>170503</v>
      </c>
      <c r="J99" s="448" t="s">
        <v>435</v>
      </c>
    </row>
    <row r="100" spans="1:11">
      <c r="D100" s="438" t="s">
        <v>66</v>
      </c>
      <c r="E100" s="311">
        <v>200103</v>
      </c>
      <c r="F100" s="311"/>
      <c r="I100" s="311">
        <v>200103</v>
      </c>
      <c r="J100" s="448" t="s">
        <v>436</v>
      </c>
    </row>
    <row r="101" spans="1:11">
      <c r="D101" s="438" t="s">
        <v>66</v>
      </c>
      <c r="E101" s="311">
        <v>210003</v>
      </c>
      <c r="F101" s="311"/>
      <c r="I101" s="311">
        <v>210003</v>
      </c>
      <c r="J101" s="448" t="s">
        <v>437</v>
      </c>
    </row>
    <row r="102" spans="1:11">
      <c r="D102" s="438" t="s">
        <v>66</v>
      </c>
      <c r="E102" s="311">
        <v>240003</v>
      </c>
      <c r="F102" s="311"/>
      <c r="I102" s="311">
        <v>240003</v>
      </c>
      <c r="J102" s="448" t="s">
        <v>438</v>
      </c>
      <c r="K102" s="267"/>
    </row>
    <row r="103" spans="1:11">
      <c r="D103" s="438" t="s">
        <v>66</v>
      </c>
      <c r="E103" s="311">
        <v>300103</v>
      </c>
      <c r="F103" s="311"/>
      <c r="I103" s="311">
        <v>300103</v>
      </c>
      <c r="J103" s="448" t="s">
        <v>439</v>
      </c>
    </row>
    <row r="104" spans="1:11">
      <c r="D104" s="438" t="s">
        <v>66</v>
      </c>
      <c r="E104" s="311">
        <v>302003</v>
      </c>
      <c r="F104" s="311"/>
      <c r="I104" s="311">
        <v>302003</v>
      </c>
      <c r="J104" s="448" t="s">
        <v>440</v>
      </c>
    </row>
    <row r="105" spans="1:11">
      <c r="D105" s="438" t="s">
        <v>66</v>
      </c>
      <c r="E105" s="311">
        <v>303003</v>
      </c>
      <c r="F105" s="311"/>
      <c r="I105" s="311">
        <v>303003</v>
      </c>
      <c r="J105" s="448" t="s">
        <v>441</v>
      </c>
    </row>
    <row r="106" spans="1:11">
      <c r="D106" s="438" t="s">
        <v>66</v>
      </c>
      <c r="E106" s="311">
        <v>305003</v>
      </c>
      <c r="F106" s="311"/>
      <c r="I106" s="311">
        <v>305003</v>
      </c>
      <c r="J106" s="448" t="s">
        <v>442</v>
      </c>
    </row>
    <row r="107" spans="1:11">
      <c r="D107" s="438" t="s">
        <v>66</v>
      </c>
      <c r="E107" s="311">
        <v>310103</v>
      </c>
      <c r="F107" s="311"/>
      <c r="I107" s="311">
        <v>310103</v>
      </c>
      <c r="J107" s="448" t="s">
        <v>443</v>
      </c>
    </row>
    <row r="108" spans="1:11">
      <c r="D108" s="438" t="s">
        <v>66</v>
      </c>
      <c r="E108" s="311">
        <v>320103</v>
      </c>
      <c r="F108" s="311"/>
      <c r="I108" s="311">
        <v>320103</v>
      </c>
      <c r="J108" s="448" t="s">
        <v>444</v>
      </c>
    </row>
    <row r="109" spans="1:11">
      <c r="D109" s="438" t="s">
        <v>66</v>
      </c>
      <c r="E109" s="311">
        <v>400103</v>
      </c>
      <c r="F109" s="311"/>
      <c r="I109" s="311">
        <v>400103</v>
      </c>
      <c r="J109" s="448" t="s">
        <v>347</v>
      </c>
    </row>
    <row r="110" spans="1:11" s="258" customFormat="1">
      <c r="A110" s="443"/>
      <c r="B110" s="443"/>
      <c r="C110" s="443"/>
      <c r="D110" s="443"/>
      <c r="E110" s="439"/>
      <c r="F110" s="439"/>
      <c r="I110" s="439"/>
      <c r="J110" s="442"/>
    </row>
    <row r="111" spans="1:11">
      <c r="A111" s="438">
        <v>45</v>
      </c>
      <c r="B111" s="438" t="s">
        <v>377</v>
      </c>
      <c r="C111" s="437"/>
      <c r="D111" s="437" t="s">
        <v>66</v>
      </c>
      <c r="E111" s="263">
        <v>180100</v>
      </c>
      <c r="F111" s="264" t="s">
        <v>213</v>
      </c>
      <c r="G111" s="260" t="s">
        <v>180</v>
      </c>
      <c r="H111" s="265"/>
      <c r="I111" s="263">
        <v>180100</v>
      </c>
      <c r="J111" s="449" t="s">
        <v>29</v>
      </c>
    </row>
    <row r="112" spans="1:11">
      <c r="A112" s="437">
        <v>46</v>
      </c>
      <c r="B112" s="438" t="s">
        <v>377</v>
      </c>
      <c r="C112" s="437"/>
      <c r="D112" s="437" t="s">
        <v>66</v>
      </c>
      <c r="E112" s="263">
        <v>180200</v>
      </c>
      <c r="F112" s="264" t="s">
        <v>213</v>
      </c>
      <c r="G112" s="260" t="s">
        <v>180</v>
      </c>
      <c r="H112" s="265"/>
      <c r="I112" s="263">
        <v>180200</v>
      </c>
      <c r="J112" s="449" t="s">
        <v>30</v>
      </c>
    </row>
    <row r="113" spans="1:10">
      <c r="A113" s="438">
        <v>47</v>
      </c>
      <c r="B113" s="438" t="s">
        <v>377</v>
      </c>
      <c r="C113" s="437"/>
      <c r="D113" s="437" t="s">
        <v>66</v>
      </c>
      <c r="E113" s="263">
        <v>180300</v>
      </c>
      <c r="F113" s="264" t="s">
        <v>213</v>
      </c>
      <c r="G113" s="260" t="s">
        <v>180</v>
      </c>
      <c r="H113" s="265"/>
      <c r="I113" s="263">
        <v>180300</v>
      </c>
      <c r="J113" s="449" t="s">
        <v>31</v>
      </c>
    </row>
    <row r="114" spans="1:10">
      <c r="A114" s="438">
        <v>48</v>
      </c>
      <c r="B114" s="438" t="s">
        <v>377</v>
      </c>
      <c r="C114" s="437"/>
      <c r="D114" s="437" t="s">
        <v>66</v>
      </c>
      <c r="E114" s="263">
        <v>180600</v>
      </c>
      <c r="F114" s="264" t="s">
        <v>213</v>
      </c>
      <c r="G114" s="260" t="s">
        <v>180</v>
      </c>
      <c r="H114" s="265"/>
      <c r="I114" s="263">
        <v>180600</v>
      </c>
      <c r="J114" s="449" t="s">
        <v>34</v>
      </c>
    </row>
    <row r="115" spans="1:10">
      <c r="A115" s="437">
        <v>49</v>
      </c>
      <c r="B115" s="438" t="s">
        <v>377</v>
      </c>
      <c r="C115" s="437"/>
      <c r="D115" s="437" t="s">
        <v>66</v>
      </c>
      <c r="E115" s="263">
        <v>180700</v>
      </c>
      <c r="F115" s="264" t="s">
        <v>213</v>
      </c>
      <c r="G115" s="260" t="s">
        <v>180</v>
      </c>
      <c r="H115" s="265"/>
      <c r="I115" s="263">
        <v>180700</v>
      </c>
      <c r="J115" s="449" t="s">
        <v>35</v>
      </c>
    </row>
    <row r="116" spans="1:10">
      <c r="A116" s="438">
        <v>50</v>
      </c>
      <c r="B116" s="438" t="s">
        <v>377</v>
      </c>
      <c r="C116" s="437"/>
      <c r="D116" s="437" t="s">
        <v>66</v>
      </c>
      <c r="E116" s="263">
        <v>180900</v>
      </c>
      <c r="F116" s="264" t="s">
        <v>213</v>
      </c>
      <c r="G116" s="260" t="s">
        <v>180</v>
      </c>
      <c r="H116" s="265"/>
      <c r="I116" s="263">
        <v>180900</v>
      </c>
      <c r="J116" s="449" t="s">
        <v>37</v>
      </c>
    </row>
    <row r="117" spans="1:10">
      <c r="A117" s="438">
        <v>51</v>
      </c>
      <c r="B117" s="438" t="s">
        <v>377</v>
      </c>
      <c r="C117" s="437"/>
      <c r="D117" s="437" t="s">
        <v>66</v>
      </c>
      <c r="E117" s="263">
        <v>181000</v>
      </c>
      <c r="F117" s="264" t="s">
        <v>213</v>
      </c>
      <c r="G117" s="260" t="s">
        <v>180</v>
      </c>
      <c r="H117" s="265"/>
      <c r="I117" s="263">
        <v>181000</v>
      </c>
      <c r="J117" s="449" t="s">
        <v>38</v>
      </c>
    </row>
    <row r="118" spans="1:10">
      <c r="A118" s="437">
        <v>52</v>
      </c>
      <c r="B118" s="438" t="s">
        <v>377</v>
      </c>
      <c r="C118" s="437"/>
      <c r="D118" s="437" t="s">
        <v>66</v>
      </c>
      <c r="E118" s="263">
        <v>181100</v>
      </c>
      <c r="F118" s="264" t="s">
        <v>213</v>
      </c>
      <c r="G118" s="260" t="s">
        <v>180</v>
      </c>
      <c r="H118" s="265"/>
      <c r="I118" s="263">
        <v>181100</v>
      </c>
      <c r="J118" s="449" t="s">
        <v>39</v>
      </c>
    </row>
    <row r="119" spans="1:10">
      <c r="A119" s="438">
        <v>53</v>
      </c>
      <c r="B119" s="438" t="s">
        <v>377</v>
      </c>
      <c r="C119" s="437"/>
      <c r="D119" s="437" t="s">
        <v>66</v>
      </c>
      <c r="E119" s="263">
        <v>181300</v>
      </c>
      <c r="F119" s="264" t="s">
        <v>213</v>
      </c>
      <c r="G119" s="260" t="s">
        <v>180</v>
      </c>
      <c r="H119" s="265"/>
      <c r="I119" s="263">
        <v>181300</v>
      </c>
      <c r="J119" s="449" t="s">
        <v>41</v>
      </c>
    </row>
    <row r="120" spans="1:10">
      <c r="A120" s="438">
        <v>54</v>
      </c>
      <c r="B120" s="438" t="s">
        <v>377</v>
      </c>
      <c r="C120" s="437"/>
      <c r="D120" s="437" t="s">
        <v>66</v>
      </c>
      <c r="E120" s="263">
        <v>181500</v>
      </c>
      <c r="F120" s="264" t="s">
        <v>213</v>
      </c>
      <c r="G120" s="260" t="s">
        <v>180</v>
      </c>
      <c r="H120" s="265"/>
      <c r="I120" s="263">
        <v>181500</v>
      </c>
      <c r="J120" s="449" t="s">
        <v>43</v>
      </c>
    </row>
    <row r="121" spans="1:10">
      <c r="A121" s="437">
        <v>55</v>
      </c>
      <c r="B121" s="438" t="s">
        <v>377</v>
      </c>
      <c r="C121" s="437"/>
      <c r="D121" s="437" t="s">
        <v>66</v>
      </c>
      <c r="E121" s="263">
        <v>181700</v>
      </c>
      <c r="F121" s="264" t="s">
        <v>213</v>
      </c>
      <c r="G121" s="260" t="s">
        <v>180</v>
      </c>
      <c r="H121" s="265"/>
      <c r="I121" s="263">
        <v>181700</v>
      </c>
      <c r="J121" s="449" t="s">
        <v>45</v>
      </c>
    </row>
    <row r="122" spans="1:10">
      <c r="A122" s="438">
        <v>56</v>
      </c>
      <c r="B122" s="438" t="s">
        <v>377</v>
      </c>
      <c r="C122" s="437"/>
      <c r="D122" s="437" t="s">
        <v>66</v>
      </c>
      <c r="E122" s="263">
        <v>181800</v>
      </c>
      <c r="F122" s="264" t="s">
        <v>213</v>
      </c>
      <c r="G122" s="260" t="s">
        <v>180</v>
      </c>
      <c r="H122" s="265"/>
      <c r="I122" s="263">
        <v>181800</v>
      </c>
      <c r="J122" s="449" t="s">
        <v>46</v>
      </c>
    </row>
    <row r="123" spans="1:10">
      <c r="A123" s="438">
        <v>57</v>
      </c>
      <c r="B123" s="438" t="s">
        <v>377</v>
      </c>
      <c r="C123" s="437"/>
      <c r="D123" s="437" t="s">
        <v>66</v>
      </c>
      <c r="E123" s="263">
        <v>181900</v>
      </c>
      <c r="F123" s="264" t="s">
        <v>213</v>
      </c>
      <c r="G123" s="260" t="s">
        <v>180</v>
      </c>
      <c r="H123" s="265"/>
      <c r="I123" s="263">
        <v>181900</v>
      </c>
      <c r="J123" s="449" t="s">
        <v>47</v>
      </c>
    </row>
    <row r="124" spans="1:10">
      <c r="A124" s="437">
        <v>58</v>
      </c>
      <c r="B124" s="438" t="s">
        <v>377</v>
      </c>
      <c r="C124" s="437"/>
      <c r="D124" s="437" t="s">
        <v>66</v>
      </c>
      <c r="E124" s="263">
        <v>182000</v>
      </c>
      <c r="F124" s="264" t="s">
        <v>213</v>
      </c>
      <c r="G124" s="260" t="s">
        <v>180</v>
      </c>
      <c r="H124" s="265"/>
      <c r="I124" s="263">
        <v>182000</v>
      </c>
      <c r="J124" s="449" t="s">
        <v>48</v>
      </c>
    </row>
    <row r="125" spans="1:10">
      <c r="A125" s="438">
        <v>59</v>
      </c>
      <c r="B125" s="438" t="s">
        <v>377</v>
      </c>
      <c r="C125" s="437"/>
      <c r="D125" s="437" t="s">
        <v>66</v>
      </c>
      <c r="E125" s="263">
        <v>182100</v>
      </c>
      <c r="F125" s="264" t="s">
        <v>213</v>
      </c>
      <c r="G125" s="260" t="s">
        <v>180</v>
      </c>
      <c r="H125" s="265"/>
      <c r="I125" s="263">
        <v>182100</v>
      </c>
      <c r="J125" s="449" t="s">
        <v>49</v>
      </c>
    </row>
    <row r="126" spans="1:10" s="434" customFormat="1">
      <c r="A126" s="438">
        <v>60</v>
      </c>
      <c r="B126" s="438" t="s">
        <v>377</v>
      </c>
      <c r="C126" s="437"/>
      <c r="D126" s="437" t="s">
        <v>66</v>
      </c>
      <c r="E126" s="263">
        <v>182500</v>
      </c>
      <c r="F126" s="264" t="s">
        <v>213</v>
      </c>
      <c r="G126" s="260" t="s">
        <v>180</v>
      </c>
      <c r="H126" s="265"/>
      <c r="I126" s="263">
        <v>182500</v>
      </c>
      <c r="J126" s="449" t="s">
        <v>53</v>
      </c>
    </row>
    <row r="127" spans="1:10" s="434" customFormat="1">
      <c r="A127" s="438"/>
      <c r="B127" s="438"/>
      <c r="C127" s="438"/>
      <c r="D127" s="437" t="s">
        <v>66</v>
      </c>
      <c r="E127" s="434">
        <v>170706</v>
      </c>
      <c r="F127" s="434" t="s">
        <v>11</v>
      </c>
      <c r="I127" s="434">
        <v>170706</v>
      </c>
      <c r="J127" s="447" t="s">
        <v>11</v>
      </c>
    </row>
    <row r="128" spans="1:10" s="434" customFormat="1">
      <c r="A128" s="438"/>
      <c r="B128" s="438"/>
      <c r="C128" s="438"/>
      <c r="D128" s="437" t="s">
        <v>66</v>
      </c>
      <c r="E128" s="434">
        <v>170707</v>
      </c>
      <c r="F128" s="434" t="s">
        <v>12</v>
      </c>
      <c r="I128" s="434">
        <v>170707</v>
      </c>
      <c r="J128" s="447" t="s">
        <v>12</v>
      </c>
    </row>
    <row r="129" spans="1:10" s="434" customFormat="1">
      <c r="A129" s="438"/>
      <c r="B129" s="438"/>
      <c r="C129" s="438"/>
      <c r="D129" s="437" t="s">
        <v>66</v>
      </c>
      <c r="E129" s="434">
        <v>170709</v>
      </c>
      <c r="F129" s="434" t="s">
        <v>13</v>
      </c>
      <c r="I129" s="434">
        <v>170709</v>
      </c>
      <c r="J129" s="447" t="s">
        <v>13</v>
      </c>
    </row>
    <row r="130" spans="1:10" s="434" customFormat="1">
      <c r="A130" s="438"/>
      <c r="B130" s="438"/>
      <c r="C130" s="438"/>
      <c r="D130" s="437" t="s">
        <v>66</v>
      </c>
      <c r="E130" s="434">
        <v>170710</v>
      </c>
      <c r="F130" s="434" t="s">
        <v>14</v>
      </c>
      <c r="I130" s="434">
        <v>170710</v>
      </c>
      <c r="J130" s="447" t="s">
        <v>14</v>
      </c>
    </row>
    <row r="131" spans="1:10" s="434" customFormat="1">
      <c r="A131" s="438"/>
      <c r="B131" s="438"/>
      <c r="C131" s="438"/>
      <c r="D131" s="437" t="s">
        <v>66</v>
      </c>
      <c r="E131" s="434">
        <v>170711</v>
      </c>
      <c r="F131" s="434" t="s">
        <v>15</v>
      </c>
      <c r="I131" s="434">
        <v>170711</v>
      </c>
      <c r="J131" s="447" t="s">
        <v>15</v>
      </c>
    </row>
    <row r="132" spans="1:10" s="434" customFormat="1">
      <c r="A132" s="438"/>
      <c r="B132" s="438"/>
      <c r="C132" s="438"/>
      <c r="D132" s="437" t="s">
        <v>66</v>
      </c>
      <c r="E132" s="434">
        <v>170713</v>
      </c>
      <c r="F132" s="434" t="s">
        <v>16</v>
      </c>
      <c r="I132" s="434">
        <v>170713</v>
      </c>
      <c r="J132" s="447" t="s">
        <v>16</v>
      </c>
    </row>
    <row r="133" spans="1:10" s="434" customFormat="1">
      <c r="A133" s="438"/>
      <c r="B133" s="438"/>
      <c r="C133" s="438"/>
      <c r="D133" s="437" t="s">
        <v>66</v>
      </c>
      <c r="E133" s="434">
        <v>170715</v>
      </c>
      <c r="F133" s="434" t="s">
        <v>17</v>
      </c>
      <c r="I133" s="434">
        <v>170715</v>
      </c>
      <c r="J133" s="447" t="s">
        <v>17</v>
      </c>
    </row>
    <row r="134" spans="1:10" s="434" customFormat="1">
      <c r="A134" s="438"/>
      <c r="B134" s="438"/>
      <c r="C134" s="438"/>
      <c r="D134" s="437" t="s">
        <v>66</v>
      </c>
      <c r="E134" s="434">
        <v>170716</v>
      </c>
      <c r="F134" s="434" t="s">
        <v>18</v>
      </c>
      <c r="I134" s="434">
        <v>170716</v>
      </c>
      <c r="J134" s="447" t="s">
        <v>18</v>
      </c>
    </row>
    <row r="135" spans="1:10" s="434" customFormat="1">
      <c r="A135" s="438"/>
      <c r="B135" s="438"/>
      <c r="C135" s="438"/>
      <c r="D135" s="437" t="s">
        <v>66</v>
      </c>
      <c r="E135" s="434">
        <v>170717</v>
      </c>
      <c r="F135" s="434" t="s">
        <v>19</v>
      </c>
      <c r="I135" s="434">
        <v>170717</v>
      </c>
      <c r="J135" s="447" t="s">
        <v>19</v>
      </c>
    </row>
    <row r="136" spans="1:10" s="434" customFormat="1">
      <c r="A136" s="438"/>
      <c r="B136" s="438"/>
      <c r="C136" s="438"/>
      <c r="D136" s="437" t="s">
        <v>66</v>
      </c>
      <c r="E136" s="434">
        <v>170718</v>
      </c>
      <c r="F136" s="434" t="s">
        <v>20</v>
      </c>
      <c r="I136" s="434">
        <v>170718</v>
      </c>
      <c r="J136" s="447" t="s">
        <v>20</v>
      </c>
    </row>
    <row r="137" spans="1:10" s="434" customFormat="1">
      <c r="A137" s="438"/>
      <c r="B137" s="438"/>
      <c r="C137" s="438"/>
      <c r="D137" s="437" t="s">
        <v>66</v>
      </c>
      <c r="E137" s="434">
        <v>170720</v>
      </c>
      <c r="F137" s="434" t="s">
        <v>21</v>
      </c>
      <c r="I137" s="434">
        <v>170720</v>
      </c>
      <c r="J137" s="447" t="s">
        <v>21</v>
      </c>
    </row>
    <row r="138" spans="1:10" s="434" customFormat="1">
      <c r="A138" s="438"/>
      <c r="B138" s="438"/>
      <c r="C138" s="438"/>
      <c r="D138" s="437" t="s">
        <v>66</v>
      </c>
      <c r="E138" s="434">
        <v>170721</v>
      </c>
      <c r="F138" s="434" t="s">
        <v>22</v>
      </c>
      <c r="I138" s="434">
        <v>170721</v>
      </c>
      <c r="J138" s="447" t="s">
        <v>22</v>
      </c>
    </row>
    <row r="139" spans="1:10" s="434" customFormat="1">
      <c r="A139" s="438"/>
      <c r="B139" s="438"/>
      <c r="C139" s="438"/>
      <c r="D139" s="437" t="s">
        <v>66</v>
      </c>
      <c r="E139" s="434">
        <v>170722</v>
      </c>
      <c r="F139" s="434" t="s">
        <v>23</v>
      </c>
      <c r="I139" s="434">
        <v>170722</v>
      </c>
      <c r="J139" s="447" t="s">
        <v>23</v>
      </c>
    </row>
    <row r="140" spans="1:10" s="434" customFormat="1">
      <c r="A140" s="438"/>
      <c r="B140" s="438"/>
      <c r="C140" s="438"/>
      <c r="D140" s="437" t="s">
        <v>66</v>
      </c>
      <c r="E140" s="434">
        <v>170723</v>
      </c>
      <c r="F140" s="434" t="s">
        <v>24</v>
      </c>
      <c r="I140" s="434">
        <v>170723</v>
      </c>
      <c r="J140" s="447" t="s">
        <v>24</v>
      </c>
    </row>
    <row r="141" spans="1:10" s="434" customFormat="1">
      <c r="A141" s="438"/>
      <c r="B141" s="438"/>
      <c r="C141" s="438"/>
      <c r="D141" s="437" t="s">
        <v>66</v>
      </c>
      <c r="E141" s="434">
        <v>170729</v>
      </c>
      <c r="F141" s="434" t="s">
        <v>25</v>
      </c>
      <c r="I141" s="434">
        <v>170729</v>
      </c>
      <c r="J141" s="447" t="s">
        <v>25</v>
      </c>
    </row>
    <row r="142" spans="1:10" s="434" customFormat="1">
      <c r="A142" s="438"/>
      <c r="B142" s="438"/>
      <c r="C142" s="438"/>
      <c r="D142" s="437" t="s">
        <v>66</v>
      </c>
      <c r="E142" s="434">
        <v>170730</v>
      </c>
      <c r="F142" s="434" t="s">
        <v>26</v>
      </c>
      <c r="I142" s="434">
        <v>170730</v>
      </c>
      <c r="J142" s="447" t="s">
        <v>26</v>
      </c>
    </row>
    <row r="143" spans="1:10" s="434" customFormat="1">
      <c r="A143" s="438"/>
      <c r="B143" s="438"/>
      <c r="C143" s="438"/>
      <c r="D143" s="437" t="s">
        <v>66</v>
      </c>
      <c r="E143" s="434">
        <v>170731</v>
      </c>
      <c r="F143" s="434" t="s">
        <v>27</v>
      </c>
      <c r="I143" s="434">
        <v>170731</v>
      </c>
      <c r="J143" s="447" t="s">
        <v>27</v>
      </c>
    </row>
    <row r="144" spans="1:10" s="434" customFormat="1">
      <c r="A144" s="438"/>
      <c r="B144" s="438"/>
      <c r="C144" s="438"/>
      <c r="D144" s="437" t="s">
        <v>66</v>
      </c>
      <c r="E144" s="434">
        <v>170732</v>
      </c>
      <c r="F144" s="434" t="s">
        <v>28</v>
      </c>
      <c r="I144" s="434">
        <v>170732</v>
      </c>
      <c r="J144" s="447" t="s">
        <v>28</v>
      </c>
    </row>
    <row r="145" spans="1:11" s="434" customFormat="1">
      <c r="A145" s="438"/>
      <c r="B145" s="438"/>
      <c r="C145" s="438"/>
      <c r="D145" s="437"/>
      <c r="J145" s="447"/>
    </row>
    <row r="146" spans="1:11">
      <c r="A146" s="437">
        <v>82</v>
      </c>
      <c r="B146" s="438" t="s">
        <v>377</v>
      </c>
      <c r="C146" s="437"/>
      <c r="D146" s="437" t="s">
        <v>66</v>
      </c>
      <c r="E146" s="258">
        <v>100130</v>
      </c>
      <c r="F146" s="259">
        <v>100000</v>
      </c>
      <c r="G146" s="260" t="s">
        <v>235</v>
      </c>
      <c r="I146" s="258">
        <v>100130</v>
      </c>
      <c r="J146" s="441" t="s">
        <v>331</v>
      </c>
    </row>
    <row r="147" spans="1:11">
      <c r="A147" s="438">
        <v>131</v>
      </c>
      <c r="B147" s="438" t="s">
        <v>377</v>
      </c>
      <c r="C147" s="437"/>
      <c r="D147" s="437" t="s">
        <v>66</v>
      </c>
      <c r="E147" s="258">
        <v>322100</v>
      </c>
      <c r="F147" s="259">
        <v>100000</v>
      </c>
      <c r="G147" s="260" t="s">
        <v>259</v>
      </c>
      <c r="I147" s="258">
        <v>322100</v>
      </c>
      <c r="J147" s="447" t="s">
        <v>283</v>
      </c>
    </row>
    <row r="148" spans="1:11">
      <c r="A148" s="438">
        <v>132</v>
      </c>
      <c r="B148" s="438" t="s">
        <v>377</v>
      </c>
      <c r="C148" s="437"/>
      <c r="D148" s="437" t="s">
        <v>66</v>
      </c>
      <c r="E148" s="262">
        <v>322300</v>
      </c>
      <c r="F148" s="259">
        <v>100000</v>
      </c>
      <c r="G148" s="260" t="s">
        <v>259</v>
      </c>
      <c r="I148" s="262">
        <v>322300</v>
      </c>
      <c r="J148" s="441" t="s">
        <v>284</v>
      </c>
    </row>
    <row r="149" spans="1:11">
      <c r="A149" s="437">
        <v>136</v>
      </c>
      <c r="B149" s="438" t="s">
        <v>377</v>
      </c>
      <c r="C149" s="437"/>
      <c r="D149" s="437" t="s">
        <v>66</v>
      </c>
      <c r="E149" s="258">
        <v>420102</v>
      </c>
      <c r="F149" s="259">
        <v>100000</v>
      </c>
      <c r="G149" s="260" t="s">
        <v>259</v>
      </c>
      <c r="I149" s="258">
        <v>420102</v>
      </c>
      <c r="J149" s="447" t="s">
        <v>288</v>
      </c>
    </row>
    <row r="150" spans="1:11">
      <c r="A150" s="438">
        <v>161</v>
      </c>
      <c r="B150" s="438" t="s">
        <v>377</v>
      </c>
      <c r="C150" s="437"/>
      <c r="D150" s="437" t="s">
        <v>66</v>
      </c>
      <c r="E150" s="258">
        <v>198100</v>
      </c>
      <c r="F150" s="259">
        <v>100000</v>
      </c>
      <c r="G150" s="260" t="s">
        <v>289</v>
      </c>
      <c r="H150" s="434"/>
      <c r="I150" s="258">
        <v>198100</v>
      </c>
      <c r="J150" s="447" t="s">
        <v>310</v>
      </c>
    </row>
    <row r="151" spans="1:11">
      <c r="A151" s="438">
        <v>108</v>
      </c>
      <c r="C151" s="437"/>
      <c r="D151" s="437" t="s">
        <v>66</v>
      </c>
      <c r="E151" s="258">
        <v>170800</v>
      </c>
      <c r="F151" s="259">
        <v>100000</v>
      </c>
      <c r="G151" s="260" t="s">
        <v>259</v>
      </c>
      <c r="I151" s="258">
        <v>170800</v>
      </c>
      <c r="J151" s="447" t="s">
        <v>261</v>
      </c>
    </row>
    <row r="152" spans="1:11" s="434" customFormat="1">
      <c r="A152" s="438"/>
      <c r="B152" s="438"/>
      <c r="C152" s="437"/>
      <c r="D152" s="437"/>
      <c r="E152" s="258"/>
      <c r="F152" s="259"/>
      <c r="G152" s="260"/>
      <c r="I152" s="258"/>
      <c r="J152" s="447"/>
    </row>
    <row r="153" spans="1:11">
      <c r="A153" s="437">
        <v>1</v>
      </c>
      <c r="B153" s="437"/>
      <c r="C153" s="437" t="s">
        <v>375</v>
      </c>
      <c r="D153" s="437" t="s">
        <v>66</v>
      </c>
      <c r="E153" s="258">
        <v>330100</v>
      </c>
      <c r="F153" s="259">
        <v>200000</v>
      </c>
      <c r="G153" s="260" t="s">
        <v>170</v>
      </c>
      <c r="H153" s="434"/>
      <c r="I153" s="258">
        <v>330100</v>
      </c>
      <c r="J153" s="447" t="s">
        <v>171</v>
      </c>
      <c r="K153" s="261"/>
    </row>
    <row r="154" spans="1:11">
      <c r="A154" s="438">
        <v>2</v>
      </c>
      <c r="C154" s="437" t="s">
        <v>375</v>
      </c>
      <c r="D154" s="437" t="s">
        <v>66</v>
      </c>
      <c r="E154" s="258">
        <v>330200</v>
      </c>
      <c r="F154" s="259">
        <v>200000</v>
      </c>
      <c r="G154" s="260" t="s">
        <v>170</v>
      </c>
      <c r="H154" s="434"/>
      <c r="I154" s="258">
        <v>330200</v>
      </c>
      <c r="J154" s="447" t="s">
        <v>172</v>
      </c>
    </row>
    <row r="155" spans="1:11">
      <c r="A155" s="438">
        <v>3</v>
      </c>
      <c r="C155" s="437" t="s">
        <v>375</v>
      </c>
      <c r="D155" s="437" t="s">
        <v>66</v>
      </c>
      <c r="E155" s="258">
        <v>330300</v>
      </c>
      <c r="F155" s="259">
        <v>200000</v>
      </c>
      <c r="G155" s="260" t="s">
        <v>170</v>
      </c>
      <c r="H155" s="434"/>
      <c r="I155" s="258">
        <v>330300</v>
      </c>
      <c r="J155" s="447" t="s">
        <v>173</v>
      </c>
    </row>
    <row r="156" spans="1:11">
      <c r="A156" s="437">
        <v>4</v>
      </c>
      <c r="C156" s="437" t="s">
        <v>375</v>
      </c>
      <c r="D156" s="437" t="s">
        <v>66</v>
      </c>
      <c r="E156" s="258">
        <v>330400</v>
      </c>
      <c r="F156" s="259">
        <v>200000</v>
      </c>
      <c r="G156" s="260" t="s">
        <v>170</v>
      </c>
      <c r="H156" s="434"/>
      <c r="I156" s="258">
        <v>330400</v>
      </c>
      <c r="J156" s="447" t="s">
        <v>174</v>
      </c>
    </row>
    <row r="157" spans="1:11">
      <c r="A157" s="438">
        <v>5</v>
      </c>
      <c r="C157" s="437" t="s">
        <v>375</v>
      </c>
      <c r="D157" s="437" t="s">
        <v>66</v>
      </c>
      <c r="E157" s="258">
        <v>330500</v>
      </c>
      <c r="F157" s="259">
        <v>200000</v>
      </c>
      <c r="G157" s="260" t="s">
        <v>170</v>
      </c>
      <c r="H157" s="434"/>
      <c r="I157" s="258">
        <v>330500</v>
      </c>
      <c r="J157" s="447" t="s">
        <v>175</v>
      </c>
    </row>
    <row r="158" spans="1:11">
      <c r="A158" s="438">
        <v>6</v>
      </c>
      <c r="C158" s="437" t="s">
        <v>375</v>
      </c>
      <c r="D158" s="437" t="s">
        <v>66</v>
      </c>
      <c r="E158" s="258">
        <v>330600</v>
      </c>
      <c r="F158" s="259">
        <v>200000</v>
      </c>
      <c r="G158" s="260" t="s">
        <v>170</v>
      </c>
      <c r="H158" s="434"/>
      <c r="I158" s="258">
        <v>330600</v>
      </c>
      <c r="J158" s="447" t="s">
        <v>176</v>
      </c>
    </row>
    <row r="159" spans="1:11">
      <c r="A159" s="438">
        <v>8</v>
      </c>
      <c r="C159" s="437" t="s">
        <v>375</v>
      </c>
      <c r="D159" s="437" t="s">
        <v>66</v>
      </c>
      <c r="E159" s="258">
        <v>430000</v>
      </c>
      <c r="F159" s="259">
        <v>200000</v>
      </c>
      <c r="G159" s="260" t="s">
        <v>170</v>
      </c>
      <c r="H159" s="434"/>
      <c r="I159" s="258">
        <v>430000</v>
      </c>
      <c r="J159" s="447" t="s">
        <v>178</v>
      </c>
    </row>
    <row r="160" spans="1:11">
      <c r="A160" s="438">
        <v>9</v>
      </c>
      <c r="C160" s="437" t="s">
        <v>375</v>
      </c>
      <c r="D160" s="437" t="s">
        <v>66</v>
      </c>
      <c r="E160" s="258">
        <v>440000</v>
      </c>
      <c r="F160" s="259">
        <v>200000</v>
      </c>
      <c r="G160" s="260" t="s">
        <v>170</v>
      </c>
      <c r="H160" s="434"/>
      <c r="I160" s="258">
        <v>440000</v>
      </c>
      <c r="J160" s="447" t="s">
        <v>179</v>
      </c>
    </row>
    <row r="161" spans="1:10">
      <c r="A161" s="437">
        <v>10</v>
      </c>
      <c r="C161" s="437" t="s">
        <v>375</v>
      </c>
      <c r="D161" s="437" t="s">
        <v>66</v>
      </c>
      <c r="E161" s="258">
        <v>110101</v>
      </c>
      <c r="F161" s="259">
        <v>100000</v>
      </c>
      <c r="G161" s="260" t="s">
        <v>180</v>
      </c>
      <c r="H161" s="434"/>
      <c r="I161" s="258">
        <v>110101</v>
      </c>
      <c r="J161" s="447" t="s">
        <v>181</v>
      </c>
    </row>
    <row r="162" spans="1:10">
      <c r="A162" s="438">
        <v>11</v>
      </c>
      <c r="C162" s="437" t="s">
        <v>375</v>
      </c>
      <c r="D162" s="437" t="s">
        <v>66</v>
      </c>
      <c r="E162" s="258">
        <v>120400</v>
      </c>
      <c r="F162" s="259">
        <v>100000</v>
      </c>
      <c r="G162" s="260" t="s">
        <v>180</v>
      </c>
      <c r="H162" s="434"/>
      <c r="I162" s="258">
        <v>120400</v>
      </c>
      <c r="J162" s="447" t="s">
        <v>182</v>
      </c>
    </row>
    <row r="163" spans="1:10">
      <c r="A163" s="438">
        <v>12</v>
      </c>
      <c r="C163" s="437" t="s">
        <v>375</v>
      </c>
      <c r="D163" s="437" t="s">
        <v>66</v>
      </c>
      <c r="E163" s="258">
        <v>121000</v>
      </c>
      <c r="F163" s="259">
        <v>100000</v>
      </c>
      <c r="G163" s="260" t="s">
        <v>180</v>
      </c>
      <c r="H163" s="434"/>
      <c r="I163" s="258">
        <v>121000</v>
      </c>
      <c r="J163" s="447" t="s">
        <v>183</v>
      </c>
    </row>
    <row r="164" spans="1:10">
      <c r="A164" s="437">
        <v>13</v>
      </c>
      <c r="C164" s="437" t="s">
        <v>375</v>
      </c>
      <c r="D164" s="437" t="s">
        <v>66</v>
      </c>
      <c r="E164" s="258">
        <v>122000</v>
      </c>
      <c r="F164" s="259">
        <v>100000</v>
      </c>
      <c r="G164" s="260" t="s">
        <v>180</v>
      </c>
      <c r="I164" s="258">
        <v>122000</v>
      </c>
      <c r="J164" s="447" t="s">
        <v>184</v>
      </c>
    </row>
    <row r="165" spans="1:10">
      <c r="A165" s="438">
        <v>14</v>
      </c>
      <c r="C165" s="437" t="s">
        <v>375</v>
      </c>
      <c r="D165" s="437" t="s">
        <v>66</v>
      </c>
      <c r="E165" s="258">
        <v>123000</v>
      </c>
      <c r="F165" s="259">
        <v>100000</v>
      </c>
      <c r="G165" s="260" t="s">
        <v>180</v>
      </c>
      <c r="I165" s="258">
        <v>123000</v>
      </c>
      <c r="J165" s="447" t="s">
        <v>185</v>
      </c>
    </row>
    <row r="166" spans="1:10">
      <c r="A166" s="438">
        <v>15</v>
      </c>
      <c r="C166" s="437" t="s">
        <v>375</v>
      </c>
      <c r="D166" s="437" t="s">
        <v>66</v>
      </c>
      <c r="E166" s="262">
        <v>132400</v>
      </c>
      <c r="F166" s="259">
        <v>100000</v>
      </c>
      <c r="G166" s="260" t="s">
        <v>180</v>
      </c>
      <c r="I166" s="262">
        <v>132400</v>
      </c>
      <c r="J166" s="447" t="s">
        <v>186</v>
      </c>
    </row>
    <row r="167" spans="1:10">
      <c r="A167" s="437">
        <v>16</v>
      </c>
      <c r="C167" s="437" t="s">
        <v>375</v>
      </c>
      <c r="D167" s="437" t="s">
        <v>66</v>
      </c>
      <c r="E167" s="258">
        <v>124000</v>
      </c>
      <c r="F167" s="259">
        <v>100000</v>
      </c>
      <c r="G167" s="260" t="s">
        <v>180</v>
      </c>
      <c r="I167" s="258">
        <v>124000</v>
      </c>
      <c r="J167" s="447" t="s">
        <v>187</v>
      </c>
    </row>
    <row r="168" spans="1:10">
      <c r="A168" s="438">
        <v>17</v>
      </c>
      <c r="C168" s="437" t="s">
        <v>375</v>
      </c>
      <c r="D168" s="437" t="s">
        <v>66</v>
      </c>
      <c r="E168" s="258">
        <v>125100</v>
      </c>
      <c r="F168" s="259">
        <v>100000</v>
      </c>
      <c r="G168" s="260" t="s">
        <v>180</v>
      </c>
      <c r="I168" s="258">
        <v>125100</v>
      </c>
      <c r="J168" s="447" t="s">
        <v>188</v>
      </c>
    </row>
    <row r="169" spans="1:10">
      <c r="A169" s="438">
        <v>18</v>
      </c>
      <c r="C169" s="437" t="s">
        <v>375</v>
      </c>
      <c r="D169" s="437" t="s">
        <v>66</v>
      </c>
      <c r="E169" s="258">
        <v>125200</v>
      </c>
      <c r="F169" s="259">
        <v>100000</v>
      </c>
      <c r="G169" s="260" t="s">
        <v>180</v>
      </c>
      <c r="I169" s="258">
        <v>125200</v>
      </c>
      <c r="J169" s="447" t="s">
        <v>189</v>
      </c>
    </row>
    <row r="170" spans="1:10">
      <c r="A170" s="437">
        <v>19</v>
      </c>
      <c r="C170" s="437" t="s">
        <v>375</v>
      </c>
      <c r="D170" s="437" t="s">
        <v>66</v>
      </c>
      <c r="E170" s="258">
        <v>125400</v>
      </c>
      <c r="F170" s="259">
        <v>100000</v>
      </c>
      <c r="G170" s="260" t="s">
        <v>180</v>
      </c>
      <c r="I170" s="258">
        <v>125400</v>
      </c>
      <c r="J170" s="447" t="s">
        <v>190</v>
      </c>
    </row>
    <row r="171" spans="1:10">
      <c r="A171" s="438">
        <v>20</v>
      </c>
      <c r="C171" s="437" t="s">
        <v>375</v>
      </c>
      <c r="D171" s="437" t="s">
        <v>66</v>
      </c>
      <c r="E171" s="258">
        <v>125500</v>
      </c>
      <c r="F171" s="259">
        <v>100000</v>
      </c>
      <c r="G171" s="260" t="s">
        <v>180</v>
      </c>
      <c r="I171" s="258">
        <v>125500</v>
      </c>
      <c r="J171" s="447" t="s">
        <v>191</v>
      </c>
    </row>
    <row r="172" spans="1:10">
      <c r="A172" s="438">
        <v>21</v>
      </c>
      <c r="C172" s="437" t="s">
        <v>375</v>
      </c>
      <c r="D172" s="437" t="s">
        <v>66</v>
      </c>
      <c r="E172" s="258">
        <v>125600</v>
      </c>
      <c r="F172" s="259">
        <v>100000</v>
      </c>
      <c r="G172" s="260" t="s">
        <v>180</v>
      </c>
      <c r="I172" s="258">
        <v>125600</v>
      </c>
      <c r="J172" s="447" t="s">
        <v>192</v>
      </c>
    </row>
    <row r="173" spans="1:10">
      <c r="A173" s="437">
        <v>22</v>
      </c>
      <c r="C173" s="437" t="s">
        <v>375</v>
      </c>
      <c r="D173" s="437" t="s">
        <v>66</v>
      </c>
      <c r="E173" s="258">
        <v>125700</v>
      </c>
      <c r="F173" s="259">
        <v>100000</v>
      </c>
      <c r="G173" s="260" t="s">
        <v>180</v>
      </c>
      <c r="I173" s="258">
        <v>125700</v>
      </c>
      <c r="J173" s="447" t="s">
        <v>193</v>
      </c>
    </row>
    <row r="174" spans="1:10">
      <c r="A174" s="438">
        <v>23</v>
      </c>
      <c r="C174" s="437" t="s">
        <v>375</v>
      </c>
      <c r="D174" s="437" t="s">
        <v>66</v>
      </c>
      <c r="E174" s="258">
        <v>126000</v>
      </c>
      <c r="F174" s="259">
        <v>100000</v>
      </c>
      <c r="G174" s="260" t="s">
        <v>180</v>
      </c>
      <c r="I174" s="258">
        <v>126000</v>
      </c>
      <c r="J174" s="447" t="s">
        <v>194</v>
      </c>
    </row>
    <row r="175" spans="1:10">
      <c r="A175" s="438">
        <v>24</v>
      </c>
      <c r="C175" s="437" t="s">
        <v>375</v>
      </c>
      <c r="D175" s="437" t="s">
        <v>66</v>
      </c>
      <c r="E175" s="258">
        <v>127000</v>
      </c>
      <c r="F175" s="259">
        <v>100000</v>
      </c>
      <c r="G175" s="260" t="s">
        <v>180</v>
      </c>
      <c r="I175" s="258">
        <v>127000</v>
      </c>
      <c r="J175" s="447" t="s">
        <v>195</v>
      </c>
    </row>
    <row r="176" spans="1:10">
      <c r="A176" s="437">
        <v>25</v>
      </c>
      <c r="C176" s="437" t="s">
        <v>375</v>
      </c>
      <c r="D176" s="437" t="s">
        <v>66</v>
      </c>
      <c r="E176" s="258">
        <v>128000</v>
      </c>
      <c r="F176" s="259">
        <v>100000</v>
      </c>
      <c r="G176" s="260" t="s">
        <v>180</v>
      </c>
      <c r="I176" s="258">
        <v>128000</v>
      </c>
      <c r="J176" s="447" t="s">
        <v>196</v>
      </c>
    </row>
    <row r="177" spans="1:10">
      <c r="A177" s="438">
        <v>26</v>
      </c>
      <c r="C177" s="437" t="s">
        <v>375</v>
      </c>
      <c r="D177" s="437" t="s">
        <v>66</v>
      </c>
      <c r="E177" s="258">
        <v>130200</v>
      </c>
      <c r="F177" s="259">
        <v>100000</v>
      </c>
      <c r="G177" s="260" t="s">
        <v>180</v>
      </c>
      <c r="I177" s="258">
        <v>130200</v>
      </c>
      <c r="J177" s="447" t="s">
        <v>197</v>
      </c>
    </row>
    <row r="178" spans="1:10">
      <c r="A178" s="438">
        <v>27</v>
      </c>
      <c r="C178" s="437" t="s">
        <v>375</v>
      </c>
      <c r="D178" s="437" t="s">
        <v>66</v>
      </c>
      <c r="E178" s="258">
        <v>131000</v>
      </c>
      <c r="F178" s="259">
        <v>100000</v>
      </c>
      <c r="G178" s="260" t="s">
        <v>180</v>
      </c>
      <c r="I178" s="258">
        <v>131000</v>
      </c>
      <c r="J178" s="447" t="s">
        <v>198</v>
      </c>
    </row>
    <row r="179" spans="1:10">
      <c r="A179" s="437">
        <v>28</v>
      </c>
      <c r="C179" s="437" t="s">
        <v>375</v>
      </c>
      <c r="D179" s="437" t="s">
        <v>66</v>
      </c>
      <c r="E179" s="258">
        <v>131110</v>
      </c>
      <c r="F179" s="259">
        <v>100000</v>
      </c>
      <c r="G179" s="260" t="s">
        <v>180</v>
      </c>
      <c r="I179" s="258">
        <v>131110</v>
      </c>
      <c r="J179" s="447" t="s">
        <v>199</v>
      </c>
    </row>
    <row r="180" spans="1:10">
      <c r="A180" s="438">
        <v>29</v>
      </c>
      <c r="C180" s="437" t="s">
        <v>375</v>
      </c>
      <c r="D180" s="437" t="s">
        <v>66</v>
      </c>
      <c r="E180" s="258">
        <v>132000</v>
      </c>
      <c r="F180" s="259">
        <v>100000</v>
      </c>
      <c r="G180" s="260" t="s">
        <v>180</v>
      </c>
      <c r="I180" s="258">
        <v>132000</v>
      </c>
      <c r="J180" s="447" t="s">
        <v>200</v>
      </c>
    </row>
    <row r="181" spans="1:10">
      <c r="A181" s="438">
        <v>30</v>
      </c>
      <c r="C181" s="437" t="s">
        <v>375</v>
      </c>
      <c r="D181" s="437" t="s">
        <v>66</v>
      </c>
      <c r="E181" s="258">
        <v>140200</v>
      </c>
      <c r="F181" s="259">
        <v>100000</v>
      </c>
      <c r="G181" s="260" t="s">
        <v>180</v>
      </c>
      <c r="I181" s="258">
        <v>140200</v>
      </c>
      <c r="J181" s="447" t="s">
        <v>201</v>
      </c>
    </row>
    <row r="182" spans="1:10">
      <c r="A182" s="437">
        <v>31</v>
      </c>
      <c r="C182" s="437" t="s">
        <v>375</v>
      </c>
      <c r="D182" s="437" t="s">
        <v>66</v>
      </c>
      <c r="E182" s="258">
        <v>140400</v>
      </c>
      <c r="F182" s="259">
        <v>100000</v>
      </c>
      <c r="G182" s="260" t="s">
        <v>180</v>
      </c>
      <c r="I182" s="258">
        <v>140400</v>
      </c>
      <c r="J182" s="447" t="s">
        <v>202</v>
      </c>
    </row>
    <row r="183" spans="1:10">
      <c r="A183" s="438">
        <v>32</v>
      </c>
      <c r="C183" s="437" t="s">
        <v>375</v>
      </c>
      <c r="D183" s="437" t="s">
        <v>66</v>
      </c>
      <c r="E183" s="258">
        <v>150200</v>
      </c>
      <c r="F183" s="259">
        <v>100000</v>
      </c>
      <c r="G183" s="260" t="s">
        <v>180</v>
      </c>
      <c r="I183" s="258">
        <v>150200</v>
      </c>
      <c r="J183" s="447" t="s">
        <v>203</v>
      </c>
    </row>
    <row r="184" spans="1:10">
      <c r="A184" s="438">
        <v>33</v>
      </c>
      <c r="C184" s="437" t="s">
        <v>375</v>
      </c>
      <c r="D184" s="437" t="s">
        <v>66</v>
      </c>
      <c r="E184" s="258">
        <v>150300</v>
      </c>
      <c r="F184" s="259">
        <v>100000</v>
      </c>
      <c r="G184" s="260" t="s">
        <v>180</v>
      </c>
      <c r="I184" s="258">
        <v>150300</v>
      </c>
      <c r="J184" s="447" t="s">
        <v>204</v>
      </c>
    </row>
    <row r="185" spans="1:10">
      <c r="A185" s="437">
        <v>34</v>
      </c>
      <c r="C185" s="437" t="s">
        <v>375</v>
      </c>
      <c r="D185" s="437" t="s">
        <v>66</v>
      </c>
      <c r="E185" s="258">
        <v>150510</v>
      </c>
      <c r="F185" s="259">
        <v>100000</v>
      </c>
      <c r="G185" s="260" t="s">
        <v>180</v>
      </c>
      <c r="I185" s="258">
        <v>150510</v>
      </c>
      <c r="J185" s="441" t="s">
        <v>384</v>
      </c>
    </row>
    <row r="186" spans="1:10">
      <c r="A186" s="438">
        <v>35</v>
      </c>
      <c r="C186" s="437" t="s">
        <v>375</v>
      </c>
      <c r="D186" s="437" t="s">
        <v>66</v>
      </c>
      <c r="E186" s="258">
        <v>150600</v>
      </c>
      <c r="F186" s="259">
        <v>100000</v>
      </c>
      <c r="G186" s="260" t="s">
        <v>180</v>
      </c>
      <c r="I186" s="258">
        <v>150600</v>
      </c>
      <c r="J186" s="447" t="s">
        <v>205</v>
      </c>
    </row>
    <row r="187" spans="1:10">
      <c r="A187" s="438">
        <v>36</v>
      </c>
      <c r="C187" s="437" t="s">
        <v>375</v>
      </c>
      <c r="D187" s="437" t="s">
        <v>66</v>
      </c>
      <c r="E187" s="258">
        <v>160200</v>
      </c>
      <c r="F187" s="259">
        <v>100000</v>
      </c>
      <c r="G187" s="260" t="s">
        <v>180</v>
      </c>
      <c r="I187" s="258">
        <v>160200</v>
      </c>
      <c r="J187" s="447" t="s">
        <v>206</v>
      </c>
    </row>
    <row r="188" spans="1:10">
      <c r="A188" s="437">
        <v>37</v>
      </c>
      <c r="C188" s="437" t="s">
        <v>375</v>
      </c>
      <c r="D188" s="437" t="s">
        <v>66</v>
      </c>
      <c r="E188" s="258">
        <v>160300</v>
      </c>
      <c r="F188" s="259">
        <v>100000</v>
      </c>
      <c r="G188" s="260" t="s">
        <v>180</v>
      </c>
      <c r="I188" s="258">
        <v>160300</v>
      </c>
      <c r="J188" s="447" t="s">
        <v>207</v>
      </c>
    </row>
    <row r="189" spans="1:10">
      <c r="A189" s="438">
        <v>38</v>
      </c>
      <c r="C189" s="437" t="s">
        <v>375</v>
      </c>
      <c r="D189" s="437" t="s">
        <v>66</v>
      </c>
      <c r="E189" s="258">
        <v>160400</v>
      </c>
      <c r="F189" s="259">
        <v>100000</v>
      </c>
      <c r="G189" s="260" t="s">
        <v>180</v>
      </c>
      <c r="I189" s="258">
        <v>160400</v>
      </c>
      <c r="J189" s="447" t="s">
        <v>208</v>
      </c>
    </row>
    <row r="190" spans="1:10">
      <c r="A190" s="438">
        <v>39</v>
      </c>
      <c r="C190" s="437" t="s">
        <v>375</v>
      </c>
      <c r="D190" s="437" t="s">
        <v>66</v>
      </c>
      <c r="E190" s="258">
        <v>160500</v>
      </c>
      <c r="F190" s="259">
        <v>100000</v>
      </c>
      <c r="G190" s="260" t="s">
        <v>180</v>
      </c>
      <c r="I190" s="258">
        <v>160500</v>
      </c>
      <c r="J190" s="447" t="s">
        <v>209</v>
      </c>
    </row>
    <row r="191" spans="1:10">
      <c r="A191" s="437">
        <v>40</v>
      </c>
      <c r="C191" s="437" t="s">
        <v>375</v>
      </c>
      <c r="D191" s="437" t="s">
        <v>66</v>
      </c>
      <c r="E191" s="258">
        <v>170110</v>
      </c>
      <c r="F191" s="259">
        <v>100000</v>
      </c>
      <c r="G191" s="260" t="s">
        <v>180</v>
      </c>
      <c r="I191" s="258">
        <v>170110</v>
      </c>
      <c r="J191" s="441" t="s">
        <v>329</v>
      </c>
    </row>
    <row r="192" spans="1:10">
      <c r="A192" s="438">
        <v>41</v>
      </c>
      <c r="C192" s="437" t="s">
        <v>375</v>
      </c>
      <c r="D192" s="437" t="s">
        <v>66</v>
      </c>
      <c r="E192" s="258">
        <v>170120</v>
      </c>
      <c r="F192" s="259">
        <v>100000</v>
      </c>
      <c r="G192" s="260" t="s">
        <v>180</v>
      </c>
      <c r="I192" s="258">
        <v>170120</v>
      </c>
      <c r="J192" s="441" t="s">
        <v>379</v>
      </c>
    </row>
    <row r="193" spans="1:10">
      <c r="A193" s="438">
        <v>42</v>
      </c>
      <c r="C193" s="437" t="s">
        <v>375</v>
      </c>
      <c r="D193" s="437" t="s">
        <v>66</v>
      </c>
      <c r="E193" s="258">
        <v>170300</v>
      </c>
      <c r="F193" s="259">
        <v>100000</v>
      </c>
      <c r="G193" s="260" t="s">
        <v>180</v>
      </c>
      <c r="I193" s="258">
        <v>170300</v>
      </c>
      <c r="J193" s="447" t="s">
        <v>210</v>
      </c>
    </row>
    <row r="194" spans="1:10" s="258" customFormat="1">
      <c r="A194" s="443">
        <v>63</v>
      </c>
      <c r="B194" s="443" t="s">
        <v>376</v>
      </c>
      <c r="C194" s="444" t="s">
        <v>375</v>
      </c>
      <c r="D194" s="444" t="s">
        <v>66</v>
      </c>
      <c r="E194" s="258">
        <v>100104</v>
      </c>
      <c r="F194" s="445">
        <v>100000</v>
      </c>
      <c r="G194" s="316" t="s">
        <v>215</v>
      </c>
      <c r="I194" s="258">
        <v>100104</v>
      </c>
      <c r="J194" s="450" t="s">
        <v>217</v>
      </c>
    </row>
    <row r="195" spans="1:10">
      <c r="A195" s="437">
        <v>64</v>
      </c>
      <c r="C195" s="437" t="s">
        <v>375</v>
      </c>
      <c r="D195" s="437" t="s">
        <v>66</v>
      </c>
      <c r="E195" s="258">
        <v>130400</v>
      </c>
      <c r="F195" s="259">
        <v>100000</v>
      </c>
      <c r="G195" s="260" t="s">
        <v>215</v>
      </c>
      <c r="I195" s="258">
        <v>130400</v>
      </c>
      <c r="J195" s="447" t="s">
        <v>218</v>
      </c>
    </row>
    <row r="196" spans="1:10">
      <c r="A196" s="438">
        <v>65</v>
      </c>
      <c r="C196" s="437" t="s">
        <v>375</v>
      </c>
      <c r="D196" s="437" t="s">
        <v>66</v>
      </c>
      <c r="E196" s="266">
        <v>130500</v>
      </c>
      <c r="F196" s="259">
        <v>100000</v>
      </c>
      <c r="G196" s="260" t="s">
        <v>215</v>
      </c>
      <c r="I196" s="266">
        <v>130500</v>
      </c>
      <c r="J196" s="451" t="s">
        <v>219</v>
      </c>
    </row>
    <row r="197" spans="1:10">
      <c r="A197" s="438">
        <v>66</v>
      </c>
      <c r="C197" s="437" t="s">
        <v>375</v>
      </c>
      <c r="D197" s="437" t="s">
        <v>66</v>
      </c>
      <c r="E197" s="258">
        <v>130600</v>
      </c>
      <c r="F197" s="259">
        <v>100000</v>
      </c>
      <c r="G197" s="260" t="s">
        <v>215</v>
      </c>
      <c r="I197" s="258">
        <v>130600</v>
      </c>
      <c r="J197" s="447" t="s">
        <v>220</v>
      </c>
    </row>
    <row r="198" spans="1:10">
      <c r="A198" s="437">
        <v>67</v>
      </c>
      <c r="C198" s="437" t="s">
        <v>375</v>
      </c>
      <c r="D198" s="437" t="s">
        <v>66</v>
      </c>
      <c r="E198" s="258">
        <v>130700</v>
      </c>
      <c r="F198" s="259">
        <v>100000</v>
      </c>
      <c r="G198" s="260" t="s">
        <v>215</v>
      </c>
      <c r="I198" s="258">
        <v>130700</v>
      </c>
      <c r="J198" s="447" t="s">
        <v>221</v>
      </c>
    </row>
    <row r="199" spans="1:10">
      <c r="A199" s="438">
        <v>68</v>
      </c>
      <c r="C199" s="437" t="s">
        <v>375</v>
      </c>
      <c r="D199" s="437" t="s">
        <v>66</v>
      </c>
      <c r="E199" s="258">
        <v>130720</v>
      </c>
      <c r="F199" s="259">
        <v>100000</v>
      </c>
      <c r="G199" s="260" t="s">
        <v>215</v>
      </c>
      <c r="I199" s="258">
        <v>130720</v>
      </c>
      <c r="J199" s="447" t="s">
        <v>222</v>
      </c>
    </row>
    <row r="200" spans="1:10">
      <c r="A200" s="438">
        <v>69</v>
      </c>
      <c r="C200" s="437" t="s">
        <v>375</v>
      </c>
      <c r="D200" s="437" t="s">
        <v>66</v>
      </c>
      <c r="E200" s="258">
        <v>130730</v>
      </c>
      <c r="F200" s="259">
        <v>100000</v>
      </c>
      <c r="G200" s="260" t="s">
        <v>215</v>
      </c>
      <c r="I200" s="258">
        <v>130730</v>
      </c>
      <c r="J200" s="441" t="s">
        <v>223</v>
      </c>
    </row>
    <row r="201" spans="1:10">
      <c r="A201" s="438">
        <v>71</v>
      </c>
      <c r="C201" s="437" t="s">
        <v>375</v>
      </c>
      <c r="D201" s="437" t="s">
        <v>66</v>
      </c>
      <c r="E201" s="258">
        <v>130780</v>
      </c>
      <c r="F201" s="259">
        <v>100000</v>
      </c>
      <c r="G201" s="260" t="s">
        <v>215</v>
      </c>
      <c r="I201" s="258">
        <v>130780</v>
      </c>
      <c r="J201" s="447" t="s">
        <v>225</v>
      </c>
    </row>
    <row r="202" spans="1:10">
      <c r="A202" s="438">
        <v>72</v>
      </c>
      <c r="C202" s="437" t="s">
        <v>375</v>
      </c>
      <c r="D202" s="437" t="s">
        <v>66</v>
      </c>
      <c r="E202" s="258">
        <v>130850</v>
      </c>
      <c r="F202" s="259">
        <v>100000</v>
      </c>
      <c r="G202" s="260" t="s">
        <v>215</v>
      </c>
      <c r="I202" s="258">
        <v>130850</v>
      </c>
      <c r="J202" s="441" t="s">
        <v>330</v>
      </c>
    </row>
    <row r="203" spans="1:10">
      <c r="A203" s="438">
        <v>74</v>
      </c>
      <c r="C203" s="437" t="s">
        <v>375</v>
      </c>
      <c r="D203" s="437" t="s">
        <v>66</v>
      </c>
      <c r="E203" s="258">
        <v>130151</v>
      </c>
      <c r="F203" s="259">
        <v>100000</v>
      </c>
      <c r="G203" s="260" t="s">
        <v>226</v>
      </c>
      <c r="I203" s="258">
        <v>130151</v>
      </c>
      <c r="J203" s="447" t="s">
        <v>228</v>
      </c>
    </row>
    <row r="204" spans="1:10">
      <c r="A204" s="438">
        <v>75</v>
      </c>
      <c r="C204" s="437" t="s">
        <v>375</v>
      </c>
      <c r="D204" s="437" t="s">
        <v>66</v>
      </c>
      <c r="E204" s="258">
        <v>130160</v>
      </c>
      <c r="F204" s="259">
        <v>100000</v>
      </c>
      <c r="G204" s="260" t="s">
        <v>226</v>
      </c>
      <c r="I204" s="258">
        <v>130160</v>
      </c>
      <c r="J204" s="447" t="s">
        <v>229</v>
      </c>
    </row>
    <row r="205" spans="1:10">
      <c r="A205" s="437">
        <v>76</v>
      </c>
      <c r="C205" s="437" t="s">
        <v>375</v>
      </c>
      <c r="D205" s="437" t="s">
        <v>66</v>
      </c>
      <c r="E205" s="258">
        <v>130300</v>
      </c>
      <c r="F205" s="259">
        <v>100000</v>
      </c>
      <c r="G205" s="260" t="s">
        <v>226</v>
      </c>
      <c r="I205" s="258">
        <v>130300</v>
      </c>
      <c r="J205" s="447" t="s">
        <v>230</v>
      </c>
    </row>
    <row r="206" spans="1:10">
      <c r="A206" s="438">
        <v>77</v>
      </c>
      <c r="C206" s="437" t="s">
        <v>375</v>
      </c>
      <c r="D206" s="437" t="s">
        <v>66</v>
      </c>
      <c r="E206" s="258">
        <v>130740</v>
      </c>
      <c r="F206" s="259">
        <v>100000</v>
      </c>
      <c r="G206" s="260" t="s">
        <v>226</v>
      </c>
      <c r="I206" s="258">
        <v>130740</v>
      </c>
      <c r="J206" s="447" t="s">
        <v>231</v>
      </c>
    </row>
    <row r="207" spans="1:10">
      <c r="A207" s="438">
        <v>78</v>
      </c>
      <c r="C207" s="437" t="s">
        <v>375</v>
      </c>
      <c r="D207" s="437" t="s">
        <v>66</v>
      </c>
      <c r="E207" s="258">
        <v>130750</v>
      </c>
      <c r="F207" s="259">
        <v>100000</v>
      </c>
      <c r="G207" s="260" t="s">
        <v>226</v>
      </c>
      <c r="I207" s="258">
        <v>130750</v>
      </c>
      <c r="J207" s="447" t="s">
        <v>232</v>
      </c>
    </row>
    <row r="208" spans="1:10">
      <c r="A208" s="437">
        <v>79</v>
      </c>
      <c r="C208" s="437" t="s">
        <v>375</v>
      </c>
      <c r="D208" s="437" t="s">
        <v>66</v>
      </c>
      <c r="E208" s="258">
        <v>130800</v>
      </c>
      <c r="F208" s="259">
        <v>100000</v>
      </c>
      <c r="G208" s="260" t="s">
        <v>226</v>
      </c>
      <c r="I208" s="258">
        <v>130800</v>
      </c>
      <c r="J208" s="441" t="s">
        <v>233</v>
      </c>
    </row>
    <row r="209" spans="1:10">
      <c r="A209" s="438">
        <v>80</v>
      </c>
      <c r="C209" s="437" t="s">
        <v>375</v>
      </c>
      <c r="D209" s="437" t="s">
        <v>66</v>
      </c>
      <c r="E209" s="258">
        <v>251000</v>
      </c>
      <c r="F209" s="259">
        <v>100000</v>
      </c>
      <c r="G209" s="260" t="s">
        <v>226</v>
      </c>
      <c r="I209" s="258">
        <v>251000</v>
      </c>
      <c r="J209" s="447" t="s">
        <v>234</v>
      </c>
    </row>
    <row r="210" spans="1:10">
      <c r="A210" s="438">
        <v>81</v>
      </c>
      <c r="C210" s="437" t="s">
        <v>375</v>
      </c>
      <c r="D210" s="437" t="s">
        <v>66</v>
      </c>
      <c r="E210" s="258">
        <v>100101</v>
      </c>
      <c r="F210" s="259">
        <v>100000</v>
      </c>
      <c r="G210" s="260" t="s">
        <v>235</v>
      </c>
      <c r="I210" s="258">
        <v>100101</v>
      </c>
      <c r="J210" s="447" t="s">
        <v>236</v>
      </c>
    </row>
    <row r="211" spans="1:10">
      <c r="A211" s="438">
        <v>83</v>
      </c>
      <c r="C211" s="437" t="s">
        <v>375</v>
      </c>
      <c r="D211" s="437" t="s">
        <v>66</v>
      </c>
      <c r="E211" s="258">
        <v>110100</v>
      </c>
      <c r="F211" s="259">
        <v>100000</v>
      </c>
      <c r="G211" s="260" t="s">
        <v>235</v>
      </c>
      <c r="I211" s="258">
        <v>110100</v>
      </c>
      <c r="J211" s="447" t="s">
        <v>237</v>
      </c>
    </row>
    <row r="212" spans="1:10">
      <c r="A212" s="438">
        <v>84</v>
      </c>
      <c r="C212" s="437" t="s">
        <v>375</v>
      </c>
      <c r="D212" s="437" t="s">
        <v>66</v>
      </c>
      <c r="E212" s="258">
        <v>110104</v>
      </c>
      <c r="F212" s="259">
        <v>100000</v>
      </c>
      <c r="G212" s="260" t="s">
        <v>235</v>
      </c>
      <c r="I212" s="258">
        <v>110104</v>
      </c>
      <c r="J212" s="447" t="s">
        <v>238</v>
      </c>
    </row>
    <row r="213" spans="1:10">
      <c r="A213" s="437">
        <v>85</v>
      </c>
      <c r="C213" s="437" t="s">
        <v>375</v>
      </c>
      <c r="D213" s="437" t="s">
        <v>66</v>
      </c>
      <c r="E213" s="258">
        <v>110200</v>
      </c>
      <c r="F213" s="259">
        <v>100000</v>
      </c>
      <c r="G213" s="260" t="s">
        <v>235</v>
      </c>
      <c r="I213" s="258">
        <v>110200</v>
      </c>
      <c r="J213" s="441" t="s">
        <v>332</v>
      </c>
    </row>
    <row r="214" spans="1:10">
      <c r="A214" s="438">
        <v>86</v>
      </c>
      <c r="C214" s="437" t="s">
        <v>375</v>
      </c>
      <c r="D214" s="437" t="s">
        <v>66</v>
      </c>
      <c r="E214" s="258">
        <v>120100</v>
      </c>
      <c r="F214" s="259">
        <v>100000</v>
      </c>
      <c r="G214" s="260" t="s">
        <v>235</v>
      </c>
      <c r="I214" s="258">
        <v>120100</v>
      </c>
      <c r="J214" s="441" t="s">
        <v>239</v>
      </c>
    </row>
    <row r="215" spans="1:10">
      <c r="A215" s="438">
        <v>87</v>
      </c>
      <c r="C215" s="437" t="s">
        <v>375</v>
      </c>
      <c r="D215" s="437" t="s">
        <v>66</v>
      </c>
      <c r="E215" s="258">
        <v>129000</v>
      </c>
      <c r="F215" s="259">
        <v>100000</v>
      </c>
      <c r="G215" s="260" t="s">
        <v>235</v>
      </c>
      <c r="I215" s="258">
        <v>129000</v>
      </c>
      <c r="J215" s="447" t="s">
        <v>240</v>
      </c>
    </row>
    <row r="216" spans="1:10">
      <c r="A216" s="437">
        <v>88</v>
      </c>
      <c r="C216" s="437" t="s">
        <v>375</v>
      </c>
      <c r="D216" s="437" t="s">
        <v>66</v>
      </c>
      <c r="E216" s="258">
        <v>130100</v>
      </c>
      <c r="F216" s="259">
        <v>100000</v>
      </c>
      <c r="G216" s="260" t="s">
        <v>235</v>
      </c>
      <c r="I216" s="258">
        <v>130100</v>
      </c>
      <c r="J216" s="447" t="s">
        <v>241</v>
      </c>
    </row>
    <row r="217" spans="1:10">
      <c r="A217" s="438">
        <v>89</v>
      </c>
      <c r="C217" s="437" t="s">
        <v>375</v>
      </c>
      <c r="D217" s="437" t="s">
        <v>66</v>
      </c>
      <c r="E217" s="258">
        <v>130110</v>
      </c>
      <c r="F217" s="259">
        <v>100000</v>
      </c>
      <c r="G217" s="260" t="s">
        <v>235</v>
      </c>
      <c r="I217" s="258">
        <v>130110</v>
      </c>
      <c r="J217" s="447" t="s">
        <v>242</v>
      </c>
    </row>
    <row r="218" spans="1:10">
      <c r="A218" s="438">
        <v>90</v>
      </c>
      <c r="C218" s="437" t="s">
        <v>375</v>
      </c>
      <c r="D218" s="437" t="s">
        <v>66</v>
      </c>
      <c r="E218" s="268">
        <v>140100</v>
      </c>
      <c r="F218" s="259">
        <v>100000</v>
      </c>
      <c r="G218" s="260" t="s">
        <v>235</v>
      </c>
      <c r="I218" s="268">
        <v>140100</v>
      </c>
      <c r="J218" s="452" t="s">
        <v>243</v>
      </c>
    </row>
    <row r="219" spans="1:10">
      <c r="A219" s="437">
        <v>91</v>
      </c>
      <c r="C219" s="437" t="s">
        <v>375</v>
      </c>
      <c r="D219" s="437" t="s">
        <v>66</v>
      </c>
      <c r="E219" s="258">
        <v>150100</v>
      </c>
      <c r="F219" s="259">
        <v>100000</v>
      </c>
      <c r="G219" s="260" t="s">
        <v>235</v>
      </c>
      <c r="I219" s="258">
        <v>150100</v>
      </c>
      <c r="J219" s="447" t="s">
        <v>244</v>
      </c>
    </row>
    <row r="220" spans="1:10">
      <c r="A220" s="438">
        <v>92</v>
      </c>
      <c r="C220" s="437" t="s">
        <v>375</v>
      </c>
      <c r="D220" s="437" t="s">
        <v>66</v>
      </c>
      <c r="E220" s="258">
        <v>150601</v>
      </c>
      <c r="F220" s="259">
        <v>100000</v>
      </c>
      <c r="G220" s="260" t="s">
        <v>235</v>
      </c>
      <c r="I220" s="258">
        <v>150601</v>
      </c>
      <c r="J220" s="447" t="s">
        <v>245</v>
      </c>
    </row>
    <row r="221" spans="1:10">
      <c r="A221" s="438">
        <v>93</v>
      </c>
      <c r="C221" s="437" t="s">
        <v>375</v>
      </c>
      <c r="D221" s="437" t="s">
        <v>66</v>
      </c>
      <c r="E221" s="258">
        <v>160100</v>
      </c>
      <c r="F221" s="259">
        <v>100000</v>
      </c>
      <c r="G221" s="260" t="s">
        <v>235</v>
      </c>
      <c r="I221" s="258">
        <v>160100</v>
      </c>
      <c r="J221" s="447" t="s">
        <v>246</v>
      </c>
    </row>
    <row r="222" spans="1:10">
      <c r="A222" s="437">
        <v>94</v>
      </c>
      <c r="C222" s="437" t="s">
        <v>375</v>
      </c>
      <c r="D222" s="437" t="s">
        <v>66</v>
      </c>
      <c r="E222" s="258">
        <v>160101</v>
      </c>
      <c r="F222" s="259">
        <v>100000</v>
      </c>
      <c r="G222" s="260" t="s">
        <v>235</v>
      </c>
      <c r="I222" s="258">
        <v>160101</v>
      </c>
      <c r="J222" s="447" t="s">
        <v>247</v>
      </c>
    </row>
    <row r="223" spans="1:10">
      <c r="A223" s="438">
        <v>95</v>
      </c>
      <c r="C223" s="437" t="s">
        <v>375</v>
      </c>
      <c r="D223" s="437" t="s">
        <v>66</v>
      </c>
      <c r="E223" s="258">
        <v>160104</v>
      </c>
      <c r="F223" s="259">
        <v>100000</v>
      </c>
      <c r="G223" s="260" t="s">
        <v>235</v>
      </c>
      <c r="I223" s="258">
        <v>160104</v>
      </c>
      <c r="J223" s="447" t="s">
        <v>248</v>
      </c>
    </row>
    <row r="224" spans="1:10">
      <c r="A224" s="438">
        <v>96</v>
      </c>
      <c r="C224" s="437" t="s">
        <v>375</v>
      </c>
      <c r="D224" s="437" t="s">
        <v>66</v>
      </c>
      <c r="E224" s="258">
        <v>160504</v>
      </c>
      <c r="F224" s="259">
        <v>100000</v>
      </c>
      <c r="G224" s="260" t="s">
        <v>235</v>
      </c>
      <c r="I224" s="258">
        <v>160504</v>
      </c>
      <c r="J224" s="447" t="s">
        <v>249</v>
      </c>
    </row>
    <row r="225" spans="1:10">
      <c r="A225" s="437">
        <v>97</v>
      </c>
      <c r="C225" s="437" t="s">
        <v>375</v>
      </c>
      <c r="D225" s="437" t="s">
        <v>66</v>
      </c>
      <c r="E225" s="258">
        <v>170100</v>
      </c>
      <c r="F225" s="259">
        <v>100000</v>
      </c>
      <c r="G225" s="260" t="s">
        <v>235</v>
      </c>
      <c r="I225" s="258">
        <v>170100</v>
      </c>
      <c r="J225" s="441" t="s">
        <v>378</v>
      </c>
    </row>
    <row r="226" spans="1:10">
      <c r="A226" s="438">
        <v>98</v>
      </c>
      <c r="C226" s="437" t="s">
        <v>375</v>
      </c>
      <c r="D226" s="437" t="s">
        <v>66</v>
      </c>
      <c r="E226" s="258">
        <v>170400</v>
      </c>
      <c r="F226" s="259">
        <v>100000</v>
      </c>
      <c r="G226" s="260" t="s">
        <v>235</v>
      </c>
      <c r="I226" s="258">
        <v>170400</v>
      </c>
      <c r="J226" s="447" t="s">
        <v>250</v>
      </c>
    </row>
    <row r="227" spans="1:10">
      <c r="A227" s="438">
        <v>99</v>
      </c>
      <c r="C227" s="437" t="s">
        <v>375</v>
      </c>
      <c r="D227" s="437" t="s">
        <v>66</v>
      </c>
      <c r="E227" s="258">
        <v>170410</v>
      </c>
      <c r="F227" s="259">
        <v>100000</v>
      </c>
      <c r="G227" s="260" t="s">
        <v>235</v>
      </c>
      <c r="I227" s="258">
        <v>170410</v>
      </c>
      <c r="J227" s="447" t="s">
        <v>251</v>
      </c>
    </row>
    <row r="228" spans="1:10">
      <c r="A228" s="437">
        <v>100</v>
      </c>
      <c r="C228" s="437" t="s">
        <v>375</v>
      </c>
      <c r="D228" s="437" t="s">
        <v>66</v>
      </c>
      <c r="E228" s="258">
        <v>170420</v>
      </c>
      <c r="F228" s="259">
        <v>100000</v>
      </c>
      <c r="G228" s="260" t="s">
        <v>235</v>
      </c>
      <c r="I228" s="258">
        <v>170420</v>
      </c>
      <c r="J228" s="447" t="s">
        <v>252</v>
      </c>
    </row>
    <row r="229" spans="1:10">
      <c r="A229" s="438">
        <v>101</v>
      </c>
      <c r="C229" s="437" t="s">
        <v>375</v>
      </c>
      <c r="D229" s="437" t="s">
        <v>66</v>
      </c>
      <c r="E229" s="258">
        <v>171000</v>
      </c>
      <c r="F229" s="259">
        <v>100000</v>
      </c>
      <c r="G229" s="260" t="s">
        <v>235</v>
      </c>
      <c r="I229" s="258">
        <v>171000</v>
      </c>
      <c r="J229" s="447" t="s">
        <v>253</v>
      </c>
    </row>
    <row r="230" spans="1:10">
      <c r="A230" s="438">
        <v>102</v>
      </c>
      <c r="C230" s="437" t="s">
        <v>375</v>
      </c>
      <c r="D230" s="437" t="s">
        <v>66</v>
      </c>
      <c r="E230" s="258">
        <v>171100</v>
      </c>
      <c r="F230" s="259">
        <v>100000</v>
      </c>
      <c r="G230" s="260" t="s">
        <v>235</v>
      </c>
      <c r="I230" s="258">
        <v>171100</v>
      </c>
      <c r="J230" s="441" t="s">
        <v>254</v>
      </c>
    </row>
    <row r="231" spans="1:10">
      <c r="A231" s="437">
        <v>103</v>
      </c>
      <c r="C231" s="437" t="s">
        <v>375</v>
      </c>
      <c r="D231" s="437" t="s">
        <v>66</v>
      </c>
      <c r="E231" s="258">
        <v>190100</v>
      </c>
      <c r="F231" s="259">
        <v>100000</v>
      </c>
      <c r="G231" s="260" t="s">
        <v>235</v>
      </c>
      <c r="I231" s="258">
        <v>190100</v>
      </c>
      <c r="J231" s="447" t="s">
        <v>255</v>
      </c>
    </row>
    <row r="232" spans="1:10">
      <c r="A232" s="438">
        <v>105</v>
      </c>
      <c r="C232" s="437" t="s">
        <v>375</v>
      </c>
      <c r="D232" s="437" t="s">
        <v>66</v>
      </c>
      <c r="E232" s="258">
        <v>105000</v>
      </c>
      <c r="F232" s="259">
        <v>100000</v>
      </c>
      <c r="G232" s="260" t="s">
        <v>235</v>
      </c>
      <c r="I232" s="258">
        <v>105000</v>
      </c>
      <c r="J232" s="447" t="s">
        <v>257</v>
      </c>
    </row>
    <row r="233" spans="1:10">
      <c r="A233" s="437">
        <v>106</v>
      </c>
      <c r="C233" s="437" t="s">
        <v>375</v>
      </c>
      <c r="D233" s="437" t="s">
        <v>66</v>
      </c>
      <c r="E233" s="269">
        <v>120300</v>
      </c>
      <c r="F233" s="259">
        <v>100000</v>
      </c>
      <c r="G233" s="270" t="s">
        <v>235</v>
      </c>
      <c r="I233" s="269">
        <v>120300</v>
      </c>
      <c r="J233" s="453" t="s">
        <v>258</v>
      </c>
    </row>
    <row r="234" spans="1:10">
      <c r="A234" s="438">
        <v>107</v>
      </c>
      <c r="C234" s="437" t="s">
        <v>375</v>
      </c>
      <c r="D234" s="437" t="s">
        <v>66</v>
      </c>
      <c r="E234" s="258">
        <v>170200</v>
      </c>
      <c r="F234" s="259">
        <v>100000</v>
      </c>
      <c r="G234" s="260" t="s">
        <v>259</v>
      </c>
      <c r="I234" s="258">
        <v>170200</v>
      </c>
      <c r="J234" s="447" t="s">
        <v>260</v>
      </c>
    </row>
    <row r="235" spans="1:10">
      <c r="A235" s="437">
        <v>109</v>
      </c>
      <c r="C235" s="437" t="s">
        <v>375</v>
      </c>
      <c r="D235" s="437" t="s">
        <v>66</v>
      </c>
      <c r="E235" s="258">
        <v>195000</v>
      </c>
      <c r="F235" s="259">
        <v>100000</v>
      </c>
      <c r="G235" s="260" t="s">
        <v>259</v>
      </c>
      <c r="I235" s="258">
        <v>195000</v>
      </c>
      <c r="J235" s="447" t="s">
        <v>262</v>
      </c>
    </row>
    <row r="236" spans="1:10">
      <c r="A236" s="438">
        <v>110</v>
      </c>
      <c r="C236" s="437" t="s">
        <v>375</v>
      </c>
      <c r="D236" s="437" t="s">
        <v>66</v>
      </c>
      <c r="E236" s="258">
        <v>197000</v>
      </c>
      <c r="F236" s="259">
        <v>100000</v>
      </c>
      <c r="G236" s="260" t="s">
        <v>259</v>
      </c>
      <c r="I236" s="258">
        <v>197000</v>
      </c>
      <c r="J236" s="447" t="s">
        <v>263</v>
      </c>
    </row>
    <row r="237" spans="1:10">
      <c r="A237" s="437">
        <v>112</v>
      </c>
      <c r="C237" s="437" t="s">
        <v>375</v>
      </c>
      <c r="D237" s="437" t="s">
        <v>66</v>
      </c>
      <c r="E237" s="258">
        <v>230000</v>
      </c>
      <c r="F237" s="259">
        <v>100000</v>
      </c>
      <c r="G237" s="260" t="s">
        <v>259</v>
      </c>
      <c r="I237" s="258">
        <v>230000</v>
      </c>
      <c r="J237" s="447" t="s">
        <v>380</v>
      </c>
    </row>
    <row r="238" spans="1:10">
      <c r="A238" s="438">
        <v>113</v>
      </c>
      <c r="C238" s="437" t="s">
        <v>375</v>
      </c>
      <c r="D238" s="437" t="s">
        <v>66</v>
      </c>
      <c r="E238" s="258">
        <v>320100</v>
      </c>
      <c r="F238" s="259">
        <v>100000</v>
      </c>
      <c r="G238" s="260" t="s">
        <v>259</v>
      </c>
      <c r="I238" s="258">
        <v>320100</v>
      </c>
      <c r="J238" s="447" t="s">
        <v>265</v>
      </c>
    </row>
    <row r="239" spans="1:10">
      <c r="A239" s="438">
        <v>114</v>
      </c>
      <c r="B239" s="438">
        <v>0</v>
      </c>
      <c r="C239" s="437" t="s">
        <v>375</v>
      </c>
      <c r="D239" s="437" t="s">
        <v>66</v>
      </c>
      <c r="E239" s="258">
        <v>320200</v>
      </c>
      <c r="F239" s="259">
        <v>100000</v>
      </c>
      <c r="G239" s="260" t="s">
        <v>259</v>
      </c>
      <c r="I239" s="258">
        <v>320200</v>
      </c>
      <c r="J239" s="454" t="s">
        <v>266</v>
      </c>
    </row>
    <row r="240" spans="1:10">
      <c r="A240" s="437">
        <v>115</v>
      </c>
      <c r="C240" s="437" t="s">
        <v>375</v>
      </c>
      <c r="D240" s="437" t="s">
        <v>66</v>
      </c>
      <c r="E240" s="258">
        <v>320300</v>
      </c>
      <c r="F240" s="259">
        <v>100000</v>
      </c>
      <c r="G240" s="260" t="s">
        <v>259</v>
      </c>
      <c r="I240" s="258">
        <v>320300</v>
      </c>
      <c r="J240" s="447" t="s">
        <v>267</v>
      </c>
    </row>
    <row r="241" spans="1:10">
      <c r="A241" s="438">
        <v>116</v>
      </c>
      <c r="C241" s="437" t="s">
        <v>375</v>
      </c>
      <c r="D241" s="437" t="s">
        <v>66</v>
      </c>
      <c r="E241" s="258">
        <v>320400</v>
      </c>
      <c r="F241" s="259">
        <v>100000</v>
      </c>
      <c r="G241" s="260" t="s">
        <v>259</v>
      </c>
      <c r="I241" s="258">
        <v>320400</v>
      </c>
      <c r="J241" s="447" t="s">
        <v>268</v>
      </c>
    </row>
    <row r="242" spans="1:10">
      <c r="A242" s="438">
        <v>117</v>
      </c>
      <c r="C242" s="437" t="s">
        <v>375</v>
      </c>
      <c r="D242" s="437" t="s">
        <v>66</v>
      </c>
      <c r="E242" s="258">
        <v>320500</v>
      </c>
      <c r="F242" s="259">
        <v>100000</v>
      </c>
      <c r="G242" s="260" t="s">
        <v>259</v>
      </c>
      <c r="I242" s="258">
        <v>320500</v>
      </c>
      <c r="J242" s="447" t="s">
        <v>269</v>
      </c>
    </row>
    <row r="243" spans="1:10">
      <c r="A243" s="437">
        <v>118</v>
      </c>
      <c r="C243" s="437" t="s">
        <v>375</v>
      </c>
      <c r="D243" s="437" t="s">
        <v>66</v>
      </c>
      <c r="E243" s="258">
        <v>320600</v>
      </c>
      <c r="F243" s="259">
        <v>100000</v>
      </c>
      <c r="G243" s="260" t="s">
        <v>259</v>
      </c>
      <c r="I243" s="258">
        <v>320600</v>
      </c>
      <c r="J243" s="447" t="s">
        <v>270</v>
      </c>
    </row>
    <row r="244" spans="1:10">
      <c r="A244" s="438">
        <v>119</v>
      </c>
      <c r="C244" s="437" t="s">
        <v>375</v>
      </c>
      <c r="D244" s="437" t="s">
        <v>66</v>
      </c>
      <c r="E244" s="258">
        <v>320700</v>
      </c>
      <c r="F244" s="259">
        <v>100000</v>
      </c>
      <c r="G244" s="260" t="s">
        <v>259</v>
      </c>
      <c r="I244" s="258">
        <v>320700</v>
      </c>
      <c r="J244" s="447" t="s">
        <v>271</v>
      </c>
    </row>
    <row r="245" spans="1:10">
      <c r="A245" s="438">
        <v>120</v>
      </c>
      <c r="C245" s="437" t="s">
        <v>375</v>
      </c>
      <c r="D245" s="437" t="s">
        <v>66</v>
      </c>
      <c r="E245" s="258">
        <v>320800</v>
      </c>
      <c r="F245" s="259">
        <v>100000</v>
      </c>
      <c r="G245" s="260" t="s">
        <v>259</v>
      </c>
      <c r="I245" s="258">
        <v>320800</v>
      </c>
      <c r="J245" s="447" t="s">
        <v>272</v>
      </c>
    </row>
    <row r="246" spans="1:10">
      <c r="A246" s="437">
        <v>121</v>
      </c>
      <c r="C246" s="437" t="s">
        <v>375</v>
      </c>
      <c r="D246" s="437" t="s">
        <v>66</v>
      </c>
      <c r="E246" s="258">
        <v>320900</v>
      </c>
      <c r="F246" s="259">
        <v>100000</v>
      </c>
      <c r="G246" s="260" t="s">
        <v>259</v>
      </c>
      <c r="I246" s="258">
        <v>320900</v>
      </c>
      <c r="J246" s="447" t="s">
        <v>273</v>
      </c>
    </row>
    <row r="247" spans="1:10">
      <c r="A247" s="438">
        <v>122</v>
      </c>
      <c r="C247" s="437" t="s">
        <v>375</v>
      </c>
      <c r="D247" s="437" t="s">
        <v>66</v>
      </c>
      <c r="E247" s="258">
        <v>321000</v>
      </c>
      <c r="F247" s="259">
        <v>100000</v>
      </c>
      <c r="G247" s="260" t="s">
        <v>259</v>
      </c>
      <c r="I247" s="258">
        <v>321000</v>
      </c>
      <c r="J247" s="447" t="s">
        <v>274</v>
      </c>
    </row>
    <row r="248" spans="1:10">
      <c r="A248" s="438">
        <v>123</v>
      </c>
      <c r="C248" s="437" t="s">
        <v>375</v>
      </c>
      <c r="D248" s="437" t="s">
        <v>66</v>
      </c>
      <c r="E248" s="258">
        <v>321100</v>
      </c>
      <c r="F248" s="259">
        <v>100000</v>
      </c>
      <c r="G248" s="260" t="s">
        <v>259</v>
      </c>
      <c r="I248" s="258">
        <v>321100</v>
      </c>
      <c r="J248" s="447" t="s">
        <v>275</v>
      </c>
    </row>
    <row r="249" spans="1:10">
      <c r="A249" s="437">
        <v>124</v>
      </c>
      <c r="C249" s="437" t="s">
        <v>375</v>
      </c>
      <c r="D249" s="437" t="s">
        <v>66</v>
      </c>
      <c r="E249" s="262">
        <v>321200</v>
      </c>
      <c r="F249" s="259">
        <v>100000</v>
      </c>
      <c r="G249" s="260" t="s">
        <v>259</v>
      </c>
      <c r="I249" s="262">
        <v>321200</v>
      </c>
      <c r="J249" s="447" t="s">
        <v>276</v>
      </c>
    </row>
    <row r="250" spans="1:10">
      <c r="A250" s="438">
        <v>125</v>
      </c>
      <c r="C250" s="437" t="s">
        <v>375</v>
      </c>
      <c r="D250" s="437" t="s">
        <v>66</v>
      </c>
      <c r="E250" s="258">
        <v>321300</v>
      </c>
      <c r="F250" s="259">
        <v>100000</v>
      </c>
      <c r="G250" s="260" t="s">
        <v>259</v>
      </c>
      <c r="I250" s="258">
        <v>321300</v>
      </c>
      <c r="J250" s="447" t="s">
        <v>277</v>
      </c>
    </row>
    <row r="251" spans="1:10">
      <c r="A251" s="438">
        <v>126</v>
      </c>
      <c r="C251" s="437" t="s">
        <v>375</v>
      </c>
      <c r="D251" s="437" t="s">
        <v>66</v>
      </c>
      <c r="E251" s="258">
        <v>321500</v>
      </c>
      <c r="F251" s="259">
        <v>100000</v>
      </c>
      <c r="G251" s="260" t="s">
        <v>259</v>
      </c>
      <c r="I251" s="258">
        <v>321500</v>
      </c>
      <c r="J251" s="447" t="s">
        <v>278</v>
      </c>
    </row>
    <row r="252" spans="1:10">
      <c r="A252" s="437">
        <v>127</v>
      </c>
      <c r="C252" s="437" t="s">
        <v>375</v>
      </c>
      <c r="D252" s="437" t="s">
        <v>66</v>
      </c>
      <c r="E252" s="258">
        <v>321600</v>
      </c>
      <c r="F252" s="259">
        <v>100000</v>
      </c>
      <c r="G252" s="260" t="s">
        <v>259</v>
      </c>
      <c r="I252" s="258">
        <v>321600</v>
      </c>
      <c r="J252" s="447" t="s">
        <v>279</v>
      </c>
    </row>
    <row r="253" spans="1:10">
      <c r="A253" s="438">
        <v>129</v>
      </c>
      <c r="C253" s="437" t="s">
        <v>375</v>
      </c>
      <c r="D253" s="437" t="s">
        <v>66</v>
      </c>
      <c r="E253" s="258">
        <v>321800</v>
      </c>
      <c r="F253" s="259">
        <v>100000</v>
      </c>
      <c r="G253" s="260" t="s">
        <v>259</v>
      </c>
      <c r="I253" s="258">
        <v>321800</v>
      </c>
      <c r="J253" s="447" t="s">
        <v>281</v>
      </c>
    </row>
    <row r="254" spans="1:10">
      <c r="A254" s="437">
        <v>130</v>
      </c>
      <c r="C254" s="437" t="s">
        <v>375</v>
      </c>
      <c r="D254" s="437" t="s">
        <v>66</v>
      </c>
      <c r="E254" s="258">
        <v>321900</v>
      </c>
      <c r="F254" s="259">
        <v>100000</v>
      </c>
      <c r="G254" s="260" t="s">
        <v>259</v>
      </c>
      <c r="I254" s="258">
        <v>321900</v>
      </c>
      <c r="J254" s="447" t="s">
        <v>282</v>
      </c>
    </row>
    <row r="255" spans="1:10">
      <c r="A255" s="437">
        <v>133</v>
      </c>
      <c r="C255" s="437" t="s">
        <v>375</v>
      </c>
      <c r="D255" s="437" t="s">
        <v>66</v>
      </c>
      <c r="E255" s="258">
        <v>302000</v>
      </c>
      <c r="F255" s="259">
        <v>100000</v>
      </c>
      <c r="G255" s="260" t="s">
        <v>259</v>
      </c>
      <c r="I255" s="258">
        <v>302000</v>
      </c>
      <c r="J255" s="447" t="s">
        <v>285</v>
      </c>
    </row>
    <row r="256" spans="1:10">
      <c r="A256" s="438">
        <v>134</v>
      </c>
      <c r="C256" s="437" t="s">
        <v>375</v>
      </c>
      <c r="D256" s="437" t="s">
        <v>66</v>
      </c>
      <c r="E256" s="258">
        <v>410000</v>
      </c>
      <c r="F256" s="259">
        <v>100000</v>
      </c>
      <c r="G256" s="260" t="s">
        <v>259</v>
      </c>
      <c r="I256" s="258">
        <v>410000</v>
      </c>
      <c r="J256" s="447" t="s">
        <v>286</v>
      </c>
    </row>
    <row r="257" spans="1:10">
      <c r="A257" s="438">
        <v>135</v>
      </c>
      <c r="C257" s="437" t="s">
        <v>375</v>
      </c>
      <c r="D257" s="437" t="s">
        <v>66</v>
      </c>
      <c r="E257" s="258">
        <v>420100</v>
      </c>
      <c r="F257" s="259">
        <v>100000</v>
      </c>
      <c r="G257" s="260" t="s">
        <v>259</v>
      </c>
      <c r="I257" s="258">
        <v>420100</v>
      </c>
      <c r="J257" s="447" t="s">
        <v>287</v>
      </c>
    </row>
    <row r="258" spans="1:10">
      <c r="A258" s="438">
        <v>137</v>
      </c>
      <c r="C258" s="437" t="s">
        <v>375</v>
      </c>
      <c r="D258" s="437" t="s">
        <v>66</v>
      </c>
      <c r="E258" s="258">
        <v>420200</v>
      </c>
      <c r="F258" s="259">
        <v>100000</v>
      </c>
      <c r="G258" s="260" t="s">
        <v>259</v>
      </c>
      <c r="I258" s="258">
        <v>420200</v>
      </c>
      <c r="J258" s="447" t="s">
        <v>381</v>
      </c>
    </row>
    <row r="259" spans="1:10">
      <c r="A259" s="438">
        <v>138</v>
      </c>
      <c r="C259" s="437" t="s">
        <v>375</v>
      </c>
      <c r="D259" s="437" t="s">
        <v>66</v>
      </c>
      <c r="E259" s="258">
        <v>196000</v>
      </c>
      <c r="F259" s="259">
        <v>100000</v>
      </c>
      <c r="G259" s="260" t="s">
        <v>289</v>
      </c>
      <c r="I259" s="258">
        <v>196000</v>
      </c>
      <c r="J259" s="447" t="s">
        <v>290</v>
      </c>
    </row>
    <row r="260" spans="1:10">
      <c r="A260" s="437">
        <v>142</v>
      </c>
      <c r="C260" s="437" t="s">
        <v>375</v>
      </c>
      <c r="D260" s="437" t="s">
        <v>66</v>
      </c>
      <c r="E260" s="258">
        <v>300100</v>
      </c>
      <c r="F260" s="259">
        <v>100000</v>
      </c>
      <c r="G260" s="260" t="s">
        <v>289</v>
      </c>
      <c r="I260" s="258">
        <v>300100</v>
      </c>
      <c r="J260" s="455" t="s">
        <v>385</v>
      </c>
    </row>
    <row r="261" spans="1:10">
      <c r="A261" s="438">
        <v>143</v>
      </c>
      <c r="C261" s="437" t="s">
        <v>375</v>
      </c>
      <c r="D261" s="437" t="s">
        <v>66</v>
      </c>
      <c r="E261" s="258">
        <v>300200</v>
      </c>
      <c r="F261" s="259">
        <v>100000</v>
      </c>
      <c r="G261" s="260" t="s">
        <v>289</v>
      </c>
      <c r="I261" s="258">
        <v>300200</v>
      </c>
      <c r="J261" s="441" t="s">
        <v>333</v>
      </c>
    </row>
    <row r="262" spans="1:10">
      <c r="A262" s="437">
        <v>145</v>
      </c>
      <c r="C262" s="437" t="s">
        <v>375</v>
      </c>
      <c r="D262" s="437" t="s">
        <v>66</v>
      </c>
      <c r="E262" s="258">
        <v>301000</v>
      </c>
      <c r="F262" s="259">
        <v>100000</v>
      </c>
      <c r="G262" s="260" t="s">
        <v>289</v>
      </c>
      <c r="I262" s="258">
        <v>301000</v>
      </c>
      <c r="J262" s="447" t="s">
        <v>295</v>
      </c>
    </row>
    <row r="263" spans="1:10">
      <c r="A263" s="438">
        <v>146</v>
      </c>
      <c r="C263" s="437" t="s">
        <v>375</v>
      </c>
      <c r="D263" s="437" t="s">
        <v>66</v>
      </c>
      <c r="E263" s="258">
        <v>303000</v>
      </c>
      <c r="F263" s="259">
        <v>100000</v>
      </c>
      <c r="G263" s="260" t="s">
        <v>289</v>
      </c>
      <c r="I263" s="258">
        <v>303000</v>
      </c>
      <c r="J263" s="447" t="s">
        <v>296</v>
      </c>
    </row>
    <row r="264" spans="1:10">
      <c r="A264" s="438">
        <v>147</v>
      </c>
      <c r="C264" s="437" t="s">
        <v>375</v>
      </c>
      <c r="D264" s="437" t="s">
        <v>66</v>
      </c>
      <c r="E264" s="258">
        <v>304000</v>
      </c>
      <c r="F264" s="259">
        <v>100000</v>
      </c>
      <c r="G264" s="260" t="s">
        <v>289</v>
      </c>
      <c r="I264" s="258">
        <v>304000</v>
      </c>
      <c r="J264" s="447" t="s">
        <v>297</v>
      </c>
    </row>
    <row r="265" spans="1:10">
      <c r="A265" s="437">
        <v>148</v>
      </c>
      <c r="C265" s="437" t="s">
        <v>375</v>
      </c>
      <c r="D265" s="437" t="s">
        <v>66</v>
      </c>
      <c r="E265" s="258">
        <v>305000</v>
      </c>
      <c r="F265" s="259">
        <v>100000</v>
      </c>
      <c r="G265" s="260" t="s">
        <v>289</v>
      </c>
      <c r="I265" s="258">
        <v>305000</v>
      </c>
      <c r="J265" s="447" t="s">
        <v>298</v>
      </c>
    </row>
    <row r="266" spans="1:10">
      <c r="A266" s="438">
        <v>149</v>
      </c>
      <c r="C266" s="437" t="s">
        <v>375</v>
      </c>
      <c r="D266" s="437" t="s">
        <v>66</v>
      </c>
      <c r="E266" s="258">
        <v>306000</v>
      </c>
      <c r="F266" s="259">
        <v>100000</v>
      </c>
      <c r="G266" s="260" t="s">
        <v>289</v>
      </c>
      <c r="I266" s="258">
        <v>306000</v>
      </c>
      <c r="J266" s="447" t="s">
        <v>299</v>
      </c>
    </row>
    <row r="267" spans="1:10">
      <c r="A267" s="438">
        <v>150</v>
      </c>
      <c r="C267" s="437" t="s">
        <v>375</v>
      </c>
      <c r="D267" s="437" t="s">
        <v>66</v>
      </c>
      <c r="E267" s="258">
        <v>307000</v>
      </c>
      <c r="F267" s="259">
        <v>100000</v>
      </c>
      <c r="G267" s="260" t="s">
        <v>289</v>
      </c>
      <c r="I267" s="258">
        <v>307000</v>
      </c>
      <c r="J267" s="447" t="s">
        <v>300</v>
      </c>
    </row>
    <row r="268" spans="1:10">
      <c r="A268" s="437">
        <v>151</v>
      </c>
      <c r="C268" s="437" t="s">
        <v>375</v>
      </c>
      <c r="D268" s="437" t="s">
        <v>66</v>
      </c>
      <c r="E268" s="258">
        <v>308000</v>
      </c>
      <c r="F268" s="259">
        <v>100000</v>
      </c>
      <c r="G268" s="260" t="s">
        <v>289</v>
      </c>
      <c r="I268" s="258">
        <v>308000</v>
      </c>
      <c r="J268" s="447" t="s">
        <v>301</v>
      </c>
    </row>
    <row r="269" spans="1:10">
      <c r="A269" s="438">
        <v>153</v>
      </c>
      <c r="C269" s="437" t="s">
        <v>375</v>
      </c>
      <c r="D269" s="437" t="s">
        <v>66</v>
      </c>
      <c r="E269" s="258">
        <v>200100</v>
      </c>
      <c r="F269" s="259">
        <v>100000</v>
      </c>
      <c r="G269" s="260" t="s">
        <v>289</v>
      </c>
      <c r="I269" s="258">
        <v>200100</v>
      </c>
      <c r="J269" s="441" t="s">
        <v>386</v>
      </c>
    </row>
    <row r="270" spans="1:10">
      <c r="A270" s="437">
        <v>154</v>
      </c>
      <c r="C270" s="437" t="s">
        <v>375</v>
      </c>
      <c r="D270" s="437" t="s">
        <v>66</v>
      </c>
      <c r="E270" s="258">
        <v>210000</v>
      </c>
      <c r="F270" s="259">
        <v>100000</v>
      </c>
      <c r="G270" s="260" t="s">
        <v>289</v>
      </c>
      <c r="I270" s="258">
        <v>210000</v>
      </c>
      <c r="J270" s="447" t="s">
        <v>303</v>
      </c>
    </row>
    <row r="271" spans="1:10">
      <c r="A271" s="438">
        <v>155</v>
      </c>
      <c r="C271" s="437" t="s">
        <v>375</v>
      </c>
      <c r="D271" s="437" t="s">
        <v>66</v>
      </c>
      <c r="E271" s="258">
        <v>240000</v>
      </c>
      <c r="F271" s="259">
        <v>100000</v>
      </c>
      <c r="G271" s="260" t="s">
        <v>289</v>
      </c>
      <c r="I271" s="258">
        <v>240000</v>
      </c>
      <c r="J271" s="447" t="s">
        <v>304</v>
      </c>
    </row>
    <row r="272" spans="1:10">
      <c r="A272" s="438">
        <v>156</v>
      </c>
      <c r="C272" s="437" t="s">
        <v>375</v>
      </c>
      <c r="D272" s="437" t="s">
        <v>66</v>
      </c>
      <c r="E272" s="258">
        <v>100100</v>
      </c>
      <c r="F272" s="259">
        <v>100000</v>
      </c>
      <c r="G272" s="260" t="s">
        <v>289</v>
      </c>
      <c r="I272" s="258">
        <v>100100</v>
      </c>
      <c r="J272" s="447" t="s">
        <v>305</v>
      </c>
    </row>
    <row r="273" spans="1:10">
      <c r="A273" s="437">
        <v>157</v>
      </c>
      <c r="C273" s="437" t="s">
        <v>375</v>
      </c>
      <c r="D273" s="437" t="s">
        <v>66</v>
      </c>
      <c r="E273" s="258">
        <v>100102</v>
      </c>
      <c r="F273" s="259">
        <v>100000</v>
      </c>
      <c r="G273" s="260" t="s">
        <v>289</v>
      </c>
      <c r="I273" s="258">
        <v>100102</v>
      </c>
      <c r="J273" s="447" t="s">
        <v>306</v>
      </c>
    </row>
    <row r="274" spans="1:10">
      <c r="A274" s="438">
        <v>159</v>
      </c>
      <c r="C274" s="437" t="s">
        <v>375</v>
      </c>
      <c r="D274" s="437" t="s">
        <v>66</v>
      </c>
      <c r="E274" s="258">
        <v>110108</v>
      </c>
      <c r="F274" s="259">
        <v>100000</v>
      </c>
      <c r="G274" s="260" t="s">
        <v>289</v>
      </c>
      <c r="I274" s="258">
        <v>110108</v>
      </c>
      <c r="J274" s="447" t="s">
        <v>308</v>
      </c>
    </row>
    <row r="275" spans="1:10">
      <c r="A275" s="438">
        <v>164</v>
      </c>
      <c r="C275" s="437" t="s">
        <v>375</v>
      </c>
      <c r="D275" s="437" t="s">
        <v>66</v>
      </c>
      <c r="E275" s="258">
        <v>400100</v>
      </c>
      <c r="F275" s="259">
        <v>100000</v>
      </c>
      <c r="G275" s="260" t="s">
        <v>289</v>
      </c>
      <c r="I275" s="258">
        <v>400100</v>
      </c>
      <c r="J275" s="447" t="s">
        <v>312</v>
      </c>
    </row>
    <row r="276" spans="1:10">
      <c r="A276" s="438">
        <v>165</v>
      </c>
      <c r="C276" s="437" t="s">
        <v>375</v>
      </c>
      <c r="D276" s="437" t="s">
        <v>66</v>
      </c>
      <c r="E276" s="258">
        <v>310100</v>
      </c>
      <c r="F276" s="259">
        <v>100000</v>
      </c>
      <c r="G276" s="260" t="s">
        <v>313</v>
      </c>
      <c r="I276" s="258">
        <v>310100</v>
      </c>
      <c r="J276" s="447" t="s">
        <v>314</v>
      </c>
    </row>
    <row r="277" spans="1:10">
      <c r="A277" s="437">
        <v>166</v>
      </c>
      <c r="C277" s="437" t="s">
        <v>375</v>
      </c>
      <c r="D277" s="437" t="s">
        <v>66</v>
      </c>
      <c r="E277" s="258">
        <v>310200</v>
      </c>
      <c r="F277" s="259">
        <v>100000</v>
      </c>
      <c r="G277" s="260" t="s">
        <v>313</v>
      </c>
      <c r="I277" s="258">
        <v>310200</v>
      </c>
      <c r="J277" s="447" t="s">
        <v>315</v>
      </c>
    </row>
    <row r="278" spans="1:10">
      <c r="A278" s="438">
        <v>167</v>
      </c>
      <c r="C278" s="437" t="s">
        <v>375</v>
      </c>
      <c r="D278" s="437" t="s">
        <v>66</v>
      </c>
      <c r="E278" s="258">
        <v>310300</v>
      </c>
      <c r="F278" s="259">
        <v>100000</v>
      </c>
      <c r="G278" s="260" t="s">
        <v>313</v>
      </c>
      <c r="I278" s="258">
        <v>310300</v>
      </c>
      <c r="J278" s="447" t="s">
        <v>316</v>
      </c>
    </row>
    <row r="279" spans="1:10">
      <c r="A279" s="438">
        <v>168</v>
      </c>
      <c r="C279" s="437" t="s">
        <v>375</v>
      </c>
      <c r="D279" s="437" t="s">
        <v>66</v>
      </c>
      <c r="E279" s="258">
        <v>310400</v>
      </c>
      <c r="F279" s="259">
        <v>100000</v>
      </c>
      <c r="G279" s="260" t="s">
        <v>313</v>
      </c>
      <c r="I279" s="258">
        <v>310400</v>
      </c>
      <c r="J279" s="447" t="s">
        <v>317</v>
      </c>
    </row>
    <row r="280" spans="1:10">
      <c r="A280" s="437">
        <v>169</v>
      </c>
      <c r="C280" s="437" t="s">
        <v>375</v>
      </c>
      <c r="D280" s="437" t="s">
        <v>66</v>
      </c>
      <c r="E280" s="258">
        <v>310600</v>
      </c>
      <c r="F280" s="259">
        <v>100000</v>
      </c>
      <c r="G280" s="260" t="s">
        <v>313</v>
      </c>
      <c r="I280" s="258">
        <v>310600</v>
      </c>
      <c r="J280" s="447" t="s">
        <v>318</v>
      </c>
    </row>
    <row r="281" spans="1:10">
      <c r="A281" s="438">
        <v>170</v>
      </c>
      <c r="C281" s="437" t="s">
        <v>375</v>
      </c>
      <c r="D281" s="437" t="s">
        <v>66</v>
      </c>
      <c r="E281" s="258">
        <v>310700</v>
      </c>
      <c r="F281" s="259">
        <v>100000</v>
      </c>
      <c r="G281" s="260" t="s">
        <v>313</v>
      </c>
      <c r="I281" s="258">
        <v>310700</v>
      </c>
      <c r="J281" s="447" t="s">
        <v>319</v>
      </c>
    </row>
    <row r="282" spans="1:10">
      <c r="A282" s="437">
        <v>172</v>
      </c>
      <c r="C282" s="437" t="s">
        <v>375</v>
      </c>
      <c r="D282" s="437" t="s">
        <v>66</v>
      </c>
      <c r="E282" s="258">
        <v>311000</v>
      </c>
      <c r="F282" s="259">
        <v>100000</v>
      </c>
      <c r="G282" s="260" t="s">
        <v>313</v>
      </c>
      <c r="I282" s="258">
        <v>311000</v>
      </c>
      <c r="J282" s="447" t="s">
        <v>321</v>
      </c>
    </row>
    <row r="283" spans="1:10">
      <c r="A283" s="438">
        <v>173</v>
      </c>
      <c r="C283" s="437" t="s">
        <v>375</v>
      </c>
      <c r="D283" s="437" t="s">
        <v>66</v>
      </c>
      <c r="E283" s="258">
        <v>312000</v>
      </c>
      <c r="F283" s="259">
        <v>100000</v>
      </c>
      <c r="G283" s="260" t="s">
        <v>313</v>
      </c>
      <c r="I283" s="258">
        <v>312000</v>
      </c>
      <c r="J283" s="447" t="s">
        <v>322</v>
      </c>
    </row>
    <row r="284" spans="1:10">
      <c r="A284" s="437">
        <v>175</v>
      </c>
      <c r="C284" s="437" t="s">
        <v>375</v>
      </c>
      <c r="D284" s="437" t="s">
        <v>66</v>
      </c>
      <c r="E284" s="258">
        <v>310500</v>
      </c>
      <c r="F284" s="259">
        <v>100000</v>
      </c>
      <c r="G284" s="260" t="s">
        <v>313</v>
      </c>
      <c r="I284" s="258">
        <v>310500</v>
      </c>
      <c r="J284" s="447" t="s">
        <v>324</v>
      </c>
    </row>
    <row r="285" spans="1:10" s="434" customFormat="1">
      <c r="A285" s="437"/>
      <c r="B285" s="438"/>
      <c r="C285" s="437"/>
      <c r="D285" s="437"/>
      <c r="E285" s="258"/>
      <c r="F285" s="259"/>
      <c r="G285" s="260"/>
      <c r="I285" s="258"/>
      <c r="J285" s="447"/>
    </row>
    <row r="286" spans="1:10">
      <c r="A286" s="437">
        <v>178</v>
      </c>
      <c r="B286" s="438" t="s">
        <v>377</v>
      </c>
      <c r="C286" s="437" t="s">
        <v>375</v>
      </c>
      <c r="D286" s="437" t="s">
        <v>66</v>
      </c>
      <c r="E286" s="271">
        <v>123100</v>
      </c>
      <c r="F286" s="315" t="s">
        <v>328</v>
      </c>
      <c r="G286" s="440" t="s">
        <v>328</v>
      </c>
      <c r="H286" s="258"/>
      <c r="I286" s="271">
        <v>123100</v>
      </c>
      <c r="J286" s="456" t="s">
        <v>328</v>
      </c>
    </row>
    <row r="287" spans="1:10">
      <c r="A287" s="438">
        <v>179</v>
      </c>
      <c r="B287" s="438" t="s">
        <v>377</v>
      </c>
      <c r="C287" s="437" t="s">
        <v>375</v>
      </c>
      <c r="D287" s="437" t="s">
        <v>66</v>
      </c>
      <c r="E287" s="274">
        <v>101101</v>
      </c>
      <c r="F287" s="272" t="s">
        <v>328</v>
      </c>
      <c r="G287" s="273" t="s">
        <v>328</v>
      </c>
      <c r="H287" s="434"/>
      <c r="I287" s="274">
        <v>101101</v>
      </c>
      <c r="J287" s="457" t="s">
        <v>328</v>
      </c>
    </row>
    <row r="288" spans="1:10">
      <c r="A288" s="438">
        <v>180</v>
      </c>
      <c r="B288" s="438" t="s">
        <v>377</v>
      </c>
      <c r="C288" s="437" t="s">
        <v>375</v>
      </c>
      <c r="D288" s="437" t="s">
        <v>66</v>
      </c>
      <c r="E288" s="274">
        <v>120500</v>
      </c>
      <c r="F288" s="272" t="s">
        <v>328</v>
      </c>
      <c r="G288" s="273" t="s">
        <v>328</v>
      </c>
      <c r="H288" s="434"/>
      <c r="I288" s="274">
        <v>120500</v>
      </c>
      <c r="J288" s="457" t="s">
        <v>328</v>
      </c>
    </row>
    <row r="289" spans="1:10">
      <c r="A289" s="437">
        <v>181</v>
      </c>
      <c r="B289" s="438" t="s">
        <v>377</v>
      </c>
      <c r="C289" s="437" t="s">
        <v>375</v>
      </c>
      <c r="D289" s="437" t="s">
        <v>66</v>
      </c>
      <c r="E289" s="274">
        <v>130900</v>
      </c>
      <c r="F289" s="272" t="s">
        <v>328</v>
      </c>
      <c r="G289" s="273" t="s">
        <v>328</v>
      </c>
      <c r="H289" s="434"/>
      <c r="I289" s="274">
        <v>130900</v>
      </c>
      <c r="J289" s="457" t="s">
        <v>328</v>
      </c>
    </row>
    <row r="290" spans="1:10" s="258" customFormat="1">
      <c r="A290" s="443"/>
      <c r="B290" s="443"/>
      <c r="C290" s="443"/>
      <c r="D290" s="443"/>
      <c r="I290" s="310"/>
      <c r="J290" s="450"/>
    </row>
    <row r="291" spans="1:10">
      <c r="C291" s="438" t="s">
        <v>375</v>
      </c>
      <c r="E291" s="271">
        <v>110103</v>
      </c>
      <c r="F291" s="308" t="s">
        <v>343</v>
      </c>
      <c r="G291" s="309" t="s">
        <v>328</v>
      </c>
      <c r="I291" s="271">
        <v>110103</v>
      </c>
      <c r="J291" s="458" t="s">
        <v>344</v>
      </c>
    </row>
    <row r="292" spans="1:10">
      <c r="C292" s="438" t="s">
        <v>375</v>
      </c>
      <c r="E292" s="271">
        <v>121003</v>
      </c>
      <c r="F292" s="308" t="s">
        <v>343</v>
      </c>
      <c r="G292" s="309" t="s">
        <v>328</v>
      </c>
      <c r="I292" s="271">
        <v>121003</v>
      </c>
      <c r="J292" s="458" t="s">
        <v>344</v>
      </c>
    </row>
    <row r="293" spans="1:10">
      <c r="C293" s="438" t="s">
        <v>375</v>
      </c>
      <c r="E293" s="271">
        <v>122003</v>
      </c>
      <c r="F293" s="308" t="s">
        <v>343</v>
      </c>
      <c r="G293" s="309" t="s">
        <v>328</v>
      </c>
      <c r="I293" s="271">
        <v>122003</v>
      </c>
      <c r="J293" s="458" t="s">
        <v>344</v>
      </c>
    </row>
    <row r="294" spans="1:10">
      <c r="C294" s="438" t="s">
        <v>375</v>
      </c>
      <c r="E294" s="271">
        <v>123003</v>
      </c>
      <c r="F294" s="308" t="s">
        <v>343</v>
      </c>
      <c r="G294" s="309" t="s">
        <v>328</v>
      </c>
      <c r="I294" s="271">
        <v>123003</v>
      </c>
      <c r="J294" s="458" t="s">
        <v>344</v>
      </c>
    </row>
    <row r="295" spans="1:10">
      <c r="C295" s="438" t="s">
        <v>375</v>
      </c>
      <c r="E295" s="271">
        <v>124003</v>
      </c>
      <c r="F295" s="308" t="s">
        <v>343</v>
      </c>
      <c r="G295" s="309" t="s">
        <v>328</v>
      </c>
      <c r="I295" s="271">
        <v>124003</v>
      </c>
      <c r="J295" s="458" t="s">
        <v>344</v>
      </c>
    </row>
    <row r="296" spans="1:10">
      <c r="C296" s="438" t="s">
        <v>375</v>
      </c>
      <c r="E296" s="271">
        <v>125103</v>
      </c>
      <c r="F296" s="308" t="s">
        <v>343</v>
      </c>
      <c r="G296" s="309" t="s">
        <v>328</v>
      </c>
      <c r="I296" s="271">
        <v>125103</v>
      </c>
      <c r="J296" s="458" t="s">
        <v>344</v>
      </c>
    </row>
    <row r="297" spans="1:10">
      <c r="C297" s="438" t="s">
        <v>375</v>
      </c>
      <c r="E297" s="271">
        <v>125203</v>
      </c>
      <c r="F297" s="308" t="s">
        <v>343</v>
      </c>
      <c r="G297" s="309" t="s">
        <v>328</v>
      </c>
      <c r="I297" s="271">
        <v>125203</v>
      </c>
      <c r="J297" s="458" t="s">
        <v>344</v>
      </c>
    </row>
    <row r="298" spans="1:10">
      <c r="C298" s="438" t="s">
        <v>375</v>
      </c>
      <c r="E298" s="271">
        <v>125303</v>
      </c>
      <c r="F298" s="308" t="s">
        <v>343</v>
      </c>
      <c r="G298" s="309" t="s">
        <v>328</v>
      </c>
      <c r="I298" s="271">
        <v>125303</v>
      </c>
      <c r="J298" s="458" t="s">
        <v>344</v>
      </c>
    </row>
    <row r="299" spans="1:10">
      <c r="C299" s="438" t="s">
        <v>375</v>
      </c>
      <c r="E299" s="271">
        <v>125403</v>
      </c>
      <c r="F299" s="308" t="s">
        <v>343</v>
      </c>
      <c r="G299" s="309" t="s">
        <v>328</v>
      </c>
      <c r="I299" s="271">
        <v>125403</v>
      </c>
      <c r="J299" s="458" t="s">
        <v>344</v>
      </c>
    </row>
    <row r="300" spans="1:10">
      <c r="C300" s="438" t="s">
        <v>375</v>
      </c>
      <c r="E300" s="271">
        <v>125503</v>
      </c>
      <c r="F300" s="308" t="s">
        <v>343</v>
      </c>
      <c r="G300" s="309" t="s">
        <v>328</v>
      </c>
      <c r="I300" s="271">
        <v>125503</v>
      </c>
      <c r="J300" s="458" t="s">
        <v>344</v>
      </c>
    </row>
    <row r="301" spans="1:10">
      <c r="C301" s="438" t="s">
        <v>375</v>
      </c>
      <c r="E301" s="271">
        <v>126003</v>
      </c>
      <c r="F301" s="308" t="s">
        <v>343</v>
      </c>
      <c r="G301" s="309" t="s">
        <v>328</v>
      </c>
      <c r="I301" s="271">
        <v>126003</v>
      </c>
      <c r="J301" s="458" t="s">
        <v>344</v>
      </c>
    </row>
    <row r="302" spans="1:10">
      <c r="C302" s="438" t="s">
        <v>375</v>
      </c>
      <c r="E302" s="271">
        <v>127003</v>
      </c>
      <c r="F302" s="308" t="s">
        <v>343</v>
      </c>
      <c r="G302" s="309" t="s">
        <v>328</v>
      </c>
      <c r="I302" s="271">
        <v>127003</v>
      </c>
      <c r="J302" s="458" t="s">
        <v>344</v>
      </c>
    </row>
    <row r="303" spans="1:10">
      <c r="C303" s="438" t="s">
        <v>375</v>
      </c>
      <c r="E303" s="271">
        <v>128003</v>
      </c>
      <c r="F303" s="308" t="s">
        <v>343</v>
      </c>
      <c r="G303" s="309" t="s">
        <v>328</v>
      </c>
      <c r="I303" s="271">
        <v>128003</v>
      </c>
      <c r="J303" s="458" t="s">
        <v>344</v>
      </c>
    </row>
    <row r="304" spans="1:10">
      <c r="C304" s="438" t="s">
        <v>375</v>
      </c>
      <c r="E304" s="271">
        <v>129003</v>
      </c>
      <c r="F304" s="308" t="s">
        <v>343</v>
      </c>
      <c r="G304" s="309" t="s">
        <v>328</v>
      </c>
      <c r="I304" s="271">
        <v>129003</v>
      </c>
      <c r="J304" s="458" t="s">
        <v>344</v>
      </c>
    </row>
    <row r="305" spans="3:10">
      <c r="C305" s="438" t="s">
        <v>375</v>
      </c>
      <c r="E305" s="271">
        <v>130103</v>
      </c>
      <c r="F305" s="308" t="s">
        <v>343</v>
      </c>
      <c r="G305" s="309" t="s">
        <v>328</v>
      </c>
      <c r="I305" s="271">
        <v>130103</v>
      </c>
      <c r="J305" s="458" t="s">
        <v>344</v>
      </c>
    </row>
    <row r="306" spans="3:10">
      <c r="C306" s="438" t="s">
        <v>375</v>
      </c>
      <c r="E306" s="271">
        <v>130203</v>
      </c>
      <c r="F306" s="308" t="s">
        <v>343</v>
      </c>
      <c r="G306" s="309" t="s">
        <v>328</v>
      </c>
      <c r="I306" s="271">
        <v>130203</v>
      </c>
      <c r="J306" s="458" t="s">
        <v>344</v>
      </c>
    </row>
    <row r="307" spans="3:10">
      <c r="C307" s="438" t="s">
        <v>375</v>
      </c>
      <c r="E307" s="271">
        <v>130303</v>
      </c>
      <c r="F307" s="308" t="s">
        <v>343</v>
      </c>
      <c r="G307" s="309" t="s">
        <v>328</v>
      </c>
      <c r="I307" s="271">
        <v>130303</v>
      </c>
      <c r="J307" s="458" t="s">
        <v>344</v>
      </c>
    </row>
    <row r="308" spans="3:10">
      <c r="C308" s="438" t="s">
        <v>375</v>
      </c>
      <c r="E308" s="271">
        <v>130403</v>
      </c>
      <c r="F308" s="308" t="s">
        <v>343</v>
      </c>
      <c r="G308" s="309" t="s">
        <v>328</v>
      </c>
      <c r="I308" s="271">
        <v>130403</v>
      </c>
      <c r="J308" s="458" t="s">
        <v>344</v>
      </c>
    </row>
    <row r="309" spans="3:10">
      <c r="C309" s="438" t="s">
        <v>375</v>
      </c>
      <c r="E309" s="271">
        <v>130503</v>
      </c>
      <c r="F309" s="308" t="s">
        <v>343</v>
      </c>
      <c r="G309" s="309" t="s">
        <v>328</v>
      </c>
      <c r="I309" s="271">
        <v>130503</v>
      </c>
      <c r="J309" s="458" t="s">
        <v>344</v>
      </c>
    </row>
    <row r="310" spans="3:10">
      <c r="C310" s="438" t="s">
        <v>375</v>
      </c>
      <c r="E310" s="271">
        <v>130603</v>
      </c>
      <c r="F310" s="308" t="s">
        <v>343</v>
      </c>
      <c r="G310" s="309" t="s">
        <v>328</v>
      </c>
      <c r="I310" s="271">
        <v>130603</v>
      </c>
      <c r="J310" s="458" t="s">
        <v>344</v>
      </c>
    </row>
    <row r="311" spans="3:10">
      <c r="C311" s="438" t="s">
        <v>375</v>
      </c>
      <c r="E311" s="271">
        <v>130703</v>
      </c>
      <c r="F311" s="308" t="s">
        <v>343</v>
      </c>
      <c r="G311" s="309" t="s">
        <v>328</v>
      </c>
      <c r="I311" s="271">
        <v>130703</v>
      </c>
      <c r="J311" s="458" t="s">
        <v>344</v>
      </c>
    </row>
    <row r="312" spans="3:10">
      <c r="C312" s="438" t="s">
        <v>375</v>
      </c>
      <c r="E312" s="271">
        <v>130803</v>
      </c>
      <c r="F312" s="308" t="s">
        <v>343</v>
      </c>
      <c r="G312" s="309" t="s">
        <v>328</v>
      </c>
      <c r="I312" s="271">
        <v>130803</v>
      </c>
      <c r="J312" s="458" t="s">
        <v>344</v>
      </c>
    </row>
    <row r="313" spans="3:10">
      <c r="C313" s="438" t="s">
        <v>375</v>
      </c>
      <c r="E313" s="271">
        <v>131003</v>
      </c>
      <c r="F313" s="308" t="s">
        <v>343</v>
      </c>
      <c r="G313" s="309" t="s">
        <v>328</v>
      </c>
      <c r="I313" s="271">
        <v>131003</v>
      </c>
      <c r="J313" s="458" t="s">
        <v>344</v>
      </c>
    </row>
    <row r="314" spans="3:10">
      <c r="C314" s="438" t="s">
        <v>375</v>
      </c>
      <c r="E314" s="271">
        <v>131103</v>
      </c>
      <c r="F314" s="308" t="s">
        <v>343</v>
      </c>
      <c r="G314" s="309" t="s">
        <v>328</v>
      </c>
      <c r="I314" s="271">
        <v>131103</v>
      </c>
      <c r="J314" s="458" t="s">
        <v>344</v>
      </c>
    </row>
    <row r="315" spans="3:10">
      <c r="C315" s="438" t="s">
        <v>375</v>
      </c>
      <c r="E315" s="271">
        <v>132003</v>
      </c>
      <c r="F315" s="308" t="s">
        <v>343</v>
      </c>
      <c r="G315" s="309" t="s">
        <v>328</v>
      </c>
      <c r="I315" s="271">
        <v>132003</v>
      </c>
      <c r="J315" s="458" t="s">
        <v>344</v>
      </c>
    </row>
    <row r="316" spans="3:10">
      <c r="C316" s="438" t="s">
        <v>375</v>
      </c>
      <c r="E316" s="271">
        <v>132103</v>
      </c>
      <c r="F316" s="308" t="s">
        <v>343</v>
      </c>
      <c r="G316" s="309" t="s">
        <v>328</v>
      </c>
      <c r="I316" s="271">
        <v>132103</v>
      </c>
      <c r="J316" s="458" t="s">
        <v>344</v>
      </c>
    </row>
    <row r="317" spans="3:10">
      <c r="C317" s="438" t="s">
        <v>375</v>
      </c>
      <c r="E317" s="271">
        <v>132203</v>
      </c>
      <c r="F317" s="308" t="s">
        <v>343</v>
      </c>
      <c r="G317" s="309" t="s">
        <v>328</v>
      </c>
      <c r="I317" s="271">
        <v>132203</v>
      </c>
      <c r="J317" s="458" t="s">
        <v>344</v>
      </c>
    </row>
    <row r="318" spans="3:10">
      <c r="C318" s="438" t="s">
        <v>375</v>
      </c>
      <c r="E318" s="271">
        <v>140103</v>
      </c>
      <c r="F318" s="308" t="s">
        <v>343</v>
      </c>
      <c r="G318" s="309" t="s">
        <v>328</v>
      </c>
      <c r="I318" s="271">
        <v>140103</v>
      </c>
      <c r="J318" s="458" t="s">
        <v>344</v>
      </c>
    </row>
    <row r="319" spans="3:10">
      <c r="C319" s="438" t="s">
        <v>375</v>
      </c>
      <c r="E319" s="271">
        <v>140203</v>
      </c>
      <c r="F319" s="308" t="s">
        <v>343</v>
      </c>
      <c r="G319" s="309" t="s">
        <v>328</v>
      </c>
      <c r="I319" s="271">
        <v>140203</v>
      </c>
      <c r="J319" s="458" t="s">
        <v>344</v>
      </c>
    </row>
    <row r="320" spans="3:10">
      <c r="C320" s="438" t="s">
        <v>375</v>
      </c>
      <c r="E320" s="271">
        <v>140303</v>
      </c>
      <c r="F320" s="308" t="s">
        <v>343</v>
      </c>
      <c r="G320" s="309" t="s">
        <v>328</v>
      </c>
      <c r="I320" s="271">
        <v>140303</v>
      </c>
      <c r="J320" s="458" t="s">
        <v>344</v>
      </c>
    </row>
    <row r="321" spans="3:10">
      <c r="C321" s="438" t="s">
        <v>375</v>
      </c>
      <c r="E321" s="271">
        <v>140403</v>
      </c>
      <c r="F321" s="308" t="s">
        <v>343</v>
      </c>
      <c r="G321" s="309" t="s">
        <v>328</v>
      </c>
      <c r="I321" s="271">
        <v>140403</v>
      </c>
      <c r="J321" s="458" t="s">
        <v>344</v>
      </c>
    </row>
    <row r="322" spans="3:10">
      <c r="C322" s="438" t="s">
        <v>375</v>
      </c>
      <c r="E322" s="271">
        <v>150103</v>
      </c>
      <c r="F322" s="308" t="s">
        <v>343</v>
      </c>
      <c r="G322" s="309" t="s">
        <v>328</v>
      </c>
      <c r="I322" s="271">
        <v>150103</v>
      </c>
      <c r="J322" s="458" t="s">
        <v>344</v>
      </c>
    </row>
    <row r="323" spans="3:10">
      <c r="C323" s="438" t="s">
        <v>375</v>
      </c>
      <c r="E323" s="271">
        <v>150203</v>
      </c>
      <c r="F323" s="308" t="s">
        <v>343</v>
      </c>
      <c r="G323" s="309" t="s">
        <v>328</v>
      </c>
      <c r="I323" s="271">
        <v>150203</v>
      </c>
      <c r="J323" s="458" t="s">
        <v>344</v>
      </c>
    </row>
    <row r="324" spans="3:10">
      <c r="C324" s="438" t="s">
        <v>375</v>
      </c>
      <c r="E324" s="271">
        <v>150303</v>
      </c>
      <c r="F324" s="308" t="s">
        <v>343</v>
      </c>
      <c r="G324" s="309" t="s">
        <v>328</v>
      </c>
      <c r="I324" s="271">
        <v>150303</v>
      </c>
      <c r="J324" s="458" t="s">
        <v>344</v>
      </c>
    </row>
    <row r="325" spans="3:10">
      <c r="C325" s="438" t="s">
        <v>375</v>
      </c>
      <c r="E325" s="271">
        <v>150403</v>
      </c>
      <c r="F325" s="308" t="s">
        <v>343</v>
      </c>
      <c r="G325" s="309" t="s">
        <v>328</v>
      </c>
      <c r="I325" s="271">
        <v>150403</v>
      </c>
      <c r="J325" s="458" t="s">
        <v>344</v>
      </c>
    </row>
    <row r="326" spans="3:10">
      <c r="C326" s="438" t="s">
        <v>375</v>
      </c>
      <c r="E326" s="271">
        <v>160103</v>
      </c>
      <c r="F326" s="308" t="s">
        <v>343</v>
      </c>
      <c r="G326" s="309" t="s">
        <v>328</v>
      </c>
      <c r="I326" s="271">
        <v>160103</v>
      </c>
      <c r="J326" s="458" t="s">
        <v>344</v>
      </c>
    </row>
    <row r="327" spans="3:10">
      <c r="C327" s="438" t="s">
        <v>375</v>
      </c>
      <c r="E327" s="271">
        <v>160203</v>
      </c>
      <c r="F327" s="308" t="s">
        <v>343</v>
      </c>
      <c r="G327" s="309" t="s">
        <v>328</v>
      </c>
      <c r="I327" s="271">
        <v>160203</v>
      </c>
      <c r="J327" s="458" t="s">
        <v>344</v>
      </c>
    </row>
    <row r="328" spans="3:10">
      <c r="C328" s="438" t="s">
        <v>375</v>
      </c>
      <c r="E328" s="271">
        <v>160303</v>
      </c>
      <c r="F328" s="308" t="s">
        <v>343</v>
      </c>
      <c r="G328" s="309" t="s">
        <v>328</v>
      </c>
      <c r="I328" s="271">
        <v>160303</v>
      </c>
      <c r="J328" s="458" t="s">
        <v>344</v>
      </c>
    </row>
    <row r="329" spans="3:10">
      <c r="C329" s="438" t="s">
        <v>375</v>
      </c>
      <c r="E329" s="271">
        <v>160403</v>
      </c>
      <c r="F329" s="308" t="s">
        <v>343</v>
      </c>
      <c r="G329" s="309" t="s">
        <v>328</v>
      </c>
      <c r="I329" s="271">
        <v>160403</v>
      </c>
      <c r="J329" s="458" t="s">
        <v>344</v>
      </c>
    </row>
    <row r="330" spans="3:10">
      <c r="C330" s="438" t="s">
        <v>375</v>
      </c>
      <c r="E330" s="271">
        <v>160503</v>
      </c>
      <c r="F330" s="308" t="s">
        <v>343</v>
      </c>
      <c r="G330" s="309" t="s">
        <v>328</v>
      </c>
      <c r="I330" s="271">
        <v>160503</v>
      </c>
      <c r="J330" s="458" t="s">
        <v>344</v>
      </c>
    </row>
    <row r="331" spans="3:10">
      <c r="C331" s="438" t="s">
        <v>375</v>
      </c>
      <c r="E331" s="271">
        <v>170003</v>
      </c>
      <c r="F331" s="308" t="s">
        <v>343</v>
      </c>
      <c r="G331" s="309" t="s">
        <v>328</v>
      </c>
      <c r="I331" s="271">
        <v>170003</v>
      </c>
      <c r="J331" s="458" t="s">
        <v>344</v>
      </c>
    </row>
    <row r="332" spans="3:10">
      <c r="C332" s="438" t="s">
        <v>375</v>
      </c>
      <c r="E332" s="271">
        <v>170103</v>
      </c>
      <c r="F332" s="308" t="s">
        <v>343</v>
      </c>
      <c r="G332" s="309" t="s">
        <v>328</v>
      </c>
      <c r="I332" s="271">
        <v>170103</v>
      </c>
      <c r="J332" s="458" t="s">
        <v>344</v>
      </c>
    </row>
    <row r="333" spans="3:10">
      <c r="C333" s="438" t="s">
        <v>375</v>
      </c>
      <c r="E333" s="271">
        <v>170203</v>
      </c>
      <c r="F333" s="308" t="s">
        <v>343</v>
      </c>
      <c r="G333" s="309" t="s">
        <v>328</v>
      </c>
      <c r="I333" s="271">
        <v>170203</v>
      </c>
      <c r="J333" s="458" t="s">
        <v>344</v>
      </c>
    </row>
    <row r="334" spans="3:10">
      <c r="C334" s="438" t="s">
        <v>375</v>
      </c>
      <c r="E334" s="271">
        <v>170303</v>
      </c>
      <c r="F334" s="308" t="s">
        <v>343</v>
      </c>
      <c r="G334" s="309" t="s">
        <v>328</v>
      </c>
      <c r="I334" s="271">
        <v>170303</v>
      </c>
      <c r="J334" s="458" t="s">
        <v>344</v>
      </c>
    </row>
    <row r="335" spans="3:10">
      <c r="C335" s="438" t="s">
        <v>375</v>
      </c>
      <c r="E335" s="271">
        <v>170403</v>
      </c>
      <c r="F335" s="308" t="s">
        <v>343</v>
      </c>
      <c r="G335" s="309" t="s">
        <v>328</v>
      </c>
      <c r="I335" s="271">
        <v>170403</v>
      </c>
      <c r="J335" s="458" t="s">
        <v>344</v>
      </c>
    </row>
    <row r="336" spans="3:10">
      <c r="C336" s="438" t="s">
        <v>375</v>
      </c>
      <c r="E336" s="271">
        <v>170503</v>
      </c>
      <c r="F336" s="308" t="s">
        <v>343</v>
      </c>
      <c r="G336" s="309" t="s">
        <v>328</v>
      </c>
      <c r="I336" s="271">
        <v>170503</v>
      </c>
      <c r="J336" s="458" t="s">
        <v>344</v>
      </c>
    </row>
    <row r="337" spans="1:10">
      <c r="C337" s="438" t="s">
        <v>375</v>
      </c>
      <c r="E337" s="271">
        <v>200103</v>
      </c>
      <c r="F337" s="308" t="s">
        <v>343</v>
      </c>
      <c r="G337" s="309" t="s">
        <v>328</v>
      </c>
      <c r="I337" s="271">
        <v>200103</v>
      </c>
      <c r="J337" s="458" t="s">
        <v>344</v>
      </c>
    </row>
    <row r="338" spans="1:10">
      <c r="C338" s="438" t="s">
        <v>375</v>
      </c>
      <c r="E338" s="271">
        <v>210003</v>
      </c>
      <c r="F338" s="308" t="s">
        <v>343</v>
      </c>
      <c r="G338" s="309" t="s">
        <v>328</v>
      </c>
      <c r="I338" s="271">
        <v>210003</v>
      </c>
      <c r="J338" s="458" t="s">
        <v>344</v>
      </c>
    </row>
    <row r="339" spans="1:10">
      <c r="C339" s="438" t="s">
        <v>375</v>
      </c>
      <c r="E339" s="271">
        <v>240003</v>
      </c>
      <c r="F339" s="308" t="s">
        <v>343</v>
      </c>
      <c r="G339" s="309" t="s">
        <v>328</v>
      </c>
      <c r="I339" s="271">
        <v>240003</v>
      </c>
      <c r="J339" s="458" t="s">
        <v>344</v>
      </c>
    </row>
    <row r="340" spans="1:10">
      <c r="C340" s="438" t="s">
        <v>375</v>
      </c>
      <c r="E340" s="271">
        <v>300103</v>
      </c>
      <c r="F340" s="308" t="s">
        <v>343</v>
      </c>
      <c r="G340" s="309" t="s">
        <v>328</v>
      </c>
      <c r="I340" s="271">
        <v>300103</v>
      </c>
      <c r="J340" s="458" t="s">
        <v>344</v>
      </c>
    </row>
    <row r="341" spans="1:10">
      <c r="C341" s="438" t="s">
        <v>375</v>
      </c>
      <c r="E341" s="271">
        <v>302003</v>
      </c>
      <c r="F341" s="308" t="s">
        <v>343</v>
      </c>
      <c r="G341" s="309" t="s">
        <v>328</v>
      </c>
      <c r="I341" s="271">
        <v>302003</v>
      </c>
      <c r="J341" s="458" t="s">
        <v>344</v>
      </c>
    </row>
    <row r="342" spans="1:10">
      <c r="C342" s="438" t="s">
        <v>375</v>
      </c>
      <c r="E342" s="271">
        <v>303003</v>
      </c>
      <c r="F342" s="308" t="s">
        <v>343</v>
      </c>
      <c r="G342" s="309" t="s">
        <v>328</v>
      </c>
      <c r="I342" s="271">
        <v>303003</v>
      </c>
      <c r="J342" s="458" t="s">
        <v>344</v>
      </c>
    </row>
    <row r="343" spans="1:10">
      <c r="C343" s="438" t="s">
        <v>375</v>
      </c>
      <c r="E343" s="271">
        <v>305003</v>
      </c>
      <c r="F343" s="308" t="s">
        <v>343</v>
      </c>
      <c r="G343" s="309" t="s">
        <v>328</v>
      </c>
      <c r="I343" s="271">
        <v>305003</v>
      </c>
      <c r="J343" s="458" t="s">
        <v>344</v>
      </c>
    </row>
    <row r="344" spans="1:10">
      <c r="C344" s="438" t="s">
        <v>375</v>
      </c>
      <c r="E344" s="271">
        <v>309103</v>
      </c>
      <c r="F344" s="308" t="s">
        <v>343</v>
      </c>
      <c r="G344" s="309" t="s">
        <v>328</v>
      </c>
      <c r="I344" s="271">
        <v>309103</v>
      </c>
      <c r="J344" s="458" t="s">
        <v>344</v>
      </c>
    </row>
    <row r="345" spans="1:10">
      <c r="C345" s="438" t="s">
        <v>375</v>
      </c>
      <c r="E345" s="271">
        <v>310103</v>
      </c>
      <c r="F345" s="308" t="s">
        <v>343</v>
      </c>
      <c r="G345" s="309" t="s">
        <v>328</v>
      </c>
      <c r="I345" s="271">
        <v>310103</v>
      </c>
      <c r="J345" s="458" t="s">
        <v>344</v>
      </c>
    </row>
    <row r="346" spans="1:10">
      <c r="C346" s="438" t="s">
        <v>375</v>
      </c>
      <c r="E346" s="271">
        <v>320103</v>
      </c>
      <c r="F346" s="308" t="s">
        <v>343</v>
      </c>
      <c r="G346" s="309" t="s">
        <v>328</v>
      </c>
      <c r="I346" s="271">
        <v>320103</v>
      </c>
      <c r="J346" s="458" t="s">
        <v>344</v>
      </c>
    </row>
    <row r="347" spans="1:10">
      <c r="C347" s="438" t="s">
        <v>375</v>
      </c>
      <c r="E347" s="271">
        <v>400103</v>
      </c>
      <c r="F347" s="308" t="s">
        <v>343</v>
      </c>
      <c r="G347" s="309" t="s">
        <v>328</v>
      </c>
      <c r="I347" s="271">
        <v>400103</v>
      </c>
      <c r="J347" s="458" t="s">
        <v>344</v>
      </c>
    </row>
    <row r="348" spans="1:10" s="258" customFormat="1">
      <c r="A348" s="443"/>
      <c r="B348" s="443"/>
      <c r="C348" s="443"/>
      <c r="D348" s="443"/>
      <c r="F348" s="315"/>
      <c r="G348" s="440"/>
      <c r="J348" s="459"/>
    </row>
    <row r="349" spans="1:10">
      <c r="C349" s="437" t="s">
        <v>375</v>
      </c>
      <c r="E349" s="258">
        <v>170701</v>
      </c>
      <c r="F349" s="264" t="s">
        <v>213</v>
      </c>
      <c r="G349" s="260" t="s">
        <v>180</v>
      </c>
      <c r="I349" s="258">
        <v>170701</v>
      </c>
      <c r="J349" s="460" t="s">
        <v>383</v>
      </c>
    </row>
    <row r="350" spans="1:10" s="434" customFormat="1">
      <c r="A350" s="438"/>
      <c r="B350" s="438"/>
      <c r="C350" s="437" t="s">
        <v>375</v>
      </c>
      <c r="D350" s="437"/>
      <c r="E350" s="434">
        <v>170706</v>
      </c>
      <c r="I350" s="434">
        <v>170706</v>
      </c>
      <c r="J350" s="460" t="s">
        <v>383</v>
      </c>
    </row>
    <row r="351" spans="1:10" s="434" customFormat="1">
      <c r="A351" s="438"/>
      <c r="B351" s="438"/>
      <c r="C351" s="437" t="s">
        <v>375</v>
      </c>
      <c r="D351" s="437"/>
      <c r="E351" s="434">
        <v>170707</v>
      </c>
      <c r="I351" s="434">
        <v>170707</v>
      </c>
      <c r="J351" s="460" t="s">
        <v>383</v>
      </c>
    </row>
    <row r="352" spans="1:10" s="434" customFormat="1">
      <c r="A352" s="438"/>
      <c r="B352" s="438"/>
      <c r="C352" s="437" t="s">
        <v>375</v>
      </c>
      <c r="D352" s="437"/>
      <c r="E352" s="434">
        <v>170709</v>
      </c>
      <c r="I352" s="434">
        <v>170709</v>
      </c>
      <c r="J352" s="460" t="s">
        <v>383</v>
      </c>
    </row>
    <row r="353" spans="1:10" s="434" customFormat="1">
      <c r="A353" s="438"/>
      <c r="B353" s="438"/>
      <c r="C353" s="437" t="s">
        <v>375</v>
      </c>
      <c r="D353" s="437"/>
      <c r="E353" s="434">
        <v>170710</v>
      </c>
      <c r="I353" s="434">
        <v>170710</v>
      </c>
      <c r="J353" s="460" t="s">
        <v>383</v>
      </c>
    </row>
    <row r="354" spans="1:10" s="434" customFormat="1">
      <c r="A354" s="438"/>
      <c r="B354" s="438"/>
      <c r="C354" s="437" t="s">
        <v>375</v>
      </c>
      <c r="D354" s="437"/>
      <c r="E354" s="434">
        <v>170711</v>
      </c>
      <c r="I354" s="434">
        <v>170711</v>
      </c>
      <c r="J354" s="460" t="s">
        <v>383</v>
      </c>
    </row>
    <row r="355" spans="1:10" s="434" customFormat="1">
      <c r="A355" s="438"/>
      <c r="B355" s="438"/>
      <c r="C355" s="437" t="s">
        <v>375</v>
      </c>
      <c r="D355" s="437"/>
      <c r="E355" s="434">
        <v>170713</v>
      </c>
      <c r="I355" s="434">
        <v>170713</v>
      </c>
      <c r="J355" s="460" t="s">
        <v>383</v>
      </c>
    </row>
    <row r="356" spans="1:10" s="434" customFormat="1">
      <c r="A356" s="438"/>
      <c r="B356" s="438"/>
      <c r="C356" s="437" t="s">
        <v>375</v>
      </c>
      <c r="D356" s="437"/>
      <c r="E356" s="434">
        <v>170715</v>
      </c>
      <c r="I356" s="434">
        <v>170715</v>
      </c>
      <c r="J356" s="460" t="s">
        <v>383</v>
      </c>
    </row>
    <row r="357" spans="1:10" s="434" customFormat="1">
      <c r="A357" s="438"/>
      <c r="B357" s="438"/>
      <c r="C357" s="437" t="s">
        <v>375</v>
      </c>
      <c r="D357" s="437"/>
      <c r="E357" s="434">
        <v>170716</v>
      </c>
      <c r="I357" s="434">
        <v>170716</v>
      </c>
      <c r="J357" s="460" t="s">
        <v>383</v>
      </c>
    </row>
    <row r="358" spans="1:10" s="434" customFormat="1">
      <c r="A358" s="438"/>
      <c r="B358" s="438"/>
      <c r="C358" s="437" t="s">
        <v>375</v>
      </c>
      <c r="D358" s="437"/>
      <c r="E358" s="434">
        <v>170717</v>
      </c>
      <c r="I358" s="434">
        <v>170717</v>
      </c>
      <c r="J358" s="460" t="s">
        <v>383</v>
      </c>
    </row>
    <row r="359" spans="1:10" s="434" customFormat="1">
      <c r="A359" s="438"/>
      <c r="B359" s="438"/>
      <c r="C359" s="437" t="s">
        <v>375</v>
      </c>
      <c r="D359" s="437"/>
      <c r="E359" s="434">
        <v>170718</v>
      </c>
      <c r="I359" s="434">
        <v>170718</v>
      </c>
      <c r="J359" s="460" t="s">
        <v>383</v>
      </c>
    </row>
    <row r="360" spans="1:10" s="434" customFormat="1">
      <c r="A360" s="438"/>
      <c r="B360" s="438"/>
      <c r="C360" s="437" t="s">
        <v>375</v>
      </c>
      <c r="D360" s="437"/>
      <c r="E360" s="434">
        <v>170720</v>
      </c>
      <c r="I360" s="434">
        <v>170720</v>
      </c>
      <c r="J360" s="460" t="s">
        <v>383</v>
      </c>
    </row>
    <row r="361" spans="1:10" s="434" customFormat="1">
      <c r="A361" s="438"/>
      <c r="B361" s="438"/>
      <c r="C361" s="437" t="s">
        <v>375</v>
      </c>
      <c r="D361" s="437"/>
      <c r="E361" s="434">
        <v>170721</v>
      </c>
      <c r="I361" s="434">
        <v>170721</v>
      </c>
      <c r="J361" s="460" t="s">
        <v>383</v>
      </c>
    </row>
    <row r="362" spans="1:10" s="434" customFormat="1">
      <c r="A362" s="438"/>
      <c r="B362" s="438"/>
      <c r="C362" s="437" t="s">
        <v>375</v>
      </c>
      <c r="D362" s="437"/>
      <c r="E362" s="434">
        <v>170722</v>
      </c>
      <c r="I362" s="434">
        <v>170722</v>
      </c>
      <c r="J362" s="460" t="s">
        <v>383</v>
      </c>
    </row>
    <row r="363" spans="1:10" s="434" customFormat="1">
      <c r="A363" s="438"/>
      <c r="B363" s="438"/>
      <c r="C363" s="437" t="s">
        <v>375</v>
      </c>
      <c r="D363" s="437"/>
      <c r="E363" s="434">
        <v>170723</v>
      </c>
      <c r="I363" s="434">
        <v>170723</v>
      </c>
      <c r="J363" s="460" t="s">
        <v>383</v>
      </c>
    </row>
    <row r="364" spans="1:10" s="434" customFormat="1">
      <c r="A364" s="438"/>
      <c r="B364" s="438"/>
      <c r="C364" s="437" t="s">
        <v>375</v>
      </c>
      <c r="D364" s="437"/>
      <c r="E364" s="434">
        <v>170729</v>
      </c>
      <c r="I364" s="434">
        <v>170729</v>
      </c>
      <c r="J364" s="460" t="s">
        <v>383</v>
      </c>
    </row>
    <row r="365" spans="1:10" s="434" customFormat="1">
      <c r="A365" s="438"/>
      <c r="B365" s="438"/>
      <c r="C365" s="437" t="s">
        <v>375</v>
      </c>
      <c r="D365" s="437"/>
      <c r="E365" s="434">
        <v>170730</v>
      </c>
      <c r="I365" s="434">
        <v>170730</v>
      </c>
      <c r="J365" s="460" t="s">
        <v>383</v>
      </c>
    </row>
    <row r="366" spans="1:10" s="434" customFormat="1">
      <c r="A366" s="438"/>
      <c r="B366" s="438"/>
      <c r="C366" s="437" t="s">
        <v>375</v>
      </c>
      <c r="D366" s="437"/>
      <c r="E366" s="434">
        <v>170731</v>
      </c>
      <c r="I366" s="434">
        <v>170731</v>
      </c>
      <c r="J366" s="460" t="s">
        <v>383</v>
      </c>
    </row>
    <row r="367" spans="1:10" s="434" customFormat="1">
      <c r="A367" s="438"/>
      <c r="B367" s="438"/>
      <c r="C367" s="437" t="s">
        <v>375</v>
      </c>
      <c r="D367" s="437"/>
      <c r="E367" s="434">
        <v>170732</v>
      </c>
      <c r="I367" s="434">
        <v>170732</v>
      </c>
      <c r="J367" s="460" t="s">
        <v>383</v>
      </c>
    </row>
    <row r="368" spans="1:10">
      <c r="C368" s="437" t="s">
        <v>375</v>
      </c>
      <c r="E368" s="258">
        <v>181110</v>
      </c>
      <c r="F368" s="264" t="s">
        <v>213</v>
      </c>
      <c r="G368" s="260" t="s">
        <v>180</v>
      </c>
      <c r="I368" s="258">
        <v>181110</v>
      </c>
      <c r="J368" s="460" t="s">
        <v>383</v>
      </c>
    </row>
    <row r="369" spans="1:10" s="434" customFormat="1">
      <c r="A369" s="438">
        <v>45</v>
      </c>
      <c r="B369" s="438" t="s">
        <v>377</v>
      </c>
      <c r="C369" s="437" t="s">
        <v>375</v>
      </c>
      <c r="D369" s="437"/>
      <c r="E369" s="263">
        <v>180100</v>
      </c>
      <c r="F369" s="264" t="s">
        <v>213</v>
      </c>
      <c r="G369" s="260" t="s">
        <v>180</v>
      </c>
      <c r="H369" s="265"/>
      <c r="I369" s="263">
        <v>180100</v>
      </c>
      <c r="J369" s="460" t="s">
        <v>383</v>
      </c>
    </row>
    <row r="370" spans="1:10" s="434" customFormat="1">
      <c r="A370" s="437">
        <v>46</v>
      </c>
      <c r="B370" s="438" t="s">
        <v>377</v>
      </c>
      <c r="C370" s="437" t="s">
        <v>375</v>
      </c>
      <c r="D370" s="437"/>
      <c r="E370" s="263">
        <v>180200</v>
      </c>
      <c r="F370" s="264" t="s">
        <v>213</v>
      </c>
      <c r="G370" s="260" t="s">
        <v>180</v>
      </c>
      <c r="H370" s="265"/>
      <c r="I370" s="263">
        <v>180200</v>
      </c>
      <c r="J370" s="460" t="s">
        <v>383</v>
      </c>
    </row>
    <row r="371" spans="1:10" s="434" customFormat="1">
      <c r="A371" s="438">
        <v>47</v>
      </c>
      <c r="B371" s="438" t="s">
        <v>377</v>
      </c>
      <c r="C371" s="437" t="s">
        <v>375</v>
      </c>
      <c r="D371" s="437"/>
      <c r="E371" s="263">
        <v>180300</v>
      </c>
      <c r="F371" s="264" t="s">
        <v>213</v>
      </c>
      <c r="G371" s="260" t="s">
        <v>180</v>
      </c>
      <c r="H371" s="265"/>
      <c r="I371" s="263">
        <v>180300</v>
      </c>
      <c r="J371" s="460" t="s">
        <v>383</v>
      </c>
    </row>
    <row r="372" spans="1:10" s="434" customFormat="1">
      <c r="A372" s="438">
        <v>48</v>
      </c>
      <c r="B372" s="438" t="s">
        <v>377</v>
      </c>
      <c r="C372" s="437" t="s">
        <v>375</v>
      </c>
      <c r="D372" s="437"/>
      <c r="E372" s="263">
        <v>180600</v>
      </c>
      <c r="F372" s="264" t="s">
        <v>213</v>
      </c>
      <c r="G372" s="260" t="s">
        <v>180</v>
      </c>
      <c r="H372" s="265"/>
      <c r="I372" s="263">
        <v>180600</v>
      </c>
      <c r="J372" s="460" t="s">
        <v>383</v>
      </c>
    </row>
    <row r="373" spans="1:10" s="434" customFormat="1">
      <c r="A373" s="437">
        <v>49</v>
      </c>
      <c r="B373" s="438" t="s">
        <v>377</v>
      </c>
      <c r="C373" s="437" t="s">
        <v>375</v>
      </c>
      <c r="D373" s="437"/>
      <c r="E373" s="263">
        <v>180700</v>
      </c>
      <c r="F373" s="264" t="s">
        <v>213</v>
      </c>
      <c r="G373" s="260" t="s">
        <v>180</v>
      </c>
      <c r="H373" s="265"/>
      <c r="I373" s="263">
        <v>180700</v>
      </c>
      <c r="J373" s="460" t="s">
        <v>383</v>
      </c>
    </row>
    <row r="374" spans="1:10" s="434" customFormat="1">
      <c r="A374" s="438">
        <v>50</v>
      </c>
      <c r="B374" s="438" t="s">
        <v>377</v>
      </c>
      <c r="C374" s="437" t="s">
        <v>375</v>
      </c>
      <c r="D374" s="437"/>
      <c r="E374" s="263">
        <v>180900</v>
      </c>
      <c r="F374" s="264" t="s">
        <v>213</v>
      </c>
      <c r="G374" s="260" t="s">
        <v>180</v>
      </c>
      <c r="H374" s="265"/>
      <c r="I374" s="263">
        <v>180900</v>
      </c>
      <c r="J374" s="460" t="s">
        <v>383</v>
      </c>
    </row>
    <row r="375" spans="1:10" s="434" customFormat="1">
      <c r="A375" s="438">
        <v>51</v>
      </c>
      <c r="B375" s="438" t="s">
        <v>377</v>
      </c>
      <c r="C375" s="437" t="s">
        <v>375</v>
      </c>
      <c r="D375" s="437"/>
      <c r="E375" s="263">
        <v>181000</v>
      </c>
      <c r="F375" s="264" t="s">
        <v>213</v>
      </c>
      <c r="G375" s="260" t="s">
        <v>180</v>
      </c>
      <c r="H375" s="265"/>
      <c r="I375" s="263">
        <v>181000</v>
      </c>
      <c r="J375" s="460" t="s">
        <v>383</v>
      </c>
    </row>
    <row r="376" spans="1:10" s="434" customFormat="1">
      <c r="A376" s="437">
        <v>52</v>
      </c>
      <c r="B376" s="438" t="s">
        <v>377</v>
      </c>
      <c r="C376" s="437" t="s">
        <v>375</v>
      </c>
      <c r="D376" s="437"/>
      <c r="E376" s="263">
        <v>181100</v>
      </c>
      <c r="F376" s="264" t="s">
        <v>213</v>
      </c>
      <c r="G376" s="260" t="s">
        <v>180</v>
      </c>
      <c r="H376" s="265"/>
      <c r="I376" s="263">
        <v>181100</v>
      </c>
      <c r="J376" s="460" t="s">
        <v>383</v>
      </c>
    </row>
    <row r="377" spans="1:10" s="434" customFormat="1">
      <c r="A377" s="438">
        <v>53</v>
      </c>
      <c r="B377" s="438" t="s">
        <v>377</v>
      </c>
      <c r="C377" s="437" t="s">
        <v>375</v>
      </c>
      <c r="D377" s="437"/>
      <c r="E377" s="263">
        <v>181300</v>
      </c>
      <c r="F377" s="264" t="s">
        <v>213</v>
      </c>
      <c r="G377" s="260" t="s">
        <v>180</v>
      </c>
      <c r="H377" s="265"/>
      <c r="I377" s="263">
        <v>181300</v>
      </c>
      <c r="J377" s="460" t="s">
        <v>383</v>
      </c>
    </row>
    <row r="378" spans="1:10" s="434" customFormat="1">
      <c r="A378" s="438">
        <v>54</v>
      </c>
      <c r="B378" s="438" t="s">
        <v>377</v>
      </c>
      <c r="C378" s="437" t="s">
        <v>375</v>
      </c>
      <c r="D378" s="437"/>
      <c r="E378" s="263">
        <v>181500</v>
      </c>
      <c r="F378" s="264" t="s">
        <v>213</v>
      </c>
      <c r="G378" s="260" t="s">
        <v>180</v>
      </c>
      <c r="H378" s="265"/>
      <c r="I378" s="263">
        <v>181500</v>
      </c>
      <c r="J378" s="460" t="s">
        <v>383</v>
      </c>
    </row>
    <row r="379" spans="1:10" s="434" customFormat="1">
      <c r="A379" s="437">
        <v>55</v>
      </c>
      <c r="B379" s="438" t="s">
        <v>377</v>
      </c>
      <c r="C379" s="437" t="s">
        <v>375</v>
      </c>
      <c r="D379" s="437"/>
      <c r="E379" s="263">
        <v>181700</v>
      </c>
      <c r="F379" s="264" t="s">
        <v>213</v>
      </c>
      <c r="G379" s="260" t="s">
        <v>180</v>
      </c>
      <c r="H379" s="265"/>
      <c r="I379" s="263">
        <v>181700</v>
      </c>
      <c r="J379" s="460" t="s">
        <v>383</v>
      </c>
    </row>
    <row r="380" spans="1:10" s="434" customFormat="1">
      <c r="A380" s="438">
        <v>56</v>
      </c>
      <c r="B380" s="438" t="s">
        <v>377</v>
      </c>
      <c r="C380" s="437" t="s">
        <v>375</v>
      </c>
      <c r="D380" s="437"/>
      <c r="E380" s="263">
        <v>181800</v>
      </c>
      <c r="F380" s="264" t="s">
        <v>213</v>
      </c>
      <c r="G380" s="260" t="s">
        <v>180</v>
      </c>
      <c r="H380" s="265"/>
      <c r="I380" s="263">
        <v>181800</v>
      </c>
      <c r="J380" s="460" t="s">
        <v>383</v>
      </c>
    </row>
    <row r="381" spans="1:10" s="434" customFormat="1">
      <c r="A381" s="438">
        <v>57</v>
      </c>
      <c r="B381" s="438" t="s">
        <v>377</v>
      </c>
      <c r="C381" s="437" t="s">
        <v>375</v>
      </c>
      <c r="D381" s="437"/>
      <c r="E381" s="263">
        <v>181900</v>
      </c>
      <c r="F381" s="264" t="s">
        <v>213</v>
      </c>
      <c r="G381" s="260" t="s">
        <v>180</v>
      </c>
      <c r="H381" s="265"/>
      <c r="I381" s="263">
        <v>181900</v>
      </c>
      <c r="J381" s="460" t="s">
        <v>383</v>
      </c>
    </row>
    <row r="382" spans="1:10" s="434" customFormat="1">
      <c r="A382" s="437">
        <v>58</v>
      </c>
      <c r="B382" s="438" t="s">
        <v>377</v>
      </c>
      <c r="C382" s="437" t="s">
        <v>375</v>
      </c>
      <c r="D382" s="437"/>
      <c r="E382" s="263">
        <v>182000</v>
      </c>
      <c r="F382" s="264" t="s">
        <v>213</v>
      </c>
      <c r="G382" s="260" t="s">
        <v>180</v>
      </c>
      <c r="H382" s="265"/>
      <c r="I382" s="263">
        <v>182000</v>
      </c>
      <c r="J382" s="460" t="s">
        <v>383</v>
      </c>
    </row>
    <row r="383" spans="1:10" s="434" customFormat="1">
      <c r="A383" s="438">
        <v>59</v>
      </c>
      <c r="B383" s="438" t="s">
        <v>377</v>
      </c>
      <c r="C383" s="437" t="s">
        <v>375</v>
      </c>
      <c r="D383" s="437"/>
      <c r="E383" s="263">
        <v>182100</v>
      </c>
      <c r="F383" s="264" t="s">
        <v>213</v>
      </c>
      <c r="G383" s="260" t="s">
        <v>180</v>
      </c>
      <c r="H383" s="265"/>
      <c r="I383" s="263">
        <v>182100</v>
      </c>
      <c r="J383" s="460" t="s">
        <v>383</v>
      </c>
    </row>
    <row r="384" spans="1:10" s="434" customFormat="1">
      <c r="A384" s="438">
        <v>60</v>
      </c>
      <c r="B384" s="438" t="s">
        <v>377</v>
      </c>
      <c r="C384" s="437" t="s">
        <v>375</v>
      </c>
      <c r="D384" s="437"/>
      <c r="E384" s="263">
        <v>182500</v>
      </c>
      <c r="F384" s="264" t="s">
        <v>213</v>
      </c>
      <c r="G384" s="260" t="s">
        <v>180</v>
      </c>
      <c r="H384" s="265"/>
      <c r="I384" s="263">
        <v>182500</v>
      </c>
      <c r="J384" s="460" t="s">
        <v>383</v>
      </c>
    </row>
    <row r="385" spans="1:16" s="434" customFormat="1">
      <c r="A385" s="438"/>
      <c r="B385" s="438"/>
      <c r="C385" s="437"/>
      <c r="D385" s="437"/>
      <c r="E385" s="263"/>
      <c r="F385" s="264"/>
      <c r="G385" s="260"/>
      <c r="H385" s="265"/>
      <c r="I385" s="263"/>
      <c r="J385" s="460"/>
    </row>
    <row r="386" spans="1:16" s="434" customFormat="1">
      <c r="A386" s="437">
        <v>82</v>
      </c>
      <c r="B386" s="438" t="s">
        <v>377</v>
      </c>
      <c r="C386" s="437" t="s">
        <v>375</v>
      </c>
      <c r="D386" s="437"/>
      <c r="E386" s="258">
        <v>100130</v>
      </c>
      <c r="F386" s="259">
        <v>100000</v>
      </c>
      <c r="G386" s="260" t="s">
        <v>235</v>
      </c>
      <c r="I386" s="258">
        <v>100130</v>
      </c>
      <c r="J386" s="460" t="s">
        <v>383</v>
      </c>
      <c r="P386" s="267" t="s">
        <v>331</v>
      </c>
    </row>
    <row r="387" spans="1:16" s="434" customFormat="1">
      <c r="A387" s="438">
        <v>131</v>
      </c>
      <c r="B387" s="438" t="s">
        <v>377</v>
      </c>
      <c r="C387" s="437" t="s">
        <v>375</v>
      </c>
      <c r="D387" s="437"/>
      <c r="E387" s="258">
        <v>322100</v>
      </c>
      <c r="F387" s="259">
        <v>100000</v>
      </c>
      <c r="G387" s="260" t="s">
        <v>259</v>
      </c>
      <c r="I387" s="258">
        <v>322100</v>
      </c>
      <c r="J387" s="460" t="s">
        <v>383</v>
      </c>
      <c r="P387" s="434" t="s">
        <v>283</v>
      </c>
    </row>
    <row r="388" spans="1:16" s="434" customFormat="1">
      <c r="A388" s="438">
        <v>132</v>
      </c>
      <c r="B388" s="438" t="s">
        <v>377</v>
      </c>
      <c r="C388" s="437" t="s">
        <v>375</v>
      </c>
      <c r="D388" s="437"/>
      <c r="E388" s="262">
        <v>322300</v>
      </c>
      <c r="F388" s="259">
        <v>100000</v>
      </c>
      <c r="G388" s="260" t="s">
        <v>259</v>
      </c>
      <c r="I388" s="262">
        <v>322300</v>
      </c>
      <c r="J388" s="460" t="s">
        <v>383</v>
      </c>
      <c r="P388" s="267" t="s">
        <v>284</v>
      </c>
    </row>
    <row r="389" spans="1:16" s="434" customFormat="1">
      <c r="A389" s="437">
        <v>136</v>
      </c>
      <c r="B389" s="438" t="s">
        <v>377</v>
      </c>
      <c r="C389" s="437" t="s">
        <v>375</v>
      </c>
      <c r="D389" s="437"/>
      <c r="E389" s="258">
        <v>420102</v>
      </c>
      <c r="F389" s="259">
        <v>100000</v>
      </c>
      <c r="G389" s="260" t="s">
        <v>259</v>
      </c>
      <c r="I389" s="258">
        <v>420102</v>
      </c>
      <c r="J389" s="460" t="s">
        <v>383</v>
      </c>
      <c r="P389" s="434" t="s">
        <v>288</v>
      </c>
    </row>
    <row r="390" spans="1:16" s="434" customFormat="1">
      <c r="A390" s="438">
        <v>161</v>
      </c>
      <c r="B390" s="438" t="s">
        <v>377</v>
      </c>
      <c r="C390" s="437" t="s">
        <v>375</v>
      </c>
      <c r="D390" s="437"/>
      <c r="E390" s="258">
        <v>198100</v>
      </c>
      <c r="F390" s="259">
        <v>100000</v>
      </c>
      <c r="G390" s="260" t="s">
        <v>289</v>
      </c>
      <c r="I390" s="258">
        <v>198100</v>
      </c>
      <c r="J390" s="460" t="s">
        <v>383</v>
      </c>
      <c r="P390" s="434" t="s">
        <v>310</v>
      </c>
    </row>
    <row r="391" spans="1:16" s="434" customFormat="1">
      <c r="A391" s="438">
        <v>108</v>
      </c>
      <c r="B391" s="438"/>
      <c r="C391" s="437" t="s">
        <v>375</v>
      </c>
      <c r="D391" s="437"/>
      <c r="E391" s="258">
        <v>170800</v>
      </c>
      <c r="F391" s="259">
        <v>100000</v>
      </c>
      <c r="G391" s="260" t="s">
        <v>259</v>
      </c>
      <c r="I391" s="258">
        <v>170800</v>
      </c>
      <c r="J391" s="460" t="s">
        <v>383</v>
      </c>
      <c r="P391" s="434" t="s">
        <v>261</v>
      </c>
    </row>
    <row r="392" spans="1:16" s="261" customFormat="1">
      <c r="A392" s="437">
        <v>7</v>
      </c>
      <c r="B392" s="438" t="s">
        <v>376</v>
      </c>
      <c r="C392" s="437" t="s">
        <v>375</v>
      </c>
      <c r="D392" s="437"/>
      <c r="E392" s="271">
        <v>330700</v>
      </c>
      <c r="F392" s="445">
        <v>200000</v>
      </c>
      <c r="G392" s="316" t="s">
        <v>170</v>
      </c>
      <c r="H392" s="258"/>
      <c r="I392" s="271">
        <v>330700</v>
      </c>
      <c r="J392" s="456" t="s">
        <v>383</v>
      </c>
      <c r="K392" s="434"/>
      <c r="P392" s="271" t="s">
        <v>177</v>
      </c>
    </row>
    <row r="393" spans="1:16">
      <c r="A393" s="437">
        <v>43</v>
      </c>
      <c r="B393" s="438" t="s">
        <v>376</v>
      </c>
      <c r="C393" s="437" t="s">
        <v>375</v>
      </c>
      <c r="D393" s="437"/>
      <c r="E393" s="271">
        <v>170600</v>
      </c>
      <c r="F393" s="445">
        <v>100000</v>
      </c>
      <c r="G393" s="316" t="s">
        <v>180</v>
      </c>
      <c r="H393" s="258"/>
      <c r="I393" s="271">
        <v>170600</v>
      </c>
      <c r="J393" s="456" t="s">
        <v>383</v>
      </c>
      <c r="P393" s="271" t="s">
        <v>211</v>
      </c>
    </row>
    <row r="394" spans="1:16">
      <c r="A394" s="438">
        <v>44</v>
      </c>
      <c r="B394" s="438" t="s">
        <v>376</v>
      </c>
      <c r="C394" s="437" t="s">
        <v>375</v>
      </c>
      <c r="D394" s="437"/>
      <c r="E394" s="271">
        <v>170700</v>
      </c>
      <c r="F394" s="445">
        <v>100000</v>
      </c>
      <c r="G394" s="316" t="s">
        <v>180</v>
      </c>
      <c r="H394" s="258"/>
      <c r="I394" s="271">
        <v>170700</v>
      </c>
      <c r="J394" s="456" t="s">
        <v>383</v>
      </c>
      <c r="P394" s="271" t="s">
        <v>212</v>
      </c>
    </row>
    <row r="395" spans="1:16">
      <c r="A395" s="437">
        <v>61</v>
      </c>
      <c r="B395" s="438" t="s">
        <v>376</v>
      </c>
      <c r="C395" s="437" t="s">
        <v>375</v>
      </c>
      <c r="D395" s="437"/>
      <c r="E395" s="271">
        <v>190200</v>
      </c>
      <c r="F395" s="445">
        <v>100000</v>
      </c>
      <c r="G395" s="316" t="s">
        <v>180</v>
      </c>
      <c r="H395" s="258"/>
      <c r="I395" s="271">
        <v>190200</v>
      </c>
      <c r="J395" s="456" t="s">
        <v>383</v>
      </c>
      <c r="P395" s="271" t="s">
        <v>214</v>
      </c>
    </row>
    <row r="396" spans="1:16">
      <c r="A396" s="438">
        <v>62</v>
      </c>
      <c r="B396" s="438" t="s">
        <v>376</v>
      </c>
      <c r="C396" s="437" t="s">
        <v>375</v>
      </c>
      <c r="D396" s="437"/>
      <c r="E396" s="271">
        <v>100114</v>
      </c>
      <c r="F396" s="445">
        <v>100000</v>
      </c>
      <c r="G396" s="316" t="s">
        <v>215</v>
      </c>
      <c r="H396" s="258"/>
      <c r="I396" s="271">
        <v>100114</v>
      </c>
      <c r="J396" s="456" t="s">
        <v>383</v>
      </c>
      <c r="P396" s="271" t="s">
        <v>216</v>
      </c>
    </row>
    <row r="397" spans="1:16">
      <c r="A397" s="437">
        <v>70</v>
      </c>
      <c r="B397" s="438" t="s">
        <v>376</v>
      </c>
      <c r="C397" s="437" t="s">
        <v>375</v>
      </c>
      <c r="D397" s="437"/>
      <c r="E397" s="271">
        <v>130770</v>
      </c>
      <c r="F397" s="445">
        <v>100000</v>
      </c>
      <c r="G397" s="316" t="s">
        <v>215</v>
      </c>
      <c r="H397" s="258"/>
      <c r="I397" s="271">
        <v>130770</v>
      </c>
      <c r="J397" s="456" t="s">
        <v>383</v>
      </c>
      <c r="P397" s="271" t="s">
        <v>224</v>
      </c>
    </row>
    <row r="398" spans="1:16">
      <c r="A398" s="437">
        <v>73</v>
      </c>
      <c r="B398" s="438" t="s">
        <v>376</v>
      </c>
      <c r="C398" s="437" t="s">
        <v>375</v>
      </c>
      <c r="D398" s="437"/>
      <c r="E398" s="271">
        <v>251010</v>
      </c>
      <c r="F398" s="445">
        <v>100000</v>
      </c>
      <c r="G398" s="316" t="s">
        <v>226</v>
      </c>
      <c r="H398" s="258"/>
      <c r="I398" s="271">
        <v>251010</v>
      </c>
      <c r="J398" s="456" t="s">
        <v>383</v>
      </c>
      <c r="P398" s="271" t="s">
        <v>227</v>
      </c>
    </row>
    <row r="399" spans="1:16">
      <c r="A399" s="438">
        <v>104</v>
      </c>
      <c r="B399" s="438" t="s">
        <v>376</v>
      </c>
      <c r="C399" s="437" t="s">
        <v>375</v>
      </c>
      <c r="D399" s="437"/>
      <c r="E399" s="271">
        <v>110110</v>
      </c>
      <c r="F399" s="445">
        <v>100000</v>
      </c>
      <c r="G399" s="316" t="s">
        <v>235</v>
      </c>
      <c r="H399" s="258"/>
      <c r="I399" s="271">
        <v>110110</v>
      </c>
      <c r="J399" s="456" t="s">
        <v>383</v>
      </c>
      <c r="P399" s="271" t="s">
        <v>256</v>
      </c>
    </row>
    <row r="400" spans="1:16">
      <c r="A400" s="438">
        <v>111</v>
      </c>
      <c r="B400" s="438" t="s">
        <v>376</v>
      </c>
      <c r="C400" s="437" t="s">
        <v>375</v>
      </c>
      <c r="D400" s="437"/>
      <c r="E400" s="271">
        <v>411000</v>
      </c>
      <c r="F400" s="445">
        <v>100000</v>
      </c>
      <c r="G400" s="316" t="s">
        <v>259</v>
      </c>
      <c r="H400" s="258"/>
      <c r="I400" s="271">
        <v>411000</v>
      </c>
      <c r="J400" s="456" t="s">
        <v>383</v>
      </c>
      <c r="P400" s="271" t="s">
        <v>264</v>
      </c>
    </row>
    <row r="401" spans="1:16">
      <c r="A401" s="438">
        <v>128</v>
      </c>
      <c r="B401" s="438" t="s">
        <v>376</v>
      </c>
      <c r="C401" s="437" t="s">
        <v>375</v>
      </c>
      <c r="D401" s="437"/>
      <c r="E401" s="271">
        <v>321700</v>
      </c>
      <c r="F401" s="445">
        <v>100000</v>
      </c>
      <c r="G401" s="316" t="s">
        <v>259</v>
      </c>
      <c r="H401" s="258"/>
      <c r="I401" s="271">
        <v>321700</v>
      </c>
      <c r="J401" s="456" t="s">
        <v>383</v>
      </c>
      <c r="P401" s="271" t="s">
        <v>280</v>
      </c>
    </row>
    <row r="402" spans="1:16">
      <c r="A402" s="437">
        <v>139</v>
      </c>
      <c r="B402" s="438" t="s">
        <v>376</v>
      </c>
      <c r="C402" s="437" t="s">
        <v>375</v>
      </c>
      <c r="D402" s="437"/>
      <c r="E402" s="271">
        <v>110102</v>
      </c>
      <c r="F402" s="445">
        <v>100000</v>
      </c>
      <c r="G402" s="316" t="s">
        <v>289</v>
      </c>
      <c r="H402" s="258"/>
      <c r="I402" s="271">
        <v>110102</v>
      </c>
      <c r="J402" s="456" t="s">
        <v>383</v>
      </c>
      <c r="P402" s="271" t="s">
        <v>291</v>
      </c>
    </row>
    <row r="403" spans="1:16">
      <c r="A403" s="438">
        <v>140</v>
      </c>
      <c r="B403" s="438" t="s">
        <v>376</v>
      </c>
      <c r="C403" s="437" t="s">
        <v>375</v>
      </c>
      <c r="D403" s="437"/>
      <c r="E403" s="271">
        <v>198200</v>
      </c>
      <c r="F403" s="445">
        <v>100000</v>
      </c>
      <c r="G403" s="316" t="s">
        <v>289</v>
      </c>
      <c r="H403" s="258"/>
      <c r="I403" s="271">
        <v>198200</v>
      </c>
      <c r="J403" s="456" t="s">
        <v>383</v>
      </c>
      <c r="P403" s="271" t="s">
        <v>292</v>
      </c>
    </row>
    <row r="404" spans="1:16">
      <c r="A404" s="438">
        <v>141</v>
      </c>
      <c r="B404" s="438" t="s">
        <v>376</v>
      </c>
      <c r="C404" s="437" t="s">
        <v>375</v>
      </c>
      <c r="D404" s="437"/>
      <c r="E404" s="271">
        <v>201000</v>
      </c>
      <c r="F404" s="445">
        <v>100000</v>
      </c>
      <c r="G404" s="316" t="s">
        <v>289</v>
      </c>
      <c r="H404" s="258"/>
      <c r="I404" s="271">
        <v>201000</v>
      </c>
      <c r="J404" s="456" t="s">
        <v>383</v>
      </c>
      <c r="P404" s="271" t="s">
        <v>293</v>
      </c>
    </row>
    <row r="405" spans="1:16">
      <c r="A405" s="438">
        <v>144</v>
      </c>
      <c r="B405" s="438" t="s">
        <v>376</v>
      </c>
      <c r="C405" s="437" t="s">
        <v>375</v>
      </c>
      <c r="D405" s="437"/>
      <c r="E405" s="271">
        <v>300110</v>
      </c>
      <c r="F405" s="445">
        <v>100000</v>
      </c>
      <c r="G405" s="316" t="s">
        <v>289</v>
      </c>
      <c r="H405" s="258"/>
      <c r="I405" s="271">
        <v>300110</v>
      </c>
      <c r="J405" s="456" t="s">
        <v>383</v>
      </c>
      <c r="P405" s="271" t="s">
        <v>294</v>
      </c>
    </row>
    <row r="406" spans="1:16">
      <c r="A406" s="438">
        <v>152</v>
      </c>
      <c r="B406" s="438" t="s">
        <v>376</v>
      </c>
      <c r="C406" s="437" t="s">
        <v>375</v>
      </c>
      <c r="D406" s="437"/>
      <c r="E406" s="271">
        <v>309100</v>
      </c>
      <c r="F406" s="445">
        <v>100000</v>
      </c>
      <c r="G406" s="316" t="s">
        <v>289</v>
      </c>
      <c r="H406" s="258"/>
      <c r="I406" s="271">
        <v>309100</v>
      </c>
      <c r="J406" s="456" t="s">
        <v>383</v>
      </c>
      <c r="P406" s="271" t="s">
        <v>302</v>
      </c>
    </row>
    <row r="407" spans="1:16">
      <c r="A407" s="438">
        <v>158</v>
      </c>
      <c r="B407" s="438" t="s">
        <v>376</v>
      </c>
      <c r="C407" s="437" t="s">
        <v>375</v>
      </c>
      <c r="D407" s="437"/>
      <c r="E407" s="271">
        <v>101100</v>
      </c>
      <c r="F407" s="445">
        <v>100000</v>
      </c>
      <c r="G407" s="316" t="s">
        <v>289</v>
      </c>
      <c r="H407" s="258"/>
      <c r="I407" s="271">
        <v>101100</v>
      </c>
      <c r="J407" s="456" t="s">
        <v>383</v>
      </c>
      <c r="P407" s="271" t="s">
        <v>307</v>
      </c>
    </row>
    <row r="408" spans="1:16">
      <c r="A408" s="437">
        <v>160</v>
      </c>
      <c r="B408" s="438" t="s">
        <v>376</v>
      </c>
      <c r="C408" s="437" t="s">
        <v>375</v>
      </c>
      <c r="D408" s="437"/>
      <c r="E408" s="271">
        <v>198000</v>
      </c>
      <c r="F408" s="445">
        <v>100000</v>
      </c>
      <c r="G408" s="316" t="s">
        <v>289</v>
      </c>
      <c r="H408" s="258"/>
      <c r="I408" s="271">
        <v>198000</v>
      </c>
      <c r="J408" s="456" t="s">
        <v>383</v>
      </c>
      <c r="P408" s="271" t="s">
        <v>309</v>
      </c>
    </row>
    <row r="409" spans="1:16">
      <c r="A409" s="438">
        <v>162</v>
      </c>
      <c r="B409" s="438" t="s">
        <v>376</v>
      </c>
      <c r="C409" s="437" t="s">
        <v>375</v>
      </c>
      <c r="D409" s="437"/>
      <c r="E409" s="271">
        <v>220000</v>
      </c>
      <c r="F409" s="445">
        <v>100000</v>
      </c>
      <c r="G409" s="316" t="s">
        <v>289</v>
      </c>
      <c r="H409" s="258"/>
      <c r="I409" s="271">
        <v>220000</v>
      </c>
      <c r="J409" s="456" t="s">
        <v>383</v>
      </c>
      <c r="P409" s="271" t="s">
        <v>382</v>
      </c>
    </row>
    <row r="410" spans="1:16">
      <c r="A410" s="437">
        <v>163</v>
      </c>
      <c r="B410" s="438" t="s">
        <v>376</v>
      </c>
      <c r="C410" s="437" t="s">
        <v>375</v>
      </c>
      <c r="D410" s="437"/>
      <c r="E410" s="271">
        <v>303100</v>
      </c>
      <c r="F410" s="445">
        <v>100000</v>
      </c>
      <c r="G410" s="316" t="s">
        <v>289</v>
      </c>
      <c r="H410" s="258"/>
      <c r="I410" s="271">
        <v>303100</v>
      </c>
      <c r="J410" s="456" t="s">
        <v>383</v>
      </c>
      <c r="P410" s="271" t="s">
        <v>311</v>
      </c>
    </row>
    <row r="411" spans="1:16">
      <c r="A411" s="438">
        <v>171</v>
      </c>
      <c r="B411" s="438" t="s">
        <v>376</v>
      </c>
      <c r="C411" s="437" t="s">
        <v>375</v>
      </c>
      <c r="D411" s="437"/>
      <c r="E411" s="271">
        <v>310800</v>
      </c>
      <c r="F411" s="445">
        <v>100000</v>
      </c>
      <c r="G411" s="316" t="s">
        <v>313</v>
      </c>
      <c r="H411" s="258"/>
      <c r="I411" s="271">
        <v>310800</v>
      </c>
      <c r="J411" s="456" t="s">
        <v>383</v>
      </c>
      <c r="P411" s="271" t="s">
        <v>320</v>
      </c>
    </row>
    <row r="412" spans="1:16">
      <c r="A412" s="438">
        <v>174</v>
      </c>
      <c r="B412" s="438" t="s">
        <v>376</v>
      </c>
      <c r="C412" s="437" t="s">
        <v>375</v>
      </c>
      <c r="D412" s="437"/>
      <c r="E412" s="271">
        <v>313000</v>
      </c>
      <c r="F412" s="445">
        <v>100000</v>
      </c>
      <c r="G412" s="316" t="s">
        <v>313</v>
      </c>
      <c r="H412" s="258"/>
      <c r="I412" s="271">
        <v>313000</v>
      </c>
      <c r="J412" s="456" t="s">
        <v>383</v>
      </c>
      <c r="P412" s="271" t="s">
        <v>323</v>
      </c>
    </row>
    <row r="413" spans="1:16">
      <c r="A413" s="438">
        <v>176</v>
      </c>
      <c r="B413" s="438" t="s">
        <v>376</v>
      </c>
      <c r="C413" s="437" t="s">
        <v>375</v>
      </c>
      <c r="D413" s="437"/>
      <c r="E413" s="271">
        <v>501000</v>
      </c>
      <c r="F413" s="445">
        <v>100000</v>
      </c>
      <c r="G413" s="316" t="s">
        <v>325</v>
      </c>
      <c r="H413" s="258"/>
      <c r="I413" s="271">
        <v>501000</v>
      </c>
      <c r="J413" s="456" t="s">
        <v>383</v>
      </c>
      <c r="P413" s="271" t="s">
        <v>326</v>
      </c>
    </row>
    <row r="414" spans="1:16">
      <c r="A414" s="438">
        <v>177</v>
      </c>
      <c r="B414" s="438" t="s">
        <v>376</v>
      </c>
      <c r="C414" s="437" t="s">
        <v>375</v>
      </c>
      <c r="D414" s="437"/>
      <c r="E414" s="271">
        <v>511100</v>
      </c>
      <c r="F414" s="445">
        <v>100000</v>
      </c>
      <c r="G414" s="316" t="s">
        <v>325</v>
      </c>
      <c r="H414" s="258"/>
      <c r="I414" s="271">
        <v>511100</v>
      </c>
      <c r="J414" s="456" t="s">
        <v>383</v>
      </c>
      <c r="P414" s="271" t="s">
        <v>327</v>
      </c>
    </row>
  </sheetData>
  <sortState ref="A112:K292">
    <sortCondition ref="B112:B29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theme="9" tint="-0.249977111117893"/>
    <pageSetUpPr autoPageBreaks="0" fitToPage="1"/>
  </sheetPr>
  <dimension ref="B1:L60"/>
  <sheetViews>
    <sheetView showGridLines="0" workbookViewId="0">
      <selection activeCell="C13" sqref="C13:F13"/>
    </sheetView>
  </sheetViews>
  <sheetFormatPr defaultColWidth="9.6640625" defaultRowHeight="13.2"/>
  <cols>
    <col min="1" max="1" width="3.33203125" style="12" customWidth="1"/>
    <col min="2" max="2" width="14.88671875" style="12" customWidth="1"/>
    <col min="3" max="3" width="15.44140625" style="12" customWidth="1"/>
    <col min="4" max="4" width="3.6640625" style="12" customWidth="1"/>
    <col min="5" max="5" width="18.6640625" style="12" customWidth="1"/>
    <col min="6" max="6" width="3.6640625" style="12" customWidth="1"/>
    <col min="7" max="7" width="18.6640625" style="12" customWidth="1"/>
    <col min="8" max="8" width="3.6640625" style="12" customWidth="1"/>
    <col min="9" max="9" width="18.6640625" style="12" customWidth="1"/>
    <col min="10" max="10" width="9.33203125" style="12" customWidth="1"/>
    <col min="11" max="11" width="18" style="12" customWidth="1"/>
    <col min="12" max="12" width="1.6640625" style="86" customWidth="1"/>
    <col min="13" max="13" width="2.6640625" style="12" customWidth="1"/>
    <col min="14" max="16384" width="9.6640625" style="12"/>
  </cols>
  <sheetData>
    <row r="1" spans="2:12" ht="5.25" customHeight="1"/>
    <row r="2" spans="2:12" s="7" customFormat="1" ht="15" customHeight="1">
      <c r="B2" s="8" t="s">
        <v>2</v>
      </c>
      <c r="D2" s="9"/>
      <c r="E2" s="9"/>
      <c r="F2" s="9"/>
      <c r="G2" s="9"/>
      <c r="H2" s="9"/>
      <c r="I2" s="9"/>
      <c r="J2" s="10"/>
      <c r="K2" s="10"/>
      <c r="L2" s="87"/>
    </row>
    <row r="3" spans="2:12" ht="5.25" customHeight="1"/>
    <row r="4" spans="2:12" ht="12.75" customHeight="1">
      <c r="B4" s="297" t="s">
        <v>355</v>
      </c>
    </row>
    <row r="5" spans="2:12" s="366" customFormat="1" ht="21.75" customHeight="1">
      <c r="B5" s="14" t="s">
        <v>496</v>
      </c>
      <c r="C5" s="14"/>
      <c r="D5" s="15"/>
      <c r="E5" s="15"/>
      <c r="F5" s="15"/>
      <c r="G5" s="15"/>
      <c r="H5" s="15"/>
      <c r="I5" s="15"/>
      <c r="J5" s="15"/>
      <c r="K5" s="365"/>
      <c r="L5" s="365"/>
    </row>
    <row r="6" spans="2:12" s="16" customFormat="1">
      <c r="B6" s="25"/>
      <c r="D6" s="19"/>
      <c r="E6" s="5"/>
      <c r="F6" s="19"/>
      <c r="G6" s="19"/>
      <c r="H6" s="17"/>
      <c r="I6" s="22"/>
      <c r="J6" s="19"/>
      <c r="K6" s="19"/>
      <c r="L6" s="37"/>
    </row>
    <row r="7" spans="2:12" s="122" customFormat="1" ht="11.4">
      <c r="B7" s="361" t="s">
        <v>353</v>
      </c>
      <c r="D7" s="362"/>
      <c r="E7" s="362"/>
      <c r="F7" s="362"/>
      <c r="G7" s="362"/>
      <c r="H7" s="362"/>
      <c r="I7" s="362"/>
      <c r="J7" s="362"/>
      <c r="K7" s="362"/>
      <c r="L7" s="363"/>
    </row>
    <row r="8" spans="2:12" s="122" customFormat="1" ht="11.4">
      <c r="B8" s="361" t="s">
        <v>350</v>
      </c>
      <c r="D8" s="362"/>
      <c r="E8" s="362"/>
      <c r="F8" s="362"/>
      <c r="G8" s="362"/>
      <c r="H8" s="362"/>
      <c r="I8" s="362"/>
      <c r="J8" s="362"/>
      <c r="K8" s="362"/>
      <c r="L8" s="363"/>
    </row>
    <row r="9" spans="2:12" s="122" customFormat="1" ht="11.4">
      <c r="B9" s="361" t="s">
        <v>354</v>
      </c>
      <c r="D9" s="362"/>
      <c r="E9" s="362"/>
      <c r="F9" s="362"/>
      <c r="G9" s="362"/>
      <c r="H9" s="362"/>
      <c r="I9" s="362"/>
      <c r="J9" s="362"/>
      <c r="K9" s="362"/>
      <c r="L9" s="363"/>
    </row>
    <row r="10" spans="2:12" s="122" customFormat="1" ht="15" customHeight="1">
      <c r="B10" s="361" t="s">
        <v>392</v>
      </c>
      <c r="D10" s="133"/>
      <c r="E10" s="133"/>
      <c r="F10" s="133"/>
      <c r="G10" s="133"/>
      <c r="H10" s="133"/>
      <c r="I10" s="133"/>
      <c r="J10" s="133"/>
      <c r="K10" s="133"/>
      <c r="L10" s="128"/>
    </row>
    <row r="11" spans="2:12" s="122" customFormat="1" ht="15" customHeight="1">
      <c r="B11" s="364" t="s">
        <v>391</v>
      </c>
      <c r="D11" s="133"/>
      <c r="E11" s="133"/>
      <c r="F11" s="133"/>
      <c r="G11" s="133"/>
      <c r="H11" s="133"/>
      <c r="I11" s="133"/>
      <c r="J11" s="133"/>
      <c r="K11" s="133"/>
      <c r="L11" s="128"/>
    </row>
    <row r="12" spans="2:12" s="16" customFormat="1" ht="15" customHeight="1">
      <c r="B12" s="296"/>
      <c r="D12" s="17"/>
      <c r="E12" s="17"/>
      <c r="F12" s="17"/>
      <c r="G12" s="17"/>
      <c r="H12" s="17"/>
      <c r="I12" s="17"/>
      <c r="J12" s="17"/>
      <c r="K12" s="17"/>
      <c r="L12" s="37"/>
    </row>
    <row r="13" spans="2:12" s="122" customFormat="1">
      <c r="B13" s="119" t="s">
        <v>3</v>
      </c>
      <c r="C13" s="762"/>
      <c r="D13" s="763"/>
      <c r="E13" s="763"/>
      <c r="F13" s="763"/>
      <c r="G13" s="120"/>
      <c r="H13" s="121" t="s">
        <v>4</v>
      </c>
      <c r="I13" s="367"/>
      <c r="K13" s="123"/>
      <c r="L13" s="124"/>
    </row>
    <row r="14" spans="2:12" s="122" customFormat="1" ht="12.6" thickBot="1">
      <c r="B14" s="119"/>
      <c r="D14" s="125"/>
      <c r="E14" s="126"/>
      <c r="F14" s="125"/>
      <c r="G14" s="127"/>
      <c r="H14" s="127"/>
      <c r="I14" s="127"/>
      <c r="J14" s="127"/>
      <c r="K14" s="127"/>
      <c r="L14" s="128"/>
    </row>
    <row r="15" spans="2:12" s="122" customFormat="1" ht="12.6" thickBot="1">
      <c r="B15" s="129" t="s">
        <v>60</v>
      </c>
      <c r="D15" s="368"/>
      <c r="E15" s="130" t="s">
        <v>61</v>
      </c>
      <c r="F15" s="368"/>
      <c r="G15" s="129" t="s">
        <v>62</v>
      </c>
      <c r="H15" s="129"/>
      <c r="I15" s="129"/>
      <c r="J15" s="131"/>
      <c r="K15" s="127"/>
      <c r="L15" s="128"/>
    </row>
    <row r="16" spans="2:12" s="122" customFormat="1" ht="12">
      <c r="B16" s="129"/>
      <c r="D16" s="127"/>
      <c r="E16" s="132"/>
      <c r="F16" s="127"/>
      <c r="G16" s="127"/>
      <c r="H16" s="133"/>
      <c r="I16" s="131"/>
      <c r="J16" s="127"/>
      <c r="K16" s="127"/>
      <c r="L16" s="128"/>
    </row>
    <row r="17" spans="2:12" s="122" customFormat="1" ht="12">
      <c r="B17" s="119" t="s">
        <v>71</v>
      </c>
      <c r="D17" s="127"/>
      <c r="E17" s="317"/>
      <c r="F17" s="133"/>
      <c r="G17" s="318" t="e">
        <f>VLOOKUP(E17,Sheet1!E1:F19,2,FALSE)</f>
        <v>#N/A</v>
      </c>
      <c r="H17" s="134"/>
      <c r="I17" s="134"/>
      <c r="J17" s="127"/>
      <c r="K17" s="127"/>
      <c r="L17" s="128"/>
    </row>
    <row r="18" spans="2:12" s="16" customFormat="1" ht="13.8" thickBot="1">
      <c r="B18" s="26"/>
      <c r="D18" s="27"/>
      <c r="E18" s="27"/>
      <c r="F18" s="27"/>
      <c r="G18" s="27"/>
      <c r="H18" s="27"/>
      <c r="I18" s="27"/>
      <c r="J18" s="85"/>
      <c r="K18" s="27"/>
      <c r="L18" s="89"/>
    </row>
    <row r="19" spans="2:12" s="16" customFormat="1" ht="38.25" customHeight="1" thickBot="1">
      <c r="B19" s="107" t="s">
        <v>10</v>
      </c>
      <c r="C19" s="760"/>
      <c r="D19" s="760"/>
      <c r="E19" s="760"/>
      <c r="F19" s="760"/>
      <c r="G19" s="760"/>
      <c r="H19" s="760"/>
      <c r="I19" s="761"/>
      <c r="J19" s="82"/>
      <c r="K19" s="82"/>
      <c r="L19" s="91"/>
    </row>
    <row r="20" spans="2:12" s="16" customFormat="1" ht="9" customHeight="1">
      <c r="C20" s="28"/>
      <c r="D20" s="28"/>
      <c r="E20" s="29"/>
      <c r="F20" s="29"/>
      <c r="G20" s="29"/>
      <c r="H20" s="92"/>
    </row>
    <row r="21" spans="2:12" s="16" customFormat="1">
      <c r="C21" s="28"/>
      <c r="D21" s="28"/>
      <c r="E21" s="29"/>
      <c r="F21" s="29"/>
      <c r="G21" s="29"/>
      <c r="H21" s="92"/>
    </row>
    <row r="22" spans="2:12" s="16" customFormat="1" ht="12.75" customHeight="1">
      <c r="C22" s="28"/>
      <c r="D22" s="28"/>
      <c r="E22" s="29"/>
      <c r="F22" s="29"/>
      <c r="G22" s="29"/>
      <c r="H22" s="92"/>
    </row>
    <row r="23" spans="2:12" s="16" customFormat="1" ht="12.75" customHeight="1">
      <c r="C23" s="28"/>
      <c r="D23" s="28"/>
      <c r="E23" s="29"/>
      <c r="F23" s="29"/>
      <c r="G23" s="29"/>
      <c r="H23" s="92"/>
    </row>
    <row r="24" spans="2:12" s="30" customFormat="1" ht="12.75" customHeight="1">
      <c r="C24" s="31" t="s">
        <v>0</v>
      </c>
      <c r="D24" s="31"/>
      <c r="E24" s="32" t="s">
        <v>72</v>
      </c>
      <c r="F24" s="32"/>
      <c r="G24" s="106"/>
      <c r="H24" s="93"/>
      <c r="I24" s="31" t="s">
        <v>5</v>
      </c>
      <c r="J24" s="106"/>
    </row>
    <row r="25" spans="2:12" s="33" customFormat="1" ht="6" customHeight="1">
      <c r="C25" s="18"/>
      <c r="D25" s="34"/>
      <c r="E25" s="35"/>
      <c r="F25" s="34"/>
      <c r="G25" s="50"/>
      <c r="H25" s="94"/>
    </row>
    <row r="26" spans="2:12" s="16" customFormat="1" ht="18" customHeight="1">
      <c r="B26" s="79">
        <v>1</v>
      </c>
      <c r="C26" s="319"/>
      <c r="D26" s="69"/>
      <c r="E26" s="321"/>
      <c r="F26" s="322"/>
      <c r="G26" s="323"/>
      <c r="H26" s="95"/>
      <c r="I26" s="328"/>
      <c r="J26" s="75"/>
    </row>
    <row r="27" spans="2:12" s="16" customFormat="1" ht="18" customHeight="1">
      <c r="B27" s="79">
        <v>2</v>
      </c>
      <c r="C27" s="320"/>
      <c r="D27" s="70"/>
      <c r="E27" s="324"/>
      <c r="F27" s="325"/>
      <c r="G27" s="326"/>
      <c r="H27" s="95"/>
      <c r="I27" s="329"/>
      <c r="J27" s="75"/>
    </row>
    <row r="28" spans="2:12" s="16" customFormat="1" ht="18" customHeight="1">
      <c r="B28" s="79">
        <v>3</v>
      </c>
      <c r="C28" s="320"/>
      <c r="D28" s="70"/>
      <c r="E28" s="324"/>
      <c r="F28" s="325"/>
      <c r="G28" s="326"/>
      <c r="H28" s="95"/>
      <c r="I28" s="329"/>
      <c r="J28" s="75"/>
    </row>
    <row r="29" spans="2:12" s="16" customFormat="1" ht="18" customHeight="1">
      <c r="B29" s="79">
        <v>4</v>
      </c>
      <c r="C29" s="319"/>
      <c r="D29" s="71"/>
      <c r="E29" s="327"/>
      <c r="F29" s="325"/>
      <c r="G29" s="326"/>
      <c r="H29" s="95"/>
      <c r="I29" s="329"/>
      <c r="J29" s="75"/>
    </row>
    <row r="30" spans="2:12" s="16" customFormat="1" ht="18" customHeight="1">
      <c r="B30" s="79">
        <v>5</v>
      </c>
      <c r="C30" s="319"/>
      <c r="D30" s="71"/>
      <c r="E30" s="327"/>
      <c r="F30" s="325"/>
      <c r="G30" s="326"/>
      <c r="H30" s="95"/>
      <c r="I30" s="329"/>
      <c r="J30" s="75"/>
    </row>
    <row r="31" spans="2:12" s="16" customFormat="1" ht="18" customHeight="1">
      <c r="B31" s="79">
        <v>6</v>
      </c>
      <c r="C31" s="319"/>
      <c r="D31" s="71"/>
      <c r="E31" s="327"/>
      <c r="F31" s="325"/>
      <c r="G31" s="326"/>
      <c r="H31" s="95"/>
      <c r="I31" s="329"/>
      <c r="J31" s="75"/>
    </row>
    <row r="32" spans="2:12" s="16" customFormat="1" ht="18" customHeight="1">
      <c r="B32" s="79">
        <v>7</v>
      </c>
      <c r="C32" s="319"/>
      <c r="D32" s="71"/>
      <c r="E32" s="327"/>
      <c r="F32" s="325"/>
      <c r="G32" s="326"/>
      <c r="H32" s="95"/>
      <c r="I32" s="329"/>
      <c r="J32" s="75"/>
    </row>
    <row r="33" spans="2:12" s="16" customFormat="1" ht="18" customHeight="1">
      <c r="B33" s="79">
        <v>8</v>
      </c>
      <c r="C33" s="319"/>
      <c r="D33" s="71"/>
      <c r="E33" s="327"/>
      <c r="F33" s="325"/>
      <c r="G33" s="326"/>
      <c r="H33" s="95"/>
      <c r="I33" s="329"/>
      <c r="J33" s="75"/>
    </row>
    <row r="34" spans="2:12" s="16" customFormat="1" ht="18" customHeight="1">
      <c r="B34" s="79">
        <v>9</v>
      </c>
      <c r="C34" s="319"/>
      <c r="D34" s="71"/>
      <c r="E34" s="327"/>
      <c r="F34" s="325"/>
      <c r="G34" s="326"/>
      <c r="H34" s="95"/>
      <c r="I34" s="329"/>
      <c r="J34" s="75"/>
    </row>
    <row r="35" spans="2:12" s="16" customFormat="1" ht="18" customHeight="1">
      <c r="B35" s="79">
        <v>10</v>
      </c>
      <c r="C35" s="319"/>
      <c r="D35" s="71"/>
      <c r="E35" s="327"/>
      <c r="F35" s="325"/>
      <c r="G35" s="326"/>
      <c r="H35" s="95"/>
      <c r="I35" s="329"/>
      <c r="J35" s="75"/>
    </row>
    <row r="36" spans="2:12" s="16" customFormat="1" ht="18" customHeight="1">
      <c r="B36" s="79">
        <v>11</v>
      </c>
      <c r="C36" s="319"/>
      <c r="D36" s="71"/>
      <c r="E36" s="327"/>
      <c r="F36" s="325"/>
      <c r="G36" s="326"/>
      <c r="H36" s="95"/>
      <c r="I36" s="329"/>
      <c r="J36" s="75"/>
    </row>
    <row r="37" spans="2:12" s="16" customFormat="1" ht="18" customHeight="1">
      <c r="B37" s="79">
        <v>12</v>
      </c>
      <c r="C37" s="319"/>
      <c r="D37" s="71"/>
      <c r="E37" s="327"/>
      <c r="F37" s="325"/>
      <c r="G37" s="326"/>
      <c r="H37" s="95"/>
      <c r="I37" s="329"/>
      <c r="J37" s="75"/>
    </row>
    <row r="38" spans="2:12" s="16" customFormat="1" ht="18" customHeight="1">
      <c r="B38" s="79">
        <v>13</v>
      </c>
      <c r="C38" s="319"/>
      <c r="D38" s="71"/>
      <c r="E38" s="327"/>
      <c r="F38" s="325"/>
      <c r="G38" s="326"/>
      <c r="H38" s="95"/>
      <c r="I38" s="329"/>
      <c r="J38" s="75"/>
    </row>
    <row r="39" spans="2:12" s="16" customFormat="1" ht="18" customHeight="1">
      <c r="B39" s="79">
        <v>14</v>
      </c>
      <c r="C39" s="319"/>
      <c r="D39" s="71"/>
      <c r="E39" s="327"/>
      <c r="F39" s="325"/>
      <c r="G39" s="326"/>
      <c r="H39" s="95"/>
      <c r="I39" s="329"/>
      <c r="J39" s="75"/>
    </row>
    <row r="40" spans="2:12" s="16" customFormat="1" ht="18" customHeight="1">
      <c r="B40" s="79">
        <v>15</v>
      </c>
      <c r="C40" s="319"/>
      <c r="D40" s="71"/>
      <c r="E40" s="327"/>
      <c r="F40" s="325"/>
      <c r="G40" s="326"/>
      <c r="H40" s="95"/>
      <c r="I40" s="329"/>
      <c r="J40" s="75"/>
    </row>
    <row r="41" spans="2:12" s="16" customFormat="1" ht="18" customHeight="1">
      <c r="B41" s="79">
        <v>16</v>
      </c>
      <c r="C41" s="319"/>
      <c r="D41" s="71"/>
      <c r="E41" s="327"/>
      <c r="F41" s="325"/>
      <c r="G41" s="326"/>
      <c r="H41" s="95"/>
      <c r="I41" s="329"/>
      <c r="J41" s="75"/>
    </row>
    <row r="42" spans="2:12" s="16" customFormat="1" ht="18" customHeight="1">
      <c r="B42" s="79">
        <v>17</v>
      </c>
      <c r="C42" s="319"/>
      <c r="D42" s="71"/>
      <c r="E42" s="327"/>
      <c r="F42" s="325"/>
      <c r="G42" s="326"/>
      <c r="H42" s="95"/>
      <c r="I42" s="329"/>
      <c r="J42" s="75"/>
    </row>
    <row r="43" spans="2:12" s="16" customFormat="1" ht="18" customHeight="1">
      <c r="B43" s="79">
        <v>18</v>
      </c>
      <c r="C43" s="319"/>
      <c r="D43" s="71"/>
      <c r="E43" s="327"/>
      <c r="F43" s="325"/>
      <c r="G43" s="326"/>
      <c r="H43" s="95"/>
      <c r="I43" s="329"/>
      <c r="J43" s="75"/>
    </row>
    <row r="44" spans="2:12" s="16" customFormat="1" ht="18" customHeight="1">
      <c r="B44" s="79">
        <v>19</v>
      </c>
      <c r="C44" s="319"/>
      <c r="D44" s="71"/>
      <c r="E44" s="327"/>
      <c r="F44" s="325"/>
      <c r="G44" s="326"/>
      <c r="H44" s="95"/>
      <c r="I44" s="329"/>
      <c r="J44" s="75"/>
    </row>
    <row r="45" spans="2:12" s="16" customFormat="1" ht="18" customHeight="1">
      <c r="B45" s="79">
        <v>20</v>
      </c>
      <c r="C45" s="319"/>
      <c r="D45" s="71"/>
      <c r="E45" s="327"/>
      <c r="F45" s="325"/>
      <c r="G45" s="326"/>
      <c r="H45" s="95"/>
      <c r="I45" s="329"/>
      <c r="J45" s="75"/>
    </row>
    <row r="46" spans="2:12" s="16" customFormat="1" ht="6.75" customHeight="1">
      <c r="C46" s="17"/>
      <c r="D46" s="17"/>
      <c r="E46" s="17"/>
      <c r="F46" s="17"/>
      <c r="G46" s="52"/>
      <c r="H46" s="95"/>
      <c r="I46" s="108"/>
      <c r="J46" s="75"/>
    </row>
    <row r="47" spans="2:12" s="16" customFormat="1" ht="9" customHeight="1" thickBot="1">
      <c r="C47" s="17"/>
      <c r="D47" s="17"/>
      <c r="E47" s="17"/>
      <c r="F47" s="17"/>
      <c r="G47" s="17"/>
      <c r="H47" s="17"/>
      <c r="I47" s="51"/>
      <c r="J47" s="53"/>
      <c r="K47" s="54"/>
      <c r="L47" s="96"/>
    </row>
    <row r="48" spans="2:12" s="16" customFormat="1" ht="15" customHeight="1" thickBot="1">
      <c r="C48" s="17"/>
      <c r="D48" s="17"/>
      <c r="G48" s="304" t="s">
        <v>59</v>
      </c>
      <c r="H48" s="305"/>
      <c r="I48" s="330">
        <f>SUM(I25:I45)</f>
        <v>0</v>
      </c>
      <c r="K48" s="75"/>
    </row>
    <row r="49" spans="2:12" s="36" customFormat="1" ht="15" customHeight="1" thickBot="1">
      <c r="E49" s="109"/>
      <c r="F49" s="110"/>
      <c r="G49" s="117" t="s">
        <v>73</v>
      </c>
      <c r="H49" s="145"/>
      <c r="I49" s="118"/>
      <c r="K49" s="37"/>
    </row>
    <row r="50" spans="2:12" s="43" customFormat="1" ht="15" customHeight="1">
      <c r="B50" s="112" t="s">
        <v>6</v>
      </c>
      <c r="C50" s="45"/>
      <c r="D50" s="45"/>
      <c r="E50" s="45"/>
      <c r="F50" s="46"/>
      <c r="H50" s="111" t="s">
        <v>9</v>
      </c>
      <c r="I50" s="45"/>
      <c r="K50" s="42"/>
      <c r="L50" s="100"/>
    </row>
    <row r="51" spans="2:12" s="43" customFormat="1" ht="9" customHeight="1">
      <c r="B51" s="112"/>
      <c r="C51" s="47"/>
      <c r="D51" s="47"/>
      <c r="E51" s="47"/>
      <c r="H51" s="112"/>
      <c r="I51" s="32"/>
      <c r="K51" s="83"/>
      <c r="L51" s="101"/>
    </row>
    <row r="52" spans="2:12" s="43" customFormat="1" ht="15" customHeight="1">
      <c r="B52" s="112" t="s">
        <v>7</v>
      </c>
      <c r="C52" s="45"/>
      <c r="D52" s="45"/>
      <c r="E52" s="45"/>
      <c r="F52" s="46"/>
      <c r="H52" s="113" t="s">
        <v>9</v>
      </c>
      <c r="I52" s="48"/>
      <c r="K52" s="83"/>
      <c r="L52" s="101"/>
    </row>
    <row r="53" spans="2:12" s="43" customFormat="1" ht="9" customHeight="1">
      <c r="B53" s="112"/>
      <c r="C53" s="47"/>
      <c r="D53" s="47"/>
      <c r="E53" s="47"/>
      <c r="H53" s="112"/>
      <c r="I53" s="32"/>
      <c r="K53" s="83"/>
      <c r="L53" s="101"/>
    </row>
    <row r="54" spans="2:12" s="43" customFormat="1" ht="15" customHeight="1">
      <c r="B54" s="112" t="s">
        <v>8</v>
      </c>
      <c r="C54" s="45"/>
      <c r="D54" s="45"/>
      <c r="E54" s="45"/>
      <c r="F54" s="46"/>
      <c r="H54" s="113" t="s">
        <v>9</v>
      </c>
      <c r="I54" s="48"/>
      <c r="K54" s="83"/>
      <c r="L54" s="101"/>
    </row>
    <row r="55" spans="2:12" s="43" customFormat="1" ht="9" customHeight="1">
      <c r="B55" s="44"/>
      <c r="C55" s="47"/>
      <c r="D55" s="47"/>
      <c r="E55" s="47"/>
      <c r="J55" s="44"/>
      <c r="K55" s="83"/>
      <c r="L55" s="101"/>
    </row>
    <row r="56" spans="2:12">
      <c r="J56" s="84"/>
      <c r="K56" s="84"/>
    </row>
    <row r="57" spans="2:12">
      <c r="K57" s="84"/>
    </row>
    <row r="58" spans="2:12">
      <c r="K58" s="84"/>
    </row>
    <row r="59" spans="2:12">
      <c r="K59" s="84"/>
    </row>
    <row r="60" spans="2:12">
      <c r="K60" s="84"/>
    </row>
  </sheetData>
  <sheetProtection selectLockedCells="1"/>
  <mergeCells count="2">
    <mergeCell ref="C19:I19"/>
    <mergeCell ref="C13:F13"/>
  </mergeCells>
  <conditionalFormatting sqref="G17">
    <cfRule type="containsText" dxfId="106" priority="1" operator="containsText" text="ERROR">
      <formula>NOT(ISERROR(SEARCH("ERROR",G17)))</formula>
    </cfRule>
    <cfRule type="containsErrors" dxfId="105" priority="2">
      <formula>ISERROR(G17)</formula>
    </cfRule>
    <cfRule type="containsErrors" dxfId="104" priority="3">
      <formula>ISERROR(G17)</formula>
    </cfRule>
  </conditionalFormatting>
  <printOptions horizontalCentered="1"/>
  <pageMargins left="0" right="0" top="0.74803149599999996" bottom="0.74803149599999996" header="0.23622047244094499" footer="0.261811024"/>
  <pageSetup scale="88" orientation="portrait" horizontalDpi="4294967294" verticalDpi="300" r:id="rId1"/>
  <headerFooter alignWithMargins="0">
    <oddFooter>&amp;R&amp;8October 18, 2011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48">
    <tabColor rgb="FFFFC000"/>
    <pageSetUpPr autoPageBreaks="0" fitToPage="1"/>
  </sheetPr>
  <dimension ref="A1:R72"/>
  <sheetViews>
    <sheetView showGridLines="0" workbookViewId="0">
      <selection activeCell="C12" sqref="C12:I12"/>
    </sheetView>
  </sheetViews>
  <sheetFormatPr defaultColWidth="9.6640625" defaultRowHeight="13.2"/>
  <cols>
    <col min="1" max="1" width="2.5546875" style="12" customWidth="1"/>
    <col min="2" max="2" width="15.6640625" style="12" customWidth="1"/>
    <col min="3" max="3" width="1.6640625" style="12" customWidth="1"/>
    <col min="4" max="4" width="22.6640625" style="12" customWidth="1"/>
    <col min="5" max="5" width="1.6640625" style="12" customWidth="1"/>
    <col min="6" max="6" width="14.6640625" style="12" customWidth="1"/>
    <col min="7" max="7" width="1.6640625" style="12" customWidth="1"/>
    <col min="8" max="8" width="14.6640625" style="12" customWidth="1"/>
    <col min="9" max="9" width="1.6640625" style="12" customWidth="1"/>
    <col min="10" max="10" width="14.6640625" style="12" customWidth="1"/>
    <col min="11" max="11" width="1.6640625" style="12" customWidth="1"/>
    <col min="12" max="12" width="14.6640625" style="12" customWidth="1"/>
    <col min="13" max="13" width="1.6640625" style="86" customWidth="1"/>
    <col min="14" max="14" width="14.6640625" style="12" customWidth="1"/>
    <col min="15" max="15" width="1.6640625" style="86" customWidth="1"/>
    <col min="16" max="16" width="14.6640625" style="12" customWidth="1"/>
    <col min="17" max="17" width="2.6640625" style="86" customWidth="1"/>
    <col min="18" max="18" width="2.6640625" style="12" customWidth="1"/>
    <col min="19" max="16384" width="9.6640625" style="12"/>
  </cols>
  <sheetData>
    <row r="1" spans="2:17" ht="5.25" customHeight="1"/>
    <row r="2" spans="2:17" s="7" customFormat="1" ht="15" customHeight="1">
      <c r="B2" s="68" t="s">
        <v>2</v>
      </c>
      <c r="C2" s="9"/>
      <c r="D2" s="9"/>
      <c r="E2" s="9"/>
      <c r="F2" s="9"/>
      <c r="G2" s="9"/>
      <c r="H2" s="9"/>
      <c r="I2" s="10"/>
      <c r="J2" s="11"/>
      <c r="K2" s="10"/>
      <c r="L2" s="10"/>
      <c r="M2" s="87"/>
      <c r="N2" s="87"/>
      <c r="O2" s="87"/>
      <c r="P2" s="87"/>
      <c r="Q2" s="87"/>
    </row>
    <row r="3" spans="2:17" ht="5.25" customHeight="1">
      <c r="N3" s="86"/>
      <c r="P3" s="86"/>
    </row>
    <row r="4" spans="2:17" s="13" customFormat="1" ht="21.75" customHeight="1">
      <c r="B4" s="135" t="s">
        <v>74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88"/>
    </row>
    <row r="5" spans="2:17" s="16" customFormat="1" ht="7.5" customHeight="1">
      <c r="B5" s="25"/>
      <c r="C5" s="19"/>
      <c r="D5" s="5"/>
      <c r="E5" s="19"/>
      <c r="F5" s="19"/>
      <c r="G5" s="17"/>
      <c r="H5" s="22"/>
      <c r="I5" s="19"/>
      <c r="J5" s="24"/>
      <c r="K5" s="19"/>
      <c r="L5" s="19"/>
      <c r="M5" s="37"/>
      <c r="N5" s="37"/>
      <c r="O5" s="37"/>
      <c r="P5" s="37"/>
      <c r="Q5" s="37"/>
    </row>
    <row r="6" spans="2:17" s="36" customFormat="1">
      <c r="B6" s="357" t="s">
        <v>353</v>
      </c>
      <c r="C6" s="358"/>
      <c r="D6" s="358"/>
      <c r="E6" s="359"/>
      <c r="F6" s="359"/>
      <c r="G6" s="359"/>
      <c r="H6" s="359"/>
      <c r="I6" s="359"/>
      <c r="J6" s="359"/>
      <c r="K6" s="359"/>
      <c r="L6" s="359"/>
      <c r="M6" s="89"/>
      <c r="N6" s="89"/>
      <c r="O6" s="89"/>
      <c r="P6" s="89"/>
      <c r="Q6" s="89"/>
    </row>
    <row r="7" spans="2:17" s="36" customFormat="1">
      <c r="B7" s="357" t="s">
        <v>351</v>
      </c>
      <c r="C7" s="358"/>
      <c r="D7" s="358"/>
      <c r="E7" s="359"/>
      <c r="F7" s="359"/>
      <c r="G7" s="359"/>
      <c r="H7" s="359"/>
      <c r="I7" s="359"/>
      <c r="J7" s="359"/>
      <c r="K7" s="359"/>
      <c r="L7" s="359"/>
      <c r="M7" s="89"/>
      <c r="N7" s="89"/>
      <c r="O7" s="89"/>
      <c r="P7" s="89"/>
      <c r="Q7" s="89"/>
    </row>
    <row r="8" spans="2:17" s="36" customFormat="1">
      <c r="B8" s="357" t="s">
        <v>352</v>
      </c>
      <c r="C8" s="358"/>
      <c r="D8" s="358"/>
      <c r="E8" s="359"/>
      <c r="F8" s="359"/>
      <c r="G8" s="359"/>
      <c r="H8" s="359"/>
      <c r="I8" s="359"/>
      <c r="J8" s="359"/>
      <c r="K8" s="359"/>
      <c r="L8" s="359"/>
      <c r="M8" s="89"/>
      <c r="N8" s="89"/>
      <c r="O8" s="89"/>
      <c r="P8" s="89"/>
      <c r="Q8" s="89"/>
    </row>
    <row r="9" spans="2:17" s="36" customFormat="1">
      <c r="B9" s="357" t="s">
        <v>371</v>
      </c>
      <c r="C9" s="358"/>
      <c r="D9" s="358"/>
      <c r="E9" s="359"/>
      <c r="F9" s="359"/>
      <c r="G9" s="359"/>
      <c r="H9" s="359"/>
      <c r="I9" s="359"/>
      <c r="J9" s="359"/>
      <c r="K9" s="359"/>
      <c r="L9" s="359"/>
      <c r="M9" s="89"/>
      <c r="N9" s="89"/>
      <c r="O9" s="89"/>
      <c r="P9" s="89"/>
      <c r="Q9" s="89"/>
    </row>
    <row r="10" spans="2:17" s="36" customFormat="1" ht="15" customHeight="1">
      <c r="B10" s="360" t="s">
        <v>390</v>
      </c>
      <c r="M10" s="37"/>
      <c r="N10" s="37"/>
      <c r="O10" s="37"/>
      <c r="P10" s="37"/>
      <c r="Q10" s="37"/>
    </row>
    <row r="11" spans="2:17" s="16" customFormat="1" ht="7.5" customHeight="1">
      <c r="B11" s="29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37"/>
      <c r="N11" s="37"/>
      <c r="O11" s="37"/>
      <c r="P11" s="37"/>
      <c r="Q11" s="37"/>
    </row>
    <row r="12" spans="2:17" s="16" customFormat="1">
      <c r="B12" s="18" t="s">
        <v>3</v>
      </c>
      <c r="C12" s="768"/>
      <c r="D12" s="769"/>
      <c r="E12" s="769"/>
      <c r="F12" s="769"/>
      <c r="G12" s="769"/>
      <c r="H12" s="769"/>
      <c r="I12" s="769"/>
      <c r="J12" s="19"/>
      <c r="K12" s="20" t="s">
        <v>4</v>
      </c>
      <c r="L12" s="331"/>
      <c r="M12" s="90"/>
      <c r="N12" s="142"/>
      <c r="O12" s="90"/>
      <c r="P12" s="142"/>
      <c r="Q12" s="90"/>
    </row>
    <row r="13" spans="2:17" s="16" customFormat="1" ht="13.8" thickBot="1">
      <c r="B13" s="18"/>
      <c r="C13" s="21"/>
      <c r="D13" s="4"/>
      <c r="E13" s="21"/>
      <c r="F13" s="21"/>
      <c r="G13" s="21"/>
      <c r="H13" s="21"/>
      <c r="I13" s="21"/>
      <c r="J13" s="19"/>
      <c r="K13" s="19"/>
      <c r="L13" s="21"/>
      <c r="M13" s="37"/>
      <c r="N13" s="37"/>
      <c r="O13" s="37"/>
      <c r="P13" s="37"/>
      <c r="Q13" s="37"/>
    </row>
    <row r="14" spans="2:17" s="16" customFormat="1" ht="13.8" thickBot="1">
      <c r="B14" s="22" t="s">
        <v>60</v>
      </c>
      <c r="C14" s="332"/>
      <c r="D14" s="72" t="s">
        <v>63</v>
      </c>
      <c r="E14" s="332"/>
      <c r="F14" s="73" t="s">
        <v>64</v>
      </c>
      <c r="G14" s="23"/>
      <c r="H14" s="73"/>
      <c r="I14" s="23"/>
      <c r="J14" s="74"/>
      <c r="K14" s="19"/>
      <c r="L14" s="19"/>
      <c r="M14" s="37"/>
      <c r="N14" s="37"/>
      <c r="O14" s="37"/>
      <c r="P14" s="37"/>
      <c r="Q14" s="37"/>
    </row>
    <row r="15" spans="2:17" s="16" customFormat="1">
      <c r="B15" s="22"/>
      <c r="C15" s="19"/>
      <c r="D15" s="5"/>
      <c r="E15" s="19"/>
      <c r="F15" s="19"/>
      <c r="G15" s="17"/>
      <c r="H15" s="23"/>
      <c r="I15" s="19"/>
      <c r="J15" s="24"/>
      <c r="K15" s="19"/>
      <c r="L15" s="19"/>
      <c r="M15" s="37"/>
      <c r="N15" s="37"/>
      <c r="O15" s="37"/>
      <c r="P15" s="37"/>
      <c r="Q15" s="37"/>
    </row>
    <row r="16" spans="2:17" s="16" customFormat="1">
      <c r="B16" s="18" t="s">
        <v>81</v>
      </c>
      <c r="C16" s="19"/>
      <c r="D16" s="5"/>
      <c r="E16" s="19"/>
      <c r="F16" s="333"/>
      <c r="G16" s="17"/>
      <c r="H16" s="334" t="e">
        <f>VLOOKUP(F16,Sheet1!E21:F49,2,FALSE)</f>
        <v>#N/A</v>
      </c>
      <c r="I16" s="322"/>
      <c r="J16" s="335"/>
      <c r="K16" s="322"/>
      <c r="L16" s="322"/>
      <c r="M16" s="37"/>
      <c r="N16" s="37"/>
      <c r="O16" s="37"/>
      <c r="P16" s="37"/>
      <c r="Q16" s="37"/>
    </row>
    <row r="17" spans="1:18" s="16" customFormat="1" ht="13.8" thickBot="1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89"/>
      <c r="N17" s="89"/>
      <c r="O17" s="89"/>
      <c r="P17" s="89"/>
      <c r="Q17" s="89"/>
    </row>
    <row r="18" spans="1:18" s="16" customFormat="1" ht="49.5" customHeight="1" thickBot="1">
      <c r="B18" s="81" t="s">
        <v>10</v>
      </c>
      <c r="C18" s="766"/>
      <c r="D18" s="766"/>
      <c r="E18" s="766"/>
      <c r="F18" s="766"/>
      <c r="G18" s="766"/>
      <c r="H18" s="766"/>
      <c r="I18" s="766"/>
      <c r="J18" s="766"/>
      <c r="K18" s="766"/>
      <c r="L18" s="767"/>
      <c r="M18" s="91"/>
      <c r="N18" s="91"/>
      <c r="O18" s="91"/>
      <c r="P18" s="91"/>
      <c r="Q18" s="91"/>
    </row>
    <row r="19" spans="1:18" s="16" customFormat="1" ht="9" customHeight="1">
      <c r="B19" s="28"/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92"/>
      <c r="N19" s="29"/>
      <c r="O19" s="92"/>
      <c r="P19" s="29"/>
      <c r="Q19" s="92"/>
    </row>
    <row r="20" spans="1:18" s="30" customFormat="1" ht="27" customHeight="1">
      <c r="B20" s="55" t="s">
        <v>0</v>
      </c>
      <c r="C20" s="55"/>
      <c r="D20" s="58" t="s">
        <v>58</v>
      </c>
      <c r="E20" s="55"/>
      <c r="F20" s="116" t="s">
        <v>1</v>
      </c>
      <c r="G20" s="93"/>
      <c r="H20" s="116" t="s">
        <v>70</v>
      </c>
      <c r="I20" s="116"/>
      <c r="J20" s="116" t="s">
        <v>57</v>
      </c>
      <c r="K20" s="31"/>
      <c r="L20" s="137" t="s">
        <v>5</v>
      </c>
      <c r="M20" s="93"/>
      <c r="N20" s="137"/>
      <c r="O20" s="93"/>
      <c r="P20" s="764" t="s">
        <v>82</v>
      </c>
      <c r="Q20" s="765"/>
      <c r="R20" s="765"/>
    </row>
    <row r="21" spans="1:18" s="33" customFormat="1" ht="6" customHeight="1">
      <c r="B21" s="18"/>
      <c r="C21" s="34"/>
      <c r="D21" s="35"/>
      <c r="E21" s="34"/>
      <c r="F21" s="23"/>
      <c r="G21" s="23"/>
      <c r="H21" s="114"/>
      <c r="I21" s="115"/>
      <c r="J21" s="114"/>
      <c r="K21" s="50"/>
      <c r="L21" s="50"/>
      <c r="M21" s="94"/>
      <c r="N21" s="50"/>
      <c r="O21" s="94"/>
      <c r="P21" s="50"/>
      <c r="Q21" s="94"/>
    </row>
    <row r="22" spans="1:18" s="16" customFormat="1" ht="21" customHeight="1">
      <c r="A22" s="79">
        <v>1</v>
      </c>
      <c r="B22" s="319"/>
      <c r="C22" s="336"/>
      <c r="D22" s="321"/>
      <c r="E22" s="337"/>
      <c r="F22" s="319"/>
      <c r="G22" s="338"/>
      <c r="H22" s="339"/>
      <c r="I22" s="340"/>
      <c r="J22" s="341">
        <f>H22/9</f>
        <v>0</v>
      </c>
      <c r="K22" s="342"/>
      <c r="L22" s="323"/>
      <c r="M22" s="95"/>
      <c r="Q22" s="148">
        <v>1</v>
      </c>
      <c r="R22" s="102"/>
    </row>
    <row r="23" spans="1:18" s="16" customFormat="1" ht="21" customHeight="1">
      <c r="A23" s="79">
        <v>2</v>
      </c>
      <c r="B23" s="320"/>
      <c r="C23" s="343"/>
      <c r="D23" s="324"/>
      <c r="E23" s="337"/>
      <c r="F23" s="319"/>
      <c r="G23" s="338"/>
      <c r="H23" s="339"/>
      <c r="I23" s="340"/>
      <c r="J23" s="341">
        <f t="shared" ref="J23:J36" si="0">H23/9</f>
        <v>0</v>
      </c>
      <c r="K23" s="342"/>
      <c r="L23" s="344"/>
      <c r="M23" s="95"/>
      <c r="Q23" s="148">
        <v>2</v>
      </c>
      <c r="R23" s="103"/>
    </row>
    <row r="24" spans="1:18" s="16" customFormat="1" ht="21" customHeight="1">
      <c r="A24" s="79">
        <v>3</v>
      </c>
      <c r="B24" s="320"/>
      <c r="C24" s="343"/>
      <c r="D24" s="324"/>
      <c r="E24" s="337"/>
      <c r="F24" s="319"/>
      <c r="G24" s="338"/>
      <c r="H24" s="339"/>
      <c r="I24" s="340"/>
      <c r="J24" s="341">
        <f t="shared" si="0"/>
        <v>0</v>
      </c>
      <c r="K24" s="342"/>
      <c r="L24" s="344"/>
      <c r="M24" s="95"/>
      <c r="Q24" s="148">
        <v>3</v>
      </c>
      <c r="R24" s="103"/>
    </row>
    <row r="25" spans="1:18" s="16" customFormat="1" ht="21" customHeight="1">
      <c r="A25" s="79">
        <v>4</v>
      </c>
      <c r="B25" s="319"/>
      <c r="C25" s="345"/>
      <c r="D25" s="348"/>
      <c r="E25" s="337"/>
      <c r="F25" s="319"/>
      <c r="G25" s="338"/>
      <c r="H25" s="339"/>
      <c r="I25" s="340"/>
      <c r="J25" s="341">
        <f t="shared" si="0"/>
        <v>0</v>
      </c>
      <c r="K25" s="342"/>
      <c r="L25" s="344"/>
      <c r="M25" s="95"/>
      <c r="Q25" s="148">
        <v>4</v>
      </c>
      <c r="R25" s="103"/>
    </row>
    <row r="26" spans="1:18" s="16" customFormat="1" ht="21" customHeight="1">
      <c r="A26" s="79">
        <v>5</v>
      </c>
      <c r="B26" s="319"/>
      <c r="C26" s="345"/>
      <c r="D26" s="348"/>
      <c r="E26" s="337"/>
      <c r="F26" s="319"/>
      <c r="G26" s="338"/>
      <c r="H26" s="339"/>
      <c r="I26" s="340"/>
      <c r="J26" s="341">
        <f t="shared" si="0"/>
        <v>0</v>
      </c>
      <c r="K26" s="342"/>
      <c r="L26" s="344"/>
      <c r="M26" s="95"/>
      <c r="Q26" s="148">
        <v>5</v>
      </c>
      <c r="R26" s="103"/>
    </row>
    <row r="27" spans="1:18" s="16" customFormat="1" ht="21" customHeight="1">
      <c r="A27" s="79">
        <v>6</v>
      </c>
      <c r="B27" s="319"/>
      <c r="C27" s="345"/>
      <c r="D27" s="348"/>
      <c r="E27" s="337"/>
      <c r="F27" s="319"/>
      <c r="G27" s="338"/>
      <c r="H27" s="339"/>
      <c r="I27" s="340"/>
      <c r="J27" s="341">
        <f t="shared" si="0"/>
        <v>0</v>
      </c>
      <c r="K27" s="342"/>
      <c r="L27" s="344"/>
      <c r="M27" s="95"/>
      <c r="Q27" s="148">
        <v>6</v>
      </c>
      <c r="R27" s="103"/>
    </row>
    <row r="28" spans="1:18" s="16" customFormat="1" ht="21" customHeight="1">
      <c r="A28" s="79">
        <v>7</v>
      </c>
      <c r="B28" s="319"/>
      <c r="C28" s="345"/>
      <c r="D28" s="348"/>
      <c r="E28" s="337"/>
      <c r="F28" s="319"/>
      <c r="G28" s="338"/>
      <c r="H28" s="339"/>
      <c r="I28" s="340"/>
      <c r="J28" s="341">
        <f t="shared" si="0"/>
        <v>0</v>
      </c>
      <c r="K28" s="342"/>
      <c r="L28" s="344"/>
      <c r="M28" s="95"/>
      <c r="Q28" s="148">
        <v>7</v>
      </c>
      <c r="R28" s="103"/>
    </row>
    <row r="29" spans="1:18" s="16" customFormat="1" ht="21" customHeight="1">
      <c r="A29" s="79">
        <v>8</v>
      </c>
      <c r="B29" s="319"/>
      <c r="C29" s="345"/>
      <c r="D29" s="348"/>
      <c r="E29" s="337"/>
      <c r="F29" s="319"/>
      <c r="G29" s="338"/>
      <c r="H29" s="339"/>
      <c r="I29" s="340"/>
      <c r="J29" s="341">
        <f t="shared" si="0"/>
        <v>0</v>
      </c>
      <c r="K29" s="342"/>
      <c r="L29" s="344"/>
      <c r="M29" s="95"/>
      <c r="Q29" s="148">
        <v>8</v>
      </c>
      <c r="R29" s="103"/>
    </row>
    <row r="30" spans="1:18" s="16" customFormat="1" ht="21" customHeight="1">
      <c r="A30" s="79">
        <v>9</v>
      </c>
      <c r="B30" s="319"/>
      <c r="C30" s="345"/>
      <c r="D30" s="348"/>
      <c r="E30" s="337"/>
      <c r="F30" s="319"/>
      <c r="G30" s="338"/>
      <c r="H30" s="339"/>
      <c r="I30" s="340"/>
      <c r="J30" s="341">
        <f t="shared" si="0"/>
        <v>0</v>
      </c>
      <c r="K30" s="342"/>
      <c r="L30" s="344"/>
      <c r="M30" s="95"/>
      <c r="Q30" s="148">
        <v>9</v>
      </c>
      <c r="R30" s="103"/>
    </row>
    <row r="31" spans="1:18" s="16" customFormat="1" ht="21" customHeight="1">
      <c r="A31" s="79">
        <v>10</v>
      </c>
      <c r="B31" s="319"/>
      <c r="C31" s="345"/>
      <c r="D31" s="348"/>
      <c r="E31" s="337"/>
      <c r="F31" s="319"/>
      <c r="G31" s="338"/>
      <c r="H31" s="339"/>
      <c r="I31" s="340"/>
      <c r="J31" s="341">
        <f t="shared" si="0"/>
        <v>0</v>
      </c>
      <c r="K31" s="342"/>
      <c r="L31" s="344"/>
      <c r="M31" s="95"/>
      <c r="Q31" s="148">
        <v>10</v>
      </c>
      <c r="R31" s="103"/>
    </row>
    <row r="32" spans="1:18" s="16" customFormat="1" ht="21" customHeight="1">
      <c r="A32" s="79">
        <v>11</v>
      </c>
      <c r="B32" s="319"/>
      <c r="C32" s="345"/>
      <c r="D32" s="348"/>
      <c r="E32" s="337"/>
      <c r="F32" s="319"/>
      <c r="G32" s="338"/>
      <c r="H32" s="339"/>
      <c r="I32" s="340"/>
      <c r="J32" s="341">
        <f t="shared" si="0"/>
        <v>0</v>
      </c>
      <c r="K32" s="342"/>
      <c r="L32" s="344"/>
      <c r="M32" s="95"/>
      <c r="Q32" s="148">
        <v>11</v>
      </c>
      <c r="R32" s="103"/>
    </row>
    <row r="33" spans="1:18" s="16" customFormat="1" ht="21" customHeight="1">
      <c r="A33" s="79">
        <v>12</v>
      </c>
      <c r="B33" s="319"/>
      <c r="C33" s="345"/>
      <c r="D33" s="348"/>
      <c r="E33" s="337"/>
      <c r="F33" s="319"/>
      <c r="G33" s="338"/>
      <c r="H33" s="339"/>
      <c r="I33" s="340"/>
      <c r="J33" s="341">
        <f t="shared" si="0"/>
        <v>0</v>
      </c>
      <c r="K33" s="342"/>
      <c r="L33" s="344"/>
      <c r="M33" s="95"/>
      <c r="Q33" s="148">
        <v>12</v>
      </c>
      <c r="R33" s="103"/>
    </row>
    <row r="34" spans="1:18" s="16" customFormat="1" ht="21" customHeight="1">
      <c r="A34" s="79">
        <v>13</v>
      </c>
      <c r="B34" s="319"/>
      <c r="C34" s="345"/>
      <c r="D34" s="348"/>
      <c r="E34" s="337"/>
      <c r="F34" s="319"/>
      <c r="G34" s="338"/>
      <c r="H34" s="339"/>
      <c r="I34" s="340"/>
      <c r="J34" s="341">
        <f t="shared" si="0"/>
        <v>0</v>
      </c>
      <c r="K34" s="342"/>
      <c r="L34" s="344"/>
      <c r="M34" s="95"/>
      <c r="Q34" s="148">
        <v>13</v>
      </c>
      <c r="R34" s="103"/>
    </row>
    <row r="35" spans="1:18" s="16" customFormat="1" ht="21" customHeight="1">
      <c r="A35" s="79">
        <v>14</v>
      </c>
      <c r="B35" s="319"/>
      <c r="C35" s="345"/>
      <c r="D35" s="348"/>
      <c r="E35" s="337"/>
      <c r="F35" s="319"/>
      <c r="G35" s="338"/>
      <c r="H35" s="339"/>
      <c r="I35" s="340"/>
      <c r="J35" s="341">
        <f t="shared" si="0"/>
        <v>0</v>
      </c>
      <c r="K35" s="342"/>
      <c r="L35" s="344"/>
      <c r="M35" s="95"/>
      <c r="Q35" s="148">
        <v>14</v>
      </c>
      <c r="R35" s="103"/>
    </row>
    <row r="36" spans="1:18" s="16" customFormat="1" ht="21" customHeight="1">
      <c r="A36" s="79">
        <v>15</v>
      </c>
      <c r="B36" s="319"/>
      <c r="C36" s="345"/>
      <c r="D36" s="348"/>
      <c r="E36" s="337"/>
      <c r="F36" s="319"/>
      <c r="G36" s="338"/>
      <c r="H36" s="339"/>
      <c r="I36" s="340"/>
      <c r="J36" s="341">
        <f t="shared" si="0"/>
        <v>0</v>
      </c>
      <c r="K36" s="342"/>
      <c r="L36" s="344"/>
      <c r="M36" s="95"/>
      <c r="Q36" s="148">
        <v>15</v>
      </c>
      <c r="R36" s="103"/>
    </row>
    <row r="37" spans="1:18" s="16" customFormat="1" ht="6.75" customHeight="1">
      <c r="B37" s="17"/>
      <c r="C37" s="17"/>
      <c r="D37" s="379"/>
      <c r="E37" s="17"/>
      <c r="F37" s="19"/>
      <c r="G37" s="19"/>
      <c r="H37" s="51"/>
      <c r="I37" s="51"/>
      <c r="J37" s="51"/>
      <c r="K37" s="52"/>
      <c r="L37" s="52"/>
      <c r="M37" s="95"/>
      <c r="Q37" s="149"/>
      <c r="R37" s="95"/>
    </row>
    <row r="38" spans="1:18" s="16" customFormat="1" ht="9" customHeight="1" thickBot="1">
      <c r="B38" s="17"/>
      <c r="C38" s="17"/>
      <c r="D38" s="379"/>
      <c r="E38" s="17"/>
      <c r="F38" s="17"/>
      <c r="G38" s="17"/>
      <c r="H38" s="53"/>
      <c r="I38" s="53"/>
      <c r="J38" s="53"/>
      <c r="K38" s="54"/>
      <c r="L38" s="54"/>
      <c r="M38" s="96"/>
      <c r="N38" s="96"/>
      <c r="O38" s="96"/>
      <c r="P38" s="96"/>
      <c r="Q38" s="96"/>
      <c r="R38" s="2"/>
    </row>
    <row r="39" spans="1:18" s="16" customFormat="1" ht="15" customHeight="1" thickBot="1">
      <c r="B39" s="143"/>
      <c r="C39" s="17"/>
      <c r="D39" s="379"/>
      <c r="E39" s="17"/>
      <c r="F39" s="17"/>
      <c r="G39" s="17"/>
      <c r="H39" s="53"/>
      <c r="I39" s="53"/>
      <c r="J39" s="146" t="s">
        <v>59</v>
      </c>
      <c r="K39" s="147"/>
      <c r="L39" s="347">
        <f>SUM(L21:L36)</f>
        <v>0</v>
      </c>
      <c r="M39" s="97"/>
      <c r="N39" s="140"/>
      <c r="O39" s="97"/>
      <c r="P39" s="140"/>
      <c r="Q39" s="97"/>
      <c r="R39" s="2"/>
    </row>
    <row r="40" spans="1:18" s="36" customFormat="1" ht="15" customHeight="1" thickBot="1">
      <c r="B40" s="144"/>
      <c r="D40" s="380"/>
      <c r="H40" s="96"/>
      <c r="I40" s="96"/>
      <c r="J40" s="117" t="s">
        <v>73</v>
      </c>
      <c r="K40" s="145"/>
      <c r="L40" s="118"/>
      <c r="M40" s="97"/>
      <c r="N40" s="140"/>
      <c r="O40" s="97"/>
      <c r="P40" s="140"/>
      <c r="Q40" s="97"/>
      <c r="R40" s="6"/>
    </row>
    <row r="41" spans="1:18" s="36" customFormat="1" ht="15" customHeight="1" thickBot="1">
      <c r="B41" s="144" t="s">
        <v>63</v>
      </c>
      <c r="D41" s="380"/>
      <c r="H41" s="37"/>
      <c r="I41" s="37"/>
      <c r="J41" s="38"/>
      <c r="K41" s="39"/>
      <c r="L41" s="40"/>
      <c r="M41" s="41"/>
      <c r="N41" s="40"/>
      <c r="O41" s="41"/>
      <c r="P41" s="40"/>
      <c r="Q41" s="41"/>
      <c r="R41" s="6"/>
    </row>
    <row r="42" spans="1:18" s="36" customFormat="1" ht="15" customHeight="1">
      <c r="A42" s="421" t="s">
        <v>360</v>
      </c>
      <c r="B42" s="56"/>
      <c r="C42" s="56"/>
      <c r="D42" s="381"/>
      <c r="E42" s="56"/>
      <c r="F42" s="56"/>
      <c r="G42" s="56"/>
      <c r="H42" s="56"/>
      <c r="I42" s="56"/>
      <c r="J42" s="422"/>
      <c r="K42" s="59"/>
      <c r="L42" s="423"/>
      <c r="M42" s="59"/>
      <c r="N42" s="423"/>
      <c r="O42" s="59"/>
      <c r="P42" s="424"/>
      <c r="Q42" s="60"/>
      <c r="R42" s="6"/>
    </row>
    <row r="43" spans="1:18" s="36" customFormat="1" ht="15" customHeight="1">
      <c r="A43" s="425" t="s">
        <v>80</v>
      </c>
      <c r="B43" s="57"/>
      <c r="C43" s="57"/>
      <c r="D43" s="213"/>
      <c r="E43" s="57"/>
      <c r="F43" s="57"/>
      <c r="G43" s="57"/>
      <c r="H43" s="57"/>
      <c r="I43" s="57"/>
      <c r="J43" s="426"/>
      <c r="K43" s="60"/>
      <c r="L43" s="427"/>
      <c r="M43" s="60"/>
      <c r="N43" s="427"/>
      <c r="O43" s="60"/>
      <c r="P43" s="428"/>
      <c r="Q43" s="60"/>
      <c r="R43" s="6"/>
    </row>
    <row r="44" spans="1:18" s="43" customFormat="1" ht="33" customHeight="1">
      <c r="A44" s="61"/>
      <c r="B44" s="62" t="s">
        <v>0</v>
      </c>
      <c r="C44" s="62"/>
      <c r="D44" s="63" t="s">
        <v>58</v>
      </c>
      <c r="E44" s="62"/>
      <c r="F44" s="77" t="s">
        <v>69</v>
      </c>
      <c r="G44" s="64"/>
      <c r="H44" s="62" t="s">
        <v>66</v>
      </c>
      <c r="I44" s="64"/>
      <c r="J44" s="62" t="s">
        <v>65</v>
      </c>
      <c r="K44" s="64"/>
      <c r="L44" s="139" t="s">
        <v>75</v>
      </c>
      <c r="M44" s="98"/>
      <c r="N44" s="139" t="s">
        <v>76</v>
      </c>
      <c r="O44" s="98"/>
      <c r="P44" s="138" t="s">
        <v>77</v>
      </c>
      <c r="Q44" s="98"/>
      <c r="R44" s="3"/>
    </row>
    <row r="45" spans="1:18" s="7" customFormat="1" ht="21" customHeight="1">
      <c r="A45" s="80">
        <v>1</v>
      </c>
      <c r="B45" s="346"/>
      <c r="C45" s="336"/>
      <c r="D45" s="348"/>
      <c r="E45" s="336"/>
      <c r="F45" s="346"/>
      <c r="G45" s="336"/>
      <c r="H45" s="346"/>
      <c r="I45" s="336"/>
      <c r="J45" s="346"/>
      <c r="K45" s="349"/>
      <c r="L45" s="350"/>
      <c r="M45" s="351"/>
      <c r="N45" s="350"/>
      <c r="O45" s="351"/>
      <c r="P45" s="352">
        <f t="shared" ref="P45:P50" si="1">+L45+N45</f>
        <v>0</v>
      </c>
      <c r="Q45" s="99"/>
      <c r="R45" s="104"/>
    </row>
    <row r="46" spans="1:18" s="7" customFormat="1" ht="21" customHeight="1">
      <c r="A46" s="80">
        <v>2</v>
      </c>
      <c r="B46" s="353"/>
      <c r="C46" s="336"/>
      <c r="D46" s="327"/>
      <c r="E46" s="336"/>
      <c r="F46" s="353"/>
      <c r="G46" s="336"/>
      <c r="H46" s="353"/>
      <c r="I46" s="336"/>
      <c r="J46" s="353"/>
      <c r="K46" s="349"/>
      <c r="L46" s="354"/>
      <c r="M46" s="351"/>
      <c r="N46" s="354"/>
      <c r="O46" s="351"/>
      <c r="P46" s="355">
        <f t="shared" si="1"/>
        <v>0</v>
      </c>
      <c r="Q46" s="99"/>
      <c r="R46" s="105"/>
    </row>
    <row r="47" spans="1:18" s="7" customFormat="1" ht="21" customHeight="1">
      <c r="A47" s="80">
        <v>3</v>
      </c>
      <c r="B47" s="353"/>
      <c r="C47" s="336"/>
      <c r="D47" s="327"/>
      <c r="E47" s="336"/>
      <c r="F47" s="353"/>
      <c r="G47" s="336"/>
      <c r="H47" s="353"/>
      <c r="I47" s="336"/>
      <c r="J47" s="353"/>
      <c r="K47" s="349"/>
      <c r="L47" s="354"/>
      <c r="M47" s="351"/>
      <c r="N47" s="354"/>
      <c r="O47" s="351"/>
      <c r="P47" s="355">
        <f t="shared" si="1"/>
        <v>0</v>
      </c>
      <c r="Q47" s="99"/>
      <c r="R47" s="105"/>
    </row>
    <row r="48" spans="1:18" s="7" customFormat="1" ht="21" customHeight="1">
      <c r="A48" s="80">
        <v>4</v>
      </c>
      <c r="B48" s="353"/>
      <c r="C48" s="336"/>
      <c r="D48" s="327"/>
      <c r="E48" s="336"/>
      <c r="F48" s="353"/>
      <c r="G48" s="336"/>
      <c r="H48" s="353"/>
      <c r="I48" s="336"/>
      <c r="J48" s="353"/>
      <c r="K48" s="349"/>
      <c r="L48" s="354"/>
      <c r="M48" s="351"/>
      <c r="N48" s="354"/>
      <c r="O48" s="351"/>
      <c r="P48" s="355">
        <f t="shared" si="1"/>
        <v>0</v>
      </c>
      <c r="Q48" s="99"/>
      <c r="R48" s="105"/>
    </row>
    <row r="49" spans="1:18" s="7" customFormat="1" ht="21" customHeight="1">
      <c r="A49" s="80">
        <v>5</v>
      </c>
      <c r="B49" s="353"/>
      <c r="C49" s="336"/>
      <c r="D49" s="327"/>
      <c r="E49" s="336"/>
      <c r="F49" s="353"/>
      <c r="G49" s="336"/>
      <c r="H49" s="353"/>
      <c r="I49" s="336"/>
      <c r="J49" s="353"/>
      <c r="K49" s="349"/>
      <c r="L49" s="354"/>
      <c r="M49" s="351"/>
      <c r="N49" s="354"/>
      <c r="O49" s="351"/>
      <c r="P49" s="355">
        <f t="shared" si="1"/>
        <v>0</v>
      </c>
      <c r="Q49" s="99"/>
      <c r="R49" s="105"/>
    </row>
    <row r="50" spans="1:18" s="7" customFormat="1" ht="21" customHeight="1">
      <c r="A50" s="80">
        <v>6</v>
      </c>
      <c r="B50" s="353"/>
      <c r="C50" s="336"/>
      <c r="D50" s="327"/>
      <c r="E50" s="336"/>
      <c r="F50" s="353"/>
      <c r="G50" s="336"/>
      <c r="H50" s="353"/>
      <c r="I50" s="336"/>
      <c r="J50" s="353"/>
      <c r="K50" s="349"/>
      <c r="L50" s="354"/>
      <c r="M50" s="351"/>
      <c r="N50" s="354"/>
      <c r="O50" s="351"/>
      <c r="P50" s="355">
        <f t="shared" si="1"/>
        <v>0</v>
      </c>
      <c r="Q50" s="99"/>
      <c r="R50" s="105"/>
    </row>
    <row r="51" spans="1:18" s="16" customFormat="1" ht="8.25" customHeight="1" thickBot="1">
      <c r="A51" s="49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141"/>
      <c r="N51" s="78"/>
      <c r="O51" s="141"/>
      <c r="P51" s="76"/>
      <c r="Q51" s="37"/>
      <c r="R51" s="2"/>
    </row>
    <row r="52" spans="1:18" s="16" customFormat="1" ht="15" customHeight="1">
      <c r="A52" s="75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37"/>
      <c r="N52" s="19"/>
      <c r="O52" s="37"/>
      <c r="P52" s="19"/>
      <c r="Q52" s="37"/>
      <c r="R52" s="2"/>
    </row>
    <row r="53" spans="1:18" s="36" customFormat="1" ht="15" customHeight="1" thickBot="1">
      <c r="B53" s="144" t="s">
        <v>64</v>
      </c>
      <c r="H53" s="37"/>
      <c r="I53" s="37"/>
      <c r="J53" s="38"/>
      <c r="K53" s="39"/>
      <c r="L53" s="40"/>
      <c r="M53" s="41"/>
      <c r="N53" s="40"/>
      <c r="O53" s="41"/>
      <c r="P53" s="40"/>
      <c r="Q53" s="41"/>
      <c r="R53" s="6"/>
    </row>
    <row r="54" spans="1:18" s="36" customFormat="1" ht="15" customHeight="1">
      <c r="A54" s="421" t="s">
        <v>361</v>
      </c>
      <c r="B54" s="56"/>
      <c r="C54" s="56"/>
      <c r="D54" s="56"/>
      <c r="E54" s="56"/>
      <c r="F54" s="56"/>
      <c r="G54" s="56"/>
      <c r="H54" s="56"/>
      <c r="I54" s="56"/>
      <c r="J54" s="422"/>
      <c r="K54" s="59"/>
      <c r="L54" s="423"/>
      <c r="M54" s="59"/>
      <c r="N54" s="423"/>
      <c r="O54" s="59"/>
      <c r="P54" s="424"/>
      <c r="Q54" s="60"/>
      <c r="R54" s="6"/>
    </row>
    <row r="55" spans="1:18" s="36" customFormat="1" ht="15" customHeight="1">
      <c r="A55" s="425" t="s">
        <v>80</v>
      </c>
      <c r="B55" s="57"/>
      <c r="C55" s="57"/>
      <c r="D55" s="57"/>
      <c r="E55" s="57"/>
      <c r="F55" s="57"/>
      <c r="G55" s="57"/>
      <c r="H55" s="57"/>
      <c r="I55" s="57"/>
      <c r="J55" s="426"/>
      <c r="K55" s="60"/>
      <c r="L55" s="427"/>
      <c r="M55" s="60"/>
      <c r="N55" s="427"/>
      <c r="O55" s="60"/>
      <c r="P55" s="428"/>
      <c r="Q55" s="60"/>
      <c r="R55" s="6"/>
    </row>
    <row r="56" spans="1:18" s="43" customFormat="1" ht="38.25" customHeight="1">
      <c r="A56" s="61"/>
      <c r="B56" s="62" t="s">
        <v>0</v>
      </c>
      <c r="C56" s="62"/>
      <c r="D56" s="63" t="s">
        <v>58</v>
      </c>
      <c r="E56" s="62"/>
      <c r="F56" s="77" t="s">
        <v>69</v>
      </c>
      <c r="G56" s="64"/>
      <c r="H56" s="62" t="s">
        <v>66</v>
      </c>
      <c r="I56" s="64"/>
      <c r="J56" s="62" t="s">
        <v>65</v>
      </c>
      <c r="K56" s="64"/>
      <c r="L56" s="139" t="s">
        <v>79</v>
      </c>
      <c r="M56" s="98"/>
      <c r="N56" s="139" t="s">
        <v>78</v>
      </c>
      <c r="O56" s="98"/>
      <c r="P56" s="138" t="s">
        <v>77</v>
      </c>
      <c r="Q56" s="98"/>
      <c r="R56" s="3"/>
    </row>
    <row r="57" spans="1:18" s="7" customFormat="1" ht="21" customHeight="1">
      <c r="A57" s="80">
        <v>1</v>
      </c>
      <c r="B57" s="346"/>
      <c r="C57" s="336"/>
      <c r="D57" s="348"/>
      <c r="E57" s="336"/>
      <c r="F57" s="346"/>
      <c r="G57" s="336"/>
      <c r="H57" s="346"/>
      <c r="I57" s="336"/>
      <c r="J57" s="346"/>
      <c r="K57" s="349"/>
      <c r="L57" s="350"/>
      <c r="M57" s="351"/>
      <c r="N57" s="350"/>
      <c r="O57" s="351"/>
      <c r="P57" s="352">
        <f t="shared" ref="P57:P62" si="2">+L57+N57</f>
        <v>0</v>
      </c>
      <c r="Q57" s="99"/>
      <c r="R57" s="104"/>
    </row>
    <row r="58" spans="1:18" s="7" customFormat="1" ht="21" customHeight="1">
      <c r="A58" s="80">
        <v>2</v>
      </c>
      <c r="B58" s="353"/>
      <c r="C58" s="336"/>
      <c r="D58" s="327"/>
      <c r="E58" s="336"/>
      <c r="F58" s="353"/>
      <c r="G58" s="336"/>
      <c r="H58" s="353"/>
      <c r="I58" s="336"/>
      <c r="J58" s="353"/>
      <c r="K58" s="349"/>
      <c r="L58" s="354"/>
      <c r="M58" s="351"/>
      <c r="N58" s="354"/>
      <c r="O58" s="351"/>
      <c r="P58" s="355">
        <f t="shared" si="2"/>
        <v>0</v>
      </c>
      <c r="Q58" s="99"/>
      <c r="R58" s="105"/>
    </row>
    <row r="59" spans="1:18" s="7" customFormat="1" ht="21" customHeight="1">
      <c r="A59" s="80">
        <v>3</v>
      </c>
      <c r="B59" s="353"/>
      <c r="C59" s="336"/>
      <c r="D59" s="327"/>
      <c r="E59" s="336"/>
      <c r="F59" s="353"/>
      <c r="G59" s="336"/>
      <c r="H59" s="353"/>
      <c r="I59" s="336"/>
      <c r="J59" s="353"/>
      <c r="K59" s="349"/>
      <c r="L59" s="354"/>
      <c r="M59" s="351"/>
      <c r="N59" s="354"/>
      <c r="O59" s="351"/>
      <c r="P59" s="355">
        <f t="shared" si="2"/>
        <v>0</v>
      </c>
      <c r="Q59" s="99"/>
      <c r="R59" s="105"/>
    </row>
    <row r="60" spans="1:18" s="7" customFormat="1" ht="21" customHeight="1">
      <c r="A60" s="80">
        <v>4</v>
      </c>
      <c r="B60" s="353"/>
      <c r="C60" s="336"/>
      <c r="D60" s="327"/>
      <c r="E60" s="336"/>
      <c r="F60" s="353"/>
      <c r="G60" s="336"/>
      <c r="H60" s="353"/>
      <c r="I60" s="336"/>
      <c r="J60" s="353"/>
      <c r="K60" s="349"/>
      <c r="L60" s="354"/>
      <c r="M60" s="351"/>
      <c r="N60" s="354"/>
      <c r="O60" s="351"/>
      <c r="P60" s="355">
        <f t="shared" si="2"/>
        <v>0</v>
      </c>
      <c r="Q60" s="99"/>
      <c r="R60" s="105"/>
    </row>
    <row r="61" spans="1:18" s="7" customFormat="1" ht="21" customHeight="1">
      <c r="A61" s="80">
        <v>5</v>
      </c>
      <c r="B61" s="353"/>
      <c r="C61" s="336"/>
      <c r="D61" s="327"/>
      <c r="E61" s="336"/>
      <c r="F61" s="353"/>
      <c r="G61" s="336"/>
      <c r="H61" s="353"/>
      <c r="I61" s="336"/>
      <c r="J61" s="353"/>
      <c r="K61" s="349"/>
      <c r="L61" s="354"/>
      <c r="M61" s="351"/>
      <c r="N61" s="354"/>
      <c r="O61" s="351"/>
      <c r="P61" s="355">
        <f t="shared" si="2"/>
        <v>0</v>
      </c>
      <c r="Q61" s="99"/>
      <c r="R61" s="105"/>
    </row>
    <row r="62" spans="1:18" s="7" customFormat="1" ht="21" customHeight="1">
      <c r="A62" s="80">
        <v>6</v>
      </c>
      <c r="B62" s="353"/>
      <c r="C62" s="336"/>
      <c r="D62" s="327"/>
      <c r="E62" s="336"/>
      <c r="F62" s="353"/>
      <c r="G62" s="336"/>
      <c r="H62" s="353"/>
      <c r="I62" s="336"/>
      <c r="J62" s="353"/>
      <c r="K62" s="349"/>
      <c r="L62" s="354"/>
      <c r="M62" s="351"/>
      <c r="N62" s="354"/>
      <c r="O62" s="351"/>
      <c r="P62" s="355">
        <f t="shared" si="2"/>
        <v>0</v>
      </c>
      <c r="Q62" s="99"/>
      <c r="R62" s="105"/>
    </row>
    <row r="63" spans="1:18" s="16" customFormat="1" ht="8.25" customHeight="1" thickBot="1">
      <c r="A63" s="49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141"/>
      <c r="N63" s="78"/>
      <c r="O63" s="141"/>
      <c r="P63" s="76"/>
      <c r="Q63" s="37"/>
      <c r="R63" s="2"/>
    </row>
    <row r="64" spans="1:18" s="16" customFormat="1" ht="8.25" customHeight="1">
      <c r="A64" s="75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37"/>
      <c r="N64" s="770" t="s">
        <v>67</v>
      </c>
      <c r="O64" s="771"/>
      <c r="P64" s="772"/>
      <c r="Q64" s="37"/>
      <c r="R64" s="2"/>
    </row>
    <row r="65" spans="1:17" s="43" customFormat="1" ht="15" customHeight="1" thickBot="1">
      <c r="A65" s="3"/>
      <c r="B65" s="65" t="s">
        <v>6</v>
      </c>
      <c r="C65" s="45"/>
      <c r="D65" s="45"/>
      <c r="E65" s="45"/>
      <c r="F65" s="46"/>
      <c r="G65" s="45"/>
      <c r="H65" s="45"/>
      <c r="I65" s="45"/>
      <c r="J65" s="66" t="s">
        <v>9</v>
      </c>
      <c r="K65" s="45"/>
      <c r="L65" s="45"/>
      <c r="M65" s="100"/>
      <c r="N65" s="773"/>
      <c r="O65" s="774"/>
      <c r="P65" s="775"/>
      <c r="Q65" s="100"/>
    </row>
    <row r="66" spans="1:17" s="43" customFormat="1" ht="9" customHeight="1">
      <c r="A66" s="3"/>
      <c r="B66" s="65"/>
      <c r="C66" s="47"/>
      <c r="D66" s="47"/>
      <c r="E66" s="47"/>
      <c r="G66" s="47"/>
      <c r="H66" s="32"/>
      <c r="I66" s="32"/>
      <c r="J66" s="65"/>
      <c r="K66" s="32"/>
      <c r="L66" s="32"/>
      <c r="M66" s="101"/>
      <c r="N66" s="770" t="s">
        <v>67</v>
      </c>
      <c r="O66" s="771"/>
      <c r="P66" s="772"/>
      <c r="Q66" s="101"/>
    </row>
    <row r="67" spans="1:17" s="43" customFormat="1" ht="15" customHeight="1" thickBot="1">
      <c r="A67" s="3"/>
      <c r="B67" s="65" t="s">
        <v>7</v>
      </c>
      <c r="C67" s="45"/>
      <c r="D67" s="45"/>
      <c r="E67" s="45"/>
      <c r="F67" s="46"/>
      <c r="G67" s="45"/>
      <c r="H67" s="48"/>
      <c r="I67" s="48"/>
      <c r="J67" s="67" t="s">
        <v>9</v>
      </c>
      <c r="K67" s="48"/>
      <c r="L67" s="48"/>
      <c r="M67" s="101"/>
      <c r="N67" s="773"/>
      <c r="O67" s="774"/>
      <c r="P67" s="775"/>
      <c r="Q67" s="101"/>
    </row>
    <row r="68" spans="1:17" s="43" customFormat="1" ht="9" customHeight="1">
      <c r="A68" s="3"/>
      <c r="B68" s="65"/>
      <c r="C68" s="47"/>
      <c r="D68" s="47"/>
      <c r="E68" s="47"/>
      <c r="G68" s="47"/>
      <c r="H68" s="32"/>
      <c r="I68" s="32"/>
      <c r="J68" s="65"/>
      <c r="K68" s="32"/>
      <c r="L68" s="32"/>
      <c r="M68" s="101"/>
      <c r="N68" s="83"/>
      <c r="O68" s="101"/>
      <c r="P68" s="83"/>
      <c r="Q68" s="101"/>
    </row>
    <row r="69" spans="1:17" s="43" customFormat="1" ht="15" customHeight="1">
      <c r="A69" s="3"/>
      <c r="B69" s="65" t="s">
        <v>8</v>
      </c>
      <c r="C69" s="45"/>
      <c r="D69" s="45"/>
      <c r="E69" s="45"/>
      <c r="F69" s="46"/>
      <c r="G69" s="45"/>
      <c r="H69" s="48"/>
      <c r="I69" s="48"/>
      <c r="J69" s="67" t="s">
        <v>9</v>
      </c>
      <c r="K69" s="48"/>
      <c r="L69" s="48"/>
      <c r="M69" s="101"/>
      <c r="N69" s="83"/>
      <c r="O69" s="101"/>
      <c r="P69" s="83"/>
      <c r="Q69" s="101"/>
    </row>
    <row r="70" spans="1:17" s="43" customFormat="1" ht="9" customHeight="1">
      <c r="A70" s="3"/>
      <c r="B70" s="65"/>
      <c r="C70" s="47"/>
      <c r="D70" s="47"/>
      <c r="E70" s="47"/>
      <c r="G70" s="47"/>
      <c r="H70" s="32"/>
      <c r="I70" s="32"/>
      <c r="J70" s="65"/>
      <c r="K70" s="32"/>
      <c r="L70" s="32"/>
      <c r="M70" s="101"/>
      <c r="N70" s="83"/>
      <c r="O70" s="101"/>
      <c r="P70" s="83"/>
      <c r="Q70" s="101"/>
    </row>
    <row r="71" spans="1:17" ht="9" customHeight="1">
      <c r="A71" s="1"/>
      <c r="B71" s="1"/>
      <c r="J71" s="1"/>
      <c r="N71" s="84"/>
      <c r="P71" s="356">
        <v>40834</v>
      </c>
    </row>
    <row r="72" spans="1:17">
      <c r="N72" s="84"/>
      <c r="P72" s="84"/>
    </row>
  </sheetData>
  <sheetProtection selectLockedCells="1"/>
  <mergeCells count="5">
    <mergeCell ref="P20:R20"/>
    <mergeCell ref="C18:L18"/>
    <mergeCell ref="C12:I12"/>
    <mergeCell ref="N64:P65"/>
    <mergeCell ref="N66:P67"/>
  </mergeCells>
  <phoneticPr fontId="0" type="noConversion"/>
  <conditionalFormatting sqref="H16">
    <cfRule type="containsText" dxfId="103" priority="1" operator="containsText" text="ERROR">
      <formula>NOT(ISERROR(SEARCH("ERROR",H16)))</formula>
    </cfRule>
    <cfRule type="containsErrors" dxfId="102" priority="2">
      <formula>ISERROR(H16)</formula>
    </cfRule>
    <cfRule type="containsErrors" dxfId="101" priority="3">
      <formula>ISERROR(H16)</formula>
    </cfRule>
  </conditionalFormatting>
  <printOptions horizontalCentered="1"/>
  <pageMargins left="0" right="0" top="0.24803149599999999" bottom="0.24803149599999999" header="0.23622047244094499" footer="0.261811024"/>
  <pageSetup scale="63" orientation="portrait" horizontalDpi="4294967294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B1:AF98"/>
  <sheetViews>
    <sheetView showGridLines="0" workbookViewId="0">
      <selection activeCell="C8" sqref="C8:E8"/>
    </sheetView>
  </sheetViews>
  <sheetFormatPr defaultColWidth="9.109375" defaultRowHeight="13.2"/>
  <cols>
    <col min="1" max="1" width="1.6640625" style="150" customWidth="1"/>
    <col min="2" max="2" width="3.6640625" style="150" customWidth="1"/>
    <col min="3" max="3" width="19.109375" style="150" customWidth="1"/>
    <col min="4" max="4" width="9.109375" style="150" customWidth="1"/>
    <col min="5" max="5" width="6.6640625" style="150" customWidth="1"/>
    <col min="6" max="6" width="13.6640625" style="150" customWidth="1"/>
    <col min="7" max="7" width="11.6640625" style="150" customWidth="1"/>
    <col min="8" max="8" width="6.6640625" style="150" customWidth="1"/>
    <col min="9" max="9" width="12.6640625" style="150" customWidth="1"/>
    <col min="10" max="10" width="9.33203125" style="150" customWidth="1"/>
    <col min="11" max="11" width="7.88671875" style="150" customWidth="1"/>
    <col min="12" max="12" width="4.6640625" style="150" customWidth="1"/>
    <col min="13" max="15" width="6.6640625" style="150" customWidth="1"/>
    <col min="16" max="16" width="13.88671875" style="150" customWidth="1"/>
    <col min="17" max="18" width="6.6640625" style="150" customWidth="1"/>
    <col min="19" max="20" width="7.6640625" style="150" customWidth="1"/>
    <col min="21" max="21" width="6.88671875" style="150" customWidth="1"/>
    <col min="22" max="22" width="13.6640625" style="150" customWidth="1"/>
    <col min="23" max="23" width="5.6640625" style="150" customWidth="1"/>
    <col min="24" max="24" width="18.6640625" style="150" customWidth="1"/>
    <col min="25" max="25" width="14.33203125" style="150" customWidth="1"/>
    <col min="26" max="26" width="13.5546875" style="150" customWidth="1"/>
    <col min="27" max="27" width="11.44140625" style="150" customWidth="1"/>
    <col min="28" max="28" width="16.6640625" style="150" customWidth="1"/>
    <col min="29" max="16384" width="9.109375" style="150"/>
  </cols>
  <sheetData>
    <row r="1" spans="2:31" ht="19.5" customHeight="1">
      <c r="B1" s="474" t="s">
        <v>2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spans="2:31" ht="21" customHeight="1">
      <c r="B2" s="220" t="s">
        <v>155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</row>
    <row r="3" spans="2:31" s="535" customFormat="1" ht="2.25" customHeight="1" thickBot="1"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6"/>
      <c r="S3" s="536"/>
      <c r="T3" s="536"/>
      <c r="U3" s="536"/>
      <c r="V3" s="536"/>
      <c r="W3" s="536"/>
    </row>
    <row r="4" spans="2:31" s="429" customFormat="1" ht="10.8" thickTop="1">
      <c r="B4" s="538" t="s">
        <v>154</v>
      </c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40"/>
    </row>
    <row r="5" spans="2:31" ht="4.5" customHeight="1" thickBot="1">
      <c r="B5" s="541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542"/>
      <c r="Y5" s="152" t="s">
        <v>90</v>
      </c>
      <c r="AA5" s="152" t="s">
        <v>90</v>
      </c>
    </row>
    <row r="6" spans="2:31" s="171" customFormat="1" ht="20.100000000000001" customHeight="1" thickBot="1">
      <c r="B6" s="543" t="s">
        <v>153</v>
      </c>
      <c r="C6" s="466"/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6"/>
      <c r="T6" s="466"/>
      <c r="U6" s="466"/>
      <c r="V6" s="466"/>
      <c r="W6" s="544"/>
      <c r="Y6" s="479"/>
      <c r="AA6" s="479"/>
    </row>
    <row r="7" spans="2:31" s="151" customFormat="1" ht="17.25" customHeight="1" thickBot="1">
      <c r="B7" s="545">
        <v>1</v>
      </c>
      <c r="C7" s="172" t="s">
        <v>152</v>
      </c>
      <c r="D7" s="173"/>
      <c r="E7" s="174"/>
      <c r="F7" s="169" t="s">
        <v>151</v>
      </c>
      <c r="G7" s="222" t="s">
        <v>150</v>
      </c>
      <c r="H7" s="223"/>
      <c r="I7" s="223"/>
      <c r="J7" s="224"/>
      <c r="K7" s="222" t="s">
        <v>149</v>
      </c>
      <c r="L7" s="223"/>
      <c r="M7" s="223"/>
      <c r="N7" s="223"/>
      <c r="O7" s="224"/>
      <c r="P7" s="153" t="s">
        <v>148</v>
      </c>
      <c r="Q7" s="222" t="s">
        <v>147</v>
      </c>
      <c r="R7" s="223"/>
      <c r="S7" s="223"/>
      <c r="T7" s="224"/>
      <c r="U7" s="222" t="s">
        <v>146</v>
      </c>
      <c r="V7" s="223"/>
      <c r="W7" s="546"/>
      <c r="Y7" s="152" t="s">
        <v>90</v>
      </c>
      <c r="Z7" s="152" t="s">
        <v>90</v>
      </c>
      <c r="AA7" s="152" t="s">
        <v>90</v>
      </c>
    </row>
    <row r="8" spans="2:31" ht="24" customHeight="1" thickBot="1">
      <c r="B8" s="547"/>
      <c r="C8" s="800"/>
      <c r="D8" s="792"/>
      <c r="E8" s="785"/>
      <c r="F8" s="168"/>
      <c r="G8" s="800"/>
      <c r="H8" s="792"/>
      <c r="I8" s="792"/>
      <c r="J8" s="785"/>
      <c r="K8" s="800"/>
      <c r="L8" s="792"/>
      <c r="M8" s="792"/>
      <c r="N8" s="792"/>
      <c r="O8" s="785"/>
      <c r="P8" s="167"/>
      <c r="Q8" s="794"/>
      <c r="R8" s="792"/>
      <c r="S8" s="792"/>
      <c r="T8" s="785"/>
      <c r="U8" s="791"/>
      <c r="V8" s="792"/>
      <c r="W8" s="793"/>
      <c r="Y8" s="152"/>
      <c r="AA8" s="152"/>
      <c r="AC8" s="152"/>
      <c r="AE8" s="152"/>
    </row>
    <row r="9" spans="2:31" ht="15" hidden="1" customHeight="1">
      <c r="B9" s="547"/>
      <c r="C9" s="166" t="s">
        <v>146</v>
      </c>
      <c r="D9" s="166"/>
      <c r="E9" s="166" t="s">
        <v>145</v>
      </c>
      <c r="F9" s="166"/>
      <c r="G9" s="176"/>
      <c r="H9" s="177" t="s">
        <v>144</v>
      </c>
      <c r="I9" s="166"/>
      <c r="J9" s="166"/>
      <c r="K9" s="166"/>
      <c r="L9" s="165"/>
      <c r="M9" s="177" t="s">
        <v>143</v>
      </c>
      <c r="N9" s="166"/>
      <c r="O9" s="166"/>
      <c r="P9" s="166"/>
      <c r="Q9" s="166"/>
      <c r="R9" s="166"/>
      <c r="S9" s="166"/>
      <c r="T9" s="166"/>
      <c r="U9" s="166"/>
      <c r="V9" s="166"/>
      <c r="W9" s="548"/>
      <c r="AE9" s="152"/>
    </row>
    <row r="10" spans="2:31" ht="21.75" hidden="1" customHeight="1">
      <c r="B10" s="547"/>
      <c r="C10" s="164"/>
      <c r="D10" s="163"/>
      <c r="E10" s="159"/>
      <c r="F10" s="162"/>
      <c r="G10" s="161"/>
      <c r="H10" s="159"/>
      <c r="I10" s="162"/>
      <c r="J10" s="162"/>
      <c r="K10" s="162"/>
      <c r="L10" s="163"/>
      <c r="M10" s="159"/>
      <c r="N10" s="162"/>
      <c r="O10" s="162"/>
      <c r="P10" s="162"/>
      <c r="Q10" s="162"/>
      <c r="R10" s="162"/>
      <c r="S10" s="162"/>
      <c r="T10" s="162"/>
      <c r="U10" s="162"/>
      <c r="V10" s="162"/>
      <c r="W10" s="549"/>
      <c r="Y10" s="152"/>
      <c r="AA10" s="152"/>
      <c r="AC10" s="152"/>
      <c r="AE10" s="152"/>
    </row>
    <row r="11" spans="2:31" ht="12" hidden="1" customHeight="1">
      <c r="B11" s="547"/>
      <c r="C11" s="162" t="s">
        <v>142</v>
      </c>
      <c r="D11" s="162"/>
      <c r="E11" s="161"/>
      <c r="F11" s="162"/>
      <c r="G11" s="159" t="s">
        <v>141</v>
      </c>
      <c r="H11" s="161"/>
      <c r="I11" s="161"/>
      <c r="J11" s="161"/>
      <c r="K11" s="160" t="s">
        <v>140</v>
      </c>
      <c r="L11" s="160"/>
      <c r="M11" s="160" t="s">
        <v>139</v>
      </c>
      <c r="N11" s="159"/>
      <c r="O11" s="159"/>
      <c r="P11" s="159"/>
      <c r="Q11" s="159"/>
      <c r="R11" s="159"/>
      <c r="S11" s="159"/>
      <c r="T11" s="159"/>
      <c r="U11" s="159"/>
      <c r="V11" s="159"/>
      <c r="W11" s="550" t="s">
        <v>138</v>
      </c>
      <c r="X11" s="152" t="s">
        <v>90</v>
      </c>
      <c r="Y11" s="152" t="s">
        <v>90</v>
      </c>
      <c r="Z11" s="152" t="s">
        <v>90</v>
      </c>
      <c r="AA11" s="152" t="s">
        <v>90</v>
      </c>
    </row>
    <row r="12" spans="2:31" ht="18.75" hidden="1" customHeight="1">
      <c r="B12" s="547"/>
      <c r="C12" s="158"/>
      <c r="D12" s="158"/>
      <c r="E12" s="178"/>
      <c r="F12" s="158"/>
      <c r="G12" s="179"/>
      <c r="H12" s="157"/>
      <c r="I12" s="157"/>
      <c r="J12" s="157"/>
      <c r="K12" s="156"/>
      <c r="L12" s="156"/>
      <c r="M12" s="156"/>
      <c r="N12" s="155"/>
      <c r="O12" s="155"/>
      <c r="P12" s="155"/>
      <c r="Q12" s="155"/>
      <c r="R12" s="155"/>
      <c r="S12" s="155"/>
      <c r="T12" s="155"/>
      <c r="U12" s="155"/>
      <c r="V12" s="155"/>
      <c r="W12" s="551"/>
      <c r="Y12" s="152"/>
      <c r="AA12" s="152"/>
      <c r="AC12" s="152"/>
      <c r="AE12" s="152"/>
    </row>
    <row r="13" spans="2:31" s="171" customFormat="1" ht="21" customHeight="1" thickBot="1">
      <c r="B13" s="552"/>
      <c r="C13" s="476" t="s">
        <v>137</v>
      </c>
      <c r="D13" s="477"/>
      <c r="E13" s="477"/>
      <c r="F13" s="477"/>
      <c r="G13" s="477"/>
      <c r="H13" s="478"/>
      <c r="I13" s="476" t="s">
        <v>136</v>
      </c>
      <c r="J13" s="477"/>
      <c r="K13" s="477"/>
      <c r="L13" s="477"/>
      <c r="M13" s="477"/>
      <c r="N13" s="478"/>
      <c r="O13" s="477" t="s">
        <v>135</v>
      </c>
      <c r="P13" s="477"/>
      <c r="Q13" s="477"/>
      <c r="R13" s="477"/>
      <c r="S13" s="477"/>
      <c r="T13" s="477"/>
      <c r="U13" s="477"/>
      <c r="V13" s="477"/>
      <c r="W13" s="553"/>
      <c r="Y13" s="479"/>
      <c r="AA13" s="479"/>
      <c r="AC13" s="479"/>
      <c r="AE13" s="479"/>
    </row>
    <row r="14" spans="2:31" s="186" customFormat="1" ht="19.5" customHeight="1" thickBot="1">
      <c r="B14" s="554">
        <v>2</v>
      </c>
      <c r="C14" s="279" t="s">
        <v>134</v>
      </c>
      <c r="D14" s="187"/>
      <c r="E14" s="187"/>
      <c r="F14" s="293" t="s">
        <v>127</v>
      </c>
      <c r="G14" s="188"/>
      <c r="H14" s="385"/>
      <c r="I14" s="301" t="s">
        <v>132</v>
      </c>
      <c r="J14" s="247"/>
      <c r="K14" s="247"/>
      <c r="L14" s="247"/>
      <c r="M14" s="248"/>
      <c r="N14" s="307" t="s">
        <v>133</v>
      </c>
      <c r="O14" s="306"/>
      <c r="P14" s="306"/>
      <c r="Q14" s="306"/>
      <c r="R14" s="306"/>
      <c r="S14" s="306"/>
      <c r="T14" s="306"/>
      <c r="U14" s="306"/>
      <c r="V14" s="306"/>
      <c r="W14" s="555"/>
      <c r="Y14" s="154"/>
      <c r="AA14" s="154"/>
      <c r="AC14" s="154"/>
      <c r="AE14" s="154"/>
    </row>
    <row r="15" spans="2:31" s="186" customFormat="1" ht="20.100000000000001" customHeight="1">
      <c r="B15" s="556"/>
      <c r="C15" s="280" t="s">
        <v>373</v>
      </c>
      <c r="D15" s="180"/>
      <c r="E15" s="180"/>
      <c r="F15" s="294" t="s">
        <v>127</v>
      </c>
      <c r="G15" s="181"/>
      <c r="H15" s="386"/>
      <c r="I15" s="302" t="s">
        <v>132</v>
      </c>
      <c r="J15" s="216"/>
      <c r="K15" s="216"/>
      <c r="L15" s="216"/>
      <c r="M15" s="217"/>
      <c r="N15" s="817"/>
      <c r="O15" s="818"/>
      <c r="P15" s="818"/>
      <c r="Q15" s="818"/>
      <c r="R15" s="818"/>
      <c r="S15" s="818"/>
      <c r="T15" s="818"/>
      <c r="U15" s="818"/>
      <c r="V15" s="818"/>
      <c r="W15" s="819"/>
      <c r="Y15" s="154"/>
      <c r="AA15" s="154"/>
      <c r="AC15" s="154"/>
      <c r="AE15" s="154"/>
    </row>
    <row r="16" spans="2:31" s="151" customFormat="1" ht="20.100000000000001" customHeight="1">
      <c r="B16" s="556"/>
      <c r="C16" s="280" t="s">
        <v>471</v>
      </c>
      <c r="D16" s="180"/>
      <c r="E16" s="180"/>
      <c r="F16" s="294" t="s">
        <v>130</v>
      </c>
      <c r="G16" s="181"/>
      <c r="H16" s="387"/>
      <c r="I16" s="254" t="s">
        <v>126</v>
      </c>
      <c r="J16" s="182"/>
      <c r="K16" s="795"/>
      <c r="L16" s="796"/>
      <c r="M16" s="797"/>
      <c r="N16" s="820"/>
      <c r="O16" s="821"/>
      <c r="P16" s="821"/>
      <c r="Q16" s="821"/>
      <c r="R16" s="821"/>
      <c r="S16" s="821"/>
      <c r="T16" s="821"/>
      <c r="U16" s="821"/>
      <c r="V16" s="821"/>
      <c r="W16" s="822"/>
    </row>
    <row r="17" spans="2:32" s="151" customFormat="1" ht="20.100000000000001" customHeight="1">
      <c r="B17" s="556"/>
      <c r="C17" s="280" t="s">
        <v>337</v>
      </c>
      <c r="D17" s="180"/>
      <c r="E17" s="180"/>
      <c r="F17" s="294" t="s">
        <v>130</v>
      </c>
      <c r="G17" s="181"/>
      <c r="H17" s="387"/>
      <c r="I17" s="254" t="s">
        <v>126</v>
      </c>
      <c r="J17" s="182"/>
      <c r="K17" s="795"/>
      <c r="L17" s="796"/>
      <c r="M17" s="797"/>
      <c r="N17" s="823"/>
      <c r="O17" s="821"/>
      <c r="P17" s="821"/>
      <c r="Q17" s="821"/>
      <c r="R17" s="821"/>
      <c r="S17" s="821"/>
      <c r="T17" s="821"/>
      <c r="U17" s="821"/>
      <c r="V17" s="821"/>
      <c r="W17" s="822"/>
    </row>
    <row r="18" spans="2:32" s="151" customFormat="1" ht="20.100000000000001" customHeight="1">
      <c r="B18" s="556"/>
      <c r="C18" s="280" t="s">
        <v>131</v>
      </c>
      <c r="D18" s="180"/>
      <c r="E18" s="180"/>
      <c r="F18" s="294" t="s">
        <v>130</v>
      </c>
      <c r="G18" s="181"/>
      <c r="H18" s="387"/>
      <c r="I18" s="254" t="s">
        <v>126</v>
      </c>
      <c r="J18" s="182"/>
      <c r="K18" s="795"/>
      <c r="L18" s="796"/>
      <c r="M18" s="797"/>
      <c r="N18" s="823"/>
      <c r="O18" s="821"/>
      <c r="P18" s="821"/>
      <c r="Q18" s="821"/>
      <c r="R18" s="821"/>
      <c r="S18" s="821"/>
      <c r="T18" s="821"/>
      <c r="U18" s="821"/>
      <c r="V18" s="821"/>
      <c r="W18" s="822"/>
    </row>
    <row r="19" spans="2:32" s="151" customFormat="1" ht="20.100000000000001" hidden="1" customHeight="1">
      <c r="B19" s="556"/>
      <c r="C19" s="280" t="s">
        <v>472</v>
      </c>
      <c r="D19" s="180"/>
      <c r="E19" s="180"/>
      <c r="F19" s="294" t="s">
        <v>130</v>
      </c>
      <c r="G19" s="181"/>
      <c r="H19" s="387"/>
      <c r="I19" s="254" t="s">
        <v>126</v>
      </c>
      <c r="J19" s="182"/>
      <c r="K19" s="795"/>
      <c r="L19" s="796"/>
      <c r="M19" s="797"/>
      <c r="N19" s="823"/>
      <c r="O19" s="821"/>
      <c r="P19" s="821"/>
      <c r="Q19" s="821"/>
      <c r="R19" s="821"/>
      <c r="S19" s="821"/>
      <c r="T19" s="821"/>
      <c r="U19" s="821"/>
      <c r="V19" s="821"/>
      <c r="W19" s="822"/>
    </row>
    <row r="20" spans="2:32" s="151" customFormat="1" ht="20.100000000000001" customHeight="1">
      <c r="B20" s="556"/>
      <c r="C20" s="280" t="s">
        <v>129</v>
      </c>
      <c r="D20" s="180"/>
      <c r="E20" s="180"/>
      <c r="F20" s="294" t="s">
        <v>128</v>
      </c>
      <c r="G20" s="181"/>
      <c r="H20" s="387"/>
      <c r="I20" s="254" t="s">
        <v>470</v>
      </c>
      <c r="J20" s="182"/>
      <c r="K20" s="795"/>
      <c r="L20" s="796"/>
      <c r="M20" s="797"/>
      <c r="N20" s="823"/>
      <c r="O20" s="821"/>
      <c r="P20" s="821"/>
      <c r="Q20" s="821"/>
      <c r="R20" s="821"/>
      <c r="S20" s="821"/>
      <c r="T20" s="821"/>
      <c r="U20" s="821"/>
      <c r="V20" s="821"/>
      <c r="W20" s="822"/>
    </row>
    <row r="21" spans="2:32" s="151" customFormat="1" ht="20.100000000000001" customHeight="1" thickBot="1">
      <c r="B21" s="557"/>
      <c r="C21" s="281" t="s">
        <v>340</v>
      </c>
      <c r="D21" s="838"/>
      <c r="E21" s="839"/>
      <c r="F21" s="840"/>
      <c r="G21" s="841"/>
      <c r="H21" s="388"/>
      <c r="I21" s="282" t="s">
        <v>126</v>
      </c>
      <c r="J21" s="249"/>
      <c r="K21" s="801"/>
      <c r="L21" s="802"/>
      <c r="M21" s="803"/>
      <c r="N21" s="824"/>
      <c r="O21" s="825"/>
      <c r="P21" s="825"/>
      <c r="Q21" s="825"/>
      <c r="R21" s="825"/>
      <c r="S21" s="825"/>
      <c r="T21" s="825"/>
      <c r="U21" s="825"/>
      <c r="V21" s="825"/>
      <c r="W21" s="826"/>
    </row>
    <row r="22" spans="2:32" s="474" customFormat="1" ht="20.100000000000001" customHeight="1" thickBot="1">
      <c r="B22" s="558" t="s">
        <v>342</v>
      </c>
      <c r="C22" s="473"/>
      <c r="D22" s="473"/>
      <c r="E22" s="473"/>
      <c r="F22" s="473"/>
      <c r="G22" s="47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3"/>
      <c r="W22" s="559"/>
      <c r="AD22" s="475"/>
      <c r="AE22" s="475"/>
      <c r="AF22" s="475"/>
    </row>
    <row r="23" spans="2:32" s="212" customFormat="1" ht="4.5" customHeight="1">
      <c r="B23" s="560"/>
      <c r="C23" s="211"/>
      <c r="D23" s="211"/>
      <c r="E23" s="394"/>
      <c r="F23" s="211"/>
      <c r="G23" s="211"/>
      <c r="H23" s="394"/>
      <c r="I23" s="215"/>
      <c r="J23" s="219"/>
      <c r="K23" s="215"/>
      <c r="L23" s="215"/>
      <c r="M23" s="394"/>
      <c r="N23" s="806" t="s">
        <v>372</v>
      </c>
      <c r="O23" s="771"/>
      <c r="P23" s="771"/>
      <c r="Q23" s="771"/>
      <c r="R23" s="771"/>
      <c r="S23" s="771"/>
      <c r="T23" s="771"/>
      <c r="U23" s="771"/>
      <c r="V23" s="771"/>
      <c r="W23" s="807"/>
    </row>
    <row r="24" spans="2:32" s="213" customFormat="1" ht="19.5" customHeight="1">
      <c r="B24" s="561">
        <v>3</v>
      </c>
      <c r="C24" s="214" t="s">
        <v>362</v>
      </c>
      <c r="D24" s="214"/>
      <c r="E24" s="382"/>
      <c r="F24" s="214" t="s">
        <v>122</v>
      </c>
      <c r="G24" s="214"/>
      <c r="H24" s="382"/>
      <c r="I24" s="214" t="s">
        <v>125</v>
      </c>
      <c r="J24" s="214"/>
      <c r="K24" s="214"/>
      <c r="L24" s="395"/>
      <c r="M24" s="419"/>
      <c r="N24" s="808"/>
      <c r="O24" s="808"/>
      <c r="P24" s="808"/>
      <c r="Q24" s="808"/>
      <c r="R24" s="808"/>
      <c r="S24" s="808"/>
      <c r="T24" s="808"/>
      <c r="U24" s="808"/>
      <c r="V24" s="808"/>
      <c r="W24" s="809"/>
    </row>
    <row r="25" spans="2:32" s="213" customFormat="1" ht="4.5" customHeight="1">
      <c r="B25" s="562"/>
      <c r="C25" s="462"/>
      <c r="D25" s="251"/>
      <c r="E25" s="383"/>
      <c r="F25" s="251"/>
      <c r="G25" s="251"/>
      <c r="H25" s="383"/>
      <c r="I25" s="251"/>
      <c r="J25" s="251"/>
      <c r="K25" s="251"/>
      <c r="L25" s="251"/>
      <c r="M25" s="383"/>
      <c r="N25" s="810"/>
      <c r="O25" s="810"/>
      <c r="P25" s="810"/>
      <c r="Q25" s="810"/>
      <c r="R25" s="810"/>
      <c r="S25" s="810"/>
      <c r="T25" s="810"/>
      <c r="U25" s="810"/>
      <c r="V25" s="810"/>
      <c r="W25" s="811"/>
    </row>
    <row r="26" spans="2:32" s="213" customFormat="1" ht="4.5" customHeight="1">
      <c r="B26" s="562"/>
      <c r="C26" s="214"/>
      <c r="D26" s="214"/>
      <c r="E26" s="461"/>
      <c r="F26" s="214"/>
      <c r="G26" s="214"/>
      <c r="H26" s="461"/>
      <c r="I26" s="214"/>
      <c r="J26" s="214"/>
      <c r="K26" s="214"/>
      <c r="L26" s="214"/>
      <c r="M26" s="461"/>
      <c r="N26" s="624"/>
      <c r="O26" s="624"/>
      <c r="P26" s="624"/>
      <c r="Q26" s="624"/>
      <c r="R26" s="624"/>
      <c r="S26" s="624"/>
      <c r="T26" s="624"/>
      <c r="U26" s="624"/>
      <c r="V26" s="624"/>
      <c r="W26" s="625"/>
    </row>
    <row r="27" spans="2:32" s="213" customFormat="1" ht="19.5" customHeight="1">
      <c r="B27" s="562"/>
      <c r="C27" s="214" t="s">
        <v>449</v>
      </c>
      <c r="D27" s="214"/>
      <c r="E27" s="382"/>
      <c r="F27" s="214" t="s">
        <v>116</v>
      </c>
      <c r="G27" s="214"/>
      <c r="H27" s="382"/>
      <c r="I27" s="214" t="s">
        <v>156</v>
      </c>
      <c r="J27" s="214"/>
      <c r="K27" s="214"/>
      <c r="L27" s="214"/>
      <c r="M27" s="382"/>
      <c r="N27" s="214" t="s">
        <v>157</v>
      </c>
      <c r="O27" s="214"/>
      <c r="P27" s="214"/>
      <c r="Q27" s="382"/>
      <c r="R27" s="214" t="s">
        <v>112</v>
      </c>
      <c r="S27" s="214"/>
      <c r="T27" s="480" t="s">
        <v>447</v>
      </c>
      <c r="U27" s="481"/>
      <c r="V27" s="482" t="s">
        <v>448</v>
      </c>
      <c r="W27" s="563"/>
    </row>
    <row r="28" spans="2:32" s="213" customFormat="1" ht="4.5" customHeight="1">
      <c r="B28" s="562"/>
      <c r="C28" s="462"/>
      <c r="D28" s="251"/>
      <c r="E28" s="383"/>
      <c r="F28" s="251"/>
      <c r="G28" s="251"/>
      <c r="H28" s="383"/>
      <c r="I28" s="251"/>
      <c r="J28" s="251"/>
      <c r="K28" s="251"/>
      <c r="L28" s="251"/>
      <c r="M28" s="383"/>
      <c r="N28" s="251"/>
      <c r="O28" s="251"/>
      <c r="P28" s="251"/>
      <c r="Q28" s="463"/>
      <c r="R28" s="461"/>
      <c r="S28" s="251"/>
      <c r="T28" s="251"/>
      <c r="U28" s="251"/>
      <c r="V28" s="251"/>
      <c r="W28" s="564"/>
    </row>
    <row r="29" spans="2:32" s="213" customFormat="1" ht="4.5" customHeight="1">
      <c r="B29" s="562"/>
      <c r="C29" s="214"/>
      <c r="D29" s="214"/>
      <c r="E29" s="461"/>
      <c r="F29" s="214"/>
      <c r="G29" s="214"/>
      <c r="H29" s="461"/>
      <c r="I29" s="214"/>
      <c r="J29" s="214"/>
      <c r="K29" s="214"/>
      <c r="L29" s="214"/>
      <c r="M29" s="461"/>
      <c r="N29" s="214"/>
      <c r="O29" s="214"/>
      <c r="P29" s="214"/>
      <c r="Q29" s="384"/>
      <c r="R29" s="225"/>
      <c r="S29" s="214"/>
      <c r="T29" s="214"/>
      <c r="U29" s="214"/>
      <c r="V29" s="214"/>
      <c r="W29" s="565"/>
    </row>
    <row r="30" spans="2:32" s="213" customFormat="1" ht="19.5" customHeight="1">
      <c r="B30" s="562"/>
      <c r="C30" s="214" t="s">
        <v>363</v>
      </c>
      <c r="D30" s="214"/>
      <c r="E30" s="382"/>
      <c r="F30" s="214" t="s">
        <v>158</v>
      </c>
      <c r="G30" s="214"/>
      <c r="H30" s="382"/>
      <c r="I30" s="214" t="s">
        <v>121</v>
      </c>
      <c r="J30" s="214"/>
      <c r="K30" s="396"/>
      <c r="L30" s="396"/>
      <c r="M30" s="382"/>
      <c r="N30" s="214" t="s">
        <v>120</v>
      </c>
      <c r="O30" s="214"/>
      <c r="P30" s="214"/>
      <c r="Q30" s="382"/>
      <c r="R30" s="214" t="s">
        <v>119</v>
      </c>
      <c r="S30" s="214"/>
      <c r="T30" s="214"/>
      <c r="U30" s="382"/>
      <c r="V30" s="214" t="s">
        <v>341</v>
      </c>
      <c r="W30" s="565"/>
    </row>
    <row r="31" spans="2:32" s="213" customFormat="1" ht="4.5" customHeight="1">
      <c r="B31" s="562"/>
      <c r="C31" s="462"/>
      <c r="D31" s="251"/>
      <c r="E31" s="383"/>
      <c r="F31" s="251"/>
      <c r="G31" s="251"/>
      <c r="H31" s="383"/>
      <c r="I31" s="251"/>
      <c r="J31" s="251"/>
      <c r="K31" s="251"/>
      <c r="L31" s="251"/>
      <c r="M31" s="383"/>
      <c r="N31" s="251"/>
      <c r="O31" s="251"/>
      <c r="P31" s="251"/>
      <c r="Q31" s="251"/>
      <c r="R31" s="461"/>
      <c r="S31" s="251"/>
      <c r="T31" s="251"/>
      <c r="U31" s="251"/>
      <c r="V31" s="251"/>
      <c r="W31" s="564"/>
    </row>
    <row r="32" spans="2:32" s="213" customFormat="1" ht="4.5" customHeight="1">
      <c r="B32" s="562"/>
      <c r="C32" s="214"/>
      <c r="D32" s="214"/>
      <c r="E32" s="461"/>
      <c r="F32" s="214"/>
      <c r="G32" s="214"/>
      <c r="H32" s="461"/>
      <c r="I32" s="214"/>
      <c r="J32" s="214"/>
      <c r="K32" s="214"/>
      <c r="L32" s="214"/>
      <c r="M32" s="225"/>
      <c r="N32" s="214"/>
      <c r="O32" s="214"/>
      <c r="P32" s="214"/>
      <c r="Q32" s="214"/>
      <c r="R32" s="225"/>
      <c r="S32" s="214"/>
      <c r="T32" s="214"/>
      <c r="U32" s="214"/>
      <c r="V32" s="214"/>
      <c r="W32" s="565"/>
    </row>
    <row r="33" spans="2:23" s="213" customFormat="1" ht="19.5" customHeight="1">
      <c r="B33" s="562"/>
      <c r="C33" s="214" t="s">
        <v>364</v>
      </c>
      <c r="D33" s="214"/>
      <c r="E33" s="382"/>
      <c r="F33" s="214" t="s">
        <v>113</v>
      </c>
      <c r="G33" s="214"/>
      <c r="H33" s="382"/>
      <c r="I33" s="214" t="s">
        <v>159</v>
      </c>
      <c r="J33" s="214"/>
      <c r="K33" s="396"/>
      <c r="L33" s="396"/>
      <c r="M33" s="382"/>
      <c r="N33" s="214" t="s">
        <v>452</v>
      </c>
      <c r="O33" s="214"/>
      <c r="P33" s="214"/>
      <c r="Q33" s="214"/>
      <c r="R33" s="214"/>
      <c r="S33" s="214"/>
      <c r="T33" s="214"/>
      <c r="U33" s="214"/>
      <c r="V33" s="214"/>
      <c r="W33" s="565"/>
    </row>
    <row r="34" spans="2:23" s="213" customFormat="1" ht="4.5" customHeight="1">
      <c r="B34" s="562"/>
      <c r="C34" s="462"/>
      <c r="D34" s="251"/>
      <c r="E34" s="383"/>
      <c r="F34" s="251"/>
      <c r="G34" s="251"/>
      <c r="H34" s="383"/>
      <c r="I34" s="251"/>
      <c r="J34" s="251"/>
      <c r="K34" s="251"/>
      <c r="L34" s="251"/>
      <c r="M34" s="461"/>
      <c r="N34" s="251"/>
      <c r="O34" s="251"/>
      <c r="P34" s="251"/>
      <c r="Q34" s="251"/>
      <c r="R34" s="461"/>
      <c r="S34" s="251"/>
      <c r="T34" s="251"/>
      <c r="U34" s="251"/>
      <c r="V34" s="251"/>
      <c r="W34" s="564"/>
    </row>
    <row r="35" spans="2:23" s="213" customFormat="1" ht="4.5" customHeight="1">
      <c r="B35" s="562"/>
      <c r="C35" s="214"/>
      <c r="D35" s="214"/>
      <c r="E35" s="461"/>
      <c r="F35" s="214"/>
      <c r="G35" s="214"/>
      <c r="H35" s="461"/>
      <c r="I35" s="214"/>
      <c r="J35" s="214"/>
      <c r="K35" s="214"/>
      <c r="L35" s="214"/>
      <c r="M35" s="225"/>
      <c r="N35" s="214"/>
      <c r="O35" s="214"/>
      <c r="P35" s="214"/>
      <c r="Q35" s="214"/>
      <c r="R35" s="225"/>
      <c r="S35" s="214"/>
      <c r="T35" s="214"/>
      <c r="U35" s="214"/>
      <c r="V35" s="214"/>
      <c r="W35" s="565"/>
    </row>
    <row r="36" spans="2:23" s="213" customFormat="1" ht="19.5" customHeight="1">
      <c r="B36" s="562"/>
      <c r="C36" s="214" t="s">
        <v>365</v>
      </c>
      <c r="D36" s="485"/>
      <c r="E36" s="382"/>
      <c r="F36" s="214" t="s">
        <v>124</v>
      </c>
      <c r="H36" s="484">
        <v>2</v>
      </c>
      <c r="I36" s="252" t="s">
        <v>388</v>
      </c>
      <c r="J36" s="486"/>
      <c r="K36" s="487"/>
      <c r="L36" s="812">
        <f>Sheet1!J1</f>
        <v>0</v>
      </c>
      <c r="M36" s="813"/>
      <c r="N36" s="488" t="e">
        <f>VLOOKUP(L36,Sheet1!K1:L1,2,FALSE)</f>
        <v>#N/A</v>
      </c>
      <c r="O36" s="214"/>
      <c r="P36" s="218"/>
      <c r="Q36" s="214"/>
      <c r="R36" s="214"/>
      <c r="S36" s="214"/>
      <c r="T36" s="214"/>
      <c r="U36" s="214"/>
      <c r="V36" s="227"/>
      <c r="W36" s="566"/>
    </row>
    <row r="37" spans="2:23" s="213" customFormat="1" ht="4.5" customHeight="1">
      <c r="B37" s="562"/>
      <c r="C37" s="462"/>
      <c r="D37" s="251"/>
      <c r="E37" s="383"/>
      <c r="F37" s="251"/>
      <c r="G37" s="251"/>
      <c r="H37" s="383"/>
      <c r="I37" s="251"/>
      <c r="J37" s="251"/>
      <c r="K37" s="464"/>
      <c r="L37" s="464"/>
      <c r="M37" s="464"/>
      <c r="N37" s="251"/>
      <c r="O37" s="251"/>
      <c r="P37" s="251"/>
      <c r="Q37" s="251"/>
      <c r="R37" s="461"/>
      <c r="S37" s="251"/>
      <c r="T37" s="251"/>
      <c r="U37" s="251"/>
      <c r="V37" s="251"/>
      <c r="W37" s="564"/>
    </row>
    <row r="38" spans="2:23" s="213" customFormat="1" ht="4.5" customHeight="1">
      <c r="B38" s="562"/>
      <c r="C38" s="214"/>
      <c r="D38" s="214"/>
      <c r="E38" s="461"/>
      <c r="F38" s="214"/>
      <c r="G38" s="214"/>
      <c r="H38" s="461"/>
      <c r="I38" s="214"/>
      <c r="J38" s="214"/>
      <c r="K38" s="227"/>
      <c r="L38" s="227"/>
      <c r="M38" s="227"/>
      <c r="N38" s="214"/>
      <c r="O38" s="214"/>
      <c r="P38" s="214"/>
      <c r="Q38" s="214"/>
      <c r="R38" s="225"/>
      <c r="S38" s="214"/>
      <c r="T38" s="214"/>
      <c r="U38" s="214"/>
      <c r="V38" s="214"/>
      <c r="W38" s="565"/>
    </row>
    <row r="39" spans="2:23" s="213" customFormat="1" ht="19.5" customHeight="1">
      <c r="B39" s="562"/>
      <c r="C39" s="214" t="s">
        <v>366</v>
      </c>
      <c r="D39" s="214"/>
      <c r="E39" s="382"/>
      <c r="F39" s="214" t="s">
        <v>123</v>
      </c>
      <c r="G39" s="214"/>
      <c r="H39" s="382"/>
      <c r="I39" s="252" t="s">
        <v>451</v>
      </c>
      <c r="J39" s="464"/>
      <c r="K39" s="532"/>
      <c r="L39" s="533"/>
      <c r="M39" s="534"/>
      <c r="N39" s="833"/>
      <c r="O39" s="816"/>
      <c r="P39" s="483"/>
      <c r="Q39" s="382"/>
      <c r="R39" s="214" t="s">
        <v>450</v>
      </c>
      <c r="S39" s="214"/>
      <c r="T39" s="214"/>
      <c r="U39" s="214"/>
      <c r="V39" s="489"/>
      <c r="W39" s="567"/>
    </row>
    <row r="40" spans="2:23" s="213" customFormat="1" ht="4.5" customHeight="1">
      <c r="B40" s="562"/>
      <c r="C40" s="462"/>
      <c r="D40" s="251"/>
      <c r="E40" s="383"/>
      <c r="F40" s="251"/>
      <c r="G40" s="251"/>
      <c r="H40" s="383"/>
      <c r="I40" s="251"/>
      <c r="J40" s="251"/>
      <c r="K40" s="464"/>
      <c r="L40" s="464"/>
      <c r="M40" s="464"/>
      <c r="N40" s="251"/>
      <c r="O40" s="251"/>
      <c r="P40" s="251"/>
      <c r="Q40" s="251"/>
      <c r="R40" s="461"/>
      <c r="S40" s="251"/>
      <c r="T40" s="251"/>
      <c r="U40" s="251"/>
      <c r="V40" s="251"/>
      <c r="W40" s="564"/>
    </row>
    <row r="41" spans="2:23" s="213" customFormat="1" ht="4.5" customHeight="1">
      <c r="B41" s="562"/>
      <c r="C41" s="214"/>
      <c r="D41" s="214"/>
      <c r="E41" s="461"/>
      <c r="F41" s="214"/>
      <c r="G41" s="214"/>
      <c r="H41" s="461"/>
      <c r="I41" s="214"/>
      <c r="J41" s="214"/>
      <c r="K41" s="227"/>
      <c r="L41" s="227"/>
      <c r="M41" s="227"/>
      <c r="N41" s="214"/>
      <c r="O41" s="214"/>
      <c r="P41" s="214"/>
      <c r="Q41" s="214"/>
      <c r="R41" s="225"/>
      <c r="S41" s="214"/>
      <c r="T41" s="214"/>
      <c r="U41" s="214"/>
      <c r="V41" s="214"/>
      <c r="W41" s="565"/>
    </row>
    <row r="42" spans="2:23" s="213" customFormat="1" ht="19.5" customHeight="1">
      <c r="B42" s="562"/>
      <c r="C42" s="214" t="s">
        <v>367</v>
      </c>
      <c r="D42" s="214"/>
      <c r="E42" s="382"/>
      <c r="F42" s="214" t="s">
        <v>114</v>
      </c>
      <c r="G42" s="214"/>
      <c r="H42" s="382"/>
      <c r="I42" s="252" t="s">
        <v>389</v>
      </c>
      <c r="J42" s="251"/>
      <c r="K42" s="814"/>
      <c r="L42" s="815"/>
      <c r="M42" s="816"/>
      <c r="N42" s="397"/>
      <c r="O42" s="218"/>
      <c r="P42" s="218"/>
      <c r="Q42" s="218"/>
      <c r="R42" s="214"/>
      <c r="S42" s="214"/>
      <c r="T42" s="214"/>
      <c r="U42" s="214"/>
      <c r="W42" s="565"/>
    </row>
    <row r="43" spans="2:23" s="213" customFormat="1" ht="4.5" customHeight="1">
      <c r="B43" s="562"/>
      <c r="C43" s="462"/>
      <c r="D43" s="251"/>
      <c r="E43" s="383"/>
      <c r="F43" s="251"/>
      <c r="G43" s="251"/>
      <c r="H43" s="383"/>
      <c r="I43" s="251"/>
      <c r="J43" s="251"/>
      <c r="K43" s="251"/>
      <c r="L43" s="251"/>
      <c r="M43" s="461"/>
      <c r="N43" s="251"/>
      <c r="O43" s="251"/>
      <c r="P43" s="251"/>
      <c r="Q43" s="251"/>
      <c r="R43" s="461"/>
      <c r="S43" s="251"/>
      <c r="T43" s="251"/>
      <c r="U43" s="251"/>
      <c r="V43" s="251"/>
      <c r="W43" s="564"/>
    </row>
    <row r="44" spans="2:23" s="213" customFormat="1" ht="4.5" customHeight="1">
      <c r="B44" s="562"/>
      <c r="C44" s="214"/>
      <c r="D44" s="214"/>
      <c r="E44" s="225"/>
      <c r="F44" s="214"/>
      <c r="G44" s="214"/>
      <c r="H44" s="225"/>
      <c r="I44" s="214"/>
      <c r="J44" s="214"/>
      <c r="K44" s="214"/>
      <c r="L44" s="214"/>
      <c r="M44" s="225"/>
      <c r="N44" s="214"/>
      <c r="O44" s="214"/>
      <c r="P44" s="214"/>
      <c r="Q44" s="214"/>
      <c r="R44" s="225"/>
      <c r="S44" s="214"/>
      <c r="T44" s="214"/>
      <c r="U44" s="214"/>
      <c r="V44" s="214"/>
      <c r="W44" s="565"/>
    </row>
    <row r="45" spans="2:23" s="213" customFormat="1" ht="19.5" customHeight="1">
      <c r="B45" s="562"/>
      <c r="C45" s="214" t="s">
        <v>368</v>
      </c>
      <c r="D45" s="214"/>
      <c r="E45" s="227" t="s">
        <v>118</v>
      </c>
      <c r="F45" s="626"/>
      <c r="G45" s="214"/>
      <c r="H45" s="227" t="s">
        <v>117</v>
      </c>
      <c r="I45" s="420"/>
      <c r="J45" s="214"/>
      <c r="K45" s="398"/>
      <c r="L45" s="398" t="s">
        <v>115</v>
      </c>
      <c r="M45" s="842"/>
      <c r="N45" s="843"/>
      <c r="O45" s="218"/>
      <c r="P45" s="218"/>
      <c r="Q45" s="218"/>
      <c r="R45" s="214"/>
      <c r="S45" s="214"/>
      <c r="T45" s="214"/>
      <c r="U45" s="214"/>
      <c r="V45" s="214"/>
      <c r="W45" s="568"/>
    </row>
    <row r="46" spans="2:23" s="213" customFormat="1" ht="4.5" customHeight="1">
      <c r="B46" s="562"/>
      <c r="C46" s="462"/>
      <c r="D46" s="251"/>
      <c r="E46" s="461"/>
      <c r="F46" s="251"/>
      <c r="G46" s="251"/>
      <c r="H46" s="461"/>
      <c r="I46" s="251"/>
      <c r="J46" s="251"/>
      <c r="K46" s="251"/>
      <c r="L46" s="251"/>
      <c r="M46" s="461"/>
      <c r="N46" s="251"/>
      <c r="O46" s="251"/>
      <c r="P46" s="251"/>
      <c r="Q46" s="251"/>
      <c r="R46" s="461"/>
      <c r="S46" s="251"/>
      <c r="T46" s="251"/>
      <c r="U46" s="251"/>
      <c r="V46" s="251"/>
      <c r="W46" s="564"/>
    </row>
    <row r="47" spans="2:23" s="213" customFormat="1" ht="4.5" customHeight="1">
      <c r="B47" s="562"/>
      <c r="C47" s="214"/>
      <c r="D47" s="214"/>
      <c r="E47" s="225"/>
      <c r="F47" s="214"/>
      <c r="G47" s="214"/>
      <c r="H47" s="225"/>
      <c r="I47" s="214"/>
      <c r="J47" s="214"/>
      <c r="K47" s="214"/>
      <c r="L47" s="214"/>
      <c r="M47" s="225"/>
      <c r="N47" s="214"/>
      <c r="O47" s="214"/>
      <c r="P47" s="214"/>
      <c r="Q47" s="214"/>
      <c r="R47" s="225"/>
      <c r="S47" s="214"/>
      <c r="T47" s="214"/>
      <c r="U47" s="214"/>
      <c r="V47" s="214"/>
      <c r="W47" s="565"/>
    </row>
    <row r="48" spans="2:23" s="213" customFormat="1" ht="15.6">
      <c r="B48" s="562"/>
      <c r="C48" s="313" t="s">
        <v>370</v>
      </c>
      <c r="D48" s="214"/>
      <c r="E48" s="214"/>
      <c r="F48" s="214"/>
      <c r="G48" s="214"/>
      <c r="H48" s="214"/>
      <c r="I48" s="214"/>
      <c r="J48" s="214"/>
      <c r="K48" s="396"/>
      <c r="L48" s="396"/>
      <c r="M48" s="396"/>
      <c r="N48" s="214"/>
      <c r="O48" s="218"/>
      <c r="P48" s="218"/>
      <c r="Q48" s="218"/>
      <c r="R48" s="214"/>
      <c r="S48" s="214"/>
      <c r="T48" s="214"/>
      <c r="U48" s="214"/>
      <c r="V48" s="214"/>
      <c r="W48" s="568"/>
    </row>
    <row r="49" spans="2:32" s="213" customFormat="1" ht="19.5" customHeight="1">
      <c r="B49" s="562"/>
      <c r="C49" s="312" t="s">
        <v>369</v>
      </c>
      <c r="D49" s="214"/>
      <c r="E49" s="214"/>
      <c r="F49" s="214"/>
      <c r="G49" s="214"/>
      <c r="H49" s="214"/>
      <c r="I49" s="214"/>
      <c r="J49" s="214"/>
      <c r="K49" s="396"/>
      <c r="L49" s="396"/>
      <c r="M49" s="396"/>
      <c r="N49" s="214"/>
      <c r="O49" s="218"/>
      <c r="P49" s="218"/>
      <c r="Q49" s="218"/>
      <c r="R49" s="214"/>
      <c r="S49" s="214"/>
      <c r="T49" s="214"/>
      <c r="U49" s="214"/>
      <c r="V49" s="214"/>
      <c r="W49" s="568"/>
    </row>
    <row r="50" spans="2:32" s="219" customFormat="1" ht="19.5" customHeight="1">
      <c r="B50" s="569"/>
      <c r="C50" s="214"/>
      <c r="D50" s="227" t="s">
        <v>160</v>
      </c>
      <c r="E50" s="798"/>
      <c r="F50" s="799"/>
      <c r="G50" s="804" t="e">
        <f>VLOOKUP(E50,Sheet1!I153:J414,2,FALSE)</f>
        <v>#N/A</v>
      </c>
      <c r="H50" s="805"/>
      <c r="I50" s="805"/>
      <c r="J50" s="805"/>
      <c r="K50" s="805"/>
      <c r="L50" s="805"/>
      <c r="M50" s="805"/>
      <c r="N50" s="214"/>
      <c r="O50" s="214"/>
      <c r="P50" s="214"/>
      <c r="Q50" s="214"/>
      <c r="R50" s="214"/>
      <c r="S50" s="214"/>
      <c r="T50" s="214"/>
      <c r="U50" s="214"/>
      <c r="V50" s="627">
        <v>0</v>
      </c>
      <c r="W50" s="628">
        <v>0</v>
      </c>
    </row>
    <row r="51" spans="2:32" s="213" customFormat="1" ht="4.5" customHeight="1">
      <c r="B51" s="562"/>
      <c r="C51" s="214"/>
      <c r="D51" s="214"/>
      <c r="E51" s="225"/>
      <c r="F51" s="214"/>
      <c r="G51" s="214"/>
      <c r="H51" s="250"/>
      <c r="I51" s="214"/>
      <c r="J51" s="214"/>
      <c r="K51" s="214"/>
      <c r="L51" s="214"/>
      <c r="M51" s="250"/>
      <c r="N51" s="214"/>
      <c r="O51" s="214"/>
      <c r="P51" s="214"/>
      <c r="Q51" s="214"/>
      <c r="R51" s="225"/>
      <c r="S51" s="214"/>
      <c r="T51" s="214"/>
      <c r="U51" s="214"/>
      <c r="V51" s="214"/>
      <c r="W51" s="565"/>
    </row>
    <row r="52" spans="2:32" s="474" customFormat="1" ht="20.100000000000001" customHeight="1" thickBot="1">
      <c r="B52" s="570"/>
      <c r="C52" s="473" t="s">
        <v>110</v>
      </c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559"/>
      <c r="AD52" s="475"/>
      <c r="AE52" s="475"/>
      <c r="AF52" s="475"/>
    </row>
    <row r="53" spans="2:32" s="213" customFormat="1" ht="15.75" customHeight="1">
      <c r="B53" s="571" t="s">
        <v>111</v>
      </c>
      <c r="C53" s="314" t="s">
        <v>161</v>
      </c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572"/>
    </row>
    <row r="54" spans="2:32" s="213" customFormat="1" ht="19.5" customHeight="1">
      <c r="B54" s="573"/>
      <c r="C54" s="312" t="s">
        <v>349</v>
      </c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568"/>
    </row>
    <row r="55" spans="2:32" s="213" customFormat="1" ht="19.5" customHeight="1">
      <c r="B55" s="574" t="s">
        <v>109</v>
      </c>
      <c r="C55" s="227" t="s">
        <v>103</v>
      </c>
      <c r="D55" s="782"/>
      <c r="E55" s="783"/>
      <c r="F55" s="214"/>
      <c r="G55" s="227" t="s">
        <v>104</v>
      </c>
      <c r="H55" s="778"/>
      <c r="I55" s="779"/>
      <c r="J55" s="779"/>
      <c r="K55" s="779"/>
      <c r="L55" s="779"/>
      <c r="M55" s="779"/>
      <c r="N55" s="779"/>
      <c r="O55" s="779"/>
      <c r="P55" s="779"/>
      <c r="Q55" s="779"/>
      <c r="R55" s="779"/>
      <c r="S55" s="214"/>
      <c r="T55" s="214"/>
      <c r="U55" s="214"/>
      <c r="V55" s="214"/>
      <c r="W55" s="568"/>
    </row>
    <row r="56" spans="2:32" s="213" customFormat="1" ht="4.5" customHeight="1" thickBot="1">
      <c r="B56" s="575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568"/>
    </row>
    <row r="57" spans="2:32" s="151" customFormat="1" ht="15" customHeight="1" thickBot="1">
      <c r="B57" s="576"/>
      <c r="C57" s="226" t="s">
        <v>108</v>
      </c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577"/>
      <c r="AA57" s="152"/>
      <c r="AC57" s="152"/>
    </row>
    <row r="58" spans="2:32" s="292" customFormat="1" ht="26.25" customHeight="1" thickBot="1">
      <c r="B58" s="578"/>
      <c r="C58" s="283" t="s">
        <v>338</v>
      </c>
      <c r="D58" s="786" t="s">
        <v>339</v>
      </c>
      <c r="E58" s="787"/>
      <c r="F58" s="284" t="s">
        <v>101</v>
      </c>
      <c r="G58" s="285"/>
      <c r="H58" s="286" t="s">
        <v>100</v>
      </c>
      <c r="I58" s="287"/>
      <c r="J58" s="284" t="s">
        <v>162</v>
      </c>
      <c r="K58" s="288"/>
      <c r="L58" s="285"/>
      <c r="M58" s="284" t="s">
        <v>98</v>
      </c>
      <c r="N58" s="289"/>
      <c r="O58" s="289"/>
      <c r="P58" s="289"/>
      <c r="Q58" s="289"/>
      <c r="R58" s="285"/>
      <c r="S58" s="827" t="s">
        <v>163</v>
      </c>
      <c r="T58" s="828"/>
      <c r="U58" s="829" t="s">
        <v>97</v>
      </c>
      <c r="V58" s="830"/>
      <c r="W58" s="579"/>
      <c r="X58" s="290" t="s">
        <v>90</v>
      </c>
      <c r="Y58" s="291" t="s">
        <v>90</v>
      </c>
      <c r="AC58" s="291"/>
      <c r="AD58" s="291"/>
      <c r="AE58" s="291"/>
      <c r="AF58" s="292" t="s">
        <v>90</v>
      </c>
    </row>
    <row r="59" spans="2:32" s="390" customFormat="1" ht="19.5" customHeight="1" thickBot="1">
      <c r="B59" s="580"/>
      <c r="C59" s="623"/>
      <c r="D59" s="784"/>
      <c r="E59" s="785"/>
      <c r="F59" s="788"/>
      <c r="G59" s="789"/>
      <c r="H59" s="788"/>
      <c r="I59" s="789"/>
      <c r="J59" s="788"/>
      <c r="K59" s="790"/>
      <c r="L59" s="789"/>
      <c r="M59" s="446" t="e">
        <f>VLOOKUP(H59,Sheet1!I$54:J$289,2,FALSE)</f>
        <v>#N/A</v>
      </c>
      <c r="N59" s="275"/>
      <c r="O59" s="275"/>
      <c r="P59" s="275"/>
      <c r="Q59" s="275"/>
      <c r="R59" s="276"/>
      <c r="S59" s="776" t="e">
        <f>SUM(U59/U$66)</f>
        <v>#DIV/0!</v>
      </c>
      <c r="T59" s="777"/>
      <c r="U59" s="831"/>
      <c r="V59" s="832"/>
      <c r="W59" s="579"/>
      <c r="X59" s="389"/>
    </row>
    <row r="60" spans="2:32" s="390" customFormat="1" ht="19.5" customHeight="1" thickBot="1">
      <c r="B60" s="580"/>
      <c r="C60" s="623"/>
      <c r="D60" s="784"/>
      <c r="E60" s="785"/>
      <c r="F60" s="788"/>
      <c r="G60" s="789"/>
      <c r="H60" s="788"/>
      <c r="I60" s="789"/>
      <c r="J60" s="788"/>
      <c r="K60" s="790"/>
      <c r="L60" s="789"/>
      <c r="M60" s="446" t="e">
        <f>VLOOKUP(H60,Sheet1!I$54:J$289,2,FALSE)</f>
        <v>#N/A</v>
      </c>
      <c r="N60" s="275"/>
      <c r="O60" s="275"/>
      <c r="P60" s="275"/>
      <c r="Q60" s="275"/>
      <c r="R60" s="276"/>
      <c r="S60" s="776" t="e">
        <f>SUM(U60/U$66)</f>
        <v>#DIV/0!</v>
      </c>
      <c r="T60" s="777"/>
      <c r="U60" s="831"/>
      <c r="V60" s="832"/>
      <c r="W60" s="581"/>
      <c r="X60" s="389"/>
    </row>
    <row r="61" spans="2:32" s="390" customFormat="1" ht="19.5" customHeight="1" thickBot="1">
      <c r="B61" s="580"/>
      <c r="C61" s="623"/>
      <c r="D61" s="784"/>
      <c r="E61" s="785"/>
      <c r="F61" s="788"/>
      <c r="G61" s="789"/>
      <c r="H61" s="788"/>
      <c r="I61" s="789"/>
      <c r="J61" s="788"/>
      <c r="K61" s="790"/>
      <c r="L61" s="789"/>
      <c r="M61" s="446" t="e">
        <f>VLOOKUP(H61,Sheet1!I$54:J$289,2,FALSE)</f>
        <v>#N/A</v>
      </c>
      <c r="N61" s="275"/>
      <c r="O61" s="275"/>
      <c r="P61" s="275"/>
      <c r="Q61" s="275"/>
      <c r="R61" s="276"/>
      <c r="S61" s="776" t="e">
        <f>SUM(U61/U$66)</f>
        <v>#DIV/0!</v>
      </c>
      <c r="T61" s="777"/>
      <c r="U61" s="831"/>
      <c r="V61" s="832"/>
      <c r="W61" s="581"/>
      <c r="X61" s="389"/>
    </row>
    <row r="62" spans="2:32" s="390" customFormat="1" ht="19.5" customHeight="1" thickBot="1">
      <c r="B62" s="580"/>
      <c r="C62" s="623"/>
      <c r="D62" s="784"/>
      <c r="E62" s="785"/>
      <c r="F62" s="788"/>
      <c r="G62" s="789"/>
      <c r="H62" s="788"/>
      <c r="I62" s="789"/>
      <c r="J62" s="788"/>
      <c r="K62" s="790"/>
      <c r="L62" s="789"/>
      <c r="M62" s="446" t="e">
        <f>VLOOKUP(H62,Sheet1!I$54:J$289,2,FALSE)</f>
        <v>#N/A</v>
      </c>
      <c r="N62" s="275"/>
      <c r="O62" s="275"/>
      <c r="P62" s="275"/>
      <c r="Q62" s="275"/>
      <c r="R62" s="276"/>
      <c r="S62" s="776" t="e">
        <f t="shared" ref="S62:S64" si="0">SUM(U62/U$66)</f>
        <v>#DIV/0!</v>
      </c>
      <c r="T62" s="777"/>
      <c r="U62" s="831"/>
      <c r="V62" s="832"/>
      <c r="W62" s="581"/>
      <c r="X62" s="389"/>
    </row>
    <row r="63" spans="2:32" s="390" customFormat="1" ht="19.5" customHeight="1" thickBot="1">
      <c r="B63" s="580"/>
      <c r="C63" s="623"/>
      <c r="D63" s="784"/>
      <c r="E63" s="785"/>
      <c r="F63" s="788"/>
      <c r="G63" s="789"/>
      <c r="H63" s="788"/>
      <c r="I63" s="789"/>
      <c r="J63" s="788"/>
      <c r="K63" s="790"/>
      <c r="L63" s="789"/>
      <c r="M63" s="446" t="e">
        <f>VLOOKUP(H63,Sheet1!I$54:J$289,2,FALSE)</f>
        <v>#N/A</v>
      </c>
      <c r="N63" s="275"/>
      <c r="O63" s="275"/>
      <c r="P63" s="275"/>
      <c r="Q63" s="275"/>
      <c r="R63" s="276"/>
      <c r="S63" s="776" t="e">
        <f t="shared" si="0"/>
        <v>#DIV/0!</v>
      </c>
      <c r="T63" s="777"/>
      <c r="U63" s="831"/>
      <c r="V63" s="832"/>
      <c r="W63" s="581"/>
      <c r="X63" s="389"/>
    </row>
    <row r="64" spans="2:32" s="390" customFormat="1" ht="19.5" customHeight="1" thickBot="1">
      <c r="B64" s="580"/>
      <c r="C64" s="623"/>
      <c r="D64" s="784"/>
      <c r="E64" s="785"/>
      <c r="F64" s="788"/>
      <c r="G64" s="789"/>
      <c r="H64" s="788"/>
      <c r="I64" s="789"/>
      <c r="J64" s="788"/>
      <c r="K64" s="790"/>
      <c r="L64" s="789"/>
      <c r="M64" s="446" t="e">
        <f>VLOOKUP(H64,Sheet1!I$54:J$289,2,FALSE)</f>
        <v>#N/A</v>
      </c>
      <c r="N64" s="275"/>
      <c r="O64" s="275"/>
      <c r="P64" s="275"/>
      <c r="Q64" s="275"/>
      <c r="R64" s="276"/>
      <c r="S64" s="776" t="e">
        <f t="shared" si="0"/>
        <v>#DIV/0!</v>
      </c>
      <c r="T64" s="777"/>
      <c r="U64" s="831"/>
      <c r="V64" s="832"/>
      <c r="W64" s="581"/>
      <c r="X64" s="389"/>
    </row>
    <row r="65" spans="2:32" s="151" customFormat="1" ht="4.5" customHeight="1" thickBot="1">
      <c r="B65" s="582"/>
      <c r="C65" s="400"/>
      <c r="D65" s="400"/>
      <c r="E65" s="401"/>
      <c r="F65" s="402"/>
      <c r="G65" s="401"/>
      <c r="H65" s="402"/>
      <c r="I65" s="401"/>
      <c r="J65" s="402"/>
      <c r="K65" s="401"/>
      <c r="L65" s="401"/>
      <c r="M65" s="403"/>
      <c r="N65" s="403"/>
      <c r="O65" s="403"/>
      <c r="P65" s="403"/>
      <c r="Q65" s="403"/>
      <c r="R65" s="399"/>
      <c r="S65" s="295"/>
      <c r="T65" s="295"/>
      <c r="U65" s="404"/>
      <c r="V65" s="405"/>
      <c r="W65" s="581"/>
      <c r="X65" s="152"/>
    </row>
    <row r="66" spans="2:32" s="151" customFormat="1" ht="24" customHeight="1" thickBot="1">
      <c r="B66" s="582"/>
      <c r="C66" s="400"/>
      <c r="D66" s="436" t="s">
        <v>387</v>
      </c>
      <c r="E66" s="537"/>
      <c r="F66" s="537"/>
      <c r="G66" s="401"/>
      <c r="H66" s="537"/>
      <c r="I66" s="537"/>
      <c r="J66" s="537"/>
      <c r="K66" s="401"/>
      <c r="L66" s="401"/>
      <c r="M66" s="403"/>
      <c r="N66" s="403"/>
      <c r="O66" s="403"/>
      <c r="P66" s="537"/>
      <c r="Q66" s="406" t="s">
        <v>59</v>
      </c>
      <c r="R66" s="406"/>
      <c r="S66" s="848" t="e">
        <f>SUM(S59:T64)</f>
        <v>#DIV/0!</v>
      </c>
      <c r="T66" s="849"/>
      <c r="U66" s="836">
        <f>SUM(U59:V64)</f>
        <v>0</v>
      </c>
      <c r="V66" s="837"/>
      <c r="W66" s="583"/>
      <c r="X66" s="152"/>
    </row>
    <row r="67" spans="2:32" s="213" customFormat="1" ht="12" customHeight="1">
      <c r="B67" s="584"/>
      <c r="D67" s="253"/>
      <c r="G67" s="214"/>
      <c r="L67" s="214"/>
      <c r="M67" s="214"/>
      <c r="N67" s="214"/>
      <c r="O67" s="214"/>
      <c r="P67" s="214"/>
      <c r="Q67" s="214"/>
      <c r="R67" s="214"/>
      <c r="S67" s="214"/>
      <c r="T67" s="435" t="s">
        <v>374</v>
      </c>
      <c r="U67" s="214"/>
      <c r="V67" s="214"/>
      <c r="W67" s="583"/>
    </row>
    <row r="68" spans="2:32" s="213" customFormat="1" ht="4.5" customHeight="1" thickBot="1">
      <c r="B68" s="585"/>
      <c r="C68" s="214"/>
      <c r="D68" s="214"/>
      <c r="E68" s="214"/>
      <c r="F68" s="214"/>
      <c r="G68" s="214"/>
      <c r="H68" s="214"/>
      <c r="I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565"/>
    </row>
    <row r="69" spans="2:32" s="171" customFormat="1" ht="17.25" customHeight="1" thickBot="1">
      <c r="B69" s="586"/>
      <c r="C69" s="472" t="s">
        <v>106</v>
      </c>
      <c r="D69" s="466"/>
      <c r="E69" s="466"/>
      <c r="F69" s="466"/>
      <c r="G69" s="466"/>
      <c r="H69" s="466"/>
      <c r="I69" s="466"/>
      <c r="J69" s="466"/>
      <c r="K69" s="466"/>
      <c r="L69" s="466"/>
      <c r="M69" s="466"/>
      <c r="N69" s="466"/>
      <c r="O69" s="466"/>
      <c r="P69" s="466"/>
      <c r="Q69" s="466"/>
      <c r="R69" s="466"/>
      <c r="S69" s="466"/>
      <c r="T69" s="466"/>
      <c r="U69" s="466"/>
      <c r="V69" s="466"/>
      <c r="W69" s="544"/>
    </row>
    <row r="70" spans="2:32" s="213" customFormat="1" ht="21.9" customHeight="1">
      <c r="B70" s="571" t="s">
        <v>107</v>
      </c>
      <c r="C70" s="246" t="s">
        <v>103</v>
      </c>
      <c r="D70" s="782"/>
      <c r="E70" s="783"/>
      <c r="F70" s="245"/>
      <c r="G70" s="246" t="s">
        <v>104</v>
      </c>
      <c r="H70" s="780"/>
      <c r="I70" s="781"/>
      <c r="J70" s="781"/>
      <c r="K70" s="781"/>
      <c r="L70" s="781"/>
      <c r="M70" s="781"/>
      <c r="N70" s="781"/>
      <c r="O70" s="781"/>
      <c r="P70" s="781"/>
      <c r="Q70" s="781"/>
      <c r="R70" s="781"/>
      <c r="S70" s="245"/>
      <c r="T70" s="245"/>
      <c r="U70" s="245"/>
      <c r="V70" s="245"/>
      <c r="W70" s="572"/>
    </row>
    <row r="71" spans="2:32" s="213" customFormat="1" ht="4.5" customHeight="1" thickBot="1">
      <c r="B71" s="587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568"/>
    </row>
    <row r="72" spans="2:32" s="151" customFormat="1" ht="15" customHeight="1" thickBot="1">
      <c r="B72" s="588" t="s">
        <v>105</v>
      </c>
      <c r="C72" s="226" t="s">
        <v>102</v>
      </c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577"/>
      <c r="AA72" s="152"/>
      <c r="AC72" s="152"/>
    </row>
    <row r="73" spans="2:32" s="292" customFormat="1" ht="26.25" customHeight="1" thickBot="1">
      <c r="B73" s="578"/>
      <c r="C73" s="300" t="s">
        <v>338</v>
      </c>
      <c r="D73" s="786" t="s">
        <v>339</v>
      </c>
      <c r="E73" s="787"/>
      <c r="F73" s="284" t="s">
        <v>101</v>
      </c>
      <c r="G73" s="285"/>
      <c r="H73" s="286" t="s">
        <v>100</v>
      </c>
      <c r="I73" s="287"/>
      <c r="J73" s="284" t="s">
        <v>99</v>
      </c>
      <c r="K73" s="288"/>
      <c r="L73" s="285"/>
      <c r="M73" s="284" t="s">
        <v>98</v>
      </c>
      <c r="N73" s="289"/>
      <c r="O73" s="289"/>
      <c r="P73" s="289"/>
      <c r="Q73" s="289"/>
      <c r="R73" s="285"/>
      <c r="S73" s="827" t="s">
        <v>163</v>
      </c>
      <c r="T73" s="828"/>
      <c r="U73" s="829" t="s">
        <v>97</v>
      </c>
      <c r="V73" s="830"/>
      <c r="W73" s="579"/>
      <c r="X73" s="290" t="s">
        <v>90</v>
      </c>
      <c r="Y73" s="291" t="s">
        <v>90</v>
      </c>
      <c r="AC73" s="291"/>
      <c r="AD73" s="291"/>
      <c r="AE73" s="291"/>
      <c r="AF73" s="292" t="s">
        <v>90</v>
      </c>
    </row>
    <row r="74" spans="2:32" s="390" customFormat="1" ht="19.5" customHeight="1" thickBot="1">
      <c r="B74" s="580"/>
      <c r="C74" s="277"/>
      <c r="D74" s="784"/>
      <c r="E74" s="785"/>
      <c r="F74" s="788"/>
      <c r="G74" s="789"/>
      <c r="H74" s="788"/>
      <c r="I74" s="789"/>
      <c r="J74" s="788"/>
      <c r="K74" s="790"/>
      <c r="L74" s="789"/>
      <c r="M74" s="446" t="e">
        <f>VLOOKUP(H74,Sheet1!I$54:J$289,2,FALSE)</f>
        <v>#N/A</v>
      </c>
      <c r="N74" s="275"/>
      <c r="O74" s="275"/>
      <c r="P74" s="275"/>
      <c r="Q74" s="275"/>
      <c r="R74" s="276"/>
      <c r="S74" s="776" t="e">
        <f t="shared" ref="S74:S79" si="1">SUM(U74/U$81)</f>
        <v>#DIV/0!</v>
      </c>
      <c r="T74" s="777"/>
      <c r="U74" s="831"/>
      <c r="V74" s="832"/>
      <c r="W74" s="581"/>
      <c r="X74" s="389"/>
    </row>
    <row r="75" spans="2:32" s="390" customFormat="1" ht="19.5" customHeight="1" thickBot="1">
      <c r="B75" s="580"/>
      <c r="C75" s="623"/>
      <c r="D75" s="784"/>
      <c r="E75" s="785"/>
      <c r="F75" s="788"/>
      <c r="G75" s="789"/>
      <c r="H75" s="788"/>
      <c r="I75" s="789"/>
      <c r="J75" s="788"/>
      <c r="K75" s="790"/>
      <c r="L75" s="789"/>
      <c r="M75" s="446" t="e">
        <f>VLOOKUP(H75,Sheet1!I$54:J$289,2,FALSE)</f>
        <v>#N/A</v>
      </c>
      <c r="N75" s="275"/>
      <c r="O75" s="275"/>
      <c r="P75" s="275"/>
      <c r="Q75" s="275"/>
      <c r="R75" s="276"/>
      <c r="S75" s="776" t="e">
        <f t="shared" si="1"/>
        <v>#DIV/0!</v>
      </c>
      <c r="T75" s="777"/>
      <c r="U75" s="831"/>
      <c r="V75" s="832"/>
      <c r="W75" s="581"/>
      <c r="X75" s="389"/>
    </row>
    <row r="76" spans="2:32" s="390" customFormat="1" ht="19.5" customHeight="1" thickBot="1">
      <c r="B76" s="580"/>
      <c r="C76" s="623"/>
      <c r="D76" s="784"/>
      <c r="E76" s="785"/>
      <c r="F76" s="788"/>
      <c r="G76" s="789"/>
      <c r="H76" s="788"/>
      <c r="I76" s="789"/>
      <c r="J76" s="788"/>
      <c r="K76" s="790"/>
      <c r="L76" s="789"/>
      <c r="M76" s="446" t="e">
        <f>VLOOKUP(H76,Sheet1!I$54:J$289,2,FALSE)</f>
        <v>#N/A</v>
      </c>
      <c r="N76" s="275"/>
      <c r="O76" s="275"/>
      <c r="P76" s="275"/>
      <c r="Q76" s="275"/>
      <c r="R76" s="276"/>
      <c r="S76" s="776" t="e">
        <f t="shared" si="1"/>
        <v>#DIV/0!</v>
      </c>
      <c r="T76" s="777"/>
      <c r="U76" s="831"/>
      <c r="V76" s="832"/>
      <c r="W76" s="581"/>
      <c r="X76" s="389"/>
    </row>
    <row r="77" spans="2:32" s="390" customFormat="1" ht="19.5" customHeight="1" thickBot="1">
      <c r="B77" s="580"/>
      <c r="C77" s="623"/>
      <c r="D77" s="784"/>
      <c r="E77" s="785"/>
      <c r="F77" s="788"/>
      <c r="G77" s="789"/>
      <c r="H77" s="788"/>
      <c r="I77" s="789"/>
      <c r="J77" s="788"/>
      <c r="K77" s="790"/>
      <c r="L77" s="789"/>
      <c r="M77" s="446" t="e">
        <f>VLOOKUP(H77,Sheet1!I$54:J$289,2,FALSE)</f>
        <v>#N/A</v>
      </c>
      <c r="N77" s="275"/>
      <c r="O77" s="275"/>
      <c r="P77" s="275"/>
      <c r="Q77" s="275"/>
      <c r="R77" s="276"/>
      <c r="S77" s="776" t="e">
        <f t="shared" si="1"/>
        <v>#DIV/0!</v>
      </c>
      <c r="T77" s="777"/>
      <c r="U77" s="831"/>
      <c r="V77" s="832"/>
      <c r="W77" s="581"/>
      <c r="X77" s="389"/>
    </row>
    <row r="78" spans="2:32" s="390" customFormat="1" ht="19.5" customHeight="1" thickBot="1">
      <c r="B78" s="580"/>
      <c r="C78" s="623"/>
      <c r="D78" s="784"/>
      <c r="E78" s="785"/>
      <c r="F78" s="788"/>
      <c r="G78" s="789"/>
      <c r="H78" s="788"/>
      <c r="I78" s="789"/>
      <c r="J78" s="788"/>
      <c r="K78" s="790"/>
      <c r="L78" s="789"/>
      <c r="M78" s="446" t="e">
        <f>VLOOKUP(H78,Sheet1!I$54:J$289,2,FALSE)</f>
        <v>#N/A</v>
      </c>
      <c r="N78" s="275"/>
      <c r="O78" s="275"/>
      <c r="P78" s="275"/>
      <c r="Q78" s="275"/>
      <c r="R78" s="276"/>
      <c r="S78" s="776" t="e">
        <f t="shared" si="1"/>
        <v>#DIV/0!</v>
      </c>
      <c r="T78" s="777"/>
      <c r="U78" s="831"/>
      <c r="V78" s="832"/>
      <c r="W78" s="581"/>
      <c r="X78" s="389"/>
    </row>
    <row r="79" spans="2:32" s="390" customFormat="1" ht="19.5" customHeight="1" thickBot="1">
      <c r="B79" s="580"/>
      <c r="C79" s="623"/>
      <c r="D79" s="784"/>
      <c r="E79" s="785"/>
      <c r="F79" s="788"/>
      <c r="G79" s="789"/>
      <c r="H79" s="788"/>
      <c r="I79" s="789"/>
      <c r="J79" s="788"/>
      <c r="K79" s="790"/>
      <c r="L79" s="789"/>
      <c r="M79" s="446" t="e">
        <f>VLOOKUP(H79,Sheet1!I$54:J$289,2,FALSE)</f>
        <v>#N/A</v>
      </c>
      <c r="N79" s="275"/>
      <c r="O79" s="275"/>
      <c r="P79" s="275"/>
      <c r="Q79" s="275"/>
      <c r="R79" s="276"/>
      <c r="S79" s="776" t="e">
        <f t="shared" si="1"/>
        <v>#DIV/0!</v>
      </c>
      <c r="T79" s="777"/>
      <c r="U79" s="831"/>
      <c r="V79" s="832"/>
      <c r="W79" s="581"/>
      <c r="X79" s="389"/>
    </row>
    <row r="80" spans="2:32" s="151" customFormat="1" ht="4.5" customHeight="1" thickBot="1">
      <c r="B80" s="582"/>
      <c r="C80" s="400"/>
      <c r="D80" s="400"/>
      <c r="E80" s="401"/>
      <c r="F80" s="402"/>
      <c r="G80" s="401"/>
      <c r="H80" s="402"/>
      <c r="I80" s="401"/>
      <c r="J80" s="402"/>
      <c r="K80" s="401"/>
      <c r="L80" s="401"/>
      <c r="M80" s="403"/>
      <c r="N80" s="403"/>
      <c r="O80" s="403"/>
      <c r="P80" s="403"/>
      <c r="Q80" s="403"/>
      <c r="R80" s="399"/>
      <c r="S80" s="295"/>
      <c r="T80" s="295"/>
      <c r="U80" s="404"/>
      <c r="V80" s="405"/>
      <c r="W80" s="583"/>
      <c r="X80" s="152"/>
    </row>
    <row r="81" spans="2:27" s="151" customFormat="1" ht="24" customHeight="1" thickBot="1">
      <c r="B81" s="582"/>
      <c r="C81" s="400"/>
      <c r="D81" s="400"/>
      <c r="E81" s="401"/>
      <c r="F81" s="228"/>
      <c r="G81" s="401"/>
      <c r="H81" s="537"/>
      <c r="I81" s="537"/>
      <c r="J81" s="537"/>
      <c r="K81" s="401"/>
      <c r="L81" s="401"/>
      <c r="M81" s="403"/>
      <c r="N81" s="403"/>
      <c r="O81" s="403"/>
      <c r="P81" s="537"/>
      <c r="Q81" s="406" t="s">
        <v>59</v>
      </c>
      <c r="R81" s="406"/>
      <c r="S81" s="834" t="e">
        <f>SUM(S74:T79)</f>
        <v>#DIV/0!</v>
      </c>
      <c r="T81" s="835"/>
      <c r="U81" s="836">
        <f>SUM(U74:V79)</f>
        <v>0</v>
      </c>
      <c r="V81" s="837"/>
      <c r="W81" s="583"/>
      <c r="X81" s="152"/>
    </row>
    <row r="82" spans="2:27" s="242" customFormat="1" ht="4.5" customHeight="1" thickBot="1">
      <c r="B82" s="582"/>
      <c r="C82" s="407"/>
      <c r="D82" s="407"/>
      <c r="E82" s="408"/>
      <c r="F82" s="228"/>
      <c r="G82" s="408"/>
      <c r="H82" s="229"/>
      <c r="I82" s="229"/>
      <c r="J82" s="229"/>
      <c r="K82" s="408"/>
      <c r="L82" s="408"/>
      <c r="M82" s="409"/>
      <c r="N82" s="409"/>
      <c r="O82" s="409"/>
      <c r="P82" s="229"/>
      <c r="Q82" s="409"/>
      <c r="R82" s="410"/>
      <c r="S82" s="243"/>
      <c r="T82" s="411"/>
      <c r="U82" s="412"/>
      <c r="V82" s="413"/>
      <c r="W82" s="583"/>
      <c r="X82" s="244"/>
    </row>
    <row r="83" spans="2:27" s="468" customFormat="1" ht="17.25" customHeight="1" thickBot="1">
      <c r="B83" s="543" t="s">
        <v>94</v>
      </c>
      <c r="C83" s="466"/>
      <c r="D83" s="466"/>
      <c r="E83" s="466"/>
      <c r="F83" s="466"/>
      <c r="G83" s="466"/>
      <c r="H83" s="466"/>
      <c r="I83" s="466"/>
      <c r="J83" s="466"/>
      <c r="K83" s="466"/>
      <c r="L83" s="466"/>
      <c r="M83" s="466"/>
      <c r="N83" s="466"/>
      <c r="O83" s="466"/>
      <c r="P83" s="466"/>
      <c r="Q83" s="466"/>
      <c r="R83" s="466"/>
      <c r="S83" s="466"/>
      <c r="T83" s="466"/>
      <c r="U83" s="466"/>
      <c r="V83" s="466"/>
      <c r="W83" s="544"/>
      <c r="X83" s="467"/>
    </row>
    <row r="84" spans="2:27" s="151" customFormat="1" ht="21" customHeight="1" thickBot="1">
      <c r="B84" s="589">
        <v>5</v>
      </c>
      <c r="C84" s="844" t="s">
        <v>96</v>
      </c>
      <c r="D84" s="845"/>
      <c r="E84" s="190"/>
      <c r="F84" s="191"/>
      <c r="G84" s="191"/>
      <c r="H84" s="191"/>
      <c r="I84" s="191"/>
      <c r="J84" s="191"/>
      <c r="K84" s="191"/>
      <c r="L84" s="192"/>
      <c r="M84" s="183"/>
      <c r="N84" s="184"/>
      <c r="O84" s="184"/>
      <c r="P84" s="184"/>
      <c r="Q84" s="184"/>
      <c r="R84" s="184"/>
      <c r="S84" s="184"/>
      <c r="T84" s="432"/>
      <c r="U84" s="430"/>
      <c r="V84" s="430"/>
      <c r="W84" s="590"/>
    </row>
    <row r="85" spans="2:27" s="151" customFormat="1" ht="12" customHeight="1" thickBot="1">
      <c r="B85" s="591"/>
      <c r="C85" s="846"/>
      <c r="D85" s="847"/>
      <c r="E85" s="235" t="s">
        <v>95</v>
      </c>
      <c r="F85" s="236"/>
      <c r="G85" s="236"/>
      <c r="H85" s="236"/>
      <c r="I85" s="236"/>
      <c r="J85" s="236"/>
      <c r="K85" s="236"/>
      <c r="L85" s="237"/>
      <c r="M85" s="235" t="s">
        <v>73</v>
      </c>
      <c r="N85" s="236"/>
      <c r="O85" s="236"/>
      <c r="P85" s="236"/>
      <c r="Q85" s="236"/>
      <c r="R85" s="236"/>
      <c r="S85" s="236"/>
      <c r="T85" s="433"/>
      <c r="U85" s="431"/>
      <c r="V85" s="431"/>
      <c r="W85" s="592"/>
      <c r="X85" s="189"/>
      <c r="Y85" s="151" t="s">
        <v>90</v>
      </c>
    </row>
    <row r="86" spans="2:27" s="471" customFormat="1" ht="20.100000000000001" customHeight="1" thickBot="1">
      <c r="B86" s="593"/>
      <c r="C86" s="306" t="s">
        <v>93</v>
      </c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594"/>
      <c r="X86" s="470"/>
    </row>
    <row r="87" spans="2:27" s="151" customFormat="1" ht="16.2" thickBot="1">
      <c r="B87" s="595"/>
      <c r="C87" s="298" t="s">
        <v>92</v>
      </c>
      <c r="D87" s="299"/>
      <c r="E87" s="299"/>
      <c r="F87" s="299"/>
      <c r="G87" s="299"/>
      <c r="H87" s="299"/>
      <c r="I87" s="299"/>
      <c r="J87" s="299"/>
      <c r="K87" s="299"/>
      <c r="L87" s="298" t="s">
        <v>91</v>
      </c>
      <c r="M87" s="298"/>
      <c r="N87" s="299"/>
      <c r="O87" s="299"/>
      <c r="P87" s="299"/>
      <c r="Q87" s="299"/>
      <c r="R87" s="299"/>
      <c r="S87" s="299"/>
      <c r="T87" s="299"/>
      <c r="U87" s="299"/>
      <c r="V87" s="299"/>
      <c r="W87" s="596"/>
      <c r="X87" s="189"/>
      <c r="AA87" s="151" t="s">
        <v>90</v>
      </c>
    </row>
    <row r="88" spans="2:27" s="151" customFormat="1" ht="24" customHeight="1">
      <c r="B88" s="595"/>
      <c r="C88" s="391" t="s">
        <v>356</v>
      </c>
      <c r="D88" s="195"/>
      <c r="E88" s="369"/>
      <c r="F88" s="369"/>
      <c r="G88" s="369"/>
      <c r="H88" s="369"/>
      <c r="I88" s="370"/>
      <c r="J88" s="193" t="s">
        <v>83</v>
      </c>
      <c r="K88" s="194"/>
      <c r="L88" s="391" t="s">
        <v>356</v>
      </c>
      <c r="M88" s="195"/>
      <c r="N88" s="195"/>
      <c r="O88" s="195"/>
      <c r="P88" s="369"/>
      <c r="Q88" s="369"/>
      <c r="R88" s="369"/>
      <c r="S88" s="369"/>
      <c r="T88" s="369"/>
      <c r="U88" s="370"/>
      <c r="V88" s="193" t="s">
        <v>83</v>
      </c>
      <c r="W88" s="597"/>
      <c r="X88" s="189"/>
    </row>
    <row r="89" spans="2:27" s="151" customFormat="1" ht="24" customHeight="1">
      <c r="B89" s="598"/>
      <c r="C89" s="392" t="s">
        <v>357</v>
      </c>
      <c r="D89" s="198"/>
      <c r="E89" s="371"/>
      <c r="F89" s="371"/>
      <c r="G89" s="371"/>
      <c r="H89" s="371"/>
      <c r="I89" s="372"/>
      <c r="J89" s="196" t="s">
        <v>83</v>
      </c>
      <c r="K89" s="197"/>
      <c r="L89" s="392" t="s">
        <v>357</v>
      </c>
      <c r="M89" s="198"/>
      <c r="N89" s="198"/>
      <c r="O89" s="198"/>
      <c r="P89" s="375"/>
      <c r="Q89" s="375"/>
      <c r="R89" s="375"/>
      <c r="S89" s="375"/>
      <c r="T89" s="375"/>
      <c r="U89" s="376"/>
      <c r="V89" s="196" t="s">
        <v>83</v>
      </c>
      <c r="W89" s="599"/>
      <c r="X89" s="189"/>
      <c r="Y89" s="151" t="s">
        <v>90</v>
      </c>
      <c r="AA89" s="151" t="s">
        <v>90</v>
      </c>
    </row>
    <row r="90" spans="2:27" s="151" customFormat="1" ht="24" customHeight="1">
      <c r="B90" s="598"/>
      <c r="C90" s="392" t="s">
        <v>358</v>
      </c>
      <c r="D90" s="198"/>
      <c r="E90" s="371"/>
      <c r="F90" s="371"/>
      <c r="G90" s="371"/>
      <c r="H90" s="371"/>
      <c r="I90" s="372"/>
      <c r="J90" s="196" t="s">
        <v>83</v>
      </c>
      <c r="K90" s="197"/>
      <c r="L90" s="392" t="s">
        <v>358</v>
      </c>
      <c r="M90" s="198"/>
      <c r="N90" s="198"/>
      <c r="O90" s="198"/>
      <c r="P90" s="375"/>
      <c r="Q90" s="375"/>
      <c r="R90" s="375"/>
      <c r="S90" s="375"/>
      <c r="T90" s="375"/>
      <c r="U90" s="376"/>
      <c r="V90" s="196" t="s">
        <v>83</v>
      </c>
      <c r="W90" s="599"/>
      <c r="X90" s="189"/>
      <c r="Y90" s="151" t="s">
        <v>90</v>
      </c>
      <c r="AA90" s="151" t="s">
        <v>90</v>
      </c>
    </row>
    <row r="91" spans="2:27" s="151" customFormat="1" ht="24" customHeight="1" thickBot="1">
      <c r="B91" s="600"/>
      <c r="C91" s="230" t="s">
        <v>359</v>
      </c>
      <c r="D91" s="201"/>
      <c r="E91" s="393"/>
      <c r="F91" s="373"/>
      <c r="G91" s="373"/>
      <c r="H91" s="373"/>
      <c r="I91" s="374"/>
      <c r="J91" s="199" t="s">
        <v>83</v>
      </c>
      <c r="K91" s="200"/>
      <c r="L91" s="230" t="s">
        <v>359</v>
      </c>
      <c r="M91" s="201"/>
      <c r="N91" s="201"/>
      <c r="O91" s="201"/>
      <c r="P91" s="377"/>
      <c r="Q91" s="377"/>
      <c r="R91" s="377"/>
      <c r="S91" s="377"/>
      <c r="T91" s="377"/>
      <c r="U91" s="378"/>
      <c r="V91" s="199" t="s">
        <v>83</v>
      </c>
      <c r="W91" s="601"/>
      <c r="X91" s="189"/>
      <c r="Y91" s="151" t="s">
        <v>90</v>
      </c>
      <c r="AA91" s="151" t="s">
        <v>90</v>
      </c>
    </row>
    <row r="92" spans="2:27" s="468" customFormat="1" ht="16.5" customHeight="1" thickBot="1">
      <c r="B92" s="602" t="s">
        <v>446</v>
      </c>
      <c r="C92" s="465"/>
      <c r="D92" s="465"/>
      <c r="E92" s="465"/>
      <c r="F92" s="465"/>
      <c r="G92" s="465"/>
      <c r="H92" s="465"/>
      <c r="I92" s="465"/>
      <c r="J92" s="465"/>
      <c r="K92" s="465"/>
      <c r="L92" s="466" t="s">
        <v>89</v>
      </c>
      <c r="M92" s="466"/>
      <c r="N92" s="466"/>
      <c r="O92" s="466"/>
      <c r="P92" s="466"/>
      <c r="Q92" s="466"/>
      <c r="R92" s="466"/>
      <c r="S92" s="466"/>
      <c r="T92" s="466"/>
      <c r="U92" s="466"/>
      <c r="V92" s="466"/>
      <c r="W92" s="544"/>
      <c r="X92" s="467"/>
    </row>
    <row r="93" spans="2:27" s="151" customFormat="1" ht="24" customHeight="1" thickBot="1">
      <c r="B93" s="603">
        <v>6</v>
      </c>
      <c r="C93" s="202" t="s">
        <v>88</v>
      </c>
      <c r="D93" s="241"/>
      <c r="E93" s="240"/>
      <c r="F93" s="175"/>
      <c r="G93" s="175"/>
      <c r="H93" s="175"/>
      <c r="I93" s="240"/>
      <c r="J93" s="203" t="s">
        <v>83</v>
      </c>
      <c r="K93" s="204"/>
      <c r="L93" s="205" t="s">
        <v>87</v>
      </c>
      <c r="M93" s="206"/>
      <c r="N93" s="206"/>
      <c r="O93" s="207"/>
      <c r="P93" s="231"/>
      <c r="Q93" s="232"/>
      <c r="R93" s="232"/>
      <c r="S93" s="232"/>
      <c r="T93" s="232"/>
      <c r="U93" s="233"/>
      <c r="V93" s="203" t="s">
        <v>83</v>
      </c>
      <c r="W93" s="604"/>
    </row>
    <row r="94" spans="2:27" s="171" customFormat="1" ht="16.5" customHeight="1" thickBot="1">
      <c r="B94" s="605" t="s">
        <v>335</v>
      </c>
      <c r="C94" s="469"/>
      <c r="D94" s="469"/>
      <c r="E94" s="469"/>
      <c r="F94" s="469"/>
      <c r="G94" s="469"/>
      <c r="H94" s="469"/>
      <c r="I94" s="469"/>
      <c r="J94" s="469"/>
      <c r="K94" s="469"/>
      <c r="L94" s="469"/>
      <c r="M94" s="469"/>
      <c r="N94" s="469"/>
      <c r="O94" s="469"/>
      <c r="P94" s="469"/>
      <c r="Q94" s="469"/>
      <c r="R94" s="469"/>
      <c r="S94" s="469"/>
      <c r="T94" s="469"/>
      <c r="U94" s="469"/>
      <c r="V94" s="469"/>
      <c r="W94" s="606"/>
    </row>
    <row r="95" spans="2:27" s="185" customFormat="1" ht="18.75" customHeight="1" thickBot="1">
      <c r="B95" s="607">
        <v>7</v>
      </c>
      <c r="C95" s="234" t="s">
        <v>86</v>
      </c>
      <c r="D95" s="414"/>
      <c r="E95" s="415"/>
      <c r="F95" s="208" t="s">
        <v>85</v>
      </c>
      <c r="G95" s="415"/>
      <c r="H95" s="239" t="s">
        <v>165</v>
      </c>
      <c r="I95" s="414"/>
      <c r="J95" s="238"/>
      <c r="K95" s="415"/>
      <c r="L95" s="193" t="s">
        <v>83</v>
      </c>
      <c r="M95" s="414"/>
      <c r="N95" s="414"/>
      <c r="O95" s="414"/>
      <c r="P95" s="278" t="s">
        <v>336</v>
      </c>
      <c r="Q95" s="416"/>
      <c r="R95" s="417"/>
      <c r="S95" s="209" t="s">
        <v>83</v>
      </c>
      <c r="T95" s="414"/>
      <c r="U95" s="418"/>
      <c r="V95" s="210"/>
      <c r="W95" s="608"/>
    </row>
    <row r="96" spans="2:27" s="185" customFormat="1" ht="18.75" customHeight="1" thickBot="1">
      <c r="B96" s="609"/>
      <c r="C96" s="610" t="s">
        <v>164</v>
      </c>
      <c r="D96" s="611"/>
      <c r="E96" s="612"/>
      <c r="F96" s="613" t="s">
        <v>334</v>
      </c>
      <c r="G96" s="612"/>
      <c r="H96" s="613" t="s">
        <v>445</v>
      </c>
      <c r="I96" s="611"/>
      <c r="J96" s="611"/>
      <c r="K96" s="612"/>
      <c r="L96" s="614" t="s">
        <v>83</v>
      </c>
      <c r="M96" s="611"/>
      <c r="N96" s="611"/>
      <c r="O96" s="612"/>
      <c r="P96" s="615" t="s">
        <v>84</v>
      </c>
      <c r="Q96" s="616"/>
      <c r="R96" s="617"/>
      <c r="S96" s="618" t="s">
        <v>83</v>
      </c>
      <c r="T96" s="619"/>
      <c r="U96" s="620"/>
      <c r="V96" s="621"/>
      <c r="W96" s="622"/>
    </row>
    <row r="97" spans="13:18" ht="13.8" thickTop="1">
      <c r="M97" s="151"/>
      <c r="N97" s="151"/>
      <c r="O97" s="151"/>
      <c r="P97" s="151"/>
      <c r="Q97" s="151"/>
      <c r="R97" s="151"/>
    </row>
    <row r="98" spans="13:18">
      <c r="M98" s="151"/>
      <c r="N98" s="151"/>
      <c r="O98" s="151"/>
      <c r="P98" s="151"/>
      <c r="Q98" s="151"/>
      <c r="R98" s="151"/>
    </row>
  </sheetData>
  <sheetProtection sheet="1" objects="1" scenarios="1" selectLockedCells="1"/>
  <mergeCells count="107">
    <mergeCell ref="K19:M19"/>
    <mergeCell ref="U75:V75"/>
    <mergeCell ref="D21:G21"/>
    <mergeCell ref="D55:E55"/>
    <mergeCell ref="M45:N45"/>
    <mergeCell ref="C84:D85"/>
    <mergeCell ref="J77:L77"/>
    <mergeCell ref="U77:V77"/>
    <mergeCell ref="S75:T75"/>
    <mergeCell ref="S77:T77"/>
    <mergeCell ref="U66:V66"/>
    <mergeCell ref="S66:T66"/>
    <mergeCell ref="D73:E73"/>
    <mergeCell ref="S73:T73"/>
    <mergeCell ref="U73:V73"/>
    <mergeCell ref="D74:E74"/>
    <mergeCell ref="F74:G74"/>
    <mergeCell ref="H74:I74"/>
    <mergeCell ref="J74:L74"/>
    <mergeCell ref="U74:V74"/>
    <mergeCell ref="S74:T74"/>
    <mergeCell ref="H75:I75"/>
    <mergeCell ref="J75:L75"/>
    <mergeCell ref="D77:E77"/>
    <mergeCell ref="F77:G77"/>
    <mergeCell ref="H77:I77"/>
    <mergeCell ref="D60:E60"/>
    <mergeCell ref="F60:G60"/>
    <mergeCell ref="H60:I60"/>
    <mergeCell ref="J60:L60"/>
    <mergeCell ref="S81:T81"/>
    <mergeCell ref="U81:V81"/>
    <mergeCell ref="D78:E78"/>
    <mergeCell ref="F78:G78"/>
    <mergeCell ref="H78:I78"/>
    <mergeCell ref="J78:L78"/>
    <mergeCell ref="U78:V78"/>
    <mergeCell ref="D79:E79"/>
    <mergeCell ref="F79:G79"/>
    <mergeCell ref="H79:I79"/>
    <mergeCell ref="J79:L79"/>
    <mergeCell ref="U79:V79"/>
    <mergeCell ref="U76:V76"/>
    <mergeCell ref="D76:E76"/>
    <mergeCell ref="F76:G76"/>
    <mergeCell ref="H76:I76"/>
    <mergeCell ref="J76:L76"/>
    <mergeCell ref="S76:T76"/>
    <mergeCell ref="F63:G63"/>
    <mergeCell ref="U63:V63"/>
    <mergeCell ref="U62:V62"/>
    <mergeCell ref="U61:V61"/>
    <mergeCell ref="S59:T59"/>
    <mergeCell ref="S61:T61"/>
    <mergeCell ref="S62:T62"/>
    <mergeCell ref="S63:T63"/>
    <mergeCell ref="S64:T64"/>
    <mergeCell ref="S60:T60"/>
    <mergeCell ref="U60:V60"/>
    <mergeCell ref="D75:E75"/>
    <mergeCell ref="F75:G75"/>
    <mergeCell ref="U8:W8"/>
    <mergeCell ref="Q8:T8"/>
    <mergeCell ref="K17:M17"/>
    <mergeCell ref="E50:F50"/>
    <mergeCell ref="C8:E8"/>
    <mergeCell ref="G8:J8"/>
    <mergeCell ref="K8:O8"/>
    <mergeCell ref="K20:M20"/>
    <mergeCell ref="K21:M21"/>
    <mergeCell ref="G50:M50"/>
    <mergeCell ref="K16:M16"/>
    <mergeCell ref="N23:W25"/>
    <mergeCell ref="K18:M18"/>
    <mergeCell ref="L36:M36"/>
    <mergeCell ref="K42:M42"/>
    <mergeCell ref="N15:W21"/>
    <mergeCell ref="F64:G64"/>
    <mergeCell ref="S58:T58"/>
    <mergeCell ref="U58:V58"/>
    <mergeCell ref="U59:V59"/>
    <mergeCell ref="U64:V64"/>
    <mergeCell ref="N39:O39"/>
    <mergeCell ref="S78:T78"/>
    <mergeCell ref="S79:T79"/>
    <mergeCell ref="H55:R55"/>
    <mergeCell ref="H70:R70"/>
    <mergeCell ref="D70:E70"/>
    <mergeCell ref="D64:E64"/>
    <mergeCell ref="D58:E58"/>
    <mergeCell ref="D59:E59"/>
    <mergeCell ref="D61:E61"/>
    <mergeCell ref="D62:E62"/>
    <mergeCell ref="D63:E63"/>
    <mergeCell ref="H59:I59"/>
    <mergeCell ref="H61:I61"/>
    <mergeCell ref="H62:I62"/>
    <mergeCell ref="H63:I63"/>
    <mergeCell ref="H64:I64"/>
    <mergeCell ref="J59:L59"/>
    <mergeCell ref="J61:L61"/>
    <mergeCell ref="J62:L62"/>
    <mergeCell ref="J63:L63"/>
    <mergeCell ref="J64:L64"/>
    <mergeCell ref="F59:G59"/>
    <mergeCell ref="F61:G61"/>
    <mergeCell ref="F62:G62"/>
  </mergeCells>
  <conditionalFormatting sqref="T65 P59:P65 Q59:S66 T80 L72:L73 L80:L82 G50:M50 M60:S60 M72:S82 M59:O66 N36">
    <cfRule type="containsErrors" dxfId="100" priority="48">
      <formula>ISERROR(G36)</formula>
    </cfRule>
  </conditionalFormatting>
  <conditionalFormatting sqref="T65 T80 S59:S66 S74:S82">
    <cfRule type="cellIs" dxfId="99" priority="42" operator="equal">
      <formula>0</formula>
    </cfRule>
  </conditionalFormatting>
  <conditionalFormatting sqref="S81:T81 S66:T66">
    <cfRule type="containsErrors" dxfId="98" priority="18">
      <formula>ISERROR(S66)</formula>
    </cfRule>
  </conditionalFormatting>
  <conditionalFormatting sqref="G50:M50">
    <cfRule type="containsText" dxfId="97" priority="14" operator="containsText" text="INVALID">
      <formula>NOT(ISERROR(SEARCH("INVALID",G50)))</formula>
    </cfRule>
    <cfRule type="cellIs" dxfId="96" priority="15" operator="equal">
      <formula>"INVALID HOME ORGN….. PLEASE SELECT A VALID E&amp;G ORGN"</formula>
    </cfRule>
  </conditionalFormatting>
  <conditionalFormatting sqref="S66:T66 S81:T81">
    <cfRule type="containsErrors" dxfId="95" priority="13">
      <formula>ISERROR(S66)</formula>
    </cfRule>
  </conditionalFormatting>
  <conditionalFormatting sqref="U66:V66 U81:V81">
    <cfRule type="cellIs" dxfId="94" priority="11" operator="equal">
      <formula>0</formula>
    </cfRule>
  </conditionalFormatting>
  <conditionalFormatting sqref="L36:M36">
    <cfRule type="cellIs" dxfId="93" priority="6" operator="equal">
      <formula>0</formula>
    </cfRule>
    <cfRule type="cellIs" dxfId="92" priority="9" operator="equal">
      <formula>2</formula>
    </cfRule>
  </conditionalFormatting>
  <conditionalFormatting sqref="N39:O39 V39">
    <cfRule type="notContainsBlanks" dxfId="91" priority="3">
      <formula>LEN(TRIM(N39))&gt;0</formula>
    </cfRule>
  </conditionalFormatting>
  <conditionalFormatting sqref="N39:O39">
    <cfRule type="expression" dxfId="90" priority="74">
      <formula>$V$50=2</formula>
    </cfRule>
  </conditionalFormatting>
  <conditionalFormatting sqref="V39">
    <cfRule type="expression" dxfId="89" priority="75">
      <formula>$V$50=3</formula>
    </cfRule>
  </conditionalFormatting>
  <conditionalFormatting sqref="K42:M42">
    <cfRule type="notContainsBlanks" dxfId="88" priority="78">
      <formula>LEN(TRIM(K42))&gt;0</formula>
    </cfRule>
    <cfRule type="expression" dxfId="87" priority="79">
      <formula>$W$50=2</formula>
    </cfRule>
  </conditionalFormatting>
  <dataValidations count="5">
    <dataValidation type="textLength" allowBlank="1" showInputMessage="1" showErrorMessage="1" errorTitle="Invalid Entry" error="ENTRY MUST BE 6 CHARACTERS/DIGITS LONG" sqref="C59:C66 C74:C82">
      <formula1>6</formula1>
      <formula2>6</formula2>
    </dataValidation>
    <dataValidation type="textLength" allowBlank="1" showInputMessage="1" showErrorMessage="1" error="Entry must be 6 characters/digits in length" sqref="F59:I64 F74:I79">
      <formula1>6</formula1>
      <formula2>6</formula2>
    </dataValidation>
    <dataValidation type="list" allowBlank="1" showInputMessage="1" showErrorMessage="1" error="Valad entries are:   611000 if pay is for teaching,  612000 for all other monthly pay,  622000 for bi-weekly. Each funding line should be specific to the work to be performed. NOTE: cannot be both monthly &amp; bi-weekly" sqref="J59:L64 J74:L79">
      <formula1>"611000,612000,622000"</formula1>
    </dataValidation>
    <dataValidation type="textLength" allowBlank="1" showInputMessage="1" showErrorMessage="1" error="Position number is six characters/digits long" sqref="D55:E55 D70:E70">
      <formula1>6</formula1>
      <formula2>6</formula2>
    </dataValidation>
    <dataValidation type="decimal" operator="lessThanOrEqual" allowBlank="1" showInputMessage="1" showErrorMessage="1" errorTitle="Indicate FTE" error="Full Time = 1_x000a_Part-Time = less than 1" promptTitle="Enter FTE" sqref="L36:M36">
      <formula1>1</formula1>
    </dataValidation>
  </dataValidations>
  <printOptions horizontalCentered="1" verticalCentered="1"/>
  <pageMargins left="0" right="0" top="0" bottom="0" header="0" footer="0"/>
  <pageSetup scale="53" orientation="portrait" r:id="rId1"/>
  <headerFooter alignWithMargins="0">
    <oddFooter>&amp;R&amp;8PAF REVISED 10/28/2011</oddFooter>
  </headerFooter>
  <ignoredErrors>
    <ignoredError sqref="N36" evalError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>
    <tabColor rgb="FFFFC000"/>
    <pageSetUpPr fitToPage="1"/>
  </sheetPr>
  <dimension ref="B1:AF99"/>
  <sheetViews>
    <sheetView showGridLines="0" tabSelected="1" workbookViewId="0">
      <selection activeCell="C9" sqref="C9:E9"/>
    </sheetView>
  </sheetViews>
  <sheetFormatPr defaultColWidth="9.109375" defaultRowHeight="13.2"/>
  <cols>
    <col min="1" max="1" width="1.6640625" style="150" customWidth="1"/>
    <col min="2" max="2" width="4.33203125" style="150" customWidth="1"/>
    <col min="3" max="3" width="19.109375" style="150" customWidth="1"/>
    <col min="4" max="4" width="9.109375" style="150" customWidth="1"/>
    <col min="5" max="5" width="6.6640625" style="150" customWidth="1"/>
    <col min="6" max="6" width="13.6640625" style="150" customWidth="1"/>
    <col min="7" max="7" width="11.6640625" style="150" customWidth="1"/>
    <col min="8" max="8" width="6.6640625" style="150" customWidth="1"/>
    <col min="9" max="9" width="12.6640625" style="150" customWidth="1"/>
    <col min="10" max="10" width="9.33203125" style="150" customWidth="1"/>
    <col min="11" max="11" width="7.88671875" style="150" customWidth="1"/>
    <col min="12" max="12" width="4.6640625" style="150" customWidth="1"/>
    <col min="13" max="15" width="6.6640625" style="150" customWidth="1"/>
    <col min="16" max="16" width="13.88671875" style="150" customWidth="1"/>
    <col min="17" max="18" width="6.6640625" style="150" customWidth="1"/>
    <col min="19" max="20" width="7.6640625" style="150" customWidth="1"/>
    <col min="21" max="21" width="6.88671875" style="150" customWidth="1"/>
    <col min="22" max="22" width="13.6640625" style="150" customWidth="1"/>
    <col min="23" max="23" width="5.6640625" style="150" customWidth="1"/>
    <col min="24" max="24" width="18.6640625" style="150" customWidth="1"/>
    <col min="25" max="25" width="14.33203125" style="150" customWidth="1"/>
    <col min="26" max="26" width="13.5546875" style="150" customWidth="1"/>
    <col min="27" max="27" width="11.44140625" style="150" customWidth="1"/>
    <col min="28" max="28" width="16.6640625" style="150" customWidth="1"/>
    <col min="29" max="16384" width="9.109375" style="150"/>
  </cols>
  <sheetData>
    <row r="1" spans="2:31" ht="19.5" customHeight="1">
      <c r="B1" s="474" t="s">
        <v>2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spans="2:31" ht="21" customHeight="1">
      <c r="B2" s="220" t="s">
        <v>155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</row>
    <row r="3" spans="2:31" ht="10.5" customHeight="1"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</row>
    <row r="4" spans="2:31" s="535" customFormat="1" ht="2.25" customHeight="1" thickBot="1"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6"/>
    </row>
    <row r="5" spans="2:31" s="429" customFormat="1" ht="10.8" thickTop="1">
      <c r="B5" s="538" t="s">
        <v>154</v>
      </c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40"/>
    </row>
    <row r="6" spans="2:31" ht="4.5" customHeight="1" thickBot="1">
      <c r="B6" s="651"/>
      <c r="C6" s="652"/>
      <c r="D6" s="652"/>
      <c r="E6" s="652"/>
      <c r="F6" s="652"/>
      <c r="G6" s="652"/>
      <c r="H6" s="652"/>
      <c r="I6" s="652"/>
      <c r="J6" s="652"/>
      <c r="K6" s="652"/>
      <c r="L6" s="652"/>
      <c r="M6" s="652"/>
      <c r="N6" s="652"/>
      <c r="O6" s="652"/>
      <c r="P6" s="652"/>
      <c r="Q6" s="652"/>
      <c r="R6" s="652"/>
      <c r="S6" s="652"/>
      <c r="T6" s="652"/>
      <c r="U6" s="652"/>
      <c r="V6" s="652"/>
      <c r="W6" s="653"/>
      <c r="Y6" s="152" t="s">
        <v>90</v>
      </c>
      <c r="AA6" s="152" t="s">
        <v>90</v>
      </c>
    </row>
    <row r="7" spans="2:31" s="171" customFormat="1" ht="20.100000000000001" customHeight="1" thickTop="1" thickBot="1">
      <c r="B7" s="662" t="s">
        <v>473</v>
      </c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4"/>
      <c r="Y7" s="479"/>
      <c r="AA7" s="479"/>
    </row>
    <row r="8" spans="2:31" s="151" customFormat="1" ht="17.25" customHeight="1" thickTop="1" thickBot="1">
      <c r="B8" s="545">
        <v>1</v>
      </c>
      <c r="C8" s="654" t="s">
        <v>152</v>
      </c>
      <c r="D8" s="655"/>
      <c r="E8" s="656"/>
      <c r="F8" s="169" t="s">
        <v>151</v>
      </c>
      <c r="G8" s="657" t="s">
        <v>150</v>
      </c>
      <c r="H8" s="658"/>
      <c r="I8" s="658"/>
      <c r="J8" s="659"/>
      <c r="K8" s="657" t="s">
        <v>149</v>
      </c>
      <c r="L8" s="658"/>
      <c r="M8" s="658"/>
      <c r="N8" s="658"/>
      <c r="O8" s="659"/>
      <c r="P8" s="660" t="s">
        <v>148</v>
      </c>
      <c r="Q8" s="657" t="s">
        <v>147</v>
      </c>
      <c r="R8" s="658"/>
      <c r="S8" s="658"/>
      <c r="T8" s="659"/>
      <c r="U8" s="657" t="s">
        <v>146</v>
      </c>
      <c r="V8" s="658"/>
      <c r="W8" s="661"/>
      <c r="Y8" s="152" t="s">
        <v>90</v>
      </c>
      <c r="Z8" s="152" t="s">
        <v>90</v>
      </c>
      <c r="AA8" s="152" t="s">
        <v>90</v>
      </c>
    </row>
    <row r="9" spans="2:31" ht="24" customHeight="1" thickBot="1">
      <c r="B9" s="645"/>
      <c r="C9" s="800"/>
      <c r="D9" s="792"/>
      <c r="E9" s="785"/>
      <c r="F9" s="168"/>
      <c r="G9" s="800"/>
      <c r="H9" s="792"/>
      <c r="I9" s="792"/>
      <c r="J9" s="785"/>
      <c r="K9" s="800"/>
      <c r="L9" s="792"/>
      <c r="M9" s="792"/>
      <c r="N9" s="792"/>
      <c r="O9" s="785"/>
      <c r="P9" s="167"/>
      <c r="Q9" s="794"/>
      <c r="R9" s="792"/>
      <c r="S9" s="792"/>
      <c r="T9" s="785"/>
      <c r="U9" s="791"/>
      <c r="V9" s="792"/>
      <c r="W9" s="793"/>
      <c r="Y9" s="152"/>
      <c r="AA9" s="152"/>
      <c r="AC9" s="152"/>
      <c r="AE9" s="152"/>
    </row>
    <row r="10" spans="2:31" ht="15" hidden="1" customHeight="1">
      <c r="B10" s="547"/>
      <c r="C10" s="166" t="s">
        <v>146</v>
      </c>
      <c r="D10" s="166"/>
      <c r="E10" s="166" t="s">
        <v>145</v>
      </c>
      <c r="F10" s="166"/>
      <c r="G10" s="176"/>
      <c r="H10" s="177" t="s">
        <v>144</v>
      </c>
      <c r="I10" s="166"/>
      <c r="J10" s="166"/>
      <c r="K10" s="166"/>
      <c r="L10" s="165"/>
      <c r="M10" s="177" t="s">
        <v>143</v>
      </c>
      <c r="N10" s="166"/>
      <c r="O10" s="166"/>
      <c r="P10" s="166"/>
      <c r="Q10" s="166"/>
      <c r="R10" s="166"/>
      <c r="S10" s="166"/>
      <c r="T10" s="166"/>
      <c r="U10" s="166"/>
      <c r="V10" s="166"/>
      <c r="W10" s="548"/>
      <c r="AE10" s="152"/>
    </row>
    <row r="11" spans="2:31" ht="21.75" hidden="1" customHeight="1">
      <c r="B11" s="547"/>
      <c r="C11" s="164"/>
      <c r="D11" s="163"/>
      <c r="E11" s="159"/>
      <c r="F11" s="162"/>
      <c r="G11" s="161"/>
      <c r="H11" s="159"/>
      <c r="I11" s="162"/>
      <c r="J11" s="162"/>
      <c r="K11" s="162"/>
      <c r="L11" s="163"/>
      <c r="M11" s="159"/>
      <c r="N11" s="162"/>
      <c r="O11" s="162"/>
      <c r="P11" s="162"/>
      <c r="Q11" s="162"/>
      <c r="R11" s="162"/>
      <c r="S11" s="162"/>
      <c r="T11" s="162"/>
      <c r="U11" s="162"/>
      <c r="V11" s="162"/>
      <c r="W11" s="549"/>
      <c r="Y11" s="152"/>
      <c r="AA11" s="152"/>
      <c r="AC11" s="152"/>
      <c r="AE11" s="152"/>
    </row>
    <row r="12" spans="2:31" ht="12" hidden="1" customHeight="1">
      <c r="B12" s="547"/>
      <c r="C12" s="162" t="s">
        <v>142</v>
      </c>
      <c r="D12" s="162"/>
      <c r="E12" s="161"/>
      <c r="F12" s="162"/>
      <c r="G12" s="159" t="s">
        <v>141</v>
      </c>
      <c r="H12" s="161"/>
      <c r="I12" s="161"/>
      <c r="J12" s="161"/>
      <c r="K12" s="160" t="s">
        <v>140</v>
      </c>
      <c r="L12" s="160"/>
      <c r="M12" s="160" t="s">
        <v>139</v>
      </c>
      <c r="N12" s="159"/>
      <c r="O12" s="159"/>
      <c r="P12" s="159"/>
      <c r="Q12" s="159"/>
      <c r="R12" s="159"/>
      <c r="S12" s="159"/>
      <c r="T12" s="159"/>
      <c r="U12" s="159"/>
      <c r="V12" s="159"/>
      <c r="W12" s="550" t="s">
        <v>138</v>
      </c>
      <c r="X12" s="152" t="s">
        <v>90</v>
      </c>
      <c r="Y12" s="152" t="s">
        <v>90</v>
      </c>
      <c r="Z12" s="152" t="s">
        <v>90</v>
      </c>
      <c r="AA12" s="152" t="s">
        <v>90</v>
      </c>
    </row>
    <row r="13" spans="2:31" ht="18.75" hidden="1" customHeight="1">
      <c r="B13" s="547"/>
      <c r="C13" s="158"/>
      <c r="D13" s="158"/>
      <c r="E13" s="178"/>
      <c r="F13" s="158"/>
      <c r="G13" s="179"/>
      <c r="H13" s="157"/>
      <c r="I13" s="157"/>
      <c r="J13" s="157"/>
      <c r="K13" s="156"/>
      <c r="L13" s="156"/>
      <c r="M13" s="156"/>
      <c r="N13" s="155"/>
      <c r="O13" s="155"/>
      <c r="P13" s="155"/>
      <c r="Q13" s="155"/>
      <c r="R13" s="155"/>
      <c r="S13" s="155"/>
      <c r="T13" s="155"/>
      <c r="U13" s="155"/>
      <c r="V13" s="155"/>
      <c r="W13" s="551"/>
      <c r="Y13" s="152"/>
      <c r="AA13" s="152"/>
      <c r="AC13" s="152"/>
      <c r="AE13" s="152"/>
    </row>
    <row r="14" spans="2:31" s="171" customFormat="1" ht="21" customHeight="1" thickBot="1">
      <c r="B14" s="644"/>
      <c r="C14" s="632" t="s">
        <v>474</v>
      </c>
      <c r="D14" s="632"/>
      <c r="E14" s="632"/>
      <c r="F14" s="632"/>
      <c r="G14" s="632"/>
      <c r="H14" s="633"/>
      <c r="I14" s="646" t="s">
        <v>475</v>
      </c>
      <c r="J14" s="634"/>
      <c r="K14" s="634"/>
      <c r="L14" s="634"/>
      <c r="M14" s="647"/>
      <c r="N14" s="632" t="s">
        <v>476</v>
      </c>
      <c r="O14" s="632"/>
      <c r="P14" s="632"/>
      <c r="Q14" s="632"/>
      <c r="R14" s="632"/>
      <c r="S14" s="632"/>
      <c r="T14" s="632"/>
      <c r="U14" s="632"/>
      <c r="V14" s="632"/>
      <c r="W14" s="648"/>
      <c r="Y14" s="479"/>
      <c r="AA14" s="479"/>
      <c r="AC14" s="479"/>
      <c r="AE14" s="479"/>
    </row>
    <row r="15" spans="2:31" s="186" customFormat="1" ht="19.5" customHeight="1" thickBot="1">
      <c r="B15" s="554">
        <v>2</v>
      </c>
      <c r="C15" s="728" t="s">
        <v>134</v>
      </c>
      <c r="D15" s="187"/>
      <c r="E15" s="187"/>
      <c r="F15" s="293" t="s">
        <v>127</v>
      </c>
      <c r="G15" s="188"/>
      <c r="H15" s="385"/>
      <c r="I15" s="679" t="s">
        <v>132</v>
      </c>
      <c r="J15" s="247"/>
      <c r="K15" s="247"/>
      <c r="L15" s="247"/>
      <c r="M15" s="248"/>
      <c r="N15" s="643" t="s">
        <v>133</v>
      </c>
      <c r="O15" s="640"/>
      <c r="P15" s="640"/>
      <c r="Q15" s="640"/>
      <c r="R15" s="640"/>
      <c r="S15" s="640"/>
      <c r="T15" s="640"/>
      <c r="U15" s="640"/>
      <c r="V15" s="640"/>
      <c r="W15" s="641"/>
      <c r="Y15" s="154"/>
      <c r="AA15" s="154"/>
      <c r="AC15" s="154"/>
      <c r="AE15" s="154"/>
    </row>
    <row r="16" spans="2:31" s="186" customFormat="1" ht="20.100000000000001" customHeight="1">
      <c r="B16" s="556"/>
      <c r="C16" s="729" t="s">
        <v>486</v>
      </c>
      <c r="D16" s="180"/>
      <c r="E16" s="180"/>
      <c r="F16" s="294" t="s">
        <v>127</v>
      </c>
      <c r="G16" s="181"/>
      <c r="H16" s="386"/>
      <c r="I16" s="680" t="s">
        <v>132</v>
      </c>
      <c r="J16" s="216"/>
      <c r="K16" s="216"/>
      <c r="L16" s="216"/>
      <c r="M16" s="217"/>
      <c r="N16" s="905"/>
      <c r="O16" s="906"/>
      <c r="P16" s="906"/>
      <c r="Q16" s="906"/>
      <c r="R16" s="906"/>
      <c r="S16" s="906"/>
      <c r="T16" s="906"/>
      <c r="U16" s="906"/>
      <c r="V16" s="906"/>
      <c r="W16" s="907"/>
      <c r="Y16" s="154"/>
      <c r="AA16" s="154"/>
      <c r="AC16" s="154"/>
      <c r="AE16" s="154"/>
    </row>
    <row r="17" spans="2:32" s="151" customFormat="1" ht="20.100000000000001" customHeight="1">
      <c r="B17" s="556"/>
      <c r="C17" s="729" t="s">
        <v>487</v>
      </c>
      <c r="D17" s="180"/>
      <c r="E17" s="180"/>
      <c r="F17" s="294" t="s">
        <v>130</v>
      </c>
      <c r="G17" s="181"/>
      <c r="H17" s="387"/>
      <c r="I17" s="280" t="s">
        <v>126</v>
      </c>
      <c r="J17" s="182"/>
      <c r="K17" s="795"/>
      <c r="L17" s="796"/>
      <c r="M17" s="797"/>
      <c r="N17" s="908"/>
      <c r="O17" s="909"/>
      <c r="P17" s="909"/>
      <c r="Q17" s="909"/>
      <c r="R17" s="909"/>
      <c r="S17" s="909"/>
      <c r="T17" s="909"/>
      <c r="U17" s="909"/>
      <c r="V17" s="909"/>
      <c r="W17" s="910"/>
    </row>
    <row r="18" spans="2:32" s="151" customFormat="1" ht="20.100000000000001" customHeight="1">
      <c r="B18" s="556"/>
      <c r="C18" s="729" t="s">
        <v>337</v>
      </c>
      <c r="D18" s="180"/>
      <c r="E18" s="180"/>
      <c r="F18" s="294" t="s">
        <v>130</v>
      </c>
      <c r="G18" s="181"/>
      <c r="H18" s="387"/>
      <c r="I18" s="280" t="s">
        <v>126</v>
      </c>
      <c r="J18" s="182"/>
      <c r="K18" s="795"/>
      <c r="L18" s="796"/>
      <c r="M18" s="797"/>
      <c r="N18" s="911"/>
      <c r="O18" s="909"/>
      <c r="P18" s="909"/>
      <c r="Q18" s="909"/>
      <c r="R18" s="909"/>
      <c r="S18" s="909"/>
      <c r="T18" s="909"/>
      <c r="U18" s="909"/>
      <c r="V18" s="909"/>
      <c r="W18" s="910"/>
    </row>
    <row r="19" spans="2:32" s="151" customFormat="1" ht="20.100000000000001" customHeight="1">
      <c r="B19" s="556"/>
      <c r="C19" s="729" t="s">
        <v>131</v>
      </c>
      <c r="D19" s="180"/>
      <c r="E19" s="180"/>
      <c r="F19" s="294" t="s">
        <v>130</v>
      </c>
      <c r="G19" s="181"/>
      <c r="H19" s="387"/>
      <c r="I19" s="280" t="s">
        <v>126</v>
      </c>
      <c r="J19" s="182"/>
      <c r="K19" s="795"/>
      <c r="L19" s="796"/>
      <c r="M19" s="797"/>
      <c r="N19" s="911"/>
      <c r="O19" s="909"/>
      <c r="P19" s="909"/>
      <c r="Q19" s="909"/>
      <c r="R19" s="909"/>
      <c r="S19" s="909"/>
      <c r="T19" s="909"/>
      <c r="U19" s="909"/>
      <c r="V19" s="909"/>
      <c r="W19" s="910"/>
    </row>
    <row r="20" spans="2:32" s="151" customFormat="1" ht="20.100000000000001" customHeight="1">
      <c r="B20" s="556"/>
      <c r="C20" s="729" t="s">
        <v>472</v>
      </c>
      <c r="D20" s="180"/>
      <c r="E20" s="180"/>
      <c r="F20" s="294" t="s">
        <v>130</v>
      </c>
      <c r="G20" s="181"/>
      <c r="H20" s="387"/>
      <c r="I20" s="280" t="s">
        <v>126</v>
      </c>
      <c r="J20" s="182"/>
      <c r="K20" s="795"/>
      <c r="L20" s="796"/>
      <c r="M20" s="797"/>
      <c r="N20" s="911"/>
      <c r="O20" s="909"/>
      <c r="P20" s="909"/>
      <c r="Q20" s="909"/>
      <c r="R20" s="909"/>
      <c r="S20" s="909"/>
      <c r="T20" s="909"/>
      <c r="U20" s="909"/>
      <c r="V20" s="909"/>
      <c r="W20" s="910"/>
    </row>
    <row r="21" spans="2:32" s="151" customFormat="1" ht="20.100000000000001" customHeight="1">
      <c r="B21" s="556"/>
      <c r="C21" s="729" t="s">
        <v>129</v>
      </c>
      <c r="D21" s="180"/>
      <c r="E21" s="180"/>
      <c r="F21" s="294" t="s">
        <v>128</v>
      </c>
      <c r="G21" s="181"/>
      <c r="H21" s="387"/>
      <c r="I21" s="280" t="s">
        <v>492</v>
      </c>
      <c r="J21" s="182"/>
      <c r="K21" s="795"/>
      <c r="L21" s="796"/>
      <c r="M21" s="797"/>
      <c r="N21" s="911"/>
      <c r="O21" s="909"/>
      <c r="P21" s="909"/>
      <c r="Q21" s="909"/>
      <c r="R21" s="909"/>
      <c r="S21" s="909"/>
      <c r="T21" s="909"/>
      <c r="U21" s="909"/>
      <c r="V21" s="909"/>
      <c r="W21" s="910"/>
    </row>
    <row r="22" spans="2:32" s="151" customFormat="1" ht="20.100000000000001" customHeight="1" thickBot="1">
      <c r="B22" s="556"/>
      <c r="C22" s="730" t="s">
        <v>340</v>
      </c>
      <c r="D22" s="897"/>
      <c r="E22" s="898"/>
      <c r="F22" s="899"/>
      <c r="G22" s="900"/>
      <c r="H22" s="649"/>
      <c r="I22" s="681" t="s">
        <v>126</v>
      </c>
      <c r="J22" s="650"/>
      <c r="K22" s="901"/>
      <c r="L22" s="902"/>
      <c r="M22" s="903"/>
      <c r="N22" s="911"/>
      <c r="O22" s="909"/>
      <c r="P22" s="909"/>
      <c r="Q22" s="909"/>
      <c r="R22" s="909"/>
      <c r="S22" s="909"/>
      <c r="T22" s="909"/>
      <c r="U22" s="909"/>
      <c r="V22" s="909"/>
      <c r="W22" s="910"/>
    </row>
    <row r="23" spans="2:32" s="474" customFormat="1" ht="20.100000000000001" customHeight="1" thickTop="1" thickBot="1">
      <c r="B23" s="662" t="s">
        <v>477</v>
      </c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4"/>
      <c r="AD23" s="475"/>
      <c r="AE23" s="475"/>
      <c r="AF23" s="475"/>
    </row>
    <row r="24" spans="2:32" s="212" customFormat="1" ht="4.5" customHeight="1" thickTop="1">
      <c r="B24" s="665"/>
      <c r="C24" s="211"/>
      <c r="D24" s="211"/>
      <c r="E24" s="394"/>
      <c r="F24" s="211"/>
      <c r="G24" s="211"/>
      <c r="H24" s="394"/>
      <c r="I24" s="215"/>
      <c r="J24" s="219"/>
      <c r="K24" s="215"/>
      <c r="L24" s="215"/>
      <c r="M24" s="394"/>
      <c r="N24" s="904" t="s">
        <v>372</v>
      </c>
      <c r="O24" s="808"/>
      <c r="P24" s="808"/>
      <c r="Q24" s="808"/>
      <c r="R24" s="808"/>
      <c r="S24" s="808"/>
      <c r="T24" s="808"/>
      <c r="U24" s="808"/>
      <c r="V24" s="808"/>
      <c r="W24" s="809"/>
    </row>
    <row r="25" spans="2:32" s="688" customFormat="1" ht="19.5" customHeight="1">
      <c r="B25" s="683">
        <v>3</v>
      </c>
      <c r="C25" s="684" t="s">
        <v>362</v>
      </c>
      <c r="D25" s="684"/>
      <c r="E25" s="685"/>
      <c r="F25" s="684" t="s">
        <v>122</v>
      </c>
      <c r="G25" s="684"/>
      <c r="H25" s="685"/>
      <c r="I25" s="684" t="s">
        <v>125</v>
      </c>
      <c r="J25" s="684"/>
      <c r="K25" s="684"/>
      <c r="L25" s="686"/>
      <c r="M25" s="687"/>
      <c r="N25" s="808"/>
      <c r="O25" s="808"/>
      <c r="P25" s="808"/>
      <c r="Q25" s="808"/>
      <c r="R25" s="808"/>
      <c r="S25" s="808"/>
      <c r="T25" s="808"/>
      <c r="U25" s="808"/>
      <c r="V25" s="808"/>
      <c r="W25" s="809"/>
    </row>
    <row r="26" spans="2:32" s="213" customFormat="1" ht="4.5" customHeight="1">
      <c r="B26" s="562"/>
      <c r="C26" s="462"/>
      <c r="D26" s="251"/>
      <c r="E26" s="383"/>
      <c r="F26" s="251"/>
      <c r="G26" s="251"/>
      <c r="H26" s="383"/>
      <c r="I26" s="251"/>
      <c r="J26" s="251"/>
      <c r="K26" s="251"/>
      <c r="L26" s="251"/>
      <c r="M26" s="383"/>
      <c r="N26" s="810"/>
      <c r="O26" s="810"/>
      <c r="P26" s="810"/>
      <c r="Q26" s="810"/>
      <c r="R26" s="810"/>
      <c r="S26" s="810"/>
      <c r="T26" s="810"/>
      <c r="U26" s="810"/>
      <c r="V26" s="810"/>
      <c r="W26" s="811"/>
    </row>
    <row r="27" spans="2:32" s="213" customFormat="1" ht="4.5" customHeight="1">
      <c r="B27" s="562"/>
      <c r="C27" s="214"/>
      <c r="D27" s="214"/>
      <c r="E27" s="461"/>
      <c r="F27" s="214"/>
      <c r="G27" s="214"/>
      <c r="H27" s="461"/>
      <c r="I27" s="214"/>
      <c r="J27" s="214"/>
      <c r="K27" s="214"/>
      <c r="L27" s="214"/>
      <c r="M27" s="461"/>
      <c r="N27" s="629"/>
      <c r="O27" s="629"/>
      <c r="P27" s="629"/>
      <c r="Q27" s="629"/>
      <c r="R27" s="629"/>
      <c r="S27" s="629"/>
      <c r="T27" s="629"/>
      <c r="U27" s="629"/>
      <c r="V27" s="629"/>
      <c r="W27" s="630"/>
    </row>
    <row r="28" spans="2:32" s="688" customFormat="1" ht="19.5" customHeight="1">
      <c r="B28" s="562"/>
      <c r="C28" s="684" t="s">
        <v>449</v>
      </c>
      <c r="D28" s="684"/>
      <c r="E28" s="685"/>
      <c r="F28" s="684" t="s">
        <v>116</v>
      </c>
      <c r="G28" s="684"/>
      <c r="H28" s="685"/>
      <c r="I28" s="684" t="s">
        <v>156</v>
      </c>
      <c r="J28" s="684"/>
      <c r="K28" s="684"/>
      <c r="L28" s="684"/>
      <c r="M28" s="685"/>
      <c r="N28" s="684" t="s">
        <v>157</v>
      </c>
      <c r="O28" s="684"/>
      <c r="P28" s="684"/>
      <c r="Q28" s="685"/>
      <c r="R28" s="684" t="s">
        <v>112</v>
      </c>
      <c r="S28" s="684"/>
      <c r="T28" s="755" t="s">
        <v>447</v>
      </c>
      <c r="U28" s="689"/>
      <c r="V28" s="690" t="s">
        <v>448</v>
      </c>
      <c r="W28" s="691"/>
    </row>
    <row r="29" spans="2:32" s="688" customFormat="1" ht="4.5" customHeight="1">
      <c r="B29" s="562"/>
      <c r="C29" s="692"/>
      <c r="D29" s="693"/>
      <c r="E29" s="694"/>
      <c r="F29" s="693"/>
      <c r="G29" s="693"/>
      <c r="H29" s="694"/>
      <c r="I29" s="693"/>
      <c r="J29" s="693"/>
      <c r="K29" s="693"/>
      <c r="L29" s="693"/>
      <c r="M29" s="694"/>
      <c r="N29" s="693"/>
      <c r="O29" s="693"/>
      <c r="P29" s="693"/>
      <c r="Q29" s="695"/>
      <c r="R29" s="695"/>
      <c r="S29" s="693"/>
      <c r="T29" s="693"/>
      <c r="U29" s="693"/>
      <c r="V29" s="693"/>
      <c r="W29" s="696"/>
    </row>
    <row r="30" spans="2:32" s="688" customFormat="1" ht="4.5" customHeight="1">
      <c r="B30" s="562"/>
      <c r="C30" s="684"/>
      <c r="D30" s="684"/>
      <c r="E30" s="695"/>
      <c r="F30" s="684"/>
      <c r="G30" s="684"/>
      <c r="H30" s="695"/>
      <c r="I30" s="684"/>
      <c r="J30" s="684"/>
      <c r="K30" s="684"/>
      <c r="L30" s="684"/>
      <c r="M30" s="695"/>
      <c r="N30" s="684"/>
      <c r="O30" s="684"/>
      <c r="P30" s="684"/>
      <c r="Q30" s="697"/>
      <c r="R30" s="697"/>
      <c r="S30" s="684"/>
      <c r="T30" s="684"/>
      <c r="U30" s="684"/>
      <c r="V30" s="684"/>
      <c r="W30" s="698"/>
    </row>
    <row r="31" spans="2:32" s="688" customFormat="1" ht="19.5" customHeight="1">
      <c r="B31" s="562"/>
      <c r="C31" s="684" t="s">
        <v>363</v>
      </c>
      <c r="D31" s="684"/>
      <c r="E31" s="685"/>
      <c r="F31" s="684" t="s">
        <v>158</v>
      </c>
      <c r="G31" s="684"/>
      <c r="H31" s="685"/>
      <c r="I31" s="684" t="s">
        <v>121</v>
      </c>
      <c r="J31" s="684"/>
      <c r="K31" s="699"/>
      <c r="L31" s="699"/>
      <c r="M31" s="685"/>
      <c r="N31" s="684" t="s">
        <v>120</v>
      </c>
      <c r="O31" s="684"/>
      <c r="P31" s="684"/>
      <c r="Q31" s="685"/>
      <c r="R31" s="684" t="s">
        <v>119</v>
      </c>
      <c r="S31" s="684"/>
      <c r="T31" s="684"/>
      <c r="U31" s="685"/>
      <c r="V31" s="684" t="s">
        <v>341</v>
      </c>
      <c r="W31" s="698"/>
    </row>
    <row r="32" spans="2:32" s="688" customFormat="1" ht="4.5" customHeight="1">
      <c r="B32" s="562"/>
      <c r="C32" s="692"/>
      <c r="D32" s="693"/>
      <c r="E32" s="694"/>
      <c r="F32" s="693"/>
      <c r="G32" s="693"/>
      <c r="H32" s="694"/>
      <c r="I32" s="693"/>
      <c r="J32" s="693"/>
      <c r="K32" s="693"/>
      <c r="L32" s="693"/>
      <c r="M32" s="694"/>
      <c r="N32" s="693"/>
      <c r="O32" s="693"/>
      <c r="P32" s="693"/>
      <c r="Q32" s="693"/>
      <c r="R32" s="695"/>
      <c r="S32" s="693"/>
      <c r="T32" s="693"/>
      <c r="U32" s="693"/>
      <c r="V32" s="693"/>
      <c r="W32" s="696"/>
    </row>
    <row r="33" spans="2:23" s="688" customFormat="1" ht="4.5" customHeight="1">
      <c r="B33" s="562"/>
      <c r="C33" s="684"/>
      <c r="D33" s="684"/>
      <c r="E33" s="695"/>
      <c r="F33" s="684"/>
      <c r="G33" s="684"/>
      <c r="H33" s="695"/>
      <c r="I33" s="684"/>
      <c r="J33" s="684"/>
      <c r="K33" s="684"/>
      <c r="L33" s="684"/>
      <c r="M33" s="697"/>
      <c r="N33" s="684"/>
      <c r="O33" s="684"/>
      <c r="P33" s="684"/>
      <c r="Q33" s="684"/>
      <c r="R33" s="697"/>
      <c r="S33" s="684"/>
      <c r="T33" s="684"/>
      <c r="U33" s="684"/>
      <c r="V33" s="684"/>
      <c r="W33" s="698"/>
    </row>
    <row r="34" spans="2:23" s="688" customFormat="1" ht="19.5" customHeight="1">
      <c r="B34" s="562"/>
      <c r="C34" s="684" t="s">
        <v>364</v>
      </c>
      <c r="D34" s="684"/>
      <c r="E34" s="685"/>
      <c r="F34" s="684" t="s">
        <v>113</v>
      </c>
      <c r="G34" s="684"/>
      <c r="H34" s="685"/>
      <c r="I34" s="684" t="s">
        <v>159</v>
      </c>
      <c r="J34" s="684"/>
      <c r="K34" s="699"/>
      <c r="L34" s="699"/>
      <c r="M34" s="685"/>
      <c r="N34" s="684" t="s">
        <v>452</v>
      </c>
      <c r="O34" s="684"/>
      <c r="P34" s="684"/>
      <c r="Q34" s="684"/>
      <c r="R34" s="684"/>
      <c r="S34" s="684"/>
      <c r="T34" s="684"/>
      <c r="U34" s="684"/>
      <c r="V34" s="684"/>
      <c r="W34" s="698"/>
    </row>
    <row r="35" spans="2:23" s="213" customFormat="1" ht="4.5" customHeight="1">
      <c r="B35" s="562"/>
      <c r="C35" s="462"/>
      <c r="D35" s="251"/>
      <c r="E35" s="383"/>
      <c r="F35" s="251"/>
      <c r="G35" s="251"/>
      <c r="H35" s="383"/>
      <c r="I35" s="251"/>
      <c r="J35" s="251"/>
      <c r="K35" s="251"/>
      <c r="L35" s="251"/>
      <c r="M35" s="461"/>
      <c r="N35" s="251"/>
      <c r="O35" s="251"/>
      <c r="P35" s="251"/>
      <c r="Q35" s="251"/>
      <c r="R35" s="461"/>
      <c r="S35" s="251"/>
      <c r="T35" s="251"/>
      <c r="U35" s="251"/>
      <c r="V35" s="251"/>
      <c r="W35" s="564"/>
    </row>
    <row r="36" spans="2:23" s="213" customFormat="1" ht="4.5" customHeight="1">
      <c r="B36" s="562"/>
      <c r="C36" s="214"/>
      <c r="D36" s="214"/>
      <c r="E36" s="461"/>
      <c r="F36" s="214"/>
      <c r="G36" s="214"/>
      <c r="H36" s="461"/>
      <c r="I36" s="214"/>
      <c r="J36" s="214"/>
      <c r="K36" s="214"/>
      <c r="L36" s="214"/>
      <c r="M36" s="225"/>
      <c r="N36" s="214"/>
      <c r="O36" s="214"/>
      <c r="P36" s="214"/>
      <c r="Q36" s="214"/>
      <c r="R36" s="225"/>
      <c r="S36" s="214"/>
      <c r="T36" s="214"/>
      <c r="U36" s="214"/>
      <c r="V36" s="214"/>
      <c r="W36" s="565"/>
    </row>
    <row r="37" spans="2:23" s="688" customFormat="1" ht="19.5" customHeight="1">
      <c r="B37" s="562"/>
      <c r="C37" s="684" t="s">
        <v>365</v>
      </c>
      <c r="D37" s="700"/>
      <c r="E37" s="685"/>
      <c r="F37" s="684" t="s">
        <v>124</v>
      </c>
      <c r="H37" s="701">
        <v>2</v>
      </c>
      <c r="I37" s="702" t="s">
        <v>481</v>
      </c>
      <c r="J37" s="703"/>
      <c r="K37" s="704"/>
      <c r="L37" s="812">
        <f>Sheet1!J1</f>
        <v>0</v>
      </c>
      <c r="M37" s="813"/>
      <c r="N37" s="488" t="e">
        <f>VLOOKUP(L37,Sheet1!K1:L1,2,FALSE)</f>
        <v>#N/A</v>
      </c>
      <c r="O37" s="684"/>
      <c r="P37" s="705"/>
      <c r="Q37" s="684"/>
      <c r="R37" s="684"/>
      <c r="S37" s="684"/>
      <c r="T37" s="684"/>
      <c r="U37" s="684"/>
      <c r="V37" s="706"/>
      <c r="W37" s="707"/>
    </row>
    <row r="38" spans="2:23" s="213" customFormat="1" ht="4.5" customHeight="1">
      <c r="B38" s="562"/>
      <c r="C38" s="462"/>
      <c r="D38" s="251"/>
      <c r="E38" s="383"/>
      <c r="F38" s="251"/>
      <c r="G38" s="251"/>
      <c r="H38" s="383"/>
      <c r="I38" s="251"/>
      <c r="J38" s="251"/>
      <c r="K38" s="464"/>
      <c r="L38" s="464"/>
      <c r="M38" s="464"/>
      <c r="N38" s="251"/>
      <c r="O38" s="251"/>
      <c r="P38" s="251"/>
      <c r="Q38" s="251"/>
      <c r="R38" s="461"/>
      <c r="S38" s="251"/>
      <c r="T38" s="251"/>
      <c r="U38" s="251"/>
      <c r="V38" s="251"/>
      <c r="W38" s="564"/>
    </row>
    <row r="39" spans="2:23" s="213" customFormat="1" ht="4.5" customHeight="1">
      <c r="B39" s="562"/>
      <c r="C39" s="214"/>
      <c r="D39" s="214"/>
      <c r="E39" s="461"/>
      <c r="F39" s="214"/>
      <c r="G39" s="214"/>
      <c r="H39" s="461"/>
      <c r="I39" s="214"/>
      <c r="J39" s="214"/>
      <c r="K39" s="227"/>
      <c r="L39" s="227"/>
      <c r="M39" s="227"/>
      <c r="N39" s="214"/>
      <c r="O39" s="214"/>
      <c r="P39" s="214"/>
      <c r="Q39" s="214"/>
      <c r="R39" s="225"/>
      <c r="S39" s="214"/>
      <c r="T39" s="214"/>
      <c r="U39" s="214"/>
      <c r="V39" s="214"/>
      <c r="W39" s="565"/>
    </row>
    <row r="40" spans="2:23" s="688" customFormat="1" ht="19.5" customHeight="1">
      <c r="B40" s="562"/>
      <c r="C40" s="684" t="s">
        <v>366</v>
      </c>
      <c r="D40" s="684"/>
      <c r="E40" s="685"/>
      <c r="F40" s="684" t="s">
        <v>123</v>
      </c>
      <c r="G40" s="684"/>
      <c r="H40" s="685"/>
      <c r="I40" s="702" t="s">
        <v>482</v>
      </c>
      <c r="J40" s="708"/>
      <c r="K40" s="532"/>
      <c r="L40" s="533"/>
      <c r="M40" s="709"/>
      <c r="N40" s="833"/>
      <c r="O40" s="816"/>
      <c r="P40" s="710"/>
      <c r="Q40" s="685"/>
      <c r="R40" s="214" t="s">
        <v>491</v>
      </c>
      <c r="S40" s="684"/>
      <c r="T40" s="684"/>
      <c r="U40" s="684"/>
      <c r="V40" s="489"/>
      <c r="W40" s="711"/>
    </row>
    <row r="41" spans="2:23" s="213" customFormat="1" ht="4.5" customHeight="1">
      <c r="B41" s="562"/>
      <c r="C41" s="462"/>
      <c r="D41" s="251"/>
      <c r="E41" s="383"/>
      <c r="F41" s="251"/>
      <c r="G41" s="251"/>
      <c r="H41" s="383"/>
      <c r="I41" s="251"/>
      <c r="J41" s="251"/>
      <c r="K41" s="464"/>
      <c r="L41" s="464"/>
      <c r="M41" s="464"/>
      <c r="N41" s="251"/>
      <c r="O41" s="251"/>
      <c r="P41" s="251"/>
      <c r="Q41" s="251"/>
      <c r="R41" s="461"/>
      <c r="S41" s="251"/>
      <c r="T41" s="251"/>
      <c r="U41" s="251"/>
      <c r="V41" s="251"/>
      <c r="W41" s="564"/>
    </row>
    <row r="42" spans="2:23" s="213" customFormat="1" ht="4.5" customHeight="1">
      <c r="B42" s="562"/>
      <c r="C42" s="214"/>
      <c r="D42" s="214"/>
      <c r="E42" s="461"/>
      <c r="F42" s="214"/>
      <c r="G42" s="214"/>
      <c r="H42" s="461"/>
      <c r="I42" s="214"/>
      <c r="J42" s="214"/>
      <c r="K42" s="227"/>
      <c r="L42" s="227"/>
      <c r="M42" s="227"/>
      <c r="N42" s="214"/>
      <c r="O42" s="214"/>
      <c r="P42" s="214"/>
      <c r="Q42" s="214"/>
      <c r="R42" s="225"/>
      <c r="S42" s="214"/>
      <c r="T42" s="214"/>
      <c r="U42" s="214"/>
      <c r="V42" s="214"/>
      <c r="W42" s="565"/>
    </row>
    <row r="43" spans="2:23" s="688" customFormat="1" ht="19.5" customHeight="1">
      <c r="B43" s="562"/>
      <c r="C43" s="682" t="s">
        <v>367</v>
      </c>
      <c r="D43" s="684"/>
      <c r="E43" s="685"/>
      <c r="F43" s="684" t="s">
        <v>114</v>
      </c>
      <c r="G43" s="684"/>
      <c r="H43" s="685"/>
      <c r="I43" s="702" t="s">
        <v>483</v>
      </c>
      <c r="J43" s="693"/>
      <c r="K43" s="814"/>
      <c r="L43" s="815"/>
      <c r="M43" s="816"/>
      <c r="N43" s="712"/>
      <c r="O43" s="705"/>
      <c r="P43" s="705"/>
      <c r="Q43" s="705"/>
      <c r="R43" s="684"/>
      <c r="S43" s="684"/>
      <c r="T43" s="684"/>
      <c r="U43" s="684"/>
      <c r="W43" s="698"/>
    </row>
    <row r="44" spans="2:23" s="213" customFormat="1" ht="4.5" customHeight="1">
      <c r="B44" s="562"/>
      <c r="C44" s="462"/>
      <c r="D44" s="251"/>
      <c r="E44" s="383"/>
      <c r="F44" s="251"/>
      <c r="G44" s="251"/>
      <c r="H44" s="383"/>
      <c r="I44" s="251"/>
      <c r="J44" s="251"/>
      <c r="K44" s="251"/>
      <c r="L44" s="251"/>
      <c r="M44" s="461"/>
      <c r="N44" s="251"/>
      <c r="O44" s="251"/>
      <c r="P44" s="251"/>
      <c r="Q44" s="251"/>
      <c r="R44" s="461"/>
      <c r="S44" s="251"/>
      <c r="T44" s="251"/>
      <c r="U44" s="251"/>
      <c r="V44" s="251"/>
      <c r="W44" s="564"/>
    </row>
    <row r="45" spans="2:23" s="213" customFormat="1" ht="4.5" customHeight="1">
      <c r="B45" s="562"/>
      <c r="C45" s="214"/>
      <c r="D45" s="214"/>
      <c r="E45" s="225"/>
      <c r="F45" s="214"/>
      <c r="G45" s="214"/>
      <c r="H45" s="225"/>
      <c r="I45" s="214"/>
      <c r="J45" s="214"/>
      <c r="K45" s="214"/>
      <c r="L45" s="214"/>
      <c r="M45" s="225"/>
      <c r="N45" s="214"/>
      <c r="O45" s="214"/>
      <c r="P45" s="214"/>
      <c r="Q45" s="214"/>
      <c r="R45" s="225"/>
      <c r="S45" s="214"/>
      <c r="T45" s="214"/>
      <c r="U45" s="214"/>
      <c r="V45" s="214"/>
      <c r="W45" s="565"/>
    </row>
    <row r="46" spans="2:23" s="213" customFormat="1" ht="19.5" customHeight="1">
      <c r="B46" s="562"/>
      <c r="C46" s="214" t="s">
        <v>368</v>
      </c>
      <c r="D46" s="214"/>
      <c r="E46" s="227" t="s">
        <v>118</v>
      </c>
      <c r="F46" s="631"/>
      <c r="G46" s="214"/>
      <c r="H46" s="227" t="s">
        <v>117</v>
      </c>
      <c r="I46" s="420"/>
      <c r="J46" s="214"/>
      <c r="K46" s="398"/>
      <c r="L46" s="398" t="s">
        <v>115</v>
      </c>
      <c r="M46" s="842"/>
      <c r="N46" s="843"/>
      <c r="O46" s="218"/>
      <c r="P46" s="218"/>
      <c r="Q46" s="218"/>
      <c r="R46" s="214"/>
      <c r="S46" s="214"/>
      <c r="T46" s="214"/>
      <c r="U46" s="214"/>
      <c r="V46" s="214"/>
      <c r="W46" s="568"/>
    </row>
    <row r="47" spans="2:23" s="213" customFormat="1" ht="4.5" customHeight="1">
      <c r="B47" s="562"/>
      <c r="C47" s="462"/>
      <c r="D47" s="251"/>
      <c r="E47" s="461"/>
      <c r="F47" s="251"/>
      <c r="G47" s="251"/>
      <c r="H47" s="461"/>
      <c r="I47" s="251"/>
      <c r="J47" s="251"/>
      <c r="K47" s="251"/>
      <c r="L47" s="251"/>
      <c r="M47" s="461"/>
      <c r="N47" s="251"/>
      <c r="O47" s="251"/>
      <c r="P47" s="251"/>
      <c r="Q47" s="251"/>
      <c r="R47" s="461"/>
      <c r="S47" s="251"/>
      <c r="T47" s="251"/>
      <c r="U47" s="251"/>
      <c r="V47" s="251"/>
      <c r="W47" s="564"/>
    </row>
    <row r="48" spans="2:23" s="213" customFormat="1" ht="4.5" customHeight="1">
      <c r="B48" s="562"/>
      <c r="C48" s="214"/>
      <c r="D48" s="214"/>
      <c r="E48" s="225"/>
      <c r="F48" s="214"/>
      <c r="G48" s="214"/>
      <c r="H48" s="225"/>
      <c r="I48" s="214"/>
      <c r="J48" s="214"/>
      <c r="K48" s="214"/>
      <c r="L48" s="214"/>
      <c r="M48" s="225"/>
      <c r="N48" s="214"/>
      <c r="O48" s="214"/>
      <c r="P48" s="214"/>
      <c r="Q48" s="214"/>
      <c r="R48" s="225"/>
      <c r="S48" s="214"/>
      <c r="T48" s="214"/>
      <c r="U48" s="214"/>
      <c r="V48" s="214"/>
      <c r="W48" s="565"/>
    </row>
    <row r="49" spans="2:32" s="688" customFormat="1" ht="15.6">
      <c r="B49" s="562"/>
      <c r="C49" s="713" t="s">
        <v>488</v>
      </c>
      <c r="D49" s="684"/>
      <c r="E49" s="684"/>
      <c r="F49" s="684"/>
      <c r="G49" s="684"/>
      <c r="H49" s="684"/>
      <c r="I49" s="684"/>
      <c r="J49" s="684"/>
      <c r="K49" s="699"/>
      <c r="L49" s="699"/>
      <c r="M49" s="699"/>
      <c r="N49" s="684"/>
      <c r="O49" s="705"/>
      <c r="P49" s="705"/>
      <c r="Q49" s="705"/>
      <c r="R49" s="684"/>
      <c r="S49" s="684"/>
      <c r="T49" s="684"/>
      <c r="U49" s="684"/>
      <c r="V49" s="684"/>
      <c r="W49" s="714"/>
    </row>
    <row r="50" spans="2:32" s="688" customFormat="1" ht="19.5" customHeight="1">
      <c r="B50" s="562"/>
      <c r="C50" s="715" t="s">
        <v>489</v>
      </c>
      <c r="D50" s="684"/>
      <c r="E50" s="684"/>
      <c r="F50" s="684"/>
      <c r="G50" s="684"/>
      <c r="H50" s="684"/>
      <c r="I50" s="684"/>
      <c r="J50" s="684"/>
      <c r="K50" s="699"/>
      <c r="L50" s="699"/>
      <c r="M50" s="699"/>
      <c r="N50" s="684"/>
      <c r="O50" s="705"/>
      <c r="P50" s="705"/>
      <c r="Q50" s="705"/>
      <c r="R50" s="684"/>
      <c r="S50" s="684"/>
      <c r="T50" s="684"/>
      <c r="U50" s="684"/>
      <c r="V50" s="684"/>
      <c r="W50" s="714"/>
    </row>
    <row r="51" spans="2:32" s="718" customFormat="1" ht="19.5" customHeight="1">
      <c r="B51" s="569"/>
      <c r="C51" s="684"/>
      <c r="D51" s="706" t="s">
        <v>160</v>
      </c>
      <c r="E51" s="798"/>
      <c r="F51" s="799"/>
      <c r="G51" s="894" t="e">
        <f>VLOOKUP(E51,Sheet1!I153:J414,2,FALSE)</f>
        <v>#N/A</v>
      </c>
      <c r="H51" s="895"/>
      <c r="I51" s="895"/>
      <c r="J51" s="895"/>
      <c r="K51" s="895"/>
      <c r="L51" s="895"/>
      <c r="M51" s="895"/>
      <c r="N51" s="684"/>
      <c r="O51" s="684"/>
      <c r="P51" s="684"/>
      <c r="Q51" s="684"/>
      <c r="R51" s="684"/>
      <c r="S51" s="684"/>
      <c r="T51" s="684"/>
      <c r="U51" s="684"/>
      <c r="V51" s="716">
        <v>0</v>
      </c>
      <c r="W51" s="717">
        <v>0</v>
      </c>
    </row>
    <row r="52" spans="2:32" s="213" customFormat="1" ht="4.5" customHeight="1" thickBot="1">
      <c r="B52" s="562"/>
      <c r="C52" s="214"/>
      <c r="D52" s="214"/>
      <c r="E52" s="225"/>
      <c r="F52" s="214"/>
      <c r="G52" s="214"/>
      <c r="H52" s="250"/>
      <c r="I52" s="214"/>
      <c r="J52" s="214"/>
      <c r="K52" s="214"/>
      <c r="L52" s="214"/>
      <c r="M52" s="250"/>
      <c r="N52" s="214"/>
      <c r="O52" s="214"/>
      <c r="P52" s="214"/>
      <c r="Q52" s="214"/>
      <c r="R52" s="225"/>
      <c r="S52" s="214"/>
      <c r="T52" s="214"/>
      <c r="U52" s="214"/>
      <c r="V52" s="214"/>
      <c r="W52" s="565"/>
    </row>
    <row r="53" spans="2:32" s="474" customFormat="1" ht="20.100000000000001" customHeight="1" thickTop="1" thickBot="1">
      <c r="B53" s="666"/>
      <c r="C53" s="663" t="s">
        <v>478</v>
      </c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4"/>
      <c r="AD53" s="475"/>
      <c r="AE53" s="475"/>
      <c r="AF53" s="475"/>
    </row>
    <row r="54" spans="2:32" s="688" customFormat="1" ht="15.75" customHeight="1" thickTop="1">
      <c r="B54" s="720" t="s">
        <v>111</v>
      </c>
      <c r="C54" s="713" t="s">
        <v>490</v>
      </c>
      <c r="D54" s="684"/>
      <c r="E54" s="684"/>
      <c r="F54" s="684"/>
      <c r="G54" s="684"/>
      <c r="H54" s="684"/>
      <c r="I54" s="684"/>
      <c r="J54" s="684"/>
      <c r="K54" s="684"/>
      <c r="L54" s="684"/>
      <c r="M54" s="684"/>
      <c r="N54" s="684"/>
      <c r="O54" s="684"/>
      <c r="P54" s="684"/>
      <c r="Q54" s="684"/>
      <c r="R54" s="684"/>
      <c r="S54" s="684"/>
      <c r="T54" s="684"/>
      <c r="U54" s="684"/>
      <c r="V54" s="684"/>
      <c r="W54" s="714"/>
    </row>
    <row r="55" spans="2:32" s="688" customFormat="1" ht="19.5" customHeight="1">
      <c r="B55" s="573"/>
      <c r="C55" s="715" t="s">
        <v>484</v>
      </c>
      <c r="D55" s="684"/>
      <c r="E55" s="684"/>
      <c r="F55" s="684"/>
      <c r="G55" s="684"/>
      <c r="H55" s="684"/>
      <c r="I55" s="684"/>
      <c r="J55" s="684"/>
      <c r="K55" s="684"/>
      <c r="L55" s="684"/>
      <c r="M55" s="684"/>
      <c r="N55" s="684"/>
      <c r="O55" s="684"/>
      <c r="P55" s="684"/>
      <c r="Q55" s="684"/>
      <c r="R55" s="684"/>
      <c r="S55" s="684"/>
      <c r="T55" s="684"/>
      <c r="U55" s="684"/>
      <c r="V55" s="684"/>
      <c r="W55" s="714"/>
    </row>
    <row r="56" spans="2:32" s="688" customFormat="1" ht="19.5" customHeight="1">
      <c r="B56" s="721" t="s">
        <v>109</v>
      </c>
      <c r="C56" s="706" t="s">
        <v>103</v>
      </c>
      <c r="D56" s="782"/>
      <c r="E56" s="783"/>
      <c r="F56" s="684"/>
      <c r="G56" s="706" t="s">
        <v>104</v>
      </c>
      <c r="H56" s="872"/>
      <c r="I56" s="896"/>
      <c r="J56" s="896"/>
      <c r="K56" s="896"/>
      <c r="L56" s="896"/>
      <c r="M56" s="896"/>
      <c r="N56" s="896"/>
      <c r="O56" s="896"/>
      <c r="P56" s="896"/>
      <c r="Q56" s="896"/>
      <c r="R56" s="896"/>
      <c r="S56" s="684"/>
      <c r="T56" s="684"/>
      <c r="U56" s="684"/>
      <c r="V56" s="684"/>
      <c r="W56" s="714"/>
    </row>
    <row r="57" spans="2:32" s="213" customFormat="1" ht="4.5" customHeight="1" thickBot="1">
      <c r="B57" s="575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568"/>
    </row>
    <row r="58" spans="2:32" s="151" customFormat="1" ht="15" customHeight="1" thickBot="1">
      <c r="B58" s="576"/>
      <c r="C58" s="226" t="s">
        <v>108</v>
      </c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577"/>
      <c r="AA58" s="152"/>
      <c r="AC58" s="152"/>
    </row>
    <row r="59" spans="2:32" s="292" customFormat="1" ht="26.25" customHeight="1" thickBot="1">
      <c r="B59" s="578"/>
      <c r="C59" s="283" t="s">
        <v>338</v>
      </c>
      <c r="D59" s="880" t="s">
        <v>339</v>
      </c>
      <c r="E59" s="881"/>
      <c r="F59" s="289" t="s">
        <v>101</v>
      </c>
      <c r="G59" s="289"/>
      <c r="H59" s="737" t="s">
        <v>100</v>
      </c>
      <c r="I59" s="738"/>
      <c r="J59" s="289" t="s">
        <v>162</v>
      </c>
      <c r="K59" s="288"/>
      <c r="L59" s="289"/>
      <c r="M59" s="739" t="s">
        <v>98</v>
      </c>
      <c r="N59" s="289"/>
      <c r="O59" s="289"/>
      <c r="P59" s="289"/>
      <c r="Q59" s="289"/>
      <c r="R59" s="740"/>
      <c r="S59" s="882" t="s">
        <v>163</v>
      </c>
      <c r="T59" s="883"/>
      <c r="U59" s="884" t="s">
        <v>97</v>
      </c>
      <c r="V59" s="830"/>
      <c r="W59" s="579"/>
      <c r="X59" s="290" t="s">
        <v>90</v>
      </c>
      <c r="Y59" s="291" t="s">
        <v>90</v>
      </c>
      <c r="AC59" s="291"/>
      <c r="AD59" s="291"/>
      <c r="AE59" s="291"/>
      <c r="AF59" s="292" t="s">
        <v>90</v>
      </c>
    </row>
    <row r="60" spans="2:32" s="390" customFormat="1" ht="19.5" customHeight="1">
      <c r="B60" s="580"/>
      <c r="C60" s="731"/>
      <c r="D60" s="885"/>
      <c r="E60" s="886"/>
      <c r="F60" s="887"/>
      <c r="G60" s="887"/>
      <c r="H60" s="888"/>
      <c r="I60" s="889"/>
      <c r="J60" s="887"/>
      <c r="K60" s="887"/>
      <c r="L60" s="887"/>
      <c r="M60" s="741" t="e">
        <f>VLOOKUP(H60,Sheet1!I$54:J$289,2,FALSE)</f>
        <v>#N/A</v>
      </c>
      <c r="N60" s="732"/>
      <c r="O60" s="732"/>
      <c r="P60" s="732"/>
      <c r="Q60" s="732"/>
      <c r="R60" s="742"/>
      <c r="S60" s="890" t="e">
        <f>SUM(U60/U$67)</f>
        <v>#DIV/0!</v>
      </c>
      <c r="T60" s="891"/>
      <c r="U60" s="892"/>
      <c r="V60" s="893"/>
      <c r="W60" s="579"/>
      <c r="X60" s="389"/>
    </row>
    <row r="61" spans="2:32" s="390" customFormat="1" ht="19.5" customHeight="1">
      <c r="B61" s="580"/>
      <c r="C61" s="733"/>
      <c r="D61" s="861"/>
      <c r="E61" s="862"/>
      <c r="F61" s="863"/>
      <c r="G61" s="863"/>
      <c r="H61" s="864"/>
      <c r="I61" s="865"/>
      <c r="J61" s="863"/>
      <c r="K61" s="863"/>
      <c r="L61" s="863"/>
      <c r="M61" s="743" t="e">
        <f>VLOOKUP(H61,Sheet1!I$54:J$289,2,FALSE)</f>
        <v>#N/A</v>
      </c>
      <c r="N61" s="734"/>
      <c r="O61" s="734"/>
      <c r="P61" s="734"/>
      <c r="Q61" s="734"/>
      <c r="R61" s="744"/>
      <c r="S61" s="866" t="e">
        <f>SUM(U61/U$67)</f>
        <v>#DIV/0!</v>
      </c>
      <c r="T61" s="867"/>
      <c r="U61" s="868"/>
      <c r="V61" s="869"/>
      <c r="W61" s="581"/>
      <c r="X61" s="389"/>
    </row>
    <row r="62" spans="2:32" s="390" customFormat="1" ht="19.5" customHeight="1">
      <c r="B62" s="580"/>
      <c r="C62" s="733"/>
      <c r="D62" s="861"/>
      <c r="E62" s="862"/>
      <c r="F62" s="863"/>
      <c r="G62" s="863"/>
      <c r="H62" s="864"/>
      <c r="I62" s="865"/>
      <c r="J62" s="863"/>
      <c r="K62" s="863"/>
      <c r="L62" s="863"/>
      <c r="M62" s="743" t="e">
        <f>VLOOKUP(H62,Sheet1!I$54:J$289,2,FALSE)</f>
        <v>#N/A</v>
      </c>
      <c r="N62" s="734"/>
      <c r="O62" s="734"/>
      <c r="P62" s="734"/>
      <c r="Q62" s="734"/>
      <c r="R62" s="744"/>
      <c r="S62" s="866" t="e">
        <f>SUM(U62/U$67)</f>
        <v>#DIV/0!</v>
      </c>
      <c r="T62" s="867"/>
      <c r="U62" s="868"/>
      <c r="V62" s="869"/>
      <c r="W62" s="581"/>
      <c r="X62" s="389"/>
    </row>
    <row r="63" spans="2:32" s="390" customFormat="1" ht="19.5" customHeight="1">
      <c r="B63" s="580"/>
      <c r="C63" s="733"/>
      <c r="D63" s="861"/>
      <c r="E63" s="862"/>
      <c r="F63" s="863"/>
      <c r="G63" s="863"/>
      <c r="H63" s="864"/>
      <c r="I63" s="865"/>
      <c r="J63" s="863"/>
      <c r="K63" s="863"/>
      <c r="L63" s="863"/>
      <c r="M63" s="743" t="e">
        <f>VLOOKUP(H63,Sheet1!I$54:J$289,2,FALSE)</f>
        <v>#N/A</v>
      </c>
      <c r="N63" s="734"/>
      <c r="O63" s="734"/>
      <c r="P63" s="734"/>
      <c r="Q63" s="734"/>
      <c r="R63" s="744"/>
      <c r="S63" s="866" t="e">
        <f t="shared" ref="S63:S65" si="0">SUM(U63/U$67)</f>
        <v>#DIV/0!</v>
      </c>
      <c r="T63" s="867"/>
      <c r="U63" s="868"/>
      <c r="V63" s="869"/>
      <c r="W63" s="581"/>
      <c r="X63" s="389"/>
    </row>
    <row r="64" spans="2:32" s="390" customFormat="1" ht="19.5" customHeight="1">
      <c r="B64" s="580"/>
      <c r="C64" s="733"/>
      <c r="D64" s="861"/>
      <c r="E64" s="862"/>
      <c r="F64" s="863"/>
      <c r="G64" s="863"/>
      <c r="H64" s="864"/>
      <c r="I64" s="865"/>
      <c r="J64" s="863"/>
      <c r="K64" s="863"/>
      <c r="L64" s="863"/>
      <c r="M64" s="743" t="e">
        <f>VLOOKUP(H64,Sheet1!I$54:J$289,2,FALSE)</f>
        <v>#N/A</v>
      </c>
      <c r="N64" s="734"/>
      <c r="O64" s="734"/>
      <c r="P64" s="734"/>
      <c r="Q64" s="734"/>
      <c r="R64" s="744"/>
      <c r="S64" s="866" t="e">
        <f t="shared" si="0"/>
        <v>#DIV/0!</v>
      </c>
      <c r="T64" s="867"/>
      <c r="U64" s="868"/>
      <c r="V64" s="869"/>
      <c r="W64" s="581"/>
      <c r="X64" s="389"/>
    </row>
    <row r="65" spans="2:32" s="390" customFormat="1" ht="19.5" customHeight="1" thickBot="1">
      <c r="B65" s="580"/>
      <c r="C65" s="735"/>
      <c r="D65" s="852"/>
      <c r="E65" s="853"/>
      <c r="F65" s="854"/>
      <c r="G65" s="854"/>
      <c r="H65" s="855"/>
      <c r="I65" s="856"/>
      <c r="J65" s="854"/>
      <c r="K65" s="854"/>
      <c r="L65" s="854"/>
      <c r="M65" s="745" t="e">
        <f>VLOOKUP(H65,Sheet1!I$54:J$289,2,FALSE)</f>
        <v>#N/A</v>
      </c>
      <c r="N65" s="736"/>
      <c r="O65" s="736"/>
      <c r="P65" s="736"/>
      <c r="Q65" s="736"/>
      <c r="R65" s="746"/>
      <c r="S65" s="857" t="e">
        <f t="shared" si="0"/>
        <v>#DIV/0!</v>
      </c>
      <c r="T65" s="858"/>
      <c r="U65" s="859"/>
      <c r="V65" s="860"/>
      <c r="W65" s="581"/>
      <c r="X65" s="389"/>
    </row>
    <row r="66" spans="2:32" s="151" customFormat="1" ht="4.5" customHeight="1" thickBot="1">
      <c r="B66" s="582"/>
      <c r="C66" s="400"/>
      <c r="D66" s="400"/>
      <c r="E66" s="401"/>
      <c r="F66" s="402"/>
      <c r="G66" s="401"/>
      <c r="H66" s="402"/>
      <c r="I66" s="401"/>
      <c r="J66" s="402"/>
      <c r="K66" s="401"/>
      <c r="L66" s="401"/>
      <c r="M66" s="403"/>
      <c r="N66" s="403"/>
      <c r="O66" s="403"/>
      <c r="P66" s="403"/>
      <c r="Q66" s="403"/>
      <c r="R66" s="399"/>
      <c r="S66" s="295"/>
      <c r="T66" s="295"/>
      <c r="U66" s="404"/>
      <c r="V66" s="405"/>
      <c r="W66" s="581"/>
      <c r="X66" s="152"/>
    </row>
    <row r="67" spans="2:32" s="292" customFormat="1" ht="24" customHeight="1" thickBot="1">
      <c r="B67" s="722"/>
      <c r="C67" s="723" t="s">
        <v>485</v>
      </c>
      <c r="E67" s="724"/>
      <c r="F67" s="724"/>
      <c r="G67" s="725"/>
      <c r="H67" s="724"/>
      <c r="I67" s="724"/>
      <c r="J67" s="724"/>
      <c r="K67" s="725"/>
      <c r="L67" s="725"/>
      <c r="M67" s="726"/>
      <c r="N67" s="726"/>
      <c r="O67" s="726"/>
      <c r="P67" s="724"/>
      <c r="Q67" s="727" t="s">
        <v>59</v>
      </c>
      <c r="R67" s="727"/>
      <c r="S67" s="870" t="e">
        <f>SUM(S60:T65)</f>
        <v>#DIV/0!</v>
      </c>
      <c r="T67" s="849"/>
      <c r="U67" s="871">
        <f>SUM(U60:V65)</f>
        <v>0</v>
      </c>
      <c r="V67" s="837"/>
      <c r="W67" s="579"/>
      <c r="X67" s="291"/>
    </row>
    <row r="68" spans="2:32" s="213" customFormat="1" ht="12" customHeight="1">
      <c r="B68" s="584"/>
      <c r="D68" s="253"/>
      <c r="G68" s="214"/>
      <c r="L68" s="214"/>
      <c r="M68" s="214"/>
      <c r="N68" s="214"/>
      <c r="O68" s="214"/>
      <c r="P68" s="214"/>
      <c r="Q68" s="214"/>
      <c r="R68" s="214"/>
      <c r="S68" s="214"/>
      <c r="T68" s="435" t="s">
        <v>374</v>
      </c>
      <c r="U68" s="214"/>
      <c r="V68" s="214"/>
      <c r="W68" s="583"/>
    </row>
    <row r="69" spans="2:32" s="213" customFormat="1" ht="4.5" customHeight="1" thickBot="1">
      <c r="B69" s="584"/>
      <c r="C69" s="214"/>
      <c r="D69" s="214"/>
      <c r="E69" s="214"/>
      <c r="F69" s="214"/>
      <c r="G69" s="214"/>
      <c r="H69" s="214"/>
      <c r="I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565"/>
    </row>
    <row r="70" spans="2:32" s="171" customFormat="1" ht="17.25" customHeight="1" thickTop="1" thickBot="1">
      <c r="B70" s="667"/>
      <c r="C70" s="663" t="s">
        <v>479</v>
      </c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3"/>
      <c r="R70" s="663"/>
      <c r="S70" s="663"/>
      <c r="T70" s="663"/>
      <c r="U70" s="663"/>
      <c r="V70" s="663"/>
      <c r="W70" s="664"/>
    </row>
    <row r="71" spans="2:32" s="688" customFormat="1" ht="21.9" customHeight="1" thickTop="1">
      <c r="B71" s="719" t="s">
        <v>107</v>
      </c>
      <c r="C71" s="706" t="s">
        <v>103</v>
      </c>
      <c r="D71" s="782"/>
      <c r="E71" s="783"/>
      <c r="F71" s="684"/>
      <c r="G71" s="706" t="s">
        <v>104</v>
      </c>
      <c r="H71" s="872"/>
      <c r="I71" s="873"/>
      <c r="J71" s="873"/>
      <c r="K71" s="873"/>
      <c r="L71" s="873"/>
      <c r="M71" s="873"/>
      <c r="N71" s="873"/>
      <c r="O71" s="873"/>
      <c r="P71" s="873"/>
      <c r="Q71" s="873"/>
      <c r="R71" s="873"/>
      <c r="S71" s="684"/>
      <c r="T71" s="684"/>
      <c r="U71" s="684"/>
      <c r="V71" s="684"/>
      <c r="W71" s="714"/>
    </row>
    <row r="72" spans="2:32" s="213" customFormat="1" ht="4.5" customHeight="1" thickBot="1">
      <c r="B72" s="587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568"/>
    </row>
    <row r="73" spans="2:32" s="151" customFormat="1" ht="15" customHeight="1" thickBot="1">
      <c r="B73" s="642" t="s">
        <v>105</v>
      </c>
      <c r="C73" s="226" t="s">
        <v>102</v>
      </c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577"/>
      <c r="AA73" s="152"/>
      <c r="AC73" s="152"/>
    </row>
    <row r="74" spans="2:32" s="292" customFormat="1" ht="26.25" customHeight="1">
      <c r="B74" s="578"/>
      <c r="C74" s="747" t="s">
        <v>338</v>
      </c>
      <c r="D74" s="874" t="s">
        <v>339</v>
      </c>
      <c r="E74" s="875"/>
      <c r="F74" s="749" t="s">
        <v>101</v>
      </c>
      <c r="G74" s="749"/>
      <c r="H74" s="751" t="s">
        <v>100</v>
      </c>
      <c r="I74" s="752"/>
      <c r="J74" s="749" t="s">
        <v>99</v>
      </c>
      <c r="K74" s="748"/>
      <c r="L74" s="749"/>
      <c r="M74" s="753" t="s">
        <v>98</v>
      </c>
      <c r="N74" s="749"/>
      <c r="O74" s="749"/>
      <c r="P74" s="749"/>
      <c r="Q74" s="749"/>
      <c r="R74" s="754"/>
      <c r="S74" s="876" t="s">
        <v>163</v>
      </c>
      <c r="T74" s="877"/>
      <c r="U74" s="878" t="s">
        <v>97</v>
      </c>
      <c r="V74" s="879"/>
      <c r="W74" s="579"/>
      <c r="X74" s="290" t="s">
        <v>90</v>
      </c>
      <c r="Y74" s="291" t="s">
        <v>90</v>
      </c>
      <c r="AC74" s="291"/>
      <c r="AD74" s="291"/>
      <c r="AE74" s="291"/>
      <c r="AF74" s="292" t="s">
        <v>90</v>
      </c>
    </row>
    <row r="75" spans="2:32" s="390" customFormat="1" ht="19.5" customHeight="1">
      <c r="B75" s="580"/>
      <c r="C75" s="750"/>
      <c r="D75" s="861"/>
      <c r="E75" s="862"/>
      <c r="F75" s="863"/>
      <c r="G75" s="863"/>
      <c r="H75" s="864"/>
      <c r="I75" s="865"/>
      <c r="J75" s="863"/>
      <c r="K75" s="863"/>
      <c r="L75" s="863"/>
      <c r="M75" s="743" t="e">
        <f>VLOOKUP(H75,Sheet1!I$54:J$289,2,FALSE)</f>
        <v>#N/A</v>
      </c>
      <c r="N75" s="734"/>
      <c r="O75" s="734"/>
      <c r="P75" s="734"/>
      <c r="Q75" s="734"/>
      <c r="R75" s="744"/>
      <c r="S75" s="866" t="e">
        <f t="shared" ref="S75:S80" si="1">SUM(U75/U$82)</f>
        <v>#DIV/0!</v>
      </c>
      <c r="T75" s="867"/>
      <c r="U75" s="868"/>
      <c r="V75" s="869"/>
      <c r="W75" s="581"/>
      <c r="X75" s="389"/>
    </row>
    <row r="76" spans="2:32" s="390" customFormat="1" ht="19.5" customHeight="1">
      <c r="B76" s="580"/>
      <c r="C76" s="733"/>
      <c r="D76" s="861"/>
      <c r="E76" s="862"/>
      <c r="F76" s="863"/>
      <c r="G76" s="863"/>
      <c r="H76" s="864"/>
      <c r="I76" s="865"/>
      <c r="J76" s="863"/>
      <c r="K76" s="863"/>
      <c r="L76" s="863"/>
      <c r="M76" s="743" t="e">
        <f>VLOOKUP(H76,Sheet1!I$54:J$289,2,FALSE)</f>
        <v>#N/A</v>
      </c>
      <c r="N76" s="734"/>
      <c r="O76" s="734"/>
      <c r="P76" s="734"/>
      <c r="Q76" s="734"/>
      <c r="R76" s="744"/>
      <c r="S76" s="866" t="e">
        <f t="shared" si="1"/>
        <v>#DIV/0!</v>
      </c>
      <c r="T76" s="867"/>
      <c r="U76" s="868"/>
      <c r="V76" s="869"/>
      <c r="W76" s="581"/>
      <c r="X76" s="389"/>
    </row>
    <row r="77" spans="2:32" s="390" customFormat="1" ht="19.5" customHeight="1">
      <c r="B77" s="580"/>
      <c r="C77" s="733"/>
      <c r="D77" s="861"/>
      <c r="E77" s="862"/>
      <c r="F77" s="863"/>
      <c r="G77" s="863"/>
      <c r="H77" s="864"/>
      <c r="I77" s="865"/>
      <c r="J77" s="863"/>
      <c r="K77" s="863"/>
      <c r="L77" s="863"/>
      <c r="M77" s="743" t="e">
        <f>VLOOKUP(H77,Sheet1!I$54:J$289,2,FALSE)</f>
        <v>#N/A</v>
      </c>
      <c r="N77" s="734"/>
      <c r="O77" s="734"/>
      <c r="P77" s="734"/>
      <c r="Q77" s="734"/>
      <c r="R77" s="744"/>
      <c r="S77" s="866" t="e">
        <f t="shared" si="1"/>
        <v>#DIV/0!</v>
      </c>
      <c r="T77" s="867"/>
      <c r="U77" s="868"/>
      <c r="V77" s="869"/>
      <c r="W77" s="581"/>
      <c r="X77" s="389"/>
    </row>
    <row r="78" spans="2:32" s="390" customFormat="1" ht="19.5" customHeight="1">
      <c r="B78" s="580"/>
      <c r="C78" s="733"/>
      <c r="D78" s="861"/>
      <c r="E78" s="862"/>
      <c r="F78" s="863"/>
      <c r="G78" s="863"/>
      <c r="H78" s="864"/>
      <c r="I78" s="865"/>
      <c r="J78" s="863"/>
      <c r="K78" s="863"/>
      <c r="L78" s="863"/>
      <c r="M78" s="743" t="e">
        <f>VLOOKUP(H78,Sheet1!I$54:J$289,2,FALSE)</f>
        <v>#N/A</v>
      </c>
      <c r="N78" s="734"/>
      <c r="O78" s="734"/>
      <c r="P78" s="734"/>
      <c r="Q78" s="734"/>
      <c r="R78" s="744"/>
      <c r="S78" s="866" t="e">
        <f t="shared" si="1"/>
        <v>#DIV/0!</v>
      </c>
      <c r="T78" s="867"/>
      <c r="U78" s="868"/>
      <c r="V78" s="869"/>
      <c r="W78" s="581"/>
      <c r="X78" s="389"/>
    </row>
    <row r="79" spans="2:32" s="390" customFormat="1" ht="19.5" customHeight="1">
      <c r="B79" s="580"/>
      <c r="C79" s="733"/>
      <c r="D79" s="861"/>
      <c r="E79" s="862"/>
      <c r="F79" s="863"/>
      <c r="G79" s="863"/>
      <c r="H79" s="864"/>
      <c r="I79" s="865"/>
      <c r="J79" s="863"/>
      <c r="K79" s="863"/>
      <c r="L79" s="863"/>
      <c r="M79" s="743" t="e">
        <f>VLOOKUP(H79,Sheet1!I$54:J$289,2,FALSE)</f>
        <v>#N/A</v>
      </c>
      <c r="N79" s="734"/>
      <c r="O79" s="734"/>
      <c r="P79" s="734"/>
      <c r="Q79" s="734"/>
      <c r="R79" s="744"/>
      <c r="S79" s="866" t="e">
        <f t="shared" si="1"/>
        <v>#DIV/0!</v>
      </c>
      <c r="T79" s="867"/>
      <c r="U79" s="868"/>
      <c r="V79" s="869"/>
      <c r="W79" s="581"/>
      <c r="X79" s="389"/>
    </row>
    <row r="80" spans="2:32" s="390" customFormat="1" ht="19.5" customHeight="1" thickBot="1">
      <c r="B80" s="580"/>
      <c r="C80" s="735"/>
      <c r="D80" s="852"/>
      <c r="E80" s="853"/>
      <c r="F80" s="854"/>
      <c r="G80" s="854"/>
      <c r="H80" s="855"/>
      <c r="I80" s="856"/>
      <c r="J80" s="854"/>
      <c r="K80" s="854"/>
      <c r="L80" s="854"/>
      <c r="M80" s="745" t="e">
        <f>VLOOKUP(H80,Sheet1!I$54:J$289,2,FALSE)</f>
        <v>#N/A</v>
      </c>
      <c r="N80" s="736"/>
      <c r="O80" s="736"/>
      <c r="P80" s="736"/>
      <c r="Q80" s="736"/>
      <c r="R80" s="746"/>
      <c r="S80" s="857" t="e">
        <f t="shared" si="1"/>
        <v>#DIV/0!</v>
      </c>
      <c r="T80" s="858"/>
      <c r="U80" s="859"/>
      <c r="V80" s="860"/>
      <c r="W80" s="581"/>
      <c r="X80" s="389"/>
    </row>
    <row r="81" spans="2:27" s="151" customFormat="1" ht="4.5" customHeight="1" thickBot="1">
      <c r="B81" s="582"/>
      <c r="C81" s="400"/>
      <c r="D81" s="400"/>
      <c r="E81" s="401"/>
      <c r="F81" s="402"/>
      <c r="G81" s="401"/>
      <c r="H81" s="402"/>
      <c r="I81" s="401"/>
      <c r="J81" s="402"/>
      <c r="K81" s="401"/>
      <c r="L81" s="401"/>
      <c r="M81" s="403"/>
      <c r="N81" s="403"/>
      <c r="O81" s="403"/>
      <c r="P81" s="403"/>
      <c r="Q81" s="403"/>
      <c r="R81" s="399"/>
      <c r="S81" s="295"/>
      <c r="T81" s="295"/>
      <c r="U81" s="404"/>
      <c r="V81" s="405"/>
      <c r="W81" s="583"/>
      <c r="X81" s="152"/>
    </row>
    <row r="82" spans="2:27" s="151" customFormat="1" ht="24" customHeight="1" thickBot="1">
      <c r="B82" s="582"/>
      <c r="C82" s="400"/>
      <c r="D82" s="400"/>
      <c r="E82" s="401"/>
      <c r="F82" s="228"/>
      <c r="G82" s="401"/>
      <c r="H82" s="537"/>
      <c r="I82" s="537"/>
      <c r="J82" s="537"/>
      <c r="K82" s="401"/>
      <c r="L82" s="401"/>
      <c r="M82" s="403"/>
      <c r="N82" s="403"/>
      <c r="O82" s="403"/>
      <c r="P82" s="537"/>
      <c r="Q82" s="406" t="s">
        <v>59</v>
      </c>
      <c r="R82" s="406"/>
      <c r="S82" s="834" t="e">
        <f>SUM(S75:T80)</f>
        <v>#DIV/0!</v>
      </c>
      <c r="T82" s="835"/>
      <c r="U82" s="836">
        <f>SUM(U75:V80)</f>
        <v>0</v>
      </c>
      <c r="V82" s="837"/>
      <c r="W82" s="583"/>
      <c r="X82" s="152"/>
    </row>
    <row r="83" spans="2:27" s="242" customFormat="1" ht="4.5" customHeight="1" thickBot="1">
      <c r="B83" s="582"/>
      <c r="C83" s="407"/>
      <c r="D83" s="407"/>
      <c r="E83" s="408"/>
      <c r="F83" s="228"/>
      <c r="G83" s="408"/>
      <c r="H83" s="229"/>
      <c r="I83" s="229"/>
      <c r="J83" s="229"/>
      <c r="K83" s="408"/>
      <c r="L83" s="408"/>
      <c r="M83" s="409"/>
      <c r="N83" s="409"/>
      <c r="O83" s="409"/>
      <c r="P83" s="229"/>
      <c r="Q83" s="409"/>
      <c r="R83" s="668"/>
      <c r="S83" s="243"/>
      <c r="T83" s="411"/>
      <c r="U83" s="669"/>
      <c r="V83" s="670"/>
      <c r="W83" s="583"/>
      <c r="X83" s="244"/>
    </row>
    <row r="84" spans="2:27" s="468" customFormat="1" ht="17.25" customHeight="1" thickTop="1" thickBot="1">
      <c r="B84" s="662" t="s">
        <v>480</v>
      </c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4"/>
      <c r="X84" s="467"/>
    </row>
    <row r="85" spans="2:27" s="151" customFormat="1" ht="21" customHeight="1" thickTop="1" thickBot="1">
      <c r="B85" s="545">
        <v>5</v>
      </c>
      <c r="C85" s="850" t="s">
        <v>96</v>
      </c>
      <c r="D85" s="851"/>
      <c r="E85" s="671"/>
      <c r="F85" s="672"/>
      <c r="G85" s="672"/>
      <c r="H85" s="672"/>
      <c r="I85" s="672"/>
      <c r="J85" s="672"/>
      <c r="K85" s="672"/>
      <c r="L85" s="673"/>
      <c r="M85" s="674"/>
      <c r="N85" s="675"/>
      <c r="O85" s="675"/>
      <c r="P85" s="675"/>
      <c r="Q85" s="675"/>
      <c r="R85" s="675"/>
      <c r="S85" s="675"/>
      <c r="T85" s="676"/>
      <c r="U85" s="677"/>
      <c r="V85" s="677"/>
      <c r="W85" s="678"/>
    </row>
    <row r="86" spans="2:27" s="151" customFormat="1" ht="12" customHeight="1" thickBot="1">
      <c r="B86" s="591"/>
      <c r="C86" s="846"/>
      <c r="D86" s="847"/>
      <c r="E86" s="235" t="s">
        <v>95</v>
      </c>
      <c r="F86" s="236"/>
      <c r="G86" s="236"/>
      <c r="H86" s="236"/>
      <c r="I86" s="236"/>
      <c r="J86" s="236"/>
      <c r="K86" s="236"/>
      <c r="L86" s="237"/>
      <c r="M86" s="235" t="s">
        <v>73</v>
      </c>
      <c r="N86" s="236"/>
      <c r="O86" s="236"/>
      <c r="P86" s="236"/>
      <c r="Q86" s="236"/>
      <c r="R86" s="236"/>
      <c r="S86" s="236"/>
      <c r="T86" s="433"/>
      <c r="U86" s="431"/>
      <c r="V86" s="431"/>
      <c r="W86" s="592"/>
      <c r="X86" s="189"/>
      <c r="Y86" s="151" t="s">
        <v>90</v>
      </c>
    </row>
    <row r="87" spans="2:27" s="471" customFormat="1" ht="20.100000000000001" customHeight="1" thickBot="1">
      <c r="B87" s="635"/>
      <c r="C87" s="636" t="s">
        <v>93</v>
      </c>
      <c r="D87" s="636"/>
      <c r="E87" s="636"/>
      <c r="F87" s="636"/>
      <c r="G87" s="636"/>
      <c r="H87" s="636"/>
      <c r="I87" s="636"/>
      <c r="J87" s="636"/>
      <c r="K87" s="636"/>
      <c r="L87" s="636"/>
      <c r="M87" s="636"/>
      <c r="N87" s="636"/>
      <c r="O87" s="636"/>
      <c r="P87" s="636"/>
      <c r="Q87" s="636"/>
      <c r="R87" s="636"/>
      <c r="S87" s="636"/>
      <c r="T87" s="636"/>
      <c r="U87" s="636"/>
      <c r="V87" s="636"/>
      <c r="W87" s="637"/>
      <c r="X87" s="470"/>
    </row>
    <row r="88" spans="2:27" s="151" customFormat="1" ht="16.2" thickBot="1">
      <c r="B88" s="595"/>
      <c r="C88" s="298" t="s">
        <v>92</v>
      </c>
      <c r="D88" s="299"/>
      <c r="E88" s="299"/>
      <c r="F88" s="299"/>
      <c r="G88" s="299"/>
      <c r="H88" s="299"/>
      <c r="I88" s="299"/>
      <c r="J88" s="299"/>
      <c r="K88" s="299"/>
      <c r="L88" s="298" t="s">
        <v>91</v>
      </c>
      <c r="M88" s="298"/>
      <c r="N88" s="299"/>
      <c r="O88" s="299"/>
      <c r="P88" s="299"/>
      <c r="Q88" s="299"/>
      <c r="R88" s="299"/>
      <c r="S88" s="299"/>
      <c r="T88" s="299"/>
      <c r="U88" s="299"/>
      <c r="V88" s="299"/>
      <c r="W88" s="596"/>
      <c r="X88" s="189"/>
      <c r="AA88" s="151" t="s">
        <v>90</v>
      </c>
    </row>
    <row r="89" spans="2:27" s="151" customFormat="1" ht="24" customHeight="1">
      <c r="B89" s="595"/>
      <c r="C89" s="391" t="s">
        <v>356</v>
      </c>
      <c r="D89" s="195"/>
      <c r="E89" s="369"/>
      <c r="F89" s="369"/>
      <c r="G89" s="369"/>
      <c r="H89" s="369"/>
      <c r="I89" s="370"/>
      <c r="J89" s="193" t="s">
        <v>83</v>
      </c>
      <c r="K89" s="194"/>
      <c r="L89" s="391" t="s">
        <v>356</v>
      </c>
      <c r="M89" s="195"/>
      <c r="N89" s="195"/>
      <c r="O89" s="195"/>
      <c r="P89" s="369"/>
      <c r="Q89" s="369"/>
      <c r="R89" s="369"/>
      <c r="S89" s="369"/>
      <c r="T89" s="369"/>
      <c r="U89" s="370"/>
      <c r="V89" s="193" t="s">
        <v>83</v>
      </c>
      <c r="W89" s="597"/>
      <c r="X89" s="189"/>
    </row>
    <row r="90" spans="2:27" s="151" customFormat="1" ht="24" customHeight="1">
      <c r="B90" s="598"/>
      <c r="C90" s="392" t="s">
        <v>357</v>
      </c>
      <c r="D90" s="198"/>
      <c r="E90" s="371"/>
      <c r="F90" s="371"/>
      <c r="G90" s="371"/>
      <c r="H90" s="371"/>
      <c r="I90" s="372"/>
      <c r="J90" s="196" t="s">
        <v>83</v>
      </c>
      <c r="K90" s="197"/>
      <c r="L90" s="392" t="s">
        <v>357</v>
      </c>
      <c r="M90" s="198"/>
      <c r="N90" s="198"/>
      <c r="O90" s="198"/>
      <c r="P90" s="375"/>
      <c r="Q90" s="375"/>
      <c r="R90" s="375"/>
      <c r="S90" s="375"/>
      <c r="T90" s="375"/>
      <c r="U90" s="376"/>
      <c r="V90" s="196" t="s">
        <v>83</v>
      </c>
      <c r="W90" s="599"/>
      <c r="X90" s="189"/>
      <c r="Y90" s="151" t="s">
        <v>90</v>
      </c>
      <c r="AA90" s="151" t="s">
        <v>90</v>
      </c>
    </row>
    <row r="91" spans="2:27" s="151" customFormat="1" ht="24" customHeight="1">
      <c r="B91" s="598"/>
      <c r="C91" s="392" t="s">
        <v>358</v>
      </c>
      <c r="D91" s="198"/>
      <c r="E91" s="371"/>
      <c r="F91" s="371"/>
      <c r="G91" s="371"/>
      <c r="H91" s="371"/>
      <c r="I91" s="372"/>
      <c r="J91" s="196" t="s">
        <v>83</v>
      </c>
      <c r="K91" s="197"/>
      <c r="L91" s="392" t="s">
        <v>358</v>
      </c>
      <c r="M91" s="198"/>
      <c r="N91" s="198"/>
      <c r="O91" s="198"/>
      <c r="P91" s="375"/>
      <c r="Q91" s="375"/>
      <c r="R91" s="375"/>
      <c r="S91" s="375"/>
      <c r="T91" s="375"/>
      <c r="U91" s="376"/>
      <c r="V91" s="196" t="s">
        <v>83</v>
      </c>
      <c r="W91" s="599"/>
      <c r="X91" s="189"/>
      <c r="Y91" s="151" t="s">
        <v>90</v>
      </c>
      <c r="AA91" s="151" t="s">
        <v>90</v>
      </c>
    </row>
    <row r="92" spans="2:27" s="151" customFormat="1" ht="24" customHeight="1" thickBot="1">
      <c r="B92" s="600"/>
      <c r="C92" s="230" t="s">
        <v>359</v>
      </c>
      <c r="D92" s="201"/>
      <c r="E92" s="393"/>
      <c r="F92" s="373"/>
      <c r="G92" s="373"/>
      <c r="H92" s="373"/>
      <c r="I92" s="374"/>
      <c r="J92" s="199" t="s">
        <v>83</v>
      </c>
      <c r="K92" s="200"/>
      <c r="L92" s="230" t="s">
        <v>359</v>
      </c>
      <c r="M92" s="201"/>
      <c r="N92" s="201"/>
      <c r="O92" s="201"/>
      <c r="P92" s="377"/>
      <c r="Q92" s="377"/>
      <c r="R92" s="377"/>
      <c r="S92" s="377"/>
      <c r="T92" s="377"/>
      <c r="U92" s="378"/>
      <c r="V92" s="199" t="s">
        <v>83</v>
      </c>
      <c r="W92" s="601"/>
      <c r="X92" s="189"/>
      <c r="Y92" s="151" t="s">
        <v>90</v>
      </c>
      <c r="AA92" s="151" t="s">
        <v>90</v>
      </c>
    </row>
    <row r="93" spans="2:27" s="468" customFormat="1" ht="16.5" customHeight="1" thickBot="1">
      <c r="B93" s="602" t="s">
        <v>446</v>
      </c>
      <c r="C93" s="465"/>
      <c r="D93" s="465"/>
      <c r="E93" s="465"/>
      <c r="F93" s="465"/>
      <c r="G93" s="465"/>
      <c r="H93" s="465"/>
      <c r="I93" s="465"/>
      <c r="J93" s="465"/>
      <c r="K93" s="465"/>
      <c r="L93" s="466" t="s">
        <v>89</v>
      </c>
      <c r="M93" s="466"/>
      <c r="N93" s="466"/>
      <c r="O93" s="466"/>
      <c r="P93" s="466"/>
      <c r="Q93" s="466"/>
      <c r="R93" s="466"/>
      <c r="S93" s="466"/>
      <c r="T93" s="466"/>
      <c r="U93" s="466"/>
      <c r="V93" s="466"/>
      <c r="W93" s="544"/>
      <c r="X93" s="467"/>
    </row>
    <row r="94" spans="2:27" s="151" customFormat="1" ht="24" customHeight="1" thickBot="1">
      <c r="B94" s="639"/>
      <c r="C94" s="202" t="s">
        <v>88</v>
      </c>
      <c r="D94" s="241"/>
      <c r="E94" s="240"/>
      <c r="F94" s="175"/>
      <c r="G94" s="175"/>
      <c r="H94" s="175"/>
      <c r="I94" s="240"/>
      <c r="J94" s="203" t="s">
        <v>83</v>
      </c>
      <c r="K94" s="204"/>
      <c r="L94" s="205" t="s">
        <v>87</v>
      </c>
      <c r="M94" s="206"/>
      <c r="N94" s="206"/>
      <c r="O94" s="207"/>
      <c r="P94" s="231"/>
      <c r="Q94" s="232"/>
      <c r="R94" s="232"/>
      <c r="S94" s="232"/>
      <c r="T94" s="232"/>
      <c r="U94" s="233"/>
      <c r="V94" s="203" t="s">
        <v>83</v>
      </c>
      <c r="W94" s="604"/>
    </row>
    <row r="95" spans="2:27" s="171" customFormat="1" ht="16.5" customHeight="1" thickBot="1">
      <c r="B95" s="605" t="s">
        <v>335</v>
      </c>
      <c r="C95" s="469"/>
      <c r="D95" s="469"/>
      <c r="E95" s="469"/>
      <c r="F95" s="469"/>
      <c r="G95" s="469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606"/>
    </row>
    <row r="96" spans="2:27" s="185" customFormat="1" ht="18.75" customHeight="1" thickBot="1">
      <c r="B96" s="638"/>
      <c r="C96" s="234" t="s">
        <v>86</v>
      </c>
      <c r="D96" s="414"/>
      <c r="E96" s="415"/>
      <c r="F96" s="239" t="s">
        <v>497</v>
      </c>
      <c r="G96" s="759" t="s">
        <v>114</v>
      </c>
      <c r="H96" s="239" t="s">
        <v>165</v>
      </c>
      <c r="I96" s="414"/>
      <c r="J96" s="238"/>
      <c r="K96" s="415"/>
      <c r="L96" s="193" t="s">
        <v>83</v>
      </c>
      <c r="M96" s="414"/>
      <c r="N96" s="414"/>
      <c r="O96" s="414"/>
      <c r="P96" s="278" t="s">
        <v>336</v>
      </c>
      <c r="Q96" s="416"/>
      <c r="R96" s="417"/>
      <c r="S96" s="209" t="s">
        <v>83</v>
      </c>
      <c r="T96" s="414"/>
      <c r="U96" s="418"/>
      <c r="V96" s="210"/>
      <c r="W96" s="608"/>
    </row>
    <row r="97" spans="2:23" s="185" customFormat="1" ht="18.75" customHeight="1" thickBot="1">
      <c r="B97" s="609"/>
      <c r="C97" s="610" t="s">
        <v>164</v>
      </c>
      <c r="D97" s="611"/>
      <c r="E97" s="612"/>
      <c r="F97" s="613" t="s">
        <v>334</v>
      </c>
      <c r="G97" s="612"/>
      <c r="H97" s="613" t="s">
        <v>445</v>
      </c>
      <c r="I97" s="611"/>
      <c r="J97" s="611"/>
      <c r="K97" s="612"/>
      <c r="L97" s="614" t="s">
        <v>83</v>
      </c>
      <c r="M97" s="611"/>
      <c r="N97" s="611"/>
      <c r="O97" s="612"/>
      <c r="P97" s="615" t="s">
        <v>84</v>
      </c>
      <c r="Q97" s="616"/>
      <c r="R97" s="617"/>
      <c r="S97" s="618" t="s">
        <v>83</v>
      </c>
      <c r="T97" s="619"/>
      <c r="U97" s="620"/>
      <c r="V97" s="621"/>
      <c r="W97" s="622"/>
    </row>
    <row r="98" spans="2:23" ht="13.8" thickTop="1">
      <c r="M98" s="151"/>
      <c r="N98" s="151"/>
      <c r="O98" s="151"/>
      <c r="P98" s="151"/>
      <c r="Q98" s="151"/>
      <c r="R98" s="151"/>
    </row>
    <row r="99" spans="2:23">
      <c r="M99" s="151"/>
      <c r="N99" s="151"/>
      <c r="O99" s="151"/>
      <c r="P99" s="151"/>
      <c r="Q99" s="151"/>
      <c r="R99" s="151"/>
    </row>
  </sheetData>
  <sheetProtection sheet="1" objects="1" scenarios="1" selectLockedCells="1"/>
  <mergeCells count="107">
    <mergeCell ref="C9:E9"/>
    <mergeCell ref="G9:J9"/>
    <mergeCell ref="K9:O9"/>
    <mergeCell ref="Q9:T9"/>
    <mergeCell ref="U9:W9"/>
    <mergeCell ref="N16:W22"/>
    <mergeCell ref="K17:M17"/>
    <mergeCell ref="K18:M18"/>
    <mergeCell ref="K19:M19"/>
    <mergeCell ref="K20:M20"/>
    <mergeCell ref="K43:M43"/>
    <mergeCell ref="M46:N46"/>
    <mergeCell ref="E51:F51"/>
    <mergeCell ref="G51:M51"/>
    <mergeCell ref="D56:E56"/>
    <mergeCell ref="H56:R56"/>
    <mergeCell ref="K21:M21"/>
    <mergeCell ref="D22:G22"/>
    <mergeCell ref="K22:M22"/>
    <mergeCell ref="N24:W26"/>
    <mergeCell ref="L37:M37"/>
    <mergeCell ref="N40:O40"/>
    <mergeCell ref="D61:E61"/>
    <mergeCell ref="F61:G61"/>
    <mergeCell ref="H61:I61"/>
    <mergeCell ref="J61:L61"/>
    <mergeCell ref="S61:T61"/>
    <mergeCell ref="U61:V61"/>
    <mergeCell ref="D59:E59"/>
    <mergeCell ref="S59:T59"/>
    <mergeCell ref="U59:V59"/>
    <mergeCell ref="D60:E60"/>
    <mergeCell ref="F60:G60"/>
    <mergeCell ref="H60:I60"/>
    <mergeCell ref="J60:L60"/>
    <mergeCell ref="S60:T60"/>
    <mergeCell ref="U60:V60"/>
    <mergeCell ref="D63:E63"/>
    <mergeCell ref="F63:G63"/>
    <mergeCell ref="H63:I63"/>
    <mergeCell ref="J63:L63"/>
    <mergeCell ref="S63:T63"/>
    <mergeCell ref="U63:V63"/>
    <mergeCell ref="D62:E62"/>
    <mergeCell ref="F62:G62"/>
    <mergeCell ref="H62:I62"/>
    <mergeCell ref="J62:L62"/>
    <mergeCell ref="S62:T62"/>
    <mergeCell ref="U62:V62"/>
    <mergeCell ref="D65:E65"/>
    <mergeCell ref="F65:G65"/>
    <mergeCell ref="H65:I65"/>
    <mergeCell ref="J65:L65"/>
    <mergeCell ref="S65:T65"/>
    <mergeCell ref="U65:V65"/>
    <mergeCell ref="D64:E64"/>
    <mergeCell ref="F64:G64"/>
    <mergeCell ref="H64:I64"/>
    <mergeCell ref="J64:L64"/>
    <mergeCell ref="S64:T64"/>
    <mergeCell ref="U64:V64"/>
    <mergeCell ref="D75:E75"/>
    <mergeCell ref="F75:G75"/>
    <mergeCell ref="H75:I75"/>
    <mergeCell ref="J75:L75"/>
    <mergeCell ref="S75:T75"/>
    <mergeCell ref="U75:V75"/>
    <mergeCell ref="S67:T67"/>
    <mergeCell ref="U67:V67"/>
    <mergeCell ref="D71:E71"/>
    <mergeCell ref="H71:R71"/>
    <mergeCell ref="D74:E74"/>
    <mergeCell ref="S74:T74"/>
    <mergeCell ref="U74:V74"/>
    <mergeCell ref="D77:E77"/>
    <mergeCell ref="F77:G77"/>
    <mergeCell ref="H77:I77"/>
    <mergeCell ref="J77:L77"/>
    <mergeCell ref="S77:T77"/>
    <mergeCell ref="U77:V77"/>
    <mergeCell ref="D76:E76"/>
    <mergeCell ref="F76:G76"/>
    <mergeCell ref="H76:I76"/>
    <mergeCell ref="J76:L76"/>
    <mergeCell ref="S76:T76"/>
    <mergeCell ref="U76:V76"/>
    <mergeCell ref="D79:E79"/>
    <mergeCell ref="F79:G79"/>
    <mergeCell ref="H79:I79"/>
    <mergeCell ref="J79:L79"/>
    <mergeCell ref="S79:T79"/>
    <mergeCell ref="U79:V79"/>
    <mergeCell ref="D78:E78"/>
    <mergeCell ref="F78:G78"/>
    <mergeCell ref="H78:I78"/>
    <mergeCell ref="J78:L78"/>
    <mergeCell ref="S78:T78"/>
    <mergeCell ref="U78:V78"/>
    <mergeCell ref="S82:T82"/>
    <mergeCell ref="U82:V82"/>
    <mergeCell ref="C85:D86"/>
    <mergeCell ref="D80:E80"/>
    <mergeCell ref="F80:G80"/>
    <mergeCell ref="H80:I80"/>
    <mergeCell ref="J80:L80"/>
    <mergeCell ref="S80:T80"/>
    <mergeCell ref="U80:V80"/>
  </mergeCells>
  <conditionalFormatting sqref="T66 P60:P66 Q60:S67 T81 L73:L74 L81:L83 G51:M51 M73:S83 M60:O67 N37">
    <cfRule type="containsErrors" dxfId="86" priority="18">
      <formula>ISERROR(G37)</formula>
    </cfRule>
  </conditionalFormatting>
  <conditionalFormatting sqref="T66 T81 S60:S67 S75:S83">
    <cfRule type="cellIs" dxfId="85" priority="17" operator="equal">
      <formula>0</formula>
    </cfRule>
  </conditionalFormatting>
  <conditionalFormatting sqref="S82:T82 S67:T67">
    <cfRule type="containsErrors" dxfId="84" priority="16">
      <formula>ISERROR(S67)</formula>
    </cfRule>
  </conditionalFormatting>
  <conditionalFormatting sqref="G51:M51">
    <cfRule type="containsText" dxfId="83" priority="14" operator="containsText" text="INVALID">
      <formula>NOT(ISERROR(SEARCH("INVALID",G51)))</formula>
    </cfRule>
    <cfRule type="cellIs" dxfId="82" priority="15" operator="equal">
      <formula>"INVALID HOME ORGN….. PLEASE SELECT A VALID E&amp;G ORGN"</formula>
    </cfRule>
  </conditionalFormatting>
  <conditionalFormatting sqref="S67:T67 S82:T82">
    <cfRule type="containsErrors" dxfId="81" priority="13">
      <formula>ISERROR(S67)</formula>
    </cfRule>
  </conditionalFormatting>
  <conditionalFormatting sqref="U67:V67 U82:V82">
    <cfRule type="cellIs" dxfId="80" priority="12" operator="equal">
      <formula>0</formula>
    </cfRule>
  </conditionalFormatting>
  <conditionalFormatting sqref="L37:M37">
    <cfRule type="cellIs" dxfId="79" priority="10" operator="equal">
      <formula>0</formula>
    </cfRule>
    <cfRule type="cellIs" dxfId="78" priority="11" operator="equal">
      <formula>2</formula>
    </cfRule>
  </conditionalFormatting>
  <conditionalFormatting sqref="N40:O40 V40">
    <cfRule type="notContainsBlanks" dxfId="77" priority="9">
      <formula>LEN(TRIM(N40))&gt;0</formula>
    </cfRule>
  </conditionalFormatting>
  <conditionalFormatting sqref="N40:O40">
    <cfRule type="expression" dxfId="76" priority="8">
      <formula>$V$51=2</formula>
    </cfRule>
    <cfRule type="notContainsBlanks" dxfId="75" priority="3">
      <formula>LEN(TRIM(N40))&gt;0</formula>
    </cfRule>
    <cfRule type="notContainsBlanks" dxfId="74" priority="2">
      <formula>LEN(TRIM(N40))&gt;0</formula>
    </cfRule>
  </conditionalFormatting>
  <conditionalFormatting sqref="V40">
    <cfRule type="expression" dxfId="73" priority="7">
      <formula>$V$51=3</formula>
    </cfRule>
    <cfRule type="notContainsBlanks" dxfId="72" priority="1">
      <formula>LEN(TRIM(V40))&gt;0</formula>
    </cfRule>
  </conditionalFormatting>
  <conditionalFormatting sqref="K43:M43">
    <cfRule type="notContainsBlanks" dxfId="71" priority="5">
      <formula>LEN(TRIM(K43))&gt;0</formula>
    </cfRule>
    <cfRule type="expression" dxfId="70" priority="6">
      <formula>$W$51=2</formula>
    </cfRule>
  </conditionalFormatting>
  <dataValidations count="5">
    <dataValidation type="decimal" operator="lessThanOrEqual" allowBlank="1" showInputMessage="1" showErrorMessage="1" errorTitle="Indicate FTE" error="Full Time = 1_x000a_Part-Time = less than 1" promptTitle="Enter FTE" sqref="L37:M37">
      <formula1>1</formula1>
    </dataValidation>
    <dataValidation type="textLength" allowBlank="1" showInputMessage="1" showErrorMessage="1" error="Position number is six characters/digits long" sqref="D56:E56 D71:E71">
      <formula1>6</formula1>
      <formula2>6</formula2>
    </dataValidation>
    <dataValidation type="list" allowBlank="1" showInputMessage="1" showErrorMessage="1" error="Valad entries are:   611000 if pay is for teaching,  612000 for all other monthly pay,  622000 for bi-weekly. Each funding line should be specific to the work to be performed. NOTE: cannot be both monthly &amp; bi-weekly" sqref="J60:L65 J75:L80">
      <formula1>"611000,612000,622000"</formula1>
    </dataValidation>
    <dataValidation type="textLength" allowBlank="1" showInputMessage="1" showErrorMessage="1" error="Entry must be 6 characters/digits in length" sqref="F60:I65 F75:I80">
      <formula1>6</formula1>
      <formula2>6</formula2>
    </dataValidation>
    <dataValidation type="textLength" allowBlank="1" showInputMessage="1" showErrorMessage="1" errorTitle="Invalid Entry" error="ENTRY MUST BE 6 CHARACTERS/DIGITS LONG" sqref="C75:C83 C60:C66">
      <formula1>6</formula1>
      <formula2>6</formula2>
    </dataValidation>
  </dataValidations>
  <printOptions horizontalCentered="1" verticalCentered="1"/>
  <pageMargins left="0" right="0" top="0" bottom="0" header="0" footer="0"/>
  <pageSetup scale="53" orientation="portrait" r:id="rId1"/>
  <headerFooter alignWithMargins="0">
    <oddFooter>&amp;R&amp;8PAF REVISED 10/28/2011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FFC000"/>
    <pageSetUpPr fitToPage="1"/>
  </sheetPr>
  <dimension ref="B1:AF99"/>
  <sheetViews>
    <sheetView showGridLines="0" workbookViewId="0">
      <selection activeCell="C9" sqref="C9:E9"/>
    </sheetView>
  </sheetViews>
  <sheetFormatPr defaultColWidth="9.109375" defaultRowHeight="13.2"/>
  <cols>
    <col min="1" max="1" width="1.6640625" style="150" customWidth="1"/>
    <col min="2" max="2" width="4.33203125" style="150" customWidth="1"/>
    <col min="3" max="3" width="19.109375" style="150" customWidth="1"/>
    <col min="4" max="4" width="9.109375" style="150" customWidth="1"/>
    <col min="5" max="5" width="6.6640625" style="150" customWidth="1"/>
    <col min="6" max="6" width="13.6640625" style="150" customWidth="1"/>
    <col min="7" max="7" width="11.6640625" style="150" customWidth="1"/>
    <col min="8" max="8" width="6.6640625" style="150" customWidth="1"/>
    <col min="9" max="9" width="12.6640625" style="150" customWidth="1"/>
    <col min="10" max="10" width="9.33203125" style="150" customWidth="1"/>
    <col min="11" max="11" width="7.88671875" style="150" customWidth="1"/>
    <col min="12" max="12" width="4.6640625" style="150" customWidth="1"/>
    <col min="13" max="15" width="6.6640625" style="150" customWidth="1"/>
    <col min="16" max="16" width="13.88671875" style="150" customWidth="1"/>
    <col min="17" max="18" width="6.6640625" style="150" customWidth="1"/>
    <col min="19" max="20" width="7.6640625" style="150" customWidth="1"/>
    <col min="21" max="21" width="6.88671875" style="150" customWidth="1"/>
    <col min="22" max="22" width="13.6640625" style="150" customWidth="1"/>
    <col min="23" max="23" width="5.6640625" style="150" customWidth="1"/>
    <col min="24" max="24" width="18.6640625" style="150" customWidth="1"/>
    <col min="25" max="25" width="14.33203125" style="150" customWidth="1"/>
    <col min="26" max="26" width="13.5546875" style="150" customWidth="1"/>
    <col min="27" max="27" width="11.44140625" style="150" customWidth="1"/>
    <col min="28" max="28" width="16.6640625" style="150" customWidth="1"/>
    <col min="29" max="16384" width="9.109375" style="150"/>
  </cols>
  <sheetData>
    <row r="1" spans="2:31" ht="19.5" customHeight="1">
      <c r="B1" s="474" t="s">
        <v>2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spans="2:31" ht="21" customHeight="1">
      <c r="B2" s="220" t="s">
        <v>155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</row>
    <row r="3" spans="2:31" ht="10.5" customHeight="1"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</row>
    <row r="4" spans="2:31" s="535" customFormat="1" ht="2.25" customHeight="1" thickBot="1"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6"/>
    </row>
    <row r="5" spans="2:31" s="429" customFormat="1" ht="10.8" thickTop="1">
      <c r="B5" s="538" t="s">
        <v>154</v>
      </c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40"/>
    </row>
    <row r="6" spans="2:31" ht="4.5" customHeight="1" thickBot="1">
      <c r="B6" s="651"/>
      <c r="C6" s="652"/>
      <c r="D6" s="652"/>
      <c r="E6" s="652"/>
      <c r="F6" s="652"/>
      <c r="G6" s="652"/>
      <c r="H6" s="652"/>
      <c r="I6" s="652"/>
      <c r="J6" s="652"/>
      <c r="K6" s="652"/>
      <c r="L6" s="652"/>
      <c r="M6" s="652"/>
      <c r="N6" s="652"/>
      <c r="O6" s="652"/>
      <c r="P6" s="652"/>
      <c r="Q6" s="652"/>
      <c r="R6" s="652"/>
      <c r="S6" s="652"/>
      <c r="T6" s="652"/>
      <c r="U6" s="652"/>
      <c r="V6" s="652"/>
      <c r="W6" s="653"/>
      <c r="Y6" s="152" t="s">
        <v>90</v>
      </c>
      <c r="AA6" s="152" t="s">
        <v>90</v>
      </c>
    </row>
    <row r="7" spans="2:31" s="171" customFormat="1" ht="20.100000000000001" customHeight="1" thickTop="1" thickBot="1">
      <c r="B7" s="662" t="s">
        <v>473</v>
      </c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4"/>
      <c r="Y7" s="479"/>
      <c r="AA7" s="479"/>
    </row>
    <row r="8" spans="2:31" s="151" customFormat="1" ht="17.25" customHeight="1" thickTop="1" thickBot="1">
      <c r="B8" s="545">
        <v>1</v>
      </c>
      <c r="C8" s="654" t="s">
        <v>152</v>
      </c>
      <c r="D8" s="655"/>
      <c r="E8" s="656"/>
      <c r="F8" s="169" t="s">
        <v>151</v>
      </c>
      <c r="G8" s="657" t="s">
        <v>150</v>
      </c>
      <c r="H8" s="658"/>
      <c r="I8" s="658"/>
      <c r="J8" s="659"/>
      <c r="K8" s="657" t="s">
        <v>149</v>
      </c>
      <c r="L8" s="658"/>
      <c r="M8" s="658"/>
      <c r="N8" s="658"/>
      <c r="O8" s="659"/>
      <c r="P8" s="660" t="s">
        <v>148</v>
      </c>
      <c r="Q8" s="657" t="s">
        <v>147</v>
      </c>
      <c r="R8" s="658"/>
      <c r="S8" s="658"/>
      <c r="T8" s="659"/>
      <c r="U8" s="657" t="s">
        <v>146</v>
      </c>
      <c r="V8" s="658"/>
      <c r="W8" s="661"/>
      <c r="Y8" s="152" t="s">
        <v>90</v>
      </c>
      <c r="Z8" s="152" t="s">
        <v>90</v>
      </c>
      <c r="AA8" s="152" t="s">
        <v>90</v>
      </c>
    </row>
    <row r="9" spans="2:31" ht="24" customHeight="1" thickBot="1">
      <c r="B9" s="645"/>
      <c r="C9" s="800"/>
      <c r="D9" s="792"/>
      <c r="E9" s="785"/>
      <c r="F9" s="168"/>
      <c r="G9" s="800"/>
      <c r="H9" s="792"/>
      <c r="I9" s="792"/>
      <c r="J9" s="785"/>
      <c r="K9" s="800"/>
      <c r="L9" s="792"/>
      <c r="M9" s="792"/>
      <c r="N9" s="792"/>
      <c r="O9" s="785"/>
      <c r="P9" s="167"/>
      <c r="Q9" s="794"/>
      <c r="R9" s="792"/>
      <c r="S9" s="792"/>
      <c r="T9" s="785"/>
      <c r="U9" s="791"/>
      <c r="V9" s="792"/>
      <c r="W9" s="793"/>
      <c r="Y9" s="152"/>
      <c r="AA9" s="152"/>
      <c r="AC9" s="152"/>
      <c r="AE9" s="152"/>
    </row>
    <row r="10" spans="2:31" ht="15" hidden="1" customHeight="1">
      <c r="B10" s="547"/>
      <c r="C10" s="166" t="s">
        <v>146</v>
      </c>
      <c r="D10" s="166"/>
      <c r="E10" s="166" t="s">
        <v>145</v>
      </c>
      <c r="F10" s="166"/>
      <c r="G10" s="176"/>
      <c r="H10" s="177" t="s">
        <v>144</v>
      </c>
      <c r="I10" s="166"/>
      <c r="J10" s="166"/>
      <c r="K10" s="166"/>
      <c r="L10" s="165"/>
      <c r="M10" s="177" t="s">
        <v>143</v>
      </c>
      <c r="N10" s="166"/>
      <c r="O10" s="166"/>
      <c r="P10" s="166"/>
      <c r="Q10" s="166"/>
      <c r="R10" s="166"/>
      <c r="S10" s="166"/>
      <c r="T10" s="166"/>
      <c r="U10" s="166"/>
      <c r="V10" s="166"/>
      <c r="W10" s="548"/>
      <c r="AE10" s="152"/>
    </row>
    <row r="11" spans="2:31" ht="21.75" hidden="1" customHeight="1">
      <c r="B11" s="547"/>
      <c r="C11" s="164"/>
      <c r="D11" s="163"/>
      <c r="E11" s="159"/>
      <c r="F11" s="162"/>
      <c r="G11" s="161"/>
      <c r="H11" s="159"/>
      <c r="I11" s="162"/>
      <c r="J11" s="162"/>
      <c r="K11" s="162"/>
      <c r="L11" s="163"/>
      <c r="M11" s="159"/>
      <c r="N11" s="162"/>
      <c r="O11" s="162"/>
      <c r="P11" s="162"/>
      <c r="Q11" s="162"/>
      <c r="R11" s="162"/>
      <c r="S11" s="162"/>
      <c r="T11" s="162"/>
      <c r="U11" s="162"/>
      <c r="V11" s="162"/>
      <c r="W11" s="549"/>
      <c r="Y11" s="152"/>
      <c r="AA11" s="152"/>
      <c r="AC11" s="152"/>
      <c r="AE11" s="152"/>
    </row>
    <row r="12" spans="2:31" ht="12" hidden="1" customHeight="1">
      <c r="B12" s="547"/>
      <c r="C12" s="162" t="s">
        <v>142</v>
      </c>
      <c r="D12" s="162"/>
      <c r="E12" s="161"/>
      <c r="F12" s="162"/>
      <c r="G12" s="159" t="s">
        <v>141</v>
      </c>
      <c r="H12" s="161"/>
      <c r="I12" s="161"/>
      <c r="J12" s="161"/>
      <c r="K12" s="160" t="s">
        <v>140</v>
      </c>
      <c r="L12" s="160"/>
      <c r="M12" s="160" t="s">
        <v>139</v>
      </c>
      <c r="N12" s="159"/>
      <c r="O12" s="159"/>
      <c r="P12" s="159"/>
      <c r="Q12" s="159"/>
      <c r="R12" s="159"/>
      <c r="S12" s="159"/>
      <c r="T12" s="159"/>
      <c r="U12" s="159"/>
      <c r="V12" s="159"/>
      <c r="W12" s="550" t="s">
        <v>138</v>
      </c>
      <c r="X12" s="152" t="s">
        <v>90</v>
      </c>
      <c r="Y12" s="152" t="s">
        <v>90</v>
      </c>
      <c r="Z12" s="152" t="s">
        <v>90</v>
      </c>
      <c r="AA12" s="152" t="s">
        <v>90</v>
      </c>
    </row>
    <row r="13" spans="2:31" ht="18.75" hidden="1" customHeight="1">
      <c r="B13" s="547"/>
      <c r="C13" s="158"/>
      <c r="D13" s="158"/>
      <c r="E13" s="178"/>
      <c r="F13" s="158"/>
      <c r="G13" s="179"/>
      <c r="H13" s="157"/>
      <c r="I13" s="157"/>
      <c r="J13" s="157"/>
      <c r="K13" s="156"/>
      <c r="L13" s="156"/>
      <c r="M13" s="156"/>
      <c r="N13" s="155"/>
      <c r="O13" s="155"/>
      <c r="P13" s="155"/>
      <c r="Q13" s="155"/>
      <c r="R13" s="155"/>
      <c r="S13" s="155"/>
      <c r="T13" s="155"/>
      <c r="U13" s="155"/>
      <c r="V13" s="155"/>
      <c r="W13" s="551"/>
      <c r="Y13" s="152"/>
      <c r="AA13" s="152"/>
      <c r="AC13" s="152"/>
      <c r="AE13" s="152"/>
    </row>
    <row r="14" spans="2:31" s="171" customFormat="1" ht="21" customHeight="1" thickBot="1">
      <c r="B14" s="644"/>
      <c r="C14" s="632" t="s">
        <v>474</v>
      </c>
      <c r="D14" s="632"/>
      <c r="E14" s="632"/>
      <c r="F14" s="632"/>
      <c r="G14" s="632"/>
      <c r="H14" s="633"/>
      <c r="I14" s="646" t="s">
        <v>475</v>
      </c>
      <c r="J14" s="634"/>
      <c r="K14" s="634"/>
      <c r="L14" s="634"/>
      <c r="M14" s="647"/>
      <c r="N14" s="632" t="s">
        <v>476</v>
      </c>
      <c r="O14" s="632"/>
      <c r="P14" s="632"/>
      <c r="Q14" s="632"/>
      <c r="R14" s="632"/>
      <c r="S14" s="632"/>
      <c r="T14" s="632"/>
      <c r="U14" s="632"/>
      <c r="V14" s="632"/>
      <c r="W14" s="648"/>
      <c r="Y14" s="479"/>
      <c r="AA14" s="479"/>
      <c r="AC14" s="479"/>
      <c r="AE14" s="479"/>
    </row>
    <row r="15" spans="2:31" s="186" customFormat="1" ht="19.5" customHeight="1" thickBot="1">
      <c r="B15" s="554">
        <v>2</v>
      </c>
      <c r="C15" s="728" t="s">
        <v>134</v>
      </c>
      <c r="D15" s="187"/>
      <c r="E15" s="187"/>
      <c r="F15" s="293" t="s">
        <v>127</v>
      </c>
      <c r="G15" s="188"/>
      <c r="H15" s="385"/>
      <c r="I15" s="679" t="s">
        <v>132</v>
      </c>
      <c r="J15" s="247"/>
      <c r="K15" s="247"/>
      <c r="L15" s="247"/>
      <c r="M15" s="248"/>
      <c r="N15" s="643" t="s">
        <v>133</v>
      </c>
      <c r="O15" s="640"/>
      <c r="P15" s="640"/>
      <c r="Q15" s="640"/>
      <c r="R15" s="640"/>
      <c r="S15" s="640"/>
      <c r="T15" s="640"/>
      <c r="U15" s="640"/>
      <c r="V15" s="640"/>
      <c r="W15" s="641"/>
      <c r="Y15" s="154"/>
      <c r="AA15" s="154"/>
      <c r="AC15" s="154"/>
      <c r="AE15" s="154"/>
    </row>
    <row r="16" spans="2:31" s="186" customFormat="1" ht="20.100000000000001" customHeight="1">
      <c r="B16" s="556"/>
      <c r="C16" s="729" t="s">
        <v>486</v>
      </c>
      <c r="D16" s="180"/>
      <c r="E16" s="180"/>
      <c r="F16" s="294" t="s">
        <v>127</v>
      </c>
      <c r="G16" s="181"/>
      <c r="H16" s="386"/>
      <c r="I16" s="680" t="s">
        <v>132</v>
      </c>
      <c r="J16" s="216"/>
      <c r="K16" s="216"/>
      <c r="L16" s="216"/>
      <c r="M16" s="217"/>
      <c r="N16" s="905"/>
      <c r="O16" s="906"/>
      <c r="P16" s="906"/>
      <c r="Q16" s="906"/>
      <c r="R16" s="906"/>
      <c r="S16" s="906"/>
      <c r="T16" s="906"/>
      <c r="U16" s="906"/>
      <c r="V16" s="906"/>
      <c r="W16" s="907"/>
      <c r="Y16" s="154"/>
      <c r="AA16" s="154"/>
      <c r="AC16" s="154"/>
      <c r="AE16" s="154"/>
    </row>
    <row r="17" spans="2:32" s="151" customFormat="1" ht="20.100000000000001" customHeight="1">
      <c r="B17" s="556"/>
      <c r="C17" s="729" t="s">
        <v>487</v>
      </c>
      <c r="D17" s="180"/>
      <c r="E17" s="180"/>
      <c r="F17" s="294" t="s">
        <v>130</v>
      </c>
      <c r="G17" s="181"/>
      <c r="H17" s="387"/>
      <c r="I17" s="280" t="s">
        <v>126</v>
      </c>
      <c r="J17" s="182"/>
      <c r="K17" s="795"/>
      <c r="L17" s="796"/>
      <c r="M17" s="797"/>
      <c r="N17" s="908"/>
      <c r="O17" s="909"/>
      <c r="P17" s="909"/>
      <c r="Q17" s="909"/>
      <c r="R17" s="909"/>
      <c r="S17" s="909"/>
      <c r="T17" s="909"/>
      <c r="U17" s="909"/>
      <c r="V17" s="909"/>
      <c r="W17" s="910"/>
    </row>
    <row r="18" spans="2:32" s="151" customFormat="1" ht="20.100000000000001" customHeight="1">
      <c r="B18" s="556"/>
      <c r="C18" s="729" t="s">
        <v>337</v>
      </c>
      <c r="D18" s="180"/>
      <c r="E18" s="180"/>
      <c r="F18" s="294" t="s">
        <v>130</v>
      </c>
      <c r="G18" s="181"/>
      <c r="H18" s="387"/>
      <c r="I18" s="280" t="s">
        <v>126</v>
      </c>
      <c r="J18" s="182"/>
      <c r="K18" s="795"/>
      <c r="L18" s="796"/>
      <c r="M18" s="797"/>
      <c r="N18" s="911"/>
      <c r="O18" s="909"/>
      <c r="P18" s="909"/>
      <c r="Q18" s="909"/>
      <c r="R18" s="909"/>
      <c r="S18" s="909"/>
      <c r="T18" s="909"/>
      <c r="U18" s="909"/>
      <c r="V18" s="909"/>
      <c r="W18" s="910"/>
    </row>
    <row r="19" spans="2:32" s="151" customFormat="1" ht="20.100000000000001" customHeight="1">
      <c r="B19" s="556"/>
      <c r="C19" s="729" t="s">
        <v>131</v>
      </c>
      <c r="D19" s="180"/>
      <c r="E19" s="180"/>
      <c r="F19" s="294" t="s">
        <v>130</v>
      </c>
      <c r="G19" s="181"/>
      <c r="H19" s="387"/>
      <c r="I19" s="280" t="s">
        <v>126</v>
      </c>
      <c r="J19" s="182"/>
      <c r="K19" s="795"/>
      <c r="L19" s="796"/>
      <c r="M19" s="797"/>
      <c r="N19" s="911"/>
      <c r="O19" s="909"/>
      <c r="P19" s="909"/>
      <c r="Q19" s="909"/>
      <c r="R19" s="909"/>
      <c r="S19" s="909"/>
      <c r="T19" s="909"/>
      <c r="U19" s="909"/>
      <c r="V19" s="909"/>
      <c r="W19" s="910"/>
    </row>
    <row r="20" spans="2:32" s="151" customFormat="1" ht="20.100000000000001" customHeight="1">
      <c r="B20" s="556"/>
      <c r="C20" s="729" t="s">
        <v>472</v>
      </c>
      <c r="D20" s="180"/>
      <c r="E20" s="180"/>
      <c r="F20" s="294" t="s">
        <v>130</v>
      </c>
      <c r="G20" s="181"/>
      <c r="H20" s="387"/>
      <c r="I20" s="280" t="s">
        <v>126</v>
      </c>
      <c r="J20" s="182"/>
      <c r="K20" s="795"/>
      <c r="L20" s="796"/>
      <c r="M20" s="797"/>
      <c r="N20" s="911"/>
      <c r="O20" s="909"/>
      <c r="P20" s="909"/>
      <c r="Q20" s="909"/>
      <c r="R20" s="909"/>
      <c r="S20" s="909"/>
      <c r="T20" s="909"/>
      <c r="U20" s="909"/>
      <c r="V20" s="909"/>
      <c r="W20" s="910"/>
    </row>
    <row r="21" spans="2:32" s="151" customFormat="1" ht="20.100000000000001" customHeight="1">
      <c r="B21" s="556"/>
      <c r="C21" s="729" t="s">
        <v>129</v>
      </c>
      <c r="D21" s="180"/>
      <c r="E21" s="180"/>
      <c r="F21" s="294" t="s">
        <v>128</v>
      </c>
      <c r="G21" s="181"/>
      <c r="H21" s="387"/>
      <c r="I21" s="280" t="s">
        <v>492</v>
      </c>
      <c r="J21" s="182"/>
      <c r="K21" s="795"/>
      <c r="L21" s="796"/>
      <c r="M21" s="797"/>
      <c r="N21" s="911"/>
      <c r="O21" s="909"/>
      <c r="P21" s="909"/>
      <c r="Q21" s="909"/>
      <c r="R21" s="909"/>
      <c r="S21" s="909"/>
      <c r="T21" s="909"/>
      <c r="U21" s="909"/>
      <c r="V21" s="909"/>
      <c r="W21" s="910"/>
    </row>
    <row r="22" spans="2:32" s="151" customFormat="1" ht="20.100000000000001" customHeight="1" thickBot="1">
      <c r="B22" s="556"/>
      <c r="C22" s="730" t="s">
        <v>340</v>
      </c>
      <c r="D22" s="897"/>
      <c r="E22" s="898"/>
      <c r="F22" s="899"/>
      <c r="G22" s="900"/>
      <c r="H22" s="649"/>
      <c r="I22" s="681" t="s">
        <v>126</v>
      </c>
      <c r="J22" s="650"/>
      <c r="K22" s="901"/>
      <c r="L22" s="902"/>
      <c r="M22" s="903"/>
      <c r="N22" s="911"/>
      <c r="O22" s="909"/>
      <c r="P22" s="909"/>
      <c r="Q22" s="909"/>
      <c r="R22" s="909"/>
      <c r="S22" s="909"/>
      <c r="T22" s="909"/>
      <c r="U22" s="909"/>
      <c r="V22" s="909"/>
      <c r="W22" s="910"/>
    </row>
    <row r="23" spans="2:32" s="474" customFormat="1" ht="20.100000000000001" customHeight="1" thickTop="1" thickBot="1">
      <c r="B23" s="662" t="s">
        <v>477</v>
      </c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4"/>
      <c r="AD23" s="475"/>
      <c r="AE23" s="475"/>
      <c r="AF23" s="475"/>
    </row>
    <row r="24" spans="2:32" s="212" customFormat="1" ht="4.5" customHeight="1" thickTop="1">
      <c r="B24" s="665"/>
      <c r="C24" s="211"/>
      <c r="D24" s="211"/>
      <c r="E24" s="394"/>
      <c r="F24" s="211"/>
      <c r="G24" s="211"/>
      <c r="H24" s="394"/>
      <c r="I24" s="215"/>
      <c r="J24" s="219"/>
      <c r="K24" s="215"/>
      <c r="L24" s="215"/>
      <c r="M24" s="394"/>
      <c r="N24" s="904" t="s">
        <v>372</v>
      </c>
      <c r="O24" s="808"/>
      <c r="P24" s="808"/>
      <c r="Q24" s="808"/>
      <c r="R24" s="808"/>
      <c r="S24" s="808"/>
      <c r="T24" s="808"/>
      <c r="U24" s="808"/>
      <c r="V24" s="808"/>
      <c r="W24" s="809"/>
    </row>
    <row r="25" spans="2:32" s="688" customFormat="1" ht="19.5" customHeight="1">
      <c r="B25" s="683">
        <v>3</v>
      </c>
      <c r="C25" s="684" t="s">
        <v>362</v>
      </c>
      <c r="D25" s="684"/>
      <c r="E25" s="685"/>
      <c r="F25" s="684" t="s">
        <v>122</v>
      </c>
      <c r="G25" s="684"/>
      <c r="H25" s="685"/>
      <c r="I25" s="684" t="s">
        <v>125</v>
      </c>
      <c r="J25" s="684"/>
      <c r="K25" s="684"/>
      <c r="L25" s="686"/>
      <c r="M25" s="687"/>
      <c r="N25" s="808"/>
      <c r="O25" s="808"/>
      <c r="P25" s="808"/>
      <c r="Q25" s="808"/>
      <c r="R25" s="808"/>
      <c r="S25" s="808"/>
      <c r="T25" s="808"/>
      <c r="U25" s="808"/>
      <c r="V25" s="808"/>
      <c r="W25" s="809"/>
    </row>
    <row r="26" spans="2:32" s="213" customFormat="1" ht="4.5" customHeight="1">
      <c r="B26" s="562"/>
      <c r="C26" s="462"/>
      <c r="D26" s="251"/>
      <c r="E26" s="383"/>
      <c r="F26" s="251"/>
      <c r="G26" s="251"/>
      <c r="H26" s="383"/>
      <c r="I26" s="251"/>
      <c r="J26" s="251"/>
      <c r="K26" s="251"/>
      <c r="L26" s="251"/>
      <c r="M26" s="383"/>
      <c r="N26" s="810"/>
      <c r="O26" s="810"/>
      <c r="P26" s="810"/>
      <c r="Q26" s="810"/>
      <c r="R26" s="810"/>
      <c r="S26" s="810"/>
      <c r="T26" s="810"/>
      <c r="U26" s="810"/>
      <c r="V26" s="810"/>
      <c r="W26" s="811"/>
    </row>
    <row r="27" spans="2:32" s="213" customFormat="1" ht="4.5" customHeight="1">
      <c r="B27" s="562"/>
      <c r="C27" s="214"/>
      <c r="D27" s="214"/>
      <c r="E27" s="461"/>
      <c r="F27" s="214"/>
      <c r="G27" s="214"/>
      <c r="H27" s="461"/>
      <c r="I27" s="214"/>
      <c r="J27" s="214"/>
      <c r="K27" s="214"/>
      <c r="L27" s="214"/>
      <c r="M27" s="461"/>
      <c r="N27" s="756"/>
      <c r="O27" s="756"/>
      <c r="P27" s="756"/>
      <c r="Q27" s="756"/>
      <c r="R27" s="756"/>
      <c r="S27" s="756"/>
      <c r="T27" s="756"/>
      <c r="U27" s="756"/>
      <c r="V27" s="756"/>
      <c r="W27" s="757"/>
    </row>
    <row r="28" spans="2:32" s="688" customFormat="1" ht="19.5" customHeight="1">
      <c r="B28" s="562"/>
      <c r="C28" s="684" t="s">
        <v>449</v>
      </c>
      <c r="D28" s="684"/>
      <c r="E28" s="685"/>
      <c r="F28" s="684" t="s">
        <v>116</v>
      </c>
      <c r="G28" s="684"/>
      <c r="H28" s="685"/>
      <c r="I28" s="684" t="s">
        <v>156</v>
      </c>
      <c r="J28" s="684"/>
      <c r="K28" s="684"/>
      <c r="L28" s="684"/>
      <c r="M28" s="685"/>
      <c r="N28" s="684" t="s">
        <v>157</v>
      </c>
      <c r="O28" s="684"/>
      <c r="P28" s="684"/>
      <c r="Q28" s="685"/>
      <c r="R28" s="684" t="s">
        <v>112</v>
      </c>
      <c r="S28" s="684"/>
      <c r="T28" s="755" t="s">
        <v>447</v>
      </c>
      <c r="U28" s="689"/>
      <c r="V28" s="690" t="s">
        <v>448</v>
      </c>
      <c r="W28" s="691"/>
    </row>
    <row r="29" spans="2:32" s="688" customFormat="1" ht="4.5" customHeight="1">
      <c r="B29" s="562"/>
      <c r="C29" s="692"/>
      <c r="D29" s="693"/>
      <c r="E29" s="694"/>
      <c r="F29" s="693"/>
      <c r="G29" s="693"/>
      <c r="H29" s="694"/>
      <c r="I29" s="693"/>
      <c r="J29" s="693"/>
      <c r="K29" s="693"/>
      <c r="L29" s="693"/>
      <c r="M29" s="694"/>
      <c r="N29" s="693"/>
      <c r="O29" s="693"/>
      <c r="P29" s="693"/>
      <c r="Q29" s="695"/>
      <c r="R29" s="695"/>
      <c r="S29" s="693"/>
      <c r="T29" s="693"/>
      <c r="U29" s="693"/>
      <c r="V29" s="693"/>
      <c r="W29" s="696"/>
    </row>
    <row r="30" spans="2:32" s="688" customFormat="1" ht="4.5" customHeight="1">
      <c r="B30" s="562"/>
      <c r="C30" s="684"/>
      <c r="D30" s="684"/>
      <c r="E30" s="695"/>
      <c r="F30" s="684"/>
      <c r="G30" s="684"/>
      <c r="H30" s="695"/>
      <c r="I30" s="684"/>
      <c r="J30" s="684"/>
      <c r="K30" s="684"/>
      <c r="L30" s="684"/>
      <c r="M30" s="695"/>
      <c r="N30" s="684"/>
      <c r="O30" s="684"/>
      <c r="P30" s="684"/>
      <c r="Q30" s="697"/>
      <c r="R30" s="697"/>
      <c r="S30" s="684"/>
      <c r="T30" s="684"/>
      <c r="U30" s="684"/>
      <c r="V30" s="684"/>
      <c r="W30" s="698"/>
    </row>
    <row r="31" spans="2:32" s="688" customFormat="1" ht="19.5" customHeight="1">
      <c r="B31" s="562"/>
      <c r="C31" s="684" t="s">
        <v>363</v>
      </c>
      <c r="D31" s="684"/>
      <c r="E31" s="685"/>
      <c r="F31" s="684" t="s">
        <v>158</v>
      </c>
      <c r="G31" s="684"/>
      <c r="H31" s="685"/>
      <c r="I31" s="684" t="s">
        <v>121</v>
      </c>
      <c r="J31" s="684"/>
      <c r="K31" s="699"/>
      <c r="L31" s="699"/>
      <c r="M31" s="685"/>
      <c r="N31" s="684" t="s">
        <v>120</v>
      </c>
      <c r="O31" s="684"/>
      <c r="P31" s="684"/>
      <c r="Q31" s="685"/>
      <c r="R31" s="684" t="s">
        <v>119</v>
      </c>
      <c r="S31" s="684"/>
      <c r="T31" s="684"/>
      <c r="U31" s="685"/>
      <c r="V31" s="684" t="s">
        <v>341</v>
      </c>
      <c r="W31" s="698"/>
    </row>
    <row r="32" spans="2:32" s="688" customFormat="1" ht="4.5" customHeight="1">
      <c r="B32" s="562"/>
      <c r="C32" s="692"/>
      <c r="D32" s="693"/>
      <c r="E32" s="694"/>
      <c r="F32" s="693"/>
      <c r="G32" s="693"/>
      <c r="H32" s="694"/>
      <c r="I32" s="693"/>
      <c r="J32" s="693"/>
      <c r="K32" s="693"/>
      <c r="L32" s="693"/>
      <c r="M32" s="694"/>
      <c r="N32" s="693"/>
      <c r="O32" s="693"/>
      <c r="P32" s="693"/>
      <c r="Q32" s="693"/>
      <c r="R32" s="695"/>
      <c r="S32" s="693"/>
      <c r="T32" s="693"/>
      <c r="U32" s="693"/>
      <c r="V32" s="693"/>
      <c r="W32" s="696"/>
    </row>
    <row r="33" spans="2:23" s="688" customFormat="1" ht="4.5" customHeight="1">
      <c r="B33" s="562"/>
      <c r="C33" s="684"/>
      <c r="D33" s="684"/>
      <c r="E33" s="695"/>
      <c r="F33" s="684"/>
      <c r="G33" s="684"/>
      <c r="H33" s="695"/>
      <c r="I33" s="684"/>
      <c r="J33" s="684"/>
      <c r="K33" s="684"/>
      <c r="L33" s="684"/>
      <c r="M33" s="697"/>
      <c r="N33" s="684"/>
      <c r="O33" s="684"/>
      <c r="P33" s="684"/>
      <c r="Q33" s="684"/>
      <c r="R33" s="697"/>
      <c r="S33" s="684"/>
      <c r="T33" s="684"/>
      <c r="U33" s="684"/>
      <c r="V33" s="684"/>
      <c r="W33" s="698"/>
    </row>
    <row r="34" spans="2:23" s="688" customFormat="1" ht="19.5" customHeight="1">
      <c r="B34" s="562"/>
      <c r="C34" s="684" t="s">
        <v>364</v>
      </c>
      <c r="D34" s="684"/>
      <c r="E34" s="685"/>
      <c r="F34" s="684" t="s">
        <v>113</v>
      </c>
      <c r="G34" s="684"/>
      <c r="H34" s="685"/>
      <c r="I34" s="684" t="s">
        <v>159</v>
      </c>
      <c r="J34" s="684"/>
      <c r="K34" s="699"/>
      <c r="L34" s="699"/>
      <c r="M34" s="685"/>
      <c r="N34" s="684" t="s">
        <v>452</v>
      </c>
      <c r="O34" s="684"/>
      <c r="P34" s="684"/>
      <c r="Q34" s="684"/>
      <c r="R34" s="684"/>
      <c r="S34" s="684"/>
      <c r="T34" s="684"/>
      <c r="U34" s="684"/>
      <c r="V34" s="684"/>
      <c r="W34" s="698"/>
    </row>
    <row r="35" spans="2:23" s="213" customFormat="1" ht="4.5" customHeight="1">
      <c r="B35" s="562"/>
      <c r="C35" s="462"/>
      <c r="D35" s="251"/>
      <c r="E35" s="383"/>
      <c r="F35" s="251"/>
      <c r="G35" s="251"/>
      <c r="H35" s="383"/>
      <c r="I35" s="251"/>
      <c r="J35" s="251"/>
      <c r="K35" s="251"/>
      <c r="L35" s="251"/>
      <c r="M35" s="461"/>
      <c r="N35" s="251"/>
      <c r="O35" s="251"/>
      <c r="P35" s="251"/>
      <c r="Q35" s="251"/>
      <c r="R35" s="461"/>
      <c r="S35" s="251"/>
      <c r="T35" s="251"/>
      <c r="U35" s="251"/>
      <c r="V35" s="251"/>
      <c r="W35" s="564"/>
    </row>
    <row r="36" spans="2:23" s="213" customFormat="1" ht="4.5" customHeight="1">
      <c r="B36" s="562"/>
      <c r="C36" s="214"/>
      <c r="D36" s="214"/>
      <c r="E36" s="461"/>
      <c r="F36" s="214"/>
      <c r="G36" s="214"/>
      <c r="H36" s="461"/>
      <c r="I36" s="214"/>
      <c r="J36" s="214"/>
      <c r="K36" s="214"/>
      <c r="L36" s="214"/>
      <c r="M36" s="225"/>
      <c r="N36" s="214"/>
      <c r="O36" s="214"/>
      <c r="P36" s="214"/>
      <c r="Q36" s="214"/>
      <c r="R36" s="225"/>
      <c r="S36" s="214"/>
      <c r="T36" s="214"/>
      <c r="U36" s="214"/>
      <c r="V36" s="214"/>
      <c r="W36" s="565"/>
    </row>
    <row r="37" spans="2:23" s="688" customFormat="1" ht="19.5" customHeight="1">
      <c r="B37" s="562"/>
      <c r="C37" s="684" t="s">
        <v>365</v>
      </c>
      <c r="D37" s="700"/>
      <c r="E37" s="685"/>
      <c r="F37" s="684" t="s">
        <v>124</v>
      </c>
      <c r="H37" s="701">
        <v>2</v>
      </c>
      <c r="I37" s="702" t="s">
        <v>481</v>
      </c>
      <c r="J37" s="703"/>
      <c r="K37" s="704"/>
      <c r="L37" s="812">
        <f>Sheet1!J1</f>
        <v>0</v>
      </c>
      <c r="M37" s="813"/>
      <c r="N37" s="488" t="e">
        <f>VLOOKUP(L37,Sheet1!K1:L1,2,FALSE)</f>
        <v>#N/A</v>
      </c>
      <c r="O37" s="684"/>
      <c r="P37" s="705"/>
      <c r="Q37" s="684"/>
      <c r="R37" s="684"/>
      <c r="S37" s="684"/>
      <c r="T37" s="684"/>
      <c r="U37" s="684"/>
      <c r="V37" s="706"/>
      <c r="W37" s="707"/>
    </row>
    <row r="38" spans="2:23" s="213" customFormat="1" ht="4.5" customHeight="1">
      <c r="B38" s="562"/>
      <c r="C38" s="462"/>
      <c r="D38" s="251"/>
      <c r="E38" s="383"/>
      <c r="F38" s="251"/>
      <c r="G38" s="251"/>
      <c r="H38" s="383"/>
      <c r="I38" s="251"/>
      <c r="J38" s="251"/>
      <c r="K38" s="464"/>
      <c r="L38" s="464"/>
      <c r="M38" s="464"/>
      <c r="N38" s="251"/>
      <c r="O38" s="251"/>
      <c r="P38" s="251"/>
      <c r="Q38" s="251"/>
      <c r="R38" s="461"/>
      <c r="S38" s="251"/>
      <c r="T38" s="251"/>
      <c r="U38" s="251"/>
      <c r="V38" s="251"/>
      <c r="W38" s="564"/>
    </row>
    <row r="39" spans="2:23" s="213" customFormat="1" ht="4.5" customHeight="1">
      <c r="B39" s="562"/>
      <c r="C39" s="214"/>
      <c r="D39" s="214"/>
      <c r="E39" s="461"/>
      <c r="F39" s="214"/>
      <c r="G39" s="214"/>
      <c r="H39" s="461"/>
      <c r="I39" s="214"/>
      <c r="J39" s="214"/>
      <c r="K39" s="227"/>
      <c r="L39" s="227"/>
      <c r="M39" s="227"/>
      <c r="N39" s="214"/>
      <c r="O39" s="214"/>
      <c r="P39" s="214"/>
      <c r="Q39" s="214"/>
      <c r="R39" s="225"/>
      <c r="S39" s="214"/>
      <c r="T39" s="214"/>
      <c r="U39" s="214"/>
      <c r="V39" s="214"/>
      <c r="W39" s="565"/>
    </row>
    <row r="40" spans="2:23" s="688" customFormat="1" ht="19.5" customHeight="1">
      <c r="B40" s="562"/>
      <c r="C40" s="684" t="s">
        <v>366</v>
      </c>
      <c r="D40" s="684"/>
      <c r="E40" s="685"/>
      <c r="F40" s="684" t="s">
        <v>123</v>
      </c>
      <c r="G40" s="684"/>
      <c r="H40" s="685"/>
      <c r="I40" s="702" t="s">
        <v>482</v>
      </c>
      <c r="J40" s="708"/>
      <c r="K40" s="532"/>
      <c r="L40" s="533"/>
      <c r="M40" s="709"/>
      <c r="N40" s="833"/>
      <c r="O40" s="816"/>
      <c r="P40" s="710"/>
      <c r="Q40" s="685"/>
      <c r="R40" s="214" t="s">
        <v>491</v>
      </c>
      <c r="S40" s="684"/>
      <c r="T40" s="684"/>
      <c r="U40" s="684"/>
      <c r="V40" s="489"/>
      <c r="W40" s="711"/>
    </row>
    <row r="41" spans="2:23" s="213" customFormat="1" ht="4.5" customHeight="1">
      <c r="B41" s="562"/>
      <c r="C41" s="462"/>
      <c r="D41" s="251"/>
      <c r="E41" s="383"/>
      <c r="F41" s="251"/>
      <c r="G41" s="251"/>
      <c r="H41" s="383"/>
      <c r="I41" s="251"/>
      <c r="J41" s="251"/>
      <c r="K41" s="464"/>
      <c r="L41" s="464"/>
      <c r="M41" s="464"/>
      <c r="N41" s="251"/>
      <c r="O41" s="251"/>
      <c r="P41" s="251"/>
      <c r="Q41" s="251"/>
      <c r="R41" s="461"/>
      <c r="S41" s="251"/>
      <c r="T41" s="251"/>
      <c r="U41" s="251"/>
      <c r="V41" s="251"/>
      <c r="W41" s="564"/>
    </row>
    <row r="42" spans="2:23" s="213" customFormat="1" ht="4.5" customHeight="1">
      <c r="B42" s="562"/>
      <c r="C42" s="214"/>
      <c r="D42" s="214"/>
      <c r="E42" s="461"/>
      <c r="F42" s="214"/>
      <c r="G42" s="214"/>
      <c r="H42" s="461"/>
      <c r="I42" s="214"/>
      <c r="J42" s="214"/>
      <c r="K42" s="227"/>
      <c r="L42" s="227"/>
      <c r="M42" s="227"/>
      <c r="N42" s="214"/>
      <c r="O42" s="214"/>
      <c r="P42" s="214"/>
      <c r="Q42" s="214"/>
      <c r="R42" s="225"/>
      <c r="S42" s="214"/>
      <c r="T42" s="214"/>
      <c r="U42" s="214"/>
      <c r="V42" s="214"/>
      <c r="W42" s="565"/>
    </row>
    <row r="43" spans="2:23" s="688" customFormat="1" ht="19.5" customHeight="1">
      <c r="B43" s="562"/>
      <c r="C43" s="682" t="s">
        <v>367</v>
      </c>
      <c r="D43" s="684"/>
      <c r="E43" s="685"/>
      <c r="F43" s="684" t="s">
        <v>114</v>
      </c>
      <c r="G43" s="684"/>
      <c r="H43" s="685"/>
      <c r="I43" s="702" t="s">
        <v>483</v>
      </c>
      <c r="J43" s="693"/>
      <c r="K43" s="814"/>
      <c r="L43" s="815"/>
      <c r="M43" s="816"/>
      <c r="N43" s="712"/>
      <c r="O43" s="705"/>
      <c r="P43" s="705"/>
      <c r="Q43" s="705"/>
      <c r="R43" s="684"/>
      <c r="S43" s="684"/>
      <c r="T43" s="684"/>
      <c r="U43" s="684"/>
      <c r="W43" s="698"/>
    </row>
    <row r="44" spans="2:23" s="213" customFormat="1" ht="4.5" customHeight="1">
      <c r="B44" s="562"/>
      <c r="C44" s="462"/>
      <c r="D44" s="251"/>
      <c r="E44" s="383"/>
      <c r="F44" s="251"/>
      <c r="G44" s="251"/>
      <c r="H44" s="383"/>
      <c r="I44" s="251"/>
      <c r="J44" s="251"/>
      <c r="K44" s="251"/>
      <c r="L44" s="251"/>
      <c r="M44" s="461"/>
      <c r="N44" s="251"/>
      <c r="O44" s="251"/>
      <c r="P44" s="251"/>
      <c r="Q44" s="251"/>
      <c r="R44" s="461"/>
      <c r="S44" s="251"/>
      <c r="T44" s="251"/>
      <c r="U44" s="251"/>
      <c r="V44" s="251"/>
      <c r="W44" s="564"/>
    </row>
    <row r="45" spans="2:23" s="213" customFormat="1" ht="4.5" customHeight="1">
      <c r="B45" s="562"/>
      <c r="C45" s="214"/>
      <c r="D45" s="214"/>
      <c r="E45" s="225"/>
      <c r="F45" s="214"/>
      <c r="G45" s="214"/>
      <c r="H45" s="225"/>
      <c r="I45" s="214"/>
      <c r="J45" s="214"/>
      <c r="K45" s="214"/>
      <c r="L45" s="214"/>
      <c r="M45" s="225"/>
      <c r="N45" s="214"/>
      <c r="O45" s="214"/>
      <c r="P45" s="214"/>
      <c r="Q45" s="214"/>
      <c r="R45" s="225"/>
      <c r="S45" s="214"/>
      <c r="T45" s="214"/>
      <c r="U45" s="214"/>
      <c r="V45" s="214"/>
      <c r="W45" s="565"/>
    </row>
    <row r="46" spans="2:23" s="213" customFormat="1" ht="19.5" customHeight="1">
      <c r="B46" s="562"/>
      <c r="C46" s="214" t="s">
        <v>368</v>
      </c>
      <c r="D46" s="214"/>
      <c r="E46" s="227" t="s">
        <v>118</v>
      </c>
      <c r="F46" s="758"/>
      <c r="G46" s="214"/>
      <c r="H46" s="227" t="s">
        <v>117</v>
      </c>
      <c r="I46" s="420"/>
      <c r="J46" s="214"/>
      <c r="K46" s="398"/>
      <c r="L46" s="398" t="s">
        <v>115</v>
      </c>
      <c r="M46" s="842"/>
      <c r="N46" s="843"/>
      <c r="O46" s="218"/>
      <c r="P46" s="218"/>
      <c r="Q46" s="218"/>
      <c r="R46" s="214"/>
      <c r="S46" s="214"/>
      <c r="T46" s="214"/>
      <c r="U46" s="214"/>
      <c r="V46" s="214"/>
      <c r="W46" s="568"/>
    </row>
    <row r="47" spans="2:23" s="213" customFormat="1" ht="4.5" customHeight="1">
      <c r="B47" s="562"/>
      <c r="C47" s="462"/>
      <c r="D47" s="251"/>
      <c r="E47" s="461"/>
      <c r="F47" s="251"/>
      <c r="G47" s="251"/>
      <c r="H47" s="461"/>
      <c r="I47" s="251"/>
      <c r="J47" s="251"/>
      <c r="K47" s="251"/>
      <c r="L47" s="251"/>
      <c r="M47" s="461"/>
      <c r="N47" s="251"/>
      <c r="O47" s="251"/>
      <c r="P47" s="251"/>
      <c r="Q47" s="251"/>
      <c r="R47" s="461"/>
      <c r="S47" s="251"/>
      <c r="T47" s="251"/>
      <c r="U47" s="251"/>
      <c r="V47" s="251"/>
      <c r="W47" s="564"/>
    </row>
    <row r="48" spans="2:23" s="213" customFormat="1" ht="4.5" customHeight="1">
      <c r="B48" s="562"/>
      <c r="C48" s="214"/>
      <c r="D48" s="214"/>
      <c r="E48" s="225"/>
      <c r="F48" s="214"/>
      <c r="G48" s="214"/>
      <c r="H48" s="225"/>
      <c r="I48" s="214"/>
      <c r="J48" s="214"/>
      <c r="K48" s="214"/>
      <c r="L48" s="214"/>
      <c r="M48" s="225"/>
      <c r="N48" s="214"/>
      <c r="O48" s="214"/>
      <c r="P48" s="214"/>
      <c r="Q48" s="214"/>
      <c r="R48" s="225"/>
      <c r="S48" s="214"/>
      <c r="T48" s="214"/>
      <c r="U48" s="214"/>
      <c r="V48" s="214"/>
      <c r="W48" s="565"/>
    </row>
    <row r="49" spans="2:32" s="688" customFormat="1" ht="15.6">
      <c r="B49" s="562"/>
      <c r="C49" s="713" t="s">
        <v>488</v>
      </c>
      <c r="D49" s="684"/>
      <c r="E49" s="684"/>
      <c r="F49" s="684"/>
      <c r="G49" s="684"/>
      <c r="H49" s="684"/>
      <c r="I49" s="684"/>
      <c r="J49" s="684"/>
      <c r="K49" s="699"/>
      <c r="L49" s="699"/>
      <c r="M49" s="699"/>
      <c r="N49" s="684"/>
      <c r="O49" s="705"/>
      <c r="P49" s="705"/>
      <c r="Q49" s="705"/>
      <c r="R49" s="684"/>
      <c r="S49" s="684"/>
      <c r="T49" s="684"/>
      <c r="U49" s="684"/>
      <c r="V49" s="684"/>
      <c r="W49" s="714"/>
    </row>
    <row r="50" spans="2:32" s="688" customFormat="1" ht="19.5" customHeight="1">
      <c r="B50" s="562"/>
      <c r="C50" s="715" t="s">
        <v>489</v>
      </c>
      <c r="D50" s="684"/>
      <c r="E50" s="684"/>
      <c r="F50" s="684"/>
      <c r="G50" s="684"/>
      <c r="H50" s="684"/>
      <c r="I50" s="684"/>
      <c r="J50" s="684"/>
      <c r="K50" s="699"/>
      <c r="L50" s="699"/>
      <c r="M50" s="699"/>
      <c r="N50" s="684"/>
      <c r="O50" s="705"/>
      <c r="P50" s="705"/>
      <c r="Q50" s="705"/>
      <c r="R50" s="684"/>
      <c r="S50" s="684"/>
      <c r="T50" s="684"/>
      <c r="U50" s="684"/>
      <c r="V50" s="684"/>
      <c r="W50" s="714"/>
    </row>
    <row r="51" spans="2:32" s="718" customFormat="1" ht="19.5" customHeight="1">
      <c r="B51" s="569"/>
      <c r="C51" s="684"/>
      <c r="D51" s="706" t="s">
        <v>160</v>
      </c>
      <c r="E51" s="798"/>
      <c r="F51" s="799"/>
      <c r="G51" s="894" t="e">
        <f>VLOOKUP(E51,Sheet1!I153:J414,2,FALSE)</f>
        <v>#N/A</v>
      </c>
      <c r="H51" s="895"/>
      <c r="I51" s="895"/>
      <c r="J51" s="895"/>
      <c r="K51" s="895"/>
      <c r="L51" s="895"/>
      <c r="M51" s="895"/>
      <c r="N51" s="684"/>
      <c r="O51" s="684"/>
      <c r="P51" s="684"/>
      <c r="Q51" s="684"/>
      <c r="R51" s="684"/>
      <c r="S51" s="684"/>
      <c r="T51" s="684"/>
      <c r="U51" s="684"/>
      <c r="V51" s="716">
        <v>0</v>
      </c>
      <c r="W51" s="717">
        <v>0</v>
      </c>
    </row>
    <row r="52" spans="2:32" s="213" customFormat="1" ht="4.5" customHeight="1" thickBot="1">
      <c r="B52" s="562"/>
      <c r="C52" s="214"/>
      <c r="D52" s="214"/>
      <c r="E52" s="225"/>
      <c r="F52" s="214"/>
      <c r="G52" s="214"/>
      <c r="H52" s="250"/>
      <c r="I52" s="214"/>
      <c r="J52" s="214"/>
      <c r="K52" s="214"/>
      <c r="L52" s="214"/>
      <c r="M52" s="250"/>
      <c r="N52" s="214"/>
      <c r="O52" s="214"/>
      <c r="P52" s="214"/>
      <c r="Q52" s="214"/>
      <c r="R52" s="225"/>
      <c r="S52" s="214"/>
      <c r="T52" s="214"/>
      <c r="U52" s="214"/>
      <c r="V52" s="214"/>
      <c r="W52" s="565"/>
    </row>
    <row r="53" spans="2:32" s="474" customFormat="1" ht="20.100000000000001" customHeight="1" thickTop="1" thickBot="1">
      <c r="B53" s="666"/>
      <c r="C53" s="663" t="s">
        <v>478</v>
      </c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4"/>
      <c r="AD53" s="475"/>
      <c r="AE53" s="475"/>
      <c r="AF53" s="475"/>
    </row>
    <row r="54" spans="2:32" s="688" customFormat="1" ht="15.75" customHeight="1" thickTop="1">
      <c r="B54" s="720" t="s">
        <v>111</v>
      </c>
      <c r="C54" s="713" t="s">
        <v>490</v>
      </c>
      <c r="D54" s="684"/>
      <c r="E54" s="684"/>
      <c r="F54" s="684"/>
      <c r="G54" s="684"/>
      <c r="H54" s="684"/>
      <c r="I54" s="684"/>
      <c r="J54" s="684"/>
      <c r="K54" s="684"/>
      <c r="L54" s="684"/>
      <c r="M54" s="684"/>
      <c r="N54" s="684"/>
      <c r="O54" s="684"/>
      <c r="P54" s="684"/>
      <c r="Q54" s="684"/>
      <c r="R54" s="684"/>
      <c r="S54" s="684"/>
      <c r="T54" s="684"/>
      <c r="U54" s="684"/>
      <c r="V54" s="684"/>
      <c r="W54" s="714"/>
    </row>
    <row r="55" spans="2:32" s="688" customFormat="1" ht="19.5" customHeight="1">
      <c r="B55" s="573"/>
      <c r="C55" s="715" t="s">
        <v>484</v>
      </c>
      <c r="D55" s="684"/>
      <c r="E55" s="684"/>
      <c r="F55" s="684"/>
      <c r="G55" s="684"/>
      <c r="H55" s="684"/>
      <c r="I55" s="684"/>
      <c r="J55" s="684"/>
      <c r="K55" s="684"/>
      <c r="L55" s="684"/>
      <c r="M55" s="684"/>
      <c r="N55" s="684"/>
      <c r="O55" s="684"/>
      <c r="P55" s="684"/>
      <c r="Q55" s="684"/>
      <c r="R55" s="684"/>
      <c r="S55" s="684"/>
      <c r="T55" s="684"/>
      <c r="U55" s="684"/>
      <c r="V55" s="684"/>
      <c r="W55" s="714"/>
    </row>
    <row r="56" spans="2:32" s="688" customFormat="1" ht="19.5" customHeight="1">
      <c r="B56" s="721" t="s">
        <v>109</v>
      </c>
      <c r="C56" s="706" t="s">
        <v>103</v>
      </c>
      <c r="D56" s="782"/>
      <c r="E56" s="783"/>
      <c r="F56" s="684"/>
      <c r="G56" s="706" t="s">
        <v>104</v>
      </c>
      <c r="H56" s="872"/>
      <c r="I56" s="896"/>
      <c r="J56" s="896"/>
      <c r="K56" s="896"/>
      <c r="L56" s="896"/>
      <c r="M56" s="896"/>
      <c r="N56" s="896"/>
      <c r="O56" s="896"/>
      <c r="P56" s="896"/>
      <c r="Q56" s="896"/>
      <c r="R56" s="896"/>
      <c r="S56" s="684"/>
      <c r="T56" s="684"/>
      <c r="U56" s="684"/>
      <c r="V56" s="684"/>
      <c r="W56" s="714"/>
    </row>
    <row r="57" spans="2:32" s="213" customFormat="1" ht="4.5" customHeight="1" thickBot="1">
      <c r="B57" s="575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568"/>
    </row>
    <row r="58" spans="2:32" s="151" customFormat="1" ht="15" customHeight="1" thickBot="1">
      <c r="B58" s="576"/>
      <c r="C58" s="226" t="s">
        <v>108</v>
      </c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577"/>
      <c r="AA58" s="152"/>
      <c r="AC58" s="152"/>
    </row>
    <row r="59" spans="2:32" s="292" customFormat="1" ht="26.25" customHeight="1" thickBot="1">
      <c r="B59" s="578"/>
      <c r="C59" s="283" t="s">
        <v>338</v>
      </c>
      <c r="D59" s="880" t="s">
        <v>339</v>
      </c>
      <c r="E59" s="881"/>
      <c r="F59" s="289" t="s">
        <v>101</v>
      </c>
      <c r="G59" s="289"/>
      <c r="H59" s="737" t="s">
        <v>100</v>
      </c>
      <c r="I59" s="738"/>
      <c r="J59" s="289" t="s">
        <v>162</v>
      </c>
      <c r="K59" s="288"/>
      <c r="L59" s="289"/>
      <c r="M59" s="739" t="s">
        <v>98</v>
      </c>
      <c r="N59" s="289"/>
      <c r="O59" s="289"/>
      <c r="P59" s="289"/>
      <c r="Q59" s="289"/>
      <c r="R59" s="740"/>
      <c r="S59" s="882" t="s">
        <v>163</v>
      </c>
      <c r="T59" s="883"/>
      <c r="U59" s="884" t="s">
        <v>97</v>
      </c>
      <c r="V59" s="830"/>
      <c r="W59" s="579"/>
      <c r="X59" s="290" t="s">
        <v>90</v>
      </c>
      <c r="Y59" s="291" t="s">
        <v>90</v>
      </c>
      <c r="AC59" s="291"/>
      <c r="AD59" s="291"/>
      <c r="AE59" s="291"/>
      <c r="AF59" s="292" t="s">
        <v>90</v>
      </c>
    </row>
    <row r="60" spans="2:32" s="390" customFormat="1" ht="19.5" customHeight="1">
      <c r="B60" s="580"/>
      <c r="C60" s="731"/>
      <c r="D60" s="885"/>
      <c r="E60" s="886"/>
      <c r="F60" s="887"/>
      <c r="G60" s="887"/>
      <c r="H60" s="888"/>
      <c r="I60" s="889"/>
      <c r="J60" s="887"/>
      <c r="K60" s="887"/>
      <c r="L60" s="887"/>
      <c r="M60" s="741" t="e">
        <f>VLOOKUP(H60,Sheet1!I$54:J$289,2,FALSE)</f>
        <v>#N/A</v>
      </c>
      <c r="N60" s="732"/>
      <c r="O60" s="732"/>
      <c r="P60" s="732"/>
      <c r="Q60" s="732"/>
      <c r="R60" s="742"/>
      <c r="S60" s="890" t="e">
        <f>SUM(U60/U$67)</f>
        <v>#DIV/0!</v>
      </c>
      <c r="T60" s="891"/>
      <c r="U60" s="892"/>
      <c r="V60" s="893"/>
      <c r="W60" s="579"/>
      <c r="X60" s="389"/>
    </row>
    <row r="61" spans="2:32" s="390" customFormat="1" ht="19.5" customHeight="1">
      <c r="B61" s="580"/>
      <c r="C61" s="733"/>
      <c r="D61" s="861"/>
      <c r="E61" s="862"/>
      <c r="F61" s="863"/>
      <c r="G61" s="863"/>
      <c r="H61" s="864"/>
      <c r="I61" s="865"/>
      <c r="J61" s="863"/>
      <c r="K61" s="863"/>
      <c r="L61" s="863"/>
      <c r="M61" s="743" t="e">
        <f>VLOOKUP(H61,Sheet1!I$54:J$289,2,FALSE)</f>
        <v>#N/A</v>
      </c>
      <c r="N61" s="734"/>
      <c r="O61" s="734"/>
      <c r="P61" s="734"/>
      <c r="Q61" s="734"/>
      <c r="R61" s="744"/>
      <c r="S61" s="866" t="e">
        <f>SUM(U61/U$67)</f>
        <v>#DIV/0!</v>
      </c>
      <c r="T61" s="867"/>
      <c r="U61" s="868"/>
      <c r="V61" s="869"/>
      <c r="W61" s="581"/>
      <c r="X61" s="389"/>
    </row>
    <row r="62" spans="2:32" s="390" customFormat="1" ht="19.5" customHeight="1">
      <c r="B62" s="580"/>
      <c r="C62" s="733"/>
      <c r="D62" s="861"/>
      <c r="E62" s="862"/>
      <c r="F62" s="863"/>
      <c r="G62" s="863"/>
      <c r="H62" s="864"/>
      <c r="I62" s="865"/>
      <c r="J62" s="863"/>
      <c r="K62" s="863"/>
      <c r="L62" s="863"/>
      <c r="M62" s="743" t="e">
        <f>VLOOKUP(H62,Sheet1!I$54:J$289,2,FALSE)</f>
        <v>#N/A</v>
      </c>
      <c r="N62" s="734"/>
      <c r="O62" s="734"/>
      <c r="P62" s="734"/>
      <c r="Q62" s="734"/>
      <c r="R62" s="744"/>
      <c r="S62" s="866" t="e">
        <f>SUM(U62/U$67)</f>
        <v>#DIV/0!</v>
      </c>
      <c r="T62" s="867"/>
      <c r="U62" s="868"/>
      <c r="V62" s="869"/>
      <c r="W62" s="581"/>
      <c r="X62" s="389"/>
    </row>
    <row r="63" spans="2:32" s="390" customFormat="1" ht="19.5" customHeight="1">
      <c r="B63" s="580"/>
      <c r="C63" s="733"/>
      <c r="D63" s="861"/>
      <c r="E63" s="862"/>
      <c r="F63" s="863"/>
      <c r="G63" s="863"/>
      <c r="H63" s="864"/>
      <c r="I63" s="865"/>
      <c r="J63" s="863"/>
      <c r="K63" s="863"/>
      <c r="L63" s="863"/>
      <c r="M63" s="743" t="e">
        <f>VLOOKUP(H63,Sheet1!I$54:J$289,2,FALSE)</f>
        <v>#N/A</v>
      </c>
      <c r="N63" s="734"/>
      <c r="O63" s="734"/>
      <c r="P63" s="734"/>
      <c r="Q63" s="734"/>
      <c r="R63" s="744"/>
      <c r="S63" s="866" t="e">
        <f t="shared" ref="S63:S65" si="0">SUM(U63/U$67)</f>
        <v>#DIV/0!</v>
      </c>
      <c r="T63" s="867"/>
      <c r="U63" s="868"/>
      <c r="V63" s="869"/>
      <c r="W63" s="581"/>
      <c r="X63" s="389"/>
    </row>
    <row r="64" spans="2:32" s="390" customFormat="1" ht="19.5" customHeight="1">
      <c r="B64" s="580"/>
      <c r="C64" s="733"/>
      <c r="D64" s="861"/>
      <c r="E64" s="862"/>
      <c r="F64" s="863"/>
      <c r="G64" s="863"/>
      <c r="H64" s="864"/>
      <c r="I64" s="865"/>
      <c r="J64" s="863"/>
      <c r="K64" s="863"/>
      <c r="L64" s="863"/>
      <c r="M64" s="743" t="e">
        <f>VLOOKUP(H64,Sheet1!I$54:J$289,2,FALSE)</f>
        <v>#N/A</v>
      </c>
      <c r="N64" s="734"/>
      <c r="O64" s="734"/>
      <c r="P64" s="734"/>
      <c r="Q64" s="734"/>
      <c r="R64" s="744"/>
      <c r="S64" s="866" t="e">
        <f t="shared" si="0"/>
        <v>#DIV/0!</v>
      </c>
      <c r="T64" s="867"/>
      <c r="U64" s="868"/>
      <c r="V64" s="869"/>
      <c r="W64" s="581"/>
      <c r="X64" s="389"/>
    </row>
    <row r="65" spans="2:32" s="390" customFormat="1" ht="19.5" customHeight="1" thickBot="1">
      <c r="B65" s="580"/>
      <c r="C65" s="735"/>
      <c r="D65" s="852"/>
      <c r="E65" s="853"/>
      <c r="F65" s="854"/>
      <c r="G65" s="854"/>
      <c r="H65" s="855"/>
      <c r="I65" s="856"/>
      <c r="J65" s="854"/>
      <c r="K65" s="854"/>
      <c r="L65" s="854"/>
      <c r="M65" s="745" t="e">
        <f>VLOOKUP(H65,Sheet1!I$54:J$289,2,FALSE)</f>
        <v>#N/A</v>
      </c>
      <c r="N65" s="736"/>
      <c r="O65" s="736"/>
      <c r="P65" s="736"/>
      <c r="Q65" s="736"/>
      <c r="R65" s="746"/>
      <c r="S65" s="857" t="e">
        <f t="shared" si="0"/>
        <v>#DIV/0!</v>
      </c>
      <c r="T65" s="858"/>
      <c r="U65" s="859"/>
      <c r="V65" s="860"/>
      <c r="W65" s="581"/>
      <c r="X65" s="389"/>
    </row>
    <row r="66" spans="2:32" s="151" customFormat="1" ht="4.5" customHeight="1" thickBot="1">
      <c r="B66" s="582"/>
      <c r="C66" s="400"/>
      <c r="D66" s="400"/>
      <c r="E66" s="401"/>
      <c r="F66" s="402"/>
      <c r="G66" s="401"/>
      <c r="H66" s="402"/>
      <c r="I66" s="401"/>
      <c r="J66" s="402"/>
      <c r="K66" s="401"/>
      <c r="L66" s="401"/>
      <c r="M66" s="403"/>
      <c r="N66" s="403"/>
      <c r="O66" s="403"/>
      <c r="P66" s="403"/>
      <c r="Q66" s="403"/>
      <c r="R66" s="399"/>
      <c r="S66" s="295"/>
      <c r="T66" s="295"/>
      <c r="U66" s="404"/>
      <c r="V66" s="405"/>
      <c r="W66" s="581"/>
      <c r="X66" s="152"/>
    </row>
    <row r="67" spans="2:32" s="292" customFormat="1" ht="24" customHeight="1" thickBot="1">
      <c r="B67" s="722"/>
      <c r="C67" s="723" t="s">
        <v>485</v>
      </c>
      <c r="E67" s="724"/>
      <c r="F67" s="724"/>
      <c r="G67" s="725"/>
      <c r="H67" s="724"/>
      <c r="I67" s="724"/>
      <c r="J67" s="724"/>
      <c r="K67" s="725"/>
      <c r="L67" s="725"/>
      <c r="M67" s="726"/>
      <c r="N67" s="726"/>
      <c r="O67" s="726"/>
      <c r="P67" s="724"/>
      <c r="Q67" s="727" t="s">
        <v>59</v>
      </c>
      <c r="R67" s="727"/>
      <c r="S67" s="870" t="e">
        <f>SUM(S60:T65)</f>
        <v>#DIV/0!</v>
      </c>
      <c r="T67" s="849"/>
      <c r="U67" s="871">
        <f>SUM(U60:V65)</f>
        <v>0</v>
      </c>
      <c r="V67" s="837"/>
      <c r="W67" s="579"/>
      <c r="X67" s="291"/>
    </row>
    <row r="68" spans="2:32" s="213" customFormat="1" ht="12" customHeight="1">
      <c r="B68" s="584"/>
      <c r="D68" s="253"/>
      <c r="G68" s="214"/>
      <c r="L68" s="214"/>
      <c r="M68" s="214"/>
      <c r="N68" s="214"/>
      <c r="O68" s="214"/>
      <c r="P68" s="214"/>
      <c r="Q68" s="214"/>
      <c r="R68" s="214"/>
      <c r="S68" s="214"/>
      <c r="T68" s="435" t="s">
        <v>374</v>
      </c>
      <c r="U68" s="214"/>
      <c r="V68" s="214"/>
      <c r="W68" s="583"/>
    </row>
    <row r="69" spans="2:32" s="213" customFormat="1" ht="4.5" customHeight="1" thickBot="1">
      <c r="B69" s="584"/>
      <c r="C69" s="214"/>
      <c r="D69" s="214"/>
      <c r="E69" s="214"/>
      <c r="F69" s="214"/>
      <c r="G69" s="214"/>
      <c r="H69" s="214"/>
      <c r="I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565"/>
    </row>
    <row r="70" spans="2:32" s="171" customFormat="1" ht="17.25" customHeight="1" thickTop="1" thickBot="1">
      <c r="B70" s="667"/>
      <c r="C70" s="663" t="s">
        <v>479</v>
      </c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3"/>
      <c r="R70" s="663"/>
      <c r="S70" s="663"/>
      <c r="T70" s="663"/>
      <c r="U70" s="663"/>
      <c r="V70" s="663"/>
      <c r="W70" s="664"/>
    </row>
    <row r="71" spans="2:32" s="688" customFormat="1" ht="21.9" customHeight="1" thickTop="1">
      <c r="B71" s="719" t="s">
        <v>107</v>
      </c>
      <c r="C71" s="706" t="s">
        <v>103</v>
      </c>
      <c r="D71" s="782"/>
      <c r="E71" s="783"/>
      <c r="F71" s="684"/>
      <c r="G71" s="706" t="s">
        <v>104</v>
      </c>
      <c r="H71" s="872"/>
      <c r="I71" s="873"/>
      <c r="J71" s="873"/>
      <c r="K71" s="873"/>
      <c r="L71" s="873"/>
      <c r="M71" s="873"/>
      <c r="N71" s="873"/>
      <c r="O71" s="873"/>
      <c r="P71" s="873"/>
      <c r="Q71" s="873"/>
      <c r="R71" s="873"/>
      <c r="S71" s="684"/>
      <c r="T71" s="684"/>
      <c r="U71" s="684"/>
      <c r="V71" s="684"/>
      <c r="W71" s="714"/>
    </row>
    <row r="72" spans="2:32" s="213" customFormat="1" ht="4.5" customHeight="1" thickBot="1">
      <c r="B72" s="587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568"/>
    </row>
    <row r="73" spans="2:32" s="151" customFormat="1" ht="15" customHeight="1" thickBot="1">
      <c r="B73" s="642" t="s">
        <v>105</v>
      </c>
      <c r="C73" s="226" t="s">
        <v>102</v>
      </c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577"/>
      <c r="AA73" s="152"/>
      <c r="AC73" s="152"/>
    </row>
    <row r="74" spans="2:32" s="292" customFormat="1" ht="26.25" customHeight="1">
      <c r="B74" s="578"/>
      <c r="C74" s="747" t="s">
        <v>338</v>
      </c>
      <c r="D74" s="874" t="s">
        <v>339</v>
      </c>
      <c r="E74" s="875"/>
      <c r="F74" s="749" t="s">
        <v>101</v>
      </c>
      <c r="G74" s="749"/>
      <c r="H74" s="751" t="s">
        <v>100</v>
      </c>
      <c r="I74" s="752"/>
      <c r="J74" s="749" t="s">
        <v>99</v>
      </c>
      <c r="K74" s="748"/>
      <c r="L74" s="749"/>
      <c r="M74" s="753" t="s">
        <v>98</v>
      </c>
      <c r="N74" s="749"/>
      <c r="O74" s="749"/>
      <c r="P74" s="749"/>
      <c r="Q74" s="749"/>
      <c r="R74" s="754"/>
      <c r="S74" s="876" t="s">
        <v>163</v>
      </c>
      <c r="T74" s="877"/>
      <c r="U74" s="878" t="s">
        <v>97</v>
      </c>
      <c r="V74" s="879"/>
      <c r="W74" s="579"/>
      <c r="X74" s="290" t="s">
        <v>90</v>
      </c>
      <c r="Y74" s="291" t="s">
        <v>90</v>
      </c>
      <c r="AC74" s="291"/>
      <c r="AD74" s="291"/>
      <c r="AE74" s="291"/>
      <c r="AF74" s="292" t="s">
        <v>90</v>
      </c>
    </row>
    <row r="75" spans="2:32" s="390" customFormat="1" ht="19.5" customHeight="1">
      <c r="B75" s="580"/>
      <c r="C75" s="750"/>
      <c r="D75" s="861"/>
      <c r="E75" s="862"/>
      <c r="F75" s="863"/>
      <c r="G75" s="863"/>
      <c r="H75" s="864"/>
      <c r="I75" s="865"/>
      <c r="J75" s="863"/>
      <c r="K75" s="863"/>
      <c r="L75" s="863"/>
      <c r="M75" s="743" t="e">
        <f>VLOOKUP(H75,Sheet1!I$54:J$289,2,FALSE)</f>
        <v>#N/A</v>
      </c>
      <c r="N75" s="734"/>
      <c r="O75" s="734"/>
      <c r="P75" s="734"/>
      <c r="Q75" s="734"/>
      <c r="R75" s="744"/>
      <c r="S75" s="866" t="e">
        <f t="shared" ref="S75:S80" si="1">SUM(U75/U$82)</f>
        <v>#DIV/0!</v>
      </c>
      <c r="T75" s="867"/>
      <c r="U75" s="868"/>
      <c r="V75" s="869"/>
      <c r="W75" s="581"/>
      <c r="X75" s="389"/>
    </row>
    <row r="76" spans="2:32" s="390" customFormat="1" ht="19.5" customHeight="1">
      <c r="B76" s="580"/>
      <c r="C76" s="733"/>
      <c r="D76" s="861"/>
      <c r="E76" s="862"/>
      <c r="F76" s="863"/>
      <c r="G76" s="863"/>
      <c r="H76" s="864"/>
      <c r="I76" s="865"/>
      <c r="J76" s="863"/>
      <c r="K76" s="863"/>
      <c r="L76" s="863"/>
      <c r="M76" s="743" t="e">
        <f>VLOOKUP(H76,Sheet1!I$54:J$289,2,FALSE)</f>
        <v>#N/A</v>
      </c>
      <c r="N76" s="734"/>
      <c r="O76" s="734"/>
      <c r="P76" s="734"/>
      <c r="Q76" s="734"/>
      <c r="R76" s="744"/>
      <c r="S76" s="866" t="e">
        <f t="shared" si="1"/>
        <v>#DIV/0!</v>
      </c>
      <c r="T76" s="867"/>
      <c r="U76" s="868"/>
      <c r="V76" s="869"/>
      <c r="W76" s="581"/>
      <c r="X76" s="389"/>
    </row>
    <row r="77" spans="2:32" s="390" customFormat="1" ht="19.5" customHeight="1">
      <c r="B77" s="580"/>
      <c r="C77" s="733"/>
      <c r="D77" s="861"/>
      <c r="E77" s="862"/>
      <c r="F77" s="863"/>
      <c r="G77" s="863"/>
      <c r="H77" s="864"/>
      <c r="I77" s="865"/>
      <c r="J77" s="863"/>
      <c r="K77" s="863"/>
      <c r="L77" s="863"/>
      <c r="M77" s="743" t="e">
        <f>VLOOKUP(H77,Sheet1!I$54:J$289,2,FALSE)</f>
        <v>#N/A</v>
      </c>
      <c r="N77" s="734"/>
      <c r="O77" s="734"/>
      <c r="P77" s="734"/>
      <c r="Q77" s="734"/>
      <c r="R77" s="744"/>
      <c r="S77" s="866" t="e">
        <f t="shared" si="1"/>
        <v>#DIV/0!</v>
      </c>
      <c r="T77" s="867"/>
      <c r="U77" s="868"/>
      <c r="V77" s="869"/>
      <c r="W77" s="581"/>
      <c r="X77" s="389"/>
    </row>
    <row r="78" spans="2:32" s="390" customFormat="1" ht="19.5" customHeight="1">
      <c r="B78" s="580"/>
      <c r="C78" s="733"/>
      <c r="D78" s="861"/>
      <c r="E78" s="862"/>
      <c r="F78" s="863"/>
      <c r="G78" s="863"/>
      <c r="H78" s="864"/>
      <c r="I78" s="865"/>
      <c r="J78" s="863"/>
      <c r="K78" s="863"/>
      <c r="L78" s="863"/>
      <c r="M78" s="743" t="e">
        <f>VLOOKUP(H78,Sheet1!I$54:J$289,2,FALSE)</f>
        <v>#N/A</v>
      </c>
      <c r="N78" s="734"/>
      <c r="O78" s="734"/>
      <c r="P78" s="734"/>
      <c r="Q78" s="734"/>
      <c r="R78" s="744"/>
      <c r="S78" s="866" t="e">
        <f t="shared" si="1"/>
        <v>#DIV/0!</v>
      </c>
      <c r="T78" s="867"/>
      <c r="U78" s="868"/>
      <c r="V78" s="869"/>
      <c r="W78" s="581"/>
      <c r="X78" s="389"/>
    </row>
    <row r="79" spans="2:32" s="390" customFormat="1" ht="19.5" customHeight="1">
      <c r="B79" s="580"/>
      <c r="C79" s="733"/>
      <c r="D79" s="861"/>
      <c r="E79" s="862"/>
      <c r="F79" s="863"/>
      <c r="G79" s="863"/>
      <c r="H79" s="864"/>
      <c r="I79" s="865"/>
      <c r="J79" s="863"/>
      <c r="K79" s="863"/>
      <c r="L79" s="863"/>
      <c r="M79" s="743" t="e">
        <f>VLOOKUP(H79,Sheet1!I$54:J$289,2,FALSE)</f>
        <v>#N/A</v>
      </c>
      <c r="N79" s="734"/>
      <c r="O79" s="734"/>
      <c r="P79" s="734"/>
      <c r="Q79" s="734"/>
      <c r="R79" s="744"/>
      <c r="S79" s="866" t="e">
        <f t="shared" si="1"/>
        <v>#DIV/0!</v>
      </c>
      <c r="T79" s="867"/>
      <c r="U79" s="868"/>
      <c r="V79" s="869"/>
      <c r="W79" s="581"/>
      <c r="X79" s="389"/>
    </row>
    <row r="80" spans="2:32" s="390" customFormat="1" ht="19.5" customHeight="1" thickBot="1">
      <c r="B80" s="580"/>
      <c r="C80" s="735"/>
      <c r="D80" s="852"/>
      <c r="E80" s="853"/>
      <c r="F80" s="854"/>
      <c r="G80" s="854"/>
      <c r="H80" s="855"/>
      <c r="I80" s="856"/>
      <c r="J80" s="854"/>
      <c r="K80" s="854"/>
      <c r="L80" s="854"/>
      <c r="M80" s="745" t="e">
        <f>VLOOKUP(H80,Sheet1!I$54:J$289,2,FALSE)</f>
        <v>#N/A</v>
      </c>
      <c r="N80" s="736"/>
      <c r="O80" s="736"/>
      <c r="P80" s="736"/>
      <c r="Q80" s="736"/>
      <c r="R80" s="746"/>
      <c r="S80" s="857" t="e">
        <f t="shared" si="1"/>
        <v>#DIV/0!</v>
      </c>
      <c r="T80" s="858"/>
      <c r="U80" s="859"/>
      <c r="V80" s="860"/>
      <c r="W80" s="581"/>
      <c r="X80" s="389"/>
    </row>
    <row r="81" spans="2:27" s="151" customFormat="1" ht="4.5" customHeight="1" thickBot="1">
      <c r="B81" s="582"/>
      <c r="C81" s="400"/>
      <c r="D81" s="400"/>
      <c r="E81" s="401"/>
      <c r="F81" s="402"/>
      <c r="G81" s="401"/>
      <c r="H81" s="402"/>
      <c r="I81" s="401"/>
      <c r="J81" s="402"/>
      <c r="K81" s="401"/>
      <c r="L81" s="401"/>
      <c r="M81" s="403"/>
      <c r="N81" s="403"/>
      <c r="O81" s="403"/>
      <c r="P81" s="403"/>
      <c r="Q81" s="403"/>
      <c r="R81" s="399"/>
      <c r="S81" s="295"/>
      <c r="T81" s="295"/>
      <c r="U81" s="404"/>
      <c r="V81" s="405"/>
      <c r="W81" s="583"/>
      <c r="X81" s="152"/>
    </row>
    <row r="82" spans="2:27" s="151" customFormat="1" ht="24" customHeight="1" thickBot="1">
      <c r="B82" s="582"/>
      <c r="C82" s="400"/>
      <c r="D82" s="400"/>
      <c r="E82" s="401"/>
      <c r="F82" s="228"/>
      <c r="G82" s="401"/>
      <c r="H82" s="537"/>
      <c r="I82" s="537"/>
      <c r="J82" s="537"/>
      <c r="K82" s="401"/>
      <c r="L82" s="401"/>
      <c r="M82" s="403"/>
      <c r="N82" s="403"/>
      <c r="O82" s="403"/>
      <c r="P82" s="537"/>
      <c r="Q82" s="406" t="s">
        <v>59</v>
      </c>
      <c r="R82" s="406"/>
      <c r="S82" s="834" t="e">
        <f>SUM(S75:T80)</f>
        <v>#DIV/0!</v>
      </c>
      <c r="T82" s="835"/>
      <c r="U82" s="836">
        <f>SUM(U75:V80)</f>
        <v>0</v>
      </c>
      <c r="V82" s="837"/>
      <c r="W82" s="583"/>
      <c r="X82" s="152"/>
    </row>
    <row r="83" spans="2:27" s="242" customFormat="1" ht="4.5" customHeight="1" thickBot="1">
      <c r="B83" s="582"/>
      <c r="C83" s="407"/>
      <c r="D83" s="407"/>
      <c r="E83" s="408"/>
      <c r="F83" s="228"/>
      <c r="G83" s="408"/>
      <c r="H83" s="229"/>
      <c r="I83" s="229"/>
      <c r="J83" s="229"/>
      <c r="K83" s="408"/>
      <c r="L83" s="408"/>
      <c r="M83" s="409"/>
      <c r="N83" s="409"/>
      <c r="O83" s="409"/>
      <c r="P83" s="229"/>
      <c r="Q83" s="409"/>
      <c r="R83" s="668"/>
      <c r="S83" s="243"/>
      <c r="T83" s="411"/>
      <c r="U83" s="669"/>
      <c r="V83" s="670"/>
      <c r="W83" s="583"/>
      <c r="X83" s="244"/>
    </row>
    <row r="84" spans="2:27" s="468" customFormat="1" ht="17.25" customHeight="1" thickTop="1" thickBot="1">
      <c r="B84" s="662" t="s">
        <v>480</v>
      </c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4"/>
      <c r="X84" s="467"/>
    </row>
    <row r="85" spans="2:27" s="151" customFormat="1" ht="21" customHeight="1" thickTop="1" thickBot="1">
      <c r="B85" s="545">
        <v>5</v>
      </c>
      <c r="C85" s="850" t="s">
        <v>96</v>
      </c>
      <c r="D85" s="851"/>
      <c r="E85" s="671"/>
      <c r="F85" s="672"/>
      <c r="G85" s="672"/>
      <c r="H85" s="672"/>
      <c r="I85" s="672"/>
      <c r="J85" s="672"/>
      <c r="K85" s="672"/>
      <c r="L85" s="673"/>
      <c r="M85" s="674"/>
      <c r="N85" s="675"/>
      <c r="O85" s="675"/>
      <c r="P85" s="675"/>
      <c r="Q85" s="675"/>
      <c r="R85" s="675"/>
      <c r="S85" s="675"/>
      <c r="T85" s="676"/>
      <c r="U85" s="677"/>
      <c r="V85" s="677"/>
      <c r="W85" s="678"/>
    </row>
    <row r="86" spans="2:27" s="151" customFormat="1" ht="12" customHeight="1" thickBot="1">
      <c r="B86" s="591"/>
      <c r="C86" s="846"/>
      <c r="D86" s="847"/>
      <c r="E86" s="235" t="s">
        <v>95</v>
      </c>
      <c r="F86" s="236"/>
      <c r="G86" s="236"/>
      <c r="H86" s="236"/>
      <c r="I86" s="236"/>
      <c r="J86" s="236"/>
      <c r="K86" s="236"/>
      <c r="L86" s="237"/>
      <c r="M86" s="235" t="s">
        <v>73</v>
      </c>
      <c r="N86" s="236"/>
      <c r="O86" s="236"/>
      <c r="P86" s="236"/>
      <c r="Q86" s="236"/>
      <c r="R86" s="236"/>
      <c r="S86" s="236"/>
      <c r="T86" s="433"/>
      <c r="U86" s="431"/>
      <c r="V86" s="431"/>
      <c r="W86" s="592"/>
      <c r="X86" s="189"/>
      <c r="Y86" s="151" t="s">
        <v>90</v>
      </c>
    </row>
    <row r="87" spans="2:27" s="471" customFormat="1" ht="20.100000000000001" customHeight="1" thickBot="1">
      <c r="B87" s="635"/>
      <c r="C87" s="636" t="s">
        <v>93</v>
      </c>
      <c r="D87" s="636"/>
      <c r="E87" s="636"/>
      <c r="F87" s="636"/>
      <c r="G87" s="636"/>
      <c r="H87" s="636"/>
      <c r="I87" s="636"/>
      <c r="J87" s="636"/>
      <c r="K87" s="636"/>
      <c r="L87" s="636"/>
      <c r="M87" s="636"/>
      <c r="N87" s="636"/>
      <c r="O87" s="636"/>
      <c r="P87" s="636"/>
      <c r="Q87" s="636"/>
      <c r="R87" s="636"/>
      <c r="S87" s="636"/>
      <c r="T87" s="636"/>
      <c r="U87" s="636"/>
      <c r="V87" s="636"/>
      <c r="W87" s="637"/>
      <c r="X87" s="470"/>
    </row>
    <row r="88" spans="2:27" s="151" customFormat="1" ht="16.2" thickBot="1">
      <c r="B88" s="595"/>
      <c r="C88" s="298" t="s">
        <v>92</v>
      </c>
      <c r="D88" s="299"/>
      <c r="E88" s="299"/>
      <c r="F88" s="299"/>
      <c r="G88" s="299"/>
      <c r="H88" s="299"/>
      <c r="I88" s="299"/>
      <c r="J88" s="299"/>
      <c r="K88" s="299"/>
      <c r="L88" s="298" t="s">
        <v>91</v>
      </c>
      <c r="M88" s="298"/>
      <c r="N88" s="299"/>
      <c r="O88" s="299"/>
      <c r="P88" s="299"/>
      <c r="Q88" s="299"/>
      <c r="R88" s="299"/>
      <c r="S88" s="299"/>
      <c r="T88" s="299"/>
      <c r="U88" s="299"/>
      <c r="V88" s="299"/>
      <c r="W88" s="596"/>
      <c r="X88" s="189"/>
      <c r="AA88" s="151" t="s">
        <v>90</v>
      </c>
    </row>
    <row r="89" spans="2:27" s="151" customFormat="1" ht="24" customHeight="1">
      <c r="B89" s="595"/>
      <c r="C89" s="391" t="s">
        <v>356</v>
      </c>
      <c r="D89" s="195"/>
      <c r="E89" s="369"/>
      <c r="F89" s="369"/>
      <c r="G89" s="369"/>
      <c r="H89" s="369"/>
      <c r="I89" s="370"/>
      <c r="J89" s="193" t="s">
        <v>83</v>
      </c>
      <c r="K89" s="194"/>
      <c r="L89" s="391" t="s">
        <v>356</v>
      </c>
      <c r="M89" s="195"/>
      <c r="N89" s="195"/>
      <c r="O89" s="195"/>
      <c r="P89" s="369"/>
      <c r="Q89" s="369"/>
      <c r="R89" s="369"/>
      <c r="S89" s="369"/>
      <c r="T89" s="369"/>
      <c r="U89" s="370"/>
      <c r="V89" s="193" t="s">
        <v>83</v>
      </c>
      <c r="W89" s="597"/>
      <c r="X89" s="189"/>
    </row>
    <row r="90" spans="2:27" s="151" customFormat="1" ht="24" customHeight="1">
      <c r="B90" s="598"/>
      <c r="C90" s="392" t="s">
        <v>357</v>
      </c>
      <c r="D90" s="198"/>
      <c r="E90" s="371"/>
      <c r="F90" s="371"/>
      <c r="G90" s="371"/>
      <c r="H90" s="371"/>
      <c r="I90" s="372"/>
      <c r="J90" s="196" t="s">
        <v>83</v>
      </c>
      <c r="K90" s="197"/>
      <c r="L90" s="392" t="s">
        <v>357</v>
      </c>
      <c r="M90" s="198"/>
      <c r="N90" s="198"/>
      <c r="O90" s="198"/>
      <c r="P90" s="375"/>
      <c r="Q90" s="375"/>
      <c r="R90" s="375"/>
      <c r="S90" s="375"/>
      <c r="T90" s="375"/>
      <c r="U90" s="376"/>
      <c r="V90" s="196" t="s">
        <v>83</v>
      </c>
      <c r="W90" s="599"/>
      <c r="X90" s="189"/>
      <c r="Y90" s="151" t="s">
        <v>90</v>
      </c>
      <c r="AA90" s="151" t="s">
        <v>90</v>
      </c>
    </row>
    <row r="91" spans="2:27" s="151" customFormat="1" ht="24" customHeight="1">
      <c r="B91" s="598"/>
      <c r="C91" s="392" t="s">
        <v>358</v>
      </c>
      <c r="D91" s="198"/>
      <c r="E91" s="371"/>
      <c r="F91" s="371"/>
      <c r="G91" s="371"/>
      <c r="H91" s="371"/>
      <c r="I91" s="372"/>
      <c r="J91" s="196" t="s">
        <v>83</v>
      </c>
      <c r="K91" s="197"/>
      <c r="L91" s="392" t="s">
        <v>358</v>
      </c>
      <c r="M91" s="198"/>
      <c r="N91" s="198"/>
      <c r="O91" s="198"/>
      <c r="P91" s="375"/>
      <c r="Q91" s="375"/>
      <c r="R91" s="375"/>
      <c r="S91" s="375"/>
      <c r="T91" s="375"/>
      <c r="U91" s="376"/>
      <c r="V91" s="196" t="s">
        <v>83</v>
      </c>
      <c r="W91" s="599"/>
      <c r="X91" s="189"/>
      <c r="Y91" s="151" t="s">
        <v>90</v>
      </c>
      <c r="AA91" s="151" t="s">
        <v>90</v>
      </c>
    </row>
    <row r="92" spans="2:27" s="151" customFormat="1" ht="24" customHeight="1" thickBot="1">
      <c r="B92" s="600"/>
      <c r="C92" s="230" t="s">
        <v>359</v>
      </c>
      <c r="D92" s="201"/>
      <c r="E92" s="393"/>
      <c r="F92" s="373"/>
      <c r="G92" s="373"/>
      <c r="H92" s="373"/>
      <c r="I92" s="374"/>
      <c r="J92" s="199" t="s">
        <v>83</v>
      </c>
      <c r="K92" s="200"/>
      <c r="L92" s="230" t="s">
        <v>359</v>
      </c>
      <c r="M92" s="201"/>
      <c r="N92" s="201"/>
      <c r="O92" s="201"/>
      <c r="P92" s="377"/>
      <c r="Q92" s="377"/>
      <c r="R92" s="377"/>
      <c r="S92" s="377"/>
      <c r="T92" s="377"/>
      <c r="U92" s="378"/>
      <c r="V92" s="199" t="s">
        <v>83</v>
      </c>
      <c r="W92" s="601"/>
      <c r="X92" s="189"/>
      <c r="Y92" s="151" t="s">
        <v>90</v>
      </c>
      <c r="AA92" s="151" t="s">
        <v>90</v>
      </c>
    </row>
    <row r="93" spans="2:27" s="468" customFormat="1" ht="16.5" customHeight="1" thickBot="1">
      <c r="B93" s="602" t="s">
        <v>446</v>
      </c>
      <c r="C93" s="465"/>
      <c r="D93" s="465"/>
      <c r="E93" s="465"/>
      <c r="F93" s="465"/>
      <c r="G93" s="465"/>
      <c r="H93" s="465"/>
      <c r="I93" s="465"/>
      <c r="J93" s="465"/>
      <c r="K93" s="465"/>
      <c r="L93" s="466" t="s">
        <v>89</v>
      </c>
      <c r="M93" s="466"/>
      <c r="N93" s="466"/>
      <c r="O93" s="466"/>
      <c r="P93" s="466"/>
      <c r="Q93" s="466"/>
      <c r="R93" s="466"/>
      <c r="S93" s="466"/>
      <c r="T93" s="466"/>
      <c r="U93" s="466"/>
      <c r="V93" s="466"/>
      <c r="W93" s="544"/>
      <c r="X93" s="467"/>
    </row>
    <row r="94" spans="2:27" s="151" customFormat="1" ht="24" customHeight="1" thickBot="1">
      <c r="B94" s="639"/>
      <c r="C94" s="202" t="s">
        <v>88</v>
      </c>
      <c r="D94" s="241"/>
      <c r="E94" s="240"/>
      <c r="F94" s="175"/>
      <c r="G94" s="175"/>
      <c r="H94" s="175"/>
      <c r="I94" s="240"/>
      <c r="J94" s="203" t="s">
        <v>83</v>
      </c>
      <c r="K94" s="204"/>
      <c r="L94" s="205" t="s">
        <v>87</v>
      </c>
      <c r="M94" s="206"/>
      <c r="N94" s="206"/>
      <c r="O94" s="207"/>
      <c r="P94" s="231"/>
      <c r="Q94" s="232"/>
      <c r="R94" s="232"/>
      <c r="S94" s="232"/>
      <c r="T94" s="232"/>
      <c r="U94" s="233"/>
      <c r="V94" s="203" t="s">
        <v>83</v>
      </c>
      <c r="W94" s="604"/>
    </row>
    <row r="95" spans="2:27" s="171" customFormat="1" ht="16.5" customHeight="1" thickBot="1">
      <c r="B95" s="605" t="s">
        <v>335</v>
      </c>
      <c r="C95" s="469"/>
      <c r="D95" s="469"/>
      <c r="E95" s="469"/>
      <c r="F95" s="469"/>
      <c r="G95" s="469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606"/>
    </row>
    <row r="96" spans="2:27" s="185" customFormat="1" ht="18.75" customHeight="1" thickBot="1">
      <c r="B96" s="638"/>
      <c r="C96" s="234" t="s">
        <v>86</v>
      </c>
      <c r="D96" s="414"/>
      <c r="E96" s="415"/>
      <c r="F96" s="239" t="s">
        <v>497</v>
      </c>
      <c r="G96" s="759" t="s">
        <v>114</v>
      </c>
      <c r="H96" s="239" t="s">
        <v>165</v>
      </c>
      <c r="I96" s="414"/>
      <c r="J96" s="238"/>
      <c r="K96" s="415"/>
      <c r="L96" s="193" t="s">
        <v>83</v>
      </c>
      <c r="M96" s="414"/>
      <c r="N96" s="414"/>
      <c r="O96" s="414"/>
      <c r="P96" s="278" t="s">
        <v>336</v>
      </c>
      <c r="Q96" s="416"/>
      <c r="R96" s="417"/>
      <c r="S96" s="209" t="s">
        <v>83</v>
      </c>
      <c r="T96" s="414"/>
      <c r="U96" s="418"/>
      <c r="V96" s="210"/>
      <c r="W96" s="608"/>
    </row>
    <row r="97" spans="2:23" s="185" customFormat="1" ht="18.75" customHeight="1" thickBot="1">
      <c r="B97" s="609"/>
      <c r="C97" s="610" t="s">
        <v>164</v>
      </c>
      <c r="D97" s="611"/>
      <c r="E97" s="612"/>
      <c r="F97" s="613" t="s">
        <v>334</v>
      </c>
      <c r="G97" s="612"/>
      <c r="H97" s="613" t="s">
        <v>445</v>
      </c>
      <c r="I97" s="611"/>
      <c r="J97" s="611"/>
      <c r="K97" s="612"/>
      <c r="L97" s="614" t="s">
        <v>83</v>
      </c>
      <c r="M97" s="611"/>
      <c r="N97" s="611"/>
      <c r="O97" s="612"/>
      <c r="P97" s="615" t="s">
        <v>84</v>
      </c>
      <c r="Q97" s="616"/>
      <c r="R97" s="617"/>
      <c r="S97" s="618" t="s">
        <v>83</v>
      </c>
      <c r="T97" s="619"/>
      <c r="U97" s="620"/>
      <c r="V97" s="621"/>
      <c r="W97" s="622"/>
    </row>
    <row r="98" spans="2:23" ht="13.8" thickTop="1">
      <c r="M98" s="151"/>
      <c r="N98" s="151"/>
      <c r="O98" s="151"/>
      <c r="P98" s="151"/>
      <c r="Q98" s="151"/>
      <c r="R98" s="151"/>
    </row>
    <row r="99" spans="2:23">
      <c r="M99" s="151"/>
      <c r="N99" s="151"/>
      <c r="O99" s="151"/>
      <c r="P99" s="151"/>
      <c r="Q99" s="151"/>
      <c r="R99" s="151"/>
    </row>
  </sheetData>
  <sheetProtection sheet="1" objects="1" scenarios="1" selectLockedCells="1"/>
  <mergeCells count="107">
    <mergeCell ref="C9:E9"/>
    <mergeCell ref="G9:J9"/>
    <mergeCell ref="K9:O9"/>
    <mergeCell ref="Q9:T9"/>
    <mergeCell ref="U9:W9"/>
    <mergeCell ref="N16:W22"/>
    <mergeCell ref="K17:M17"/>
    <mergeCell ref="K18:M18"/>
    <mergeCell ref="K19:M19"/>
    <mergeCell ref="K20:M20"/>
    <mergeCell ref="K43:M43"/>
    <mergeCell ref="M46:N46"/>
    <mergeCell ref="E51:F51"/>
    <mergeCell ref="G51:M51"/>
    <mergeCell ref="D56:E56"/>
    <mergeCell ref="H56:R56"/>
    <mergeCell ref="K21:M21"/>
    <mergeCell ref="D22:G22"/>
    <mergeCell ref="K22:M22"/>
    <mergeCell ref="N24:W26"/>
    <mergeCell ref="L37:M37"/>
    <mergeCell ref="N40:O40"/>
    <mergeCell ref="D61:E61"/>
    <mergeCell ref="F61:G61"/>
    <mergeCell ref="H61:I61"/>
    <mergeCell ref="J61:L61"/>
    <mergeCell ref="S61:T61"/>
    <mergeCell ref="U61:V61"/>
    <mergeCell ref="D59:E59"/>
    <mergeCell ref="S59:T59"/>
    <mergeCell ref="U59:V59"/>
    <mergeCell ref="D60:E60"/>
    <mergeCell ref="F60:G60"/>
    <mergeCell ref="H60:I60"/>
    <mergeCell ref="J60:L60"/>
    <mergeCell ref="S60:T60"/>
    <mergeCell ref="U60:V60"/>
    <mergeCell ref="D63:E63"/>
    <mergeCell ref="F63:G63"/>
    <mergeCell ref="H63:I63"/>
    <mergeCell ref="J63:L63"/>
    <mergeCell ref="S63:T63"/>
    <mergeCell ref="U63:V63"/>
    <mergeCell ref="D62:E62"/>
    <mergeCell ref="F62:G62"/>
    <mergeCell ref="H62:I62"/>
    <mergeCell ref="J62:L62"/>
    <mergeCell ref="S62:T62"/>
    <mergeCell ref="U62:V62"/>
    <mergeCell ref="D65:E65"/>
    <mergeCell ref="F65:G65"/>
    <mergeCell ref="H65:I65"/>
    <mergeCell ref="J65:L65"/>
    <mergeCell ref="S65:T65"/>
    <mergeCell ref="U65:V65"/>
    <mergeCell ref="D64:E64"/>
    <mergeCell ref="F64:G64"/>
    <mergeCell ref="H64:I64"/>
    <mergeCell ref="J64:L64"/>
    <mergeCell ref="S64:T64"/>
    <mergeCell ref="U64:V64"/>
    <mergeCell ref="D75:E75"/>
    <mergeCell ref="F75:G75"/>
    <mergeCell ref="H75:I75"/>
    <mergeCell ref="J75:L75"/>
    <mergeCell ref="S75:T75"/>
    <mergeCell ref="U75:V75"/>
    <mergeCell ref="S67:T67"/>
    <mergeCell ref="U67:V67"/>
    <mergeCell ref="D71:E71"/>
    <mergeCell ref="H71:R71"/>
    <mergeCell ref="D74:E74"/>
    <mergeCell ref="S74:T74"/>
    <mergeCell ref="U74:V74"/>
    <mergeCell ref="D77:E77"/>
    <mergeCell ref="F77:G77"/>
    <mergeCell ref="H77:I77"/>
    <mergeCell ref="J77:L77"/>
    <mergeCell ref="S77:T77"/>
    <mergeCell ref="U77:V77"/>
    <mergeCell ref="D76:E76"/>
    <mergeCell ref="F76:G76"/>
    <mergeCell ref="H76:I76"/>
    <mergeCell ref="J76:L76"/>
    <mergeCell ref="S76:T76"/>
    <mergeCell ref="U76:V76"/>
    <mergeCell ref="D79:E79"/>
    <mergeCell ref="F79:G79"/>
    <mergeCell ref="H79:I79"/>
    <mergeCell ref="J79:L79"/>
    <mergeCell ref="S79:T79"/>
    <mergeCell ref="U79:V79"/>
    <mergeCell ref="D78:E78"/>
    <mergeCell ref="F78:G78"/>
    <mergeCell ref="H78:I78"/>
    <mergeCell ref="J78:L78"/>
    <mergeCell ref="S78:T78"/>
    <mergeCell ref="U78:V78"/>
    <mergeCell ref="S82:T82"/>
    <mergeCell ref="U82:V82"/>
    <mergeCell ref="C85:D86"/>
    <mergeCell ref="D80:E80"/>
    <mergeCell ref="F80:G80"/>
    <mergeCell ref="H80:I80"/>
    <mergeCell ref="J80:L80"/>
    <mergeCell ref="S80:T80"/>
    <mergeCell ref="U80:V80"/>
  </mergeCells>
  <conditionalFormatting sqref="T66 P60:P66 Q60:S67 T81 L73:L74 L81:L83 G51:M51 M73:S83 M60:O67 N37">
    <cfRule type="containsErrors" dxfId="69" priority="17">
      <formula>ISERROR(G37)</formula>
    </cfRule>
  </conditionalFormatting>
  <conditionalFormatting sqref="T66 T81 S60:S67 S75:S83">
    <cfRule type="cellIs" dxfId="68" priority="16" operator="equal">
      <formula>0</formula>
    </cfRule>
  </conditionalFormatting>
  <conditionalFormatting sqref="S82:T82 S67:T67">
    <cfRule type="containsErrors" dxfId="67" priority="15">
      <formula>ISERROR(S67)</formula>
    </cfRule>
  </conditionalFormatting>
  <conditionalFormatting sqref="G51:M51">
    <cfRule type="containsText" dxfId="66" priority="13" operator="containsText" text="INVALID">
      <formula>NOT(ISERROR(SEARCH("INVALID",G51)))</formula>
    </cfRule>
    <cfRule type="cellIs" dxfId="65" priority="14" operator="equal">
      <formula>"INVALID HOME ORGN….. PLEASE SELECT A VALID E&amp;G ORGN"</formula>
    </cfRule>
  </conditionalFormatting>
  <conditionalFormatting sqref="S67:T67 S82:T82">
    <cfRule type="containsErrors" dxfId="64" priority="12">
      <formula>ISERROR(S67)</formula>
    </cfRule>
  </conditionalFormatting>
  <conditionalFormatting sqref="U67:V67 U82:V82">
    <cfRule type="cellIs" dxfId="63" priority="11" operator="equal">
      <formula>0</formula>
    </cfRule>
  </conditionalFormatting>
  <conditionalFormatting sqref="L37:M37">
    <cfRule type="cellIs" dxfId="62" priority="9" operator="equal">
      <formula>0</formula>
    </cfRule>
    <cfRule type="cellIs" dxfId="61" priority="10" operator="equal">
      <formula>2</formula>
    </cfRule>
  </conditionalFormatting>
  <conditionalFormatting sqref="N40:O40 V40">
    <cfRule type="notContainsBlanks" dxfId="60" priority="8">
      <formula>LEN(TRIM(N40))&gt;0</formula>
    </cfRule>
  </conditionalFormatting>
  <conditionalFormatting sqref="N40:O40">
    <cfRule type="notContainsBlanks" dxfId="59" priority="5">
      <formula>LEN(TRIM(N40))&gt;0</formula>
    </cfRule>
    <cfRule type="notContainsBlanks" dxfId="58" priority="6">
      <formula>LEN(TRIM(N40))&gt;0</formula>
    </cfRule>
    <cfRule type="expression" dxfId="57" priority="7">
      <formula>$V$51=2</formula>
    </cfRule>
  </conditionalFormatting>
  <conditionalFormatting sqref="V40">
    <cfRule type="notContainsBlanks" dxfId="56" priority="3">
      <formula>LEN(TRIM(V40))&gt;0</formula>
    </cfRule>
    <cfRule type="expression" dxfId="55" priority="4">
      <formula>$V$51=3</formula>
    </cfRule>
  </conditionalFormatting>
  <conditionalFormatting sqref="K43:M43">
    <cfRule type="notContainsBlanks" dxfId="54" priority="1">
      <formula>LEN(TRIM(K43))&gt;0</formula>
    </cfRule>
    <cfRule type="expression" dxfId="53" priority="2">
      <formula>$W$51=2</formula>
    </cfRule>
  </conditionalFormatting>
  <dataValidations count="5">
    <dataValidation type="textLength" allowBlank="1" showInputMessage="1" showErrorMessage="1" errorTitle="Invalid Entry" error="ENTRY MUST BE 6 CHARACTERS/DIGITS LONG" sqref="C75:C83 C60:C66">
      <formula1>6</formula1>
      <formula2>6</formula2>
    </dataValidation>
    <dataValidation type="textLength" allowBlank="1" showInputMessage="1" showErrorMessage="1" error="Entry must be 6 characters/digits in length" sqref="F60:I65 F75:I80">
      <formula1>6</formula1>
      <formula2>6</formula2>
    </dataValidation>
    <dataValidation type="list" allowBlank="1" showInputMessage="1" showErrorMessage="1" error="Valad entries are:   611000 if pay is for teaching,  612000 for all other monthly pay,  622000 for bi-weekly. Each funding line should be specific to the work to be performed. NOTE: cannot be both monthly &amp; bi-weekly" sqref="J60:L65 J75:L80">
      <formula1>"611000,612000,622000"</formula1>
    </dataValidation>
    <dataValidation type="textLength" allowBlank="1" showInputMessage="1" showErrorMessage="1" error="Position number is six characters/digits long" sqref="D56:E56 D71:E71">
      <formula1>6</formula1>
      <formula2>6</formula2>
    </dataValidation>
    <dataValidation type="decimal" operator="lessThanOrEqual" allowBlank="1" showInputMessage="1" showErrorMessage="1" errorTitle="Indicate FTE" error="Full Time = 1_x000a_Part-Time = less than 1" promptTitle="Enter FTE" sqref="L37:M37">
      <formula1>1</formula1>
    </dataValidation>
  </dataValidations>
  <printOptions horizontalCentered="1" verticalCentered="1"/>
  <pageMargins left="0" right="0" top="0" bottom="0" header="0" footer="0"/>
  <pageSetup scale="54" orientation="portrait" r:id="rId1"/>
  <headerFooter alignWithMargins="0">
    <oddFooter>&amp;R&amp;8PAF REVISED 10/28/2011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FFC000"/>
    <pageSetUpPr fitToPage="1"/>
  </sheetPr>
  <dimension ref="B1:AF99"/>
  <sheetViews>
    <sheetView showGridLines="0" workbookViewId="0">
      <selection activeCell="C9" sqref="C9:E9"/>
    </sheetView>
  </sheetViews>
  <sheetFormatPr defaultColWidth="9.109375" defaultRowHeight="13.2"/>
  <cols>
    <col min="1" max="1" width="1.6640625" style="150" customWidth="1"/>
    <col min="2" max="2" width="4.33203125" style="150" customWidth="1"/>
    <col min="3" max="3" width="19.109375" style="150" customWidth="1"/>
    <col min="4" max="4" width="9.109375" style="150" customWidth="1"/>
    <col min="5" max="5" width="6.6640625" style="150" customWidth="1"/>
    <col min="6" max="6" width="13.6640625" style="150" customWidth="1"/>
    <col min="7" max="7" width="11.6640625" style="150" customWidth="1"/>
    <col min="8" max="8" width="6.6640625" style="150" customWidth="1"/>
    <col min="9" max="9" width="12.6640625" style="150" customWidth="1"/>
    <col min="10" max="10" width="9.33203125" style="150" customWidth="1"/>
    <col min="11" max="11" width="7.88671875" style="150" customWidth="1"/>
    <col min="12" max="12" width="4.6640625" style="150" customWidth="1"/>
    <col min="13" max="15" width="6.6640625" style="150" customWidth="1"/>
    <col min="16" max="16" width="13.88671875" style="150" customWidth="1"/>
    <col min="17" max="18" width="6.6640625" style="150" customWidth="1"/>
    <col min="19" max="20" width="7.6640625" style="150" customWidth="1"/>
    <col min="21" max="21" width="6.88671875" style="150" customWidth="1"/>
    <col min="22" max="22" width="13.6640625" style="150" customWidth="1"/>
    <col min="23" max="23" width="5.6640625" style="150" customWidth="1"/>
    <col min="24" max="24" width="18.6640625" style="150" customWidth="1"/>
    <col min="25" max="25" width="14.33203125" style="150" customWidth="1"/>
    <col min="26" max="26" width="13.5546875" style="150" customWidth="1"/>
    <col min="27" max="27" width="11.44140625" style="150" customWidth="1"/>
    <col min="28" max="28" width="16.6640625" style="150" customWidth="1"/>
    <col min="29" max="16384" width="9.109375" style="150"/>
  </cols>
  <sheetData>
    <row r="1" spans="2:31" ht="19.5" customHeight="1">
      <c r="B1" s="474" t="s">
        <v>2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spans="2:31" ht="21" customHeight="1">
      <c r="B2" s="220" t="s">
        <v>155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</row>
    <row r="3" spans="2:31" ht="10.5" customHeight="1"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</row>
    <row r="4" spans="2:31" s="535" customFormat="1" ht="2.25" customHeight="1" thickBot="1"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6"/>
    </row>
    <row r="5" spans="2:31" s="429" customFormat="1" ht="10.8" thickTop="1">
      <c r="B5" s="538" t="s">
        <v>154</v>
      </c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40"/>
    </row>
    <row r="6" spans="2:31" ht="4.5" customHeight="1" thickBot="1">
      <c r="B6" s="651"/>
      <c r="C6" s="652"/>
      <c r="D6" s="652"/>
      <c r="E6" s="652"/>
      <c r="F6" s="652"/>
      <c r="G6" s="652"/>
      <c r="H6" s="652"/>
      <c r="I6" s="652"/>
      <c r="J6" s="652"/>
      <c r="K6" s="652"/>
      <c r="L6" s="652"/>
      <c r="M6" s="652"/>
      <c r="N6" s="652"/>
      <c r="O6" s="652"/>
      <c r="P6" s="652"/>
      <c r="Q6" s="652"/>
      <c r="R6" s="652"/>
      <c r="S6" s="652"/>
      <c r="T6" s="652"/>
      <c r="U6" s="652"/>
      <c r="V6" s="652"/>
      <c r="W6" s="653"/>
      <c r="Y6" s="152" t="s">
        <v>90</v>
      </c>
      <c r="AA6" s="152" t="s">
        <v>90</v>
      </c>
    </row>
    <row r="7" spans="2:31" s="171" customFormat="1" ht="20.100000000000001" customHeight="1" thickTop="1" thickBot="1">
      <c r="B7" s="662" t="s">
        <v>473</v>
      </c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4"/>
      <c r="Y7" s="479"/>
      <c r="AA7" s="479"/>
    </row>
    <row r="8" spans="2:31" s="151" customFormat="1" ht="17.25" customHeight="1" thickTop="1" thickBot="1">
      <c r="B8" s="545">
        <v>1</v>
      </c>
      <c r="C8" s="654" t="s">
        <v>152</v>
      </c>
      <c r="D8" s="655"/>
      <c r="E8" s="656"/>
      <c r="F8" s="169" t="s">
        <v>151</v>
      </c>
      <c r="G8" s="657" t="s">
        <v>150</v>
      </c>
      <c r="H8" s="658"/>
      <c r="I8" s="658"/>
      <c r="J8" s="659"/>
      <c r="K8" s="657" t="s">
        <v>149</v>
      </c>
      <c r="L8" s="658"/>
      <c r="M8" s="658"/>
      <c r="N8" s="658"/>
      <c r="O8" s="659"/>
      <c r="P8" s="660" t="s">
        <v>148</v>
      </c>
      <c r="Q8" s="657" t="s">
        <v>147</v>
      </c>
      <c r="R8" s="658"/>
      <c r="S8" s="658"/>
      <c r="T8" s="659"/>
      <c r="U8" s="657" t="s">
        <v>146</v>
      </c>
      <c r="V8" s="658"/>
      <c r="W8" s="661"/>
      <c r="Y8" s="152" t="s">
        <v>90</v>
      </c>
      <c r="Z8" s="152" t="s">
        <v>90</v>
      </c>
      <c r="AA8" s="152" t="s">
        <v>90</v>
      </c>
    </row>
    <row r="9" spans="2:31" ht="24" customHeight="1" thickBot="1">
      <c r="B9" s="645"/>
      <c r="C9" s="800"/>
      <c r="D9" s="792"/>
      <c r="E9" s="785"/>
      <c r="F9" s="168"/>
      <c r="G9" s="800"/>
      <c r="H9" s="792"/>
      <c r="I9" s="792"/>
      <c r="J9" s="785"/>
      <c r="K9" s="800"/>
      <c r="L9" s="792"/>
      <c r="M9" s="792"/>
      <c r="N9" s="792"/>
      <c r="O9" s="785"/>
      <c r="P9" s="167"/>
      <c r="Q9" s="794"/>
      <c r="R9" s="792"/>
      <c r="S9" s="792"/>
      <c r="T9" s="785"/>
      <c r="U9" s="791"/>
      <c r="V9" s="792"/>
      <c r="W9" s="793"/>
      <c r="Y9" s="152"/>
      <c r="AA9" s="152"/>
      <c r="AC9" s="152"/>
      <c r="AE9" s="152"/>
    </row>
    <row r="10" spans="2:31" ht="15" hidden="1" customHeight="1">
      <c r="B10" s="547"/>
      <c r="C10" s="166" t="s">
        <v>146</v>
      </c>
      <c r="D10" s="166"/>
      <c r="E10" s="166" t="s">
        <v>145</v>
      </c>
      <c r="F10" s="166"/>
      <c r="G10" s="176"/>
      <c r="H10" s="177" t="s">
        <v>144</v>
      </c>
      <c r="I10" s="166"/>
      <c r="J10" s="166"/>
      <c r="K10" s="166"/>
      <c r="L10" s="165"/>
      <c r="M10" s="177" t="s">
        <v>143</v>
      </c>
      <c r="N10" s="166"/>
      <c r="O10" s="166"/>
      <c r="P10" s="166"/>
      <c r="Q10" s="166"/>
      <c r="R10" s="166"/>
      <c r="S10" s="166"/>
      <c r="T10" s="166"/>
      <c r="U10" s="166"/>
      <c r="V10" s="166"/>
      <c r="W10" s="548"/>
      <c r="AE10" s="152"/>
    </row>
    <row r="11" spans="2:31" ht="21.75" hidden="1" customHeight="1">
      <c r="B11" s="547"/>
      <c r="C11" s="164"/>
      <c r="D11" s="163"/>
      <c r="E11" s="159"/>
      <c r="F11" s="162"/>
      <c r="G11" s="161"/>
      <c r="H11" s="159"/>
      <c r="I11" s="162"/>
      <c r="J11" s="162"/>
      <c r="K11" s="162"/>
      <c r="L11" s="163"/>
      <c r="M11" s="159"/>
      <c r="N11" s="162"/>
      <c r="O11" s="162"/>
      <c r="P11" s="162"/>
      <c r="Q11" s="162"/>
      <c r="R11" s="162"/>
      <c r="S11" s="162"/>
      <c r="T11" s="162"/>
      <c r="U11" s="162"/>
      <c r="V11" s="162"/>
      <c r="W11" s="549"/>
      <c r="Y11" s="152"/>
      <c r="AA11" s="152"/>
      <c r="AC11" s="152"/>
      <c r="AE11" s="152"/>
    </row>
    <row r="12" spans="2:31" ht="12" hidden="1" customHeight="1">
      <c r="B12" s="547"/>
      <c r="C12" s="162" t="s">
        <v>142</v>
      </c>
      <c r="D12" s="162"/>
      <c r="E12" s="161"/>
      <c r="F12" s="162"/>
      <c r="G12" s="159" t="s">
        <v>141</v>
      </c>
      <c r="H12" s="161"/>
      <c r="I12" s="161"/>
      <c r="J12" s="161"/>
      <c r="K12" s="160" t="s">
        <v>140</v>
      </c>
      <c r="L12" s="160"/>
      <c r="M12" s="160" t="s">
        <v>139</v>
      </c>
      <c r="N12" s="159"/>
      <c r="O12" s="159"/>
      <c r="P12" s="159"/>
      <c r="Q12" s="159"/>
      <c r="R12" s="159"/>
      <c r="S12" s="159"/>
      <c r="T12" s="159"/>
      <c r="U12" s="159"/>
      <c r="V12" s="159"/>
      <c r="W12" s="550" t="s">
        <v>138</v>
      </c>
      <c r="X12" s="152" t="s">
        <v>90</v>
      </c>
      <c r="Y12" s="152" t="s">
        <v>90</v>
      </c>
      <c r="Z12" s="152" t="s">
        <v>90</v>
      </c>
      <c r="AA12" s="152" t="s">
        <v>90</v>
      </c>
    </row>
    <row r="13" spans="2:31" ht="18.75" hidden="1" customHeight="1">
      <c r="B13" s="547"/>
      <c r="C13" s="158"/>
      <c r="D13" s="158"/>
      <c r="E13" s="178"/>
      <c r="F13" s="158"/>
      <c r="G13" s="179"/>
      <c r="H13" s="157"/>
      <c r="I13" s="157"/>
      <c r="J13" s="157"/>
      <c r="K13" s="156"/>
      <c r="L13" s="156"/>
      <c r="M13" s="156"/>
      <c r="N13" s="155"/>
      <c r="O13" s="155"/>
      <c r="P13" s="155"/>
      <c r="Q13" s="155"/>
      <c r="R13" s="155"/>
      <c r="S13" s="155"/>
      <c r="T13" s="155"/>
      <c r="U13" s="155"/>
      <c r="V13" s="155"/>
      <c r="W13" s="551"/>
      <c r="Y13" s="152"/>
      <c r="AA13" s="152"/>
      <c r="AC13" s="152"/>
      <c r="AE13" s="152"/>
    </row>
    <row r="14" spans="2:31" s="171" customFormat="1" ht="21" customHeight="1" thickBot="1">
      <c r="B14" s="644"/>
      <c r="C14" s="632" t="s">
        <v>474</v>
      </c>
      <c r="D14" s="632"/>
      <c r="E14" s="632"/>
      <c r="F14" s="632"/>
      <c r="G14" s="632"/>
      <c r="H14" s="633"/>
      <c r="I14" s="646" t="s">
        <v>475</v>
      </c>
      <c r="J14" s="634"/>
      <c r="K14" s="634"/>
      <c r="L14" s="634"/>
      <c r="M14" s="647"/>
      <c r="N14" s="632" t="s">
        <v>476</v>
      </c>
      <c r="O14" s="632"/>
      <c r="P14" s="632"/>
      <c r="Q14" s="632"/>
      <c r="R14" s="632"/>
      <c r="S14" s="632"/>
      <c r="T14" s="632"/>
      <c r="U14" s="632"/>
      <c r="V14" s="632"/>
      <c r="W14" s="648"/>
      <c r="Y14" s="479"/>
      <c r="AA14" s="479"/>
      <c r="AC14" s="479"/>
      <c r="AE14" s="479"/>
    </row>
    <row r="15" spans="2:31" s="186" customFormat="1" ht="19.5" customHeight="1" thickBot="1">
      <c r="B15" s="554">
        <v>2</v>
      </c>
      <c r="C15" s="728" t="s">
        <v>134</v>
      </c>
      <c r="D15" s="187"/>
      <c r="E15" s="187"/>
      <c r="F15" s="293" t="s">
        <v>127</v>
      </c>
      <c r="G15" s="188"/>
      <c r="H15" s="385"/>
      <c r="I15" s="679" t="s">
        <v>132</v>
      </c>
      <c r="J15" s="247"/>
      <c r="K15" s="247"/>
      <c r="L15" s="247"/>
      <c r="M15" s="248"/>
      <c r="N15" s="643" t="s">
        <v>133</v>
      </c>
      <c r="O15" s="640"/>
      <c r="P15" s="640"/>
      <c r="Q15" s="640"/>
      <c r="R15" s="640"/>
      <c r="S15" s="640"/>
      <c r="T15" s="640"/>
      <c r="U15" s="640"/>
      <c r="V15" s="640"/>
      <c r="W15" s="641"/>
      <c r="Y15" s="154"/>
      <c r="AA15" s="154"/>
      <c r="AC15" s="154"/>
      <c r="AE15" s="154"/>
    </row>
    <row r="16" spans="2:31" s="186" customFormat="1" ht="20.100000000000001" customHeight="1">
      <c r="B16" s="556"/>
      <c r="C16" s="729" t="s">
        <v>486</v>
      </c>
      <c r="D16" s="180"/>
      <c r="E16" s="180"/>
      <c r="F16" s="294" t="s">
        <v>127</v>
      </c>
      <c r="G16" s="181"/>
      <c r="H16" s="386"/>
      <c r="I16" s="680" t="s">
        <v>132</v>
      </c>
      <c r="J16" s="216"/>
      <c r="K16" s="216"/>
      <c r="L16" s="216"/>
      <c r="M16" s="217"/>
      <c r="N16" s="905"/>
      <c r="O16" s="906"/>
      <c r="P16" s="906"/>
      <c r="Q16" s="906"/>
      <c r="R16" s="906"/>
      <c r="S16" s="906"/>
      <c r="T16" s="906"/>
      <c r="U16" s="906"/>
      <c r="V16" s="906"/>
      <c r="W16" s="907"/>
      <c r="Y16" s="154"/>
      <c r="AA16" s="154"/>
      <c r="AC16" s="154"/>
      <c r="AE16" s="154"/>
    </row>
    <row r="17" spans="2:32" s="151" customFormat="1" ht="20.100000000000001" customHeight="1">
      <c r="B17" s="556"/>
      <c r="C17" s="729" t="s">
        <v>487</v>
      </c>
      <c r="D17" s="180"/>
      <c r="E17" s="180"/>
      <c r="F17" s="294" t="s">
        <v>130</v>
      </c>
      <c r="G17" s="181"/>
      <c r="H17" s="387"/>
      <c r="I17" s="280" t="s">
        <v>126</v>
      </c>
      <c r="J17" s="182"/>
      <c r="K17" s="795"/>
      <c r="L17" s="796"/>
      <c r="M17" s="797"/>
      <c r="N17" s="908"/>
      <c r="O17" s="909"/>
      <c r="P17" s="909"/>
      <c r="Q17" s="909"/>
      <c r="R17" s="909"/>
      <c r="S17" s="909"/>
      <c r="T17" s="909"/>
      <c r="U17" s="909"/>
      <c r="V17" s="909"/>
      <c r="W17" s="910"/>
    </row>
    <row r="18" spans="2:32" s="151" customFormat="1" ht="20.100000000000001" customHeight="1">
      <c r="B18" s="556"/>
      <c r="C18" s="729" t="s">
        <v>337</v>
      </c>
      <c r="D18" s="180"/>
      <c r="E18" s="180"/>
      <c r="F18" s="294" t="s">
        <v>130</v>
      </c>
      <c r="G18" s="181"/>
      <c r="H18" s="387"/>
      <c r="I18" s="280" t="s">
        <v>126</v>
      </c>
      <c r="J18" s="182"/>
      <c r="K18" s="795"/>
      <c r="L18" s="796"/>
      <c r="M18" s="797"/>
      <c r="N18" s="911"/>
      <c r="O18" s="909"/>
      <c r="P18" s="909"/>
      <c r="Q18" s="909"/>
      <c r="R18" s="909"/>
      <c r="S18" s="909"/>
      <c r="T18" s="909"/>
      <c r="U18" s="909"/>
      <c r="V18" s="909"/>
      <c r="W18" s="910"/>
    </row>
    <row r="19" spans="2:32" s="151" customFormat="1" ht="20.100000000000001" customHeight="1">
      <c r="B19" s="556"/>
      <c r="C19" s="729" t="s">
        <v>131</v>
      </c>
      <c r="D19" s="180"/>
      <c r="E19" s="180"/>
      <c r="F19" s="294" t="s">
        <v>130</v>
      </c>
      <c r="G19" s="181"/>
      <c r="H19" s="387"/>
      <c r="I19" s="280" t="s">
        <v>126</v>
      </c>
      <c r="J19" s="182"/>
      <c r="K19" s="795"/>
      <c r="L19" s="796"/>
      <c r="M19" s="797"/>
      <c r="N19" s="911"/>
      <c r="O19" s="909"/>
      <c r="P19" s="909"/>
      <c r="Q19" s="909"/>
      <c r="R19" s="909"/>
      <c r="S19" s="909"/>
      <c r="T19" s="909"/>
      <c r="U19" s="909"/>
      <c r="V19" s="909"/>
      <c r="W19" s="910"/>
    </row>
    <row r="20" spans="2:32" s="151" customFormat="1" ht="20.100000000000001" customHeight="1">
      <c r="B20" s="556"/>
      <c r="C20" s="729" t="s">
        <v>472</v>
      </c>
      <c r="D20" s="180"/>
      <c r="E20" s="180"/>
      <c r="F20" s="294" t="s">
        <v>130</v>
      </c>
      <c r="G20" s="181"/>
      <c r="H20" s="387"/>
      <c r="I20" s="280" t="s">
        <v>126</v>
      </c>
      <c r="J20" s="182"/>
      <c r="K20" s="795"/>
      <c r="L20" s="796"/>
      <c r="M20" s="797"/>
      <c r="N20" s="911"/>
      <c r="O20" s="909"/>
      <c r="P20" s="909"/>
      <c r="Q20" s="909"/>
      <c r="R20" s="909"/>
      <c r="S20" s="909"/>
      <c r="T20" s="909"/>
      <c r="U20" s="909"/>
      <c r="V20" s="909"/>
      <c r="W20" s="910"/>
    </row>
    <row r="21" spans="2:32" s="151" customFormat="1" ht="20.100000000000001" customHeight="1">
      <c r="B21" s="556"/>
      <c r="C21" s="729" t="s">
        <v>129</v>
      </c>
      <c r="D21" s="180"/>
      <c r="E21" s="180"/>
      <c r="F21" s="294" t="s">
        <v>128</v>
      </c>
      <c r="G21" s="181"/>
      <c r="H21" s="387"/>
      <c r="I21" s="280" t="s">
        <v>492</v>
      </c>
      <c r="J21" s="182"/>
      <c r="K21" s="795"/>
      <c r="L21" s="796"/>
      <c r="M21" s="797"/>
      <c r="N21" s="911"/>
      <c r="O21" s="909"/>
      <c r="P21" s="909"/>
      <c r="Q21" s="909"/>
      <c r="R21" s="909"/>
      <c r="S21" s="909"/>
      <c r="T21" s="909"/>
      <c r="U21" s="909"/>
      <c r="V21" s="909"/>
      <c r="W21" s="910"/>
    </row>
    <row r="22" spans="2:32" s="151" customFormat="1" ht="20.100000000000001" customHeight="1" thickBot="1">
      <c r="B22" s="556"/>
      <c r="C22" s="730" t="s">
        <v>340</v>
      </c>
      <c r="D22" s="897"/>
      <c r="E22" s="898"/>
      <c r="F22" s="899"/>
      <c r="G22" s="900"/>
      <c r="H22" s="649"/>
      <c r="I22" s="681" t="s">
        <v>126</v>
      </c>
      <c r="J22" s="650"/>
      <c r="K22" s="901"/>
      <c r="L22" s="902"/>
      <c r="M22" s="903"/>
      <c r="N22" s="911"/>
      <c r="O22" s="909"/>
      <c r="P22" s="909"/>
      <c r="Q22" s="909"/>
      <c r="R22" s="909"/>
      <c r="S22" s="909"/>
      <c r="T22" s="909"/>
      <c r="U22" s="909"/>
      <c r="V22" s="909"/>
      <c r="W22" s="910"/>
    </row>
    <row r="23" spans="2:32" s="474" customFormat="1" ht="20.100000000000001" customHeight="1" thickTop="1" thickBot="1">
      <c r="B23" s="662" t="s">
        <v>477</v>
      </c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4"/>
      <c r="AD23" s="475"/>
      <c r="AE23" s="475"/>
      <c r="AF23" s="475"/>
    </row>
    <row r="24" spans="2:32" s="212" customFormat="1" ht="4.5" customHeight="1" thickTop="1">
      <c r="B24" s="665"/>
      <c r="C24" s="211"/>
      <c r="D24" s="211"/>
      <c r="E24" s="394"/>
      <c r="F24" s="211"/>
      <c r="G24" s="211"/>
      <c r="H24" s="394"/>
      <c r="I24" s="215"/>
      <c r="J24" s="219"/>
      <c r="K24" s="215"/>
      <c r="L24" s="215"/>
      <c r="M24" s="394"/>
      <c r="N24" s="904" t="s">
        <v>372</v>
      </c>
      <c r="O24" s="808"/>
      <c r="P24" s="808"/>
      <c r="Q24" s="808"/>
      <c r="R24" s="808"/>
      <c r="S24" s="808"/>
      <c r="T24" s="808"/>
      <c r="U24" s="808"/>
      <c r="V24" s="808"/>
      <c r="W24" s="809"/>
    </row>
    <row r="25" spans="2:32" s="688" customFormat="1" ht="19.5" customHeight="1">
      <c r="B25" s="683">
        <v>3</v>
      </c>
      <c r="C25" s="684" t="s">
        <v>362</v>
      </c>
      <c r="D25" s="684"/>
      <c r="E25" s="685"/>
      <c r="F25" s="684" t="s">
        <v>122</v>
      </c>
      <c r="G25" s="684"/>
      <c r="H25" s="685"/>
      <c r="I25" s="684" t="s">
        <v>125</v>
      </c>
      <c r="J25" s="684"/>
      <c r="K25" s="684"/>
      <c r="L25" s="686"/>
      <c r="M25" s="687"/>
      <c r="N25" s="808"/>
      <c r="O25" s="808"/>
      <c r="P25" s="808"/>
      <c r="Q25" s="808"/>
      <c r="R25" s="808"/>
      <c r="S25" s="808"/>
      <c r="T25" s="808"/>
      <c r="U25" s="808"/>
      <c r="V25" s="808"/>
      <c r="W25" s="809"/>
    </row>
    <row r="26" spans="2:32" s="213" customFormat="1" ht="4.5" customHeight="1">
      <c r="B26" s="562"/>
      <c r="C26" s="462"/>
      <c r="D26" s="251"/>
      <c r="E26" s="383"/>
      <c r="F26" s="251"/>
      <c r="G26" s="251"/>
      <c r="H26" s="383"/>
      <c r="I26" s="251"/>
      <c r="J26" s="251"/>
      <c r="K26" s="251"/>
      <c r="L26" s="251"/>
      <c r="M26" s="383"/>
      <c r="N26" s="810"/>
      <c r="O26" s="810"/>
      <c r="P26" s="810"/>
      <c r="Q26" s="810"/>
      <c r="R26" s="810"/>
      <c r="S26" s="810"/>
      <c r="T26" s="810"/>
      <c r="U26" s="810"/>
      <c r="V26" s="810"/>
      <c r="W26" s="811"/>
    </row>
    <row r="27" spans="2:32" s="213" customFormat="1" ht="4.5" customHeight="1">
      <c r="B27" s="562"/>
      <c r="C27" s="214"/>
      <c r="D27" s="214"/>
      <c r="E27" s="461"/>
      <c r="F27" s="214"/>
      <c r="G27" s="214"/>
      <c r="H27" s="461"/>
      <c r="I27" s="214"/>
      <c r="J27" s="214"/>
      <c r="K27" s="214"/>
      <c r="L27" s="214"/>
      <c r="M27" s="461"/>
      <c r="N27" s="756"/>
      <c r="O27" s="756"/>
      <c r="P27" s="756"/>
      <c r="Q27" s="756"/>
      <c r="R27" s="756"/>
      <c r="S27" s="756"/>
      <c r="T27" s="756"/>
      <c r="U27" s="756"/>
      <c r="V27" s="756"/>
      <c r="W27" s="757"/>
    </row>
    <row r="28" spans="2:32" s="688" customFormat="1" ht="19.5" customHeight="1">
      <c r="B28" s="562"/>
      <c r="C28" s="684" t="s">
        <v>449</v>
      </c>
      <c r="D28" s="684"/>
      <c r="E28" s="685"/>
      <c r="F28" s="684" t="s">
        <v>116</v>
      </c>
      <c r="G28" s="684"/>
      <c r="H28" s="685"/>
      <c r="I28" s="684" t="s">
        <v>156</v>
      </c>
      <c r="J28" s="684"/>
      <c r="K28" s="684"/>
      <c r="L28" s="684"/>
      <c r="M28" s="685"/>
      <c r="N28" s="684" t="s">
        <v>157</v>
      </c>
      <c r="O28" s="684"/>
      <c r="P28" s="684"/>
      <c r="Q28" s="685"/>
      <c r="R28" s="684" t="s">
        <v>112</v>
      </c>
      <c r="S28" s="684"/>
      <c r="T28" s="755" t="s">
        <v>447</v>
      </c>
      <c r="U28" s="689"/>
      <c r="V28" s="690" t="s">
        <v>448</v>
      </c>
      <c r="W28" s="691"/>
    </row>
    <row r="29" spans="2:32" s="688" customFormat="1" ht="4.5" customHeight="1">
      <c r="B29" s="562"/>
      <c r="C29" s="692"/>
      <c r="D29" s="693"/>
      <c r="E29" s="694"/>
      <c r="F29" s="693"/>
      <c r="G29" s="693"/>
      <c r="H29" s="694"/>
      <c r="I29" s="693"/>
      <c r="J29" s="693"/>
      <c r="K29" s="693"/>
      <c r="L29" s="693"/>
      <c r="M29" s="694"/>
      <c r="N29" s="693"/>
      <c r="O29" s="693"/>
      <c r="P29" s="693"/>
      <c r="Q29" s="695"/>
      <c r="R29" s="695"/>
      <c r="S29" s="693"/>
      <c r="T29" s="693"/>
      <c r="U29" s="693"/>
      <c r="V29" s="693"/>
      <c r="W29" s="696"/>
    </row>
    <row r="30" spans="2:32" s="688" customFormat="1" ht="4.5" customHeight="1">
      <c r="B30" s="562"/>
      <c r="C30" s="684"/>
      <c r="D30" s="684"/>
      <c r="E30" s="695"/>
      <c r="F30" s="684"/>
      <c r="G30" s="684"/>
      <c r="H30" s="695"/>
      <c r="I30" s="684"/>
      <c r="J30" s="684"/>
      <c r="K30" s="684"/>
      <c r="L30" s="684"/>
      <c r="M30" s="695"/>
      <c r="N30" s="684"/>
      <c r="O30" s="684"/>
      <c r="P30" s="684"/>
      <c r="Q30" s="697"/>
      <c r="R30" s="697"/>
      <c r="S30" s="684"/>
      <c r="T30" s="684"/>
      <c r="U30" s="684"/>
      <c r="V30" s="684"/>
      <c r="W30" s="698"/>
    </row>
    <row r="31" spans="2:32" s="688" customFormat="1" ht="19.5" customHeight="1">
      <c r="B31" s="562"/>
      <c r="C31" s="684" t="s">
        <v>363</v>
      </c>
      <c r="D31" s="684"/>
      <c r="E31" s="685"/>
      <c r="F31" s="684" t="s">
        <v>158</v>
      </c>
      <c r="G31" s="684"/>
      <c r="H31" s="685"/>
      <c r="I31" s="684" t="s">
        <v>121</v>
      </c>
      <c r="J31" s="684"/>
      <c r="K31" s="699"/>
      <c r="L31" s="699"/>
      <c r="M31" s="685"/>
      <c r="N31" s="684" t="s">
        <v>120</v>
      </c>
      <c r="O31" s="684"/>
      <c r="P31" s="684"/>
      <c r="Q31" s="685"/>
      <c r="R31" s="684" t="s">
        <v>119</v>
      </c>
      <c r="S31" s="684"/>
      <c r="T31" s="684"/>
      <c r="U31" s="685"/>
      <c r="V31" s="684" t="s">
        <v>341</v>
      </c>
      <c r="W31" s="698"/>
    </row>
    <row r="32" spans="2:32" s="688" customFormat="1" ht="4.5" customHeight="1">
      <c r="B32" s="562"/>
      <c r="C32" s="692"/>
      <c r="D32" s="693"/>
      <c r="E32" s="694"/>
      <c r="F32" s="693"/>
      <c r="G32" s="693"/>
      <c r="H32" s="694"/>
      <c r="I32" s="693"/>
      <c r="J32" s="693"/>
      <c r="K32" s="693"/>
      <c r="L32" s="693"/>
      <c r="M32" s="694"/>
      <c r="N32" s="693"/>
      <c r="O32" s="693"/>
      <c r="P32" s="693"/>
      <c r="Q32" s="693"/>
      <c r="R32" s="695"/>
      <c r="S32" s="693"/>
      <c r="T32" s="693"/>
      <c r="U32" s="693"/>
      <c r="V32" s="693"/>
      <c r="W32" s="696"/>
    </row>
    <row r="33" spans="2:23" s="688" customFormat="1" ht="4.5" customHeight="1">
      <c r="B33" s="562"/>
      <c r="C33" s="684"/>
      <c r="D33" s="684"/>
      <c r="E33" s="695"/>
      <c r="F33" s="684"/>
      <c r="G33" s="684"/>
      <c r="H33" s="695"/>
      <c r="I33" s="684"/>
      <c r="J33" s="684"/>
      <c r="K33" s="684"/>
      <c r="L33" s="684"/>
      <c r="M33" s="697"/>
      <c r="N33" s="684"/>
      <c r="O33" s="684"/>
      <c r="P33" s="684"/>
      <c r="Q33" s="684"/>
      <c r="R33" s="697"/>
      <c r="S33" s="684"/>
      <c r="T33" s="684"/>
      <c r="U33" s="684"/>
      <c r="V33" s="684"/>
      <c r="W33" s="698"/>
    </row>
    <row r="34" spans="2:23" s="688" customFormat="1" ht="19.5" customHeight="1">
      <c r="B34" s="562"/>
      <c r="C34" s="684" t="s">
        <v>364</v>
      </c>
      <c r="D34" s="684"/>
      <c r="E34" s="685"/>
      <c r="F34" s="684" t="s">
        <v>113</v>
      </c>
      <c r="G34" s="684"/>
      <c r="H34" s="685"/>
      <c r="I34" s="684" t="s">
        <v>159</v>
      </c>
      <c r="J34" s="684"/>
      <c r="K34" s="699"/>
      <c r="L34" s="699"/>
      <c r="M34" s="685"/>
      <c r="N34" s="684" t="s">
        <v>452</v>
      </c>
      <c r="O34" s="684"/>
      <c r="P34" s="684"/>
      <c r="Q34" s="684"/>
      <c r="R34" s="684"/>
      <c r="S34" s="684"/>
      <c r="T34" s="684"/>
      <c r="U34" s="684"/>
      <c r="V34" s="684"/>
      <c r="W34" s="698"/>
    </row>
    <row r="35" spans="2:23" s="213" customFormat="1" ht="4.5" customHeight="1">
      <c r="B35" s="562"/>
      <c r="C35" s="462"/>
      <c r="D35" s="251"/>
      <c r="E35" s="383"/>
      <c r="F35" s="251"/>
      <c r="G35" s="251"/>
      <c r="H35" s="383"/>
      <c r="I35" s="251"/>
      <c r="J35" s="251"/>
      <c r="K35" s="251"/>
      <c r="L35" s="251"/>
      <c r="M35" s="461"/>
      <c r="N35" s="251"/>
      <c r="O35" s="251"/>
      <c r="P35" s="251"/>
      <c r="Q35" s="251"/>
      <c r="R35" s="461"/>
      <c r="S35" s="251"/>
      <c r="T35" s="251"/>
      <c r="U35" s="251"/>
      <c r="V35" s="251"/>
      <c r="W35" s="564"/>
    </row>
    <row r="36" spans="2:23" s="213" customFormat="1" ht="4.5" customHeight="1">
      <c r="B36" s="562"/>
      <c r="C36" s="214"/>
      <c r="D36" s="214"/>
      <c r="E36" s="461"/>
      <c r="F36" s="214"/>
      <c r="G36" s="214"/>
      <c r="H36" s="461"/>
      <c r="I36" s="214"/>
      <c r="J36" s="214"/>
      <c r="K36" s="214"/>
      <c r="L36" s="214"/>
      <c r="M36" s="225"/>
      <c r="N36" s="214"/>
      <c r="O36" s="214"/>
      <c r="P36" s="214"/>
      <c r="Q36" s="214"/>
      <c r="R36" s="225"/>
      <c r="S36" s="214"/>
      <c r="T36" s="214"/>
      <c r="U36" s="214"/>
      <c r="V36" s="214"/>
      <c r="W36" s="565"/>
    </row>
    <row r="37" spans="2:23" s="688" customFormat="1" ht="19.5" customHeight="1">
      <c r="B37" s="562"/>
      <c r="C37" s="684" t="s">
        <v>365</v>
      </c>
      <c r="D37" s="700"/>
      <c r="E37" s="685"/>
      <c r="F37" s="684" t="s">
        <v>124</v>
      </c>
      <c r="H37" s="701">
        <v>2</v>
      </c>
      <c r="I37" s="702" t="s">
        <v>481</v>
      </c>
      <c r="J37" s="703"/>
      <c r="K37" s="704"/>
      <c r="L37" s="812">
        <f>Sheet1!J1</f>
        <v>0</v>
      </c>
      <c r="M37" s="813"/>
      <c r="N37" s="488" t="e">
        <f>VLOOKUP(L37,Sheet1!K1:L1,2,FALSE)</f>
        <v>#N/A</v>
      </c>
      <c r="O37" s="684"/>
      <c r="P37" s="705"/>
      <c r="Q37" s="684"/>
      <c r="R37" s="684"/>
      <c r="S37" s="684"/>
      <c r="T37" s="684"/>
      <c r="U37" s="684"/>
      <c r="V37" s="706"/>
      <c r="W37" s="707"/>
    </row>
    <row r="38" spans="2:23" s="213" customFormat="1" ht="4.5" customHeight="1">
      <c r="B38" s="562"/>
      <c r="C38" s="462"/>
      <c r="D38" s="251"/>
      <c r="E38" s="383"/>
      <c r="F38" s="251"/>
      <c r="G38" s="251"/>
      <c r="H38" s="383"/>
      <c r="I38" s="251"/>
      <c r="J38" s="251"/>
      <c r="K38" s="464"/>
      <c r="L38" s="464"/>
      <c r="M38" s="464"/>
      <c r="N38" s="251"/>
      <c r="O38" s="251"/>
      <c r="P38" s="251"/>
      <c r="Q38" s="251"/>
      <c r="R38" s="461"/>
      <c r="S38" s="251"/>
      <c r="T38" s="251"/>
      <c r="U38" s="251"/>
      <c r="V38" s="251"/>
      <c r="W38" s="564"/>
    </row>
    <row r="39" spans="2:23" s="213" customFormat="1" ht="4.5" customHeight="1">
      <c r="B39" s="562"/>
      <c r="C39" s="214"/>
      <c r="D39" s="214"/>
      <c r="E39" s="461"/>
      <c r="F39" s="214"/>
      <c r="G39" s="214"/>
      <c r="H39" s="461"/>
      <c r="I39" s="214"/>
      <c r="J39" s="214"/>
      <c r="K39" s="227"/>
      <c r="L39" s="227"/>
      <c r="M39" s="227"/>
      <c r="N39" s="214"/>
      <c r="O39" s="214"/>
      <c r="P39" s="214"/>
      <c r="Q39" s="214"/>
      <c r="R39" s="225"/>
      <c r="S39" s="214"/>
      <c r="T39" s="214"/>
      <c r="U39" s="214"/>
      <c r="V39" s="214"/>
      <c r="W39" s="565"/>
    </row>
    <row r="40" spans="2:23" s="688" customFormat="1" ht="19.5" customHeight="1">
      <c r="B40" s="562"/>
      <c r="C40" s="684" t="s">
        <v>366</v>
      </c>
      <c r="D40" s="684"/>
      <c r="E40" s="685"/>
      <c r="F40" s="684" t="s">
        <v>123</v>
      </c>
      <c r="G40" s="684"/>
      <c r="H40" s="685"/>
      <c r="I40" s="702" t="s">
        <v>482</v>
      </c>
      <c r="J40" s="708"/>
      <c r="K40" s="532"/>
      <c r="L40" s="533"/>
      <c r="M40" s="709"/>
      <c r="N40" s="833"/>
      <c r="O40" s="816"/>
      <c r="P40" s="710"/>
      <c r="Q40" s="685"/>
      <c r="R40" s="214" t="s">
        <v>491</v>
      </c>
      <c r="S40" s="684"/>
      <c r="T40" s="684"/>
      <c r="U40" s="684"/>
      <c r="V40" s="489"/>
      <c r="W40" s="711"/>
    </row>
    <row r="41" spans="2:23" s="213" customFormat="1" ht="4.5" customHeight="1">
      <c r="B41" s="562"/>
      <c r="C41" s="462"/>
      <c r="D41" s="251"/>
      <c r="E41" s="383"/>
      <c r="F41" s="251"/>
      <c r="G41" s="251"/>
      <c r="H41" s="383"/>
      <c r="I41" s="251"/>
      <c r="J41" s="251"/>
      <c r="K41" s="464"/>
      <c r="L41" s="464"/>
      <c r="M41" s="464"/>
      <c r="N41" s="251"/>
      <c r="O41" s="251"/>
      <c r="P41" s="251"/>
      <c r="Q41" s="251"/>
      <c r="R41" s="461"/>
      <c r="S41" s="251"/>
      <c r="T41" s="251"/>
      <c r="U41" s="251"/>
      <c r="V41" s="251"/>
      <c r="W41" s="564"/>
    </row>
    <row r="42" spans="2:23" s="213" customFormat="1" ht="4.5" customHeight="1">
      <c r="B42" s="562"/>
      <c r="C42" s="214"/>
      <c r="D42" s="214"/>
      <c r="E42" s="461"/>
      <c r="F42" s="214"/>
      <c r="G42" s="214"/>
      <c r="H42" s="461"/>
      <c r="I42" s="214"/>
      <c r="J42" s="214"/>
      <c r="K42" s="227"/>
      <c r="L42" s="227"/>
      <c r="M42" s="227"/>
      <c r="N42" s="214"/>
      <c r="O42" s="214"/>
      <c r="P42" s="214"/>
      <c r="Q42" s="214"/>
      <c r="R42" s="225"/>
      <c r="S42" s="214"/>
      <c r="T42" s="214"/>
      <c r="U42" s="214"/>
      <c r="V42" s="214"/>
      <c r="W42" s="565"/>
    </row>
    <row r="43" spans="2:23" s="688" customFormat="1" ht="19.5" customHeight="1">
      <c r="B43" s="562"/>
      <c r="C43" s="682" t="s">
        <v>367</v>
      </c>
      <c r="D43" s="684"/>
      <c r="E43" s="685"/>
      <c r="F43" s="684" t="s">
        <v>114</v>
      </c>
      <c r="G43" s="684"/>
      <c r="H43" s="685"/>
      <c r="I43" s="702" t="s">
        <v>483</v>
      </c>
      <c r="J43" s="693"/>
      <c r="K43" s="814"/>
      <c r="L43" s="815"/>
      <c r="M43" s="816"/>
      <c r="N43" s="712"/>
      <c r="O43" s="705"/>
      <c r="P43" s="705"/>
      <c r="Q43" s="705"/>
      <c r="R43" s="684"/>
      <c r="S43" s="684"/>
      <c r="T43" s="684"/>
      <c r="U43" s="684"/>
      <c r="W43" s="698"/>
    </row>
    <row r="44" spans="2:23" s="213" customFormat="1" ht="4.5" customHeight="1">
      <c r="B44" s="562"/>
      <c r="C44" s="462"/>
      <c r="D44" s="251"/>
      <c r="E44" s="383"/>
      <c r="F44" s="251"/>
      <c r="G44" s="251"/>
      <c r="H44" s="383"/>
      <c r="I44" s="251"/>
      <c r="J44" s="251"/>
      <c r="K44" s="251"/>
      <c r="L44" s="251"/>
      <c r="M44" s="461"/>
      <c r="N44" s="251"/>
      <c r="O44" s="251"/>
      <c r="P44" s="251"/>
      <c r="Q44" s="251"/>
      <c r="R44" s="461"/>
      <c r="S44" s="251"/>
      <c r="T44" s="251"/>
      <c r="U44" s="251"/>
      <c r="V44" s="251"/>
      <c r="W44" s="564"/>
    </row>
    <row r="45" spans="2:23" s="213" customFormat="1" ht="4.5" customHeight="1">
      <c r="B45" s="562"/>
      <c r="C45" s="214"/>
      <c r="D45" s="214"/>
      <c r="E45" s="225"/>
      <c r="F45" s="214"/>
      <c r="G45" s="214"/>
      <c r="H45" s="225"/>
      <c r="I45" s="214"/>
      <c r="J45" s="214"/>
      <c r="K45" s="214"/>
      <c r="L45" s="214"/>
      <c r="M45" s="225"/>
      <c r="N45" s="214"/>
      <c r="O45" s="214"/>
      <c r="P45" s="214"/>
      <c r="Q45" s="214"/>
      <c r="R45" s="225"/>
      <c r="S45" s="214"/>
      <c r="T45" s="214"/>
      <c r="U45" s="214"/>
      <c r="V45" s="214"/>
      <c r="W45" s="565"/>
    </row>
    <row r="46" spans="2:23" s="213" customFormat="1" ht="19.5" customHeight="1">
      <c r="B46" s="562"/>
      <c r="C46" s="214" t="s">
        <v>368</v>
      </c>
      <c r="D46" s="214"/>
      <c r="E46" s="227" t="s">
        <v>118</v>
      </c>
      <c r="F46" s="758"/>
      <c r="G46" s="214"/>
      <c r="H46" s="227" t="s">
        <v>117</v>
      </c>
      <c r="I46" s="420"/>
      <c r="J46" s="214"/>
      <c r="K46" s="398"/>
      <c r="L46" s="398" t="s">
        <v>115</v>
      </c>
      <c r="M46" s="842"/>
      <c r="N46" s="843"/>
      <c r="O46" s="218"/>
      <c r="P46" s="218"/>
      <c r="Q46" s="218"/>
      <c r="R46" s="214"/>
      <c r="S46" s="214"/>
      <c r="T46" s="214"/>
      <c r="U46" s="214"/>
      <c r="V46" s="214"/>
      <c r="W46" s="568"/>
    </row>
    <row r="47" spans="2:23" s="213" customFormat="1" ht="4.5" customHeight="1">
      <c r="B47" s="562"/>
      <c r="C47" s="462"/>
      <c r="D47" s="251"/>
      <c r="E47" s="461"/>
      <c r="F47" s="251"/>
      <c r="G47" s="251"/>
      <c r="H47" s="461"/>
      <c r="I47" s="251"/>
      <c r="J47" s="251"/>
      <c r="K47" s="251"/>
      <c r="L47" s="251"/>
      <c r="M47" s="461"/>
      <c r="N47" s="251"/>
      <c r="O47" s="251"/>
      <c r="P47" s="251"/>
      <c r="Q47" s="251"/>
      <c r="R47" s="461"/>
      <c r="S47" s="251"/>
      <c r="T47" s="251"/>
      <c r="U47" s="251"/>
      <c r="V47" s="251"/>
      <c r="W47" s="564"/>
    </row>
    <row r="48" spans="2:23" s="213" customFormat="1" ht="4.5" customHeight="1">
      <c r="B48" s="562"/>
      <c r="C48" s="214"/>
      <c r="D48" s="214"/>
      <c r="E48" s="225"/>
      <c r="F48" s="214"/>
      <c r="G48" s="214"/>
      <c r="H48" s="225"/>
      <c r="I48" s="214"/>
      <c r="J48" s="214"/>
      <c r="K48" s="214"/>
      <c r="L48" s="214"/>
      <c r="M48" s="225"/>
      <c r="N48" s="214"/>
      <c r="O48" s="214"/>
      <c r="P48" s="214"/>
      <c r="Q48" s="214"/>
      <c r="R48" s="225"/>
      <c r="S48" s="214"/>
      <c r="T48" s="214"/>
      <c r="U48" s="214"/>
      <c r="V48" s="214"/>
      <c r="W48" s="565"/>
    </row>
    <row r="49" spans="2:32" s="688" customFormat="1" ht="15.6">
      <c r="B49" s="562"/>
      <c r="C49" s="713" t="s">
        <v>488</v>
      </c>
      <c r="D49" s="684"/>
      <c r="E49" s="684"/>
      <c r="F49" s="684"/>
      <c r="G49" s="684"/>
      <c r="H49" s="684"/>
      <c r="I49" s="684"/>
      <c r="J49" s="684"/>
      <c r="K49" s="699"/>
      <c r="L49" s="699"/>
      <c r="M49" s="699"/>
      <c r="N49" s="684"/>
      <c r="O49" s="705"/>
      <c r="P49" s="705"/>
      <c r="Q49" s="705"/>
      <c r="R49" s="684"/>
      <c r="S49" s="684"/>
      <c r="T49" s="684"/>
      <c r="U49" s="684"/>
      <c r="V49" s="684"/>
      <c r="W49" s="714"/>
    </row>
    <row r="50" spans="2:32" s="688" customFormat="1" ht="19.5" customHeight="1">
      <c r="B50" s="562"/>
      <c r="C50" s="715" t="s">
        <v>489</v>
      </c>
      <c r="D50" s="684"/>
      <c r="E50" s="684"/>
      <c r="F50" s="684"/>
      <c r="G50" s="684"/>
      <c r="H50" s="684"/>
      <c r="I50" s="684"/>
      <c r="J50" s="684"/>
      <c r="K50" s="699"/>
      <c r="L50" s="699"/>
      <c r="M50" s="699"/>
      <c r="N50" s="684"/>
      <c r="O50" s="705"/>
      <c r="P50" s="705"/>
      <c r="Q50" s="705"/>
      <c r="R50" s="684"/>
      <c r="S50" s="684"/>
      <c r="T50" s="684"/>
      <c r="U50" s="684"/>
      <c r="V50" s="684"/>
      <c r="W50" s="714"/>
    </row>
    <row r="51" spans="2:32" s="718" customFormat="1" ht="19.5" customHeight="1">
      <c r="B51" s="569"/>
      <c r="C51" s="684"/>
      <c r="D51" s="706" t="s">
        <v>160</v>
      </c>
      <c r="E51" s="798"/>
      <c r="F51" s="799"/>
      <c r="G51" s="894" t="e">
        <f>VLOOKUP(E51,Sheet1!I153:J414,2,FALSE)</f>
        <v>#N/A</v>
      </c>
      <c r="H51" s="895"/>
      <c r="I51" s="895"/>
      <c r="J51" s="895"/>
      <c r="K51" s="895"/>
      <c r="L51" s="895"/>
      <c r="M51" s="895"/>
      <c r="N51" s="684"/>
      <c r="O51" s="684"/>
      <c r="P51" s="684"/>
      <c r="Q51" s="684"/>
      <c r="R51" s="684"/>
      <c r="S51" s="684"/>
      <c r="T51" s="684"/>
      <c r="U51" s="684"/>
      <c r="V51" s="716">
        <v>0</v>
      </c>
      <c r="W51" s="717">
        <v>0</v>
      </c>
    </row>
    <row r="52" spans="2:32" s="213" customFormat="1" ht="4.5" customHeight="1" thickBot="1">
      <c r="B52" s="562"/>
      <c r="C52" s="214"/>
      <c r="D52" s="214"/>
      <c r="E52" s="225"/>
      <c r="F52" s="214"/>
      <c r="G52" s="214"/>
      <c r="H52" s="250"/>
      <c r="I52" s="214"/>
      <c r="J52" s="214"/>
      <c r="K52" s="214"/>
      <c r="L52" s="214"/>
      <c r="M52" s="250"/>
      <c r="N52" s="214"/>
      <c r="O52" s="214"/>
      <c r="P52" s="214"/>
      <c r="Q52" s="214"/>
      <c r="R52" s="225"/>
      <c r="S52" s="214"/>
      <c r="T52" s="214"/>
      <c r="U52" s="214"/>
      <c r="V52" s="214"/>
      <c r="W52" s="565"/>
    </row>
    <row r="53" spans="2:32" s="474" customFormat="1" ht="20.100000000000001" customHeight="1" thickTop="1" thickBot="1">
      <c r="B53" s="666"/>
      <c r="C53" s="663" t="s">
        <v>478</v>
      </c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4"/>
      <c r="AD53" s="475"/>
      <c r="AE53" s="475"/>
      <c r="AF53" s="475"/>
    </row>
    <row r="54" spans="2:32" s="688" customFormat="1" ht="15.75" customHeight="1" thickTop="1">
      <c r="B54" s="720" t="s">
        <v>111</v>
      </c>
      <c r="C54" s="713" t="s">
        <v>490</v>
      </c>
      <c r="D54" s="684"/>
      <c r="E54" s="684"/>
      <c r="F54" s="684"/>
      <c r="G54" s="684"/>
      <c r="H54" s="684"/>
      <c r="I54" s="684"/>
      <c r="J54" s="684"/>
      <c r="K54" s="684"/>
      <c r="L54" s="684"/>
      <c r="M54" s="684"/>
      <c r="N54" s="684"/>
      <c r="O54" s="684"/>
      <c r="P54" s="684"/>
      <c r="Q54" s="684"/>
      <c r="R54" s="684"/>
      <c r="S54" s="684"/>
      <c r="T54" s="684"/>
      <c r="U54" s="684"/>
      <c r="V54" s="684"/>
      <c r="W54" s="714"/>
    </row>
    <row r="55" spans="2:32" s="688" customFormat="1" ht="19.5" customHeight="1">
      <c r="B55" s="573"/>
      <c r="C55" s="715" t="s">
        <v>484</v>
      </c>
      <c r="D55" s="684"/>
      <c r="E55" s="684"/>
      <c r="F55" s="684"/>
      <c r="G55" s="684"/>
      <c r="H55" s="684"/>
      <c r="I55" s="684"/>
      <c r="J55" s="684"/>
      <c r="K55" s="684"/>
      <c r="L55" s="684"/>
      <c r="M55" s="684"/>
      <c r="N55" s="684"/>
      <c r="O55" s="684"/>
      <c r="P55" s="684"/>
      <c r="Q55" s="684"/>
      <c r="R55" s="684"/>
      <c r="S55" s="684"/>
      <c r="T55" s="684"/>
      <c r="U55" s="684"/>
      <c r="V55" s="684"/>
      <c r="W55" s="714"/>
    </row>
    <row r="56" spans="2:32" s="688" customFormat="1" ht="19.5" customHeight="1">
      <c r="B56" s="721" t="s">
        <v>109</v>
      </c>
      <c r="C56" s="706" t="s">
        <v>103</v>
      </c>
      <c r="D56" s="782"/>
      <c r="E56" s="783"/>
      <c r="F56" s="684"/>
      <c r="G56" s="706" t="s">
        <v>104</v>
      </c>
      <c r="H56" s="872"/>
      <c r="I56" s="896"/>
      <c r="J56" s="896"/>
      <c r="K56" s="896"/>
      <c r="L56" s="896"/>
      <c r="M56" s="896"/>
      <c r="N56" s="896"/>
      <c r="O56" s="896"/>
      <c r="P56" s="896"/>
      <c r="Q56" s="896"/>
      <c r="R56" s="896"/>
      <c r="S56" s="684"/>
      <c r="T56" s="684"/>
      <c r="U56" s="684"/>
      <c r="V56" s="684"/>
      <c r="W56" s="714"/>
    </row>
    <row r="57" spans="2:32" s="213" customFormat="1" ht="4.5" customHeight="1" thickBot="1">
      <c r="B57" s="575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568"/>
    </row>
    <row r="58" spans="2:32" s="151" customFormat="1" ht="15" customHeight="1" thickBot="1">
      <c r="B58" s="576"/>
      <c r="C58" s="226" t="s">
        <v>108</v>
      </c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577"/>
      <c r="AA58" s="152"/>
      <c r="AC58" s="152"/>
    </row>
    <row r="59" spans="2:32" s="292" customFormat="1" ht="26.25" customHeight="1" thickBot="1">
      <c r="B59" s="578"/>
      <c r="C59" s="283" t="s">
        <v>338</v>
      </c>
      <c r="D59" s="880" t="s">
        <v>339</v>
      </c>
      <c r="E59" s="881"/>
      <c r="F59" s="289" t="s">
        <v>101</v>
      </c>
      <c r="G59" s="289"/>
      <c r="H59" s="737" t="s">
        <v>100</v>
      </c>
      <c r="I59" s="738"/>
      <c r="J59" s="289" t="s">
        <v>162</v>
      </c>
      <c r="K59" s="288"/>
      <c r="L59" s="289"/>
      <c r="M59" s="739" t="s">
        <v>98</v>
      </c>
      <c r="N59" s="289"/>
      <c r="O59" s="289"/>
      <c r="P59" s="289"/>
      <c r="Q59" s="289"/>
      <c r="R59" s="740"/>
      <c r="S59" s="882" t="s">
        <v>163</v>
      </c>
      <c r="T59" s="883"/>
      <c r="U59" s="884" t="s">
        <v>97</v>
      </c>
      <c r="V59" s="830"/>
      <c r="W59" s="579"/>
      <c r="X59" s="290" t="s">
        <v>90</v>
      </c>
      <c r="Y59" s="291" t="s">
        <v>90</v>
      </c>
      <c r="AC59" s="291"/>
      <c r="AD59" s="291"/>
      <c r="AE59" s="291"/>
      <c r="AF59" s="292" t="s">
        <v>90</v>
      </c>
    </row>
    <row r="60" spans="2:32" s="390" customFormat="1" ht="19.5" customHeight="1">
      <c r="B60" s="580"/>
      <c r="C60" s="731"/>
      <c r="D60" s="885"/>
      <c r="E60" s="886"/>
      <c r="F60" s="887"/>
      <c r="G60" s="887"/>
      <c r="H60" s="888"/>
      <c r="I60" s="889"/>
      <c r="J60" s="887"/>
      <c r="K60" s="887"/>
      <c r="L60" s="887"/>
      <c r="M60" s="741" t="e">
        <f>VLOOKUP(H60,Sheet1!I$54:J$289,2,FALSE)</f>
        <v>#N/A</v>
      </c>
      <c r="N60" s="732"/>
      <c r="O60" s="732"/>
      <c r="P60" s="732"/>
      <c r="Q60" s="732"/>
      <c r="R60" s="742"/>
      <c r="S60" s="890" t="e">
        <f>SUM(U60/U$67)</f>
        <v>#DIV/0!</v>
      </c>
      <c r="T60" s="891"/>
      <c r="U60" s="892"/>
      <c r="V60" s="893"/>
      <c r="W60" s="579"/>
      <c r="X60" s="389"/>
    </row>
    <row r="61" spans="2:32" s="390" customFormat="1" ht="19.5" customHeight="1">
      <c r="B61" s="580"/>
      <c r="C61" s="733"/>
      <c r="D61" s="861"/>
      <c r="E61" s="862"/>
      <c r="F61" s="863"/>
      <c r="G61" s="863"/>
      <c r="H61" s="864"/>
      <c r="I61" s="865"/>
      <c r="J61" s="863"/>
      <c r="K61" s="863"/>
      <c r="L61" s="863"/>
      <c r="M61" s="743" t="e">
        <f>VLOOKUP(H61,Sheet1!I$54:J$289,2,FALSE)</f>
        <v>#N/A</v>
      </c>
      <c r="N61" s="734"/>
      <c r="O61" s="734"/>
      <c r="P61" s="734"/>
      <c r="Q61" s="734"/>
      <c r="R61" s="744"/>
      <c r="S61" s="866" t="e">
        <f>SUM(U61/U$67)</f>
        <v>#DIV/0!</v>
      </c>
      <c r="T61" s="867"/>
      <c r="U61" s="868"/>
      <c r="V61" s="869"/>
      <c r="W61" s="581"/>
      <c r="X61" s="389"/>
    </row>
    <row r="62" spans="2:32" s="390" customFormat="1" ht="19.5" customHeight="1">
      <c r="B62" s="580"/>
      <c r="C62" s="733"/>
      <c r="D62" s="861"/>
      <c r="E62" s="862"/>
      <c r="F62" s="863"/>
      <c r="G62" s="863"/>
      <c r="H62" s="864"/>
      <c r="I62" s="865"/>
      <c r="J62" s="863"/>
      <c r="K62" s="863"/>
      <c r="L62" s="863"/>
      <c r="M62" s="743" t="e">
        <f>VLOOKUP(H62,Sheet1!I$54:J$289,2,FALSE)</f>
        <v>#N/A</v>
      </c>
      <c r="N62" s="734"/>
      <c r="O62" s="734"/>
      <c r="P62" s="734"/>
      <c r="Q62" s="734"/>
      <c r="R62" s="744"/>
      <c r="S62" s="866" t="e">
        <f>SUM(U62/U$67)</f>
        <v>#DIV/0!</v>
      </c>
      <c r="T62" s="867"/>
      <c r="U62" s="868"/>
      <c r="V62" s="869"/>
      <c r="W62" s="581"/>
      <c r="X62" s="389"/>
    </row>
    <row r="63" spans="2:32" s="390" customFormat="1" ht="19.5" customHeight="1">
      <c r="B63" s="580"/>
      <c r="C63" s="733"/>
      <c r="D63" s="861"/>
      <c r="E63" s="862"/>
      <c r="F63" s="863"/>
      <c r="G63" s="863"/>
      <c r="H63" s="864"/>
      <c r="I63" s="865"/>
      <c r="J63" s="863"/>
      <c r="K63" s="863"/>
      <c r="L63" s="863"/>
      <c r="M63" s="743" t="e">
        <f>VLOOKUP(H63,Sheet1!I$54:J$289,2,FALSE)</f>
        <v>#N/A</v>
      </c>
      <c r="N63" s="734"/>
      <c r="O63" s="734"/>
      <c r="P63" s="734"/>
      <c r="Q63" s="734"/>
      <c r="R63" s="744"/>
      <c r="S63" s="866" t="e">
        <f t="shared" ref="S63:S65" si="0">SUM(U63/U$67)</f>
        <v>#DIV/0!</v>
      </c>
      <c r="T63" s="867"/>
      <c r="U63" s="868"/>
      <c r="V63" s="869"/>
      <c r="W63" s="581"/>
      <c r="X63" s="389"/>
    </row>
    <row r="64" spans="2:32" s="390" customFormat="1" ht="19.5" customHeight="1">
      <c r="B64" s="580"/>
      <c r="C64" s="733"/>
      <c r="D64" s="861"/>
      <c r="E64" s="862"/>
      <c r="F64" s="863"/>
      <c r="G64" s="863"/>
      <c r="H64" s="864"/>
      <c r="I64" s="865"/>
      <c r="J64" s="863"/>
      <c r="K64" s="863"/>
      <c r="L64" s="863"/>
      <c r="M64" s="743" t="e">
        <f>VLOOKUP(H64,Sheet1!I$54:J$289,2,FALSE)</f>
        <v>#N/A</v>
      </c>
      <c r="N64" s="734"/>
      <c r="O64" s="734"/>
      <c r="P64" s="734"/>
      <c r="Q64" s="734"/>
      <c r="R64" s="744"/>
      <c r="S64" s="866" t="e">
        <f t="shared" si="0"/>
        <v>#DIV/0!</v>
      </c>
      <c r="T64" s="867"/>
      <c r="U64" s="868"/>
      <c r="V64" s="869"/>
      <c r="W64" s="581"/>
      <c r="X64" s="389"/>
    </row>
    <row r="65" spans="2:32" s="390" customFormat="1" ht="19.5" customHeight="1" thickBot="1">
      <c r="B65" s="580"/>
      <c r="C65" s="735"/>
      <c r="D65" s="852"/>
      <c r="E65" s="853"/>
      <c r="F65" s="854"/>
      <c r="G65" s="854"/>
      <c r="H65" s="855"/>
      <c r="I65" s="856"/>
      <c r="J65" s="854"/>
      <c r="K65" s="854"/>
      <c r="L65" s="854"/>
      <c r="M65" s="745" t="e">
        <f>VLOOKUP(H65,Sheet1!I$54:J$289,2,FALSE)</f>
        <v>#N/A</v>
      </c>
      <c r="N65" s="736"/>
      <c r="O65" s="736"/>
      <c r="P65" s="736"/>
      <c r="Q65" s="736"/>
      <c r="R65" s="746"/>
      <c r="S65" s="857" t="e">
        <f t="shared" si="0"/>
        <v>#DIV/0!</v>
      </c>
      <c r="T65" s="858"/>
      <c r="U65" s="859"/>
      <c r="V65" s="860"/>
      <c r="W65" s="581"/>
      <c r="X65" s="389"/>
    </row>
    <row r="66" spans="2:32" s="151" customFormat="1" ht="4.5" customHeight="1" thickBot="1">
      <c r="B66" s="582"/>
      <c r="C66" s="400"/>
      <c r="D66" s="400"/>
      <c r="E66" s="401"/>
      <c r="F66" s="402"/>
      <c r="G66" s="401"/>
      <c r="H66" s="402"/>
      <c r="I66" s="401"/>
      <c r="J66" s="402"/>
      <c r="K66" s="401"/>
      <c r="L66" s="401"/>
      <c r="M66" s="403"/>
      <c r="N66" s="403"/>
      <c r="O66" s="403"/>
      <c r="P66" s="403"/>
      <c r="Q66" s="403"/>
      <c r="R66" s="399"/>
      <c r="S66" s="295"/>
      <c r="T66" s="295"/>
      <c r="U66" s="404"/>
      <c r="V66" s="405"/>
      <c r="W66" s="581"/>
      <c r="X66" s="152"/>
    </row>
    <row r="67" spans="2:32" s="292" customFormat="1" ht="24" customHeight="1" thickBot="1">
      <c r="B67" s="722"/>
      <c r="C67" s="723" t="s">
        <v>485</v>
      </c>
      <c r="E67" s="724"/>
      <c r="F67" s="724"/>
      <c r="G67" s="725"/>
      <c r="H67" s="724"/>
      <c r="I67" s="724"/>
      <c r="J67" s="724"/>
      <c r="K67" s="725"/>
      <c r="L67" s="725"/>
      <c r="M67" s="726"/>
      <c r="N67" s="726"/>
      <c r="O67" s="726"/>
      <c r="P67" s="724"/>
      <c r="Q67" s="727" t="s">
        <v>59</v>
      </c>
      <c r="R67" s="727"/>
      <c r="S67" s="870" t="e">
        <f>SUM(S60:T65)</f>
        <v>#DIV/0!</v>
      </c>
      <c r="T67" s="849"/>
      <c r="U67" s="871">
        <f>SUM(U60:V65)</f>
        <v>0</v>
      </c>
      <c r="V67" s="837"/>
      <c r="W67" s="579"/>
      <c r="X67" s="291"/>
    </row>
    <row r="68" spans="2:32" s="213" customFormat="1" ht="12" customHeight="1">
      <c r="B68" s="584"/>
      <c r="D68" s="253"/>
      <c r="G68" s="214"/>
      <c r="L68" s="214"/>
      <c r="M68" s="214"/>
      <c r="N68" s="214"/>
      <c r="O68" s="214"/>
      <c r="P68" s="214"/>
      <c r="Q68" s="214"/>
      <c r="R68" s="214"/>
      <c r="S68" s="214"/>
      <c r="T68" s="435" t="s">
        <v>374</v>
      </c>
      <c r="U68" s="214"/>
      <c r="V68" s="214"/>
      <c r="W68" s="583"/>
    </row>
    <row r="69" spans="2:32" s="213" customFormat="1" ht="4.5" customHeight="1" thickBot="1">
      <c r="B69" s="584"/>
      <c r="C69" s="214"/>
      <c r="D69" s="214"/>
      <c r="E69" s="214"/>
      <c r="F69" s="214"/>
      <c r="G69" s="214"/>
      <c r="H69" s="214"/>
      <c r="I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565"/>
    </row>
    <row r="70" spans="2:32" s="171" customFormat="1" ht="17.25" customHeight="1" thickTop="1" thickBot="1">
      <c r="B70" s="667"/>
      <c r="C70" s="663" t="s">
        <v>479</v>
      </c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3"/>
      <c r="R70" s="663"/>
      <c r="S70" s="663"/>
      <c r="T70" s="663"/>
      <c r="U70" s="663"/>
      <c r="V70" s="663"/>
      <c r="W70" s="664"/>
    </row>
    <row r="71" spans="2:32" s="688" customFormat="1" ht="21.9" customHeight="1" thickTop="1">
      <c r="B71" s="719" t="s">
        <v>107</v>
      </c>
      <c r="C71" s="706" t="s">
        <v>103</v>
      </c>
      <c r="D71" s="782"/>
      <c r="E71" s="783"/>
      <c r="F71" s="684"/>
      <c r="G71" s="706" t="s">
        <v>104</v>
      </c>
      <c r="H71" s="872"/>
      <c r="I71" s="873"/>
      <c r="J71" s="873"/>
      <c r="K71" s="873"/>
      <c r="L71" s="873"/>
      <c r="M71" s="873"/>
      <c r="N71" s="873"/>
      <c r="O71" s="873"/>
      <c r="P71" s="873"/>
      <c r="Q71" s="873"/>
      <c r="R71" s="873"/>
      <c r="S71" s="684"/>
      <c r="T71" s="684"/>
      <c r="U71" s="684"/>
      <c r="V71" s="684"/>
      <c r="W71" s="714"/>
    </row>
    <row r="72" spans="2:32" s="213" customFormat="1" ht="4.5" customHeight="1" thickBot="1">
      <c r="B72" s="587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568"/>
    </row>
    <row r="73" spans="2:32" s="151" customFormat="1" ht="15" customHeight="1" thickBot="1">
      <c r="B73" s="642" t="s">
        <v>105</v>
      </c>
      <c r="C73" s="226" t="s">
        <v>102</v>
      </c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577"/>
      <c r="AA73" s="152"/>
      <c r="AC73" s="152"/>
    </row>
    <row r="74" spans="2:32" s="292" customFormat="1" ht="26.25" customHeight="1">
      <c r="B74" s="578"/>
      <c r="C74" s="747" t="s">
        <v>338</v>
      </c>
      <c r="D74" s="874" t="s">
        <v>339</v>
      </c>
      <c r="E74" s="875"/>
      <c r="F74" s="749" t="s">
        <v>101</v>
      </c>
      <c r="G74" s="749"/>
      <c r="H74" s="751" t="s">
        <v>100</v>
      </c>
      <c r="I74" s="752"/>
      <c r="J74" s="749" t="s">
        <v>99</v>
      </c>
      <c r="K74" s="748"/>
      <c r="L74" s="749"/>
      <c r="M74" s="753" t="s">
        <v>98</v>
      </c>
      <c r="N74" s="749"/>
      <c r="O74" s="749"/>
      <c r="P74" s="749"/>
      <c r="Q74" s="749"/>
      <c r="R74" s="754"/>
      <c r="S74" s="876" t="s">
        <v>163</v>
      </c>
      <c r="T74" s="877"/>
      <c r="U74" s="878" t="s">
        <v>97</v>
      </c>
      <c r="V74" s="879"/>
      <c r="W74" s="579"/>
      <c r="X74" s="290" t="s">
        <v>90</v>
      </c>
      <c r="Y74" s="291" t="s">
        <v>90</v>
      </c>
      <c r="AC74" s="291"/>
      <c r="AD74" s="291"/>
      <c r="AE74" s="291"/>
      <c r="AF74" s="292" t="s">
        <v>90</v>
      </c>
    </row>
    <row r="75" spans="2:32" s="390" customFormat="1" ht="19.5" customHeight="1">
      <c r="B75" s="580"/>
      <c r="C75" s="750"/>
      <c r="D75" s="861"/>
      <c r="E75" s="862"/>
      <c r="F75" s="863"/>
      <c r="G75" s="863"/>
      <c r="H75" s="864"/>
      <c r="I75" s="865"/>
      <c r="J75" s="863"/>
      <c r="K75" s="863"/>
      <c r="L75" s="863"/>
      <c r="M75" s="743" t="e">
        <f>VLOOKUP(H75,Sheet1!I$54:J$289,2,FALSE)</f>
        <v>#N/A</v>
      </c>
      <c r="N75" s="734"/>
      <c r="O75" s="734"/>
      <c r="P75" s="734"/>
      <c r="Q75" s="734"/>
      <c r="R75" s="744"/>
      <c r="S75" s="866" t="e">
        <f t="shared" ref="S75:S80" si="1">SUM(U75/U$82)</f>
        <v>#DIV/0!</v>
      </c>
      <c r="T75" s="867"/>
      <c r="U75" s="868"/>
      <c r="V75" s="869"/>
      <c r="W75" s="581"/>
      <c r="X75" s="389"/>
    </row>
    <row r="76" spans="2:32" s="390" customFormat="1" ht="19.5" customHeight="1">
      <c r="B76" s="580"/>
      <c r="C76" s="733"/>
      <c r="D76" s="861"/>
      <c r="E76" s="862"/>
      <c r="F76" s="863"/>
      <c r="G76" s="863"/>
      <c r="H76" s="864"/>
      <c r="I76" s="865"/>
      <c r="J76" s="863"/>
      <c r="K76" s="863"/>
      <c r="L76" s="863"/>
      <c r="M76" s="743" t="e">
        <f>VLOOKUP(H76,Sheet1!I$54:J$289,2,FALSE)</f>
        <v>#N/A</v>
      </c>
      <c r="N76" s="734"/>
      <c r="O76" s="734"/>
      <c r="P76" s="734"/>
      <c r="Q76" s="734"/>
      <c r="R76" s="744"/>
      <c r="S76" s="866" t="e">
        <f t="shared" si="1"/>
        <v>#DIV/0!</v>
      </c>
      <c r="T76" s="867"/>
      <c r="U76" s="868"/>
      <c r="V76" s="869"/>
      <c r="W76" s="581"/>
      <c r="X76" s="389"/>
    </row>
    <row r="77" spans="2:32" s="390" customFormat="1" ht="19.5" customHeight="1">
      <c r="B77" s="580"/>
      <c r="C77" s="733"/>
      <c r="D77" s="861"/>
      <c r="E77" s="862"/>
      <c r="F77" s="863"/>
      <c r="G77" s="863"/>
      <c r="H77" s="864"/>
      <c r="I77" s="865"/>
      <c r="J77" s="863"/>
      <c r="K77" s="863"/>
      <c r="L77" s="863"/>
      <c r="M77" s="743" t="e">
        <f>VLOOKUP(H77,Sheet1!I$54:J$289,2,FALSE)</f>
        <v>#N/A</v>
      </c>
      <c r="N77" s="734"/>
      <c r="O77" s="734"/>
      <c r="P77" s="734"/>
      <c r="Q77" s="734"/>
      <c r="R77" s="744"/>
      <c r="S77" s="866" t="e">
        <f t="shared" si="1"/>
        <v>#DIV/0!</v>
      </c>
      <c r="T77" s="867"/>
      <c r="U77" s="868"/>
      <c r="V77" s="869"/>
      <c r="W77" s="581"/>
      <c r="X77" s="389"/>
    </row>
    <row r="78" spans="2:32" s="390" customFormat="1" ht="19.5" customHeight="1">
      <c r="B78" s="580"/>
      <c r="C78" s="733"/>
      <c r="D78" s="861"/>
      <c r="E78" s="862"/>
      <c r="F78" s="863"/>
      <c r="G78" s="863"/>
      <c r="H78" s="864"/>
      <c r="I78" s="865"/>
      <c r="J78" s="863"/>
      <c r="K78" s="863"/>
      <c r="L78" s="863"/>
      <c r="M78" s="743" t="e">
        <f>VLOOKUP(H78,Sheet1!I$54:J$289,2,FALSE)</f>
        <v>#N/A</v>
      </c>
      <c r="N78" s="734"/>
      <c r="O78" s="734"/>
      <c r="P78" s="734"/>
      <c r="Q78" s="734"/>
      <c r="R78" s="744"/>
      <c r="S78" s="866" t="e">
        <f t="shared" si="1"/>
        <v>#DIV/0!</v>
      </c>
      <c r="T78" s="867"/>
      <c r="U78" s="868"/>
      <c r="V78" s="869"/>
      <c r="W78" s="581"/>
      <c r="X78" s="389"/>
    </row>
    <row r="79" spans="2:32" s="390" customFormat="1" ht="19.5" customHeight="1">
      <c r="B79" s="580"/>
      <c r="C79" s="733"/>
      <c r="D79" s="861"/>
      <c r="E79" s="862"/>
      <c r="F79" s="863"/>
      <c r="G79" s="863"/>
      <c r="H79" s="864"/>
      <c r="I79" s="865"/>
      <c r="J79" s="863"/>
      <c r="K79" s="863"/>
      <c r="L79" s="863"/>
      <c r="M79" s="743" t="e">
        <f>VLOOKUP(H79,Sheet1!I$54:J$289,2,FALSE)</f>
        <v>#N/A</v>
      </c>
      <c r="N79" s="734"/>
      <c r="O79" s="734"/>
      <c r="P79" s="734"/>
      <c r="Q79" s="734"/>
      <c r="R79" s="744"/>
      <c r="S79" s="866" t="e">
        <f t="shared" si="1"/>
        <v>#DIV/0!</v>
      </c>
      <c r="T79" s="867"/>
      <c r="U79" s="868"/>
      <c r="V79" s="869"/>
      <c r="W79" s="581"/>
      <c r="X79" s="389"/>
    </row>
    <row r="80" spans="2:32" s="390" customFormat="1" ht="19.5" customHeight="1" thickBot="1">
      <c r="B80" s="580"/>
      <c r="C80" s="735"/>
      <c r="D80" s="852"/>
      <c r="E80" s="853"/>
      <c r="F80" s="854"/>
      <c r="G80" s="854"/>
      <c r="H80" s="855"/>
      <c r="I80" s="856"/>
      <c r="J80" s="854"/>
      <c r="K80" s="854"/>
      <c r="L80" s="854"/>
      <c r="M80" s="745" t="e">
        <f>VLOOKUP(H80,Sheet1!I$54:J$289,2,FALSE)</f>
        <v>#N/A</v>
      </c>
      <c r="N80" s="736"/>
      <c r="O80" s="736"/>
      <c r="P80" s="736"/>
      <c r="Q80" s="736"/>
      <c r="R80" s="746"/>
      <c r="S80" s="857" t="e">
        <f t="shared" si="1"/>
        <v>#DIV/0!</v>
      </c>
      <c r="T80" s="858"/>
      <c r="U80" s="859"/>
      <c r="V80" s="860"/>
      <c r="W80" s="581"/>
      <c r="X80" s="389"/>
    </row>
    <row r="81" spans="2:27" s="151" customFormat="1" ht="4.5" customHeight="1" thickBot="1">
      <c r="B81" s="582"/>
      <c r="C81" s="400"/>
      <c r="D81" s="400"/>
      <c r="E81" s="401"/>
      <c r="F81" s="402"/>
      <c r="G81" s="401"/>
      <c r="H81" s="402"/>
      <c r="I81" s="401"/>
      <c r="J81" s="402"/>
      <c r="K81" s="401"/>
      <c r="L81" s="401"/>
      <c r="M81" s="403"/>
      <c r="N81" s="403"/>
      <c r="O81" s="403"/>
      <c r="P81" s="403"/>
      <c r="Q81" s="403"/>
      <c r="R81" s="399"/>
      <c r="S81" s="295"/>
      <c r="T81" s="295"/>
      <c r="U81" s="404"/>
      <c r="V81" s="405"/>
      <c r="W81" s="583"/>
      <c r="X81" s="152"/>
    </row>
    <row r="82" spans="2:27" s="151" customFormat="1" ht="24" customHeight="1" thickBot="1">
      <c r="B82" s="582"/>
      <c r="C82" s="400"/>
      <c r="D82" s="400"/>
      <c r="E82" s="401"/>
      <c r="F82" s="228"/>
      <c r="G82" s="401"/>
      <c r="H82" s="537"/>
      <c r="I82" s="537"/>
      <c r="J82" s="537"/>
      <c r="K82" s="401"/>
      <c r="L82" s="401"/>
      <c r="M82" s="403"/>
      <c r="N82" s="403"/>
      <c r="O82" s="403"/>
      <c r="P82" s="537"/>
      <c r="Q82" s="406" t="s">
        <v>59</v>
      </c>
      <c r="R82" s="406"/>
      <c r="S82" s="834" t="e">
        <f>SUM(S75:T80)</f>
        <v>#DIV/0!</v>
      </c>
      <c r="T82" s="835"/>
      <c r="U82" s="836">
        <f>SUM(U75:V80)</f>
        <v>0</v>
      </c>
      <c r="V82" s="837"/>
      <c r="W82" s="583"/>
      <c r="X82" s="152"/>
    </row>
    <row r="83" spans="2:27" s="242" customFormat="1" ht="4.5" customHeight="1" thickBot="1">
      <c r="B83" s="582"/>
      <c r="C83" s="407"/>
      <c r="D83" s="407"/>
      <c r="E83" s="408"/>
      <c r="F83" s="228"/>
      <c r="G83" s="408"/>
      <c r="H83" s="229"/>
      <c r="I83" s="229"/>
      <c r="J83" s="229"/>
      <c r="K83" s="408"/>
      <c r="L83" s="408"/>
      <c r="M83" s="409"/>
      <c r="N83" s="409"/>
      <c r="O83" s="409"/>
      <c r="P83" s="229"/>
      <c r="Q83" s="409"/>
      <c r="R83" s="668"/>
      <c r="S83" s="243"/>
      <c r="T83" s="411"/>
      <c r="U83" s="669"/>
      <c r="V83" s="670"/>
      <c r="W83" s="583"/>
      <c r="X83" s="244"/>
    </row>
    <row r="84" spans="2:27" s="468" customFormat="1" ht="17.25" customHeight="1" thickTop="1" thickBot="1">
      <c r="B84" s="662" t="s">
        <v>480</v>
      </c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4"/>
      <c r="X84" s="467"/>
    </row>
    <row r="85" spans="2:27" s="151" customFormat="1" ht="21" customHeight="1" thickTop="1" thickBot="1">
      <c r="B85" s="545">
        <v>5</v>
      </c>
      <c r="C85" s="850" t="s">
        <v>96</v>
      </c>
      <c r="D85" s="851"/>
      <c r="E85" s="671"/>
      <c r="F85" s="672"/>
      <c r="G85" s="672"/>
      <c r="H85" s="672"/>
      <c r="I85" s="672"/>
      <c r="J85" s="672"/>
      <c r="K85" s="672"/>
      <c r="L85" s="673"/>
      <c r="M85" s="674"/>
      <c r="N85" s="675"/>
      <c r="O85" s="675"/>
      <c r="P85" s="675"/>
      <c r="Q85" s="675"/>
      <c r="R85" s="675"/>
      <c r="S85" s="675"/>
      <c r="T85" s="676"/>
      <c r="U85" s="677"/>
      <c r="V85" s="677"/>
      <c r="W85" s="678"/>
    </row>
    <row r="86" spans="2:27" s="151" customFormat="1" ht="12" customHeight="1" thickBot="1">
      <c r="B86" s="591"/>
      <c r="C86" s="846"/>
      <c r="D86" s="847"/>
      <c r="E86" s="235" t="s">
        <v>95</v>
      </c>
      <c r="F86" s="236"/>
      <c r="G86" s="236"/>
      <c r="H86" s="236"/>
      <c r="I86" s="236"/>
      <c r="J86" s="236"/>
      <c r="K86" s="236"/>
      <c r="L86" s="237"/>
      <c r="M86" s="235" t="s">
        <v>73</v>
      </c>
      <c r="N86" s="236"/>
      <c r="O86" s="236"/>
      <c r="P86" s="236"/>
      <c r="Q86" s="236"/>
      <c r="R86" s="236"/>
      <c r="S86" s="236"/>
      <c r="T86" s="433"/>
      <c r="U86" s="431"/>
      <c r="V86" s="431"/>
      <c r="W86" s="592"/>
      <c r="X86" s="189"/>
      <c r="Y86" s="151" t="s">
        <v>90</v>
      </c>
    </row>
    <row r="87" spans="2:27" s="471" customFormat="1" ht="20.100000000000001" customHeight="1" thickBot="1">
      <c r="B87" s="635"/>
      <c r="C87" s="636" t="s">
        <v>93</v>
      </c>
      <c r="D87" s="636"/>
      <c r="E87" s="636"/>
      <c r="F87" s="636"/>
      <c r="G87" s="636"/>
      <c r="H87" s="636"/>
      <c r="I87" s="636"/>
      <c r="J87" s="636"/>
      <c r="K87" s="636"/>
      <c r="L87" s="636"/>
      <c r="M87" s="636"/>
      <c r="N87" s="636"/>
      <c r="O87" s="636"/>
      <c r="P87" s="636"/>
      <c r="Q87" s="636"/>
      <c r="R87" s="636"/>
      <c r="S87" s="636"/>
      <c r="T87" s="636"/>
      <c r="U87" s="636"/>
      <c r="V87" s="636"/>
      <c r="W87" s="637"/>
      <c r="X87" s="470"/>
    </row>
    <row r="88" spans="2:27" s="151" customFormat="1" ht="16.2" thickBot="1">
      <c r="B88" s="595"/>
      <c r="C88" s="298" t="s">
        <v>92</v>
      </c>
      <c r="D88" s="299"/>
      <c r="E88" s="299"/>
      <c r="F88" s="299"/>
      <c r="G88" s="299"/>
      <c r="H88" s="299"/>
      <c r="I88" s="299"/>
      <c r="J88" s="299"/>
      <c r="K88" s="299"/>
      <c r="L88" s="298" t="s">
        <v>91</v>
      </c>
      <c r="M88" s="298"/>
      <c r="N88" s="299"/>
      <c r="O88" s="299"/>
      <c r="P88" s="299"/>
      <c r="Q88" s="299"/>
      <c r="R88" s="299"/>
      <c r="S88" s="299"/>
      <c r="T88" s="299"/>
      <c r="U88" s="299"/>
      <c r="V88" s="299"/>
      <c r="W88" s="596"/>
      <c r="X88" s="189"/>
      <c r="AA88" s="151" t="s">
        <v>90</v>
      </c>
    </row>
    <row r="89" spans="2:27" s="151" customFormat="1" ht="24" customHeight="1">
      <c r="B89" s="595"/>
      <c r="C89" s="391" t="s">
        <v>356</v>
      </c>
      <c r="D89" s="195"/>
      <c r="E89" s="369"/>
      <c r="F89" s="369"/>
      <c r="G89" s="369"/>
      <c r="H89" s="369"/>
      <c r="I89" s="370"/>
      <c r="J89" s="193" t="s">
        <v>83</v>
      </c>
      <c r="K89" s="194"/>
      <c r="L89" s="391" t="s">
        <v>356</v>
      </c>
      <c r="M89" s="195"/>
      <c r="N89" s="195"/>
      <c r="O89" s="195"/>
      <c r="P89" s="369"/>
      <c r="Q89" s="369"/>
      <c r="R89" s="369"/>
      <c r="S89" s="369"/>
      <c r="T89" s="369"/>
      <c r="U89" s="370"/>
      <c r="V89" s="193" t="s">
        <v>83</v>
      </c>
      <c r="W89" s="597"/>
      <c r="X89" s="189"/>
    </row>
    <row r="90" spans="2:27" s="151" customFormat="1" ht="24" customHeight="1">
      <c r="B90" s="598"/>
      <c r="C90" s="392" t="s">
        <v>357</v>
      </c>
      <c r="D90" s="198"/>
      <c r="E90" s="371"/>
      <c r="F90" s="371"/>
      <c r="G90" s="371"/>
      <c r="H90" s="371"/>
      <c r="I90" s="372"/>
      <c r="J90" s="196" t="s">
        <v>83</v>
      </c>
      <c r="K90" s="197"/>
      <c r="L90" s="392" t="s">
        <v>357</v>
      </c>
      <c r="M90" s="198"/>
      <c r="N90" s="198"/>
      <c r="O90" s="198"/>
      <c r="P90" s="375"/>
      <c r="Q90" s="375"/>
      <c r="R90" s="375"/>
      <c r="S90" s="375"/>
      <c r="T90" s="375"/>
      <c r="U90" s="376"/>
      <c r="V90" s="196" t="s">
        <v>83</v>
      </c>
      <c r="W90" s="599"/>
      <c r="X90" s="189"/>
      <c r="Y90" s="151" t="s">
        <v>90</v>
      </c>
      <c r="AA90" s="151" t="s">
        <v>90</v>
      </c>
    </row>
    <row r="91" spans="2:27" s="151" customFormat="1" ht="24" customHeight="1">
      <c r="B91" s="598"/>
      <c r="C91" s="392" t="s">
        <v>358</v>
      </c>
      <c r="D91" s="198"/>
      <c r="E91" s="371"/>
      <c r="F91" s="371"/>
      <c r="G91" s="371"/>
      <c r="H91" s="371"/>
      <c r="I91" s="372"/>
      <c r="J91" s="196" t="s">
        <v>83</v>
      </c>
      <c r="K91" s="197"/>
      <c r="L91" s="392" t="s">
        <v>358</v>
      </c>
      <c r="M91" s="198"/>
      <c r="N91" s="198"/>
      <c r="O91" s="198"/>
      <c r="P91" s="375"/>
      <c r="Q91" s="375"/>
      <c r="R91" s="375"/>
      <c r="S91" s="375"/>
      <c r="T91" s="375"/>
      <c r="U91" s="376"/>
      <c r="V91" s="196" t="s">
        <v>83</v>
      </c>
      <c r="W91" s="599"/>
      <c r="X91" s="189"/>
      <c r="Y91" s="151" t="s">
        <v>90</v>
      </c>
      <c r="AA91" s="151" t="s">
        <v>90</v>
      </c>
    </row>
    <row r="92" spans="2:27" s="151" customFormat="1" ht="24" customHeight="1" thickBot="1">
      <c r="B92" s="600"/>
      <c r="C92" s="230" t="s">
        <v>359</v>
      </c>
      <c r="D92" s="201"/>
      <c r="E92" s="393"/>
      <c r="F92" s="373"/>
      <c r="G92" s="373"/>
      <c r="H92" s="373"/>
      <c r="I92" s="374"/>
      <c r="J92" s="199" t="s">
        <v>83</v>
      </c>
      <c r="K92" s="200"/>
      <c r="L92" s="230" t="s">
        <v>359</v>
      </c>
      <c r="M92" s="201"/>
      <c r="N92" s="201"/>
      <c r="O92" s="201"/>
      <c r="P92" s="377"/>
      <c r="Q92" s="377"/>
      <c r="R92" s="377"/>
      <c r="S92" s="377"/>
      <c r="T92" s="377"/>
      <c r="U92" s="378"/>
      <c r="V92" s="199" t="s">
        <v>83</v>
      </c>
      <c r="W92" s="601"/>
      <c r="X92" s="189"/>
      <c r="Y92" s="151" t="s">
        <v>90</v>
      </c>
      <c r="AA92" s="151" t="s">
        <v>90</v>
      </c>
    </row>
    <row r="93" spans="2:27" s="468" customFormat="1" ht="16.5" customHeight="1" thickBot="1">
      <c r="B93" s="602" t="s">
        <v>446</v>
      </c>
      <c r="C93" s="465"/>
      <c r="D93" s="465"/>
      <c r="E93" s="465"/>
      <c r="F93" s="465"/>
      <c r="G93" s="465"/>
      <c r="H93" s="465"/>
      <c r="I93" s="465"/>
      <c r="J93" s="465"/>
      <c r="K93" s="465"/>
      <c r="L93" s="466" t="s">
        <v>89</v>
      </c>
      <c r="M93" s="466"/>
      <c r="N93" s="466"/>
      <c r="O93" s="466"/>
      <c r="P93" s="466"/>
      <c r="Q93" s="466"/>
      <c r="R93" s="466"/>
      <c r="S93" s="466"/>
      <c r="T93" s="466"/>
      <c r="U93" s="466"/>
      <c r="V93" s="466"/>
      <c r="W93" s="544"/>
      <c r="X93" s="467"/>
    </row>
    <row r="94" spans="2:27" s="151" customFormat="1" ht="24" customHeight="1" thickBot="1">
      <c r="B94" s="639"/>
      <c r="C94" s="202" t="s">
        <v>88</v>
      </c>
      <c r="D94" s="241"/>
      <c r="E94" s="240"/>
      <c r="F94" s="175"/>
      <c r="G94" s="175"/>
      <c r="H94" s="175"/>
      <c r="I94" s="240"/>
      <c r="J94" s="203" t="s">
        <v>83</v>
      </c>
      <c r="K94" s="204"/>
      <c r="L94" s="205" t="s">
        <v>87</v>
      </c>
      <c r="M94" s="206"/>
      <c r="N94" s="206"/>
      <c r="O94" s="207"/>
      <c r="P94" s="231"/>
      <c r="Q94" s="232"/>
      <c r="R94" s="232"/>
      <c r="S94" s="232"/>
      <c r="T94" s="232"/>
      <c r="U94" s="233"/>
      <c r="V94" s="203" t="s">
        <v>83</v>
      </c>
      <c r="W94" s="604"/>
    </row>
    <row r="95" spans="2:27" s="171" customFormat="1" ht="16.5" customHeight="1" thickBot="1">
      <c r="B95" s="605" t="s">
        <v>335</v>
      </c>
      <c r="C95" s="469"/>
      <c r="D95" s="469"/>
      <c r="E95" s="469"/>
      <c r="F95" s="469"/>
      <c r="G95" s="469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606"/>
    </row>
    <row r="96" spans="2:27" s="185" customFormat="1" ht="18.75" customHeight="1" thickBot="1">
      <c r="B96" s="638"/>
      <c r="C96" s="234" t="s">
        <v>86</v>
      </c>
      <c r="D96" s="414"/>
      <c r="E96" s="415"/>
      <c r="F96" s="239" t="s">
        <v>497</v>
      </c>
      <c r="G96" s="759" t="s">
        <v>114</v>
      </c>
      <c r="H96" s="239" t="s">
        <v>165</v>
      </c>
      <c r="I96" s="414"/>
      <c r="J96" s="238"/>
      <c r="K96" s="415"/>
      <c r="L96" s="193" t="s">
        <v>83</v>
      </c>
      <c r="M96" s="414"/>
      <c r="N96" s="414"/>
      <c r="O96" s="414"/>
      <c r="P96" s="278" t="s">
        <v>336</v>
      </c>
      <c r="Q96" s="416"/>
      <c r="R96" s="417"/>
      <c r="S96" s="209" t="s">
        <v>83</v>
      </c>
      <c r="T96" s="414"/>
      <c r="U96" s="418"/>
      <c r="V96" s="210"/>
      <c r="W96" s="608"/>
    </row>
    <row r="97" spans="2:23" s="185" customFormat="1" ht="18.75" customHeight="1" thickBot="1">
      <c r="B97" s="609"/>
      <c r="C97" s="610" t="s">
        <v>164</v>
      </c>
      <c r="D97" s="611"/>
      <c r="E97" s="612"/>
      <c r="F97" s="613" t="s">
        <v>334</v>
      </c>
      <c r="G97" s="612"/>
      <c r="H97" s="613" t="s">
        <v>445</v>
      </c>
      <c r="I97" s="611"/>
      <c r="J97" s="611"/>
      <c r="K97" s="612"/>
      <c r="L97" s="614" t="s">
        <v>83</v>
      </c>
      <c r="M97" s="611"/>
      <c r="N97" s="611"/>
      <c r="O97" s="612"/>
      <c r="P97" s="615" t="s">
        <v>84</v>
      </c>
      <c r="Q97" s="616"/>
      <c r="R97" s="617"/>
      <c r="S97" s="618" t="s">
        <v>83</v>
      </c>
      <c r="T97" s="619"/>
      <c r="U97" s="620"/>
      <c r="V97" s="621"/>
      <c r="W97" s="622"/>
    </row>
    <row r="98" spans="2:23" ht="13.8" thickTop="1">
      <c r="M98" s="151"/>
      <c r="N98" s="151"/>
      <c r="O98" s="151"/>
      <c r="P98" s="151"/>
      <c r="Q98" s="151"/>
      <c r="R98" s="151"/>
    </row>
    <row r="99" spans="2:23">
      <c r="M99" s="151"/>
      <c r="N99" s="151"/>
      <c r="O99" s="151"/>
      <c r="P99" s="151"/>
      <c r="Q99" s="151"/>
      <c r="R99" s="151"/>
    </row>
  </sheetData>
  <sheetProtection sheet="1" objects="1" scenarios="1" selectLockedCells="1"/>
  <mergeCells count="107">
    <mergeCell ref="C9:E9"/>
    <mergeCell ref="G9:J9"/>
    <mergeCell ref="K9:O9"/>
    <mergeCell ref="Q9:T9"/>
    <mergeCell ref="U9:W9"/>
    <mergeCell ref="N16:W22"/>
    <mergeCell ref="K17:M17"/>
    <mergeCell ref="K18:M18"/>
    <mergeCell ref="K19:M19"/>
    <mergeCell ref="K20:M20"/>
    <mergeCell ref="K43:M43"/>
    <mergeCell ref="M46:N46"/>
    <mergeCell ref="E51:F51"/>
    <mergeCell ref="G51:M51"/>
    <mergeCell ref="D56:E56"/>
    <mergeCell ref="H56:R56"/>
    <mergeCell ref="K21:M21"/>
    <mergeCell ref="D22:G22"/>
    <mergeCell ref="K22:M22"/>
    <mergeCell ref="N24:W26"/>
    <mergeCell ref="L37:M37"/>
    <mergeCell ref="N40:O40"/>
    <mergeCell ref="D61:E61"/>
    <mergeCell ref="F61:G61"/>
    <mergeCell ref="H61:I61"/>
    <mergeCell ref="J61:L61"/>
    <mergeCell ref="S61:T61"/>
    <mergeCell ref="U61:V61"/>
    <mergeCell ref="D59:E59"/>
    <mergeCell ref="S59:T59"/>
    <mergeCell ref="U59:V59"/>
    <mergeCell ref="D60:E60"/>
    <mergeCell ref="F60:G60"/>
    <mergeCell ref="H60:I60"/>
    <mergeCell ref="J60:L60"/>
    <mergeCell ref="S60:T60"/>
    <mergeCell ref="U60:V60"/>
    <mergeCell ref="D63:E63"/>
    <mergeCell ref="F63:G63"/>
    <mergeCell ref="H63:I63"/>
    <mergeCell ref="J63:L63"/>
    <mergeCell ref="S63:T63"/>
    <mergeCell ref="U63:V63"/>
    <mergeCell ref="D62:E62"/>
    <mergeCell ref="F62:G62"/>
    <mergeCell ref="H62:I62"/>
    <mergeCell ref="J62:L62"/>
    <mergeCell ref="S62:T62"/>
    <mergeCell ref="U62:V62"/>
    <mergeCell ref="D65:E65"/>
    <mergeCell ref="F65:G65"/>
    <mergeCell ref="H65:I65"/>
    <mergeCell ref="J65:L65"/>
    <mergeCell ref="S65:T65"/>
    <mergeCell ref="U65:V65"/>
    <mergeCell ref="D64:E64"/>
    <mergeCell ref="F64:G64"/>
    <mergeCell ref="H64:I64"/>
    <mergeCell ref="J64:L64"/>
    <mergeCell ref="S64:T64"/>
    <mergeCell ref="U64:V64"/>
    <mergeCell ref="D75:E75"/>
    <mergeCell ref="F75:G75"/>
    <mergeCell ref="H75:I75"/>
    <mergeCell ref="J75:L75"/>
    <mergeCell ref="S75:T75"/>
    <mergeCell ref="U75:V75"/>
    <mergeCell ref="S67:T67"/>
    <mergeCell ref="U67:V67"/>
    <mergeCell ref="D71:E71"/>
    <mergeCell ref="H71:R71"/>
    <mergeCell ref="D74:E74"/>
    <mergeCell ref="S74:T74"/>
    <mergeCell ref="U74:V74"/>
    <mergeCell ref="D77:E77"/>
    <mergeCell ref="F77:G77"/>
    <mergeCell ref="H77:I77"/>
    <mergeCell ref="J77:L77"/>
    <mergeCell ref="S77:T77"/>
    <mergeCell ref="U77:V77"/>
    <mergeCell ref="D76:E76"/>
    <mergeCell ref="F76:G76"/>
    <mergeCell ref="H76:I76"/>
    <mergeCell ref="J76:L76"/>
    <mergeCell ref="S76:T76"/>
    <mergeCell ref="U76:V76"/>
    <mergeCell ref="D79:E79"/>
    <mergeCell ref="F79:G79"/>
    <mergeCell ref="H79:I79"/>
    <mergeCell ref="J79:L79"/>
    <mergeCell ref="S79:T79"/>
    <mergeCell ref="U79:V79"/>
    <mergeCell ref="D78:E78"/>
    <mergeCell ref="F78:G78"/>
    <mergeCell ref="H78:I78"/>
    <mergeCell ref="J78:L78"/>
    <mergeCell ref="S78:T78"/>
    <mergeCell ref="U78:V78"/>
    <mergeCell ref="S82:T82"/>
    <mergeCell ref="U82:V82"/>
    <mergeCell ref="C85:D86"/>
    <mergeCell ref="D80:E80"/>
    <mergeCell ref="F80:G80"/>
    <mergeCell ref="H80:I80"/>
    <mergeCell ref="J80:L80"/>
    <mergeCell ref="S80:T80"/>
    <mergeCell ref="U80:V80"/>
  </mergeCells>
  <conditionalFormatting sqref="T66 P60:P66 Q60:S67 T81 L73:L74 L81:L83 G51:M51 M73:S83 M60:O67 N37">
    <cfRule type="containsErrors" dxfId="52" priority="17">
      <formula>ISERROR(G37)</formula>
    </cfRule>
  </conditionalFormatting>
  <conditionalFormatting sqref="T66 T81 S60:S67 S75:S83">
    <cfRule type="cellIs" dxfId="51" priority="16" operator="equal">
      <formula>0</formula>
    </cfRule>
  </conditionalFormatting>
  <conditionalFormatting sqref="S82:T82 S67:T67">
    <cfRule type="containsErrors" dxfId="50" priority="15">
      <formula>ISERROR(S67)</formula>
    </cfRule>
  </conditionalFormatting>
  <conditionalFormatting sqref="G51:M51">
    <cfRule type="containsText" dxfId="49" priority="13" operator="containsText" text="INVALID">
      <formula>NOT(ISERROR(SEARCH("INVALID",G51)))</formula>
    </cfRule>
    <cfRule type="cellIs" dxfId="48" priority="14" operator="equal">
      <formula>"INVALID HOME ORGN….. PLEASE SELECT A VALID E&amp;G ORGN"</formula>
    </cfRule>
  </conditionalFormatting>
  <conditionalFormatting sqref="S67:T67 S82:T82">
    <cfRule type="containsErrors" dxfId="47" priority="12">
      <formula>ISERROR(S67)</formula>
    </cfRule>
  </conditionalFormatting>
  <conditionalFormatting sqref="U67:V67 U82:V82">
    <cfRule type="cellIs" dxfId="46" priority="11" operator="equal">
      <formula>0</formula>
    </cfRule>
  </conditionalFormatting>
  <conditionalFormatting sqref="L37:M37">
    <cfRule type="cellIs" dxfId="45" priority="9" operator="equal">
      <formula>0</formula>
    </cfRule>
    <cfRule type="cellIs" dxfId="44" priority="10" operator="equal">
      <formula>2</formula>
    </cfRule>
  </conditionalFormatting>
  <conditionalFormatting sqref="N40:O40 V40">
    <cfRule type="notContainsBlanks" dxfId="43" priority="8">
      <formula>LEN(TRIM(N40))&gt;0</formula>
    </cfRule>
  </conditionalFormatting>
  <conditionalFormatting sqref="N40:O40">
    <cfRule type="notContainsBlanks" dxfId="42" priority="5">
      <formula>LEN(TRIM(N40))&gt;0</formula>
    </cfRule>
    <cfRule type="notContainsBlanks" dxfId="41" priority="6">
      <formula>LEN(TRIM(N40))&gt;0</formula>
    </cfRule>
    <cfRule type="expression" dxfId="40" priority="7">
      <formula>$V$51=2</formula>
    </cfRule>
  </conditionalFormatting>
  <conditionalFormatting sqref="V40">
    <cfRule type="notContainsBlanks" dxfId="39" priority="3">
      <formula>LEN(TRIM(V40))&gt;0</formula>
    </cfRule>
    <cfRule type="expression" dxfId="38" priority="4">
      <formula>$V$51=3</formula>
    </cfRule>
  </conditionalFormatting>
  <conditionalFormatting sqref="K43:M43">
    <cfRule type="notContainsBlanks" dxfId="37" priority="1">
      <formula>LEN(TRIM(K43))&gt;0</formula>
    </cfRule>
    <cfRule type="expression" dxfId="36" priority="2">
      <formula>$W$51=2</formula>
    </cfRule>
  </conditionalFormatting>
  <dataValidations count="5">
    <dataValidation type="textLength" allowBlank="1" showInputMessage="1" showErrorMessage="1" errorTitle="Invalid Entry" error="ENTRY MUST BE 6 CHARACTERS/DIGITS LONG" sqref="C75:C83 C60:C66">
      <formula1>6</formula1>
      <formula2>6</formula2>
    </dataValidation>
    <dataValidation type="textLength" allowBlank="1" showInputMessage="1" showErrorMessage="1" error="Entry must be 6 characters/digits in length" sqref="F60:I65 F75:I80">
      <formula1>6</formula1>
      <formula2>6</formula2>
    </dataValidation>
    <dataValidation type="list" allowBlank="1" showInputMessage="1" showErrorMessage="1" error="Valad entries are:   611000 if pay is for teaching,  612000 for all other monthly pay,  622000 for bi-weekly. Each funding line should be specific to the work to be performed. NOTE: cannot be both monthly &amp; bi-weekly" sqref="J60:L65 J75:L80">
      <formula1>"611000,612000,622000"</formula1>
    </dataValidation>
    <dataValidation type="textLength" allowBlank="1" showInputMessage="1" showErrorMessage="1" error="Position number is six characters/digits long" sqref="D56:E56 D71:E71">
      <formula1>6</formula1>
      <formula2>6</formula2>
    </dataValidation>
    <dataValidation type="decimal" operator="lessThanOrEqual" allowBlank="1" showInputMessage="1" showErrorMessage="1" errorTitle="Indicate FTE" error="Full Time = 1_x000a_Part-Time = less than 1" promptTitle="Enter FTE" sqref="L37:M37">
      <formula1>1</formula1>
    </dataValidation>
  </dataValidations>
  <printOptions horizontalCentered="1" verticalCentered="1"/>
  <pageMargins left="0" right="0" top="0" bottom="0" header="0" footer="0"/>
  <pageSetup scale="54" orientation="portrait" r:id="rId1"/>
  <headerFooter alignWithMargins="0">
    <oddFooter>&amp;R&amp;8PAF REVISED 10/28/2011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FFC000"/>
    <pageSetUpPr fitToPage="1"/>
  </sheetPr>
  <dimension ref="B1:AF99"/>
  <sheetViews>
    <sheetView showGridLines="0" workbookViewId="0">
      <selection activeCell="C9" sqref="C9:E9"/>
    </sheetView>
  </sheetViews>
  <sheetFormatPr defaultColWidth="9.109375" defaultRowHeight="13.2"/>
  <cols>
    <col min="1" max="1" width="1.6640625" style="150" customWidth="1"/>
    <col min="2" max="2" width="4.33203125" style="150" customWidth="1"/>
    <col min="3" max="3" width="19.109375" style="150" customWidth="1"/>
    <col min="4" max="4" width="9.109375" style="150" customWidth="1"/>
    <col min="5" max="5" width="6.6640625" style="150" customWidth="1"/>
    <col min="6" max="6" width="13.6640625" style="150" customWidth="1"/>
    <col min="7" max="7" width="11.6640625" style="150" customWidth="1"/>
    <col min="8" max="8" width="6.6640625" style="150" customWidth="1"/>
    <col min="9" max="9" width="12.6640625" style="150" customWidth="1"/>
    <col min="10" max="10" width="9.33203125" style="150" customWidth="1"/>
    <col min="11" max="11" width="7.88671875" style="150" customWidth="1"/>
    <col min="12" max="12" width="4.6640625" style="150" customWidth="1"/>
    <col min="13" max="15" width="6.6640625" style="150" customWidth="1"/>
    <col min="16" max="16" width="13.88671875" style="150" customWidth="1"/>
    <col min="17" max="18" width="6.6640625" style="150" customWidth="1"/>
    <col min="19" max="20" width="7.6640625" style="150" customWidth="1"/>
    <col min="21" max="21" width="6.88671875" style="150" customWidth="1"/>
    <col min="22" max="22" width="13.6640625" style="150" customWidth="1"/>
    <col min="23" max="23" width="5.6640625" style="150" customWidth="1"/>
    <col min="24" max="24" width="18.6640625" style="150" customWidth="1"/>
    <col min="25" max="25" width="14.33203125" style="150" customWidth="1"/>
    <col min="26" max="26" width="13.5546875" style="150" customWidth="1"/>
    <col min="27" max="27" width="11.44140625" style="150" customWidth="1"/>
    <col min="28" max="28" width="16.6640625" style="150" customWidth="1"/>
    <col min="29" max="16384" width="9.109375" style="150"/>
  </cols>
  <sheetData>
    <row r="1" spans="2:31" ht="19.5" customHeight="1">
      <c r="B1" s="474" t="s">
        <v>2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spans="2:31" ht="21" customHeight="1">
      <c r="B2" s="220" t="s">
        <v>155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</row>
    <row r="3" spans="2:31" ht="10.5" customHeight="1"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</row>
    <row r="4" spans="2:31" s="535" customFormat="1" ht="2.25" customHeight="1" thickBot="1"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6"/>
    </row>
    <row r="5" spans="2:31" s="429" customFormat="1" ht="10.8" thickTop="1">
      <c r="B5" s="538" t="s">
        <v>154</v>
      </c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40"/>
    </row>
    <row r="6" spans="2:31" ht="4.5" customHeight="1" thickBot="1">
      <c r="B6" s="651"/>
      <c r="C6" s="652"/>
      <c r="D6" s="652"/>
      <c r="E6" s="652"/>
      <c r="F6" s="652"/>
      <c r="G6" s="652"/>
      <c r="H6" s="652"/>
      <c r="I6" s="652"/>
      <c r="J6" s="652"/>
      <c r="K6" s="652"/>
      <c r="L6" s="652"/>
      <c r="M6" s="652"/>
      <c r="N6" s="652"/>
      <c r="O6" s="652"/>
      <c r="P6" s="652"/>
      <c r="Q6" s="652"/>
      <c r="R6" s="652"/>
      <c r="S6" s="652"/>
      <c r="T6" s="652"/>
      <c r="U6" s="652"/>
      <c r="V6" s="652"/>
      <c r="W6" s="653"/>
      <c r="Y6" s="152" t="s">
        <v>90</v>
      </c>
      <c r="AA6" s="152" t="s">
        <v>90</v>
      </c>
    </row>
    <row r="7" spans="2:31" s="171" customFormat="1" ht="20.100000000000001" customHeight="1" thickTop="1" thickBot="1">
      <c r="B7" s="662" t="s">
        <v>473</v>
      </c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4"/>
      <c r="Y7" s="479"/>
      <c r="AA7" s="479"/>
    </row>
    <row r="8" spans="2:31" s="151" customFormat="1" ht="17.25" customHeight="1" thickTop="1" thickBot="1">
      <c r="B8" s="545">
        <v>1</v>
      </c>
      <c r="C8" s="654" t="s">
        <v>152</v>
      </c>
      <c r="D8" s="655"/>
      <c r="E8" s="656"/>
      <c r="F8" s="169" t="s">
        <v>151</v>
      </c>
      <c r="G8" s="657" t="s">
        <v>150</v>
      </c>
      <c r="H8" s="658"/>
      <c r="I8" s="658"/>
      <c r="J8" s="659"/>
      <c r="K8" s="657" t="s">
        <v>149</v>
      </c>
      <c r="L8" s="658"/>
      <c r="M8" s="658"/>
      <c r="N8" s="658"/>
      <c r="O8" s="659"/>
      <c r="P8" s="660" t="s">
        <v>148</v>
      </c>
      <c r="Q8" s="657" t="s">
        <v>147</v>
      </c>
      <c r="R8" s="658"/>
      <c r="S8" s="658"/>
      <c r="T8" s="659"/>
      <c r="U8" s="657" t="s">
        <v>146</v>
      </c>
      <c r="V8" s="658"/>
      <c r="W8" s="661"/>
      <c r="Y8" s="152" t="s">
        <v>90</v>
      </c>
      <c r="Z8" s="152" t="s">
        <v>90</v>
      </c>
      <c r="AA8" s="152" t="s">
        <v>90</v>
      </c>
    </row>
    <row r="9" spans="2:31" ht="24" customHeight="1" thickBot="1">
      <c r="B9" s="645"/>
      <c r="C9" s="800"/>
      <c r="D9" s="792"/>
      <c r="E9" s="785"/>
      <c r="F9" s="168"/>
      <c r="G9" s="800"/>
      <c r="H9" s="792"/>
      <c r="I9" s="792"/>
      <c r="J9" s="785"/>
      <c r="K9" s="800"/>
      <c r="L9" s="792"/>
      <c r="M9" s="792"/>
      <c r="N9" s="792"/>
      <c r="O9" s="785"/>
      <c r="P9" s="167"/>
      <c r="Q9" s="794"/>
      <c r="R9" s="792"/>
      <c r="S9" s="792"/>
      <c r="T9" s="785"/>
      <c r="U9" s="791"/>
      <c r="V9" s="792"/>
      <c r="W9" s="793"/>
      <c r="Y9" s="152"/>
      <c r="AA9" s="152"/>
      <c r="AC9" s="152"/>
      <c r="AE9" s="152"/>
    </row>
    <row r="10" spans="2:31" ht="15" hidden="1" customHeight="1">
      <c r="B10" s="547"/>
      <c r="C10" s="166" t="s">
        <v>146</v>
      </c>
      <c r="D10" s="166"/>
      <c r="E10" s="166" t="s">
        <v>145</v>
      </c>
      <c r="F10" s="166"/>
      <c r="G10" s="176"/>
      <c r="H10" s="177" t="s">
        <v>144</v>
      </c>
      <c r="I10" s="166"/>
      <c r="J10" s="166"/>
      <c r="K10" s="166"/>
      <c r="L10" s="165"/>
      <c r="M10" s="177" t="s">
        <v>143</v>
      </c>
      <c r="N10" s="166"/>
      <c r="O10" s="166"/>
      <c r="P10" s="166"/>
      <c r="Q10" s="166"/>
      <c r="R10" s="166"/>
      <c r="S10" s="166"/>
      <c r="T10" s="166"/>
      <c r="U10" s="166"/>
      <c r="V10" s="166"/>
      <c r="W10" s="548"/>
      <c r="AE10" s="152"/>
    </row>
    <row r="11" spans="2:31" ht="21.75" hidden="1" customHeight="1">
      <c r="B11" s="547"/>
      <c r="C11" s="164"/>
      <c r="D11" s="163"/>
      <c r="E11" s="159"/>
      <c r="F11" s="162"/>
      <c r="G11" s="161"/>
      <c r="H11" s="159"/>
      <c r="I11" s="162"/>
      <c r="J11" s="162"/>
      <c r="K11" s="162"/>
      <c r="L11" s="163"/>
      <c r="M11" s="159"/>
      <c r="N11" s="162"/>
      <c r="O11" s="162"/>
      <c r="P11" s="162"/>
      <c r="Q11" s="162"/>
      <c r="R11" s="162"/>
      <c r="S11" s="162"/>
      <c r="T11" s="162"/>
      <c r="U11" s="162"/>
      <c r="V11" s="162"/>
      <c r="W11" s="549"/>
      <c r="Y11" s="152"/>
      <c r="AA11" s="152"/>
      <c r="AC11" s="152"/>
      <c r="AE11" s="152"/>
    </row>
    <row r="12" spans="2:31" ht="12" hidden="1" customHeight="1">
      <c r="B12" s="547"/>
      <c r="C12" s="162" t="s">
        <v>142</v>
      </c>
      <c r="D12" s="162"/>
      <c r="E12" s="161"/>
      <c r="F12" s="162"/>
      <c r="G12" s="159" t="s">
        <v>141</v>
      </c>
      <c r="H12" s="161"/>
      <c r="I12" s="161"/>
      <c r="J12" s="161"/>
      <c r="K12" s="160" t="s">
        <v>140</v>
      </c>
      <c r="L12" s="160"/>
      <c r="M12" s="160" t="s">
        <v>139</v>
      </c>
      <c r="N12" s="159"/>
      <c r="O12" s="159"/>
      <c r="P12" s="159"/>
      <c r="Q12" s="159"/>
      <c r="R12" s="159"/>
      <c r="S12" s="159"/>
      <c r="T12" s="159"/>
      <c r="U12" s="159"/>
      <c r="V12" s="159"/>
      <c r="W12" s="550" t="s">
        <v>138</v>
      </c>
      <c r="X12" s="152" t="s">
        <v>90</v>
      </c>
      <c r="Y12" s="152" t="s">
        <v>90</v>
      </c>
      <c r="Z12" s="152" t="s">
        <v>90</v>
      </c>
      <c r="AA12" s="152" t="s">
        <v>90</v>
      </c>
    </row>
    <row r="13" spans="2:31" ht="18.75" hidden="1" customHeight="1">
      <c r="B13" s="547"/>
      <c r="C13" s="158"/>
      <c r="D13" s="158"/>
      <c r="E13" s="178"/>
      <c r="F13" s="158"/>
      <c r="G13" s="179"/>
      <c r="H13" s="157"/>
      <c r="I13" s="157"/>
      <c r="J13" s="157"/>
      <c r="K13" s="156"/>
      <c r="L13" s="156"/>
      <c r="M13" s="156"/>
      <c r="N13" s="155"/>
      <c r="O13" s="155"/>
      <c r="P13" s="155"/>
      <c r="Q13" s="155"/>
      <c r="R13" s="155"/>
      <c r="S13" s="155"/>
      <c r="T13" s="155"/>
      <c r="U13" s="155"/>
      <c r="V13" s="155"/>
      <c r="W13" s="551"/>
      <c r="Y13" s="152"/>
      <c r="AA13" s="152"/>
      <c r="AC13" s="152"/>
      <c r="AE13" s="152"/>
    </row>
    <row r="14" spans="2:31" s="171" customFormat="1" ht="21" customHeight="1" thickBot="1">
      <c r="B14" s="644"/>
      <c r="C14" s="632" t="s">
        <v>474</v>
      </c>
      <c r="D14" s="632"/>
      <c r="E14" s="632"/>
      <c r="F14" s="632"/>
      <c r="G14" s="632"/>
      <c r="H14" s="633"/>
      <c r="I14" s="646" t="s">
        <v>475</v>
      </c>
      <c r="J14" s="634"/>
      <c r="K14" s="634"/>
      <c r="L14" s="634"/>
      <c r="M14" s="647"/>
      <c r="N14" s="632" t="s">
        <v>476</v>
      </c>
      <c r="O14" s="632"/>
      <c r="P14" s="632"/>
      <c r="Q14" s="632"/>
      <c r="R14" s="632"/>
      <c r="S14" s="632"/>
      <c r="T14" s="632"/>
      <c r="U14" s="632"/>
      <c r="V14" s="632"/>
      <c r="W14" s="648"/>
      <c r="Y14" s="479"/>
      <c r="AA14" s="479"/>
      <c r="AC14" s="479"/>
      <c r="AE14" s="479"/>
    </row>
    <row r="15" spans="2:31" s="186" customFormat="1" ht="19.5" customHeight="1" thickBot="1">
      <c r="B15" s="554">
        <v>2</v>
      </c>
      <c r="C15" s="728" t="s">
        <v>134</v>
      </c>
      <c r="D15" s="187"/>
      <c r="E15" s="187"/>
      <c r="F15" s="293" t="s">
        <v>127</v>
      </c>
      <c r="G15" s="188"/>
      <c r="H15" s="385"/>
      <c r="I15" s="679" t="s">
        <v>132</v>
      </c>
      <c r="J15" s="247"/>
      <c r="K15" s="247"/>
      <c r="L15" s="247"/>
      <c r="M15" s="248"/>
      <c r="N15" s="643" t="s">
        <v>133</v>
      </c>
      <c r="O15" s="640"/>
      <c r="P15" s="640"/>
      <c r="Q15" s="640"/>
      <c r="R15" s="640"/>
      <c r="S15" s="640"/>
      <c r="T15" s="640"/>
      <c r="U15" s="640"/>
      <c r="V15" s="640"/>
      <c r="W15" s="641"/>
      <c r="Y15" s="154"/>
      <c r="AA15" s="154"/>
      <c r="AC15" s="154"/>
      <c r="AE15" s="154"/>
    </row>
    <row r="16" spans="2:31" s="186" customFormat="1" ht="20.100000000000001" customHeight="1">
      <c r="B16" s="556"/>
      <c r="C16" s="729" t="s">
        <v>486</v>
      </c>
      <c r="D16" s="180"/>
      <c r="E16" s="180"/>
      <c r="F16" s="294" t="s">
        <v>127</v>
      </c>
      <c r="G16" s="181"/>
      <c r="H16" s="386"/>
      <c r="I16" s="680" t="s">
        <v>132</v>
      </c>
      <c r="J16" s="216"/>
      <c r="K16" s="216"/>
      <c r="L16" s="216"/>
      <c r="M16" s="217"/>
      <c r="N16" s="905"/>
      <c r="O16" s="906"/>
      <c r="P16" s="906"/>
      <c r="Q16" s="906"/>
      <c r="R16" s="906"/>
      <c r="S16" s="906"/>
      <c r="T16" s="906"/>
      <c r="U16" s="906"/>
      <c r="V16" s="906"/>
      <c r="W16" s="907"/>
      <c r="Y16" s="154"/>
      <c r="AA16" s="154"/>
      <c r="AC16" s="154"/>
      <c r="AE16" s="154"/>
    </row>
    <row r="17" spans="2:32" s="151" customFormat="1" ht="20.100000000000001" customHeight="1">
      <c r="B17" s="556"/>
      <c r="C17" s="729" t="s">
        <v>487</v>
      </c>
      <c r="D17" s="180"/>
      <c r="E17" s="180"/>
      <c r="F17" s="294" t="s">
        <v>130</v>
      </c>
      <c r="G17" s="181"/>
      <c r="H17" s="387"/>
      <c r="I17" s="280" t="s">
        <v>126</v>
      </c>
      <c r="J17" s="182"/>
      <c r="K17" s="795"/>
      <c r="L17" s="796"/>
      <c r="M17" s="797"/>
      <c r="N17" s="908"/>
      <c r="O17" s="909"/>
      <c r="P17" s="909"/>
      <c r="Q17" s="909"/>
      <c r="R17" s="909"/>
      <c r="S17" s="909"/>
      <c r="T17" s="909"/>
      <c r="U17" s="909"/>
      <c r="V17" s="909"/>
      <c r="W17" s="910"/>
    </row>
    <row r="18" spans="2:32" s="151" customFormat="1" ht="20.100000000000001" customHeight="1">
      <c r="B18" s="556"/>
      <c r="C18" s="729" t="s">
        <v>337</v>
      </c>
      <c r="D18" s="180"/>
      <c r="E18" s="180"/>
      <c r="F18" s="294" t="s">
        <v>130</v>
      </c>
      <c r="G18" s="181"/>
      <c r="H18" s="387"/>
      <c r="I18" s="280" t="s">
        <v>126</v>
      </c>
      <c r="J18" s="182"/>
      <c r="K18" s="795"/>
      <c r="L18" s="796"/>
      <c r="M18" s="797"/>
      <c r="N18" s="911"/>
      <c r="O18" s="909"/>
      <c r="P18" s="909"/>
      <c r="Q18" s="909"/>
      <c r="R18" s="909"/>
      <c r="S18" s="909"/>
      <c r="T18" s="909"/>
      <c r="U18" s="909"/>
      <c r="V18" s="909"/>
      <c r="W18" s="910"/>
    </row>
    <row r="19" spans="2:32" s="151" customFormat="1" ht="20.100000000000001" customHeight="1">
      <c r="B19" s="556"/>
      <c r="C19" s="729" t="s">
        <v>131</v>
      </c>
      <c r="D19" s="180"/>
      <c r="E19" s="180"/>
      <c r="F19" s="294" t="s">
        <v>130</v>
      </c>
      <c r="G19" s="181"/>
      <c r="H19" s="387"/>
      <c r="I19" s="280" t="s">
        <v>126</v>
      </c>
      <c r="J19" s="182"/>
      <c r="K19" s="795"/>
      <c r="L19" s="796"/>
      <c r="M19" s="797"/>
      <c r="N19" s="911"/>
      <c r="O19" s="909"/>
      <c r="P19" s="909"/>
      <c r="Q19" s="909"/>
      <c r="R19" s="909"/>
      <c r="S19" s="909"/>
      <c r="T19" s="909"/>
      <c r="U19" s="909"/>
      <c r="V19" s="909"/>
      <c r="W19" s="910"/>
    </row>
    <row r="20" spans="2:32" s="151" customFormat="1" ht="20.100000000000001" customHeight="1">
      <c r="B20" s="556"/>
      <c r="C20" s="729" t="s">
        <v>472</v>
      </c>
      <c r="D20" s="180"/>
      <c r="E20" s="180"/>
      <c r="F20" s="294" t="s">
        <v>130</v>
      </c>
      <c r="G20" s="181"/>
      <c r="H20" s="387"/>
      <c r="I20" s="280" t="s">
        <v>126</v>
      </c>
      <c r="J20" s="182"/>
      <c r="K20" s="795"/>
      <c r="L20" s="796"/>
      <c r="M20" s="797"/>
      <c r="N20" s="911"/>
      <c r="O20" s="909"/>
      <c r="P20" s="909"/>
      <c r="Q20" s="909"/>
      <c r="R20" s="909"/>
      <c r="S20" s="909"/>
      <c r="T20" s="909"/>
      <c r="U20" s="909"/>
      <c r="V20" s="909"/>
      <c r="W20" s="910"/>
    </row>
    <row r="21" spans="2:32" s="151" customFormat="1" ht="20.100000000000001" customHeight="1">
      <c r="B21" s="556"/>
      <c r="C21" s="729" t="s">
        <v>129</v>
      </c>
      <c r="D21" s="180"/>
      <c r="E21" s="180"/>
      <c r="F21" s="294" t="s">
        <v>128</v>
      </c>
      <c r="G21" s="181"/>
      <c r="H21" s="387"/>
      <c r="I21" s="280" t="s">
        <v>492</v>
      </c>
      <c r="J21" s="182"/>
      <c r="K21" s="795"/>
      <c r="L21" s="796"/>
      <c r="M21" s="797"/>
      <c r="N21" s="911"/>
      <c r="O21" s="909"/>
      <c r="P21" s="909"/>
      <c r="Q21" s="909"/>
      <c r="R21" s="909"/>
      <c r="S21" s="909"/>
      <c r="T21" s="909"/>
      <c r="U21" s="909"/>
      <c r="V21" s="909"/>
      <c r="W21" s="910"/>
    </row>
    <row r="22" spans="2:32" s="151" customFormat="1" ht="20.100000000000001" customHeight="1" thickBot="1">
      <c r="B22" s="556"/>
      <c r="C22" s="730" t="s">
        <v>340</v>
      </c>
      <c r="D22" s="897"/>
      <c r="E22" s="898"/>
      <c r="F22" s="899"/>
      <c r="G22" s="900"/>
      <c r="H22" s="649"/>
      <c r="I22" s="681" t="s">
        <v>126</v>
      </c>
      <c r="J22" s="650"/>
      <c r="K22" s="901"/>
      <c r="L22" s="902"/>
      <c r="M22" s="903"/>
      <c r="N22" s="911"/>
      <c r="O22" s="909"/>
      <c r="P22" s="909"/>
      <c r="Q22" s="909"/>
      <c r="R22" s="909"/>
      <c r="S22" s="909"/>
      <c r="T22" s="909"/>
      <c r="U22" s="909"/>
      <c r="V22" s="909"/>
      <c r="W22" s="910"/>
    </row>
    <row r="23" spans="2:32" s="474" customFormat="1" ht="20.100000000000001" customHeight="1" thickTop="1" thickBot="1">
      <c r="B23" s="662" t="s">
        <v>477</v>
      </c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4"/>
      <c r="AD23" s="475"/>
      <c r="AE23" s="475"/>
      <c r="AF23" s="475"/>
    </row>
    <row r="24" spans="2:32" s="212" customFormat="1" ht="4.5" customHeight="1" thickTop="1">
      <c r="B24" s="665"/>
      <c r="C24" s="211"/>
      <c r="D24" s="211"/>
      <c r="E24" s="394"/>
      <c r="F24" s="211"/>
      <c r="G24" s="211"/>
      <c r="H24" s="394"/>
      <c r="I24" s="215"/>
      <c r="J24" s="219"/>
      <c r="K24" s="215"/>
      <c r="L24" s="215"/>
      <c r="M24" s="394"/>
      <c r="N24" s="904" t="s">
        <v>372</v>
      </c>
      <c r="O24" s="808"/>
      <c r="P24" s="808"/>
      <c r="Q24" s="808"/>
      <c r="R24" s="808"/>
      <c r="S24" s="808"/>
      <c r="T24" s="808"/>
      <c r="U24" s="808"/>
      <c r="V24" s="808"/>
      <c r="W24" s="809"/>
    </row>
    <row r="25" spans="2:32" s="688" customFormat="1" ht="19.5" customHeight="1">
      <c r="B25" s="683">
        <v>3</v>
      </c>
      <c r="C25" s="684" t="s">
        <v>362</v>
      </c>
      <c r="D25" s="684"/>
      <c r="E25" s="685"/>
      <c r="F25" s="684" t="s">
        <v>122</v>
      </c>
      <c r="G25" s="684"/>
      <c r="H25" s="685"/>
      <c r="I25" s="684" t="s">
        <v>125</v>
      </c>
      <c r="J25" s="684"/>
      <c r="K25" s="684"/>
      <c r="L25" s="686"/>
      <c r="M25" s="687"/>
      <c r="N25" s="808"/>
      <c r="O25" s="808"/>
      <c r="P25" s="808"/>
      <c r="Q25" s="808"/>
      <c r="R25" s="808"/>
      <c r="S25" s="808"/>
      <c r="T25" s="808"/>
      <c r="U25" s="808"/>
      <c r="V25" s="808"/>
      <c r="W25" s="809"/>
    </row>
    <row r="26" spans="2:32" s="213" customFormat="1" ht="4.5" customHeight="1">
      <c r="B26" s="562"/>
      <c r="C26" s="462"/>
      <c r="D26" s="251"/>
      <c r="E26" s="383"/>
      <c r="F26" s="251"/>
      <c r="G26" s="251"/>
      <c r="H26" s="383"/>
      <c r="I26" s="251"/>
      <c r="J26" s="251"/>
      <c r="K26" s="251"/>
      <c r="L26" s="251"/>
      <c r="M26" s="383"/>
      <c r="N26" s="810"/>
      <c r="O26" s="810"/>
      <c r="P26" s="810"/>
      <c r="Q26" s="810"/>
      <c r="R26" s="810"/>
      <c r="S26" s="810"/>
      <c r="T26" s="810"/>
      <c r="U26" s="810"/>
      <c r="V26" s="810"/>
      <c r="W26" s="811"/>
    </row>
    <row r="27" spans="2:32" s="213" customFormat="1" ht="4.5" customHeight="1">
      <c r="B27" s="562"/>
      <c r="C27" s="214"/>
      <c r="D27" s="214"/>
      <c r="E27" s="461"/>
      <c r="F27" s="214"/>
      <c r="G27" s="214"/>
      <c r="H27" s="461"/>
      <c r="I27" s="214"/>
      <c r="J27" s="214"/>
      <c r="K27" s="214"/>
      <c r="L27" s="214"/>
      <c r="M27" s="461"/>
      <c r="N27" s="756"/>
      <c r="O27" s="756"/>
      <c r="P27" s="756"/>
      <c r="Q27" s="756"/>
      <c r="R27" s="756"/>
      <c r="S27" s="756"/>
      <c r="T27" s="756"/>
      <c r="U27" s="756"/>
      <c r="V27" s="756"/>
      <c r="W27" s="757"/>
    </row>
    <row r="28" spans="2:32" s="688" customFormat="1" ht="19.5" customHeight="1">
      <c r="B28" s="562"/>
      <c r="C28" s="684" t="s">
        <v>449</v>
      </c>
      <c r="D28" s="684"/>
      <c r="E28" s="685"/>
      <c r="F28" s="684" t="s">
        <v>116</v>
      </c>
      <c r="G28" s="684"/>
      <c r="H28" s="685"/>
      <c r="I28" s="684" t="s">
        <v>156</v>
      </c>
      <c r="J28" s="684"/>
      <c r="K28" s="684"/>
      <c r="L28" s="684"/>
      <c r="M28" s="685"/>
      <c r="N28" s="684" t="s">
        <v>157</v>
      </c>
      <c r="O28" s="684"/>
      <c r="P28" s="684"/>
      <c r="Q28" s="685"/>
      <c r="R28" s="684" t="s">
        <v>112</v>
      </c>
      <c r="S28" s="684"/>
      <c r="T28" s="755" t="s">
        <v>447</v>
      </c>
      <c r="U28" s="689"/>
      <c r="V28" s="690" t="s">
        <v>448</v>
      </c>
      <c r="W28" s="691"/>
    </row>
    <row r="29" spans="2:32" s="688" customFormat="1" ht="4.5" customHeight="1">
      <c r="B29" s="562"/>
      <c r="C29" s="692"/>
      <c r="D29" s="693"/>
      <c r="E29" s="694"/>
      <c r="F29" s="693"/>
      <c r="G29" s="693"/>
      <c r="H29" s="694"/>
      <c r="I29" s="693"/>
      <c r="J29" s="693"/>
      <c r="K29" s="693"/>
      <c r="L29" s="693"/>
      <c r="M29" s="694"/>
      <c r="N29" s="693"/>
      <c r="O29" s="693"/>
      <c r="P29" s="693"/>
      <c r="Q29" s="695"/>
      <c r="R29" s="695"/>
      <c r="S29" s="693"/>
      <c r="T29" s="693"/>
      <c r="U29" s="693"/>
      <c r="V29" s="693"/>
      <c r="W29" s="696"/>
    </row>
    <row r="30" spans="2:32" s="688" customFormat="1" ht="4.5" customHeight="1">
      <c r="B30" s="562"/>
      <c r="C30" s="684"/>
      <c r="D30" s="684"/>
      <c r="E30" s="695"/>
      <c r="F30" s="684"/>
      <c r="G30" s="684"/>
      <c r="H30" s="695"/>
      <c r="I30" s="684"/>
      <c r="J30" s="684"/>
      <c r="K30" s="684"/>
      <c r="L30" s="684"/>
      <c r="M30" s="695"/>
      <c r="N30" s="684"/>
      <c r="O30" s="684"/>
      <c r="P30" s="684"/>
      <c r="Q30" s="697"/>
      <c r="R30" s="697"/>
      <c r="S30" s="684"/>
      <c r="T30" s="684"/>
      <c r="U30" s="684"/>
      <c r="V30" s="684"/>
      <c r="W30" s="698"/>
    </row>
    <row r="31" spans="2:32" s="688" customFormat="1" ht="19.5" customHeight="1">
      <c r="B31" s="562"/>
      <c r="C31" s="684" t="s">
        <v>363</v>
      </c>
      <c r="D31" s="684"/>
      <c r="E31" s="685"/>
      <c r="F31" s="684" t="s">
        <v>158</v>
      </c>
      <c r="G31" s="684"/>
      <c r="H31" s="685"/>
      <c r="I31" s="684" t="s">
        <v>121</v>
      </c>
      <c r="J31" s="684"/>
      <c r="K31" s="699"/>
      <c r="L31" s="699"/>
      <c r="M31" s="685"/>
      <c r="N31" s="684" t="s">
        <v>120</v>
      </c>
      <c r="O31" s="684"/>
      <c r="P31" s="684"/>
      <c r="Q31" s="685"/>
      <c r="R31" s="684" t="s">
        <v>119</v>
      </c>
      <c r="S31" s="684"/>
      <c r="T31" s="684"/>
      <c r="U31" s="685"/>
      <c r="V31" s="684" t="s">
        <v>341</v>
      </c>
      <c r="W31" s="698"/>
    </row>
    <row r="32" spans="2:32" s="688" customFormat="1" ht="4.5" customHeight="1">
      <c r="B32" s="562"/>
      <c r="C32" s="692"/>
      <c r="D32" s="693"/>
      <c r="E32" s="694"/>
      <c r="F32" s="693"/>
      <c r="G32" s="693"/>
      <c r="H32" s="694"/>
      <c r="I32" s="693"/>
      <c r="J32" s="693"/>
      <c r="K32" s="693"/>
      <c r="L32" s="693"/>
      <c r="M32" s="694"/>
      <c r="N32" s="693"/>
      <c r="O32" s="693"/>
      <c r="P32" s="693"/>
      <c r="Q32" s="693"/>
      <c r="R32" s="695"/>
      <c r="S32" s="693"/>
      <c r="T32" s="693"/>
      <c r="U32" s="693"/>
      <c r="V32" s="693"/>
      <c r="W32" s="696"/>
    </row>
    <row r="33" spans="2:23" s="688" customFormat="1" ht="4.5" customHeight="1">
      <c r="B33" s="562"/>
      <c r="C33" s="684"/>
      <c r="D33" s="684"/>
      <c r="E33" s="695"/>
      <c r="F33" s="684"/>
      <c r="G33" s="684"/>
      <c r="H33" s="695"/>
      <c r="I33" s="684"/>
      <c r="J33" s="684"/>
      <c r="K33" s="684"/>
      <c r="L33" s="684"/>
      <c r="M33" s="697"/>
      <c r="N33" s="684"/>
      <c r="O33" s="684"/>
      <c r="P33" s="684"/>
      <c r="Q33" s="684"/>
      <c r="R33" s="697"/>
      <c r="S33" s="684"/>
      <c r="T33" s="684"/>
      <c r="U33" s="684"/>
      <c r="V33" s="684"/>
      <c r="W33" s="698"/>
    </row>
    <row r="34" spans="2:23" s="688" customFormat="1" ht="19.5" customHeight="1">
      <c r="B34" s="562"/>
      <c r="C34" s="684" t="s">
        <v>364</v>
      </c>
      <c r="D34" s="684"/>
      <c r="E34" s="685"/>
      <c r="F34" s="684" t="s">
        <v>113</v>
      </c>
      <c r="G34" s="684"/>
      <c r="H34" s="685"/>
      <c r="I34" s="684" t="s">
        <v>159</v>
      </c>
      <c r="J34" s="684"/>
      <c r="K34" s="699"/>
      <c r="L34" s="699"/>
      <c r="M34" s="685"/>
      <c r="N34" s="684" t="s">
        <v>452</v>
      </c>
      <c r="O34" s="684"/>
      <c r="P34" s="684"/>
      <c r="Q34" s="684"/>
      <c r="R34" s="684"/>
      <c r="S34" s="684"/>
      <c r="T34" s="684"/>
      <c r="U34" s="684"/>
      <c r="V34" s="684"/>
      <c r="W34" s="698"/>
    </row>
    <row r="35" spans="2:23" s="213" customFormat="1" ht="4.5" customHeight="1">
      <c r="B35" s="562"/>
      <c r="C35" s="462"/>
      <c r="D35" s="251"/>
      <c r="E35" s="383"/>
      <c r="F35" s="251"/>
      <c r="G35" s="251"/>
      <c r="H35" s="383"/>
      <c r="I35" s="251"/>
      <c r="J35" s="251"/>
      <c r="K35" s="251"/>
      <c r="L35" s="251"/>
      <c r="M35" s="461"/>
      <c r="N35" s="251"/>
      <c r="O35" s="251"/>
      <c r="P35" s="251"/>
      <c r="Q35" s="251"/>
      <c r="R35" s="461"/>
      <c r="S35" s="251"/>
      <c r="T35" s="251"/>
      <c r="U35" s="251"/>
      <c r="V35" s="251"/>
      <c r="W35" s="564"/>
    </row>
    <row r="36" spans="2:23" s="213" customFormat="1" ht="4.5" customHeight="1">
      <c r="B36" s="562"/>
      <c r="C36" s="214"/>
      <c r="D36" s="214"/>
      <c r="E36" s="461"/>
      <c r="F36" s="214"/>
      <c r="G36" s="214"/>
      <c r="H36" s="461"/>
      <c r="I36" s="214"/>
      <c r="J36" s="214"/>
      <c r="K36" s="214"/>
      <c r="L36" s="214"/>
      <c r="M36" s="225"/>
      <c r="N36" s="214"/>
      <c r="O36" s="214"/>
      <c r="P36" s="214"/>
      <c r="Q36" s="214"/>
      <c r="R36" s="225"/>
      <c r="S36" s="214"/>
      <c r="T36" s="214"/>
      <c r="U36" s="214"/>
      <c r="V36" s="214"/>
      <c r="W36" s="565"/>
    </row>
    <row r="37" spans="2:23" s="688" customFormat="1" ht="19.5" customHeight="1">
      <c r="B37" s="562"/>
      <c r="C37" s="684" t="s">
        <v>365</v>
      </c>
      <c r="D37" s="700"/>
      <c r="E37" s="685"/>
      <c r="F37" s="684" t="s">
        <v>124</v>
      </c>
      <c r="H37" s="701">
        <v>2</v>
      </c>
      <c r="I37" s="702" t="s">
        <v>481</v>
      </c>
      <c r="J37" s="703"/>
      <c r="K37" s="704"/>
      <c r="L37" s="812">
        <f>Sheet1!J1</f>
        <v>0</v>
      </c>
      <c r="M37" s="813"/>
      <c r="N37" s="488" t="e">
        <f>VLOOKUP(L37,Sheet1!K1:L1,2,FALSE)</f>
        <v>#N/A</v>
      </c>
      <c r="O37" s="684"/>
      <c r="P37" s="705"/>
      <c r="Q37" s="684"/>
      <c r="R37" s="684"/>
      <c r="S37" s="684"/>
      <c r="T37" s="684"/>
      <c r="U37" s="684"/>
      <c r="V37" s="706"/>
      <c r="W37" s="707"/>
    </row>
    <row r="38" spans="2:23" s="213" customFormat="1" ht="4.5" customHeight="1">
      <c r="B38" s="562"/>
      <c r="C38" s="462"/>
      <c r="D38" s="251"/>
      <c r="E38" s="383"/>
      <c r="F38" s="251"/>
      <c r="G38" s="251"/>
      <c r="H38" s="383"/>
      <c r="I38" s="251"/>
      <c r="J38" s="251"/>
      <c r="K38" s="464"/>
      <c r="L38" s="464"/>
      <c r="M38" s="464"/>
      <c r="N38" s="251"/>
      <c r="O38" s="251"/>
      <c r="P38" s="251"/>
      <c r="Q38" s="251"/>
      <c r="R38" s="461"/>
      <c r="S38" s="251"/>
      <c r="T38" s="251"/>
      <c r="U38" s="251"/>
      <c r="V38" s="251"/>
      <c r="W38" s="564"/>
    </row>
    <row r="39" spans="2:23" s="213" customFormat="1" ht="4.5" customHeight="1">
      <c r="B39" s="562"/>
      <c r="C39" s="214"/>
      <c r="D39" s="214"/>
      <c r="E39" s="461"/>
      <c r="F39" s="214"/>
      <c r="G39" s="214"/>
      <c r="H39" s="461"/>
      <c r="I39" s="214"/>
      <c r="J39" s="214"/>
      <c r="K39" s="227"/>
      <c r="L39" s="227"/>
      <c r="M39" s="227"/>
      <c r="N39" s="214"/>
      <c r="O39" s="214"/>
      <c r="P39" s="214"/>
      <c r="Q39" s="214"/>
      <c r="R39" s="225"/>
      <c r="S39" s="214"/>
      <c r="T39" s="214"/>
      <c r="U39" s="214"/>
      <c r="V39" s="214"/>
      <c r="W39" s="565"/>
    </row>
    <row r="40" spans="2:23" s="688" customFormat="1" ht="19.5" customHeight="1">
      <c r="B40" s="562"/>
      <c r="C40" s="684" t="s">
        <v>366</v>
      </c>
      <c r="D40" s="684"/>
      <c r="E40" s="685"/>
      <c r="F40" s="684" t="s">
        <v>123</v>
      </c>
      <c r="G40" s="684"/>
      <c r="H40" s="685"/>
      <c r="I40" s="702" t="s">
        <v>482</v>
      </c>
      <c r="J40" s="708"/>
      <c r="K40" s="532"/>
      <c r="L40" s="533"/>
      <c r="M40" s="709"/>
      <c r="N40" s="833"/>
      <c r="O40" s="816"/>
      <c r="P40" s="710"/>
      <c r="Q40" s="685"/>
      <c r="R40" s="214" t="s">
        <v>491</v>
      </c>
      <c r="S40" s="684"/>
      <c r="T40" s="684"/>
      <c r="U40" s="684"/>
      <c r="V40" s="489"/>
      <c r="W40" s="711"/>
    </row>
    <row r="41" spans="2:23" s="213" customFormat="1" ht="4.5" customHeight="1">
      <c r="B41" s="562"/>
      <c r="C41" s="462"/>
      <c r="D41" s="251"/>
      <c r="E41" s="383"/>
      <c r="F41" s="251"/>
      <c r="G41" s="251"/>
      <c r="H41" s="383"/>
      <c r="I41" s="251"/>
      <c r="J41" s="251"/>
      <c r="K41" s="464"/>
      <c r="L41" s="464"/>
      <c r="M41" s="464"/>
      <c r="N41" s="251"/>
      <c r="O41" s="251"/>
      <c r="P41" s="251"/>
      <c r="Q41" s="251"/>
      <c r="R41" s="461"/>
      <c r="S41" s="251"/>
      <c r="T41" s="251"/>
      <c r="U41" s="251"/>
      <c r="V41" s="251"/>
      <c r="W41" s="564"/>
    </row>
    <row r="42" spans="2:23" s="213" customFormat="1" ht="4.5" customHeight="1">
      <c r="B42" s="562"/>
      <c r="C42" s="214"/>
      <c r="D42" s="214"/>
      <c r="E42" s="461"/>
      <c r="F42" s="214"/>
      <c r="G42" s="214"/>
      <c r="H42" s="461"/>
      <c r="I42" s="214"/>
      <c r="J42" s="214"/>
      <c r="K42" s="227"/>
      <c r="L42" s="227"/>
      <c r="M42" s="227"/>
      <c r="N42" s="214"/>
      <c r="O42" s="214"/>
      <c r="P42" s="214"/>
      <c r="Q42" s="214"/>
      <c r="R42" s="225"/>
      <c r="S42" s="214"/>
      <c r="T42" s="214"/>
      <c r="U42" s="214"/>
      <c r="V42" s="214"/>
      <c r="W42" s="565"/>
    </row>
    <row r="43" spans="2:23" s="688" customFormat="1" ht="19.5" customHeight="1">
      <c r="B43" s="562"/>
      <c r="C43" s="682" t="s">
        <v>367</v>
      </c>
      <c r="D43" s="684"/>
      <c r="E43" s="685"/>
      <c r="F43" s="684" t="s">
        <v>114</v>
      </c>
      <c r="G43" s="684"/>
      <c r="H43" s="685"/>
      <c r="I43" s="702" t="s">
        <v>483</v>
      </c>
      <c r="J43" s="693"/>
      <c r="K43" s="814"/>
      <c r="L43" s="815"/>
      <c r="M43" s="816"/>
      <c r="N43" s="712"/>
      <c r="O43" s="705"/>
      <c r="P43" s="705"/>
      <c r="Q43" s="705"/>
      <c r="R43" s="684"/>
      <c r="S43" s="684"/>
      <c r="T43" s="684"/>
      <c r="U43" s="684"/>
      <c r="W43" s="698"/>
    </row>
    <row r="44" spans="2:23" s="213" customFormat="1" ht="4.5" customHeight="1">
      <c r="B44" s="562"/>
      <c r="C44" s="462"/>
      <c r="D44" s="251"/>
      <c r="E44" s="383"/>
      <c r="F44" s="251"/>
      <c r="G44" s="251"/>
      <c r="H44" s="383"/>
      <c r="I44" s="251"/>
      <c r="J44" s="251"/>
      <c r="K44" s="251"/>
      <c r="L44" s="251"/>
      <c r="M44" s="461"/>
      <c r="N44" s="251"/>
      <c r="O44" s="251"/>
      <c r="P44" s="251"/>
      <c r="Q44" s="251"/>
      <c r="R44" s="461"/>
      <c r="S44" s="251"/>
      <c r="T44" s="251"/>
      <c r="U44" s="251"/>
      <c r="V44" s="251"/>
      <c r="W44" s="564"/>
    </row>
    <row r="45" spans="2:23" s="213" customFormat="1" ht="4.5" customHeight="1">
      <c r="B45" s="562"/>
      <c r="C45" s="214"/>
      <c r="D45" s="214"/>
      <c r="E45" s="225"/>
      <c r="F45" s="214"/>
      <c r="G45" s="214"/>
      <c r="H45" s="225"/>
      <c r="I45" s="214"/>
      <c r="J45" s="214"/>
      <c r="K45" s="214"/>
      <c r="L45" s="214"/>
      <c r="M45" s="225"/>
      <c r="N45" s="214"/>
      <c r="O45" s="214"/>
      <c r="P45" s="214"/>
      <c r="Q45" s="214"/>
      <c r="R45" s="225"/>
      <c r="S45" s="214"/>
      <c r="T45" s="214"/>
      <c r="U45" s="214"/>
      <c r="V45" s="214"/>
      <c r="W45" s="565"/>
    </row>
    <row r="46" spans="2:23" s="213" customFormat="1" ht="19.5" customHeight="1">
      <c r="B46" s="562"/>
      <c r="C46" s="214" t="s">
        <v>368</v>
      </c>
      <c r="D46" s="214"/>
      <c r="E46" s="227" t="s">
        <v>118</v>
      </c>
      <c r="F46" s="758"/>
      <c r="G46" s="214"/>
      <c r="H46" s="227" t="s">
        <v>117</v>
      </c>
      <c r="I46" s="420"/>
      <c r="J46" s="214"/>
      <c r="K46" s="398"/>
      <c r="L46" s="398" t="s">
        <v>115</v>
      </c>
      <c r="M46" s="842"/>
      <c r="N46" s="843"/>
      <c r="O46" s="218"/>
      <c r="P46" s="218"/>
      <c r="Q46" s="218"/>
      <c r="R46" s="214"/>
      <c r="S46" s="214"/>
      <c r="T46" s="214"/>
      <c r="U46" s="214"/>
      <c r="V46" s="214"/>
      <c r="W46" s="568"/>
    </row>
    <row r="47" spans="2:23" s="213" customFormat="1" ht="4.5" customHeight="1">
      <c r="B47" s="562"/>
      <c r="C47" s="462"/>
      <c r="D47" s="251"/>
      <c r="E47" s="461"/>
      <c r="F47" s="251"/>
      <c r="G47" s="251"/>
      <c r="H47" s="461"/>
      <c r="I47" s="251"/>
      <c r="J47" s="251"/>
      <c r="K47" s="251"/>
      <c r="L47" s="251"/>
      <c r="M47" s="461"/>
      <c r="N47" s="251"/>
      <c r="O47" s="251"/>
      <c r="P47" s="251"/>
      <c r="Q47" s="251"/>
      <c r="R47" s="461"/>
      <c r="S47" s="251"/>
      <c r="T47" s="251"/>
      <c r="U47" s="251"/>
      <c r="V47" s="251"/>
      <c r="W47" s="564"/>
    </row>
    <row r="48" spans="2:23" s="213" customFormat="1" ht="4.5" customHeight="1">
      <c r="B48" s="562"/>
      <c r="C48" s="214"/>
      <c r="D48" s="214"/>
      <c r="E48" s="225"/>
      <c r="F48" s="214"/>
      <c r="G48" s="214"/>
      <c r="H48" s="225"/>
      <c r="I48" s="214"/>
      <c r="J48" s="214"/>
      <c r="K48" s="214"/>
      <c r="L48" s="214"/>
      <c r="M48" s="225"/>
      <c r="N48" s="214"/>
      <c r="O48" s="214"/>
      <c r="P48" s="214"/>
      <c r="Q48" s="214"/>
      <c r="R48" s="225"/>
      <c r="S48" s="214"/>
      <c r="T48" s="214"/>
      <c r="U48" s="214"/>
      <c r="V48" s="214"/>
      <c r="W48" s="565"/>
    </row>
    <row r="49" spans="2:32" s="688" customFormat="1" ht="15.6">
      <c r="B49" s="562"/>
      <c r="C49" s="713" t="s">
        <v>488</v>
      </c>
      <c r="D49" s="684"/>
      <c r="E49" s="684"/>
      <c r="F49" s="684"/>
      <c r="G49" s="684"/>
      <c r="H49" s="684"/>
      <c r="I49" s="684"/>
      <c r="J49" s="684"/>
      <c r="K49" s="699"/>
      <c r="L49" s="699"/>
      <c r="M49" s="699"/>
      <c r="N49" s="684"/>
      <c r="O49" s="705"/>
      <c r="P49" s="705"/>
      <c r="Q49" s="705"/>
      <c r="R49" s="684"/>
      <c r="S49" s="684"/>
      <c r="T49" s="684"/>
      <c r="U49" s="684"/>
      <c r="V49" s="684"/>
      <c r="W49" s="714"/>
    </row>
    <row r="50" spans="2:32" s="688" customFormat="1" ht="19.5" customHeight="1">
      <c r="B50" s="562"/>
      <c r="C50" s="715" t="s">
        <v>489</v>
      </c>
      <c r="D50" s="684"/>
      <c r="E50" s="684"/>
      <c r="F50" s="684"/>
      <c r="G50" s="684"/>
      <c r="H50" s="684"/>
      <c r="I50" s="684"/>
      <c r="J50" s="684"/>
      <c r="K50" s="699"/>
      <c r="L50" s="699"/>
      <c r="M50" s="699"/>
      <c r="N50" s="684"/>
      <c r="O50" s="705"/>
      <c r="P50" s="705"/>
      <c r="Q50" s="705"/>
      <c r="R50" s="684"/>
      <c r="S50" s="684"/>
      <c r="T50" s="684"/>
      <c r="U50" s="684"/>
      <c r="V50" s="684"/>
      <c r="W50" s="714"/>
    </row>
    <row r="51" spans="2:32" s="718" customFormat="1" ht="19.5" customHeight="1">
      <c r="B51" s="569"/>
      <c r="C51" s="684"/>
      <c r="D51" s="706" t="s">
        <v>160</v>
      </c>
      <c r="E51" s="798"/>
      <c r="F51" s="799"/>
      <c r="G51" s="894" t="e">
        <f>VLOOKUP(E51,Sheet1!I153:J414,2,FALSE)</f>
        <v>#N/A</v>
      </c>
      <c r="H51" s="895"/>
      <c r="I51" s="895"/>
      <c r="J51" s="895"/>
      <c r="K51" s="895"/>
      <c r="L51" s="895"/>
      <c r="M51" s="895"/>
      <c r="N51" s="684"/>
      <c r="O51" s="684"/>
      <c r="P51" s="684"/>
      <c r="Q51" s="684"/>
      <c r="R51" s="684"/>
      <c r="S51" s="684"/>
      <c r="T51" s="684"/>
      <c r="U51" s="684"/>
      <c r="V51" s="716">
        <v>0</v>
      </c>
      <c r="W51" s="717">
        <v>0</v>
      </c>
    </row>
    <row r="52" spans="2:32" s="213" customFormat="1" ht="4.5" customHeight="1" thickBot="1">
      <c r="B52" s="562"/>
      <c r="C52" s="214"/>
      <c r="D52" s="214"/>
      <c r="E52" s="225"/>
      <c r="F52" s="214"/>
      <c r="G52" s="214"/>
      <c r="H52" s="250"/>
      <c r="I52" s="214"/>
      <c r="J52" s="214"/>
      <c r="K52" s="214"/>
      <c r="L52" s="214"/>
      <c r="M52" s="250"/>
      <c r="N52" s="214"/>
      <c r="O52" s="214"/>
      <c r="P52" s="214"/>
      <c r="Q52" s="214"/>
      <c r="R52" s="225"/>
      <c r="S52" s="214"/>
      <c r="T52" s="214"/>
      <c r="U52" s="214"/>
      <c r="V52" s="214"/>
      <c r="W52" s="565"/>
    </row>
    <row r="53" spans="2:32" s="474" customFormat="1" ht="20.100000000000001" customHeight="1" thickTop="1" thickBot="1">
      <c r="B53" s="666"/>
      <c r="C53" s="663" t="s">
        <v>478</v>
      </c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4"/>
      <c r="AD53" s="475"/>
      <c r="AE53" s="475"/>
      <c r="AF53" s="475"/>
    </row>
    <row r="54" spans="2:32" s="688" customFormat="1" ht="15.75" customHeight="1" thickTop="1">
      <c r="B54" s="720" t="s">
        <v>111</v>
      </c>
      <c r="C54" s="713" t="s">
        <v>490</v>
      </c>
      <c r="D54" s="684"/>
      <c r="E54" s="684"/>
      <c r="F54" s="684"/>
      <c r="G54" s="684"/>
      <c r="H54" s="684"/>
      <c r="I54" s="684"/>
      <c r="J54" s="684"/>
      <c r="K54" s="684"/>
      <c r="L54" s="684"/>
      <c r="M54" s="684"/>
      <c r="N54" s="684"/>
      <c r="O54" s="684"/>
      <c r="P54" s="684"/>
      <c r="Q54" s="684"/>
      <c r="R54" s="684"/>
      <c r="S54" s="684"/>
      <c r="T54" s="684"/>
      <c r="U54" s="684"/>
      <c r="V54" s="684"/>
      <c r="W54" s="714"/>
    </row>
    <row r="55" spans="2:32" s="688" customFormat="1" ht="19.5" customHeight="1">
      <c r="B55" s="573"/>
      <c r="C55" s="715" t="s">
        <v>484</v>
      </c>
      <c r="D55" s="684"/>
      <c r="E55" s="684"/>
      <c r="F55" s="684"/>
      <c r="G55" s="684"/>
      <c r="H55" s="684"/>
      <c r="I55" s="684"/>
      <c r="J55" s="684"/>
      <c r="K55" s="684"/>
      <c r="L55" s="684"/>
      <c r="M55" s="684"/>
      <c r="N55" s="684"/>
      <c r="O55" s="684"/>
      <c r="P55" s="684"/>
      <c r="Q55" s="684"/>
      <c r="R55" s="684"/>
      <c r="S55" s="684"/>
      <c r="T55" s="684"/>
      <c r="U55" s="684"/>
      <c r="V55" s="684"/>
      <c r="W55" s="714"/>
    </row>
    <row r="56" spans="2:32" s="688" customFormat="1" ht="19.5" customHeight="1">
      <c r="B56" s="721" t="s">
        <v>109</v>
      </c>
      <c r="C56" s="706" t="s">
        <v>103</v>
      </c>
      <c r="D56" s="782"/>
      <c r="E56" s="783"/>
      <c r="F56" s="684"/>
      <c r="G56" s="706" t="s">
        <v>104</v>
      </c>
      <c r="H56" s="872"/>
      <c r="I56" s="896"/>
      <c r="J56" s="896"/>
      <c r="K56" s="896"/>
      <c r="L56" s="896"/>
      <c r="M56" s="896"/>
      <c r="N56" s="896"/>
      <c r="O56" s="896"/>
      <c r="P56" s="896"/>
      <c r="Q56" s="896"/>
      <c r="R56" s="896"/>
      <c r="S56" s="684"/>
      <c r="T56" s="684"/>
      <c r="U56" s="684"/>
      <c r="V56" s="684"/>
      <c r="W56" s="714"/>
    </row>
    <row r="57" spans="2:32" s="213" customFormat="1" ht="4.5" customHeight="1" thickBot="1">
      <c r="B57" s="575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568"/>
    </row>
    <row r="58" spans="2:32" s="151" customFormat="1" ht="15" customHeight="1" thickBot="1">
      <c r="B58" s="576"/>
      <c r="C58" s="226" t="s">
        <v>108</v>
      </c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577"/>
      <c r="AA58" s="152"/>
      <c r="AC58" s="152"/>
    </row>
    <row r="59" spans="2:32" s="292" customFormat="1" ht="26.25" customHeight="1" thickBot="1">
      <c r="B59" s="578"/>
      <c r="C59" s="283" t="s">
        <v>338</v>
      </c>
      <c r="D59" s="880" t="s">
        <v>339</v>
      </c>
      <c r="E59" s="881"/>
      <c r="F59" s="289" t="s">
        <v>101</v>
      </c>
      <c r="G59" s="289"/>
      <c r="H59" s="737" t="s">
        <v>100</v>
      </c>
      <c r="I59" s="738"/>
      <c r="J59" s="289" t="s">
        <v>162</v>
      </c>
      <c r="K59" s="288"/>
      <c r="L59" s="289"/>
      <c r="M59" s="739" t="s">
        <v>98</v>
      </c>
      <c r="N59" s="289"/>
      <c r="O59" s="289"/>
      <c r="P59" s="289"/>
      <c r="Q59" s="289"/>
      <c r="R59" s="740"/>
      <c r="S59" s="882" t="s">
        <v>163</v>
      </c>
      <c r="T59" s="883"/>
      <c r="U59" s="884" t="s">
        <v>97</v>
      </c>
      <c r="V59" s="830"/>
      <c r="W59" s="579"/>
      <c r="X59" s="290" t="s">
        <v>90</v>
      </c>
      <c r="Y59" s="291" t="s">
        <v>90</v>
      </c>
      <c r="AC59" s="291"/>
      <c r="AD59" s="291"/>
      <c r="AE59" s="291"/>
      <c r="AF59" s="292" t="s">
        <v>90</v>
      </c>
    </row>
    <row r="60" spans="2:32" s="390" customFormat="1" ht="19.5" customHeight="1">
      <c r="B60" s="580"/>
      <c r="C60" s="731"/>
      <c r="D60" s="885"/>
      <c r="E60" s="886"/>
      <c r="F60" s="887"/>
      <c r="G60" s="887"/>
      <c r="H60" s="888"/>
      <c r="I60" s="889"/>
      <c r="J60" s="887"/>
      <c r="K60" s="887"/>
      <c r="L60" s="887"/>
      <c r="M60" s="741" t="e">
        <f>VLOOKUP(H60,Sheet1!I$54:J$289,2,FALSE)</f>
        <v>#N/A</v>
      </c>
      <c r="N60" s="732"/>
      <c r="O60" s="732"/>
      <c r="P60" s="732"/>
      <c r="Q60" s="732"/>
      <c r="R60" s="742"/>
      <c r="S60" s="890" t="e">
        <f>SUM(U60/U$67)</f>
        <v>#DIV/0!</v>
      </c>
      <c r="T60" s="891"/>
      <c r="U60" s="892"/>
      <c r="V60" s="893"/>
      <c r="W60" s="579"/>
      <c r="X60" s="389"/>
    </row>
    <row r="61" spans="2:32" s="390" customFormat="1" ht="19.5" customHeight="1">
      <c r="B61" s="580"/>
      <c r="C61" s="733"/>
      <c r="D61" s="861"/>
      <c r="E61" s="862"/>
      <c r="F61" s="863"/>
      <c r="G61" s="863"/>
      <c r="H61" s="864"/>
      <c r="I61" s="865"/>
      <c r="J61" s="863"/>
      <c r="K61" s="863"/>
      <c r="L61" s="863"/>
      <c r="M61" s="743" t="e">
        <f>VLOOKUP(H61,Sheet1!I$54:J$289,2,FALSE)</f>
        <v>#N/A</v>
      </c>
      <c r="N61" s="734"/>
      <c r="O61" s="734"/>
      <c r="P61" s="734"/>
      <c r="Q61" s="734"/>
      <c r="R61" s="744"/>
      <c r="S61" s="866" t="e">
        <f>SUM(U61/U$67)</f>
        <v>#DIV/0!</v>
      </c>
      <c r="T61" s="867"/>
      <c r="U61" s="868"/>
      <c r="V61" s="869"/>
      <c r="W61" s="581"/>
      <c r="X61" s="389"/>
    </row>
    <row r="62" spans="2:32" s="390" customFormat="1" ht="19.5" customHeight="1">
      <c r="B62" s="580"/>
      <c r="C62" s="733"/>
      <c r="D62" s="861"/>
      <c r="E62" s="862"/>
      <c r="F62" s="863"/>
      <c r="G62" s="863"/>
      <c r="H62" s="864"/>
      <c r="I62" s="865"/>
      <c r="J62" s="863"/>
      <c r="K62" s="863"/>
      <c r="L62" s="863"/>
      <c r="M62" s="743" t="e">
        <f>VLOOKUP(H62,Sheet1!I$54:J$289,2,FALSE)</f>
        <v>#N/A</v>
      </c>
      <c r="N62" s="734"/>
      <c r="O62" s="734"/>
      <c r="P62" s="734"/>
      <c r="Q62" s="734"/>
      <c r="R62" s="744"/>
      <c r="S62" s="866" t="e">
        <f>SUM(U62/U$67)</f>
        <v>#DIV/0!</v>
      </c>
      <c r="T62" s="867"/>
      <c r="U62" s="868"/>
      <c r="V62" s="869"/>
      <c r="W62" s="581"/>
      <c r="X62" s="389"/>
    </row>
    <row r="63" spans="2:32" s="390" customFormat="1" ht="19.5" customHeight="1">
      <c r="B63" s="580"/>
      <c r="C63" s="733"/>
      <c r="D63" s="861"/>
      <c r="E63" s="862"/>
      <c r="F63" s="863"/>
      <c r="G63" s="863"/>
      <c r="H63" s="864"/>
      <c r="I63" s="865"/>
      <c r="J63" s="863"/>
      <c r="K63" s="863"/>
      <c r="L63" s="863"/>
      <c r="M63" s="743" t="e">
        <f>VLOOKUP(H63,Sheet1!I$54:J$289,2,FALSE)</f>
        <v>#N/A</v>
      </c>
      <c r="N63" s="734"/>
      <c r="O63" s="734"/>
      <c r="P63" s="734"/>
      <c r="Q63" s="734"/>
      <c r="R63" s="744"/>
      <c r="S63" s="866" t="e">
        <f t="shared" ref="S63:S65" si="0">SUM(U63/U$67)</f>
        <v>#DIV/0!</v>
      </c>
      <c r="T63" s="867"/>
      <c r="U63" s="868"/>
      <c r="V63" s="869"/>
      <c r="W63" s="581"/>
      <c r="X63" s="389"/>
    </row>
    <row r="64" spans="2:32" s="390" customFormat="1" ht="19.5" customHeight="1">
      <c r="B64" s="580"/>
      <c r="C64" s="733"/>
      <c r="D64" s="861"/>
      <c r="E64" s="862"/>
      <c r="F64" s="863"/>
      <c r="G64" s="863"/>
      <c r="H64" s="864"/>
      <c r="I64" s="865"/>
      <c r="J64" s="863"/>
      <c r="K64" s="863"/>
      <c r="L64" s="863"/>
      <c r="M64" s="743" t="e">
        <f>VLOOKUP(H64,Sheet1!I$54:J$289,2,FALSE)</f>
        <v>#N/A</v>
      </c>
      <c r="N64" s="734"/>
      <c r="O64" s="734"/>
      <c r="P64" s="734"/>
      <c r="Q64" s="734"/>
      <c r="R64" s="744"/>
      <c r="S64" s="866" t="e">
        <f t="shared" si="0"/>
        <v>#DIV/0!</v>
      </c>
      <c r="T64" s="867"/>
      <c r="U64" s="868"/>
      <c r="V64" s="869"/>
      <c r="W64" s="581"/>
      <c r="X64" s="389"/>
    </row>
    <row r="65" spans="2:32" s="390" customFormat="1" ht="19.5" customHeight="1" thickBot="1">
      <c r="B65" s="580"/>
      <c r="C65" s="735"/>
      <c r="D65" s="852"/>
      <c r="E65" s="853"/>
      <c r="F65" s="854"/>
      <c r="G65" s="854"/>
      <c r="H65" s="855"/>
      <c r="I65" s="856"/>
      <c r="J65" s="854"/>
      <c r="K65" s="854"/>
      <c r="L65" s="854"/>
      <c r="M65" s="745" t="e">
        <f>VLOOKUP(H65,Sheet1!I$54:J$289,2,FALSE)</f>
        <v>#N/A</v>
      </c>
      <c r="N65" s="736"/>
      <c r="O65" s="736"/>
      <c r="P65" s="736"/>
      <c r="Q65" s="736"/>
      <c r="R65" s="746"/>
      <c r="S65" s="857" t="e">
        <f t="shared" si="0"/>
        <v>#DIV/0!</v>
      </c>
      <c r="T65" s="858"/>
      <c r="U65" s="859"/>
      <c r="V65" s="860"/>
      <c r="W65" s="581"/>
      <c r="X65" s="389"/>
    </row>
    <row r="66" spans="2:32" s="151" customFormat="1" ht="4.5" customHeight="1" thickBot="1">
      <c r="B66" s="582"/>
      <c r="C66" s="400"/>
      <c r="D66" s="400"/>
      <c r="E66" s="401"/>
      <c r="F66" s="402"/>
      <c r="G66" s="401"/>
      <c r="H66" s="402"/>
      <c r="I66" s="401"/>
      <c r="J66" s="402"/>
      <c r="K66" s="401"/>
      <c r="L66" s="401"/>
      <c r="M66" s="403"/>
      <c r="N66" s="403"/>
      <c r="O66" s="403"/>
      <c r="P66" s="403"/>
      <c r="Q66" s="403"/>
      <c r="R66" s="399"/>
      <c r="S66" s="295"/>
      <c r="T66" s="295"/>
      <c r="U66" s="404"/>
      <c r="V66" s="405"/>
      <c r="W66" s="581"/>
      <c r="X66" s="152"/>
    </row>
    <row r="67" spans="2:32" s="292" customFormat="1" ht="24" customHeight="1" thickBot="1">
      <c r="B67" s="722"/>
      <c r="C67" s="723" t="s">
        <v>485</v>
      </c>
      <c r="E67" s="724"/>
      <c r="F67" s="724"/>
      <c r="G67" s="725"/>
      <c r="H67" s="724"/>
      <c r="I67" s="724"/>
      <c r="J67" s="724"/>
      <c r="K67" s="725"/>
      <c r="L67" s="725"/>
      <c r="M67" s="726"/>
      <c r="N67" s="726"/>
      <c r="O67" s="726"/>
      <c r="P67" s="724"/>
      <c r="Q67" s="727" t="s">
        <v>59</v>
      </c>
      <c r="R67" s="727"/>
      <c r="S67" s="870" t="e">
        <f>SUM(S60:T65)</f>
        <v>#DIV/0!</v>
      </c>
      <c r="T67" s="849"/>
      <c r="U67" s="871">
        <f>SUM(U60:V65)</f>
        <v>0</v>
      </c>
      <c r="V67" s="837"/>
      <c r="W67" s="579"/>
      <c r="X67" s="291"/>
    </row>
    <row r="68" spans="2:32" s="213" customFormat="1" ht="12" customHeight="1">
      <c r="B68" s="584"/>
      <c r="D68" s="253"/>
      <c r="G68" s="214"/>
      <c r="L68" s="214"/>
      <c r="M68" s="214"/>
      <c r="N68" s="214"/>
      <c r="O68" s="214"/>
      <c r="P68" s="214"/>
      <c r="Q68" s="214"/>
      <c r="R68" s="214"/>
      <c r="S68" s="214"/>
      <c r="T68" s="435" t="s">
        <v>374</v>
      </c>
      <c r="U68" s="214"/>
      <c r="V68" s="214"/>
      <c r="W68" s="583"/>
    </row>
    <row r="69" spans="2:32" s="213" customFormat="1" ht="4.5" customHeight="1" thickBot="1">
      <c r="B69" s="584"/>
      <c r="C69" s="214"/>
      <c r="D69" s="214"/>
      <c r="E69" s="214"/>
      <c r="F69" s="214"/>
      <c r="G69" s="214"/>
      <c r="H69" s="214"/>
      <c r="I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565"/>
    </row>
    <row r="70" spans="2:32" s="171" customFormat="1" ht="17.25" customHeight="1" thickTop="1" thickBot="1">
      <c r="B70" s="667"/>
      <c r="C70" s="663" t="s">
        <v>479</v>
      </c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3"/>
      <c r="R70" s="663"/>
      <c r="S70" s="663"/>
      <c r="T70" s="663"/>
      <c r="U70" s="663"/>
      <c r="V70" s="663"/>
      <c r="W70" s="664"/>
    </row>
    <row r="71" spans="2:32" s="688" customFormat="1" ht="21.9" customHeight="1" thickTop="1">
      <c r="B71" s="719" t="s">
        <v>107</v>
      </c>
      <c r="C71" s="706" t="s">
        <v>103</v>
      </c>
      <c r="D71" s="782"/>
      <c r="E71" s="783"/>
      <c r="F71" s="684"/>
      <c r="G71" s="706" t="s">
        <v>104</v>
      </c>
      <c r="H71" s="872"/>
      <c r="I71" s="873"/>
      <c r="J71" s="873"/>
      <c r="K71" s="873"/>
      <c r="L71" s="873"/>
      <c r="M71" s="873"/>
      <c r="N71" s="873"/>
      <c r="O71" s="873"/>
      <c r="P71" s="873"/>
      <c r="Q71" s="873"/>
      <c r="R71" s="873"/>
      <c r="S71" s="684"/>
      <c r="T71" s="684"/>
      <c r="U71" s="684"/>
      <c r="V71" s="684"/>
      <c r="W71" s="714"/>
    </row>
    <row r="72" spans="2:32" s="213" customFormat="1" ht="4.5" customHeight="1" thickBot="1">
      <c r="B72" s="587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568"/>
    </row>
    <row r="73" spans="2:32" s="151" customFormat="1" ht="15" customHeight="1" thickBot="1">
      <c r="B73" s="642" t="s">
        <v>105</v>
      </c>
      <c r="C73" s="226" t="s">
        <v>102</v>
      </c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577"/>
      <c r="AA73" s="152"/>
      <c r="AC73" s="152"/>
    </row>
    <row r="74" spans="2:32" s="292" customFormat="1" ht="26.25" customHeight="1">
      <c r="B74" s="578"/>
      <c r="C74" s="747" t="s">
        <v>338</v>
      </c>
      <c r="D74" s="874" t="s">
        <v>339</v>
      </c>
      <c r="E74" s="875"/>
      <c r="F74" s="749" t="s">
        <v>101</v>
      </c>
      <c r="G74" s="749"/>
      <c r="H74" s="751" t="s">
        <v>100</v>
      </c>
      <c r="I74" s="752"/>
      <c r="J74" s="749" t="s">
        <v>99</v>
      </c>
      <c r="K74" s="748"/>
      <c r="L74" s="749"/>
      <c r="M74" s="753" t="s">
        <v>98</v>
      </c>
      <c r="N74" s="749"/>
      <c r="O74" s="749"/>
      <c r="P74" s="749"/>
      <c r="Q74" s="749"/>
      <c r="R74" s="754"/>
      <c r="S74" s="876" t="s">
        <v>163</v>
      </c>
      <c r="T74" s="877"/>
      <c r="U74" s="878" t="s">
        <v>97</v>
      </c>
      <c r="V74" s="879"/>
      <c r="W74" s="579"/>
      <c r="X74" s="290" t="s">
        <v>90</v>
      </c>
      <c r="Y74" s="291" t="s">
        <v>90</v>
      </c>
      <c r="AC74" s="291"/>
      <c r="AD74" s="291"/>
      <c r="AE74" s="291"/>
      <c r="AF74" s="292" t="s">
        <v>90</v>
      </c>
    </row>
    <row r="75" spans="2:32" s="390" customFormat="1" ht="19.5" customHeight="1">
      <c r="B75" s="580"/>
      <c r="C75" s="750"/>
      <c r="D75" s="861"/>
      <c r="E75" s="862"/>
      <c r="F75" s="863"/>
      <c r="G75" s="863"/>
      <c r="H75" s="864"/>
      <c r="I75" s="865"/>
      <c r="J75" s="863"/>
      <c r="K75" s="863"/>
      <c r="L75" s="863"/>
      <c r="M75" s="743" t="e">
        <f>VLOOKUP(H75,Sheet1!I$54:J$289,2,FALSE)</f>
        <v>#N/A</v>
      </c>
      <c r="N75" s="734"/>
      <c r="O75" s="734"/>
      <c r="P75" s="734"/>
      <c r="Q75" s="734"/>
      <c r="R75" s="744"/>
      <c r="S75" s="866" t="e">
        <f t="shared" ref="S75:S80" si="1">SUM(U75/U$82)</f>
        <v>#DIV/0!</v>
      </c>
      <c r="T75" s="867"/>
      <c r="U75" s="868"/>
      <c r="V75" s="869"/>
      <c r="W75" s="581"/>
      <c r="X75" s="389"/>
    </row>
    <row r="76" spans="2:32" s="390" customFormat="1" ht="19.5" customHeight="1">
      <c r="B76" s="580"/>
      <c r="C76" s="733"/>
      <c r="D76" s="861"/>
      <c r="E76" s="862"/>
      <c r="F76" s="863"/>
      <c r="G76" s="863"/>
      <c r="H76" s="864"/>
      <c r="I76" s="865"/>
      <c r="J76" s="863"/>
      <c r="K76" s="863"/>
      <c r="L76" s="863"/>
      <c r="M76" s="743" t="e">
        <f>VLOOKUP(H76,Sheet1!I$54:J$289,2,FALSE)</f>
        <v>#N/A</v>
      </c>
      <c r="N76" s="734"/>
      <c r="O76" s="734"/>
      <c r="P76" s="734"/>
      <c r="Q76" s="734"/>
      <c r="R76" s="744"/>
      <c r="S76" s="866" t="e">
        <f t="shared" si="1"/>
        <v>#DIV/0!</v>
      </c>
      <c r="T76" s="867"/>
      <c r="U76" s="868"/>
      <c r="V76" s="869"/>
      <c r="W76" s="581"/>
      <c r="X76" s="389"/>
    </row>
    <row r="77" spans="2:32" s="390" customFormat="1" ht="19.5" customHeight="1">
      <c r="B77" s="580"/>
      <c r="C77" s="733"/>
      <c r="D77" s="861"/>
      <c r="E77" s="862"/>
      <c r="F77" s="863"/>
      <c r="G77" s="863"/>
      <c r="H77" s="864"/>
      <c r="I77" s="865"/>
      <c r="J77" s="863"/>
      <c r="K77" s="863"/>
      <c r="L77" s="863"/>
      <c r="M77" s="743" t="e">
        <f>VLOOKUP(H77,Sheet1!I$54:J$289,2,FALSE)</f>
        <v>#N/A</v>
      </c>
      <c r="N77" s="734"/>
      <c r="O77" s="734"/>
      <c r="P77" s="734"/>
      <c r="Q77" s="734"/>
      <c r="R77" s="744"/>
      <c r="S77" s="866" t="e">
        <f t="shared" si="1"/>
        <v>#DIV/0!</v>
      </c>
      <c r="T77" s="867"/>
      <c r="U77" s="868"/>
      <c r="V77" s="869"/>
      <c r="W77" s="581"/>
      <c r="X77" s="389"/>
    </row>
    <row r="78" spans="2:32" s="390" customFormat="1" ht="19.5" customHeight="1">
      <c r="B78" s="580"/>
      <c r="C78" s="733"/>
      <c r="D78" s="861"/>
      <c r="E78" s="862"/>
      <c r="F78" s="863"/>
      <c r="G78" s="863"/>
      <c r="H78" s="864"/>
      <c r="I78" s="865"/>
      <c r="J78" s="863"/>
      <c r="K78" s="863"/>
      <c r="L78" s="863"/>
      <c r="M78" s="743" t="e">
        <f>VLOOKUP(H78,Sheet1!I$54:J$289,2,FALSE)</f>
        <v>#N/A</v>
      </c>
      <c r="N78" s="734"/>
      <c r="O78" s="734"/>
      <c r="P78" s="734"/>
      <c r="Q78" s="734"/>
      <c r="R78" s="744"/>
      <c r="S78" s="866" t="e">
        <f t="shared" si="1"/>
        <v>#DIV/0!</v>
      </c>
      <c r="T78" s="867"/>
      <c r="U78" s="868"/>
      <c r="V78" s="869"/>
      <c r="W78" s="581"/>
      <c r="X78" s="389"/>
    </row>
    <row r="79" spans="2:32" s="390" customFormat="1" ht="19.5" customHeight="1">
      <c r="B79" s="580"/>
      <c r="C79" s="733"/>
      <c r="D79" s="861"/>
      <c r="E79" s="862"/>
      <c r="F79" s="863"/>
      <c r="G79" s="863"/>
      <c r="H79" s="864"/>
      <c r="I79" s="865"/>
      <c r="J79" s="863"/>
      <c r="K79" s="863"/>
      <c r="L79" s="863"/>
      <c r="M79" s="743" t="e">
        <f>VLOOKUP(H79,Sheet1!I$54:J$289,2,FALSE)</f>
        <v>#N/A</v>
      </c>
      <c r="N79" s="734"/>
      <c r="O79" s="734"/>
      <c r="P79" s="734"/>
      <c r="Q79" s="734"/>
      <c r="R79" s="744"/>
      <c r="S79" s="866" t="e">
        <f t="shared" si="1"/>
        <v>#DIV/0!</v>
      </c>
      <c r="T79" s="867"/>
      <c r="U79" s="868"/>
      <c r="V79" s="869"/>
      <c r="W79" s="581"/>
      <c r="X79" s="389"/>
    </row>
    <row r="80" spans="2:32" s="390" customFormat="1" ht="19.5" customHeight="1" thickBot="1">
      <c r="B80" s="580"/>
      <c r="C80" s="735"/>
      <c r="D80" s="852"/>
      <c r="E80" s="853"/>
      <c r="F80" s="854"/>
      <c r="G80" s="854"/>
      <c r="H80" s="855"/>
      <c r="I80" s="856"/>
      <c r="J80" s="854"/>
      <c r="K80" s="854"/>
      <c r="L80" s="854"/>
      <c r="M80" s="745" t="e">
        <f>VLOOKUP(H80,Sheet1!I$54:J$289,2,FALSE)</f>
        <v>#N/A</v>
      </c>
      <c r="N80" s="736"/>
      <c r="O80" s="736"/>
      <c r="P80" s="736"/>
      <c r="Q80" s="736"/>
      <c r="R80" s="746"/>
      <c r="S80" s="857" t="e">
        <f t="shared" si="1"/>
        <v>#DIV/0!</v>
      </c>
      <c r="T80" s="858"/>
      <c r="U80" s="859"/>
      <c r="V80" s="860"/>
      <c r="W80" s="581"/>
      <c r="X80" s="389"/>
    </row>
    <row r="81" spans="2:27" s="151" customFormat="1" ht="4.5" customHeight="1" thickBot="1">
      <c r="B81" s="582"/>
      <c r="C81" s="400"/>
      <c r="D81" s="400"/>
      <c r="E81" s="401"/>
      <c r="F81" s="402"/>
      <c r="G81" s="401"/>
      <c r="H81" s="402"/>
      <c r="I81" s="401"/>
      <c r="J81" s="402"/>
      <c r="K81" s="401"/>
      <c r="L81" s="401"/>
      <c r="M81" s="403"/>
      <c r="N81" s="403"/>
      <c r="O81" s="403"/>
      <c r="P81" s="403"/>
      <c r="Q81" s="403"/>
      <c r="R81" s="399"/>
      <c r="S81" s="295"/>
      <c r="T81" s="295"/>
      <c r="U81" s="404"/>
      <c r="V81" s="405"/>
      <c r="W81" s="583"/>
      <c r="X81" s="152"/>
    </row>
    <row r="82" spans="2:27" s="151" customFormat="1" ht="24" customHeight="1" thickBot="1">
      <c r="B82" s="582"/>
      <c r="C82" s="400"/>
      <c r="D82" s="400"/>
      <c r="E82" s="401"/>
      <c r="F82" s="228"/>
      <c r="G82" s="401"/>
      <c r="H82" s="537"/>
      <c r="I82" s="537"/>
      <c r="J82" s="537"/>
      <c r="K82" s="401"/>
      <c r="L82" s="401"/>
      <c r="M82" s="403"/>
      <c r="N82" s="403"/>
      <c r="O82" s="403"/>
      <c r="P82" s="537"/>
      <c r="Q82" s="406" t="s">
        <v>59</v>
      </c>
      <c r="R82" s="406"/>
      <c r="S82" s="834" t="e">
        <f>SUM(S75:T80)</f>
        <v>#DIV/0!</v>
      </c>
      <c r="T82" s="835"/>
      <c r="U82" s="836">
        <f>SUM(U75:V80)</f>
        <v>0</v>
      </c>
      <c r="V82" s="837"/>
      <c r="W82" s="583"/>
      <c r="X82" s="152"/>
    </row>
    <row r="83" spans="2:27" s="242" customFormat="1" ht="4.5" customHeight="1" thickBot="1">
      <c r="B83" s="582"/>
      <c r="C83" s="407"/>
      <c r="D83" s="407"/>
      <c r="E83" s="408"/>
      <c r="F83" s="228"/>
      <c r="G83" s="408"/>
      <c r="H83" s="229"/>
      <c r="I83" s="229"/>
      <c r="J83" s="229"/>
      <c r="K83" s="408"/>
      <c r="L83" s="408"/>
      <c r="M83" s="409"/>
      <c r="N83" s="409"/>
      <c r="O83" s="409"/>
      <c r="P83" s="229"/>
      <c r="Q83" s="409"/>
      <c r="R83" s="668"/>
      <c r="S83" s="243"/>
      <c r="T83" s="411"/>
      <c r="U83" s="669"/>
      <c r="V83" s="670"/>
      <c r="W83" s="583"/>
      <c r="X83" s="244"/>
    </row>
    <row r="84" spans="2:27" s="468" customFormat="1" ht="17.25" customHeight="1" thickTop="1" thickBot="1">
      <c r="B84" s="662" t="s">
        <v>480</v>
      </c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4"/>
      <c r="X84" s="467"/>
    </row>
    <row r="85" spans="2:27" s="151" customFormat="1" ht="21" customHeight="1" thickTop="1" thickBot="1">
      <c r="B85" s="545">
        <v>5</v>
      </c>
      <c r="C85" s="850" t="s">
        <v>96</v>
      </c>
      <c r="D85" s="851"/>
      <c r="E85" s="671"/>
      <c r="F85" s="672"/>
      <c r="G85" s="672"/>
      <c r="H85" s="672"/>
      <c r="I85" s="672"/>
      <c r="J85" s="672"/>
      <c r="K85" s="672"/>
      <c r="L85" s="673"/>
      <c r="M85" s="674"/>
      <c r="N85" s="675"/>
      <c r="O85" s="675"/>
      <c r="P85" s="675"/>
      <c r="Q85" s="675"/>
      <c r="R85" s="675"/>
      <c r="S85" s="675"/>
      <c r="T85" s="676"/>
      <c r="U85" s="677"/>
      <c r="V85" s="677"/>
      <c r="W85" s="678"/>
    </row>
    <row r="86" spans="2:27" s="151" customFormat="1" ht="12" customHeight="1" thickBot="1">
      <c r="B86" s="591"/>
      <c r="C86" s="846"/>
      <c r="D86" s="847"/>
      <c r="E86" s="235" t="s">
        <v>95</v>
      </c>
      <c r="F86" s="236"/>
      <c r="G86" s="236"/>
      <c r="H86" s="236"/>
      <c r="I86" s="236"/>
      <c r="J86" s="236"/>
      <c r="K86" s="236"/>
      <c r="L86" s="237"/>
      <c r="M86" s="235" t="s">
        <v>73</v>
      </c>
      <c r="N86" s="236"/>
      <c r="O86" s="236"/>
      <c r="P86" s="236"/>
      <c r="Q86" s="236"/>
      <c r="R86" s="236"/>
      <c r="S86" s="236"/>
      <c r="T86" s="433"/>
      <c r="U86" s="431"/>
      <c r="V86" s="431"/>
      <c r="W86" s="592"/>
      <c r="X86" s="189"/>
      <c r="Y86" s="151" t="s">
        <v>90</v>
      </c>
    </row>
    <row r="87" spans="2:27" s="471" customFormat="1" ht="20.100000000000001" customHeight="1" thickBot="1">
      <c r="B87" s="635"/>
      <c r="C87" s="636" t="s">
        <v>93</v>
      </c>
      <c r="D87" s="636"/>
      <c r="E87" s="636"/>
      <c r="F87" s="636"/>
      <c r="G87" s="636"/>
      <c r="H87" s="636"/>
      <c r="I87" s="636"/>
      <c r="J87" s="636"/>
      <c r="K87" s="636"/>
      <c r="L87" s="636"/>
      <c r="M87" s="636"/>
      <c r="N87" s="636"/>
      <c r="O87" s="636"/>
      <c r="P87" s="636"/>
      <c r="Q87" s="636"/>
      <c r="R87" s="636"/>
      <c r="S87" s="636"/>
      <c r="T87" s="636"/>
      <c r="U87" s="636"/>
      <c r="V87" s="636"/>
      <c r="W87" s="637"/>
      <c r="X87" s="470"/>
    </row>
    <row r="88" spans="2:27" s="151" customFormat="1" ht="16.2" thickBot="1">
      <c r="B88" s="595"/>
      <c r="C88" s="298" t="s">
        <v>92</v>
      </c>
      <c r="D88" s="299"/>
      <c r="E88" s="299"/>
      <c r="F88" s="299"/>
      <c r="G88" s="299"/>
      <c r="H88" s="299"/>
      <c r="I88" s="299"/>
      <c r="J88" s="299"/>
      <c r="K88" s="299"/>
      <c r="L88" s="298" t="s">
        <v>91</v>
      </c>
      <c r="M88" s="298"/>
      <c r="N88" s="299"/>
      <c r="O88" s="299"/>
      <c r="P88" s="299"/>
      <c r="Q88" s="299"/>
      <c r="R88" s="299"/>
      <c r="S88" s="299"/>
      <c r="T88" s="299"/>
      <c r="U88" s="299"/>
      <c r="V88" s="299"/>
      <c r="W88" s="596"/>
      <c r="X88" s="189"/>
      <c r="AA88" s="151" t="s">
        <v>90</v>
      </c>
    </row>
    <row r="89" spans="2:27" s="151" customFormat="1" ht="24" customHeight="1">
      <c r="B89" s="595"/>
      <c r="C89" s="391" t="s">
        <v>356</v>
      </c>
      <c r="D89" s="195"/>
      <c r="E89" s="369"/>
      <c r="F89" s="369"/>
      <c r="G89" s="369"/>
      <c r="H89" s="369"/>
      <c r="I89" s="370"/>
      <c r="J89" s="193" t="s">
        <v>83</v>
      </c>
      <c r="K89" s="194"/>
      <c r="L89" s="391" t="s">
        <v>356</v>
      </c>
      <c r="M89" s="195"/>
      <c r="N89" s="195"/>
      <c r="O89" s="195"/>
      <c r="P89" s="369"/>
      <c r="Q89" s="369"/>
      <c r="R89" s="369"/>
      <c r="S89" s="369"/>
      <c r="T89" s="369"/>
      <c r="U89" s="370"/>
      <c r="V89" s="193" t="s">
        <v>83</v>
      </c>
      <c r="W89" s="597"/>
      <c r="X89" s="189"/>
    </row>
    <row r="90" spans="2:27" s="151" customFormat="1" ht="24" customHeight="1">
      <c r="B90" s="598"/>
      <c r="C90" s="392" t="s">
        <v>357</v>
      </c>
      <c r="D90" s="198"/>
      <c r="E90" s="371"/>
      <c r="F90" s="371"/>
      <c r="G90" s="371"/>
      <c r="H90" s="371"/>
      <c r="I90" s="372"/>
      <c r="J90" s="196" t="s">
        <v>83</v>
      </c>
      <c r="K90" s="197"/>
      <c r="L90" s="392" t="s">
        <v>357</v>
      </c>
      <c r="M90" s="198"/>
      <c r="N90" s="198"/>
      <c r="O90" s="198"/>
      <c r="P90" s="375"/>
      <c r="Q90" s="375"/>
      <c r="R90" s="375"/>
      <c r="S90" s="375"/>
      <c r="T90" s="375"/>
      <c r="U90" s="376"/>
      <c r="V90" s="196" t="s">
        <v>83</v>
      </c>
      <c r="W90" s="599"/>
      <c r="X90" s="189"/>
      <c r="Y90" s="151" t="s">
        <v>90</v>
      </c>
      <c r="AA90" s="151" t="s">
        <v>90</v>
      </c>
    </row>
    <row r="91" spans="2:27" s="151" customFormat="1" ht="24" customHeight="1">
      <c r="B91" s="598"/>
      <c r="C91" s="392" t="s">
        <v>358</v>
      </c>
      <c r="D91" s="198"/>
      <c r="E91" s="371"/>
      <c r="F91" s="371"/>
      <c r="G91" s="371"/>
      <c r="H91" s="371"/>
      <c r="I91" s="372"/>
      <c r="J91" s="196" t="s">
        <v>83</v>
      </c>
      <c r="K91" s="197"/>
      <c r="L91" s="392" t="s">
        <v>358</v>
      </c>
      <c r="M91" s="198"/>
      <c r="N91" s="198"/>
      <c r="O91" s="198"/>
      <c r="P91" s="375"/>
      <c r="Q91" s="375"/>
      <c r="R91" s="375"/>
      <c r="S91" s="375"/>
      <c r="T91" s="375"/>
      <c r="U91" s="376"/>
      <c r="V91" s="196" t="s">
        <v>83</v>
      </c>
      <c r="W91" s="599"/>
      <c r="X91" s="189"/>
      <c r="Y91" s="151" t="s">
        <v>90</v>
      </c>
      <c r="AA91" s="151" t="s">
        <v>90</v>
      </c>
    </row>
    <row r="92" spans="2:27" s="151" customFormat="1" ht="24" customHeight="1" thickBot="1">
      <c r="B92" s="600"/>
      <c r="C92" s="230" t="s">
        <v>359</v>
      </c>
      <c r="D92" s="201"/>
      <c r="E92" s="393"/>
      <c r="F92" s="373"/>
      <c r="G92" s="373"/>
      <c r="H92" s="373"/>
      <c r="I92" s="374"/>
      <c r="J92" s="199" t="s">
        <v>83</v>
      </c>
      <c r="K92" s="200"/>
      <c r="L92" s="230" t="s">
        <v>359</v>
      </c>
      <c r="M92" s="201"/>
      <c r="N92" s="201"/>
      <c r="O92" s="201"/>
      <c r="P92" s="377"/>
      <c r="Q92" s="377"/>
      <c r="R92" s="377"/>
      <c r="S92" s="377"/>
      <c r="T92" s="377"/>
      <c r="U92" s="378"/>
      <c r="V92" s="199" t="s">
        <v>83</v>
      </c>
      <c r="W92" s="601"/>
      <c r="X92" s="189"/>
      <c r="Y92" s="151" t="s">
        <v>90</v>
      </c>
      <c r="AA92" s="151" t="s">
        <v>90</v>
      </c>
    </row>
    <row r="93" spans="2:27" s="468" customFormat="1" ht="16.5" customHeight="1" thickBot="1">
      <c r="B93" s="602" t="s">
        <v>446</v>
      </c>
      <c r="C93" s="465"/>
      <c r="D93" s="465"/>
      <c r="E93" s="465"/>
      <c r="F93" s="465"/>
      <c r="G93" s="465"/>
      <c r="H93" s="465"/>
      <c r="I93" s="465"/>
      <c r="J93" s="465"/>
      <c r="K93" s="465"/>
      <c r="L93" s="466" t="s">
        <v>89</v>
      </c>
      <c r="M93" s="466"/>
      <c r="N93" s="466"/>
      <c r="O93" s="466"/>
      <c r="P93" s="466"/>
      <c r="Q93" s="466"/>
      <c r="R93" s="466"/>
      <c r="S93" s="466"/>
      <c r="T93" s="466"/>
      <c r="U93" s="466"/>
      <c r="V93" s="466"/>
      <c r="W93" s="544"/>
      <c r="X93" s="467"/>
    </row>
    <row r="94" spans="2:27" s="151" customFormat="1" ht="24" customHeight="1" thickBot="1">
      <c r="B94" s="639"/>
      <c r="C94" s="202" t="s">
        <v>88</v>
      </c>
      <c r="D94" s="241"/>
      <c r="E94" s="240"/>
      <c r="F94" s="175"/>
      <c r="G94" s="175"/>
      <c r="H94" s="175"/>
      <c r="I94" s="240"/>
      <c r="J94" s="203" t="s">
        <v>83</v>
      </c>
      <c r="K94" s="204"/>
      <c r="L94" s="205" t="s">
        <v>87</v>
      </c>
      <c r="M94" s="206"/>
      <c r="N94" s="206"/>
      <c r="O94" s="207"/>
      <c r="P94" s="231"/>
      <c r="Q94" s="232"/>
      <c r="R94" s="232"/>
      <c r="S94" s="232"/>
      <c r="T94" s="232"/>
      <c r="U94" s="233"/>
      <c r="V94" s="203" t="s">
        <v>83</v>
      </c>
      <c r="W94" s="604"/>
    </row>
    <row r="95" spans="2:27" s="171" customFormat="1" ht="16.5" customHeight="1" thickBot="1">
      <c r="B95" s="605" t="s">
        <v>335</v>
      </c>
      <c r="C95" s="469"/>
      <c r="D95" s="469"/>
      <c r="E95" s="469"/>
      <c r="F95" s="469"/>
      <c r="G95" s="469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606"/>
    </row>
    <row r="96" spans="2:27" s="185" customFormat="1" ht="18.75" customHeight="1" thickBot="1">
      <c r="B96" s="638"/>
      <c r="C96" s="234" t="s">
        <v>86</v>
      </c>
      <c r="D96" s="414"/>
      <c r="E96" s="415"/>
      <c r="F96" s="239" t="s">
        <v>497</v>
      </c>
      <c r="G96" s="759" t="s">
        <v>114</v>
      </c>
      <c r="H96" s="239" t="s">
        <v>165</v>
      </c>
      <c r="I96" s="414"/>
      <c r="J96" s="238"/>
      <c r="K96" s="415"/>
      <c r="L96" s="193" t="s">
        <v>83</v>
      </c>
      <c r="M96" s="414"/>
      <c r="N96" s="414"/>
      <c r="O96" s="414"/>
      <c r="P96" s="278" t="s">
        <v>336</v>
      </c>
      <c r="Q96" s="416"/>
      <c r="R96" s="417"/>
      <c r="S96" s="209" t="s">
        <v>83</v>
      </c>
      <c r="T96" s="414"/>
      <c r="U96" s="418"/>
      <c r="V96" s="210"/>
      <c r="W96" s="608"/>
    </row>
    <row r="97" spans="2:23" s="185" customFormat="1" ht="18.75" customHeight="1" thickBot="1">
      <c r="B97" s="609"/>
      <c r="C97" s="610" t="s">
        <v>164</v>
      </c>
      <c r="D97" s="611"/>
      <c r="E97" s="612"/>
      <c r="F97" s="613" t="s">
        <v>334</v>
      </c>
      <c r="G97" s="612"/>
      <c r="H97" s="613" t="s">
        <v>445</v>
      </c>
      <c r="I97" s="611"/>
      <c r="J97" s="611"/>
      <c r="K97" s="612"/>
      <c r="L97" s="614" t="s">
        <v>83</v>
      </c>
      <c r="M97" s="611"/>
      <c r="N97" s="611"/>
      <c r="O97" s="612"/>
      <c r="P97" s="615" t="s">
        <v>84</v>
      </c>
      <c r="Q97" s="616"/>
      <c r="R97" s="617"/>
      <c r="S97" s="618" t="s">
        <v>83</v>
      </c>
      <c r="T97" s="619"/>
      <c r="U97" s="620"/>
      <c r="V97" s="621"/>
      <c r="W97" s="622"/>
    </row>
    <row r="98" spans="2:23" ht="13.8" thickTop="1">
      <c r="M98" s="151"/>
      <c r="N98" s="151"/>
      <c r="O98" s="151"/>
      <c r="P98" s="151"/>
      <c r="Q98" s="151"/>
      <c r="R98" s="151"/>
    </row>
    <row r="99" spans="2:23">
      <c r="M99" s="151"/>
      <c r="N99" s="151"/>
      <c r="O99" s="151"/>
      <c r="P99" s="151"/>
      <c r="Q99" s="151"/>
      <c r="R99" s="151"/>
    </row>
  </sheetData>
  <sheetProtection sheet="1" objects="1" scenarios="1" selectLockedCells="1"/>
  <mergeCells count="107">
    <mergeCell ref="C9:E9"/>
    <mergeCell ref="G9:J9"/>
    <mergeCell ref="K9:O9"/>
    <mergeCell ref="Q9:T9"/>
    <mergeCell ref="U9:W9"/>
    <mergeCell ref="N16:W22"/>
    <mergeCell ref="K17:M17"/>
    <mergeCell ref="K18:M18"/>
    <mergeCell ref="K19:M19"/>
    <mergeCell ref="K20:M20"/>
    <mergeCell ref="K43:M43"/>
    <mergeCell ref="M46:N46"/>
    <mergeCell ref="E51:F51"/>
    <mergeCell ref="G51:M51"/>
    <mergeCell ref="D56:E56"/>
    <mergeCell ref="H56:R56"/>
    <mergeCell ref="K21:M21"/>
    <mergeCell ref="D22:G22"/>
    <mergeCell ref="K22:M22"/>
    <mergeCell ref="N24:W26"/>
    <mergeCell ref="L37:M37"/>
    <mergeCell ref="N40:O40"/>
    <mergeCell ref="D61:E61"/>
    <mergeCell ref="F61:G61"/>
    <mergeCell ref="H61:I61"/>
    <mergeCell ref="J61:L61"/>
    <mergeCell ref="S61:T61"/>
    <mergeCell ref="U61:V61"/>
    <mergeCell ref="D59:E59"/>
    <mergeCell ref="S59:T59"/>
    <mergeCell ref="U59:V59"/>
    <mergeCell ref="D60:E60"/>
    <mergeCell ref="F60:G60"/>
    <mergeCell ref="H60:I60"/>
    <mergeCell ref="J60:L60"/>
    <mergeCell ref="S60:T60"/>
    <mergeCell ref="U60:V60"/>
    <mergeCell ref="D63:E63"/>
    <mergeCell ref="F63:G63"/>
    <mergeCell ref="H63:I63"/>
    <mergeCell ref="J63:L63"/>
    <mergeCell ref="S63:T63"/>
    <mergeCell ref="U63:V63"/>
    <mergeCell ref="D62:E62"/>
    <mergeCell ref="F62:G62"/>
    <mergeCell ref="H62:I62"/>
    <mergeCell ref="J62:L62"/>
    <mergeCell ref="S62:T62"/>
    <mergeCell ref="U62:V62"/>
    <mergeCell ref="D65:E65"/>
    <mergeCell ref="F65:G65"/>
    <mergeCell ref="H65:I65"/>
    <mergeCell ref="J65:L65"/>
    <mergeCell ref="S65:T65"/>
    <mergeCell ref="U65:V65"/>
    <mergeCell ref="D64:E64"/>
    <mergeCell ref="F64:G64"/>
    <mergeCell ref="H64:I64"/>
    <mergeCell ref="J64:L64"/>
    <mergeCell ref="S64:T64"/>
    <mergeCell ref="U64:V64"/>
    <mergeCell ref="D75:E75"/>
    <mergeCell ref="F75:G75"/>
    <mergeCell ref="H75:I75"/>
    <mergeCell ref="J75:L75"/>
    <mergeCell ref="S75:T75"/>
    <mergeCell ref="U75:V75"/>
    <mergeCell ref="S67:T67"/>
    <mergeCell ref="U67:V67"/>
    <mergeCell ref="D71:E71"/>
    <mergeCell ref="H71:R71"/>
    <mergeCell ref="D74:E74"/>
    <mergeCell ref="S74:T74"/>
    <mergeCell ref="U74:V74"/>
    <mergeCell ref="D77:E77"/>
    <mergeCell ref="F77:G77"/>
    <mergeCell ref="H77:I77"/>
    <mergeCell ref="J77:L77"/>
    <mergeCell ref="S77:T77"/>
    <mergeCell ref="U77:V77"/>
    <mergeCell ref="D76:E76"/>
    <mergeCell ref="F76:G76"/>
    <mergeCell ref="H76:I76"/>
    <mergeCell ref="J76:L76"/>
    <mergeCell ref="S76:T76"/>
    <mergeCell ref="U76:V76"/>
    <mergeCell ref="D79:E79"/>
    <mergeCell ref="F79:G79"/>
    <mergeCell ref="H79:I79"/>
    <mergeCell ref="J79:L79"/>
    <mergeCell ref="S79:T79"/>
    <mergeCell ref="U79:V79"/>
    <mergeCell ref="D78:E78"/>
    <mergeCell ref="F78:G78"/>
    <mergeCell ref="H78:I78"/>
    <mergeCell ref="J78:L78"/>
    <mergeCell ref="S78:T78"/>
    <mergeCell ref="U78:V78"/>
    <mergeCell ref="S82:T82"/>
    <mergeCell ref="U82:V82"/>
    <mergeCell ref="C85:D86"/>
    <mergeCell ref="D80:E80"/>
    <mergeCell ref="F80:G80"/>
    <mergeCell ref="H80:I80"/>
    <mergeCell ref="J80:L80"/>
    <mergeCell ref="S80:T80"/>
    <mergeCell ref="U80:V80"/>
  </mergeCells>
  <conditionalFormatting sqref="T66 P60:P66 Q60:S67 T81 L73:L74 L81:L83 G51:M51 M73:S83 M60:O67 N37">
    <cfRule type="containsErrors" dxfId="35" priority="17">
      <formula>ISERROR(G37)</formula>
    </cfRule>
  </conditionalFormatting>
  <conditionalFormatting sqref="T66 T81 S60:S67 S75:S83">
    <cfRule type="cellIs" dxfId="34" priority="16" operator="equal">
      <formula>0</formula>
    </cfRule>
  </conditionalFormatting>
  <conditionalFormatting sqref="S82:T82 S67:T67">
    <cfRule type="containsErrors" dxfId="33" priority="15">
      <formula>ISERROR(S67)</formula>
    </cfRule>
  </conditionalFormatting>
  <conditionalFormatting sqref="G51:M51">
    <cfRule type="containsText" dxfId="32" priority="13" operator="containsText" text="INVALID">
      <formula>NOT(ISERROR(SEARCH("INVALID",G51)))</formula>
    </cfRule>
    <cfRule type="cellIs" dxfId="31" priority="14" operator="equal">
      <formula>"INVALID HOME ORGN….. PLEASE SELECT A VALID E&amp;G ORGN"</formula>
    </cfRule>
  </conditionalFormatting>
  <conditionalFormatting sqref="S67:T67 S82:T82">
    <cfRule type="containsErrors" dxfId="30" priority="12">
      <formula>ISERROR(S67)</formula>
    </cfRule>
  </conditionalFormatting>
  <conditionalFormatting sqref="U67:V67 U82:V82">
    <cfRule type="cellIs" dxfId="29" priority="11" operator="equal">
      <formula>0</formula>
    </cfRule>
  </conditionalFormatting>
  <conditionalFormatting sqref="L37:M37">
    <cfRule type="cellIs" dxfId="28" priority="9" operator="equal">
      <formula>0</formula>
    </cfRule>
    <cfRule type="cellIs" dxfId="27" priority="10" operator="equal">
      <formula>2</formula>
    </cfRule>
  </conditionalFormatting>
  <conditionalFormatting sqref="N40:O40 V40">
    <cfRule type="notContainsBlanks" dxfId="26" priority="8">
      <formula>LEN(TRIM(N40))&gt;0</formula>
    </cfRule>
  </conditionalFormatting>
  <conditionalFormatting sqref="N40:O40">
    <cfRule type="notContainsBlanks" dxfId="25" priority="5">
      <formula>LEN(TRIM(N40))&gt;0</formula>
    </cfRule>
    <cfRule type="notContainsBlanks" dxfId="24" priority="6">
      <formula>LEN(TRIM(N40))&gt;0</formula>
    </cfRule>
    <cfRule type="expression" dxfId="23" priority="7">
      <formula>$V$51=2</formula>
    </cfRule>
  </conditionalFormatting>
  <conditionalFormatting sqref="V40">
    <cfRule type="notContainsBlanks" dxfId="22" priority="3">
      <formula>LEN(TRIM(V40))&gt;0</formula>
    </cfRule>
    <cfRule type="expression" dxfId="21" priority="4">
      <formula>$V$51=3</formula>
    </cfRule>
  </conditionalFormatting>
  <conditionalFormatting sqref="K43:M43">
    <cfRule type="notContainsBlanks" dxfId="20" priority="1">
      <formula>LEN(TRIM(K43))&gt;0</formula>
    </cfRule>
    <cfRule type="expression" dxfId="19" priority="2">
      <formula>$W$51=2</formula>
    </cfRule>
  </conditionalFormatting>
  <dataValidations count="5">
    <dataValidation type="textLength" allowBlank="1" showInputMessage="1" showErrorMessage="1" errorTitle="Invalid Entry" error="ENTRY MUST BE 6 CHARACTERS/DIGITS LONG" sqref="C75:C83 C60:C66">
      <formula1>6</formula1>
      <formula2>6</formula2>
    </dataValidation>
    <dataValidation type="textLength" allowBlank="1" showInputMessage="1" showErrorMessage="1" error="Entry must be 6 characters/digits in length" sqref="F60:I65 F75:I80">
      <formula1>6</formula1>
      <formula2>6</formula2>
    </dataValidation>
    <dataValidation type="list" allowBlank="1" showInputMessage="1" showErrorMessage="1" error="Valad entries are:   611000 if pay is for teaching,  612000 for all other monthly pay,  622000 for bi-weekly. Each funding line should be specific to the work to be performed. NOTE: cannot be both monthly &amp; bi-weekly" sqref="J60:L65 J75:L80">
      <formula1>"611000,612000,622000"</formula1>
    </dataValidation>
    <dataValidation type="textLength" allowBlank="1" showInputMessage="1" showErrorMessage="1" error="Position number is six characters/digits long" sqref="D56:E56 D71:E71">
      <formula1>6</formula1>
      <formula2>6</formula2>
    </dataValidation>
    <dataValidation type="decimal" operator="lessThanOrEqual" allowBlank="1" showInputMessage="1" showErrorMessage="1" errorTitle="Indicate FTE" error="Full Time = 1_x000a_Part-Time = less than 1" promptTitle="Enter FTE" sqref="L37:M37">
      <formula1>1</formula1>
    </dataValidation>
  </dataValidations>
  <printOptions horizontalCentered="1" verticalCentered="1"/>
  <pageMargins left="0" right="0" top="0" bottom="0" header="0" footer="0"/>
  <pageSetup scale="54" orientation="portrait" r:id="rId1"/>
  <headerFooter alignWithMargins="0">
    <oddFooter>&amp;R&amp;8PAF REVISED 10/28/2011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FFC000"/>
    <pageSetUpPr fitToPage="1"/>
  </sheetPr>
  <dimension ref="B1:AF99"/>
  <sheetViews>
    <sheetView showGridLines="0" workbookViewId="0">
      <selection activeCell="C9" sqref="C9:E9"/>
    </sheetView>
  </sheetViews>
  <sheetFormatPr defaultColWidth="9.109375" defaultRowHeight="13.2"/>
  <cols>
    <col min="1" max="1" width="1.6640625" style="150" customWidth="1"/>
    <col min="2" max="2" width="4.33203125" style="150" customWidth="1"/>
    <col min="3" max="3" width="19.109375" style="150" customWidth="1"/>
    <col min="4" max="4" width="9.109375" style="150" customWidth="1"/>
    <col min="5" max="5" width="6.6640625" style="150" customWidth="1"/>
    <col min="6" max="6" width="13.6640625" style="150" customWidth="1"/>
    <col min="7" max="7" width="11.6640625" style="150" customWidth="1"/>
    <col min="8" max="8" width="6.6640625" style="150" customWidth="1"/>
    <col min="9" max="9" width="12.6640625" style="150" customWidth="1"/>
    <col min="10" max="10" width="9.33203125" style="150" customWidth="1"/>
    <col min="11" max="11" width="7.88671875" style="150" customWidth="1"/>
    <col min="12" max="12" width="4.6640625" style="150" customWidth="1"/>
    <col min="13" max="15" width="6.6640625" style="150" customWidth="1"/>
    <col min="16" max="16" width="13.88671875" style="150" customWidth="1"/>
    <col min="17" max="18" width="6.6640625" style="150" customWidth="1"/>
    <col min="19" max="20" width="7.6640625" style="150" customWidth="1"/>
    <col min="21" max="21" width="6.88671875" style="150" customWidth="1"/>
    <col min="22" max="22" width="13.6640625" style="150" customWidth="1"/>
    <col min="23" max="23" width="5.6640625" style="150" customWidth="1"/>
    <col min="24" max="24" width="18.6640625" style="150" customWidth="1"/>
    <col min="25" max="25" width="14.33203125" style="150" customWidth="1"/>
    <col min="26" max="26" width="13.5546875" style="150" customWidth="1"/>
    <col min="27" max="27" width="11.44140625" style="150" customWidth="1"/>
    <col min="28" max="28" width="16.6640625" style="150" customWidth="1"/>
    <col min="29" max="16384" width="9.109375" style="150"/>
  </cols>
  <sheetData>
    <row r="1" spans="2:31" ht="19.5" customHeight="1">
      <c r="B1" s="474" t="s">
        <v>2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spans="2:31" ht="21" customHeight="1">
      <c r="B2" s="220" t="s">
        <v>155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</row>
    <row r="3" spans="2:31" ht="10.5" customHeight="1"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</row>
    <row r="4" spans="2:31" s="535" customFormat="1" ht="2.25" customHeight="1" thickBot="1"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6"/>
    </row>
    <row r="5" spans="2:31" s="429" customFormat="1" ht="10.8" thickTop="1">
      <c r="B5" s="538" t="s">
        <v>154</v>
      </c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40"/>
    </row>
    <row r="6" spans="2:31" ht="4.5" customHeight="1" thickBot="1">
      <c r="B6" s="651"/>
      <c r="C6" s="652"/>
      <c r="D6" s="652"/>
      <c r="E6" s="652"/>
      <c r="F6" s="652"/>
      <c r="G6" s="652"/>
      <c r="H6" s="652"/>
      <c r="I6" s="652"/>
      <c r="J6" s="652"/>
      <c r="K6" s="652"/>
      <c r="L6" s="652"/>
      <c r="M6" s="652"/>
      <c r="N6" s="652"/>
      <c r="O6" s="652"/>
      <c r="P6" s="652"/>
      <c r="Q6" s="652"/>
      <c r="R6" s="652"/>
      <c r="S6" s="652"/>
      <c r="T6" s="652"/>
      <c r="U6" s="652"/>
      <c r="V6" s="652"/>
      <c r="W6" s="653"/>
      <c r="Y6" s="152" t="s">
        <v>90</v>
      </c>
      <c r="AA6" s="152" t="s">
        <v>90</v>
      </c>
    </row>
    <row r="7" spans="2:31" s="171" customFormat="1" ht="20.100000000000001" customHeight="1" thickTop="1" thickBot="1">
      <c r="B7" s="662" t="s">
        <v>473</v>
      </c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4"/>
      <c r="Y7" s="479"/>
      <c r="AA7" s="479"/>
    </row>
    <row r="8" spans="2:31" s="151" customFormat="1" ht="17.25" customHeight="1" thickTop="1" thickBot="1">
      <c r="B8" s="545">
        <v>1</v>
      </c>
      <c r="C8" s="654" t="s">
        <v>152</v>
      </c>
      <c r="D8" s="655"/>
      <c r="E8" s="656"/>
      <c r="F8" s="169" t="s">
        <v>151</v>
      </c>
      <c r="G8" s="657" t="s">
        <v>150</v>
      </c>
      <c r="H8" s="658"/>
      <c r="I8" s="658"/>
      <c r="J8" s="659"/>
      <c r="K8" s="657" t="s">
        <v>149</v>
      </c>
      <c r="L8" s="658"/>
      <c r="M8" s="658"/>
      <c r="N8" s="658"/>
      <c r="O8" s="659"/>
      <c r="P8" s="660" t="s">
        <v>148</v>
      </c>
      <c r="Q8" s="657" t="s">
        <v>147</v>
      </c>
      <c r="R8" s="658"/>
      <c r="S8" s="658"/>
      <c r="T8" s="659"/>
      <c r="U8" s="657" t="s">
        <v>146</v>
      </c>
      <c r="V8" s="658"/>
      <c r="W8" s="661"/>
      <c r="Y8" s="152" t="s">
        <v>90</v>
      </c>
      <c r="Z8" s="152" t="s">
        <v>90</v>
      </c>
      <c r="AA8" s="152" t="s">
        <v>90</v>
      </c>
    </row>
    <row r="9" spans="2:31" ht="24" customHeight="1" thickBot="1">
      <c r="B9" s="645"/>
      <c r="C9" s="800"/>
      <c r="D9" s="792"/>
      <c r="E9" s="785"/>
      <c r="F9" s="168"/>
      <c r="G9" s="800"/>
      <c r="H9" s="792"/>
      <c r="I9" s="792"/>
      <c r="J9" s="785"/>
      <c r="K9" s="800"/>
      <c r="L9" s="792"/>
      <c r="M9" s="792"/>
      <c r="N9" s="792"/>
      <c r="O9" s="785"/>
      <c r="P9" s="167"/>
      <c r="Q9" s="794"/>
      <c r="R9" s="792"/>
      <c r="S9" s="792"/>
      <c r="T9" s="785"/>
      <c r="U9" s="791"/>
      <c r="V9" s="792"/>
      <c r="W9" s="793"/>
      <c r="Y9" s="152"/>
      <c r="AA9" s="152"/>
      <c r="AC9" s="152"/>
      <c r="AE9" s="152"/>
    </row>
    <row r="10" spans="2:31" ht="15" hidden="1" customHeight="1">
      <c r="B10" s="547"/>
      <c r="C10" s="166" t="s">
        <v>146</v>
      </c>
      <c r="D10" s="166"/>
      <c r="E10" s="166" t="s">
        <v>145</v>
      </c>
      <c r="F10" s="166"/>
      <c r="G10" s="176"/>
      <c r="H10" s="177" t="s">
        <v>144</v>
      </c>
      <c r="I10" s="166"/>
      <c r="J10" s="166"/>
      <c r="K10" s="166"/>
      <c r="L10" s="165"/>
      <c r="M10" s="177" t="s">
        <v>143</v>
      </c>
      <c r="N10" s="166"/>
      <c r="O10" s="166"/>
      <c r="P10" s="166"/>
      <c r="Q10" s="166"/>
      <c r="R10" s="166"/>
      <c r="S10" s="166"/>
      <c r="T10" s="166"/>
      <c r="U10" s="166"/>
      <c r="V10" s="166"/>
      <c r="W10" s="548"/>
      <c r="AE10" s="152"/>
    </row>
    <row r="11" spans="2:31" ht="21.75" hidden="1" customHeight="1">
      <c r="B11" s="547"/>
      <c r="C11" s="164"/>
      <c r="D11" s="163"/>
      <c r="E11" s="159"/>
      <c r="F11" s="162"/>
      <c r="G11" s="161"/>
      <c r="H11" s="159"/>
      <c r="I11" s="162"/>
      <c r="J11" s="162"/>
      <c r="K11" s="162"/>
      <c r="L11" s="163"/>
      <c r="M11" s="159"/>
      <c r="N11" s="162"/>
      <c r="O11" s="162"/>
      <c r="P11" s="162"/>
      <c r="Q11" s="162"/>
      <c r="R11" s="162"/>
      <c r="S11" s="162"/>
      <c r="T11" s="162"/>
      <c r="U11" s="162"/>
      <c r="V11" s="162"/>
      <c r="W11" s="549"/>
      <c r="Y11" s="152"/>
      <c r="AA11" s="152"/>
      <c r="AC11" s="152"/>
      <c r="AE11" s="152"/>
    </row>
    <row r="12" spans="2:31" ht="12" hidden="1" customHeight="1">
      <c r="B12" s="547"/>
      <c r="C12" s="162" t="s">
        <v>142</v>
      </c>
      <c r="D12" s="162"/>
      <c r="E12" s="161"/>
      <c r="F12" s="162"/>
      <c r="G12" s="159" t="s">
        <v>141</v>
      </c>
      <c r="H12" s="161"/>
      <c r="I12" s="161"/>
      <c r="J12" s="161"/>
      <c r="K12" s="160" t="s">
        <v>140</v>
      </c>
      <c r="L12" s="160"/>
      <c r="M12" s="160" t="s">
        <v>139</v>
      </c>
      <c r="N12" s="159"/>
      <c r="O12" s="159"/>
      <c r="P12" s="159"/>
      <c r="Q12" s="159"/>
      <c r="R12" s="159"/>
      <c r="S12" s="159"/>
      <c r="T12" s="159"/>
      <c r="U12" s="159"/>
      <c r="V12" s="159"/>
      <c r="W12" s="550" t="s">
        <v>138</v>
      </c>
      <c r="X12" s="152" t="s">
        <v>90</v>
      </c>
      <c r="Y12" s="152" t="s">
        <v>90</v>
      </c>
      <c r="Z12" s="152" t="s">
        <v>90</v>
      </c>
      <c r="AA12" s="152" t="s">
        <v>90</v>
      </c>
    </row>
    <row r="13" spans="2:31" ht="18.75" hidden="1" customHeight="1">
      <c r="B13" s="547"/>
      <c r="C13" s="158"/>
      <c r="D13" s="158"/>
      <c r="E13" s="178"/>
      <c r="F13" s="158"/>
      <c r="G13" s="179"/>
      <c r="H13" s="157"/>
      <c r="I13" s="157"/>
      <c r="J13" s="157"/>
      <c r="K13" s="156"/>
      <c r="L13" s="156"/>
      <c r="M13" s="156"/>
      <c r="N13" s="155"/>
      <c r="O13" s="155"/>
      <c r="P13" s="155"/>
      <c r="Q13" s="155"/>
      <c r="R13" s="155"/>
      <c r="S13" s="155"/>
      <c r="T13" s="155"/>
      <c r="U13" s="155"/>
      <c r="V13" s="155"/>
      <c r="W13" s="551"/>
      <c r="Y13" s="152"/>
      <c r="AA13" s="152"/>
      <c r="AC13" s="152"/>
      <c r="AE13" s="152"/>
    </row>
    <row r="14" spans="2:31" s="171" customFormat="1" ht="21" customHeight="1" thickBot="1">
      <c r="B14" s="644"/>
      <c r="C14" s="632" t="s">
        <v>474</v>
      </c>
      <c r="D14" s="632"/>
      <c r="E14" s="632"/>
      <c r="F14" s="632"/>
      <c r="G14" s="632"/>
      <c r="H14" s="633"/>
      <c r="I14" s="646" t="s">
        <v>475</v>
      </c>
      <c r="J14" s="634"/>
      <c r="K14" s="634"/>
      <c r="L14" s="634"/>
      <c r="M14" s="647"/>
      <c r="N14" s="632" t="s">
        <v>476</v>
      </c>
      <c r="O14" s="632"/>
      <c r="P14" s="632"/>
      <c r="Q14" s="632"/>
      <c r="R14" s="632"/>
      <c r="S14" s="632"/>
      <c r="T14" s="632"/>
      <c r="U14" s="632"/>
      <c r="V14" s="632"/>
      <c r="W14" s="648"/>
      <c r="Y14" s="479"/>
      <c r="AA14" s="479"/>
      <c r="AC14" s="479"/>
      <c r="AE14" s="479"/>
    </row>
    <row r="15" spans="2:31" s="186" customFormat="1" ht="19.5" customHeight="1" thickBot="1">
      <c r="B15" s="554">
        <v>2</v>
      </c>
      <c r="C15" s="728" t="s">
        <v>134</v>
      </c>
      <c r="D15" s="187"/>
      <c r="E15" s="187"/>
      <c r="F15" s="293" t="s">
        <v>127</v>
      </c>
      <c r="G15" s="188"/>
      <c r="H15" s="385"/>
      <c r="I15" s="679" t="s">
        <v>132</v>
      </c>
      <c r="J15" s="247"/>
      <c r="K15" s="247"/>
      <c r="L15" s="247"/>
      <c r="M15" s="248"/>
      <c r="N15" s="643" t="s">
        <v>133</v>
      </c>
      <c r="O15" s="640"/>
      <c r="P15" s="640"/>
      <c r="Q15" s="640"/>
      <c r="R15" s="640"/>
      <c r="S15" s="640"/>
      <c r="T15" s="640"/>
      <c r="U15" s="640"/>
      <c r="V15" s="640"/>
      <c r="W15" s="641"/>
      <c r="Y15" s="154"/>
      <c r="AA15" s="154"/>
      <c r="AC15" s="154"/>
      <c r="AE15" s="154"/>
    </row>
    <row r="16" spans="2:31" s="186" customFormat="1" ht="20.100000000000001" customHeight="1">
      <c r="B16" s="556"/>
      <c r="C16" s="729" t="s">
        <v>486</v>
      </c>
      <c r="D16" s="180"/>
      <c r="E16" s="180"/>
      <c r="F16" s="294" t="s">
        <v>127</v>
      </c>
      <c r="G16" s="181"/>
      <c r="H16" s="386"/>
      <c r="I16" s="680" t="s">
        <v>132</v>
      </c>
      <c r="J16" s="216"/>
      <c r="K16" s="216"/>
      <c r="L16" s="216"/>
      <c r="M16" s="217"/>
      <c r="N16" s="905"/>
      <c r="O16" s="906"/>
      <c r="P16" s="906"/>
      <c r="Q16" s="906"/>
      <c r="R16" s="906"/>
      <c r="S16" s="906"/>
      <c r="T16" s="906"/>
      <c r="U16" s="906"/>
      <c r="V16" s="906"/>
      <c r="W16" s="907"/>
      <c r="Y16" s="154"/>
      <c r="AA16" s="154"/>
      <c r="AC16" s="154"/>
      <c r="AE16" s="154"/>
    </row>
    <row r="17" spans="2:32" s="151" customFormat="1" ht="20.100000000000001" customHeight="1">
      <c r="B17" s="556"/>
      <c r="C17" s="729" t="s">
        <v>487</v>
      </c>
      <c r="D17" s="180"/>
      <c r="E17" s="180"/>
      <c r="F17" s="294" t="s">
        <v>130</v>
      </c>
      <c r="G17" s="181"/>
      <c r="H17" s="387"/>
      <c r="I17" s="280" t="s">
        <v>126</v>
      </c>
      <c r="J17" s="182"/>
      <c r="K17" s="795"/>
      <c r="L17" s="796"/>
      <c r="M17" s="797"/>
      <c r="N17" s="908"/>
      <c r="O17" s="909"/>
      <c r="P17" s="909"/>
      <c r="Q17" s="909"/>
      <c r="R17" s="909"/>
      <c r="S17" s="909"/>
      <c r="T17" s="909"/>
      <c r="U17" s="909"/>
      <c r="V17" s="909"/>
      <c r="W17" s="910"/>
    </row>
    <row r="18" spans="2:32" s="151" customFormat="1" ht="20.100000000000001" customHeight="1">
      <c r="B18" s="556"/>
      <c r="C18" s="729" t="s">
        <v>337</v>
      </c>
      <c r="D18" s="180"/>
      <c r="E18" s="180"/>
      <c r="F18" s="294" t="s">
        <v>130</v>
      </c>
      <c r="G18" s="181"/>
      <c r="H18" s="387"/>
      <c r="I18" s="280" t="s">
        <v>126</v>
      </c>
      <c r="J18" s="182"/>
      <c r="K18" s="795"/>
      <c r="L18" s="796"/>
      <c r="M18" s="797"/>
      <c r="N18" s="911"/>
      <c r="O18" s="909"/>
      <c r="P18" s="909"/>
      <c r="Q18" s="909"/>
      <c r="R18" s="909"/>
      <c r="S18" s="909"/>
      <c r="T18" s="909"/>
      <c r="U18" s="909"/>
      <c r="V18" s="909"/>
      <c r="W18" s="910"/>
    </row>
    <row r="19" spans="2:32" s="151" customFormat="1" ht="20.100000000000001" customHeight="1">
      <c r="B19" s="556"/>
      <c r="C19" s="729" t="s">
        <v>131</v>
      </c>
      <c r="D19" s="180"/>
      <c r="E19" s="180"/>
      <c r="F19" s="294" t="s">
        <v>130</v>
      </c>
      <c r="G19" s="181"/>
      <c r="H19" s="387"/>
      <c r="I19" s="280" t="s">
        <v>126</v>
      </c>
      <c r="J19" s="182"/>
      <c r="K19" s="795"/>
      <c r="L19" s="796"/>
      <c r="M19" s="797"/>
      <c r="N19" s="911"/>
      <c r="O19" s="909"/>
      <c r="P19" s="909"/>
      <c r="Q19" s="909"/>
      <c r="R19" s="909"/>
      <c r="S19" s="909"/>
      <c r="T19" s="909"/>
      <c r="U19" s="909"/>
      <c r="V19" s="909"/>
      <c r="W19" s="910"/>
    </row>
    <row r="20" spans="2:32" s="151" customFormat="1" ht="20.100000000000001" customHeight="1">
      <c r="B20" s="556"/>
      <c r="C20" s="729" t="s">
        <v>472</v>
      </c>
      <c r="D20" s="180"/>
      <c r="E20" s="180"/>
      <c r="F20" s="294" t="s">
        <v>130</v>
      </c>
      <c r="G20" s="181"/>
      <c r="H20" s="387"/>
      <c r="I20" s="280" t="s">
        <v>126</v>
      </c>
      <c r="J20" s="182"/>
      <c r="K20" s="795"/>
      <c r="L20" s="796"/>
      <c r="M20" s="797"/>
      <c r="N20" s="911"/>
      <c r="O20" s="909"/>
      <c r="P20" s="909"/>
      <c r="Q20" s="909"/>
      <c r="R20" s="909"/>
      <c r="S20" s="909"/>
      <c r="T20" s="909"/>
      <c r="U20" s="909"/>
      <c r="V20" s="909"/>
      <c r="W20" s="910"/>
    </row>
    <row r="21" spans="2:32" s="151" customFormat="1" ht="20.100000000000001" customHeight="1">
      <c r="B21" s="556"/>
      <c r="C21" s="729" t="s">
        <v>129</v>
      </c>
      <c r="D21" s="180"/>
      <c r="E21" s="180"/>
      <c r="F21" s="294" t="s">
        <v>128</v>
      </c>
      <c r="G21" s="181"/>
      <c r="H21" s="387"/>
      <c r="I21" s="280" t="s">
        <v>492</v>
      </c>
      <c r="J21" s="182"/>
      <c r="K21" s="795"/>
      <c r="L21" s="796"/>
      <c r="M21" s="797"/>
      <c r="N21" s="911"/>
      <c r="O21" s="909"/>
      <c r="P21" s="909"/>
      <c r="Q21" s="909"/>
      <c r="R21" s="909"/>
      <c r="S21" s="909"/>
      <c r="T21" s="909"/>
      <c r="U21" s="909"/>
      <c r="V21" s="909"/>
      <c r="W21" s="910"/>
    </row>
    <row r="22" spans="2:32" s="151" customFormat="1" ht="20.100000000000001" customHeight="1" thickBot="1">
      <c r="B22" s="556"/>
      <c r="C22" s="730" t="s">
        <v>340</v>
      </c>
      <c r="D22" s="897"/>
      <c r="E22" s="898"/>
      <c r="F22" s="899"/>
      <c r="G22" s="900"/>
      <c r="H22" s="649"/>
      <c r="I22" s="681" t="s">
        <v>126</v>
      </c>
      <c r="J22" s="650"/>
      <c r="K22" s="901"/>
      <c r="L22" s="902"/>
      <c r="M22" s="903"/>
      <c r="N22" s="911"/>
      <c r="O22" s="909"/>
      <c r="P22" s="909"/>
      <c r="Q22" s="909"/>
      <c r="R22" s="909"/>
      <c r="S22" s="909"/>
      <c r="T22" s="909"/>
      <c r="U22" s="909"/>
      <c r="V22" s="909"/>
      <c r="W22" s="910"/>
    </row>
    <row r="23" spans="2:32" s="474" customFormat="1" ht="20.100000000000001" customHeight="1" thickTop="1" thickBot="1">
      <c r="B23" s="662" t="s">
        <v>477</v>
      </c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4"/>
      <c r="AD23" s="475"/>
      <c r="AE23" s="475"/>
      <c r="AF23" s="475"/>
    </row>
    <row r="24" spans="2:32" s="212" customFormat="1" ht="4.5" customHeight="1" thickTop="1">
      <c r="B24" s="665"/>
      <c r="C24" s="211"/>
      <c r="D24" s="211"/>
      <c r="E24" s="394"/>
      <c r="F24" s="211"/>
      <c r="G24" s="211"/>
      <c r="H24" s="394"/>
      <c r="I24" s="215"/>
      <c r="J24" s="219"/>
      <c r="K24" s="215"/>
      <c r="L24" s="215"/>
      <c r="M24" s="394"/>
      <c r="N24" s="904" t="s">
        <v>372</v>
      </c>
      <c r="O24" s="808"/>
      <c r="P24" s="808"/>
      <c r="Q24" s="808"/>
      <c r="R24" s="808"/>
      <c r="S24" s="808"/>
      <c r="T24" s="808"/>
      <c r="U24" s="808"/>
      <c r="V24" s="808"/>
      <c r="W24" s="809"/>
    </row>
    <row r="25" spans="2:32" s="688" customFormat="1" ht="19.5" customHeight="1">
      <c r="B25" s="683">
        <v>3</v>
      </c>
      <c r="C25" s="684" t="s">
        <v>362</v>
      </c>
      <c r="D25" s="684"/>
      <c r="E25" s="685"/>
      <c r="F25" s="684" t="s">
        <v>122</v>
      </c>
      <c r="G25" s="684"/>
      <c r="H25" s="685"/>
      <c r="I25" s="684" t="s">
        <v>125</v>
      </c>
      <c r="J25" s="684"/>
      <c r="K25" s="684"/>
      <c r="L25" s="686"/>
      <c r="M25" s="687"/>
      <c r="N25" s="808"/>
      <c r="O25" s="808"/>
      <c r="P25" s="808"/>
      <c r="Q25" s="808"/>
      <c r="R25" s="808"/>
      <c r="S25" s="808"/>
      <c r="T25" s="808"/>
      <c r="U25" s="808"/>
      <c r="V25" s="808"/>
      <c r="W25" s="809"/>
    </row>
    <row r="26" spans="2:32" s="213" customFormat="1" ht="4.5" customHeight="1">
      <c r="B26" s="562"/>
      <c r="C26" s="462"/>
      <c r="D26" s="251"/>
      <c r="E26" s="383"/>
      <c r="F26" s="251"/>
      <c r="G26" s="251"/>
      <c r="H26" s="383"/>
      <c r="I26" s="251"/>
      <c r="J26" s="251"/>
      <c r="K26" s="251"/>
      <c r="L26" s="251"/>
      <c r="M26" s="383"/>
      <c r="N26" s="810"/>
      <c r="O26" s="810"/>
      <c r="P26" s="810"/>
      <c r="Q26" s="810"/>
      <c r="R26" s="810"/>
      <c r="S26" s="810"/>
      <c r="T26" s="810"/>
      <c r="U26" s="810"/>
      <c r="V26" s="810"/>
      <c r="W26" s="811"/>
    </row>
    <row r="27" spans="2:32" s="213" customFormat="1" ht="4.5" customHeight="1">
      <c r="B27" s="562"/>
      <c r="C27" s="214"/>
      <c r="D27" s="214"/>
      <c r="E27" s="461"/>
      <c r="F27" s="214"/>
      <c r="G27" s="214"/>
      <c r="H27" s="461"/>
      <c r="I27" s="214"/>
      <c r="J27" s="214"/>
      <c r="K27" s="214"/>
      <c r="L27" s="214"/>
      <c r="M27" s="461"/>
      <c r="N27" s="756"/>
      <c r="O27" s="756"/>
      <c r="P27" s="756"/>
      <c r="Q27" s="756"/>
      <c r="R27" s="756"/>
      <c r="S27" s="756"/>
      <c r="T27" s="756"/>
      <c r="U27" s="756"/>
      <c r="V27" s="756"/>
      <c r="W27" s="757"/>
    </row>
    <row r="28" spans="2:32" s="688" customFormat="1" ht="19.5" customHeight="1">
      <c r="B28" s="562"/>
      <c r="C28" s="684" t="s">
        <v>449</v>
      </c>
      <c r="D28" s="684"/>
      <c r="E28" s="685"/>
      <c r="F28" s="684" t="s">
        <v>116</v>
      </c>
      <c r="G28" s="684"/>
      <c r="H28" s="685"/>
      <c r="I28" s="684" t="s">
        <v>156</v>
      </c>
      <c r="J28" s="684"/>
      <c r="K28" s="684"/>
      <c r="L28" s="684"/>
      <c r="M28" s="685"/>
      <c r="N28" s="684" t="s">
        <v>157</v>
      </c>
      <c r="O28" s="684"/>
      <c r="P28" s="684"/>
      <c r="Q28" s="685"/>
      <c r="R28" s="684" t="s">
        <v>112</v>
      </c>
      <c r="S28" s="684"/>
      <c r="T28" s="755" t="s">
        <v>447</v>
      </c>
      <c r="U28" s="689"/>
      <c r="V28" s="690" t="s">
        <v>448</v>
      </c>
      <c r="W28" s="691"/>
    </row>
    <row r="29" spans="2:32" s="688" customFormat="1" ht="4.5" customHeight="1">
      <c r="B29" s="562"/>
      <c r="C29" s="692"/>
      <c r="D29" s="693"/>
      <c r="E29" s="694"/>
      <c r="F29" s="693"/>
      <c r="G29" s="693"/>
      <c r="H29" s="694"/>
      <c r="I29" s="693"/>
      <c r="J29" s="693"/>
      <c r="K29" s="693"/>
      <c r="L29" s="693"/>
      <c r="M29" s="694"/>
      <c r="N29" s="693"/>
      <c r="O29" s="693"/>
      <c r="P29" s="693"/>
      <c r="Q29" s="695"/>
      <c r="R29" s="695"/>
      <c r="S29" s="693"/>
      <c r="T29" s="693"/>
      <c r="U29" s="693"/>
      <c r="V29" s="693"/>
      <c r="W29" s="696"/>
    </row>
    <row r="30" spans="2:32" s="688" customFormat="1" ht="4.5" customHeight="1">
      <c r="B30" s="562"/>
      <c r="C30" s="684"/>
      <c r="D30" s="684"/>
      <c r="E30" s="695"/>
      <c r="F30" s="684"/>
      <c r="G30" s="684"/>
      <c r="H30" s="695"/>
      <c r="I30" s="684"/>
      <c r="J30" s="684"/>
      <c r="K30" s="684"/>
      <c r="L30" s="684"/>
      <c r="M30" s="695"/>
      <c r="N30" s="684"/>
      <c r="O30" s="684"/>
      <c r="P30" s="684"/>
      <c r="Q30" s="697"/>
      <c r="R30" s="697"/>
      <c r="S30" s="684"/>
      <c r="T30" s="684"/>
      <c r="U30" s="684"/>
      <c r="V30" s="684"/>
      <c r="W30" s="698"/>
    </row>
    <row r="31" spans="2:32" s="688" customFormat="1" ht="19.5" customHeight="1">
      <c r="B31" s="562"/>
      <c r="C31" s="684" t="s">
        <v>363</v>
      </c>
      <c r="D31" s="684"/>
      <c r="E31" s="685"/>
      <c r="F31" s="684" t="s">
        <v>158</v>
      </c>
      <c r="G31" s="684"/>
      <c r="H31" s="685"/>
      <c r="I31" s="684" t="s">
        <v>121</v>
      </c>
      <c r="J31" s="684"/>
      <c r="K31" s="699"/>
      <c r="L31" s="699"/>
      <c r="M31" s="685"/>
      <c r="N31" s="684" t="s">
        <v>120</v>
      </c>
      <c r="O31" s="684"/>
      <c r="P31" s="684"/>
      <c r="Q31" s="685"/>
      <c r="R31" s="684" t="s">
        <v>119</v>
      </c>
      <c r="S31" s="684"/>
      <c r="T31" s="684"/>
      <c r="U31" s="685"/>
      <c r="V31" s="684" t="s">
        <v>341</v>
      </c>
      <c r="W31" s="698"/>
    </row>
    <row r="32" spans="2:32" s="688" customFormat="1" ht="4.5" customHeight="1">
      <c r="B32" s="562"/>
      <c r="C32" s="692"/>
      <c r="D32" s="693"/>
      <c r="E32" s="694"/>
      <c r="F32" s="693"/>
      <c r="G32" s="693"/>
      <c r="H32" s="694"/>
      <c r="I32" s="693"/>
      <c r="J32" s="693"/>
      <c r="K32" s="693"/>
      <c r="L32" s="693"/>
      <c r="M32" s="694"/>
      <c r="N32" s="693"/>
      <c r="O32" s="693"/>
      <c r="P32" s="693"/>
      <c r="Q32" s="693"/>
      <c r="R32" s="695"/>
      <c r="S32" s="693"/>
      <c r="T32" s="693"/>
      <c r="U32" s="693"/>
      <c r="V32" s="693"/>
      <c r="W32" s="696"/>
    </row>
    <row r="33" spans="2:23" s="688" customFormat="1" ht="4.5" customHeight="1">
      <c r="B33" s="562"/>
      <c r="C33" s="684"/>
      <c r="D33" s="684"/>
      <c r="E33" s="695"/>
      <c r="F33" s="684"/>
      <c r="G33" s="684"/>
      <c r="H33" s="695"/>
      <c r="I33" s="684"/>
      <c r="J33" s="684"/>
      <c r="K33" s="684"/>
      <c r="L33" s="684"/>
      <c r="M33" s="697"/>
      <c r="N33" s="684"/>
      <c r="O33" s="684"/>
      <c r="P33" s="684"/>
      <c r="Q33" s="684"/>
      <c r="R33" s="697"/>
      <c r="S33" s="684"/>
      <c r="T33" s="684"/>
      <c r="U33" s="684"/>
      <c r="V33" s="684"/>
      <c r="W33" s="698"/>
    </row>
    <row r="34" spans="2:23" s="688" customFormat="1" ht="19.5" customHeight="1">
      <c r="B34" s="562"/>
      <c r="C34" s="684" t="s">
        <v>364</v>
      </c>
      <c r="D34" s="684"/>
      <c r="E34" s="685"/>
      <c r="F34" s="684" t="s">
        <v>113</v>
      </c>
      <c r="G34" s="684"/>
      <c r="H34" s="685"/>
      <c r="I34" s="684" t="s">
        <v>159</v>
      </c>
      <c r="J34" s="684"/>
      <c r="K34" s="699"/>
      <c r="L34" s="699"/>
      <c r="M34" s="685"/>
      <c r="N34" s="684" t="s">
        <v>452</v>
      </c>
      <c r="O34" s="684"/>
      <c r="P34" s="684"/>
      <c r="Q34" s="684"/>
      <c r="R34" s="684"/>
      <c r="S34" s="684"/>
      <c r="T34" s="684"/>
      <c r="U34" s="684"/>
      <c r="V34" s="684"/>
      <c r="W34" s="698"/>
    </row>
    <row r="35" spans="2:23" s="213" customFormat="1" ht="4.5" customHeight="1">
      <c r="B35" s="562"/>
      <c r="C35" s="462"/>
      <c r="D35" s="251"/>
      <c r="E35" s="383"/>
      <c r="F35" s="251"/>
      <c r="G35" s="251"/>
      <c r="H35" s="383"/>
      <c r="I35" s="251"/>
      <c r="J35" s="251"/>
      <c r="K35" s="251"/>
      <c r="L35" s="251"/>
      <c r="M35" s="461"/>
      <c r="N35" s="251"/>
      <c r="O35" s="251"/>
      <c r="P35" s="251"/>
      <c r="Q35" s="251"/>
      <c r="R35" s="461"/>
      <c r="S35" s="251"/>
      <c r="T35" s="251"/>
      <c r="U35" s="251"/>
      <c r="V35" s="251"/>
      <c r="W35" s="564"/>
    </row>
    <row r="36" spans="2:23" s="213" customFormat="1" ht="4.5" customHeight="1">
      <c r="B36" s="562"/>
      <c r="C36" s="214"/>
      <c r="D36" s="214"/>
      <c r="E36" s="461"/>
      <c r="F36" s="214"/>
      <c r="G36" s="214"/>
      <c r="H36" s="461"/>
      <c r="I36" s="214"/>
      <c r="J36" s="214"/>
      <c r="K36" s="214"/>
      <c r="L36" s="214"/>
      <c r="M36" s="225"/>
      <c r="N36" s="214"/>
      <c r="O36" s="214"/>
      <c r="P36" s="214"/>
      <c r="Q36" s="214"/>
      <c r="R36" s="225"/>
      <c r="S36" s="214"/>
      <c r="T36" s="214"/>
      <c r="U36" s="214"/>
      <c r="V36" s="214"/>
      <c r="W36" s="565"/>
    </row>
    <row r="37" spans="2:23" s="688" customFormat="1" ht="19.5" customHeight="1">
      <c r="B37" s="562"/>
      <c r="C37" s="684" t="s">
        <v>365</v>
      </c>
      <c r="D37" s="700"/>
      <c r="E37" s="685"/>
      <c r="F37" s="684" t="s">
        <v>124</v>
      </c>
      <c r="H37" s="701">
        <v>2</v>
      </c>
      <c r="I37" s="702" t="s">
        <v>481</v>
      </c>
      <c r="J37" s="703"/>
      <c r="K37" s="704"/>
      <c r="L37" s="812">
        <f>Sheet1!J1</f>
        <v>0</v>
      </c>
      <c r="M37" s="813"/>
      <c r="N37" s="488" t="e">
        <f>VLOOKUP(L37,Sheet1!K1:L1,2,FALSE)</f>
        <v>#N/A</v>
      </c>
      <c r="O37" s="684"/>
      <c r="P37" s="705"/>
      <c r="Q37" s="684"/>
      <c r="R37" s="684"/>
      <c r="S37" s="684"/>
      <c r="T37" s="684"/>
      <c r="U37" s="684"/>
      <c r="V37" s="706"/>
      <c r="W37" s="707"/>
    </row>
    <row r="38" spans="2:23" s="213" customFormat="1" ht="4.5" customHeight="1">
      <c r="B38" s="562"/>
      <c r="C38" s="462"/>
      <c r="D38" s="251"/>
      <c r="E38" s="383"/>
      <c r="F38" s="251"/>
      <c r="G38" s="251"/>
      <c r="H38" s="383"/>
      <c r="I38" s="251"/>
      <c r="J38" s="251"/>
      <c r="K38" s="464"/>
      <c r="L38" s="464"/>
      <c r="M38" s="464"/>
      <c r="N38" s="251"/>
      <c r="O38" s="251"/>
      <c r="P38" s="251"/>
      <c r="Q38" s="251"/>
      <c r="R38" s="461"/>
      <c r="S38" s="251"/>
      <c r="T38" s="251"/>
      <c r="U38" s="251"/>
      <c r="V38" s="251"/>
      <c r="W38" s="564"/>
    </row>
    <row r="39" spans="2:23" s="213" customFormat="1" ht="4.5" customHeight="1">
      <c r="B39" s="562"/>
      <c r="C39" s="214"/>
      <c r="D39" s="214"/>
      <c r="E39" s="461"/>
      <c r="F39" s="214"/>
      <c r="G39" s="214"/>
      <c r="H39" s="461"/>
      <c r="I39" s="214"/>
      <c r="J39" s="214"/>
      <c r="K39" s="227"/>
      <c r="L39" s="227"/>
      <c r="M39" s="227"/>
      <c r="N39" s="214"/>
      <c r="O39" s="214"/>
      <c r="P39" s="214"/>
      <c r="Q39" s="214"/>
      <c r="R39" s="225"/>
      <c r="S39" s="214"/>
      <c r="T39" s="214"/>
      <c r="U39" s="214"/>
      <c r="V39" s="214"/>
      <c r="W39" s="565"/>
    </row>
    <row r="40" spans="2:23" s="688" customFormat="1" ht="19.5" customHeight="1">
      <c r="B40" s="562"/>
      <c r="C40" s="684" t="s">
        <v>366</v>
      </c>
      <c r="D40" s="684"/>
      <c r="E40" s="685"/>
      <c r="F40" s="684" t="s">
        <v>123</v>
      </c>
      <c r="G40" s="684"/>
      <c r="H40" s="685"/>
      <c r="I40" s="702" t="s">
        <v>482</v>
      </c>
      <c r="J40" s="708"/>
      <c r="K40" s="532"/>
      <c r="L40" s="533"/>
      <c r="M40" s="709"/>
      <c r="N40" s="833"/>
      <c r="O40" s="816"/>
      <c r="P40" s="710"/>
      <c r="Q40" s="685"/>
      <c r="R40" s="214" t="s">
        <v>491</v>
      </c>
      <c r="S40" s="684"/>
      <c r="T40" s="684"/>
      <c r="U40" s="684"/>
      <c r="V40" s="489"/>
      <c r="W40" s="711"/>
    </row>
    <row r="41" spans="2:23" s="213" customFormat="1" ht="4.5" customHeight="1">
      <c r="B41" s="562"/>
      <c r="C41" s="462"/>
      <c r="D41" s="251"/>
      <c r="E41" s="383"/>
      <c r="F41" s="251"/>
      <c r="G41" s="251"/>
      <c r="H41" s="383"/>
      <c r="I41" s="251"/>
      <c r="J41" s="251"/>
      <c r="K41" s="464"/>
      <c r="L41" s="464"/>
      <c r="M41" s="464"/>
      <c r="N41" s="251"/>
      <c r="O41" s="251"/>
      <c r="P41" s="251"/>
      <c r="Q41" s="251"/>
      <c r="R41" s="461"/>
      <c r="S41" s="251"/>
      <c r="T41" s="251"/>
      <c r="U41" s="251"/>
      <c r="V41" s="251"/>
      <c r="W41" s="564"/>
    </row>
    <row r="42" spans="2:23" s="213" customFormat="1" ht="4.5" customHeight="1">
      <c r="B42" s="562"/>
      <c r="C42" s="214"/>
      <c r="D42" s="214"/>
      <c r="E42" s="461"/>
      <c r="F42" s="214"/>
      <c r="G42" s="214"/>
      <c r="H42" s="461"/>
      <c r="I42" s="214"/>
      <c r="J42" s="214"/>
      <c r="K42" s="227"/>
      <c r="L42" s="227"/>
      <c r="M42" s="227"/>
      <c r="N42" s="214"/>
      <c r="O42" s="214"/>
      <c r="P42" s="214"/>
      <c r="Q42" s="214"/>
      <c r="R42" s="225"/>
      <c r="S42" s="214"/>
      <c r="T42" s="214"/>
      <c r="U42" s="214"/>
      <c r="V42" s="214"/>
      <c r="W42" s="565"/>
    </row>
    <row r="43" spans="2:23" s="688" customFormat="1" ht="19.5" customHeight="1">
      <c r="B43" s="562"/>
      <c r="C43" s="682" t="s">
        <v>367</v>
      </c>
      <c r="D43" s="684"/>
      <c r="E43" s="685"/>
      <c r="F43" s="684" t="s">
        <v>114</v>
      </c>
      <c r="G43" s="684"/>
      <c r="H43" s="685"/>
      <c r="I43" s="702" t="s">
        <v>483</v>
      </c>
      <c r="J43" s="693"/>
      <c r="K43" s="814"/>
      <c r="L43" s="815"/>
      <c r="M43" s="816"/>
      <c r="N43" s="712"/>
      <c r="O43" s="705"/>
      <c r="P43" s="705"/>
      <c r="Q43" s="705"/>
      <c r="R43" s="684"/>
      <c r="S43" s="684"/>
      <c r="T43" s="684"/>
      <c r="U43" s="684"/>
      <c r="W43" s="698"/>
    </row>
    <row r="44" spans="2:23" s="213" customFormat="1" ht="4.5" customHeight="1">
      <c r="B44" s="562"/>
      <c r="C44" s="462"/>
      <c r="D44" s="251"/>
      <c r="E44" s="383"/>
      <c r="F44" s="251"/>
      <c r="G44" s="251"/>
      <c r="H44" s="383"/>
      <c r="I44" s="251"/>
      <c r="J44" s="251"/>
      <c r="K44" s="251"/>
      <c r="L44" s="251"/>
      <c r="M44" s="461"/>
      <c r="N44" s="251"/>
      <c r="O44" s="251"/>
      <c r="P44" s="251"/>
      <c r="Q44" s="251"/>
      <c r="R44" s="461"/>
      <c r="S44" s="251"/>
      <c r="T44" s="251"/>
      <c r="U44" s="251"/>
      <c r="V44" s="251"/>
      <c r="W44" s="564"/>
    </row>
    <row r="45" spans="2:23" s="213" customFormat="1" ht="4.5" customHeight="1">
      <c r="B45" s="562"/>
      <c r="C45" s="214"/>
      <c r="D45" s="214"/>
      <c r="E45" s="225"/>
      <c r="F45" s="214"/>
      <c r="G45" s="214"/>
      <c r="H45" s="225"/>
      <c r="I45" s="214"/>
      <c r="J45" s="214"/>
      <c r="K45" s="214"/>
      <c r="L45" s="214"/>
      <c r="M45" s="225"/>
      <c r="N45" s="214"/>
      <c r="O45" s="214"/>
      <c r="P45" s="214"/>
      <c r="Q45" s="214"/>
      <c r="R45" s="225"/>
      <c r="S45" s="214"/>
      <c r="T45" s="214"/>
      <c r="U45" s="214"/>
      <c r="V45" s="214"/>
      <c r="W45" s="565"/>
    </row>
    <row r="46" spans="2:23" s="213" customFormat="1" ht="19.5" customHeight="1">
      <c r="B46" s="562"/>
      <c r="C46" s="214" t="s">
        <v>368</v>
      </c>
      <c r="D46" s="214"/>
      <c r="E46" s="227" t="s">
        <v>118</v>
      </c>
      <c r="F46" s="758"/>
      <c r="G46" s="214"/>
      <c r="H46" s="227" t="s">
        <v>117</v>
      </c>
      <c r="I46" s="420"/>
      <c r="J46" s="214"/>
      <c r="K46" s="398"/>
      <c r="L46" s="398" t="s">
        <v>115</v>
      </c>
      <c r="M46" s="842"/>
      <c r="N46" s="843"/>
      <c r="O46" s="218"/>
      <c r="P46" s="218"/>
      <c r="Q46" s="218"/>
      <c r="R46" s="214"/>
      <c r="S46" s="214"/>
      <c r="T46" s="214"/>
      <c r="U46" s="214"/>
      <c r="V46" s="214"/>
      <c r="W46" s="568"/>
    </row>
    <row r="47" spans="2:23" s="213" customFormat="1" ht="4.5" customHeight="1">
      <c r="B47" s="562"/>
      <c r="C47" s="462"/>
      <c r="D47" s="251"/>
      <c r="E47" s="461"/>
      <c r="F47" s="251"/>
      <c r="G47" s="251"/>
      <c r="H47" s="461"/>
      <c r="I47" s="251"/>
      <c r="J47" s="251"/>
      <c r="K47" s="251"/>
      <c r="L47" s="251"/>
      <c r="M47" s="461"/>
      <c r="N47" s="251"/>
      <c r="O47" s="251"/>
      <c r="P47" s="251"/>
      <c r="Q47" s="251"/>
      <c r="R47" s="461"/>
      <c r="S47" s="251"/>
      <c r="T47" s="251"/>
      <c r="U47" s="251"/>
      <c r="V47" s="251"/>
      <c r="W47" s="564"/>
    </row>
    <row r="48" spans="2:23" s="213" customFormat="1" ht="4.5" customHeight="1">
      <c r="B48" s="562"/>
      <c r="C48" s="214"/>
      <c r="D48" s="214"/>
      <c r="E48" s="225"/>
      <c r="F48" s="214"/>
      <c r="G48" s="214"/>
      <c r="H48" s="225"/>
      <c r="I48" s="214"/>
      <c r="J48" s="214"/>
      <c r="K48" s="214"/>
      <c r="L48" s="214"/>
      <c r="M48" s="225"/>
      <c r="N48" s="214"/>
      <c r="O48" s="214"/>
      <c r="P48" s="214"/>
      <c r="Q48" s="214"/>
      <c r="R48" s="225"/>
      <c r="S48" s="214"/>
      <c r="T48" s="214"/>
      <c r="U48" s="214"/>
      <c r="V48" s="214"/>
      <c r="W48" s="565"/>
    </row>
    <row r="49" spans="2:32" s="688" customFormat="1" ht="15.6">
      <c r="B49" s="562"/>
      <c r="C49" s="713" t="s">
        <v>488</v>
      </c>
      <c r="D49" s="684"/>
      <c r="E49" s="684"/>
      <c r="F49" s="684"/>
      <c r="G49" s="684"/>
      <c r="H49" s="684"/>
      <c r="I49" s="684"/>
      <c r="J49" s="684"/>
      <c r="K49" s="699"/>
      <c r="L49" s="699"/>
      <c r="M49" s="699"/>
      <c r="N49" s="684"/>
      <c r="O49" s="705"/>
      <c r="P49" s="705"/>
      <c r="Q49" s="705"/>
      <c r="R49" s="684"/>
      <c r="S49" s="684"/>
      <c r="T49" s="684"/>
      <c r="U49" s="684"/>
      <c r="V49" s="684"/>
      <c r="W49" s="714"/>
    </row>
    <row r="50" spans="2:32" s="688" customFormat="1" ht="19.5" customHeight="1">
      <c r="B50" s="562"/>
      <c r="C50" s="715" t="s">
        <v>489</v>
      </c>
      <c r="D50" s="684"/>
      <c r="E50" s="684"/>
      <c r="F50" s="684"/>
      <c r="G50" s="684"/>
      <c r="H50" s="684"/>
      <c r="I50" s="684"/>
      <c r="J50" s="684"/>
      <c r="K50" s="699"/>
      <c r="L50" s="699"/>
      <c r="M50" s="699"/>
      <c r="N50" s="684"/>
      <c r="O50" s="705"/>
      <c r="P50" s="705"/>
      <c r="Q50" s="705"/>
      <c r="R50" s="684"/>
      <c r="S50" s="684"/>
      <c r="T50" s="684"/>
      <c r="U50" s="684"/>
      <c r="V50" s="684"/>
      <c r="W50" s="714"/>
    </row>
    <row r="51" spans="2:32" s="718" customFormat="1" ht="19.5" customHeight="1">
      <c r="B51" s="569"/>
      <c r="C51" s="684"/>
      <c r="D51" s="706" t="s">
        <v>160</v>
      </c>
      <c r="E51" s="798"/>
      <c r="F51" s="799"/>
      <c r="G51" s="894" t="e">
        <f>VLOOKUP(E51,Sheet1!I153:J414,2,FALSE)</f>
        <v>#N/A</v>
      </c>
      <c r="H51" s="895"/>
      <c r="I51" s="895"/>
      <c r="J51" s="895"/>
      <c r="K51" s="895"/>
      <c r="L51" s="895"/>
      <c r="M51" s="895"/>
      <c r="N51" s="684"/>
      <c r="O51" s="684"/>
      <c r="P51" s="684"/>
      <c r="Q51" s="684"/>
      <c r="R51" s="684"/>
      <c r="S51" s="684"/>
      <c r="T51" s="684"/>
      <c r="U51" s="684"/>
      <c r="V51" s="716">
        <v>0</v>
      </c>
      <c r="W51" s="717">
        <v>0</v>
      </c>
    </row>
    <row r="52" spans="2:32" s="213" customFormat="1" ht="4.5" customHeight="1" thickBot="1">
      <c r="B52" s="562"/>
      <c r="C52" s="214"/>
      <c r="D52" s="214"/>
      <c r="E52" s="225"/>
      <c r="F52" s="214"/>
      <c r="G52" s="214"/>
      <c r="H52" s="250"/>
      <c r="I52" s="214"/>
      <c r="J52" s="214"/>
      <c r="K52" s="214"/>
      <c r="L52" s="214"/>
      <c r="M52" s="250"/>
      <c r="N52" s="214"/>
      <c r="O52" s="214"/>
      <c r="P52" s="214"/>
      <c r="Q52" s="214"/>
      <c r="R52" s="225"/>
      <c r="S52" s="214"/>
      <c r="T52" s="214"/>
      <c r="U52" s="214"/>
      <c r="V52" s="214"/>
      <c r="W52" s="565"/>
    </row>
    <row r="53" spans="2:32" s="474" customFormat="1" ht="20.100000000000001" customHeight="1" thickTop="1" thickBot="1">
      <c r="B53" s="666"/>
      <c r="C53" s="663" t="s">
        <v>478</v>
      </c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4"/>
      <c r="AD53" s="475"/>
      <c r="AE53" s="475"/>
      <c r="AF53" s="475"/>
    </row>
    <row r="54" spans="2:32" s="688" customFormat="1" ht="15.75" customHeight="1" thickTop="1">
      <c r="B54" s="720" t="s">
        <v>111</v>
      </c>
      <c r="C54" s="713" t="s">
        <v>490</v>
      </c>
      <c r="D54" s="684"/>
      <c r="E54" s="684"/>
      <c r="F54" s="684"/>
      <c r="G54" s="684"/>
      <c r="H54" s="684"/>
      <c r="I54" s="684"/>
      <c r="J54" s="684"/>
      <c r="K54" s="684"/>
      <c r="L54" s="684"/>
      <c r="M54" s="684"/>
      <c r="N54" s="684"/>
      <c r="O54" s="684"/>
      <c r="P54" s="684"/>
      <c r="Q54" s="684"/>
      <c r="R54" s="684"/>
      <c r="S54" s="684"/>
      <c r="T54" s="684"/>
      <c r="U54" s="684"/>
      <c r="V54" s="684"/>
      <c r="W54" s="714"/>
    </row>
    <row r="55" spans="2:32" s="688" customFormat="1" ht="19.5" customHeight="1">
      <c r="B55" s="573"/>
      <c r="C55" s="715" t="s">
        <v>484</v>
      </c>
      <c r="D55" s="684"/>
      <c r="E55" s="684"/>
      <c r="F55" s="684"/>
      <c r="G55" s="684"/>
      <c r="H55" s="684"/>
      <c r="I55" s="684"/>
      <c r="J55" s="684"/>
      <c r="K55" s="684"/>
      <c r="L55" s="684"/>
      <c r="M55" s="684"/>
      <c r="N55" s="684"/>
      <c r="O55" s="684"/>
      <c r="P55" s="684"/>
      <c r="Q55" s="684"/>
      <c r="R55" s="684"/>
      <c r="S55" s="684"/>
      <c r="T55" s="684"/>
      <c r="U55" s="684"/>
      <c r="V55" s="684"/>
      <c r="W55" s="714"/>
    </row>
    <row r="56" spans="2:32" s="688" customFormat="1" ht="19.5" customHeight="1">
      <c r="B56" s="721" t="s">
        <v>109</v>
      </c>
      <c r="C56" s="706" t="s">
        <v>103</v>
      </c>
      <c r="D56" s="782"/>
      <c r="E56" s="783"/>
      <c r="F56" s="684"/>
      <c r="G56" s="706" t="s">
        <v>104</v>
      </c>
      <c r="H56" s="872"/>
      <c r="I56" s="896"/>
      <c r="J56" s="896"/>
      <c r="K56" s="896"/>
      <c r="L56" s="896"/>
      <c r="M56" s="896"/>
      <c r="N56" s="896"/>
      <c r="O56" s="896"/>
      <c r="P56" s="896"/>
      <c r="Q56" s="896"/>
      <c r="R56" s="896"/>
      <c r="S56" s="684"/>
      <c r="T56" s="684"/>
      <c r="U56" s="684"/>
      <c r="V56" s="684"/>
      <c r="W56" s="714"/>
    </row>
    <row r="57" spans="2:32" s="213" customFormat="1" ht="4.5" customHeight="1" thickBot="1">
      <c r="B57" s="575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568"/>
    </row>
    <row r="58" spans="2:32" s="151" customFormat="1" ht="15" customHeight="1" thickBot="1">
      <c r="B58" s="576"/>
      <c r="C58" s="226" t="s">
        <v>108</v>
      </c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577"/>
      <c r="AA58" s="152"/>
      <c r="AC58" s="152"/>
    </row>
    <row r="59" spans="2:32" s="292" customFormat="1" ht="26.25" customHeight="1" thickBot="1">
      <c r="B59" s="578"/>
      <c r="C59" s="283" t="s">
        <v>338</v>
      </c>
      <c r="D59" s="880" t="s">
        <v>339</v>
      </c>
      <c r="E59" s="881"/>
      <c r="F59" s="289" t="s">
        <v>101</v>
      </c>
      <c r="G59" s="289"/>
      <c r="H59" s="737" t="s">
        <v>100</v>
      </c>
      <c r="I59" s="738"/>
      <c r="J59" s="289" t="s">
        <v>162</v>
      </c>
      <c r="K59" s="288"/>
      <c r="L59" s="289"/>
      <c r="M59" s="739" t="s">
        <v>98</v>
      </c>
      <c r="N59" s="289"/>
      <c r="O59" s="289"/>
      <c r="P59" s="289"/>
      <c r="Q59" s="289"/>
      <c r="R59" s="740"/>
      <c r="S59" s="882" t="s">
        <v>163</v>
      </c>
      <c r="T59" s="883"/>
      <c r="U59" s="884" t="s">
        <v>97</v>
      </c>
      <c r="V59" s="830"/>
      <c r="W59" s="579"/>
      <c r="X59" s="290" t="s">
        <v>90</v>
      </c>
      <c r="Y59" s="291" t="s">
        <v>90</v>
      </c>
      <c r="AC59" s="291"/>
      <c r="AD59" s="291"/>
      <c r="AE59" s="291"/>
      <c r="AF59" s="292" t="s">
        <v>90</v>
      </c>
    </row>
    <row r="60" spans="2:32" s="390" customFormat="1" ht="19.5" customHeight="1">
      <c r="B60" s="580"/>
      <c r="C60" s="731"/>
      <c r="D60" s="885"/>
      <c r="E60" s="886"/>
      <c r="F60" s="887"/>
      <c r="G60" s="887"/>
      <c r="H60" s="888"/>
      <c r="I60" s="889"/>
      <c r="J60" s="887"/>
      <c r="K60" s="887"/>
      <c r="L60" s="887"/>
      <c r="M60" s="741" t="e">
        <f>VLOOKUP(H60,Sheet1!I$54:J$289,2,FALSE)</f>
        <v>#N/A</v>
      </c>
      <c r="N60" s="732"/>
      <c r="O60" s="732"/>
      <c r="P60" s="732"/>
      <c r="Q60" s="732"/>
      <c r="R60" s="742"/>
      <c r="S60" s="890" t="e">
        <f>SUM(U60/U$67)</f>
        <v>#DIV/0!</v>
      </c>
      <c r="T60" s="891"/>
      <c r="U60" s="892"/>
      <c r="V60" s="893"/>
      <c r="W60" s="579"/>
      <c r="X60" s="389"/>
    </row>
    <row r="61" spans="2:32" s="390" customFormat="1" ht="19.5" customHeight="1">
      <c r="B61" s="580"/>
      <c r="C61" s="733"/>
      <c r="D61" s="861"/>
      <c r="E61" s="862"/>
      <c r="F61" s="863"/>
      <c r="G61" s="863"/>
      <c r="H61" s="864"/>
      <c r="I61" s="865"/>
      <c r="J61" s="863"/>
      <c r="K61" s="863"/>
      <c r="L61" s="863"/>
      <c r="M61" s="743" t="e">
        <f>VLOOKUP(H61,Sheet1!I$54:J$289,2,FALSE)</f>
        <v>#N/A</v>
      </c>
      <c r="N61" s="734"/>
      <c r="O61" s="734"/>
      <c r="P61" s="734"/>
      <c r="Q61" s="734"/>
      <c r="R61" s="744"/>
      <c r="S61" s="866" t="e">
        <f>SUM(U61/U$67)</f>
        <v>#DIV/0!</v>
      </c>
      <c r="T61" s="867"/>
      <c r="U61" s="868"/>
      <c r="V61" s="869"/>
      <c r="W61" s="581"/>
      <c r="X61" s="389"/>
    </row>
    <row r="62" spans="2:32" s="390" customFormat="1" ht="19.5" customHeight="1">
      <c r="B62" s="580"/>
      <c r="C62" s="733"/>
      <c r="D62" s="861"/>
      <c r="E62" s="862"/>
      <c r="F62" s="863"/>
      <c r="G62" s="863"/>
      <c r="H62" s="864"/>
      <c r="I62" s="865"/>
      <c r="J62" s="863"/>
      <c r="K62" s="863"/>
      <c r="L62" s="863"/>
      <c r="M62" s="743" t="e">
        <f>VLOOKUP(H62,Sheet1!I$54:J$289,2,FALSE)</f>
        <v>#N/A</v>
      </c>
      <c r="N62" s="734"/>
      <c r="O62" s="734"/>
      <c r="P62" s="734"/>
      <c r="Q62" s="734"/>
      <c r="R62" s="744"/>
      <c r="S62" s="866" t="e">
        <f>SUM(U62/U$67)</f>
        <v>#DIV/0!</v>
      </c>
      <c r="T62" s="867"/>
      <c r="U62" s="868"/>
      <c r="V62" s="869"/>
      <c r="W62" s="581"/>
      <c r="X62" s="389"/>
    </row>
    <row r="63" spans="2:32" s="390" customFormat="1" ht="19.5" customHeight="1">
      <c r="B63" s="580"/>
      <c r="C63" s="733"/>
      <c r="D63" s="861"/>
      <c r="E63" s="862"/>
      <c r="F63" s="863"/>
      <c r="G63" s="863"/>
      <c r="H63" s="864"/>
      <c r="I63" s="865"/>
      <c r="J63" s="863"/>
      <c r="K63" s="863"/>
      <c r="L63" s="863"/>
      <c r="M63" s="743" t="e">
        <f>VLOOKUP(H63,Sheet1!I$54:J$289,2,FALSE)</f>
        <v>#N/A</v>
      </c>
      <c r="N63" s="734"/>
      <c r="O63" s="734"/>
      <c r="P63" s="734"/>
      <c r="Q63" s="734"/>
      <c r="R63" s="744"/>
      <c r="S63" s="866" t="e">
        <f t="shared" ref="S63:S65" si="0">SUM(U63/U$67)</f>
        <v>#DIV/0!</v>
      </c>
      <c r="T63" s="867"/>
      <c r="U63" s="868"/>
      <c r="V63" s="869"/>
      <c r="W63" s="581"/>
      <c r="X63" s="389"/>
    </row>
    <row r="64" spans="2:32" s="390" customFormat="1" ht="19.5" customHeight="1">
      <c r="B64" s="580"/>
      <c r="C64" s="733"/>
      <c r="D64" s="861"/>
      <c r="E64" s="862"/>
      <c r="F64" s="863"/>
      <c r="G64" s="863"/>
      <c r="H64" s="864"/>
      <c r="I64" s="865"/>
      <c r="J64" s="863"/>
      <c r="K64" s="863"/>
      <c r="L64" s="863"/>
      <c r="M64" s="743" t="e">
        <f>VLOOKUP(H64,Sheet1!I$54:J$289,2,FALSE)</f>
        <v>#N/A</v>
      </c>
      <c r="N64" s="734"/>
      <c r="O64" s="734"/>
      <c r="P64" s="734"/>
      <c r="Q64" s="734"/>
      <c r="R64" s="744"/>
      <c r="S64" s="866" t="e">
        <f t="shared" si="0"/>
        <v>#DIV/0!</v>
      </c>
      <c r="T64" s="867"/>
      <c r="U64" s="868"/>
      <c r="V64" s="869"/>
      <c r="W64" s="581"/>
      <c r="X64" s="389"/>
    </row>
    <row r="65" spans="2:32" s="390" customFormat="1" ht="19.5" customHeight="1" thickBot="1">
      <c r="B65" s="580"/>
      <c r="C65" s="735"/>
      <c r="D65" s="852"/>
      <c r="E65" s="853"/>
      <c r="F65" s="854"/>
      <c r="G65" s="854"/>
      <c r="H65" s="855"/>
      <c r="I65" s="856"/>
      <c r="J65" s="854"/>
      <c r="K65" s="854"/>
      <c r="L65" s="854"/>
      <c r="M65" s="745" t="e">
        <f>VLOOKUP(H65,Sheet1!I$54:J$289,2,FALSE)</f>
        <v>#N/A</v>
      </c>
      <c r="N65" s="736"/>
      <c r="O65" s="736"/>
      <c r="P65" s="736"/>
      <c r="Q65" s="736"/>
      <c r="R65" s="746"/>
      <c r="S65" s="857" t="e">
        <f t="shared" si="0"/>
        <v>#DIV/0!</v>
      </c>
      <c r="T65" s="858"/>
      <c r="U65" s="859"/>
      <c r="V65" s="860"/>
      <c r="W65" s="581"/>
      <c r="X65" s="389"/>
    </row>
    <row r="66" spans="2:32" s="151" customFormat="1" ht="4.5" customHeight="1" thickBot="1">
      <c r="B66" s="582"/>
      <c r="C66" s="400"/>
      <c r="D66" s="400"/>
      <c r="E66" s="401"/>
      <c r="F66" s="402"/>
      <c r="G66" s="401"/>
      <c r="H66" s="402"/>
      <c r="I66" s="401"/>
      <c r="J66" s="402"/>
      <c r="K66" s="401"/>
      <c r="L66" s="401"/>
      <c r="M66" s="403"/>
      <c r="N66" s="403"/>
      <c r="O66" s="403"/>
      <c r="P66" s="403"/>
      <c r="Q66" s="403"/>
      <c r="R66" s="399"/>
      <c r="S66" s="295"/>
      <c r="T66" s="295"/>
      <c r="U66" s="404"/>
      <c r="V66" s="405"/>
      <c r="W66" s="581"/>
      <c r="X66" s="152"/>
    </row>
    <row r="67" spans="2:32" s="292" customFormat="1" ht="24" customHeight="1" thickBot="1">
      <c r="B67" s="722"/>
      <c r="C67" s="723" t="s">
        <v>485</v>
      </c>
      <c r="E67" s="724"/>
      <c r="F67" s="724"/>
      <c r="G67" s="725"/>
      <c r="H67" s="724"/>
      <c r="I67" s="724"/>
      <c r="J67" s="724"/>
      <c r="K67" s="725"/>
      <c r="L67" s="725"/>
      <c r="M67" s="726"/>
      <c r="N67" s="726"/>
      <c r="O67" s="726"/>
      <c r="P67" s="724"/>
      <c r="Q67" s="727" t="s">
        <v>59</v>
      </c>
      <c r="R67" s="727"/>
      <c r="S67" s="870" t="e">
        <f>SUM(S60:T65)</f>
        <v>#DIV/0!</v>
      </c>
      <c r="T67" s="849"/>
      <c r="U67" s="871">
        <f>SUM(U60:V65)</f>
        <v>0</v>
      </c>
      <c r="V67" s="837"/>
      <c r="W67" s="579"/>
      <c r="X67" s="291"/>
    </row>
    <row r="68" spans="2:32" s="213" customFormat="1" ht="12" customHeight="1">
      <c r="B68" s="584"/>
      <c r="D68" s="253"/>
      <c r="G68" s="214"/>
      <c r="L68" s="214"/>
      <c r="M68" s="214"/>
      <c r="N68" s="214"/>
      <c r="O68" s="214"/>
      <c r="P68" s="214"/>
      <c r="Q68" s="214"/>
      <c r="R68" s="214"/>
      <c r="S68" s="214"/>
      <c r="T68" s="435" t="s">
        <v>374</v>
      </c>
      <c r="U68" s="214"/>
      <c r="V68" s="214"/>
      <c r="W68" s="583"/>
    </row>
    <row r="69" spans="2:32" s="213" customFormat="1" ht="4.5" customHeight="1" thickBot="1">
      <c r="B69" s="584"/>
      <c r="C69" s="214"/>
      <c r="D69" s="214"/>
      <c r="E69" s="214"/>
      <c r="F69" s="214"/>
      <c r="G69" s="214"/>
      <c r="H69" s="214"/>
      <c r="I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565"/>
    </row>
    <row r="70" spans="2:32" s="171" customFormat="1" ht="17.25" customHeight="1" thickTop="1" thickBot="1">
      <c r="B70" s="667"/>
      <c r="C70" s="663" t="s">
        <v>479</v>
      </c>
      <c r="D70" s="663"/>
      <c r="E70" s="663"/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3"/>
      <c r="R70" s="663"/>
      <c r="S70" s="663"/>
      <c r="T70" s="663"/>
      <c r="U70" s="663"/>
      <c r="V70" s="663"/>
      <c r="W70" s="664"/>
    </row>
    <row r="71" spans="2:32" s="688" customFormat="1" ht="21.9" customHeight="1" thickTop="1">
      <c r="B71" s="719" t="s">
        <v>107</v>
      </c>
      <c r="C71" s="706" t="s">
        <v>103</v>
      </c>
      <c r="D71" s="782"/>
      <c r="E71" s="783"/>
      <c r="F71" s="684"/>
      <c r="G71" s="706" t="s">
        <v>104</v>
      </c>
      <c r="H71" s="872"/>
      <c r="I71" s="873"/>
      <c r="J71" s="873"/>
      <c r="K71" s="873"/>
      <c r="L71" s="873"/>
      <c r="M71" s="873"/>
      <c r="N71" s="873"/>
      <c r="O71" s="873"/>
      <c r="P71" s="873"/>
      <c r="Q71" s="873"/>
      <c r="R71" s="873"/>
      <c r="S71" s="684"/>
      <c r="T71" s="684"/>
      <c r="U71" s="684"/>
      <c r="V71" s="684"/>
      <c r="W71" s="714"/>
    </row>
    <row r="72" spans="2:32" s="213" customFormat="1" ht="4.5" customHeight="1" thickBot="1">
      <c r="B72" s="587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568"/>
    </row>
    <row r="73" spans="2:32" s="151" customFormat="1" ht="15" customHeight="1" thickBot="1">
      <c r="B73" s="642" t="s">
        <v>105</v>
      </c>
      <c r="C73" s="226" t="s">
        <v>102</v>
      </c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577"/>
      <c r="AA73" s="152"/>
      <c r="AC73" s="152"/>
    </row>
    <row r="74" spans="2:32" s="292" customFormat="1" ht="26.25" customHeight="1">
      <c r="B74" s="578"/>
      <c r="C74" s="747" t="s">
        <v>338</v>
      </c>
      <c r="D74" s="874" t="s">
        <v>339</v>
      </c>
      <c r="E74" s="875"/>
      <c r="F74" s="749" t="s">
        <v>101</v>
      </c>
      <c r="G74" s="749"/>
      <c r="H74" s="751" t="s">
        <v>100</v>
      </c>
      <c r="I74" s="752"/>
      <c r="J74" s="749" t="s">
        <v>99</v>
      </c>
      <c r="K74" s="748"/>
      <c r="L74" s="749"/>
      <c r="M74" s="753" t="s">
        <v>98</v>
      </c>
      <c r="N74" s="749"/>
      <c r="O74" s="749"/>
      <c r="P74" s="749"/>
      <c r="Q74" s="749"/>
      <c r="R74" s="754"/>
      <c r="S74" s="876" t="s">
        <v>163</v>
      </c>
      <c r="T74" s="877"/>
      <c r="U74" s="878" t="s">
        <v>97</v>
      </c>
      <c r="V74" s="879"/>
      <c r="W74" s="579"/>
      <c r="X74" s="290" t="s">
        <v>90</v>
      </c>
      <c r="Y74" s="291" t="s">
        <v>90</v>
      </c>
      <c r="AC74" s="291"/>
      <c r="AD74" s="291"/>
      <c r="AE74" s="291"/>
      <c r="AF74" s="292" t="s">
        <v>90</v>
      </c>
    </row>
    <row r="75" spans="2:32" s="390" customFormat="1" ht="19.5" customHeight="1">
      <c r="B75" s="580"/>
      <c r="C75" s="750"/>
      <c r="D75" s="861"/>
      <c r="E75" s="862"/>
      <c r="F75" s="863"/>
      <c r="G75" s="863"/>
      <c r="H75" s="864"/>
      <c r="I75" s="865"/>
      <c r="J75" s="863"/>
      <c r="K75" s="863"/>
      <c r="L75" s="863"/>
      <c r="M75" s="743" t="e">
        <f>VLOOKUP(H75,Sheet1!I$54:J$289,2,FALSE)</f>
        <v>#N/A</v>
      </c>
      <c r="N75" s="734"/>
      <c r="O75" s="734"/>
      <c r="P75" s="734"/>
      <c r="Q75" s="734"/>
      <c r="R75" s="744"/>
      <c r="S75" s="866" t="e">
        <f t="shared" ref="S75:S80" si="1">SUM(U75/U$82)</f>
        <v>#DIV/0!</v>
      </c>
      <c r="T75" s="867"/>
      <c r="U75" s="868"/>
      <c r="V75" s="869"/>
      <c r="W75" s="581"/>
      <c r="X75" s="389"/>
    </row>
    <row r="76" spans="2:32" s="390" customFormat="1" ht="19.5" customHeight="1">
      <c r="B76" s="580"/>
      <c r="C76" s="733"/>
      <c r="D76" s="861"/>
      <c r="E76" s="862"/>
      <c r="F76" s="863"/>
      <c r="G76" s="863"/>
      <c r="H76" s="864"/>
      <c r="I76" s="865"/>
      <c r="J76" s="863"/>
      <c r="K76" s="863"/>
      <c r="L76" s="863"/>
      <c r="M76" s="743" t="e">
        <f>VLOOKUP(H76,Sheet1!I$54:J$289,2,FALSE)</f>
        <v>#N/A</v>
      </c>
      <c r="N76" s="734"/>
      <c r="O76" s="734"/>
      <c r="P76" s="734"/>
      <c r="Q76" s="734"/>
      <c r="R76" s="744"/>
      <c r="S76" s="866" t="e">
        <f t="shared" si="1"/>
        <v>#DIV/0!</v>
      </c>
      <c r="T76" s="867"/>
      <c r="U76" s="868"/>
      <c r="V76" s="869"/>
      <c r="W76" s="581"/>
      <c r="X76" s="389"/>
    </row>
    <row r="77" spans="2:32" s="390" customFormat="1" ht="19.5" customHeight="1">
      <c r="B77" s="580"/>
      <c r="C77" s="733"/>
      <c r="D77" s="861"/>
      <c r="E77" s="862"/>
      <c r="F77" s="863"/>
      <c r="G77" s="863"/>
      <c r="H77" s="864"/>
      <c r="I77" s="865"/>
      <c r="J77" s="863"/>
      <c r="K77" s="863"/>
      <c r="L77" s="863"/>
      <c r="M77" s="743" t="e">
        <f>VLOOKUP(H77,Sheet1!I$54:J$289,2,FALSE)</f>
        <v>#N/A</v>
      </c>
      <c r="N77" s="734"/>
      <c r="O77" s="734"/>
      <c r="P77" s="734"/>
      <c r="Q77" s="734"/>
      <c r="R77" s="744"/>
      <c r="S77" s="866" t="e">
        <f t="shared" si="1"/>
        <v>#DIV/0!</v>
      </c>
      <c r="T77" s="867"/>
      <c r="U77" s="868"/>
      <c r="V77" s="869"/>
      <c r="W77" s="581"/>
      <c r="X77" s="389"/>
    </row>
    <row r="78" spans="2:32" s="390" customFormat="1" ht="19.5" customHeight="1">
      <c r="B78" s="580"/>
      <c r="C78" s="733"/>
      <c r="D78" s="861"/>
      <c r="E78" s="862"/>
      <c r="F78" s="863"/>
      <c r="G78" s="863"/>
      <c r="H78" s="864"/>
      <c r="I78" s="865"/>
      <c r="J78" s="863"/>
      <c r="K78" s="863"/>
      <c r="L78" s="863"/>
      <c r="M78" s="743" t="e">
        <f>VLOOKUP(H78,Sheet1!I$54:J$289,2,FALSE)</f>
        <v>#N/A</v>
      </c>
      <c r="N78" s="734"/>
      <c r="O78" s="734"/>
      <c r="P78" s="734"/>
      <c r="Q78" s="734"/>
      <c r="R78" s="744"/>
      <c r="S78" s="866" t="e">
        <f t="shared" si="1"/>
        <v>#DIV/0!</v>
      </c>
      <c r="T78" s="867"/>
      <c r="U78" s="868"/>
      <c r="V78" s="869"/>
      <c r="W78" s="581"/>
      <c r="X78" s="389"/>
    </row>
    <row r="79" spans="2:32" s="390" customFormat="1" ht="19.5" customHeight="1">
      <c r="B79" s="580"/>
      <c r="C79" s="733"/>
      <c r="D79" s="861"/>
      <c r="E79" s="862"/>
      <c r="F79" s="863"/>
      <c r="G79" s="863"/>
      <c r="H79" s="864"/>
      <c r="I79" s="865"/>
      <c r="J79" s="863"/>
      <c r="K79" s="863"/>
      <c r="L79" s="863"/>
      <c r="M79" s="743" t="e">
        <f>VLOOKUP(H79,Sheet1!I$54:J$289,2,FALSE)</f>
        <v>#N/A</v>
      </c>
      <c r="N79" s="734"/>
      <c r="O79" s="734"/>
      <c r="P79" s="734"/>
      <c r="Q79" s="734"/>
      <c r="R79" s="744"/>
      <c r="S79" s="866" t="e">
        <f t="shared" si="1"/>
        <v>#DIV/0!</v>
      </c>
      <c r="T79" s="867"/>
      <c r="U79" s="868"/>
      <c r="V79" s="869"/>
      <c r="W79" s="581"/>
      <c r="X79" s="389"/>
    </row>
    <row r="80" spans="2:32" s="390" customFormat="1" ht="19.5" customHeight="1" thickBot="1">
      <c r="B80" s="580"/>
      <c r="C80" s="735"/>
      <c r="D80" s="852"/>
      <c r="E80" s="853"/>
      <c r="F80" s="854"/>
      <c r="G80" s="854"/>
      <c r="H80" s="855"/>
      <c r="I80" s="856"/>
      <c r="J80" s="854"/>
      <c r="K80" s="854"/>
      <c r="L80" s="854"/>
      <c r="M80" s="745" t="e">
        <f>VLOOKUP(H80,Sheet1!I$54:J$289,2,FALSE)</f>
        <v>#N/A</v>
      </c>
      <c r="N80" s="736"/>
      <c r="O80" s="736"/>
      <c r="P80" s="736"/>
      <c r="Q80" s="736"/>
      <c r="R80" s="746"/>
      <c r="S80" s="857" t="e">
        <f t="shared" si="1"/>
        <v>#DIV/0!</v>
      </c>
      <c r="T80" s="858"/>
      <c r="U80" s="859"/>
      <c r="V80" s="860"/>
      <c r="W80" s="581"/>
      <c r="X80" s="389"/>
    </row>
    <row r="81" spans="2:27" s="151" customFormat="1" ht="4.5" customHeight="1" thickBot="1">
      <c r="B81" s="582"/>
      <c r="C81" s="400"/>
      <c r="D81" s="400"/>
      <c r="E81" s="401"/>
      <c r="F81" s="402"/>
      <c r="G81" s="401"/>
      <c r="H81" s="402"/>
      <c r="I81" s="401"/>
      <c r="J81" s="402"/>
      <c r="K81" s="401"/>
      <c r="L81" s="401"/>
      <c r="M81" s="403"/>
      <c r="N81" s="403"/>
      <c r="O81" s="403"/>
      <c r="P81" s="403"/>
      <c r="Q81" s="403"/>
      <c r="R81" s="399"/>
      <c r="S81" s="295"/>
      <c r="T81" s="295"/>
      <c r="U81" s="404"/>
      <c r="V81" s="405"/>
      <c r="W81" s="583"/>
      <c r="X81" s="152"/>
    </row>
    <row r="82" spans="2:27" s="151" customFormat="1" ht="24" customHeight="1" thickBot="1">
      <c r="B82" s="582"/>
      <c r="C82" s="400"/>
      <c r="D82" s="400"/>
      <c r="E82" s="401"/>
      <c r="F82" s="228"/>
      <c r="G82" s="401"/>
      <c r="H82" s="537"/>
      <c r="I82" s="537"/>
      <c r="J82" s="537"/>
      <c r="K82" s="401"/>
      <c r="L82" s="401"/>
      <c r="M82" s="403"/>
      <c r="N82" s="403"/>
      <c r="O82" s="403"/>
      <c r="P82" s="537"/>
      <c r="Q82" s="406" t="s">
        <v>59</v>
      </c>
      <c r="R82" s="406"/>
      <c r="S82" s="834" t="e">
        <f>SUM(S75:T80)</f>
        <v>#DIV/0!</v>
      </c>
      <c r="T82" s="835"/>
      <c r="U82" s="836">
        <f>SUM(U75:V80)</f>
        <v>0</v>
      </c>
      <c r="V82" s="837"/>
      <c r="W82" s="583"/>
      <c r="X82" s="152"/>
    </row>
    <row r="83" spans="2:27" s="242" customFormat="1" ht="4.5" customHeight="1" thickBot="1">
      <c r="B83" s="582"/>
      <c r="C83" s="407"/>
      <c r="D83" s="407"/>
      <c r="E83" s="408"/>
      <c r="F83" s="228"/>
      <c r="G83" s="408"/>
      <c r="H83" s="229"/>
      <c r="I83" s="229"/>
      <c r="J83" s="229"/>
      <c r="K83" s="408"/>
      <c r="L83" s="408"/>
      <c r="M83" s="409"/>
      <c r="N83" s="409"/>
      <c r="O83" s="409"/>
      <c r="P83" s="229"/>
      <c r="Q83" s="409"/>
      <c r="R83" s="668"/>
      <c r="S83" s="243"/>
      <c r="T83" s="411"/>
      <c r="U83" s="669"/>
      <c r="V83" s="670"/>
      <c r="W83" s="583"/>
      <c r="X83" s="244"/>
    </row>
    <row r="84" spans="2:27" s="468" customFormat="1" ht="17.25" customHeight="1" thickTop="1" thickBot="1">
      <c r="B84" s="662" t="s">
        <v>480</v>
      </c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4"/>
      <c r="X84" s="467"/>
    </row>
    <row r="85" spans="2:27" s="151" customFormat="1" ht="21" customHeight="1" thickTop="1" thickBot="1">
      <c r="B85" s="545">
        <v>5</v>
      </c>
      <c r="C85" s="850" t="s">
        <v>96</v>
      </c>
      <c r="D85" s="851"/>
      <c r="E85" s="671"/>
      <c r="F85" s="672"/>
      <c r="G85" s="672"/>
      <c r="H85" s="672"/>
      <c r="I85" s="672"/>
      <c r="J85" s="672"/>
      <c r="K85" s="672"/>
      <c r="L85" s="673"/>
      <c r="M85" s="674"/>
      <c r="N85" s="675"/>
      <c r="O85" s="675"/>
      <c r="P85" s="675"/>
      <c r="Q85" s="675"/>
      <c r="R85" s="675"/>
      <c r="S85" s="675"/>
      <c r="T85" s="676"/>
      <c r="U85" s="677"/>
      <c r="V85" s="677"/>
      <c r="W85" s="678"/>
    </row>
    <row r="86" spans="2:27" s="151" customFormat="1" ht="12" customHeight="1" thickBot="1">
      <c r="B86" s="591"/>
      <c r="C86" s="846"/>
      <c r="D86" s="847"/>
      <c r="E86" s="235" t="s">
        <v>95</v>
      </c>
      <c r="F86" s="236"/>
      <c r="G86" s="236"/>
      <c r="H86" s="236"/>
      <c r="I86" s="236"/>
      <c r="J86" s="236"/>
      <c r="K86" s="236"/>
      <c r="L86" s="237"/>
      <c r="M86" s="235" t="s">
        <v>73</v>
      </c>
      <c r="N86" s="236"/>
      <c r="O86" s="236"/>
      <c r="P86" s="236"/>
      <c r="Q86" s="236"/>
      <c r="R86" s="236"/>
      <c r="S86" s="236"/>
      <c r="T86" s="433"/>
      <c r="U86" s="431"/>
      <c r="V86" s="431"/>
      <c r="W86" s="592"/>
      <c r="X86" s="189"/>
      <c r="Y86" s="151" t="s">
        <v>90</v>
      </c>
    </row>
    <row r="87" spans="2:27" s="471" customFormat="1" ht="20.100000000000001" customHeight="1" thickBot="1">
      <c r="B87" s="635"/>
      <c r="C87" s="636" t="s">
        <v>93</v>
      </c>
      <c r="D87" s="636"/>
      <c r="E87" s="636"/>
      <c r="F87" s="636"/>
      <c r="G87" s="636"/>
      <c r="H87" s="636"/>
      <c r="I87" s="636"/>
      <c r="J87" s="636"/>
      <c r="K87" s="636"/>
      <c r="L87" s="636"/>
      <c r="M87" s="636"/>
      <c r="N87" s="636"/>
      <c r="O87" s="636"/>
      <c r="P87" s="636"/>
      <c r="Q87" s="636"/>
      <c r="R87" s="636"/>
      <c r="S87" s="636"/>
      <c r="T87" s="636"/>
      <c r="U87" s="636"/>
      <c r="V87" s="636"/>
      <c r="W87" s="637"/>
      <c r="X87" s="470"/>
    </row>
    <row r="88" spans="2:27" s="151" customFormat="1" ht="16.2" thickBot="1">
      <c r="B88" s="595"/>
      <c r="C88" s="298" t="s">
        <v>92</v>
      </c>
      <c r="D88" s="299"/>
      <c r="E88" s="299"/>
      <c r="F88" s="299"/>
      <c r="G88" s="299"/>
      <c r="H88" s="299"/>
      <c r="I88" s="299"/>
      <c r="J88" s="299"/>
      <c r="K88" s="299"/>
      <c r="L88" s="298" t="s">
        <v>91</v>
      </c>
      <c r="M88" s="298"/>
      <c r="N88" s="299"/>
      <c r="O88" s="299"/>
      <c r="P88" s="299"/>
      <c r="Q88" s="299"/>
      <c r="R88" s="299"/>
      <c r="S88" s="299"/>
      <c r="T88" s="299"/>
      <c r="U88" s="299"/>
      <c r="V88" s="299"/>
      <c r="W88" s="596"/>
      <c r="X88" s="189"/>
      <c r="AA88" s="151" t="s">
        <v>90</v>
      </c>
    </row>
    <row r="89" spans="2:27" s="151" customFormat="1" ht="24" customHeight="1">
      <c r="B89" s="595"/>
      <c r="C89" s="391" t="s">
        <v>356</v>
      </c>
      <c r="D89" s="195"/>
      <c r="E89" s="369"/>
      <c r="F89" s="369"/>
      <c r="G89" s="369"/>
      <c r="H89" s="369"/>
      <c r="I89" s="370"/>
      <c r="J89" s="193" t="s">
        <v>83</v>
      </c>
      <c r="K89" s="194"/>
      <c r="L89" s="391" t="s">
        <v>356</v>
      </c>
      <c r="M89" s="195"/>
      <c r="N89" s="195"/>
      <c r="O89" s="195"/>
      <c r="P89" s="369"/>
      <c r="Q89" s="369"/>
      <c r="R89" s="369"/>
      <c r="S89" s="369"/>
      <c r="T89" s="369"/>
      <c r="U89" s="370"/>
      <c r="V89" s="193" t="s">
        <v>83</v>
      </c>
      <c r="W89" s="597"/>
      <c r="X89" s="189"/>
    </row>
    <row r="90" spans="2:27" s="151" customFormat="1" ht="24" customHeight="1">
      <c r="B90" s="598"/>
      <c r="C90" s="392" t="s">
        <v>357</v>
      </c>
      <c r="D90" s="198"/>
      <c r="E90" s="371"/>
      <c r="F90" s="371"/>
      <c r="G90" s="371"/>
      <c r="H90" s="371"/>
      <c r="I90" s="372"/>
      <c r="J90" s="196" t="s">
        <v>83</v>
      </c>
      <c r="K90" s="197"/>
      <c r="L90" s="392" t="s">
        <v>357</v>
      </c>
      <c r="M90" s="198"/>
      <c r="N90" s="198"/>
      <c r="O90" s="198"/>
      <c r="P90" s="375"/>
      <c r="Q90" s="375"/>
      <c r="R90" s="375"/>
      <c r="S90" s="375"/>
      <c r="T90" s="375"/>
      <c r="U90" s="376"/>
      <c r="V90" s="196" t="s">
        <v>83</v>
      </c>
      <c r="W90" s="599"/>
      <c r="X90" s="189"/>
      <c r="Y90" s="151" t="s">
        <v>90</v>
      </c>
      <c r="AA90" s="151" t="s">
        <v>90</v>
      </c>
    </row>
    <row r="91" spans="2:27" s="151" customFormat="1" ht="24" customHeight="1">
      <c r="B91" s="598"/>
      <c r="C91" s="392" t="s">
        <v>358</v>
      </c>
      <c r="D91" s="198"/>
      <c r="E91" s="371"/>
      <c r="F91" s="371"/>
      <c r="G91" s="371"/>
      <c r="H91" s="371"/>
      <c r="I91" s="372"/>
      <c r="J91" s="196" t="s">
        <v>83</v>
      </c>
      <c r="K91" s="197"/>
      <c r="L91" s="392" t="s">
        <v>358</v>
      </c>
      <c r="M91" s="198"/>
      <c r="N91" s="198"/>
      <c r="O91" s="198"/>
      <c r="P91" s="375"/>
      <c r="Q91" s="375"/>
      <c r="R91" s="375"/>
      <c r="S91" s="375"/>
      <c r="T91" s="375"/>
      <c r="U91" s="376"/>
      <c r="V91" s="196" t="s">
        <v>83</v>
      </c>
      <c r="W91" s="599"/>
      <c r="X91" s="189"/>
      <c r="Y91" s="151" t="s">
        <v>90</v>
      </c>
      <c r="AA91" s="151" t="s">
        <v>90</v>
      </c>
    </row>
    <row r="92" spans="2:27" s="151" customFormat="1" ht="24" customHeight="1" thickBot="1">
      <c r="B92" s="600"/>
      <c r="C92" s="230" t="s">
        <v>359</v>
      </c>
      <c r="D92" s="201"/>
      <c r="E92" s="393"/>
      <c r="F92" s="373"/>
      <c r="G92" s="373"/>
      <c r="H92" s="373"/>
      <c r="I92" s="374"/>
      <c r="J92" s="199" t="s">
        <v>83</v>
      </c>
      <c r="K92" s="200"/>
      <c r="L92" s="230" t="s">
        <v>359</v>
      </c>
      <c r="M92" s="201"/>
      <c r="N92" s="201"/>
      <c r="O92" s="201"/>
      <c r="P92" s="377"/>
      <c r="Q92" s="377"/>
      <c r="R92" s="377"/>
      <c r="S92" s="377"/>
      <c r="T92" s="377"/>
      <c r="U92" s="378"/>
      <c r="V92" s="199" t="s">
        <v>83</v>
      </c>
      <c r="W92" s="601"/>
      <c r="X92" s="189"/>
      <c r="Y92" s="151" t="s">
        <v>90</v>
      </c>
      <c r="AA92" s="151" t="s">
        <v>90</v>
      </c>
    </row>
    <row r="93" spans="2:27" s="468" customFormat="1" ht="16.5" customHeight="1" thickBot="1">
      <c r="B93" s="602" t="s">
        <v>446</v>
      </c>
      <c r="C93" s="465"/>
      <c r="D93" s="465"/>
      <c r="E93" s="465"/>
      <c r="F93" s="465"/>
      <c r="G93" s="465"/>
      <c r="H93" s="465"/>
      <c r="I93" s="465"/>
      <c r="J93" s="465"/>
      <c r="K93" s="465"/>
      <c r="L93" s="466" t="s">
        <v>89</v>
      </c>
      <c r="M93" s="466"/>
      <c r="N93" s="466"/>
      <c r="O93" s="466"/>
      <c r="P93" s="466"/>
      <c r="Q93" s="466"/>
      <c r="R93" s="466"/>
      <c r="S93" s="466"/>
      <c r="T93" s="466"/>
      <c r="U93" s="466"/>
      <c r="V93" s="466"/>
      <c r="W93" s="544"/>
      <c r="X93" s="467"/>
    </row>
    <row r="94" spans="2:27" s="151" customFormat="1" ht="24" customHeight="1" thickBot="1">
      <c r="B94" s="639"/>
      <c r="C94" s="202" t="s">
        <v>88</v>
      </c>
      <c r="D94" s="241"/>
      <c r="E94" s="240"/>
      <c r="F94" s="175"/>
      <c r="G94" s="175"/>
      <c r="H94" s="175"/>
      <c r="I94" s="240"/>
      <c r="J94" s="203" t="s">
        <v>83</v>
      </c>
      <c r="K94" s="204"/>
      <c r="L94" s="205" t="s">
        <v>87</v>
      </c>
      <c r="M94" s="206"/>
      <c r="N94" s="206"/>
      <c r="O94" s="207"/>
      <c r="P94" s="231"/>
      <c r="Q94" s="232"/>
      <c r="R94" s="232"/>
      <c r="S94" s="232"/>
      <c r="T94" s="232"/>
      <c r="U94" s="233"/>
      <c r="V94" s="203" t="s">
        <v>83</v>
      </c>
      <c r="W94" s="604"/>
    </row>
    <row r="95" spans="2:27" s="171" customFormat="1" ht="16.5" customHeight="1" thickBot="1">
      <c r="B95" s="605" t="s">
        <v>335</v>
      </c>
      <c r="C95" s="469"/>
      <c r="D95" s="469"/>
      <c r="E95" s="469"/>
      <c r="F95" s="469"/>
      <c r="G95" s="469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606"/>
    </row>
    <row r="96" spans="2:27" s="185" customFormat="1" ht="18.75" customHeight="1" thickBot="1">
      <c r="B96" s="638"/>
      <c r="C96" s="234" t="s">
        <v>86</v>
      </c>
      <c r="D96" s="414"/>
      <c r="E96" s="415"/>
      <c r="F96" s="239" t="s">
        <v>497</v>
      </c>
      <c r="G96" s="759" t="s">
        <v>114</v>
      </c>
      <c r="H96" s="239" t="s">
        <v>165</v>
      </c>
      <c r="I96" s="414"/>
      <c r="J96" s="238"/>
      <c r="K96" s="415"/>
      <c r="L96" s="193" t="s">
        <v>83</v>
      </c>
      <c r="M96" s="414"/>
      <c r="N96" s="414"/>
      <c r="O96" s="414"/>
      <c r="P96" s="278" t="s">
        <v>336</v>
      </c>
      <c r="Q96" s="416"/>
      <c r="R96" s="417"/>
      <c r="S96" s="209" t="s">
        <v>83</v>
      </c>
      <c r="T96" s="414"/>
      <c r="U96" s="418"/>
      <c r="V96" s="210"/>
      <c r="W96" s="608"/>
    </row>
    <row r="97" spans="2:23" s="185" customFormat="1" ht="18.75" customHeight="1" thickBot="1">
      <c r="B97" s="609"/>
      <c r="C97" s="610" t="s">
        <v>164</v>
      </c>
      <c r="D97" s="611"/>
      <c r="E97" s="612"/>
      <c r="F97" s="613" t="s">
        <v>334</v>
      </c>
      <c r="G97" s="612"/>
      <c r="H97" s="613" t="s">
        <v>445</v>
      </c>
      <c r="I97" s="611"/>
      <c r="J97" s="611"/>
      <c r="K97" s="612"/>
      <c r="L97" s="614" t="s">
        <v>83</v>
      </c>
      <c r="M97" s="611"/>
      <c r="N97" s="611"/>
      <c r="O97" s="612"/>
      <c r="P97" s="615" t="s">
        <v>84</v>
      </c>
      <c r="Q97" s="616"/>
      <c r="R97" s="617"/>
      <c r="S97" s="618" t="s">
        <v>83</v>
      </c>
      <c r="T97" s="619"/>
      <c r="U97" s="620"/>
      <c r="V97" s="621"/>
      <c r="W97" s="622"/>
    </row>
    <row r="98" spans="2:23" ht="13.8" thickTop="1">
      <c r="M98" s="151"/>
      <c r="N98" s="151"/>
      <c r="O98" s="151"/>
      <c r="P98" s="151"/>
      <c r="Q98" s="151"/>
      <c r="R98" s="151"/>
    </row>
    <row r="99" spans="2:23">
      <c r="M99" s="151"/>
      <c r="N99" s="151"/>
      <c r="O99" s="151"/>
      <c r="P99" s="151"/>
      <c r="Q99" s="151"/>
      <c r="R99" s="151"/>
    </row>
  </sheetData>
  <sheetProtection sheet="1" objects="1" scenarios="1" selectLockedCells="1"/>
  <mergeCells count="107">
    <mergeCell ref="C9:E9"/>
    <mergeCell ref="G9:J9"/>
    <mergeCell ref="K9:O9"/>
    <mergeCell ref="Q9:T9"/>
    <mergeCell ref="U9:W9"/>
    <mergeCell ref="N16:W22"/>
    <mergeCell ref="K17:M17"/>
    <mergeCell ref="K18:M18"/>
    <mergeCell ref="K19:M19"/>
    <mergeCell ref="K20:M20"/>
    <mergeCell ref="K43:M43"/>
    <mergeCell ref="M46:N46"/>
    <mergeCell ref="E51:F51"/>
    <mergeCell ref="G51:M51"/>
    <mergeCell ref="D56:E56"/>
    <mergeCell ref="H56:R56"/>
    <mergeCell ref="K21:M21"/>
    <mergeCell ref="D22:G22"/>
    <mergeCell ref="K22:M22"/>
    <mergeCell ref="N24:W26"/>
    <mergeCell ref="L37:M37"/>
    <mergeCell ref="N40:O40"/>
    <mergeCell ref="D61:E61"/>
    <mergeCell ref="F61:G61"/>
    <mergeCell ref="H61:I61"/>
    <mergeCell ref="J61:L61"/>
    <mergeCell ref="S61:T61"/>
    <mergeCell ref="U61:V61"/>
    <mergeCell ref="D59:E59"/>
    <mergeCell ref="S59:T59"/>
    <mergeCell ref="U59:V59"/>
    <mergeCell ref="D60:E60"/>
    <mergeCell ref="F60:G60"/>
    <mergeCell ref="H60:I60"/>
    <mergeCell ref="J60:L60"/>
    <mergeCell ref="S60:T60"/>
    <mergeCell ref="U60:V60"/>
    <mergeCell ref="D63:E63"/>
    <mergeCell ref="F63:G63"/>
    <mergeCell ref="H63:I63"/>
    <mergeCell ref="J63:L63"/>
    <mergeCell ref="S63:T63"/>
    <mergeCell ref="U63:V63"/>
    <mergeCell ref="D62:E62"/>
    <mergeCell ref="F62:G62"/>
    <mergeCell ref="H62:I62"/>
    <mergeCell ref="J62:L62"/>
    <mergeCell ref="S62:T62"/>
    <mergeCell ref="U62:V62"/>
    <mergeCell ref="D65:E65"/>
    <mergeCell ref="F65:G65"/>
    <mergeCell ref="H65:I65"/>
    <mergeCell ref="J65:L65"/>
    <mergeCell ref="S65:T65"/>
    <mergeCell ref="U65:V65"/>
    <mergeCell ref="D64:E64"/>
    <mergeCell ref="F64:G64"/>
    <mergeCell ref="H64:I64"/>
    <mergeCell ref="J64:L64"/>
    <mergeCell ref="S64:T64"/>
    <mergeCell ref="U64:V64"/>
    <mergeCell ref="D75:E75"/>
    <mergeCell ref="F75:G75"/>
    <mergeCell ref="H75:I75"/>
    <mergeCell ref="J75:L75"/>
    <mergeCell ref="S75:T75"/>
    <mergeCell ref="U75:V75"/>
    <mergeCell ref="S67:T67"/>
    <mergeCell ref="U67:V67"/>
    <mergeCell ref="D71:E71"/>
    <mergeCell ref="H71:R71"/>
    <mergeCell ref="D74:E74"/>
    <mergeCell ref="S74:T74"/>
    <mergeCell ref="U74:V74"/>
    <mergeCell ref="D77:E77"/>
    <mergeCell ref="F77:G77"/>
    <mergeCell ref="H77:I77"/>
    <mergeCell ref="J77:L77"/>
    <mergeCell ref="S77:T77"/>
    <mergeCell ref="U77:V77"/>
    <mergeCell ref="D76:E76"/>
    <mergeCell ref="F76:G76"/>
    <mergeCell ref="H76:I76"/>
    <mergeCell ref="J76:L76"/>
    <mergeCell ref="S76:T76"/>
    <mergeCell ref="U76:V76"/>
    <mergeCell ref="D79:E79"/>
    <mergeCell ref="F79:G79"/>
    <mergeCell ref="H79:I79"/>
    <mergeCell ref="J79:L79"/>
    <mergeCell ref="S79:T79"/>
    <mergeCell ref="U79:V79"/>
    <mergeCell ref="D78:E78"/>
    <mergeCell ref="F78:G78"/>
    <mergeCell ref="H78:I78"/>
    <mergeCell ref="J78:L78"/>
    <mergeCell ref="S78:T78"/>
    <mergeCell ref="U78:V78"/>
    <mergeCell ref="S82:T82"/>
    <mergeCell ref="U82:V82"/>
    <mergeCell ref="C85:D86"/>
    <mergeCell ref="D80:E80"/>
    <mergeCell ref="F80:G80"/>
    <mergeCell ref="H80:I80"/>
    <mergeCell ref="J80:L80"/>
    <mergeCell ref="S80:T80"/>
    <mergeCell ref="U80:V80"/>
  </mergeCells>
  <conditionalFormatting sqref="T66 P60:P66 Q60:S67 T81 L73:L74 L81:L83 G51:M51 M73:S83 M60:O67 N37">
    <cfRule type="containsErrors" dxfId="18" priority="17">
      <formula>ISERROR(G37)</formula>
    </cfRule>
  </conditionalFormatting>
  <conditionalFormatting sqref="T66 T81 S60:S67 S75:S83">
    <cfRule type="cellIs" dxfId="17" priority="16" operator="equal">
      <formula>0</formula>
    </cfRule>
  </conditionalFormatting>
  <conditionalFormatting sqref="S82:T82 S67:T67">
    <cfRule type="containsErrors" dxfId="16" priority="15">
      <formula>ISERROR(S67)</formula>
    </cfRule>
  </conditionalFormatting>
  <conditionalFormatting sqref="G51:M51">
    <cfRule type="containsText" dxfId="15" priority="13" operator="containsText" text="INVALID">
      <formula>NOT(ISERROR(SEARCH("INVALID",G51)))</formula>
    </cfRule>
    <cfRule type="cellIs" dxfId="14" priority="14" operator="equal">
      <formula>"INVALID HOME ORGN….. PLEASE SELECT A VALID E&amp;G ORGN"</formula>
    </cfRule>
  </conditionalFormatting>
  <conditionalFormatting sqref="S67:T67 S82:T82">
    <cfRule type="containsErrors" dxfId="13" priority="12">
      <formula>ISERROR(S67)</formula>
    </cfRule>
  </conditionalFormatting>
  <conditionalFormatting sqref="U67:V67 U82:V82">
    <cfRule type="cellIs" dxfId="12" priority="11" operator="equal">
      <formula>0</formula>
    </cfRule>
  </conditionalFormatting>
  <conditionalFormatting sqref="L37:M37">
    <cfRule type="cellIs" dxfId="11" priority="9" operator="equal">
      <formula>0</formula>
    </cfRule>
    <cfRule type="cellIs" dxfId="10" priority="10" operator="equal">
      <formula>2</formula>
    </cfRule>
  </conditionalFormatting>
  <conditionalFormatting sqref="N40:O40 V40">
    <cfRule type="notContainsBlanks" dxfId="9" priority="8">
      <formula>LEN(TRIM(N40))&gt;0</formula>
    </cfRule>
  </conditionalFormatting>
  <conditionalFormatting sqref="N40:O40">
    <cfRule type="notContainsBlanks" dxfId="8" priority="5">
      <formula>LEN(TRIM(N40))&gt;0</formula>
    </cfRule>
    <cfRule type="notContainsBlanks" dxfId="7" priority="6">
      <formula>LEN(TRIM(N40))&gt;0</formula>
    </cfRule>
    <cfRule type="expression" dxfId="6" priority="7">
      <formula>$V$51=2</formula>
    </cfRule>
  </conditionalFormatting>
  <conditionalFormatting sqref="V40">
    <cfRule type="notContainsBlanks" dxfId="5" priority="3">
      <formula>LEN(TRIM(V40))&gt;0</formula>
    </cfRule>
    <cfRule type="expression" dxfId="4" priority="4">
      <formula>$V$51=3</formula>
    </cfRule>
  </conditionalFormatting>
  <conditionalFormatting sqref="K43:M43">
    <cfRule type="notContainsBlanks" dxfId="3" priority="1">
      <formula>LEN(TRIM(K43))&gt;0</formula>
    </cfRule>
    <cfRule type="expression" dxfId="2" priority="2">
      <formula>$W$51=2</formula>
    </cfRule>
  </conditionalFormatting>
  <dataValidations count="5">
    <dataValidation type="textLength" allowBlank="1" showInputMessage="1" showErrorMessage="1" errorTitle="Invalid Entry" error="ENTRY MUST BE 6 CHARACTERS/DIGITS LONG" sqref="C75:C83 C60:C66">
      <formula1>6</formula1>
      <formula2>6</formula2>
    </dataValidation>
    <dataValidation type="textLength" allowBlank="1" showInputMessage="1" showErrorMessage="1" error="Entry must be 6 characters/digits in length" sqref="F60:I65 F75:I80">
      <formula1>6</formula1>
      <formula2>6</formula2>
    </dataValidation>
    <dataValidation type="list" allowBlank="1" showInputMessage="1" showErrorMessage="1" error="Valad entries are:   611000 if pay is for teaching,  612000 for all other monthly pay,  622000 for bi-weekly. Each funding line should be specific to the work to be performed. NOTE: cannot be both monthly &amp; bi-weekly" sqref="J60:L65 J75:L80">
      <formula1>"611000,612000,622000"</formula1>
    </dataValidation>
    <dataValidation type="textLength" allowBlank="1" showInputMessage="1" showErrorMessage="1" error="Position number is six characters/digits long" sqref="D56:E56 D71:E71">
      <formula1>6</formula1>
      <formula2>6</formula2>
    </dataValidation>
    <dataValidation type="decimal" operator="lessThanOrEqual" allowBlank="1" showInputMessage="1" showErrorMessage="1" errorTitle="Indicate FTE" error="Full Time = 1_x000a_Part-Time = less than 1" promptTitle="Enter FTE" sqref="L37:M37">
      <formula1>1</formula1>
    </dataValidation>
  </dataValidations>
  <printOptions horizontalCentered="1" verticalCentered="1"/>
  <pageMargins left="0" right="0" top="0" bottom="0" header="0" footer="0"/>
  <pageSetup scale="54" orientation="portrait" r:id="rId1"/>
  <headerFooter alignWithMargins="0">
    <oddFooter>&amp;R&amp;8PAF REVISED 10/28/2011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5">
    <tabColor theme="7" tint="0.39997558519241921"/>
    <pageSetUpPr fitToPage="1"/>
  </sheetPr>
  <dimension ref="A1:N38"/>
  <sheetViews>
    <sheetView showGridLines="0" workbookViewId="0">
      <selection activeCell="B6" sqref="B6"/>
    </sheetView>
  </sheetViews>
  <sheetFormatPr defaultRowHeight="13.2"/>
  <cols>
    <col min="1" max="1" width="2" style="527" bestFit="1" customWidth="1"/>
    <col min="3" max="3" width="14.6640625" customWidth="1"/>
    <col min="4" max="4" width="111.6640625" customWidth="1"/>
  </cols>
  <sheetData>
    <row r="1" spans="1:4" s="434" customFormat="1">
      <c r="A1" s="527"/>
      <c r="B1" s="520" t="s">
        <v>2</v>
      </c>
      <c r="C1" s="521"/>
      <c r="D1" s="521"/>
    </row>
    <row r="2" spans="1:4" s="434" customFormat="1">
      <c r="A2" s="527"/>
      <c r="B2" s="520" t="s">
        <v>461</v>
      </c>
      <c r="C2" s="521"/>
      <c r="D2" s="521"/>
    </row>
    <row r="3" spans="1:4" s="434" customFormat="1">
      <c r="A3" s="527"/>
    </row>
    <row r="4" spans="1:4" s="434" customFormat="1" ht="13.8" thickBot="1">
      <c r="A4" s="527"/>
    </row>
    <row r="5" spans="1:4" s="434" customFormat="1" ht="13.8" thickBot="1">
      <c r="A5" s="527"/>
      <c r="B5" s="509"/>
      <c r="C5" s="510"/>
      <c r="D5" s="511"/>
    </row>
    <row r="6" spans="1:4" ht="13.8" thickBot="1">
      <c r="A6" s="527">
        <v>1</v>
      </c>
      <c r="B6" s="530"/>
      <c r="C6" s="512" t="s">
        <v>463</v>
      </c>
      <c r="D6" s="502"/>
    </row>
    <row r="7" spans="1:4" s="434" customFormat="1" ht="13.8" thickBot="1">
      <c r="A7" s="527"/>
      <c r="B7" s="529"/>
      <c r="C7" s="512"/>
      <c r="D7" s="502"/>
    </row>
    <row r="8" spans="1:4" ht="13.8" thickBot="1">
      <c r="A8" s="527">
        <v>2</v>
      </c>
      <c r="B8" s="531"/>
      <c r="C8" s="512" t="s">
        <v>466</v>
      </c>
      <c r="D8" s="502"/>
    </row>
    <row r="9" spans="1:4">
      <c r="B9" s="500"/>
      <c r="C9" s="513" t="s">
        <v>376</v>
      </c>
      <c r="D9" s="503" t="s">
        <v>454</v>
      </c>
    </row>
    <row r="10" spans="1:4">
      <c r="B10" s="500"/>
      <c r="C10" s="513" t="s">
        <v>376</v>
      </c>
      <c r="D10" s="503" t="s">
        <v>455</v>
      </c>
    </row>
    <row r="11" spans="1:4">
      <c r="B11" s="500"/>
      <c r="C11" s="513" t="s">
        <v>376</v>
      </c>
      <c r="D11" s="503" t="s">
        <v>456</v>
      </c>
    </row>
    <row r="12" spans="1:4" ht="13.8" thickBot="1">
      <c r="B12" s="500"/>
      <c r="C12" s="513" t="s">
        <v>376</v>
      </c>
      <c r="D12" s="503" t="s">
        <v>467</v>
      </c>
    </row>
    <row r="13" spans="1:4" ht="13.8" thickBot="1">
      <c r="A13" s="527">
        <v>3</v>
      </c>
      <c r="B13" s="531"/>
      <c r="C13" s="514" t="s">
        <v>493</v>
      </c>
      <c r="D13" s="502"/>
    </row>
    <row r="14" spans="1:4" s="258" customFormat="1" ht="13.8" thickBot="1">
      <c r="A14" s="528"/>
      <c r="B14" s="525"/>
      <c r="C14" s="493"/>
      <c r="D14" s="516"/>
    </row>
    <row r="15" spans="1:4" s="434" customFormat="1" ht="13.8" thickBot="1">
      <c r="A15" s="527">
        <v>4</v>
      </c>
      <c r="B15" s="531"/>
      <c r="C15" s="514" t="s">
        <v>495</v>
      </c>
      <c r="D15" s="502"/>
    </row>
    <row r="16" spans="1:4" s="258" customFormat="1">
      <c r="A16" s="528"/>
      <c r="B16" s="525"/>
      <c r="C16" s="515" t="s">
        <v>464</v>
      </c>
      <c r="D16" s="516"/>
    </row>
    <row r="17" spans="1:4" s="258" customFormat="1" ht="13.8" thickBot="1">
      <c r="A17" s="528"/>
      <c r="B17" s="525"/>
      <c r="C17" s="515"/>
      <c r="D17" s="516"/>
    </row>
    <row r="18" spans="1:4" ht="13.8" thickBot="1">
      <c r="A18" s="527">
        <v>5</v>
      </c>
      <c r="B18" s="531"/>
      <c r="C18" s="514" t="s">
        <v>469</v>
      </c>
      <c r="D18" s="502"/>
    </row>
    <row r="19" spans="1:4" s="258" customFormat="1" ht="13.8" thickBot="1">
      <c r="A19" s="528"/>
      <c r="B19" s="525"/>
      <c r="C19" s="493"/>
      <c r="D19" s="516"/>
    </row>
    <row r="20" spans="1:4" s="434" customFormat="1" ht="13.8" thickBot="1">
      <c r="A20" s="527">
        <v>6</v>
      </c>
      <c r="B20" s="531"/>
      <c r="C20" s="514" t="s">
        <v>494</v>
      </c>
      <c r="D20" s="502"/>
    </row>
    <row r="21" spans="1:4" s="258" customFormat="1">
      <c r="A21" s="528"/>
      <c r="B21" s="525"/>
      <c r="C21" s="515" t="s">
        <v>465</v>
      </c>
      <c r="D21" s="516"/>
    </row>
    <row r="22" spans="1:4" s="258" customFormat="1" ht="13.8" thickBot="1">
      <c r="A22" s="528"/>
      <c r="B22" s="525"/>
      <c r="C22" s="515"/>
      <c r="D22" s="516"/>
    </row>
    <row r="23" spans="1:4" s="434" customFormat="1" ht="13.8" thickBot="1">
      <c r="A23" s="527">
        <v>7</v>
      </c>
      <c r="B23" s="531"/>
      <c r="C23" s="514" t="s">
        <v>468</v>
      </c>
      <c r="D23" s="502"/>
    </row>
    <row r="24" spans="1:4" s="258" customFormat="1">
      <c r="A24" s="528"/>
      <c r="B24" s="525"/>
      <c r="C24" s="515"/>
      <c r="D24" s="516"/>
    </row>
    <row r="25" spans="1:4" s="258" customFormat="1" ht="13.8" thickBot="1">
      <c r="A25" s="528"/>
      <c r="B25" s="517"/>
      <c r="C25" s="518"/>
      <c r="D25" s="519"/>
    </row>
    <row r="26" spans="1:4" s="258" customFormat="1">
      <c r="A26" s="528"/>
      <c r="B26" s="496"/>
      <c r="C26" s="497"/>
      <c r="D26" s="498"/>
    </row>
    <row r="27" spans="1:4" s="267" customFormat="1" hidden="1">
      <c r="A27" s="527"/>
      <c r="B27" s="524"/>
      <c r="C27" s="526" t="e">
        <f>B6/B8</f>
        <v>#DIV/0!</v>
      </c>
      <c r="D27" s="499" t="s">
        <v>457</v>
      </c>
    </row>
    <row r="28" spans="1:4" s="439" customFormat="1" hidden="1">
      <c r="A28" s="528"/>
      <c r="B28" s="522"/>
      <c r="C28" s="493"/>
      <c r="D28" s="523"/>
    </row>
    <row r="29" spans="1:4">
      <c r="B29" s="500"/>
      <c r="C29" s="501"/>
      <c r="D29" s="502"/>
    </row>
    <row r="30" spans="1:4">
      <c r="B30" s="500"/>
      <c r="C30" s="490" t="e">
        <f>SUM(B13*C27)</f>
        <v>#DIV/0!</v>
      </c>
      <c r="D30" s="503" t="s">
        <v>460</v>
      </c>
    </row>
    <row r="31" spans="1:4">
      <c r="B31" s="500"/>
      <c r="C31" s="491">
        <f>IF(B18=0,0,(C27/B15)*B18)</f>
        <v>0</v>
      </c>
      <c r="D31" s="503" t="s">
        <v>458</v>
      </c>
    </row>
    <row r="32" spans="1:4">
      <c r="B32" s="500"/>
      <c r="C32" s="491">
        <f>IF(B23=0,0,(C27/B20)*B23)</f>
        <v>0</v>
      </c>
      <c r="D32" s="503" t="s">
        <v>459</v>
      </c>
    </row>
    <row r="33" spans="2:14" ht="13.8" thickBot="1">
      <c r="B33" s="500"/>
      <c r="C33" s="504"/>
      <c r="D33" s="503"/>
    </row>
    <row r="34" spans="2:14" ht="19.8" thickBot="1">
      <c r="B34" s="500"/>
      <c r="C34" s="495" t="e">
        <f>SUM(C30:C33)</f>
        <v>#DIV/0!</v>
      </c>
      <c r="D34" s="505" t="s">
        <v>462</v>
      </c>
      <c r="E34" s="492"/>
      <c r="F34" s="492"/>
      <c r="G34" s="492"/>
      <c r="H34" s="492"/>
      <c r="I34" s="439"/>
      <c r="J34" s="258"/>
      <c r="K34" s="258"/>
      <c r="L34" s="258"/>
      <c r="M34" s="258"/>
      <c r="N34" s="258"/>
    </row>
    <row r="35" spans="2:14" ht="13.8" thickBot="1">
      <c r="B35" s="506"/>
      <c r="C35" s="507"/>
      <c r="D35" s="508"/>
    </row>
    <row r="36" spans="2:14">
      <c r="C36" s="494"/>
    </row>
    <row r="37" spans="2:14">
      <c r="C37" s="494"/>
    </row>
    <row r="38" spans="2:14">
      <c r="C38" s="494"/>
    </row>
  </sheetData>
  <conditionalFormatting sqref="B6:B8 B13:B15 B18:B20 B23">
    <cfRule type="notContainsBlanks" dxfId="1" priority="2">
      <formula>LEN(TRIM(B6))&gt;0</formula>
    </cfRule>
  </conditionalFormatting>
  <conditionalFormatting sqref="B6:B8 B13:B15 B18:B20 B23">
    <cfRule type="notContainsBlanks" dxfId="0" priority="1">
      <formula>LEN(TRIM(B6))&gt;0</formula>
    </cfRule>
  </conditionalFormatting>
  <printOptions horizontalCentered="1"/>
  <pageMargins left="0.45" right="0.45" top="0.75" bottom="0.75" header="0.3" footer="0.3"/>
  <pageSetup scale="9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D566A82A-E9B5-49CD-8CA7-0217102D9D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PAF</vt:lpstr>
      <vt:lpstr>PAF (2)</vt:lpstr>
      <vt:lpstr>PAF (3)</vt:lpstr>
      <vt:lpstr>PAF (4)</vt:lpstr>
      <vt:lpstr>PAF (5)</vt:lpstr>
      <vt:lpstr>Worksheet.Per Other</vt:lpstr>
      <vt:lpstr>Fall.Spring.ActionForm!Print_Area</vt:lpstr>
      <vt:lpstr>PAF!Print_Area</vt:lpstr>
      <vt:lpstr>'PAF (2)'!Print_Area</vt:lpstr>
      <vt:lpstr>'PAF (3)'!Print_Area</vt:lpstr>
      <vt:lpstr>'PAF (4)'!Print_Area</vt:lpstr>
      <vt:lpstr>'PAF (5)'!Print_Area</vt:lpstr>
      <vt:lpstr>PAF.OriginalRevised!Print_Area</vt:lpstr>
      <vt:lpstr>SummerAssignmentActionForm!Print_Area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2011-10-04T19:46:52Z</dcterms:created>
  <dcterms:modified xsi:type="dcterms:W3CDTF">2012-01-10T15:32:45Z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TC018775009991</vt:lpwstr>
  </property>
</Properties>
</file>