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470" yWindow="4410" windowWidth="14880" windowHeight="7845"/>
  </bookViews>
  <sheets>
    <sheet name="SF-6 Form per Capita" sheetId="4" r:id="rId1"/>
    <sheet name="SF-6 Form Specific Student" sheetId="5" r:id="rId2"/>
    <sheet name="data" sheetId="1" state="hidden" r:id="rId3"/>
    <sheet name="Data Notes" sheetId="7" r:id="rId4"/>
    <sheet name="options" sheetId="2" state="hidden" r:id="rId5"/>
  </sheets>
  <definedNames>
    <definedName name="Disability_Type">options!$A$7:$A$20</definedName>
    <definedName name="dist">data!$A$2:$A$616</definedName>
    <definedName name="Inclusion">options!$A$32:$A$34</definedName>
    <definedName name="Options">options!$A$2:$A$4</definedName>
    <definedName name="Placement">options!$A$23:$A$29</definedName>
    <definedName name="_xlnm.Print_Area" localSheetId="3">'Data Notes'!$A$1:$O$28</definedName>
    <definedName name="_xlnm.Print_Area" localSheetId="0">'SF-6 Form per Capita'!$C$1:$P$46</definedName>
    <definedName name="_xlnm.Print_Area" localSheetId="1">'SF-6 Form Specific Student'!$B$1:$R$67</definedName>
  </definedNames>
  <calcPr calcId="145621"/>
</workbook>
</file>

<file path=xl/calcChain.xml><?xml version="1.0" encoding="utf-8"?>
<calcChain xmlns="http://schemas.openxmlformats.org/spreadsheetml/2006/main">
  <c r="Q34" i="5" l="1"/>
  <c r="N37" i="5" l="1"/>
  <c r="P35" i="5" l="1"/>
  <c r="P34" i="5"/>
  <c r="P37" i="5"/>
  <c r="Q37" i="5" s="1"/>
  <c r="O35" i="5" l="1"/>
  <c r="Q35" i="5" s="1"/>
  <c r="N46" i="5" l="1"/>
  <c r="N45" i="5"/>
  <c r="N44" i="5"/>
  <c r="N43" i="5"/>
  <c r="N42" i="5"/>
  <c r="N40" i="5"/>
  <c r="Q52" i="5"/>
  <c r="Q50" i="5"/>
  <c r="P1" i="5"/>
  <c r="Q51" i="5"/>
  <c r="Q53" i="5"/>
  <c r="Q54" i="5"/>
  <c r="Q55" i="5"/>
  <c r="O46" i="5"/>
  <c r="O45" i="5"/>
  <c r="O44" i="5"/>
  <c r="O43" i="5"/>
  <c r="O42" i="5"/>
  <c r="O40" i="5"/>
  <c r="O37" i="5"/>
  <c r="O36" i="4"/>
  <c r="O35" i="4"/>
  <c r="O34" i="4"/>
  <c r="O33" i="4"/>
  <c r="O32" i="4"/>
  <c r="O30" i="4"/>
  <c r="O27" i="4"/>
  <c r="O25" i="4"/>
  <c r="Q44" i="5" l="1"/>
  <c r="Q46" i="5"/>
  <c r="Q45" i="5"/>
  <c r="Q60" i="5"/>
  <c r="Q40" i="5"/>
  <c r="Q43" i="5"/>
  <c r="Q42" i="5"/>
  <c r="O4" i="4"/>
  <c r="N36" i="4"/>
  <c r="N35" i="4"/>
  <c r="N34" i="4"/>
  <c r="N33" i="4"/>
  <c r="Q58" i="5" l="1"/>
  <c r="Q59" i="5"/>
  <c r="N27" i="4"/>
  <c r="N25" i="4"/>
  <c r="P36" i="4"/>
  <c r="P35" i="4"/>
  <c r="P34" i="4"/>
  <c r="P33" i="4"/>
  <c r="N32" i="4"/>
  <c r="P32" i="4" s="1"/>
  <c r="N30" i="4"/>
  <c r="P30" i="4" s="1"/>
  <c r="Q61" i="5" l="1"/>
  <c r="P27" i="4"/>
  <c r="P25" i="4"/>
  <c r="P39" i="4" l="1"/>
</calcChain>
</file>

<file path=xl/sharedStrings.xml><?xml version="1.0" encoding="utf-8"?>
<sst xmlns="http://schemas.openxmlformats.org/spreadsheetml/2006/main" count="1472" uniqueCount="1389">
  <si>
    <t xml:space="preserve">SF-6 </t>
  </si>
  <si>
    <t>School Age Form</t>
  </si>
  <si>
    <t>Report To Certify the Excess Cost For School District School-Age Pupils</t>
  </si>
  <si>
    <t>Who Were Provided Special Education and Related Services</t>
  </si>
  <si>
    <t>A.</t>
  </si>
  <si>
    <t xml:space="preserve">Educating District - City, Exempted Village or Local </t>
  </si>
  <si>
    <t>B.</t>
  </si>
  <si>
    <t>Actual Costs</t>
  </si>
  <si>
    <t xml:space="preserve">     Instructional Supplies and Materials (Func 1XXX - Obj 5XX)</t>
  </si>
  <si>
    <t xml:space="preserve">     Instructional Equipment (Func 1XXX - Obj 6XX, Obj 7XX)</t>
  </si>
  <si>
    <t>City, Exempted Village or Local Superintendent Signature</t>
  </si>
  <si>
    <t>Treasurer Signature</t>
  </si>
  <si>
    <t>dist</t>
  </si>
  <si>
    <t>SCHOOL_YEAR</t>
  </si>
  <si>
    <t>DIST_IRN</t>
  </si>
  <si>
    <t>INSTR_SUP</t>
  </si>
  <si>
    <t>INSTR_EQ</t>
  </si>
  <si>
    <t>adm1</t>
  </si>
  <si>
    <t>Ada Ex Vill SD (045187, Hardin County)</t>
  </si>
  <si>
    <t>045187</t>
  </si>
  <si>
    <t>Adams County/Ohio Valley Local (061903, Adams County)</t>
  </si>
  <si>
    <t>061903</t>
  </si>
  <si>
    <t>Adena Local SD (049494, Ross County)</t>
  </si>
  <si>
    <t>049494</t>
  </si>
  <si>
    <t>Akron City SD (043489, Summit County)</t>
  </si>
  <si>
    <t>043489</t>
  </si>
  <si>
    <t>Alexander Local SD (045906, Athens County)</t>
  </si>
  <si>
    <t>045906</t>
  </si>
  <si>
    <t>Allen East Local SD (045757, Allen County)</t>
  </si>
  <si>
    <t>045757</t>
  </si>
  <si>
    <t>Alliance City SD (043497, Stark County)</t>
  </si>
  <si>
    <t>043497</t>
  </si>
  <si>
    <t>Amanda-Clearcreek Local SD (046847, Fairfield County)</t>
  </si>
  <si>
    <t>046847</t>
  </si>
  <si>
    <t>Amherst Ex Vill SD (045195, Lorain County)</t>
  </si>
  <si>
    <t>045195</t>
  </si>
  <si>
    <t>Anna Local SD (049759, Shelby County)</t>
  </si>
  <si>
    <t>049759</t>
  </si>
  <si>
    <t>Ansonia Local SD (046623, Darke County)</t>
  </si>
  <si>
    <t>046623</t>
  </si>
  <si>
    <t>Anthony Wayne Local SD (048207, Lucas County)</t>
  </si>
  <si>
    <t>048207</t>
  </si>
  <si>
    <t>Antwerp Local SD (048991, Paulding County)</t>
  </si>
  <si>
    <t>048991</t>
  </si>
  <si>
    <t>Arcadia Local SD (047415, Hancock County)</t>
  </si>
  <si>
    <t>047415</t>
  </si>
  <si>
    <t>Arcanum Butler Local SD (046631, Darke County)</t>
  </si>
  <si>
    <t>046631</t>
  </si>
  <si>
    <t>Archbold-Area Local SD (047043, Fulton County)</t>
  </si>
  <si>
    <t>047043</t>
  </si>
  <si>
    <t>Arlington Local SD (047423, Hancock County)</t>
  </si>
  <si>
    <t>047423</t>
  </si>
  <si>
    <t>Ashland City SD (043505, Ashland County)</t>
  </si>
  <si>
    <t>043505</t>
  </si>
  <si>
    <t>Ashtabula Area City SD (043513, Ashtabula County)</t>
  </si>
  <si>
    <t>043513</t>
  </si>
  <si>
    <t>Athens City SD (043521, Athens County)</t>
  </si>
  <si>
    <t>043521</t>
  </si>
  <si>
    <t>Aurora City SD (049171, Portage County)</t>
  </si>
  <si>
    <t>049171</t>
  </si>
  <si>
    <t>Austintown Local SD (048298, Mahoning County)</t>
  </si>
  <si>
    <t>048298</t>
  </si>
  <si>
    <t>Avon Lake City SD (048124, Lorain County)</t>
  </si>
  <si>
    <t>048124</t>
  </si>
  <si>
    <t>Avon Local SD (048116, Lorain County)</t>
  </si>
  <si>
    <t>048116</t>
  </si>
  <si>
    <t>Ayersville Local SD (046706, Defiance County)</t>
  </si>
  <si>
    <t>046706</t>
  </si>
  <si>
    <t>Barberton City SD (043539, Summit County)</t>
  </si>
  <si>
    <t>043539</t>
  </si>
  <si>
    <t>Barnesville Ex Vill SD (045203, Belmont County)</t>
  </si>
  <si>
    <t>045203</t>
  </si>
  <si>
    <t>Batavia Local SD (046300, Clermont County)</t>
  </si>
  <si>
    <t>046300</t>
  </si>
  <si>
    <t>Bath Local SD (045765, Allen County)</t>
  </si>
  <si>
    <t>045765</t>
  </si>
  <si>
    <t>Bay Village City SD (043547, Cuyahoga County)</t>
  </si>
  <si>
    <t>043547</t>
  </si>
  <si>
    <t>Beachwood City SD (043554, Cuyahoga County)</t>
  </si>
  <si>
    <t>043554</t>
  </si>
  <si>
    <t>Beaver Local SD (046425, Columbiana County)</t>
  </si>
  <si>
    <t>046425</t>
  </si>
  <si>
    <t>Beavercreek City SD (047241, Greene County)</t>
  </si>
  <si>
    <t>047241</t>
  </si>
  <si>
    <t>Bedford City SD (043562, Cuyahoga County)</t>
  </si>
  <si>
    <t>043562</t>
  </si>
  <si>
    <t>Bellaire Local SD (043570, Belmont County)</t>
  </si>
  <si>
    <t>043570</t>
  </si>
  <si>
    <t>Bellbrook-Sugarcreek Schools L (047274, Greene County)</t>
  </si>
  <si>
    <t>047274</t>
  </si>
  <si>
    <t>Bellefontaine City SD (043588, Logan County)</t>
  </si>
  <si>
    <t>043588</t>
  </si>
  <si>
    <t>Bellevue City SD (043596, Huron County)</t>
  </si>
  <si>
    <t>043596</t>
  </si>
  <si>
    <t>Belpre City SD (043604, Washington County)</t>
  </si>
  <si>
    <t>043604</t>
  </si>
  <si>
    <t>Benjamin Logan Local SD (048074, Logan County)</t>
  </si>
  <si>
    <t>048074</t>
  </si>
  <si>
    <t>Benton Carroll Salem Local SD (048926, Ottawa County)</t>
  </si>
  <si>
    <t>048926</t>
  </si>
  <si>
    <t>Berea City SD (043612, Cuyahoga County)</t>
  </si>
  <si>
    <t>043612</t>
  </si>
  <si>
    <t>Berkshire Local SD (047167, Geauga County)</t>
  </si>
  <si>
    <t>047167</t>
  </si>
  <si>
    <t>Berlin-Milan Local SD (046789, Erie County)</t>
  </si>
  <si>
    <t>046789</t>
  </si>
  <si>
    <t>Berne Union Local SD (046854, Fairfield County)</t>
  </si>
  <si>
    <t>046854</t>
  </si>
  <si>
    <t>Bethel Local SD (048611, Miami County)</t>
  </si>
  <si>
    <t>048611</t>
  </si>
  <si>
    <t>Bethel-Tate Local SD (046318, Clermont County)</t>
  </si>
  <si>
    <t>046318</t>
  </si>
  <si>
    <t>Bettsville Local SD (049692, Seneca County)</t>
  </si>
  <si>
    <t>049692</t>
  </si>
  <si>
    <t>Bexley City SD (043620, Franklin County)</t>
  </si>
  <si>
    <t>043620</t>
  </si>
  <si>
    <t>Big Walnut Local SD (046748, Delaware County)</t>
  </si>
  <si>
    <t>046748</t>
  </si>
  <si>
    <t>Black River Local SD (048462, Medina County)</t>
  </si>
  <si>
    <t>048462</t>
  </si>
  <si>
    <t>Blanchester Local SD (046383, Clinton County)</t>
  </si>
  <si>
    <t>046383</t>
  </si>
  <si>
    <t>Bloom-Carroll Local SD (046862, Fairfield County)</t>
  </si>
  <si>
    <t>046862</t>
  </si>
  <si>
    <t>Bloomfield-Mespo Local SD (050096, Trumbull County)</t>
  </si>
  <si>
    <t>050096</t>
  </si>
  <si>
    <t>Bloom-Vernon Local SD (049593, Scioto County)</t>
  </si>
  <si>
    <t>049593</t>
  </si>
  <si>
    <t>Bluffton Ex Vill SD (045211, Allen County)</t>
  </si>
  <si>
    <t>045211</t>
  </si>
  <si>
    <t>Boardman Local SD (048306, Mahoning County)</t>
  </si>
  <si>
    <t>048306</t>
  </si>
  <si>
    <t>Botkins Local SD (049767, Shelby County)</t>
  </si>
  <si>
    <t>049767</t>
  </si>
  <si>
    <t>Bowling Green City SD (043638, Wood County)</t>
  </si>
  <si>
    <t>043638</t>
  </si>
  <si>
    <t>Bradford Ex Vill SD (045229, Miami County)</t>
  </si>
  <si>
    <t>045229</t>
  </si>
  <si>
    <t>Brecksville-Broadview Heights (043646, Cuyahoga County)</t>
  </si>
  <si>
    <t>043646</t>
  </si>
  <si>
    <t>Bridgeport Ex Vill SD (045237, Belmont County)</t>
  </si>
  <si>
    <t>045237</t>
  </si>
  <si>
    <t>Bright Local SD (047613, Highland County)</t>
  </si>
  <si>
    <t>047613</t>
  </si>
  <si>
    <t>Bristol Local SD (050112, Trumbull County)</t>
  </si>
  <si>
    <t>050112</t>
  </si>
  <si>
    <t>Brookfield Local SD (050120, Trumbull County)</t>
  </si>
  <si>
    <t>050120</t>
  </si>
  <si>
    <t>Brooklyn City SD (043653, Cuyahoga County)</t>
  </si>
  <si>
    <t>043653</t>
  </si>
  <si>
    <t>Brookville Local SD (048678, Montgomery County)</t>
  </si>
  <si>
    <t>048678</t>
  </si>
  <si>
    <t>Brown Local SD (046177, Carroll County)</t>
  </si>
  <si>
    <t>046177</t>
  </si>
  <si>
    <t>Brunswick City SD (043661, Medina County)</t>
  </si>
  <si>
    <t>043661</t>
  </si>
  <si>
    <t>Bryan City SD (043679, Williams County)</t>
  </si>
  <si>
    <t>043679</t>
  </si>
  <si>
    <t>Buckeye Central Local SD (046508, Crawford County)</t>
  </si>
  <si>
    <t>046508</t>
  </si>
  <si>
    <t>Buckeye Local Local SD (047787, Jefferson County)</t>
  </si>
  <si>
    <t>047787</t>
  </si>
  <si>
    <t>Buckeye Local SD (045856, Ashtabula County)</t>
  </si>
  <si>
    <t>045856</t>
  </si>
  <si>
    <t>Buckeye Local SD (048470, Medina County)</t>
  </si>
  <si>
    <t>048470</t>
  </si>
  <si>
    <t>Buckeye Valley Local SD (046755, Delaware County)</t>
  </si>
  <si>
    <t>046755</t>
  </si>
  <si>
    <t>Bucyrus City SD (043687, Crawford County)</t>
  </si>
  <si>
    <t>043687</t>
  </si>
  <si>
    <t>Caldwell Ex Vill SD (045252, Noble County)</t>
  </si>
  <si>
    <t>045252</t>
  </si>
  <si>
    <t>Cambridge City SD (043695, Guernsey County)</t>
  </si>
  <si>
    <t>043695</t>
  </si>
  <si>
    <t>Campbell City SD (043703, Mahoning County)</t>
  </si>
  <si>
    <t>043703</t>
  </si>
  <si>
    <t>Canal Winchester Local SD (046946, Franklin County)</t>
  </si>
  <si>
    <t>046946</t>
  </si>
  <si>
    <t>Canfield Local SD (048314, Mahoning County)</t>
  </si>
  <si>
    <t>048314</t>
  </si>
  <si>
    <t>Canton City SD (043711, Stark County)</t>
  </si>
  <si>
    <t>043711</t>
  </si>
  <si>
    <t>Canton Local SD (049833, Stark County)</t>
  </si>
  <si>
    <t>049833</t>
  </si>
  <si>
    <t>Cardinal Local SD (047175, Geauga County)</t>
  </si>
  <si>
    <t>047175</t>
  </si>
  <si>
    <t>Cardington-Lincoln Local SD (048793, Morrow County)</t>
  </si>
  <si>
    <t>048793</t>
  </si>
  <si>
    <t>Carey Ex Vill SD (045260, Wyandot County)</t>
  </si>
  <si>
    <t>045260</t>
  </si>
  <si>
    <t>Carlisle Local SD (050419, Warren County)</t>
  </si>
  <si>
    <t>050419</t>
  </si>
  <si>
    <t>Carrollton Ex Vill SD (045278, Carroll County)</t>
  </si>
  <si>
    <t>045278</t>
  </si>
  <si>
    <t>Cedar Cliff Local SD (047258, Greene County)</t>
  </si>
  <si>
    <t>047258</t>
  </si>
  <si>
    <t>Celina City SD (043729, Mercer County)</t>
  </si>
  <si>
    <t>043729</t>
  </si>
  <si>
    <t>Centerburg Local SD (047829, Knox County)</t>
  </si>
  <si>
    <t>047829</t>
  </si>
  <si>
    <t>Centerville City SD (043737, Montgomery County)</t>
  </si>
  <si>
    <t>043737</t>
  </si>
  <si>
    <t>Central Local Local SD (046714, Defiance County)</t>
  </si>
  <si>
    <t>046714</t>
  </si>
  <si>
    <t>Chagrin Falls Ex Vill SD (045286, Cuyahoga County)</t>
  </si>
  <si>
    <t>045286</t>
  </si>
  <si>
    <t>Champion Local SD (050138, Trumbull County)</t>
  </si>
  <si>
    <t>050138</t>
  </si>
  <si>
    <t>Chardon Local SD (047183, Geauga County)</t>
  </si>
  <si>
    <t>047183</t>
  </si>
  <si>
    <t>Chesapeake Union Ex Vill SD (045294, Lawrence County)</t>
  </si>
  <si>
    <t>045294</t>
  </si>
  <si>
    <t>Chillicothe City SD (043745, Ross County)</t>
  </si>
  <si>
    <t>043745</t>
  </si>
  <si>
    <t>Chippewa Local SD (050534, Wayne County)</t>
  </si>
  <si>
    <t>050534</t>
  </si>
  <si>
    <t>Cincinnati Public Schools City (043752, Hamilton County)</t>
  </si>
  <si>
    <t>043752</t>
  </si>
  <si>
    <t>Circleville City SD (043760, Pickaway County)</t>
  </si>
  <si>
    <t>043760</t>
  </si>
  <si>
    <t>Clark-Shawnee Local SD (046284, Clark County)</t>
  </si>
  <si>
    <t>046284</t>
  </si>
  <si>
    <t>Clay Local SD (049601, Scioto County)</t>
  </si>
  <si>
    <t>049601</t>
  </si>
  <si>
    <t>Claymont City SD (043778, Tuscarawas County)</t>
  </si>
  <si>
    <t>043778</t>
  </si>
  <si>
    <t>Clear Fork Valley Local SD (049411, Richland County)</t>
  </si>
  <si>
    <t>049411</t>
  </si>
  <si>
    <t>Clearview Local SD (048132, Lorain County)</t>
  </si>
  <si>
    <t>048132</t>
  </si>
  <si>
    <t>Clermont Northeastern Local SD (046326, Clermont County)</t>
  </si>
  <si>
    <t>046326</t>
  </si>
  <si>
    <t>Cleve. Hts.-Univ. Hts. City SD (043794, Cuyahoga County)</t>
  </si>
  <si>
    <t>043794</t>
  </si>
  <si>
    <t>Cleveland Municipal Municipal (043786, Cuyahoga County)</t>
  </si>
  <si>
    <t>043786</t>
  </si>
  <si>
    <t>Clinton-Massie Local SD (046391, Clinton County)</t>
  </si>
  <si>
    <t>046391</t>
  </si>
  <si>
    <t>Cloverleaf Local SD (048488, Medina County)</t>
  </si>
  <si>
    <t>048488</t>
  </si>
  <si>
    <t>Clyde-Green Springs Ex Vill SD (045302, Sandusky County)</t>
  </si>
  <si>
    <t>045302</t>
  </si>
  <si>
    <t>Coldwater Ex Vill SD (045310, Mercer County)</t>
  </si>
  <si>
    <t>045310</t>
  </si>
  <si>
    <t>College Corner Local SD (064964, Preble County)</t>
  </si>
  <si>
    <t>064964</t>
  </si>
  <si>
    <t>Colonel Crawford Local SD (046516, Crawford County)</t>
  </si>
  <si>
    <t>046516</t>
  </si>
  <si>
    <t>Columbia Local SD (048140, Lorain County)</t>
  </si>
  <si>
    <t>048140</t>
  </si>
  <si>
    <t>Columbiana Ex Vill SD (045328, Columbiana County)</t>
  </si>
  <si>
    <t>045328</t>
  </si>
  <si>
    <t>Columbus City Schools City SD (043802, Franklin County)</t>
  </si>
  <si>
    <t>043802</t>
  </si>
  <si>
    <t>Columbus Grove Local SD (049312, Putnam County)</t>
  </si>
  <si>
    <t>049312</t>
  </si>
  <si>
    <t>Conneaut Area City SD (043810, Ashtabula County)</t>
  </si>
  <si>
    <t>043810</t>
  </si>
  <si>
    <t>Conotton Valley Union Local SD (047548, Harrison County)</t>
  </si>
  <si>
    <t>047548</t>
  </si>
  <si>
    <t>Continental Local SD (049320, Putnam County)</t>
  </si>
  <si>
    <t>049320</t>
  </si>
  <si>
    <t>Copley-Fairlawn City SD (049981, Summit County)</t>
  </si>
  <si>
    <t>049981</t>
  </si>
  <si>
    <t>Cory-Rawson Local SD (047431, Hancock County)</t>
  </si>
  <si>
    <t>047431</t>
  </si>
  <si>
    <t>Coshocton City SD (043828, Coshocton County)</t>
  </si>
  <si>
    <t>043828</t>
  </si>
  <si>
    <t>Coventry Local SD (049999, Summit County)</t>
  </si>
  <si>
    <t>049999</t>
  </si>
  <si>
    <t>Covington EVSD Ex Vill SD (045336, Miami County)</t>
  </si>
  <si>
    <t>045336</t>
  </si>
  <si>
    <t>Crestline Ex Vill SD (045344, Crawford County)</t>
  </si>
  <si>
    <t>045344</t>
  </si>
  <si>
    <t>Crestview Local SD (046433, Columbiana County)</t>
  </si>
  <si>
    <t>046433</t>
  </si>
  <si>
    <t>Crestview Local SD (049429, Richland County)</t>
  </si>
  <si>
    <t>049429</t>
  </si>
  <si>
    <t>Crestview Local SD (050351, Van Wert County)</t>
  </si>
  <si>
    <t>050351</t>
  </si>
  <si>
    <t>Crestwood Local SD (049189, Portage County)</t>
  </si>
  <si>
    <t>049189</t>
  </si>
  <si>
    <t>Crooksville Ex Vill SD (045351, Perry County)</t>
  </si>
  <si>
    <t>045351</t>
  </si>
  <si>
    <t>Cuyahoga Falls City SD (043836, Summit County)</t>
  </si>
  <si>
    <t>043836</t>
  </si>
  <si>
    <t>Cuyahoga Heights Local SD (046557, Cuyahoga County)</t>
  </si>
  <si>
    <t>046557</t>
  </si>
  <si>
    <t>Dalton Local SD (050542, Wayne County)</t>
  </si>
  <si>
    <t>050542</t>
  </si>
  <si>
    <t>Danbury Local SD (048934, Ottawa County)</t>
  </si>
  <si>
    <t>048934</t>
  </si>
  <si>
    <t>Danville Local SD (047837, Knox County)</t>
  </si>
  <si>
    <t>047837</t>
  </si>
  <si>
    <t>Dawson-Bryant Local SD (047928, Lawrence County)</t>
  </si>
  <si>
    <t>047928</t>
  </si>
  <si>
    <t>Dayton City SD (043844, Montgomery County)</t>
  </si>
  <si>
    <t>043844</t>
  </si>
  <si>
    <t>Deer Park Community City SD (043851, Hamilton County)</t>
  </si>
  <si>
    <t>043851</t>
  </si>
  <si>
    <t>Defiance City SD (043869, Defiance County)</t>
  </si>
  <si>
    <t>043869</t>
  </si>
  <si>
    <t>Delaware City SD (043877, Delaware County)</t>
  </si>
  <si>
    <t>043877</t>
  </si>
  <si>
    <t>Delphos City SD (043885, Allen County)</t>
  </si>
  <si>
    <t>043885</t>
  </si>
  <si>
    <t>Dover City SD (043893, Tuscarawas County)</t>
  </si>
  <si>
    <t>043893</t>
  </si>
  <si>
    <t>Dublin City SD (047027, Franklin County)</t>
  </si>
  <si>
    <t>047027</t>
  </si>
  <si>
    <t>East Cleveland City Schools Ci (043901, Cuyahoga County)</t>
  </si>
  <si>
    <t>043901</t>
  </si>
  <si>
    <t>East Clinton Local SD (046409, Clinton County)</t>
  </si>
  <si>
    <t>046409</t>
  </si>
  <si>
    <t>East Guernsey Local SD (069682, Guernsey County)</t>
  </si>
  <si>
    <t>069682</t>
  </si>
  <si>
    <t>East Holmes Local SD (047688, Holmes County)</t>
  </si>
  <si>
    <t>047688</t>
  </si>
  <si>
    <t>East Knox Local SD (047845, Knox County)</t>
  </si>
  <si>
    <t>047845</t>
  </si>
  <si>
    <t>East Liverpool City SD (043919, Columbiana County)</t>
  </si>
  <si>
    <t>043919</t>
  </si>
  <si>
    <t>East Muskingum Local SD (048835, Muskingum County)</t>
  </si>
  <si>
    <t>048835</t>
  </si>
  <si>
    <t>East Palestine City SD (043927, Columbiana County)</t>
  </si>
  <si>
    <t>043927</t>
  </si>
  <si>
    <t>Eastern Local SD (046037, Brown County)</t>
  </si>
  <si>
    <t>046037</t>
  </si>
  <si>
    <t>Eastern Local SD (048512, Meigs County)</t>
  </si>
  <si>
    <t>048512</t>
  </si>
  <si>
    <t>Eastern Local SD (049122, Pike County)</t>
  </si>
  <si>
    <t>049122</t>
  </si>
  <si>
    <t>Eastwood Local SD (050674, Wood County)</t>
  </si>
  <si>
    <t>050674</t>
  </si>
  <si>
    <t>Eaton Community Schools City S (043935, Preble County)</t>
  </si>
  <si>
    <t>043935</t>
  </si>
  <si>
    <t>Edgerton Local SD (050617, Williams County)</t>
  </si>
  <si>
    <t>050617</t>
  </si>
  <si>
    <t>Edgewood City SD (046094, Butler County)</t>
  </si>
  <si>
    <t>046094</t>
  </si>
  <si>
    <t>Edison Local SD (047795, Jefferson County)</t>
  </si>
  <si>
    <t>047795</t>
  </si>
  <si>
    <t>Edon-Northwest Local SD (050625, Williams County)</t>
  </si>
  <si>
    <t>050625</t>
  </si>
  <si>
    <t>Elgin Local SD (048413, Marion County)</t>
  </si>
  <si>
    <t>048413</t>
  </si>
  <si>
    <t>Elida Local SD (045773, Allen County)</t>
  </si>
  <si>
    <t>045773</t>
  </si>
  <si>
    <t>Elmwood Local SD (050682, Wood County)</t>
  </si>
  <si>
    <t>050682</t>
  </si>
  <si>
    <t>Elyria City SD (043943, Lorain County)</t>
  </si>
  <si>
    <t>043943</t>
  </si>
  <si>
    <t>Euclid City SD (043950, Cuyahoga County)</t>
  </si>
  <si>
    <t>043950</t>
  </si>
  <si>
    <t>Evergreen Local SD (047050, Fulton County)</t>
  </si>
  <si>
    <t>047050</t>
  </si>
  <si>
    <t>Fairbanks Local SD (050328, Union County)</t>
  </si>
  <si>
    <t>050328</t>
  </si>
  <si>
    <t>Fairborn Schools City SD (043968, Greene County)</t>
  </si>
  <si>
    <t>043968</t>
  </si>
  <si>
    <t>Fairfield City SD (046102, Butler County)</t>
  </si>
  <si>
    <t>046102</t>
  </si>
  <si>
    <t>Fairfield Local SD (047621, Highland County)</t>
  </si>
  <si>
    <t>047621</t>
  </si>
  <si>
    <t>Fairfield Union Local SD (046870, Fairfield County)</t>
  </si>
  <si>
    <t>046870</t>
  </si>
  <si>
    <t>Fairland Local SD (047936, Lawrence County)</t>
  </si>
  <si>
    <t>047936</t>
  </si>
  <si>
    <t>Fairlawn Local SD (049775, Shelby County)</t>
  </si>
  <si>
    <t>049775</t>
  </si>
  <si>
    <t>Fairless Local SD (049841, Stark County)</t>
  </si>
  <si>
    <t>049841</t>
  </si>
  <si>
    <t>Fairport Harbor Ex Vill SD (045369, Lake County)</t>
  </si>
  <si>
    <t>045369</t>
  </si>
  <si>
    <t>Fairview Park City SD (043976, Cuyahoga County)</t>
  </si>
  <si>
    <t>043976</t>
  </si>
  <si>
    <t>Fayette Local SD (047068, Fulton County)</t>
  </si>
  <si>
    <t>047068</t>
  </si>
  <si>
    <t>Fayetteville-Perry Local SD (046045, Brown County)</t>
  </si>
  <si>
    <t>046045</t>
  </si>
  <si>
    <t>Federal Hocking Local SD (045914, Athens County)</t>
  </si>
  <si>
    <t>045914</t>
  </si>
  <si>
    <t>Felicity-Franklin Schools Loca (046334, Clermont County)</t>
  </si>
  <si>
    <t>046334</t>
  </si>
  <si>
    <t>Field Local SD (049197, Portage County)</t>
  </si>
  <si>
    <t>049197</t>
  </si>
  <si>
    <t>Findlay City SD (043984, Hancock County)</t>
  </si>
  <si>
    <t>043984</t>
  </si>
  <si>
    <t>Finneytown Local SD (047332, Hamilton County)</t>
  </si>
  <si>
    <t>047332</t>
  </si>
  <si>
    <t>Firelands Local SD (048157, Lorain County)</t>
  </si>
  <si>
    <t>048157</t>
  </si>
  <si>
    <t>Forest Hills Local SD (047340, Hamilton County)</t>
  </si>
  <si>
    <t>047340</t>
  </si>
  <si>
    <t>Fort Frye Local SD (050484, Washington County)</t>
  </si>
  <si>
    <t>050484</t>
  </si>
  <si>
    <t>Fort Loramie Local SD (049783, Shelby County)</t>
  </si>
  <si>
    <t>049783</t>
  </si>
  <si>
    <t>Fort Recovery Local SD (048595, Mercer County)</t>
  </si>
  <si>
    <t>048595</t>
  </si>
  <si>
    <t>Fostoria City SD (043992, Seneca County)</t>
  </si>
  <si>
    <t>043992</t>
  </si>
  <si>
    <t>Franklin City SD (044008, Warren County)</t>
  </si>
  <si>
    <t>044008</t>
  </si>
  <si>
    <t>Franklin Local SD (048843, Muskingum County)</t>
  </si>
  <si>
    <t>048843</t>
  </si>
  <si>
    <t>Franklin Monroe Local SD (046649, Darke County)</t>
  </si>
  <si>
    <t>046649</t>
  </si>
  <si>
    <t>Fredericktown Local SD (047852, Knox County)</t>
  </si>
  <si>
    <t>047852</t>
  </si>
  <si>
    <t>Fremont City City SD (044016, Sandusky County)</t>
  </si>
  <si>
    <t>044016</t>
  </si>
  <si>
    <t>Frontier Local SD (050492, Washington County)</t>
  </si>
  <si>
    <t>050492</t>
  </si>
  <si>
    <t>Gahanna-Jefferson City SD (046961, Franklin County)</t>
  </si>
  <si>
    <t>046961</t>
  </si>
  <si>
    <t>Galion City SD (044024, Crawford County)</t>
  </si>
  <si>
    <t>044024</t>
  </si>
  <si>
    <t>Gallia County Local SD (065680, Gallia County)</t>
  </si>
  <si>
    <t>065680</t>
  </si>
  <si>
    <t>Gallipolis City SD (044032, Gallia County)</t>
  </si>
  <si>
    <t>044032</t>
  </si>
  <si>
    <t>Garaway Local SD (050278, Tuscarawas County)</t>
  </si>
  <si>
    <t>050278</t>
  </si>
  <si>
    <t>Garfield Heights City SD (044040, Cuyahoga County)</t>
  </si>
  <si>
    <t>044040</t>
  </si>
  <si>
    <t>Geneva Schools City SD (044057, Ashtabula County)</t>
  </si>
  <si>
    <t>044057</t>
  </si>
  <si>
    <t>Genoa Area Local SD (048942, Ottawa County)</t>
  </si>
  <si>
    <t>048942</t>
  </si>
  <si>
    <t>Georgetown Ex Vill SD (045377, Brown County)</t>
  </si>
  <si>
    <t>045377</t>
  </si>
  <si>
    <t>Gibsonburg Ex Vill SD (045385, Sandusky County)</t>
  </si>
  <si>
    <t>045385</t>
  </si>
  <si>
    <t>Girard City SD (044065, Trumbull County)</t>
  </si>
  <si>
    <t>044065</t>
  </si>
  <si>
    <t>Goshen Local SD (046342, Clermont County)</t>
  </si>
  <si>
    <t>046342</t>
  </si>
  <si>
    <t>Graham Local SD (046193, Champaign County)</t>
  </si>
  <si>
    <t>046193</t>
  </si>
  <si>
    <t>Grand Valley Local SD (045864, Ashtabula County)</t>
  </si>
  <si>
    <t>045864</t>
  </si>
  <si>
    <t>Grandview Heights City SD (044073, Franklin County)</t>
  </si>
  <si>
    <t>044073</t>
  </si>
  <si>
    <t>Granville Ex Vill SD (045393, Licking County)</t>
  </si>
  <si>
    <t>045393</t>
  </si>
  <si>
    <t>Green Local SD (049619, Scioto County)</t>
  </si>
  <si>
    <t>049619</t>
  </si>
  <si>
    <t>Green Local SD (050013, Summit County)</t>
  </si>
  <si>
    <t>050013</t>
  </si>
  <si>
    <t>Green Local SD (050559, Wayne County)</t>
  </si>
  <si>
    <t>050559</t>
  </si>
  <si>
    <t>Greeneview Local SD (047266, Greene County)</t>
  </si>
  <si>
    <t>047266</t>
  </si>
  <si>
    <t>Greenfield Ex Vill SD (045401, Highland County)</t>
  </si>
  <si>
    <t>045401</t>
  </si>
  <si>
    <t>Greenon Local SD (046235, Clark County)</t>
  </si>
  <si>
    <t>046235</t>
  </si>
  <si>
    <t>Greenville City SD (044099, Darke County)</t>
  </si>
  <si>
    <t>044099</t>
  </si>
  <si>
    <t>Groveport Madison Local SD (046979, Franklin County)</t>
  </si>
  <si>
    <t>046979</t>
  </si>
  <si>
    <t>Hamilton City SD (044107, Butler County)</t>
  </si>
  <si>
    <t>044107</t>
  </si>
  <si>
    <t>Hamilton Local Local SD (046953, Franklin County)</t>
  </si>
  <si>
    <t>046953</t>
  </si>
  <si>
    <t>Hardin Northern Local SD (047498, Hardin County)</t>
  </si>
  <si>
    <t>047498</t>
  </si>
  <si>
    <t>Hardin-Houston Local SD (049791, Shelby County)</t>
  </si>
  <si>
    <t>049791</t>
  </si>
  <si>
    <t>Harrison Hills City SD (045245, Harrison County)</t>
  </si>
  <si>
    <t>045245</t>
  </si>
  <si>
    <t>Heath City SD (044115, Licking County)</t>
  </si>
  <si>
    <t>044115</t>
  </si>
  <si>
    <t>Hicksville Ex Vill SD (045419, Defiance County)</t>
  </si>
  <si>
    <t>045419</t>
  </si>
  <si>
    <t>Highland Local SD (048496, Medina County)</t>
  </si>
  <si>
    <t>048496</t>
  </si>
  <si>
    <t>Highland Local SD (048801, Morrow County)</t>
  </si>
  <si>
    <t>048801</t>
  </si>
  <si>
    <t>Hilliard City SD (047019, Franklin County)</t>
  </si>
  <si>
    <t>047019</t>
  </si>
  <si>
    <t>Hillsboro City SD (044123, Highland County)</t>
  </si>
  <si>
    <t>044123</t>
  </si>
  <si>
    <t>Hillsdale Local SD (045823, Ashland County)</t>
  </si>
  <si>
    <t>045823</t>
  </si>
  <si>
    <t>Holgate Local SD (047571, Henry County)</t>
  </si>
  <si>
    <t>047571</t>
  </si>
  <si>
    <t>Hopewell-Loudon Local SD (049700, Seneca County)</t>
  </si>
  <si>
    <t>049700</t>
  </si>
  <si>
    <t>Howland Local SD (050161, Trumbull County)</t>
  </si>
  <si>
    <t>050161</t>
  </si>
  <si>
    <t>Hubbard Ex Vill SD (045427, Trumbull County)</t>
  </si>
  <si>
    <t>045427</t>
  </si>
  <si>
    <t>Huber Heights City SD (048751, Montgomery County)</t>
  </si>
  <si>
    <t>048751</t>
  </si>
  <si>
    <t>Hudson City SD (050021, Summit County)</t>
  </si>
  <si>
    <t>050021</t>
  </si>
  <si>
    <t>Huntington Local SD (049502, Ross County)</t>
  </si>
  <si>
    <t>049502</t>
  </si>
  <si>
    <t>Huron City City SD (044131, Erie County)</t>
  </si>
  <si>
    <t>044131</t>
  </si>
  <si>
    <t>Independence Local SD (046565, Cuyahoga County)</t>
  </si>
  <si>
    <t>046565</t>
  </si>
  <si>
    <t>Indian Creek Local Local SD (047803, Jefferson County)</t>
  </si>
  <si>
    <t>047803</t>
  </si>
  <si>
    <t>Indian Hill Ex Vill SD (045435, Hamilton County)</t>
  </si>
  <si>
    <t>045435</t>
  </si>
  <si>
    <t>Indian Lake Local SD (048082, Logan County)</t>
  </si>
  <si>
    <t>048082</t>
  </si>
  <si>
    <t>Indian Valley Schools Local SD (050286, Tuscarawas County)</t>
  </si>
  <si>
    <t>050286</t>
  </si>
  <si>
    <t>Ironton City SD (044149, Lawrence County)</t>
  </si>
  <si>
    <t>044149</t>
  </si>
  <si>
    <t>Jackson Center Local SD (049809, Shelby County)</t>
  </si>
  <si>
    <t>049809</t>
  </si>
  <si>
    <t>Jackson City SD (044156, Jackson County)</t>
  </si>
  <si>
    <t>044156</t>
  </si>
  <si>
    <t>Jackson Local SD (049858, Stark County)</t>
  </si>
  <si>
    <t>049858</t>
  </si>
  <si>
    <t>Jackson-Milton Local SD (048322, Mahoning County)</t>
  </si>
  <si>
    <t>048322</t>
  </si>
  <si>
    <t>James A Garfield Local SD (049205, Portage County)</t>
  </si>
  <si>
    <t>049205</t>
  </si>
  <si>
    <t>Jefferson Area Local SD (045872, Ashtabula County)</t>
  </si>
  <si>
    <t>045872</t>
  </si>
  <si>
    <t>Jefferson Local SD (048256, Madison County)</t>
  </si>
  <si>
    <t>048256</t>
  </si>
  <si>
    <t>Jefferson Township Local SD (048686, Montgomery County)</t>
  </si>
  <si>
    <t>048686</t>
  </si>
  <si>
    <t>Jennings Local SD (049338, Putnam County)</t>
  </si>
  <si>
    <t>049338</t>
  </si>
  <si>
    <t>Johnstown-Monroe Local SD (047985, Licking County)</t>
  </si>
  <si>
    <t>047985</t>
  </si>
  <si>
    <t>Jonathan Alder Local SD (048264, Madison County)</t>
  </si>
  <si>
    <t>048264</t>
  </si>
  <si>
    <t>Joseph Badger Local SD (050179, Trumbull County)</t>
  </si>
  <si>
    <t>050179</t>
  </si>
  <si>
    <t>Kalida Local SD (049346, Putnam County)</t>
  </si>
  <si>
    <t>049346</t>
  </si>
  <si>
    <t>Kelleys Island Local SD (046797, Erie County)</t>
  </si>
  <si>
    <t>046797</t>
  </si>
  <si>
    <t>Kenston Local SD (047191, Geauga County)</t>
  </si>
  <si>
    <t>047191</t>
  </si>
  <si>
    <t>Kent City SD (044164, Portage County)</t>
  </si>
  <si>
    <t>044164</t>
  </si>
  <si>
    <t>Kenton City SD (044172, Hardin County)</t>
  </si>
  <si>
    <t>044172</t>
  </si>
  <si>
    <t>Kettering City SD (044180, Montgomery County)</t>
  </si>
  <si>
    <t>044180</t>
  </si>
  <si>
    <t>Keystone Local SD (048165, Lorain County)</t>
  </si>
  <si>
    <t>048165</t>
  </si>
  <si>
    <t>Kings Local SD (050435, Warren County)</t>
  </si>
  <si>
    <t>050435</t>
  </si>
  <si>
    <t>Kirtland Local SD (047878, Lake County)</t>
  </si>
  <si>
    <t>047878</t>
  </si>
  <si>
    <t>LaBrae Local SD (050245, Trumbull County)</t>
  </si>
  <si>
    <t>050245</t>
  </si>
  <si>
    <t>Lake Local SD (049866, Stark County)</t>
  </si>
  <si>
    <t>049866</t>
  </si>
  <si>
    <t>Lake Local SD (050690, Wood County)</t>
  </si>
  <si>
    <t>050690</t>
  </si>
  <si>
    <t>Lakeview Local SD (050187, Trumbull County)</t>
  </si>
  <si>
    <t>050187</t>
  </si>
  <si>
    <t>Lakewood City SD (044198, Cuyahoga County)</t>
  </si>
  <si>
    <t>044198</t>
  </si>
  <si>
    <t>Lakewood Local Local SD (047993, Licking County)</t>
  </si>
  <si>
    <t>047993</t>
  </si>
  <si>
    <t>Lakota Local SD (046110, Butler County)</t>
  </si>
  <si>
    <t>046110</t>
  </si>
  <si>
    <t>Lakota Local SD (049569, Sandusky County)</t>
  </si>
  <si>
    <t>049569</t>
  </si>
  <si>
    <t>Lancaster City SD (044206, Fairfield County)</t>
  </si>
  <si>
    <t>044206</t>
  </si>
  <si>
    <t>Lebanon City SD (044214, Warren County)</t>
  </si>
  <si>
    <t>044214</t>
  </si>
  <si>
    <t>Ledgemont Local SD (047209, Geauga County)</t>
  </si>
  <si>
    <t>047209</t>
  </si>
  <si>
    <t>Leetonia Schools Ex Vill SD (045443, Columbiana County)</t>
  </si>
  <si>
    <t>045443</t>
  </si>
  <si>
    <t>Leipsic Local SD (049353, Putnam County)</t>
  </si>
  <si>
    <t>049353</t>
  </si>
  <si>
    <t>Lexington Local SD (049437, Richland County)</t>
  </si>
  <si>
    <t>049437</t>
  </si>
  <si>
    <t>Liberty Center Local SD (047589, Henry County)</t>
  </si>
  <si>
    <t>047589</t>
  </si>
  <si>
    <t>Liberty Local SD (050195, Trumbull County)</t>
  </si>
  <si>
    <t>050195</t>
  </si>
  <si>
    <t>Liberty Union-Thurston Local S (046888, Fairfield County)</t>
  </si>
  <si>
    <t>046888</t>
  </si>
  <si>
    <t>Liberty-Benton Local SD (047449, Hancock County)</t>
  </si>
  <si>
    <t>047449</t>
  </si>
  <si>
    <t>Licking Heights Local SD (048009, Licking County)</t>
  </si>
  <si>
    <t>048009</t>
  </si>
  <si>
    <t>Licking Valley Local SD (048017, Licking County)</t>
  </si>
  <si>
    <t>048017</t>
  </si>
  <si>
    <t>Lima City SD (044222, Allen County)</t>
  </si>
  <si>
    <t>044222</t>
  </si>
  <si>
    <t>Lincolnview Local SD (050369, Van Wert County)</t>
  </si>
  <si>
    <t>050369</t>
  </si>
  <si>
    <t>Lisbon Ex Vill SD (045450, Columbiana County)</t>
  </si>
  <si>
    <t>045450</t>
  </si>
  <si>
    <t>Little Miami Local SD (050443, Warren County)</t>
  </si>
  <si>
    <t>050443</t>
  </si>
  <si>
    <t>Lockland Local SD (044230, Hamilton County)</t>
  </si>
  <si>
    <t>044230</t>
  </si>
  <si>
    <t>Logan Elm Local SD (049080, Pickaway County)</t>
  </si>
  <si>
    <t>049080</t>
  </si>
  <si>
    <t>Logan-Hocking Local SD (044248, Hocking County)</t>
  </si>
  <si>
    <t>044248</t>
  </si>
  <si>
    <t>London City SD (044255, Madison County)</t>
  </si>
  <si>
    <t>044255</t>
  </si>
  <si>
    <t>Lorain City SD (044263, Lorain County)</t>
  </si>
  <si>
    <t>044263</t>
  </si>
  <si>
    <t>Lordstown Local SD (050203, Trumbull County)</t>
  </si>
  <si>
    <t>050203</t>
  </si>
  <si>
    <t>Loudonville-Perrysville Ex Vil (045468, Ashland County)</t>
  </si>
  <si>
    <t>045468</t>
  </si>
  <si>
    <t>Louisville City SD (049874, Stark County)</t>
  </si>
  <si>
    <t>049874</t>
  </si>
  <si>
    <t>Loveland City SD (044271, Hamilton County)</t>
  </si>
  <si>
    <t>044271</t>
  </si>
  <si>
    <t>Lowellville Local SD (048330, Mahoning County)</t>
  </si>
  <si>
    <t>048330</t>
  </si>
  <si>
    <t>Lucas Local Local SD (049445, Richland County)</t>
  </si>
  <si>
    <t>049445</t>
  </si>
  <si>
    <t>Lynchburg-Clay Local SD (047639, Highland County)</t>
  </si>
  <si>
    <t>047639</t>
  </si>
  <si>
    <t>Mad River Local SD (048702, Montgomery County)</t>
  </si>
  <si>
    <t>048702</t>
  </si>
  <si>
    <t>Madeira City SD (044289, Hamilton County)</t>
  </si>
  <si>
    <t>044289</t>
  </si>
  <si>
    <t>Madison Local SD (046128, Butler County)</t>
  </si>
  <si>
    <t>046128</t>
  </si>
  <si>
    <t>Madison Local SD (047886, Lake County)</t>
  </si>
  <si>
    <t>047886</t>
  </si>
  <si>
    <t>Madison Local SD (049452, Richland County)</t>
  </si>
  <si>
    <t>049452</t>
  </si>
  <si>
    <t>Madison-Plains Local SD (048272, Madison County)</t>
  </si>
  <si>
    <t>048272</t>
  </si>
  <si>
    <t>Manchester Local Local SD (000442, Adams County)</t>
  </si>
  <si>
    <t>000442</t>
  </si>
  <si>
    <t>Manchester Local SD (050005, Summit County)</t>
  </si>
  <si>
    <t>050005</t>
  </si>
  <si>
    <t>Mansfield City SD (044297, Richland County)</t>
  </si>
  <si>
    <t>044297</t>
  </si>
  <si>
    <t>Maple Heights City SD (044305, Cuyahoga County)</t>
  </si>
  <si>
    <t>044305</t>
  </si>
  <si>
    <t>Mapleton Local SD (045831, Ashland County)</t>
  </si>
  <si>
    <t>045831</t>
  </si>
  <si>
    <t>Maplewood Local SD (050211, Trumbull County)</t>
  </si>
  <si>
    <t>050211</t>
  </si>
  <si>
    <t>Margaretta Local SD (046805, Erie County)</t>
  </si>
  <si>
    <t>046805</t>
  </si>
  <si>
    <t>Mariemont City SD (044313, Hamilton County)</t>
  </si>
  <si>
    <t>044313</t>
  </si>
  <si>
    <t>Marietta City SD (044321, Washington County)</t>
  </si>
  <si>
    <t>044321</t>
  </si>
  <si>
    <t>Marion City SD (044339, Marion County)</t>
  </si>
  <si>
    <t>044339</t>
  </si>
  <si>
    <t>Marion Local SD (048553, Mercer County)</t>
  </si>
  <si>
    <t>048553</t>
  </si>
  <si>
    <t>Marlington Local SD (049882, Stark County)</t>
  </si>
  <si>
    <t>049882</t>
  </si>
  <si>
    <t>Martins Ferry City SD (044347, Belmont County)</t>
  </si>
  <si>
    <t>044347</t>
  </si>
  <si>
    <t>Marysville Ex Vill SD (045476, Union County)</t>
  </si>
  <si>
    <t>045476</t>
  </si>
  <si>
    <t>Mason City City SD (050450, Warren County)</t>
  </si>
  <si>
    <t>050450</t>
  </si>
  <si>
    <t>Massillon City SD (044354, Stark County)</t>
  </si>
  <si>
    <t>044354</t>
  </si>
  <si>
    <t>Mathews Local SD (050153, Trumbull County)</t>
  </si>
  <si>
    <t>050153</t>
  </si>
  <si>
    <t>Maumee City SD (044362, Lucas County)</t>
  </si>
  <si>
    <t>044362</t>
  </si>
  <si>
    <t>Mayfield City SD (044370, Cuyahoga County)</t>
  </si>
  <si>
    <t>044370</t>
  </si>
  <si>
    <t>Maysville Local SD (048850, Muskingum County)</t>
  </si>
  <si>
    <t>048850</t>
  </si>
  <si>
    <t>McComb Local Local SD (047456, Hancock County)</t>
  </si>
  <si>
    <t>047456</t>
  </si>
  <si>
    <t>McDonald Local SD (050229, Trumbull County)</t>
  </si>
  <si>
    <t>050229</t>
  </si>
  <si>
    <t>Mechanicsburg Ex Vill SD (045484, Champaign County)</t>
  </si>
  <si>
    <t>045484</t>
  </si>
  <si>
    <t>Medina City SD (044388, Medina County)</t>
  </si>
  <si>
    <t>044388</t>
  </si>
  <si>
    <t>Meigs Local SD (048520, Meigs County)</t>
  </si>
  <si>
    <t>048520</t>
  </si>
  <si>
    <t>Mentor Ex Vill SD (045492, Lake County)</t>
  </si>
  <si>
    <t>045492</t>
  </si>
  <si>
    <t>Miami East Local SD (048629, Miami County)</t>
  </si>
  <si>
    <t>048629</t>
  </si>
  <si>
    <t>Miami Trace Local SD (046920, Fayette County)</t>
  </si>
  <si>
    <t>046920</t>
  </si>
  <si>
    <t>Miamisburg City SD (044396, Montgomery County)</t>
  </si>
  <si>
    <t>044396</t>
  </si>
  <si>
    <t>Middle Bass Local SD (048959, Ottawa County)</t>
  </si>
  <si>
    <t>048959</t>
  </si>
  <si>
    <t>Middletown City SD (044404, Butler County)</t>
  </si>
  <si>
    <t>044404</t>
  </si>
  <si>
    <t>Midview Local SD (048173, Lorain County)</t>
  </si>
  <si>
    <t>048173</t>
  </si>
  <si>
    <t>Milford Ex Vill SD (045500, Clermont County)</t>
  </si>
  <si>
    <t>045500</t>
  </si>
  <si>
    <t>Millcreek-West Unity Local SD (050633, Williams County)</t>
  </si>
  <si>
    <t>050633</t>
  </si>
  <si>
    <t>Miller City-New Cleveland Loca (049361, Putnam County)</t>
  </si>
  <si>
    <t>049361</t>
  </si>
  <si>
    <t>Milton-Union Ex Vill SD (045518, Miami County)</t>
  </si>
  <si>
    <t>045518</t>
  </si>
  <si>
    <t>Minerva Local SD (049890, Stark County)</t>
  </si>
  <si>
    <t>049890</t>
  </si>
  <si>
    <t>Minford Local SD (049627, Scioto County)</t>
  </si>
  <si>
    <t>049627</t>
  </si>
  <si>
    <t>Minster Local SD (045948, Auglaize County)</t>
  </si>
  <si>
    <t>045948</t>
  </si>
  <si>
    <t>Mississinawa Valley Local SD (046672, Darke County)</t>
  </si>
  <si>
    <t>046672</t>
  </si>
  <si>
    <t>Mogadore Local SD (050039, Summit County)</t>
  </si>
  <si>
    <t>050039</t>
  </si>
  <si>
    <t>Mohawk Local SD (050740, Wyandot County)</t>
  </si>
  <si>
    <t>050740</t>
  </si>
  <si>
    <t>Monroe Local SD (139303, Butler County)</t>
  </si>
  <si>
    <t>139303</t>
  </si>
  <si>
    <t>Monroeville Local SD (047712, Huron County)</t>
  </si>
  <si>
    <t>047712</t>
  </si>
  <si>
    <t>Montpelier Ex Vill SD (045526, Williams County)</t>
  </si>
  <si>
    <t>045526</t>
  </si>
  <si>
    <t>Morgan Local SD (048777, Morgan County)</t>
  </si>
  <si>
    <t>048777</t>
  </si>
  <si>
    <t>Mount Gilead Schools Ex Vill S (045534, Morrow County)</t>
  </si>
  <si>
    <t>045534</t>
  </si>
  <si>
    <t>Mount Vernon City SD (044420, Knox County)</t>
  </si>
  <si>
    <t>044420</t>
  </si>
  <si>
    <t>Mt Healthy City SD (044412, Hamilton County)</t>
  </si>
  <si>
    <t>044412</t>
  </si>
  <si>
    <t>Napoleon Area City SD (044438, Henry County)</t>
  </si>
  <si>
    <t>044438</t>
  </si>
  <si>
    <t>National Trail Local SD (049270, Preble County)</t>
  </si>
  <si>
    <t>049270</t>
  </si>
  <si>
    <t>Nelsonville-York City SD (044446, Athens County)</t>
  </si>
  <si>
    <t>044446</t>
  </si>
  <si>
    <t>New Albany-Plain Local Local S (046995, Franklin County)</t>
  </si>
  <si>
    <t>046995</t>
  </si>
  <si>
    <t>New Boston Local SD (044461, Scioto County)</t>
  </si>
  <si>
    <t>044461</t>
  </si>
  <si>
    <t>New Bremen Local SD (045955, Auglaize County)</t>
  </si>
  <si>
    <t>045955</t>
  </si>
  <si>
    <t>New Knoxville Local SD (045963, Auglaize County)</t>
  </si>
  <si>
    <t>045963</t>
  </si>
  <si>
    <t>New Lebanon Local SD (048710, Montgomery County)</t>
  </si>
  <si>
    <t>048710</t>
  </si>
  <si>
    <t>New Lexington City SD (044479, Perry County)</t>
  </si>
  <si>
    <t>044479</t>
  </si>
  <si>
    <t>New London Local SD (047720, Huron County)</t>
  </si>
  <si>
    <t>047720</t>
  </si>
  <si>
    <t>New Miami Local SD (046136, Butler County)</t>
  </si>
  <si>
    <t>046136</t>
  </si>
  <si>
    <t>New Philadelphia City SD (044487, Tuscarawas County)</t>
  </si>
  <si>
    <t>044487</t>
  </si>
  <si>
    <t>New Richmond Ex Vill SD (045559, Clermont County)</t>
  </si>
  <si>
    <t>045559</t>
  </si>
  <si>
    <t>New Riegel Local SD (049718, Seneca County)</t>
  </si>
  <si>
    <t>049718</t>
  </si>
  <si>
    <t>Newark City SD (044453, Licking County)</t>
  </si>
  <si>
    <t>044453</t>
  </si>
  <si>
    <t>Newbury Local SD (047217, Geauga County)</t>
  </si>
  <si>
    <t>047217</t>
  </si>
  <si>
    <t>Newcomerstown Ex Vill SD (045542, Tuscarawas County)</t>
  </si>
  <si>
    <t>045542</t>
  </si>
  <si>
    <t>Newton Falls Ex Vill SD (045567, Trumbull County)</t>
  </si>
  <si>
    <t>045567</t>
  </si>
  <si>
    <t>Newton Local SD (048637, Miami County)</t>
  </si>
  <si>
    <t>048637</t>
  </si>
  <si>
    <t>Niles City SD (044495, Trumbull County)</t>
  </si>
  <si>
    <t>044495</t>
  </si>
  <si>
    <t>Noble Local SD (048900, Noble County)</t>
  </si>
  <si>
    <t>048900</t>
  </si>
  <si>
    <t>Nordonia Hills City SD (050047, Summit County)</t>
  </si>
  <si>
    <t>050047</t>
  </si>
  <si>
    <t>North Baltimore Local SD (050708, Wood County)</t>
  </si>
  <si>
    <t>050708</t>
  </si>
  <si>
    <t>North Bass Local SD (048967, Ottawa County)</t>
  </si>
  <si>
    <t>048967</t>
  </si>
  <si>
    <t>North Canton City SD (044503, Stark County)</t>
  </si>
  <si>
    <t>044503</t>
  </si>
  <si>
    <t>North Central Local SD (050641, Williams County)</t>
  </si>
  <si>
    <t>050641</t>
  </si>
  <si>
    <t>North College Hill City SD (044511, Hamilton County)</t>
  </si>
  <si>
    <t>044511</t>
  </si>
  <si>
    <t>North Fork Local SD (048025, Licking County)</t>
  </si>
  <si>
    <t>048025</t>
  </si>
  <si>
    <t>North Olmsted City SD (044529, Cuyahoga County)</t>
  </si>
  <si>
    <t>044529</t>
  </si>
  <si>
    <t>North Ridgeville City SD (044537, Lorain County)</t>
  </si>
  <si>
    <t>044537</t>
  </si>
  <si>
    <t>North Royalton City SD (044545, Cuyahoga County)</t>
  </si>
  <si>
    <t>044545</t>
  </si>
  <si>
    <t>North Union Local SD (050336, Union County)</t>
  </si>
  <si>
    <t>050336</t>
  </si>
  <si>
    <t>Northeastern Local SD (046250, Clark County)</t>
  </si>
  <si>
    <t>046250</t>
  </si>
  <si>
    <t>Northeastern Local SD (046722, Defiance County)</t>
  </si>
  <si>
    <t>046722</t>
  </si>
  <si>
    <t>Northern Local SD (049056, Perry County)</t>
  </si>
  <si>
    <t>049056</t>
  </si>
  <si>
    <t>Northmont City SD (048728, Montgomery County)</t>
  </si>
  <si>
    <t>048728</t>
  </si>
  <si>
    <t>Northmor Local SD (048819, Morrow County)</t>
  </si>
  <si>
    <t>048819</t>
  </si>
  <si>
    <t>Northridge Local SD (048033, Licking County)</t>
  </si>
  <si>
    <t>048033</t>
  </si>
  <si>
    <t>Northridge Local SD (048736, Montgomery County)</t>
  </si>
  <si>
    <t>048736</t>
  </si>
  <si>
    <t>Northwest Local SD (047365, Hamilton County)</t>
  </si>
  <si>
    <t>047365</t>
  </si>
  <si>
    <t>Northwest Local SD (049635, Scioto County)</t>
  </si>
  <si>
    <t>049635</t>
  </si>
  <si>
    <t>Northwest Local SD (049908, Stark County)</t>
  </si>
  <si>
    <t>049908</t>
  </si>
  <si>
    <t>Northwestern Local SD (046268, Clark County)</t>
  </si>
  <si>
    <t>046268</t>
  </si>
  <si>
    <t>Northwestern Local SD (050575, Wayne County)</t>
  </si>
  <si>
    <t>050575</t>
  </si>
  <si>
    <t>Northwood Local SD (050716, Wood County)</t>
  </si>
  <si>
    <t>050716</t>
  </si>
  <si>
    <t>Norton City SD (044552, Summit County)</t>
  </si>
  <si>
    <t>044552</t>
  </si>
  <si>
    <t>Norwalk City SD (044560, Huron County)</t>
  </si>
  <si>
    <t>044560</t>
  </si>
  <si>
    <t>Norwayne Local SD (050567, Wayne County)</t>
  </si>
  <si>
    <t>050567</t>
  </si>
  <si>
    <t>Norwood City Schools City SD (044578, Hamilton County)</t>
  </si>
  <si>
    <t>044578</t>
  </si>
  <si>
    <t>Oak Hill Union Local SD (047761, Jackson County)</t>
  </si>
  <si>
    <t>047761</t>
  </si>
  <si>
    <t>Oak Hills Local SD (047373, Hamilton County)</t>
  </si>
  <si>
    <t>047373</t>
  </si>
  <si>
    <t>Oakwood City SD (044586, Montgomery County)</t>
  </si>
  <si>
    <t>044586</t>
  </si>
  <si>
    <t>Oberlin City SD (044594, Lorain County)</t>
  </si>
  <si>
    <t>044594</t>
  </si>
  <si>
    <t>Old Fort Local SD (049726, Seneca County)</t>
  </si>
  <si>
    <t>049726</t>
  </si>
  <si>
    <t>Olentangy Local SD (046763, Delaware County)</t>
  </si>
  <si>
    <t>046763</t>
  </si>
  <si>
    <t>Olmsted Falls City SD (046573, Cuyahoga County)</t>
  </si>
  <si>
    <t>046573</t>
  </si>
  <si>
    <t>Ontario Local SD (049478, Richland County)</t>
  </si>
  <si>
    <t>049478</t>
  </si>
  <si>
    <t>Orange City SD (046581, Cuyahoga County)</t>
  </si>
  <si>
    <t>046581</t>
  </si>
  <si>
    <t>Oregon City SD (044602, Lucas County)</t>
  </si>
  <si>
    <t>044602</t>
  </si>
  <si>
    <t>Orrville City SD (044610, Wayne County)</t>
  </si>
  <si>
    <t>044610</t>
  </si>
  <si>
    <t>Osnaburg Local SD (049916, Stark County)</t>
  </si>
  <si>
    <t>049916</t>
  </si>
  <si>
    <t>Otsego Local SD (050724, Wood County)</t>
  </si>
  <si>
    <t>050724</t>
  </si>
  <si>
    <t>Ottawa Hills Local SD (048215, Lucas County)</t>
  </si>
  <si>
    <t>048215</t>
  </si>
  <si>
    <t>Ottawa-Glandorf Local SD (049379, Putnam County)</t>
  </si>
  <si>
    <t>049379</t>
  </si>
  <si>
    <t>Ottoville Local SD (049387, Putnam County)</t>
  </si>
  <si>
    <t>049387</t>
  </si>
  <si>
    <t>Painesville City Local SD (044628, Lake County)</t>
  </si>
  <si>
    <t>044628</t>
  </si>
  <si>
    <t>Paint Valley Local SD (049510, Ross County)</t>
  </si>
  <si>
    <t>049510</t>
  </si>
  <si>
    <t>Pandora-Gilboa Local SD (049395, Putnam County)</t>
  </si>
  <si>
    <t>049395</t>
  </si>
  <si>
    <t>Parkway Local SD (048579, Mercer County)</t>
  </si>
  <si>
    <t>048579</t>
  </si>
  <si>
    <t>Parma City SD (044636, Cuyahoga County)</t>
  </si>
  <si>
    <t>044636</t>
  </si>
  <si>
    <t>Patrick Henry Local SD (047597, Henry County)</t>
  </si>
  <si>
    <t>047597</t>
  </si>
  <si>
    <t>Paulding Ex Vill SD (045575, Paulding County)</t>
  </si>
  <si>
    <t>045575</t>
  </si>
  <si>
    <t>Perkins Local SD (046813, Erie County)</t>
  </si>
  <si>
    <t>046813</t>
  </si>
  <si>
    <t>Perry Local SD (045781, Allen County)</t>
  </si>
  <si>
    <t>045781</t>
  </si>
  <si>
    <t>Perry Local SD (047902, Lake County)</t>
  </si>
  <si>
    <t>047902</t>
  </si>
  <si>
    <t>Perry Local SD (049924, Stark County)</t>
  </si>
  <si>
    <t>049924</t>
  </si>
  <si>
    <t>Perrysburg Ex Vill SD (045583, Wood County)</t>
  </si>
  <si>
    <t>045583</t>
  </si>
  <si>
    <t>Pettisville School Local SD (047076, Fulton County)</t>
  </si>
  <si>
    <t>047076</t>
  </si>
  <si>
    <t>Pickerington Local SD (046896, Fairfield County)</t>
  </si>
  <si>
    <t>046896</t>
  </si>
  <si>
    <t>Pike-Delta-York Local SD (047084, Fulton County)</t>
  </si>
  <si>
    <t>047084</t>
  </si>
  <si>
    <t>Piqua City SD (044644, Miami County)</t>
  </si>
  <si>
    <t>044644</t>
  </si>
  <si>
    <t>Plain Local SD (049932, Stark County)</t>
  </si>
  <si>
    <t>049932</t>
  </si>
  <si>
    <t>Pleasant Local SD (048421, Marion County)</t>
  </si>
  <si>
    <t>048421</t>
  </si>
  <si>
    <t>Plymouth-Shiloh Local SD (049460, Richland County)</t>
  </si>
  <si>
    <t>049460</t>
  </si>
  <si>
    <t>Poland Local SD (048348, Mahoning County)</t>
  </si>
  <si>
    <t>048348</t>
  </si>
  <si>
    <t>Port Clinton City SD (044651, Ottawa County)</t>
  </si>
  <si>
    <t>044651</t>
  </si>
  <si>
    <t>Portsmouth City SD (044669, Scioto County)</t>
  </si>
  <si>
    <t>044669</t>
  </si>
  <si>
    <t>Preble Shawnee Local SD (049288, Preble County)</t>
  </si>
  <si>
    <t>049288</t>
  </si>
  <si>
    <t>Princeton City SD (044677, Hamilton County)</t>
  </si>
  <si>
    <t>044677</t>
  </si>
  <si>
    <t>Put-In-Bay Local SD (048975, Ottawa County)</t>
  </si>
  <si>
    <t>048975</t>
  </si>
  <si>
    <t>Pymatuning Valley Local SD (045880, Ashtabula County)</t>
  </si>
  <si>
    <t>045880</t>
  </si>
  <si>
    <t>Ravenna City SD (044685, Portage County)</t>
  </si>
  <si>
    <t>044685</t>
  </si>
  <si>
    <t>Reading Community City SD (044693, Hamilton County)</t>
  </si>
  <si>
    <t>044693</t>
  </si>
  <si>
    <t>Revere Local SD (050054, Summit County)</t>
  </si>
  <si>
    <t>050054</t>
  </si>
  <si>
    <t>Reynoldsburg City SD (047001, Franklin County)</t>
  </si>
  <si>
    <t>047001</t>
  </si>
  <si>
    <t>Richmond Heights Local SD (046599, Cuyahoga County)</t>
  </si>
  <si>
    <t>046599</t>
  </si>
  <si>
    <t>Ridgedale Local SD (048439, Marion County)</t>
  </si>
  <si>
    <t>048439</t>
  </si>
  <si>
    <t>Ridgemont Local SD (047506, Hardin County)</t>
  </si>
  <si>
    <t>047506</t>
  </si>
  <si>
    <t>Ridgewood Local SD (046474, Coshocton County)</t>
  </si>
  <si>
    <t>046474</t>
  </si>
  <si>
    <t>Ripley-Union-Lewis-Huntington (046078, Brown County)</t>
  </si>
  <si>
    <t>046078</t>
  </si>
  <si>
    <t>Rittman Ex Vill SD (045591, Wayne County)</t>
  </si>
  <si>
    <t>045591</t>
  </si>
  <si>
    <t>River Valley Local SD (048447, Marion County)</t>
  </si>
  <si>
    <t>048447</t>
  </si>
  <si>
    <t>River View Local SD (046482, Coshocton County)</t>
  </si>
  <si>
    <t>046482</t>
  </si>
  <si>
    <t>Riverdale Local SD (047514, Hardin County)</t>
  </si>
  <si>
    <t>047514</t>
  </si>
  <si>
    <t>Riverside  Local Local SD (047894, Lake County)</t>
  </si>
  <si>
    <t>047894</t>
  </si>
  <si>
    <t>Riverside Local SD (048090, Logan County)</t>
  </si>
  <si>
    <t>048090</t>
  </si>
  <si>
    <t>Rock Hill Local SD (047944, Lawrence County)</t>
  </si>
  <si>
    <t>047944</t>
  </si>
  <si>
    <t>Rocky River City SD (044701, Cuyahoga County)</t>
  </si>
  <si>
    <t>044701</t>
  </si>
  <si>
    <t>Rolling Hills Local SD (047308, Guernsey County)</t>
  </si>
  <si>
    <t>047308</t>
  </si>
  <si>
    <t>Rootstown Local SD (049213, Portage County)</t>
  </si>
  <si>
    <t>049213</t>
  </si>
  <si>
    <t>Ross Local SD (046144, Butler County)</t>
  </si>
  <si>
    <t>046144</t>
  </si>
  <si>
    <t>Rossford Ex Vill SD (045609, Wood County)</t>
  </si>
  <si>
    <t>045609</t>
  </si>
  <si>
    <t>Russia Local SD (049817, Shelby County)</t>
  </si>
  <si>
    <t>049817</t>
  </si>
  <si>
    <t>Salem City SD (044735, Columbiana County)</t>
  </si>
  <si>
    <t>044735</t>
  </si>
  <si>
    <t>Sandusky City SD (044743, Erie County)</t>
  </si>
  <si>
    <t>044743</t>
  </si>
  <si>
    <t>Sandy Valley Local SD (049940, Stark County)</t>
  </si>
  <si>
    <t>049940</t>
  </si>
  <si>
    <t>Scioto Valley Local SD (049130, Pike County)</t>
  </si>
  <si>
    <t>049130</t>
  </si>
  <si>
    <t>Sebring Local SD (048355, Mahoning County)</t>
  </si>
  <si>
    <t>048355</t>
  </si>
  <si>
    <t>Seneca East Local SD (049684, Seneca County)</t>
  </si>
  <si>
    <t>049684</t>
  </si>
  <si>
    <t>Shadyside Local SD (046003, Belmont County)</t>
  </si>
  <si>
    <t>046003</t>
  </si>
  <si>
    <t>Shaker Heights City SD (044750, Cuyahoga County)</t>
  </si>
  <si>
    <t>044750</t>
  </si>
  <si>
    <t>Shawnee Local SD (045799, Allen County)</t>
  </si>
  <si>
    <t>045799</t>
  </si>
  <si>
    <t>Sheffield-Sheffield Lake City (044768, Lorain County)</t>
  </si>
  <si>
    <t>044768</t>
  </si>
  <si>
    <t>Shelby City SD (044776, Richland County)</t>
  </si>
  <si>
    <t>044776</t>
  </si>
  <si>
    <t>Sidney City SD (044784, Shelby County)</t>
  </si>
  <si>
    <t>044784</t>
  </si>
  <si>
    <t>Solon City SD (046607, Cuyahoga County)</t>
  </si>
  <si>
    <t>046607</t>
  </si>
  <si>
    <t>South Central Local SD (047738, Huron County)</t>
  </si>
  <si>
    <t>047738</t>
  </si>
  <si>
    <t>South Euclid-Lyndhurst City SD (044792, Cuyahoga County)</t>
  </si>
  <si>
    <t>044792</t>
  </si>
  <si>
    <t>South Point Local SD (047951, Lawrence County)</t>
  </si>
  <si>
    <t>047951</t>
  </si>
  <si>
    <t>South Range Local SD (048363, Mahoning County)</t>
  </si>
  <si>
    <t>048363</t>
  </si>
  <si>
    <t>Southeast Local SD (049221, Portage County)</t>
  </si>
  <si>
    <t>049221</t>
  </si>
  <si>
    <t>Southeast Local SD (050583, Wayne County)</t>
  </si>
  <si>
    <t>050583</t>
  </si>
  <si>
    <t>Southeastern Local SD (046276, Clark County)</t>
  </si>
  <si>
    <t>046276</t>
  </si>
  <si>
    <t>Southeastern Local SD (049528, Ross County)</t>
  </si>
  <si>
    <t>049528</t>
  </si>
  <si>
    <t>Southern Local SD (046441, Columbiana County)</t>
  </si>
  <si>
    <t>046441</t>
  </si>
  <si>
    <t>Southern Local SD (048538, Meigs County)</t>
  </si>
  <si>
    <t>048538</t>
  </si>
  <si>
    <t>Southern Local SD (049064, Perry County)</t>
  </si>
  <si>
    <t>049064</t>
  </si>
  <si>
    <t>Southington Local SD (050237, Trumbull County)</t>
  </si>
  <si>
    <t>050237</t>
  </si>
  <si>
    <t>Southwest Licking Local SD (048041, Licking County)</t>
  </si>
  <si>
    <t>048041</t>
  </si>
  <si>
    <t>Southwest Local SD (047381, Hamilton County)</t>
  </si>
  <si>
    <t>047381</t>
  </si>
  <si>
    <t>South-Western City SD (044800, Franklin County)</t>
  </si>
  <si>
    <t>044800</t>
  </si>
  <si>
    <t>Spencerville Local SD (045807, Allen County)</t>
  </si>
  <si>
    <t>045807</t>
  </si>
  <si>
    <t>Springboro Community City SD (050427, Warren County)</t>
  </si>
  <si>
    <t>050427</t>
  </si>
  <si>
    <t>Springfield City SD (044818, Clark County)</t>
  </si>
  <si>
    <t>044818</t>
  </si>
  <si>
    <t>Springfield Local SD (048223, Lucas County)</t>
  </si>
  <si>
    <t>048223</t>
  </si>
  <si>
    <t>Springfield Local SD (048371, Mahoning County)</t>
  </si>
  <si>
    <t>048371</t>
  </si>
  <si>
    <t>Springfield Local SD (050062, Summit County)</t>
  </si>
  <si>
    <t>050062</t>
  </si>
  <si>
    <t>St Bernard-Elmwood Place City (044719, Hamilton County)</t>
  </si>
  <si>
    <t>044719</t>
  </si>
  <si>
    <t>St Clairsville-Richland City S (045997, Belmont County)</t>
  </si>
  <si>
    <t>045997</t>
  </si>
  <si>
    <t>St Henry Consolidated Local SD (048587, Mercer County)</t>
  </si>
  <si>
    <t>048587</t>
  </si>
  <si>
    <t>St Marys City SD (044727, Auglaize County)</t>
  </si>
  <si>
    <t>044727</t>
  </si>
  <si>
    <t>Steubenville City SD (044826, Jefferson County)</t>
  </si>
  <si>
    <t>044826</t>
  </si>
  <si>
    <t>Stow-Munroe Falls City SD (044834, Summit County)</t>
  </si>
  <si>
    <t>044834</t>
  </si>
  <si>
    <t>Strasburg-Franklin Local SD (050294, Tuscarawas County)</t>
  </si>
  <si>
    <t>050294</t>
  </si>
  <si>
    <t>Streetsboro City SD (049239, Portage County)</t>
  </si>
  <si>
    <t>049239</t>
  </si>
  <si>
    <t>Strongsville City SD (044842, Cuyahoga County)</t>
  </si>
  <si>
    <t>044842</t>
  </si>
  <si>
    <t>Struthers City SD (044859, Mahoning County)</t>
  </si>
  <si>
    <t>044859</t>
  </si>
  <si>
    <t>Stryker Local SD (050658, Williams County)</t>
  </si>
  <si>
    <t>050658</t>
  </si>
  <si>
    <t>Swanton Local SD (047092, Fulton County)</t>
  </si>
  <si>
    <t>047092</t>
  </si>
  <si>
    <t>Switzerland of Ohio Local SD (048652, Monroe County)</t>
  </si>
  <si>
    <t>048652</t>
  </si>
  <si>
    <t>Sycamore Community City SD (044867, Hamilton County)</t>
  </si>
  <si>
    <t>044867</t>
  </si>
  <si>
    <t>Sylvania City SD (044875, Lucas County)</t>
  </si>
  <si>
    <t>044875</t>
  </si>
  <si>
    <t>Symmes Valley Local SD (047969, Lawrence County)</t>
  </si>
  <si>
    <t>047969</t>
  </si>
  <si>
    <t>Talawanda City SD (046151, Butler County)</t>
  </si>
  <si>
    <t>046151</t>
  </si>
  <si>
    <t>Tallmadge City SD (044883, Summit County)</t>
  </si>
  <si>
    <t>044883</t>
  </si>
  <si>
    <t>Teays Valley Local SD (049098, Pickaway County)</t>
  </si>
  <si>
    <t>049098</t>
  </si>
  <si>
    <t>Tecumseh Local SD (046243, Clark County)</t>
  </si>
  <si>
    <t>046243</t>
  </si>
  <si>
    <t>Three Rivers Local SD (047399, Hamilton County)</t>
  </si>
  <si>
    <t>047399</t>
  </si>
  <si>
    <t>Tiffin City SD (044891, Seneca County)</t>
  </si>
  <si>
    <t>044891</t>
  </si>
  <si>
    <t>Tipp City Ex Vill SD (045617, Miami County)</t>
  </si>
  <si>
    <t>045617</t>
  </si>
  <si>
    <t>Toledo City SD (044909, Lucas County)</t>
  </si>
  <si>
    <t>044909</t>
  </si>
  <si>
    <t>Toronto City SD (044917, Jefferson County)</t>
  </si>
  <si>
    <t>044917</t>
  </si>
  <si>
    <t>Triad Local SD (046201, Champaign County)</t>
  </si>
  <si>
    <t>046201</t>
  </si>
  <si>
    <t>Tri-County North Local SD (091397, Preble County)</t>
  </si>
  <si>
    <t>091397</t>
  </si>
  <si>
    <t>Trimble Local SD (045922, Athens County)</t>
  </si>
  <si>
    <t>045922</t>
  </si>
  <si>
    <t>Tri-Valley Local SD (048876, Muskingum County)</t>
  </si>
  <si>
    <t>048876</t>
  </si>
  <si>
    <t>Tri-Village Local SD (046680, Darke County)</t>
  </si>
  <si>
    <t>046680</t>
  </si>
  <si>
    <t>Triway Local SD (050591, Wayne County)</t>
  </si>
  <si>
    <t>050591</t>
  </si>
  <si>
    <t>Trotwood-Madison City SD (048694, Montgomery County)</t>
  </si>
  <si>
    <t>048694</t>
  </si>
  <si>
    <t>Troy City SD (044925, Miami County)</t>
  </si>
  <si>
    <t>044925</t>
  </si>
  <si>
    <t>Tuscarawas Valley Local SD (050302, Tuscarawas County)</t>
  </si>
  <si>
    <t>050302</t>
  </si>
  <si>
    <t>Tuslaw Local SD (049957, Stark County)</t>
  </si>
  <si>
    <t>049957</t>
  </si>
  <si>
    <t>Twin Valley Community Local SD (049296, Preble County)</t>
  </si>
  <si>
    <t>049296</t>
  </si>
  <si>
    <t>Twinsburg City SD (050070, Summit County)</t>
  </si>
  <si>
    <t>050070</t>
  </si>
  <si>
    <t>Union Local SD (046011, Belmont County)</t>
  </si>
  <si>
    <t>046011</t>
  </si>
  <si>
    <t>Union-Scioto Local SD (049536, Ross County)</t>
  </si>
  <si>
    <t>049536</t>
  </si>
  <si>
    <t>United Local SD (046458, Columbiana County)</t>
  </si>
  <si>
    <t>046458</t>
  </si>
  <si>
    <t>Upper Arlington City SD (044933, Franklin County)</t>
  </si>
  <si>
    <t>044933</t>
  </si>
  <si>
    <t>Upper Scioto Valley Local SD (047522, Hardin County)</t>
  </si>
  <si>
    <t>047522</t>
  </si>
  <si>
    <t>Urbana City SD (044941, Champaign County)</t>
  </si>
  <si>
    <t>044941</t>
  </si>
  <si>
    <t>USEVS Ex Vill SD (045625, Wyandot County)</t>
  </si>
  <si>
    <t>045625</t>
  </si>
  <si>
    <t>Valley Local SD (049643, Scioto County)</t>
  </si>
  <si>
    <t>049643</t>
  </si>
  <si>
    <t>Valley View Local SD (048744, Montgomery County)</t>
  </si>
  <si>
    <t>048744</t>
  </si>
  <si>
    <t>Van Buren Local SD (047464, Hancock County)</t>
  </si>
  <si>
    <t>047464</t>
  </si>
  <si>
    <t>Van Wert City SD (044966, Van Wert County)</t>
  </si>
  <si>
    <t>044966</t>
  </si>
  <si>
    <t>Vandalia-Butler City SD (044958, Montgomery County)</t>
  </si>
  <si>
    <t>044958</t>
  </si>
  <si>
    <t>Vanlue Local SD (047472, Hancock County)</t>
  </si>
  <si>
    <t>047472</t>
  </si>
  <si>
    <t>Vermilion Local SD (046821, Erie County)</t>
  </si>
  <si>
    <t>046821</t>
  </si>
  <si>
    <t>Versailles Ex Vill SD (045633, Darke County)</t>
  </si>
  <si>
    <t>045633</t>
  </si>
  <si>
    <t>Vinton County Local SD (050393, Vinton County)</t>
  </si>
  <si>
    <t>050393</t>
  </si>
  <si>
    <t>Wadsworth City SD (044974, Medina County)</t>
  </si>
  <si>
    <t>044974</t>
  </si>
  <si>
    <t>Walnut Township Local SD (046904, Fairfield County)</t>
  </si>
  <si>
    <t>046904</t>
  </si>
  <si>
    <t>Wapakoneta City SD (044982, Auglaize County)</t>
  </si>
  <si>
    <t>044982</t>
  </si>
  <si>
    <t>Warren City SD (044990, Trumbull County)</t>
  </si>
  <si>
    <t>044990</t>
  </si>
  <si>
    <t>Warren Local SD (050500, Washington County)</t>
  </si>
  <si>
    <t>050500</t>
  </si>
  <si>
    <t>Warrensville Heights City SD (045005, Cuyahoga County)</t>
  </si>
  <si>
    <t>045005</t>
  </si>
  <si>
    <t>Washington Court House City SD (045013, Fayette County)</t>
  </si>
  <si>
    <t>045013</t>
  </si>
  <si>
    <t>Washington Local SD (048231, Lucas County)</t>
  </si>
  <si>
    <t>048231</t>
  </si>
  <si>
    <t>Washington-Nile Local SD (049650, Scioto County)</t>
  </si>
  <si>
    <t>049650</t>
  </si>
  <si>
    <t>Waterloo Local SD (049247, Portage County)</t>
  </si>
  <si>
    <t>049247</t>
  </si>
  <si>
    <t>Wauseon Ex Vill SD (045641, Fulton County)</t>
  </si>
  <si>
    <t>045641</t>
  </si>
  <si>
    <t>Waverly City SD (049148, Pike County)</t>
  </si>
  <si>
    <t>049148</t>
  </si>
  <si>
    <t>Wayne Local SD (050468, Warren County)</t>
  </si>
  <si>
    <t>050468</t>
  </si>
  <si>
    <t>Wayne Trace Local Local SD (049031, Paulding County)</t>
  </si>
  <si>
    <t>049031</t>
  </si>
  <si>
    <t>Waynesfield-Goshen Local SD (045971, Auglaize County)</t>
  </si>
  <si>
    <t>045971</t>
  </si>
  <si>
    <t>Weathersfield Local SD (050252, Trumbull County)</t>
  </si>
  <si>
    <t>050252</t>
  </si>
  <si>
    <t>Wellington Ex Vill SD (045658, Lorain County)</t>
  </si>
  <si>
    <t>045658</t>
  </si>
  <si>
    <t>Wellston City SD (045021, Jackson County)</t>
  </si>
  <si>
    <t>045021</t>
  </si>
  <si>
    <t>Wellsville Local SD (045039, Columbiana County)</t>
  </si>
  <si>
    <t>045039</t>
  </si>
  <si>
    <t>West Branch Local SD (048389, Mahoning County)</t>
  </si>
  <si>
    <t>048389</t>
  </si>
  <si>
    <t>West Carrollton City SD (045054, Montgomery County)</t>
  </si>
  <si>
    <t>045054</t>
  </si>
  <si>
    <t>West Clermont Local SD (046359, Clermont County)</t>
  </si>
  <si>
    <t>046359</t>
  </si>
  <si>
    <t>West Geauga Local SD (047225, Geauga County)</t>
  </si>
  <si>
    <t>047225</t>
  </si>
  <si>
    <t>West Holmes Local SD (047696, Holmes County)</t>
  </si>
  <si>
    <t>047696</t>
  </si>
  <si>
    <t>West Liberty-Salem Local SD (046219, Champaign County)</t>
  </si>
  <si>
    <t>046219</t>
  </si>
  <si>
    <t>West Muskingum Local SD (048884, Muskingum County)</t>
  </si>
  <si>
    <t>048884</t>
  </si>
  <si>
    <t>Western Brown Local SD (046060, Brown County)</t>
  </si>
  <si>
    <t>046060</t>
  </si>
  <si>
    <t>Western Local SD (049155, Pike County)</t>
  </si>
  <si>
    <t>049155</t>
  </si>
  <si>
    <t>Western Reserve Local SD (047746, Huron County)</t>
  </si>
  <si>
    <t>047746</t>
  </si>
  <si>
    <t>Western Reserve Local SD (048397, Mahoning County)</t>
  </si>
  <si>
    <t>048397</t>
  </si>
  <si>
    <t>Westerville City SD (045047, Franklin County)</t>
  </si>
  <si>
    <t>045047</t>
  </si>
  <si>
    <t>Westfall Local SD (049106, Pickaway County)</t>
  </si>
  <si>
    <t>049106</t>
  </si>
  <si>
    <t>Westlake City SD (045062, Cuyahoga County)</t>
  </si>
  <si>
    <t>045062</t>
  </si>
  <si>
    <t>Wheelersburg Local SD (049668, Scioto County)</t>
  </si>
  <si>
    <t>049668</t>
  </si>
  <si>
    <t>Whitehall City SD (045070, Franklin County)</t>
  </si>
  <si>
    <t>045070</t>
  </si>
  <si>
    <t>Wickliffe City SD (045088, Lake County)</t>
  </si>
  <si>
    <t>045088</t>
  </si>
  <si>
    <t>Willard City SD (045096, Huron County)</t>
  </si>
  <si>
    <t>045096</t>
  </si>
  <si>
    <t>Williamsburg Local SD (046367, Clermont County)</t>
  </si>
  <si>
    <t>046367</t>
  </si>
  <si>
    <t>Willoughby-Eastlake City SD (045104, Lake County)</t>
  </si>
  <si>
    <t>045104</t>
  </si>
  <si>
    <t>Wilmington City SD (045112, Clinton County)</t>
  </si>
  <si>
    <t>045112</t>
  </si>
  <si>
    <t>Windham Ex Vill SD (045666, Portage County)</t>
  </si>
  <si>
    <t>045666</t>
  </si>
  <si>
    <t>Winton Woods City SD (044081, Hamilton County)</t>
  </si>
  <si>
    <t>044081</t>
  </si>
  <si>
    <t>Wolf Creek Local SD (050518, Washington County)</t>
  </si>
  <si>
    <t>050518</t>
  </si>
  <si>
    <t>Woodmore Local Local SD (049577, Sandusky County)</t>
  </si>
  <si>
    <t>049577</t>
  </si>
  <si>
    <t>Woodridge Local SD (049973, Summit County)</t>
  </si>
  <si>
    <t>049973</t>
  </si>
  <si>
    <t>Wooster City SD (045120, Wayne County)</t>
  </si>
  <si>
    <t>045120</t>
  </si>
  <si>
    <t>Worthington City SD (045138, Franklin County)</t>
  </si>
  <si>
    <t>045138</t>
  </si>
  <si>
    <t>Wynford Local SD (046524, Crawford County)</t>
  </si>
  <si>
    <t>046524</t>
  </si>
  <si>
    <t>Wyoming City SD (045146, Hamilton County)</t>
  </si>
  <si>
    <t>045146</t>
  </si>
  <si>
    <t>Xenia Community City SD (045153, Greene County)</t>
  </si>
  <si>
    <t>045153</t>
  </si>
  <si>
    <t>Yellow Springs Ex Vill SD (045674, Greene County)</t>
  </si>
  <si>
    <t>045674</t>
  </si>
  <si>
    <t>Youngstown City SD (045161, Mahoning County)</t>
  </si>
  <si>
    <t>045161</t>
  </si>
  <si>
    <t>Zane Trace Local SD (049544, Ross County)</t>
  </si>
  <si>
    <t>049544</t>
  </si>
  <si>
    <t>Zanesville City SD (045179, Muskingum County)</t>
  </si>
  <si>
    <t>045179</t>
  </si>
  <si>
    <t>Options</t>
  </si>
  <si>
    <t>I would like Excess Cost  for my district to be calculated on a per capita basis.</t>
  </si>
  <si>
    <t xml:space="preserve">I would like Excess Cost for my district to be calculated on an individual student basis. </t>
  </si>
  <si>
    <t xml:space="preserve">Resident District - City, Exempted Village or Local </t>
  </si>
  <si>
    <t>Disability Type</t>
  </si>
  <si>
    <t>Category 2. Cognitive Disabilities (formerly Developmentally Handicapped) (Disability condition 09)</t>
  </si>
  <si>
    <t>Category 6. Deaf-Blindness (Disability condition 02)</t>
  </si>
  <si>
    <t>Student disability condition</t>
  </si>
  <si>
    <t>Please select a disability condition.</t>
  </si>
  <si>
    <t>Please select a calculation option.</t>
  </si>
  <si>
    <t>Please select a district.</t>
  </si>
  <si>
    <t>Please select a placement explanation.</t>
  </si>
  <si>
    <t>ALL court ordered institutional placements other than foster care (How Received Code=P)</t>
  </si>
  <si>
    <t>Foster care or placed by court with a relative (How Received Code=C)</t>
  </si>
  <si>
    <t>Insitution, non-court ordered (How Received Code=T)</t>
  </si>
  <si>
    <t>Non-resident – Attending under Title I Public School Choice (How Received Code=W)</t>
  </si>
  <si>
    <t>Inter-District Open Enrollment (How Received Code=9)</t>
  </si>
  <si>
    <t>Non-resident student attending special ed program (including coop) (How Received Code=B)</t>
  </si>
  <si>
    <t>Placement</t>
  </si>
  <si>
    <t>E.</t>
  </si>
  <si>
    <t xml:space="preserve">Section I. </t>
  </si>
  <si>
    <t>C.</t>
  </si>
  <si>
    <t>D.</t>
  </si>
  <si>
    <t>F.</t>
  </si>
  <si>
    <t>Special Education Salaries and Benefits</t>
  </si>
  <si>
    <t>2.</t>
  </si>
  <si>
    <t>1.</t>
  </si>
  <si>
    <t xml:space="preserve">3. Instructional Supplies and Materials By District </t>
  </si>
  <si>
    <t>4. Instructional Equipment</t>
  </si>
  <si>
    <t>5. Administration Costs - By District from EFM Report</t>
  </si>
  <si>
    <t>Equipment for specific students</t>
  </si>
  <si>
    <t>Aide</t>
  </si>
  <si>
    <t>Section II. Salaries, Benefits, and General Student Costs (General Fund)</t>
  </si>
  <si>
    <t>FTE Percent</t>
  </si>
  <si>
    <t>Section V. Totals</t>
  </si>
  <si>
    <t>10.</t>
  </si>
  <si>
    <t>11.</t>
  </si>
  <si>
    <t>12.</t>
  </si>
  <si>
    <t>14.</t>
  </si>
  <si>
    <t>Total Costs</t>
  </si>
  <si>
    <t>Instructional Salaries and Benefits by districts</t>
  </si>
  <si>
    <t>Percent of time in regular classroom (0 to 100)</t>
  </si>
  <si>
    <t>%</t>
  </si>
  <si>
    <t>Section III.  General Student Costs (General Fund)</t>
  </si>
  <si>
    <t>Reported Costs</t>
  </si>
  <si>
    <t>EFM ADM</t>
  </si>
  <si>
    <t>for Per Capita Calculation</t>
  </si>
  <si>
    <t>9.</t>
  </si>
  <si>
    <t>Total Cost per FTE</t>
  </si>
  <si>
    <t>DISABILITY_SALBEN</t>
  </si>
  <si>
    <t>reg_salben</t>
  </si>
  <si>
    <t>Specific teacher(s) salary</t>
  </si>
  <si>
    <t>Specific teacher(s) benefits</t>
  </si>
  <si>
    <t>Served student FTE by Disability</t>
  </si>
  <si>
    <t>Total Salaries and Benefits (Section II)</t>
  </si>
  <si>
    <t>Total General Student Costs (Section III)</t>
  </si>
  <si>
    <t>Total Specific Students Costs (Section IV)</t>
  </si>
  <si>
    <t>disadm_nospch</t>
  </si>
  <si>
    <t>Students with disabilities (excluding speech 05) counted in EFM ADM</t>
  </si>
  <si>
    <t>Sheet Name</t>
  </si>
  <si>
    <t>Cell</t>
  </si>
  <si>
    <t>Description</t>
  </si>
  <si>
    <t>admin_EFM_GF</t>
  </si>
  <si>
    <t>ops_EFM_gf</t>
  </si>
  <si>
    <t>staff_EFM_gf</t>
  </si>
  <si>
    <t>pupil_EFM_gf</t>
  </si>
  <si>
    <t>6. Operations Support Costs - By District from EFM Report</t>
  </si>
  <si>
    <t>7. Staff Support Costs - By District from EFM Report</t>
  </si>
  <si>
    <t>8. Pupil Support Costs - By District from EFM Report</t>
  </si>
  <si>
    <t>admin_gf_total</t>
  </si>
  <si>
    <t>ops_gf_total</t>
  </si>
  <si>
    <t>staff_gf_total</t>
  </si>
  <si>
    <t>pupil_gf_total</t>
  </si>
  <si>
    <t>for Specific Student Calculation</t>
  </si>
  <si>
    <t>9. Provide itemized costs directly tied to a specific student(s).</t>
  </si>
  <si>
    <r>
      <t xml:space="preserve">Section IV.  Specific Student Costs and Related Services (General Fund). </t>
    </r>
    <r>
      <rPr>
        <sz val="10"/>
        <rFont val="Arial"/>
        <family val="2"/>
      </rPr>
      <t>Completing these fields will replace some items automatically calculated above.</t>
    </r>
  </si>
  <si>
    <t>Special transportation cost required by IEP</t>
  </si>
  <si>
    <t>Related services (complete worksheet)</t>
  </si>
  <si>
    <t xml:space="preserve">Method of placement (EMIS status code). </t>
  </si>
  <si>
    <t>N25</t>
  </si>
  <si>
    <t>N27</t>
  </si>
  <si>
    <t>N30</t>
  </si>
  <si>
    <t>N32</t>
  </si>
  <si>
    <t>N33</t>
  </si>
  <si>
    <t>N34</t>
  </si>
  <si>
    <t>N35</t>
  </si>
  <si>
    <t>N36</t>
  </si>
  <si>
    <t>O25</t>
  </si>
  <si>
    <t>O27-O36</t>
  </si>
  <si>
    <t>Cost per FTE (Column N/ Column O)</t>
  </si>
  <si>
    <t>SF-6 Form Per Capita</t>
  </si>
  <si>
    <t>SF-6 Form Specific Student</t>
  </si>
  <si>
    <t>N37</t>
  </si>
  <si>
    <t xml:space="preserve">N40 </t>
  </si>
  <si>
    <t>N43</t>
  </si>
  <si>
    <t>N42</t>
  </si>
  <si>
    <t>N44</t>
  </si>
  <si>
    <t>N45</t>
  </si>
  <si>
    <t>N46</t>
  </si>
  <si>
    <t>N34-N35</t>
  </si>
  <si>
    <t>N50-N55</t>
  </si>
  <si>
    <t>N58</t>
  </si>
  <si>
    <t>Sum of per pupil expenditures in Section II</t>
  </si>
  <si>
    <t>Sum of per pupil expenditures in Section III</t>
  </si>
  <si>
    <t>Sum of per pupil expenditures in Section IV</t>
  </si>
  <si>
    <t>N59</t>
  </si>
  <si>
    <t>N60</t>
  </si>
  <si>
    <t>N61</t>
  </si>
  <si>
    <t>Total per pupil expenditure from Sections II, III and IV</t>
  </si>
  <si>
    <t>O37-O46</t>
  </si>
  <si>
    <t>O34-O35, O50-O55</t>
  </si>
  <si>
    <t>Contract services (include this item instead of Lines 3,4, 6, 7, and 8 above)</t>
  </si>
  <si>
    <t xml:space="preserve">Supplies for specific students </t>
  </si>
  <si>
    <t xml:space="preserve">Please make selections and type data only in those cells highlighted in blue. </t>
  </si>
  <si>
    <t xml:space="preserve"> Teacher salaries and benefits by district (functions 11xx, objects 11x, 12x, 131, 21x, 24x, 261))</t>
  </si>
  <si>
    <t xml:space="preserve"> Special Education teacher salaries and benefits by district (Functions 1220, 1230 and 1240 and objects 11x, 12x, 131, 21x, 24x, 261))</t>
  </si>
  <si>
    <t>Cost per FTE (Column N/ Column O*Column P)</t>
  </si>
  <si>
    <t>FY 2012 expenditure reported to funds 001, 494, 016, and 532 and functions 122X, 123X, 124X and object codes 11X, 12X, 21X, 24X, 131 and 261</t>
  </si>
  <si>
    <t>FY 2012 expenditure reported to funds 001, 494, 016, and 532 and function 11XX and object codes 11X, 12X, 21X, 24X, 131 and 261</t>
  </si>
  <si>
    <t>FY 2012 expenditure reported to funds 001, 494, 016, and 532 and function 1XXX and object codes 5XX</t>
  </si>
  <si>
    <t>FY 2012 expenditure reported to funds 001, 494, 016, and 532 and function 1XXX and object codes 6XX and 7XX</t>
  </si>
  <si>
    <t>FY 2012 EFM General Fund administrative expenditure total</t>
  </si>
  <si>
    <t>FY 2012 EFM General Fund operations expenditure total</t>
  </si>
  <si>
    <t>FY 2012 EFM General Fund staff support expenditure total</t>
  </si>
  <si>
    <t>FY 2012 EFM General Fund pupil support expenditure total</t>
  </si>
  <si>
    <t>FY 2012 EFM ADM of those student with a disability condition excluding Speech and lanaguage (05)</t>
  </si>
  <si>
    <t>FY 2012 EFM ADM total</t>
  </si>
  <si>
    <t>District submitted FY 2012 data</t>
  </si>
  <si>
    <t>District submitted FY2012 FTE data for students referenced on the form. Districts need only to enter the FTE in cell O34</t>
  </si>
  <si>
    <t>Quality School Choice and Funding</t>
  </si>
  <si>
    <t>Finance Program Services</t>
  </si>
  <si>
    <t>To be filed by educating district (3323.14 O.R.C.) for school year 2011-12</t>
  </si>
  <si>
    <t>Category 1. Speech (Disability condition 05)</t>
  </si>
  <si>
    <t>Category 2. Learning Disabilities (Disability condition 10)</t>
  </si>
  <si>
    <t>Category 2. Other Health Impairment, Minor (Disability condition 15)</t>
  </si>
  <si>
    <t>Category 3. Hearing Impairment (Disability condition 03)</t>
  </si>
  <si>
    <t>Category 3. Emotional Disturbance (SBH) (Disability condition 08)</t>
  </si>
  <si>
    <t>Category 4. Visual Impairments (Disability condition 04)</t>
  </si>
  <si>
    <t>Category 4. Other Health Impairment, Major (Disability condition 14)</t>
  </si>
  <si>
    <t>Category 5. Multiple Disabilities (other than deaf-blind) (Disability condition 01)</t>
  </si>
  <si>
    <t>Category 5. Orthopedic Impairments (Disability condition 06)</t>
  </si>
  <si>
    <t>Category 6. Autism (Disability condition 12)</t>
  </si>
  <si>
    <t>Category 6. Traumatic Brain Injury (TBI) (Disability condition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</si>
</sst>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7" formatCode="&quot;$&quot;#,##0.00_);\(&quot;$&quot;#,##0.00\)"/>
    <numFmt numFmtId="43" formatCode="_(* #,##0.00_);_(* \(#,##0.00\);_(* &quot;-&quot;??_);_(@_)"/>
    <numFmt numFmtId="164" formatCode="&quot;$&quot;#,##0"/>
    <numFmt numFmtId="165" formatCode="0.0%"/>
    <numFmt numFmtId="166" formatCode="0.0"/>
    <numFmt numFmtId="167" formatCode="#,##0.0"/>
    <numFmt numFmtId="168" formatCode="m/d/yyyy\ h:mm\ AM/PM"/>
  </numFmts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name val="Arial"/>
      <family val="2"/>
    </font>
    <font>
      <b/>
      <sz val="4"/>
      <name val="Arial"/>
      <family val="2"/>
    </font>
    <font>
      <sz val="4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2"/>
      <name val="Arial"/>
      <family val="2"/>
    </font>
    <font>
      <b/>
      <sz val="5"/>
      <name val="Arial"/>
      <family val="2"/>
    </font>
    <font>
      <sz val="5"/>
      <name val="Arial"/>
      <family val="2"/>
    </font>
    <font>
      <sz val="9"/>
      <name val="Arial"/>
      <family val="2"/>
    </font>
    <font>
      <sz val="6"/>
      <name val="Arial"/>
      <family val="2"/>
    </font>
    <font>
      <sz val="8"/>
      <name val="Times New Roman"/>
      <family val="1"/>
    </font>
    <font>
      <sz val="1"/>
      <name val="Arial"/>
      <family val="2"/>
    </font>
    <font>
      <sz val="72"/>
      <name val="Arial"/>
      <family val="2"/>
    </font>
    <font>
      <sz val="10"/>
      <color theme="1"/>
      <name val="Arial"/>
      <family val="2"/>
    </font>
    <font>
      <sz val="10"/>
      <name val="MS Sans Serif"/>
      <family val="2"/>
    </font>
    <font>
      <u/>
      <sz val="10"/>
      <color indexed="12"/>
      <name val="MS Sans Serif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b/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>
      <alignment vertical="top"/>
      <protection locked="0"/>
    </xf>
    <xf numFmtId="0" fontId="17" fillId="0" borderId="0"/>
  </cellStyleXfs>
  <cellXfs count="166">
    <xf numFmtId="0" fontId="0" fillId="0" borderId="0" xfId="0"/>
    <xf numFmtId="0" fontId="1" fillId="0" borderId="0" xfId="1" applyFont="1"/>
    <xf numFmtId="0" fontId="16" fillId="0" borderId="0" xfId="0" applyFont="1"/>
    <xf numFmtId="0" fontId="16" fillId="0" borderId="0" xfId="0" applyFont="1" applyAlignment="1">
      <alignment horizontal="left" indent="10"/>
    </xf>
    <xf numFmtId="0" fontId="16" fillId="0" borderId="0" xfId="0" applyFont="1" applyAlignment="1">
      <alignment horizontal="justify"/>
    </xf>
    <xf numFmtId="0" fontId="16" fillId="0" borderId="0" xfId="0" applyFont="1" applyAlignment="1">
      <alignment horizontal="left" indent="5"/>
    </xf>
    <xf numFmtId="0" fontId="16" fillId="0" borderId="0" xfId="0" applyFont="1" applyAlignment="1"/>
    <xf numFmtId="0" fontId="1" fillId="0" borderId="0" xfId="0" quotePrefix="1" applyNumberFormat="1" applyFont="1"/>
    <xf numFmtId="0" fontId="1" fillId="0" borderId="0" xfId="0" applyFont="1"/>
    <xf numFmtId="164" fontId="1" fillId="3" borderId="0" xfId="1" applyNumberFormat="1" applyFont="1" applyFill="1" applyBorder="1" applyAlignment="1" applyProtection="1">
      <alignment horizontal="right"/>
      <protection hidden="1"/>
    </xf>
    <xf numFmtId="164" fontId="1" fillId="4" borderId="0" xfId="1" applyNumberFormat="1" applyFont="1" applyFill="1" applyBorder="1" applyAlignment="1" applyProtection="1">
      <alignment horizontal="right"/>
      <protection hidden="1"/>
    </xf>
    <xf numFmtId="164" fontId="1" fillId="3" borderId="0" xfId="2" applyNumberFormat="1" applyFont="1" applyFill="1" applyBorder="1" applyAlignment="1" applyProtection="1">
      <alignment horizontal="right"/>
      <protection hidden="1"/>
    </xf>
    <xf numFmtId="164" fontId="1" fillId="4" borderId="0" xfId="2" applyNumberFormat="1" applyFont="1" applyFill="1" applyBorder="1" applyAlignment="1" applyProtection="1">
      <alignment horizontal="right"/>
      <protection hidden="1"/>
    </xf>
    <xf numFmtId="7" fontId="1" fillId="3" borderId="0" xfId="2" applyNumberFormat="1" applyFont="1" applyFill="1" applyBorder="1" applyAlignment="1" applyProtection="1">
      <alignment horizontal="right"/>
      <protection hidden="1"/>
    </xf>
    <xf numFmtId="0" fontId="5" fillId="4" borderId="0" xfId="1" applyFont="1" applyFill="1" applyBorder="1" applyAlignment="1" applyProtection="1">
      <alignment horizontal="center" wrapText="1"/>
      <protection hidden="1"/>
    </xf>
    <xf numFmtId="7" fontId="1" fillId="4" borderId="0" xfId="2" applyNumberFormat="1" applyFont="1" applyFill="1" applyBorder="1" applyAlignment="1" applyProtection="1">
      <alignment horizontal="right"/>
      <protection hidden="1"/>
    </xf>
    <xf numFmtId="164" fontId="1" fillId="3" borderId="0" xfId="1" applyNumberFormat="1" applyFont="1" applyFill="1" applyAlignment="1" applyProtection="1">
      <alignment horizontal="right"/>
      <protection hidden="1"/>
    </xf>
    <xf numFmtId="164" fontId="1" fillId="3" borderId="0" xfId="1" applyNumberFormat="1" applyFont="1" applyFill="1" applyProtection="1">
      <protection hidden="1"/>
    </xf>
    <xf numFmtId="164" fontId="5" fillId="3" borderId="6" xfId="1" applyNumberFormat="1" applyFont="1" applyFill="1" applyBorder="1" applyProtection="1">
      <protection hidden="1"/>
    </xf>
    <xf numFmtId="9" fontId="1" fillId="3" borderId="0" xfId="1" applyNumberFormat="1" applyFont="1" applyFill="1" applyBorder="1" applyAlignment="1" applyProtection="1">
      <alignment horizontal="center"/>
      <protection hidden="1"/>
    </xf>
    <xf numFmtId="4" fontId="1" fillId="3" borderId="0" xfId="1" applyNumberFormat="1" applyFont="1" applyFill="1" applyAlignment="1" applyProtection="1">
      <alignment horizontal="center"/>
      <protection hidden="1"/>
    </xf>
    <xf numFmtId="0" fontId="10" fillId="3" borderId="0" xfId="1" applyFont="1" applyFill="1" applyBorder="1" applyAlignment="1" applyProtection="1">
      <alignment horizontal="right"/>
      <protection hidden="1"/>
    </xf>
    <xf numFmtId="164" fontId="1" fillId="3" borderId="0" xfId="1" applyNumberFormat="1" applyFont="1" applyFill="1" applyBorder="1" applyAlignment="1" applyProtection="1">
      <alignment horizontal="center"/>
      <protection hidden="1"/>
    </xf>
    <xf numFmtId="166" fontId="1" fillId="3" borderId="0" xfId="1" applyNumberFormat="1" applyFont="1" applyFill="1" applyBorder="1" applyAlignment="1" applyProtection="1">
      <alignment horizontal="center"/>
      <protection hidden="1"/>
    </xf>
    <xf numFmtId="167" fontId="1" fillId="3" borderId="0" xfId="1" applyNumberFormat="1" applyFont="1" applyFill="1" applyAlignment="1" applyProtection="1">
      <alignment horizontal="center"/>
      <protection hidden="1"/>
    </xf>
    <xf numFmtId="168" fontId="1" fillId="3" borderId="0" xfId="1" applyNumberFormat="1" applyFill="1" applyProtection="1">
      <protection hidden="1"/>
    </xf>
    <xf numFmtId="0" fontId="16" fillId="0" borderId="0" xfId="0" quotePrefix="1" applyNumberFormat="1" applyFont="1"/>
    <xf numFmtId="7" fontId="5" fillId="3" borderId="7" xfId="1" applyNumberFormat="1" applyFont="1" applyFill="1" applyBorder="1" applyProtection="1">
      <protection hidden="1"/>
    </xf>
    <xf numFmtId="164" fontId="5" fillId="4" borderId="3" xfId="1" applyNumberFormat="1" applyFont="1" applyFill="1" applyBorder="1" applyAlignment="1" applyProtection="1">
      <alignment horizontal="center" wrapText="1"/>
      <protection hidden="1"/>
    </xf>
    <xf numFmtId="4" fontId="1" fillId="3" borderId="0" xfId="1" applyNumberFormat="1" applyFont="1" applyFill="1" applyBorder="1" applyAlignment="1" applyProtection="1">
      <alignment horizontal="center"/>
      <protection hidden="1"/>
    </xf>
    <xf numFmtId="0" fontId="5" fillId="4" borderId="3" xfId="1" applyFont="1" applyFill="1" applyBorder="1" applyAlignment="1" applyProtection="1">
      <alignment horizontal="center" wrapText="1"/>
      <protection hidden="1"/>
    </xf>
    <xf numFmtId="7" fontId="1" fillId="4" borderId="2" xfId="2" applyNumberFormat="1" applyFont="1" applyFill="1" applyBorder="1" applyAlignment="1" applyProtection="1">
      <alignment horizontal="right"/>
      <protection hidden="1"/>
    </xf>
    <xf numFmtId="0" fontId="5" fillId="4" borderId="5" xfId="1" applyFont="1" applyFill="1" applyBorder="1" applyAlignment="1" applyProtection="1">
      <alignment horizontal="center" wrapText="1"/>
      <protection hidden="1"/>
    </xf>
    <xf numFmtId="7" fontId="1" fillId="4" borderId="5" xfId="2" applyNumberFormat="1" applyFont="1" applyFill="1" applyBorder="1" applyAlignment="1" applyProtection="1">
      <alignment horizontal="right"/>
      <protection hidden="1"/>
    </xf>
    <xf numFmtId="167" fontId="1" fillId="3" borderId="0" xfId="1" applyNumberFormat="1" applyFont="1" applyFill="1" applyBorder="1" applyAlignment="1" applyProtection="1">
      <alignment horizontal="center"/>
      <protection hidden="1"/>
    </xf>
    <xf numFmtId="0" fontId="21" fillId="0" borderId="0" xfId="0" applyFont="1"/>
    <xf numFmtId="0" fontId="1" fillId="3" borderId="0" xfId="1" applyFont="1" applyFill="1" applyBorder="1" applyAlignment="1" applyProtection="1">
      <alignment horizontal="center"/>
      <protection hidden="1"/>
    </xf>
    <xf numFmtId="0" fontId="5" fillId="4" borderId="0" xfId="1" applyFont="1" applyFill="1" applyBorder="1" applyAlignment="1" applyProtection="1">
      <alignment horizontal="center"/>
      <protection hidden="1"/>
    </xf>
    <xf numFmtId="4" fontId="1" fillId="4" borderId="0" xfId="1" applyNumberFormat="1" applyFont="1" applyFill="1" applyBorder="1" applyAlignment="1" applyProtection="1">
      <alignment horizontal="center"/>
      <protection hidden="1"/>
    </xf>
    <xf numFmtId="0" fontId="10" fillId="4" borderId="2" xfId="1" applyFont="1" applyFill="1" applyBorder="1" applyAlignment="1" applyProtection="1">
      <alignment horizontal="right"/>
      <protection hidden="1"/>
    </xf>
    <xf numFmtId="0" fontId="1" fillId="3" borderId="0" xfId="1" applyFont="1" applyFill="1" applyBorder="1" applyAlignment="1" applyProtection="1">
      <alignment horizontal="right"/>
      <protection hidden="1"/>
    </xf>
    <xf numFmtId="0" fontId="1" fillId="3" borderId="0" xfId="1" applyFill="1" applyProtection="1">
      <protection hidden="1"/>
    </xf>
    <xf numFmtId="0" fontId="1" fillId="3" borderId="0" xfId="1" applyFill="1" applyAlignment="1" applyProtection="1">
      <alignment horizontal="center"/>
      <protection hidden="1"/>
    </xf>
    <xf numFmtId="0" fontId="1" fillId="0" borderId="0" xfId="1" applyFill="1" applyProtection="1">
      <protection hidden="1"/>
    </xf>
    <xf numFmtId="0" fontId="2" fillId="3" borderId="0" xfId="1" applyFont="1" applyFill="1" applyAlignment="1" applyProtection="1">
      <alignment horizontal="center"/>
      <protection hidden="1"/>
    </xf>
    <xf numFmtId="0" fontId="4" fillId="3" borderId="0" xfId="1" applyFont="1" applyFill="1" applyProtection="1">
      <protection hidden="1"/>
    </xf>
    <xf numFmtId="0" fontId="3" fillId="3" borderId="0" xfId="1" applyFont="1" applyFill="1" applyAlignment="1" applyProtection="1">
      <alignment horizontal="center"/>
      <protection hidden="1"/>
    </xf>
    <xf numFmtId="0" fontId="4" fillId="0" borderId="0" xfId="1" applyFont="1" applyFill="1" applyProtection="1">
      <protection hidden="1"/>
    </xf>
    <xf numFmtId="0" fontId="5" fillId="3" borderId="0" xfId="1" applyFont="1" applyFill="1" applyAlignment="1" applyProtection="1">
      <alignment horizontal="center"/>
      <protection hidden="1"/>
    </xf>
    <xf numFmtId="0" fontId="6" fillId="3" borderId="0" xfId="1" applyFont="1" applyFill="1" applyAlignment="1" applyProtection="1">
      <alignment horizontal="center"/>
      <protection hidden="1"/>
    </xf>
    <xf numFmtId="0" fontId="5" fillId="3" borderId="0" xfId="1" applyFont="1" applyFill="1" applyProtection="1">
      <protection hidden="1"/>
    </xf>
    <xf numFmtId="0" fontId="5" fillId="3" borderId="0" xfId="1" applyFont="1" applyFill="1" applyBorder="1" applyAlignment="1" applyProtection="1">
      <alignment horizontal="center"/>
      <protection hidden="1"/>
    </xf>
    <xf numFmtId="0" fontId="5" fillId="3" borderId="0" xfId="1" applyFont="1" applyFill="1" applyAlignment="1" applyProtection="1">
      <alignment horizontal="right"/>
      <protection hidden="1"/>
    </xf>
    <xf numFmtId="0" fontId="11" fillId="3" borderId="0" xfId="1" applyFont="1" applyFill="1" applyBorder="1" applyAlignment="1" applyProtection="1">
      <alignment vertical="top"/>
      <protection hidden="1"/>
    </xf>
    <xf numFmtId="0" fontId="1" fillId="3" borderId="0" xfId="1" applyFill="1" applyAlignment="1" applyProtection="1">
      <alignment horizontal="right"/>
      <protection hidden="1"/>
    </xf>
    <xf numFmtId="0" fontId="1" fillId="3" borderId="0" xfId="1" applyFill="1" applyBorder="1" applyProtection="1">
      <protection hidden="1"/>
    </xf>
    <xf numFmtId="0" fontId="11" fillId="3" borderId="2" xfId="1" applyFont="1" applyFill="1" applyBorder="1" applyProtection="1">
      <protection hidden="1"/>
    </xf>
    <xf numFmtId="0" fontId="7" fillId="3" borderId="2" xfId="1" applyFont="1" applyFill="1" applyBorder="1" applyProtection="1">
      <protection hidden="1"/>
    </xf>
    <xf numFmtId="0" fontId="7" fillId="3" borderId="0" xfId="1" applyFont="1" applyFill="1" applyBorder="1" applyAlignment="1" applyProtection="1">
      <alignment vertical="top"/>
      <protection hidden="1"/>
    </xf>
    <xf numFmtId="0" fontId="7" fillId="3" borderId="0" xfId="1" applyFont="1" applyFill="1" applyBorder="1" applyProtection="1">
      <protection hidden="1"/>
    </xf>
    <xf numFmtId="0" fontId="1" fillId="3" borderId="0" xfId="1" applyFont="1" applyFill="1" applyProtection="1">
      <protection hidden="1"/>
    </xf>
    <xf numFmtId="0" fontId="1" fillId="3" borderId="0" xfId="1" applyFont="1" applyFill="1" applyBorder="1" applyProtection="1">
      <protection hidden="1"/>
    </xf>
    <xf numFmtId="0" fontId="1" fillId="0" borderId="0" xfId="1" applyFont="1" applyFill="1" applyProtection="1">
      <protection hidden="1"/>
    </xf>
    <xf numFmtId="0" fontId="1" fillId="3" borderId="0" xfId="1" applyFont="1" applyFill="1" applyAlignment="1" applyProtection="1">
      <alignment horizontal="left"/>
      <protection hidden="1"/>
    </xf>
    <xf numFmtId="0" fontId="5" fillId="3" borderId="0" xfId="1" applyFont="1" applyFill="1" applyBorder="1" applyAlignment="1" applyProtection="1">
      <alignment horizontal="right"/>
      <protection hidden="1"/>
    </xf>
    <xf numFmtId="0" fontId="11" fillId="3" borderId="0" xfId="1" applyFont="1" applyFill="1" applyBorder="1" applyAlignment="1" applyProtection="1">
      <alignment horizontal="left" vertical="top"/>
      <protection hidden="1"/>
    </xf>
    <xf numFmtId="0" fontId="11" fillId="3" borderId="0" xfId="1" applyFont="1" applyFill="1" applyBorder="1" applyProtection="1">
      <protection hidden="1"/>
    </xf>
    <xf numFmtId="0" fontId="1" fillId="3" borderId="0" xfId="1" quotePrefix="1" applyFill="1" applyBorder="1" applyAlignment="1" applyProtection="1">
      <protection hidden="1"/>
    </xf>
    <xf numFmtId="0" fontId="1" fillId="3" borderId="0" xfId="1" applyFill="1" applyBorder="1" applyAlignment="1" applyProtection="1">
      <protection hidden="1"/>
    </xf>
    <xf numFmtId="0" fontId="5" fillId="4" borderId="4" xfId="1" applyFont="1" applyFill="1" applyBorder="1" applyAlignment="1" applyProtection="1">
      <protection hidden="1"/>
    </xf>
    <xf numFmtId="0" fontId="5" fillId="4" borderId="3" xfId="1" applyFont="1" applyFill="1" applyBorder="1" applyAlignment="1" applyProtection="1">
      <protection hidden="1"/>
    </xf>
    <xf numFmtId="0" fontId="5" fillId="4" borderId="3" xfId="1" applyFont="1" applyFill="1" applyBorder="1" applyAlignment="1" applyProtection="1">
      <alignment horizontal="center"/>
      <protection hidden="1"/>
    </xf>
    <xf numFmtId="0" fontId="1" fillId="4" borderId="3" xfId="1" applyFont="1" applyFill="1" applyBorder="1" applyProtection="1">
      <protection hidden="1"/>
    </xf>
    <xf numFmtId="0" fontId="1" fillId="4" borderId="0" xfId="1" quotePrefix="1" applyFont="1" applyFill="1" applyBorder="1" applyAlignment="1" applyProtection="1">
      <alignment horizontal="left"/>
      <protection hidden="1"/>
    </xf>
    <xf numFmtId="0" fontId="1" fillId="4" borderId="0" xfId="1" applyFont="1" applyFill="1" applyBorder="1" applyAlignment="1" applyProtection="1">
      <alignment horizontal="left"/>
      <protection hidden="1"/>
    </xf>
    <xf numFmtId="0" fontId="1" fillId="4" borderId="0" xfId="1" applyFont="1" applyFill="1" applyBorder="1" applyProtection="1">
      <protection hidden="1"/>
    </xf>
    <xf numFmtId="0" fontId="1" fillId="4" borderId="0" xfId="1" applyFont="1" applyFill="1" applyBorder="1" applyAlignment="1" applyProtection="1">
      <alignment horizontal="center"/>
      <protection hidden="1"/>
    </xf>
    <xf numFmtId="165" fontId="1" fillId="4" borderId="0" xfId="1" applyNumberFormat="1" applyFont="1" applyFill="1" applyBorder="1" applyAlignment="1" applyProtection="1">
      <alignment horizontal="center"/>
      <protection hidden="1"/>
    </xf>
    <xf numFmtId="0" fontId="1" fillId="3" borderId="0" xfId="1" quotePrefix="1" applyFont="1" applyFill="1" applyBorder="1" applyAlignment="1" applyProtection="1">
      <alignment horizontal="right"/>
      <protection hidden="1"/>
    </xf>
    <xf numFmtId="0" fontId="1" fillId="3" borderId="0" xfId="1" applyFont="1" applyFill="1" applyBorder="1" applyAlignment="1" applyProtection="1">
      <alignment horizontal="left"/>
      <protection hidden="1"/>
    </xf>
    <xf numFmtId="9" fontId="1" fillId="4" borderId="0" xfId="1" applyNumberFormat="1" applyFont="1" applyFill="1" applyBorder="1" applyAlignment="1" applyProtection="1">
      <alignment horizontal="center"/>
      <protection hidden="1"/>
    </xf>
    <xf numFmtId="0" fontId="5" fillId="4" borderId="4" xfId="1" applyFont="1" applyFill="1" applyBorder="1" applyProtection="1">
      <protection hidden="1"/>
    </xf>
    <xf numFmtId="0" fontId="5" fillId="4" borderId="3" xfId="1" applyFont="1" applyFill="1" applyBorder="1" applyAlignment="1" applyProtection="1">
      <alignment horizontal="left"/>
      <protection hidden="1"/>
    </xf>
    <xf numFmtId="0" fontId="9" fillId="4" borderId="3" xfId="1" applyFont="1" applyFill="1" applyBorder="1" applyAlignment="1" applyProtection="1">
      <alignment horizontal="center"/>
      <protection hidden="1"/>
    </xf>
    <xf numFmtId="0" fontId="10" fillId="4" borderId="3" xfId="1" applyFont="1" applyFill="1" applyBorder="1" applyProtection="1">
      <protection hidden="1"/>
    </xf>
    <xf numFmtId="165" fontId="1" fillId="5" borderId="0" xfId="1" applyNumberFormat="1" applyFont="1" applyFill="1" applyBorder="1" applyAlignment="1" applyProtection="1">
      <alignment horizontal="center"/>
      <protection hidden="1"/>
    </xf>
    <xf numFmtId="0" fontId="10" fillId="3" borderId="0" xfId="1" applyFont="1" applyFill="1" applyProtection="1">
      <protection hidden="1"/>
    </xf>
    <xf numFmtId="0" fontId="5" fillId="3" borderId="0" xfId="1" applyFont="1" applyFill="1" applyAlignment="1" applyProtection="1">
      <alignment horizontal="left"/>
      <protection hidden="1"/>
    </xf>
    <xf numFmtId="0" fontId="9" fillId="3" borderId="0" xfId="1" applyFont="1" applyFill="1" applyAlignment="1" applyProtection="1">
      <alignment horizontal="center"/>
      <protection hidden="1"/>
    </xf>
    <xf numFmtId="0" fontId="1" fillId="5" borderId="0" xfId="1" applyFont="1" applyFill="1" applyAlignment="1" applyProtection="1">
      <alignment horizontal="left"/>
      <protection hidden="1"/>
    </xf>
    <xf numFmtId="0" fontId="1" fillId="4" borderId="2" xfId="1" applyFont="1" applyFill="1" applyBorder="1" applyAlignment="1" applyProtection="1">
      <alignment horizontal="left"/>
      <protection hidden="1"/>
    </xf>
    <xf numFmtId="0" fontId="5" fillId="3" borderId="0" xfId="1" applyFont="1" applyFill="1" applyBorder="1" applyAlignment="1" applyProtection="1">
      <alignment horizontal="left"/>
      <protection hidden="1"/>
    </xf>
    <xf numFmtId="0" fontId="10" fillId="3" borderId="0" xfId="1" applyFont="1" applyFill="1" applyBorder="1" applyProtection="1">
      <protection hidden="1"/>
    </xf>
    <xf numFmtId="0" fontId="1" fillId="5" borderId="0" xfId="1" applyFont="1" applyFill="1" applyBorder="1" applyAlignment="1" applyProtection="1">
      <alignment horizontal="left"/>
      <protection hidden="1"/>
    </xf>
    <xf numFmtId="0" fontId="1" fillId="3" borderId="0" xfId="1" applyFont="1" applyFill="1" applyAlignment="1" applyProtection="1">
      <alignment horizontal="right"/>
      <protection hidden="1"/>
    </xf>
    <xf numFmtId="0" fontId="1" fillId="4" borderId="3" xfId="1" applyFont="1" applyFill="1" applyBorder="1" applyAlignment="1" applyProtection="1">
      <alignment horizontal="right"/>
      <protection hidden="1"/>
    </xf>
    <xf numFmtId="0" fontId="1" fillId="4" borderId="3" xfId="1" applyFont="1" applyFill="1" applyBorder="1" applyAlignment="1" applyProtection="1">
      <alignment horizontal="left"/>
      <protection hidden="1"/>
    </xf>
    <xf numFmtId="0" fontId="1" fillId="3" borderId="0" xfId="1" applyFont="1" applyFill="1" applyAlignment="1" applyProtection="1">
      <protection hidden="1"/>
    </xf>
    <xf numFmtId="0" fontId="1" fillId="3" borderId="0" xfId="1" quotePrefix="1" applyFont="1" applyFill="1" applyAlignment="1" applyProtection="1">
      <alignment horizontal="left"/>
      <protection hidden="1"/>
    </xf>
    <xf numFmtId="0" fontId="1" fillId="3" borderId="0" xfId="1" quotePrefix="1" applyFont="1" applyFill="1" applyProtection="1">
      <protection hidden="1"/>
    </xf>
    <xf numFmtId="0" fontId="10" fillId="3" borderId="0" xfId="1" applyFont="1" applyFill="1" applyAlignment="1" applyProtection="1">
      <alignment horizontal="left"/>
      <protection hidden="1"/>
    </xf>
    <xf numFmtId="0" fontId="12" fillId="3" borderId="0" xfId="1" applyFont="1" applyFill="1" applyProtection="1">
      <protection hidden="1"/>
    </xf>
    <xf numFmtId="0" fontId="12" fillId="3" borderId="0" xfId="1" applyFont="1" applyFill="1" applyAlignment="1" applyProtection="1">
      <alignment horizontal="center"/>
      <protection hidden="1"/>
    </xf>
    <xf numFmtId="0" fontId="12" fillId="2" borderId="0" xfId="1" applyFont="1" applyFill="1" applyAlignment="1" applyProtection="1">
      <alignment horizontal="center"/>
      <protection hidden="1"/>
    </xf>
    <xf numFmtId="0" fontId="1" fillId="2" borderId="1" xfId="1" applyFont="1" applyFill="1" applyBorder="1" applyProtection="1">
      <protection hidden="1"/>
    </xf>
    <xf numFmtId="0" fontId="12" fillId="2" borderId="0" xfId="1" applyFont="1" applyFill="1" applyProtection="1">
      <protection hidden="1"/>
    </xf>
    <xf numFmtId="0" fontId="12" fillId="2" borderId="1" xfId="1" applyFont="1" applyFill="1" applyBorder="1" applyProtection="1">
      <protection hidden="1"/>
    </xf>
    <xf numFmtId="0" fontId="12" fillId="3" borderId="0" xfId="1" applyFont="1" applyFill="1" applyBorder="1" applyProtection="1">
      <protection hidden="1"/>
    </xf>
    <xf numFmtId="0" fontId="11" fillId="3" borderId="2" xfId="1" applyFont="1" applyFill="1" applyBorder="1" applyAlignment="1" applyProtection="1">
      <alignment horizontal="left"/>
      <protection hidden="1"/>
    </xf>
    <xf numFmtId="0" fontId="1" fillId="3" borderId="2" xfId="1" applyFill="1" applyBorder="1" applyProtection="1">
      <protection hidden="1"/>
    </xf>
    <xf numFmtId="0" fontId="10" fillId="3" borderId="0" xfId="1" applyFont="1" applyFill="1" applyAlignment="1" applyProtection="1">
      <alignment horizontal="center"/>
      <protection hidden="1"/>
    </xf>
    <xf numFmtId="0" fontId="7" fillId="3" borderId="0" xfId="1" applyFont="1" applyFill="1" applyProtection="1">
      <protection hidden="1"/>
    </xf>
    <xf numFmtId="0" fontId="13" fillId="3" borderId="0" xfId="1" applyFont="1" applyFill="1" applyProtection="1">
      <protection hidden="1"/>
    </xf>
    <xf numFmtId="0" fontId="7" fillId="3" borderId="0" xfId="1" applyFont="1" applyFill="1" applyAlignment="1" applyProtection="1">
      <alignment horizontal="center"/>
      <protection hidden="1"/>
    </xf>
    <xf numFmtId="0" fontId="8" fillId="3" borderId="0" xfId="1" applyFont="1" applyFill="1" applyProtection="1">
      <protection hidden="1"/>
    </xf>
    <xf numFmtId="0" fontId="8" fillId="3" borderId="0" xfId="1" applyFont="1" applyFill="1" applyAlignment="1" applyProtection="1">
      <alignment horizontal="center"/>
      <protection hidden="1"/>
    </xf>
    <xf numFmtId="0" fontId="10" fillId="3" borderId="0" xfId="1" applyFont="1" applyFill="1" applyBorder="1" applyAlignment="1" applyProtection="1">
      <alignment horizontal="center"/>
      <protection hidden="1"/>
    </xf>
    <xf numFmtId="0" fontId="11" fillId="3" borderId="0" xfId="1" applyFont="1" applyFill="1" applyBorder="1" applyAlignment="1" applyProtection="1">
      <alignment horizontal="left"/>
      <protection hidden="1"/>
    </xf>
    <xf numFmtId="0" fontId="14" fillId="3" borderId="0" xfId="1" applyFont="1" applyFill="1" applyProtection="1">
      <protection hidden="1"/>
    </xf>
    <xf numFmtId="0" fontId="14" fillId="3" borderId="0" xfId="1" applyFont="1" applyFill="1" applyAlignment="1" applyProtection="1">
      <alignment horizontal="center"/>
      <protection hidden="1"/>
    </xf>
    <xf numFmtId="0" fontId="1" fillId="0" borderId="0" xfId="1" applyFill="1" applyAlignment="1" applyProtection="1">
      <alignment horizontal="center"/>
      <protection hidden="1"/>
    </xf>
    <xf numFmtId="0" fontId="16" fillId="0" borderId="0" xfId="0" applyFont="1" applyAlignment="1">
      <alignment wrapText="1"/>
    </xf>
    <xf numFmtId="0" fontId="20" fillId="3" borderId="0" xfId="1" applyFont="1" applyFill="1" applyBorder="1" applyAlignment="1" applyProtection="1">
      <alignment vertical="top"/>
      <protection hidden="1"/>
    </xf>
    <xf numFmtId="0" fontId="1" fillId="4" borderId="2" xfId="1" quotePrefix="1" applyFont="1" applyFill="1" applyBorder="1" applyAlignment="1" applyProtection="1">
      <alignment horizontal="left"/>
      <protection hidden="1"/>
    </xf>
    <xf numFmtId="0" fontId="1" fillId="4" borderId="2" xfId="1" applyFont="1" applyFill="1" applyBorder="1" applyProtection="1">
      <protection hidden="1"/>
    </xf>
    <xf numFmtId="0" fontId="1" fillId="4" borderId="2" xfId="1" applyFont="1" applyFill="1" applyBorder="1" applyAlignment="1" applyProtection="1">
      <alignment horizontal="center"/>
      <protection hidden="1"/>
    </xf>
    <xf numFmtId="0" fontId="1" fillId="3" borderId="0" xfId="1" quotePrefix="1" applyFont="1" applyFill="1" applyBorder="1" applyAlignment="1" applyProtection="1">
      <alignment horizontal="right" vertical="top"/>
      <protection hidden="1"/>
    </xf>
    <xf numFmtId="166" fontId="5" fillId="4" borderId="0" xfId="1" applyNumberFormat="1" applyFont="1" applyFill="1" applyBorder="1" applyAlignment="1" applyProtection="1">
      <alignment horizontal="center"/>
      <protection hidden="1"/>
    </xf>
    <xf numFmtId="7" fontId="1" fillId="3" borderId="0" xfId="1" applyNumberFormat="1" applyFont="1" applyFill="1" applyProtection="1">
      <protection hidden="1"/>
    </xf>
    <xf numFmtId="167" fontId="5" fillId="4" borderId="3" xfId="1" applyNumberFormat="1" applyFont="1" applyFill="1" applyBorder="1" applyAlignment="1" applyProtection="1">
      <alignment horizontal="center" wrapText="1"/>
      <protection hidden="1"/>
    </xf>
    <xf numFmtId="164" fontId="1" fillId="4" borderId="2" xfId="1" applyNumberFormat="1" applyFont="1" applyFill="1" applyBorder="1" applyAlignment="1" applyProtection="1">
      <alignment horizontal="center"/>
      <protection hidden="1"/>
    </xf>
    <xf numFmtId="167" fontId="1" fillId="4" borderId="2" xfId="1" applyNumberFormat="1" applyFont="1" applyFill="1" applyBorder="1" applyAlignment="1" applyProtection="1">
      <alignment horizontal="center"/>
      <protection hidden="1"/>
    </xf>
    <xf numFmtId="164" fontId="1" fillId="4" borderId="0" xfId="1" applyNumberFormat="1" applyFont="1" applyFill="1" applyBorder="1" applyAlignment="1" applyProtection="1">
      <alignment horizontal="center"/>
      <protection hidden="1"/>
    </xf>
    <xf numFmtId="167" fontId="1" fillId="4" borderId="0" xfId="1" applyNumberFormat="1" applyFont="1" applyFill="1" applyBorder="1" applyAlignment="1" applyProtection="1">
      <alignment horizontal="center"/>
      <protection hidden="1"/>
    </xf>
    <xf numFmtId="0" fontId="1" fillId="5" borderId="0" xfId="1" applyFont="1" applyFill="1" applyProtection="1">
      <protection hidden="1"/>
    </xf>
    <xf numFmtId="0" fontId="1" fillId="3" borderId="2" xfId="1" applyFont="1" applyFill="1" applyBorder="1" applyAlignment="1" applyProtection="1">
      <alignment horizontal="left"/>
      <protection hidden="1"/>
    </xf>
    <xf numFmtId="0" fontId="1" fillId="0" borderId="2" xfId="1" applyFont="1" applyFill="1" applyBorder="1" applyProtection="1">
      <protection hidden="1"/>
    </xf>
    <xf numFmtId="0" fontId="10" fillId="0" borderId="0" xfId="1" applyFont="1" applyFill="1" applyProtection="1">
      <protection hidden="1"/>
    </xf>
    <xf numFmtId="0" fontId="7" fillId="0" borderId="0" xfId="1" applyFont="1" applyFill="1" applyProtection="1">
      <protection hidden="1"/>
    </xf>
    <xf numFmtId="0" fontId="12" fillId="0" borderId="0" xfId="1" applyFont="1" applyFill="1" applyProtection="1">
      <protection hidden="1"/>
    </xf>
    <xf numFmtId="0" fontId="8" fillId="0" borderId="0" xfId="1" applyFont="1" applyFill="1" applyProtection="1">
      <protection hidden="1"/>
    </xf>
    <xf numFmtId="0" fontId="10" fillId="0" borderId="0" xfId="1" applyFont="1" applyFill="1" applyBorder="1" applyProtection="1">
      <protection hidden="1"/>
    </xf>
    <xf numFmtId="0" fontId="14" fillId="0" borderId="0" xfId="1" applyFont="1" applyFill="1" applyProtection="1">
      <protection hidden="1"/>
    </xf>
    <xf numFmtId="0" fontId="15" fillId="0" borderId="0" xfId="1" applyFont="1" applyFill="1" applyProtection="1">
      <protection hidden="1"/>
    </xf>
    <xf numFmtId="0" fontId="1" fillId="3" borderId="0" xfId="1" applyFill="1" applyBorder="1" applyProtection="1">
      <protection hidden="1"/>
    </xf>
    <xf numFmtId="0" fontId="2" fillId="3" borderId="0" xfId="1" applyFont="1" applyFill="1" applyAlignment="1" applyProtection="1">
      <alignment horizontal="center"/>
      <protection hidden="1"/>
    </xf>
    <xf numFmtId="0" fontId="1" fillId="5" borderId="0" xfId="1" applyFont="1" applyFill="1" applyAlignment="1" applyProtection="1">
      <alignment horizontal="right"/>
      <protection hidden="1"/>
    </xf>
    <xf numFmtId="164" fontId="1" fillId="5" borderId="0" xfId="1" applyNumberFormat="1" applyFont="1" applyFill="1" applyBorder="1" applyAlignment="1" applyProtection="1">
      <alignment horizontal="right"/>
      <protection hidden="1"/>
    </xf>
    <xf numFmtId="4" fontId="1" fillId="5" borderId="0" xfId="1" applyNumberFormat="1" applyFont="1" applyFill="1" applyAlignment="1" applyProtection="1">
      <alignment horizontal="right"/>
      <protection hidden="1"/>
    </xf>
    <xf numFmtId="164" fontId="1" fillId="2" borderId="0" xfId="1" applyNumberFormat="1" applyFont="1" applyFill="1" applyBorder="1" applyAlignment="1" applyProtection="1">
      <alignment horizontal="right"/>
      <protection locked="0" hidden="1"/>
    </xf>
    <xf numFmtId="0" fontId="1" fillId="2" borderId="0" xfId="1" applyFont="1" applyFill="1" applyBorder="1" applyAlignment="1" applyProtection="1">
      <alignment horizontal="center"/>
      <protection locked="0" hidden="1"/>
    </xf>
    <xf numFmtId="0" fontId="16" fillId="0" borderId="4" xfId="0" quotePrefix="1" applyNumberFormat="1" applyFont="1" applyBorder="1"/>
    <xf numFmtId="0" fontId="1" fillId="0" borderId="5" xfId="0" quotePrefix="1" applyNumberFormat="1" applyFont="1" applyBorder="1"/>
    <xf numFmtId="0" fontId="2" fillId="3" borderId="0" xfId="1" applyFont="1" applyFill="1" applyAlignment="1" applyProtection="1">
      <alignment horizontal="center"/>
      <protection hidden="1"/>
    </xf>
    <xf numFmtId="1" fontId="16" fillId="0" borderId="0" xfId="0" quotePrefix="1" applyNumberFormat="1" applyFont="1"/>
    <xf numFmtId="1" fontId="1" fillId="0" borderId="0" xfId="0" quotePrefix="1" applyNumberFormat="1" applyFont="1"/>
    <xf numFmtId="0" fontId="1" fillId="3" borderId="0" xfId="1" applyFill="1" applyBorder="1" applyProtection="1">
      <protection hidden="1"/>
    </xf>
    <xf numFmtId="0" fontId="2" fillId="3" borderId="0" xfId="1" applyFont="1" applyFill="1" applyAlignment="1" applyProtection="1">
      <alignment horizontal="center"/>
      <protection hidden="1"/>
    </xf>
    <xf numFmtId="0" fontId="1" fillId="3" borderId="0" xfId="1" applyFont="1" applyFill="1" applyBorder="1" applyAlignment="1" applyProtection="1">
      <alignment horizontal="left" vertical="top" wrapText="1"/>
      <protection hidden="1"/>
    </xf>
    <xf numFmtId="0" fontId="20" fillId="2" borderId="1" xfId="1" applyFont="1" applyFill="1" applyBorder="1" applyProtection="1">
      <protection locked="0"/>
    </xf>
    <xf numFmtId="0" fontId="1" fillId="2" borderId="1" xfId="1" applyFill="1" applyBorder="1" applyProtection="1">
      <protection locked="0" hidden="1"/>
    </xf>
    <xf numFmtId="0" fontId="1" fillId="2" borderId="1" xfId="1" applyFont="1" applyFill="1" applyBorder="1" applyAlignment="1" applyProtection="1">
      <alignment horizontal="center"/>
      <protection locked="0" hidden="1"/>
    </xf>
    <xf numFmtId="0" fontId="1" fillId="3" borderId="0" xfId="1" applyFont="1" applyFill="1" applyAlignment="1" applyProtection="1">
      <alignment horizontal="left" vertical="top" wrapText="1"/>
      <protection hidden="1"/>
    </xf>
    <xf numFmtId="0" fontId="1" fillId="4" borderId="2" xfId="1" quotePrefix="1" applyFont="1" applyFill="1" applyBorder="1" applyAlignment="1" applyProtection="1">
      <alignment horizontal="left"/>
      <protection hidden="1"/>
    </xf>
    <xf numFmtId="0" fontId="5" fillId="4" borderId="4" xfId="1" applyFont="1" applyFill="1" applyBorder="1" applyAlignment="1" applyProtection="1">
      <alignment horizontal="left" vertical="top" wrapText="1"/>
      <protection hidden="1"/>
    </xf>
    <xf numFmtId="0" fontId="5" fillId="4" borderId="3" xfId="1" applyFont="1" applyFill="1" applyBorder="1" applyAlignment="1" applyProtection="1">
      <alignment horizontal="left" vertical="top" wrapText="1"/>
      <protection hidden="1"/>
    </xf>
  </cellXfs>
  <cellStyles count="7">
    <cellStyle name="Comma 2" xfId="2"/>
    <cellStyle name="Hyperlink 2" xfId="5"/>
    <cellStyle name="Hyperlink 3" xfId="4"/>
    <cellStyle name="Normal" xfId="0" builtinId="0"/>
    <cellStyle name="Normal 2" xfId="1"/>
    <cellStyle name="Normal 3" xfId="6"/>
    <cellStyle name="Percent 2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3</xdr:row>
      <xdr:rowOff>66675</xdr:rowOff>
    </xdr:from>
    <xdr:to>
      <xdr:col>8</xdr:col>
      <xdr:colOff>88605</xdr:colOff>
      <xdr:row>6</xdr:row>
      <xdr:rowOff>188285</xdr:rowOff>
    </xdr:to>
    <xdr:pic>
      <xdr:nvPicPr>
        <xdr:cNvPr id="2" name="Picture 15" descr="Ohio ODE_1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66675"/>
          <a:ext cx="3289448" cy="68646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23813</xdr:colOff>
      <xdr:row>0</xdr:row>
      <xdr:rowOff>102394</xdr:rowOff>
    </xdr:from>
    <xdr:to>
      <xdr:col>7</xdr:col>
      <xdr:colOff>297657</xdr:colOff>
      <xdr:row>4</xdr:row>
      <xdr:rowOff>71438</xdr:rowOff>
    </xdr:to>
    <xdr:pic>
      <xdr:nvPicPr>
        <xdr:cNvPr id="2" name="Picture 15" descr="Ohio ODE_195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97719" y="102394"/>
          <a:ext cx="2786063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AS77"/>
  <sheetViews>
    <sheetView tabSelected="1" zoomScale="77" zoomScaleNormal="77" workbookViewId="0">
      <selection activeCell="F20" sqref="F20:M20"/>
    </sheetView>
  </sheetViews>
  <sheetFormatPr defaultRowHeight="12.75" x14ac:dyDescent="0.2"/>
  <cols>
    <col min="1" max="2" width="9.140625" style="41"/>
    <col min="3" max="3" width="8.5703125" style="43" customWidth="1"/>
    <col min="4" max="4" width="5.85546875" style="120" customWidth="1"/>
    <col min="5" max="5" width="3.85546875" style="43" customWidth="1"/>
    <col min="6" max="7" width="7.42578125" style="43" customWidth="1"/>
    <col min="8" max="8" width="14.85546875" style="43" customWidth="1"/>
    <col min="9" max="11" width="7.7109375" style="43" customWidth="1"/>
    <col min="12" max="13" width="12" style="43" customWidth="1"/>
    <col min="14" max="14" width="14.5703125" style="43" customWidth="1"/>
    <col min="15" max="15" width="19.42578125" style="43" customWidth="1"/>
    <col min="16" max="16" width="17.140625" style="43" customWidth="1"/>
    <col min="17" max="17" width="10.140625" style="43" customWidth="1"/>
    <col min="18" max="18" width="9.7109375" style="41" bestFit="1" customWidth="1"/>
    <col min="19" max="45" width="9.140625" style="41"/>
    <col min="46" max="252" width="9.140625" style="43"/>
    <col min="253" max="253" width="6.28515625" style="43" customWidth="1"/>
    <col min="254" max="254" width="3.140625" style="43" customWidth="1"/>
    <col min="255" max="255" width="7.7109375" style="43" customWidth="1"/>
    <col min="256" max="256" width="6.7109375" style="43" customWidth="1"/>
    <col min="257" max="257" width="7.7109375" style="43" customWidth="1"/>
    <col min="258" max="258" width="7.42578125" style="43" customWidth="1"/>
    <col min="259" max="259" width="7.7109375" style="43" customWidth="1"/>
    <col min="260" max="260" width="6.7109375" style="43" customWidth="1"/>
    <col min="261" max="261" width="2.28515625" style="43" customWidth="1"/>
    <col min="262" max="262" width="9" style="43" customWidth="1"/>
    <col min="263" max="263" width="1.7109375" style="43" customWidth="1"/>
    <col min="264" max="264" width="4.42578125" style="43" customWidth="1"/>
    <col min="265" max="265" width="17.140625" style="43" customWidth="1"/>
    <col min="266" max="266" width="1.5703125" style="43" customWidth="1"/>
    <col min="267" max="267" width="10.5703125" style="43" customWidth="1"/>
    <col min="268" max="268" width="1.7109375" style="43" customWidth="1"/>
    <col min="269" max="269" width="9.85546875" style="43" customWidth="1"/>
    <col min="270" max="270" width="0.85546875" style="43" customWidth="1"/>
    <col min="271" max="271" width="10.85546875" style="43" customWidth="1"/>
    <col min="272" max="272" width="1.85546875" style="43" customWidth="1"/>
    <col min="273" max="508" width="9.140625" style="43"/>
    <col min="509" max="509" width="6.28515625" style="43" customWidth="1"/>
    <col min="510" max="510" width="3.140625" style="43" customWidth="1"/>
    <col min="511" max="511" width="7.7109375" style="43" customWidth="1"/>
    <col min="512" max="512" width="6.7109375" style="43" customWidth="1"/>
    <col min="513" max="513" width="7.7109375" style="43" customWidth="1"/>
    <col min="514" max="514" width="7.42578125" style="43" customWidth="1"/>
    <col min="515" max="515" width="7.7109375" style="43" customWidth="1"/>
    <col min="516" max="516" width="6.7109375" style="43" customWidth="1"/>
    <col min="517" max="517" width="2.28515625" style="43" customWidth="1"/>
    <col min="518" max="518" width="9" style="43" customWidth="1"/>
    <col min="519" max="519" width="1.7109375" style="43" customWidth="1"/>
    <col min="520" max="520" width="4.42578125" style="43" customWidth="1"/>
    <col min="521" max="521" width="17.140625" style="43" customWidth="1"/>
    <col min="522" max="522" width="1.5703125" style="43" customWidth="1"/>
    <col min="523" max="523" width="10.5703125" style="43" customWidth="1"/>
    <col min="524" max="524" width="1.7109375" style="43" customWidth="1"/>
    <col min="525" max="525" width="9.85546875" style="43" customWidth="1"/>
    <col min="526" max="526" width="0.85546875" style="43" customWidth="1"/>
    <col min="527" max="527" width="10.85546875" style="43" customWidth="1"/>
    <col min="528" max="528" width="1.85546875" style="43" customWidth="1"/>
    <col min="529" max="764" width="9.140625" style="43"/>
    <col min="765" max="765" width="6.28515625" style="43" customWidth="1"/>
    <col min="766" max="766" width="3.140625" style="43" customWidth="1"/>
    <col min="767" max="767" width="7.7109375" style="43" customWidth="1"/>
    <col min="768" max="768" width="6.7109375" style="43" customWidth="1"/>
    <col min="769" max="769" width="7.7109375" style="43" customWidth="1"/>
    <col min="770" max="770" width="7.42578125" style="43" customWidth="1"/>
    <col min="771" max="771" width="7.7109375" style="43" customWidth="1"/>
    <col min="772" max="772" width="6.7109375" style="43" customWidth="1"/>
    <col min="773" max="773" width="2.28515625" style="43" customWidth="1"/>
    <col min="774" max="774" width="9" style="43" customWidth="1"/>
    <col min="775" max="775" width="1.7109375" style="43" customWidth="1"/>
    <col min="776" max="776" width="4.42578125" style="43" customWidth="1"/>
    <col min="777" max="777" width="17.140625" style="43" customWidth="1"/>
    <col min="778" max="778" width="1.5703125" style="43" customWidth="1"/>
    <col min="779" max="779" width="10.5703125" style="43" customWidth="1"/>
    <col min="780" max="780" width="1.7109375" style="43" customWidth="1"/>
    <col min="781" max="781" width="9.85546875" style="43" customWidth="1"/>
    <col min="782" max="782" width="0.85546875" style="43" customWidth="1"/>
    <col min="783" max="783" width="10.85546875" style="43" customWidth="1"/>
    <col min="784" max="784" width="1.85546875" style="43" customWidth="1"/>
    <col min="785" max="1020" width="9.140625" style="43"/>
    <col min="1021" max="1021" width="6.28515625" style="43" customWidth="1"/>
    <col min="1022" max="1022" width="3.140625" style="43" customWidth="1"/>
    <col min="1023" max="1023" width="7.7109375" style="43" customWidth="1"/>
    <col min="1024" max="1024" width="6.7109375" style="43" customWidth="1"/>
    <col min="1025" max="1025" width="7.7109375" style="43" customWidth="1"/>
    <col min="1026" max="1026" width="7.42578125" style="43" customWidth="1"/>
    <col min="1027" max="1027" width="7.7109375" style="43" customWidth="1"/>
    <col min="1028" max="1028" width="6.7109375" style="43" customWidth="1"/>
    <col min="1029" max="1029" width="2.28515625" style="43" customWidth="1"/>
    <col min="1030" max="1030" width="9" style="43" customWidth="1"/>
    <col min="1031" max="1031" width="1.7109375" style="43" customWidth="1"/>
    <col min="1032" max="1032" width="4.42578125" style="43" customWidth="1"/>
    <col min="1033" max="1033" width="17.140625" style="43" customWidth="1"/>
    <col min="1034" max="1034" width="1.5703125" style="43" customWidth="1"/>
    <col min="1035" max="1035" width="10.5703125" style="43" customWidth="1"/>
    <col min="1036" max="1036" width="1.7109375" style="43" customWidth="1"/>
    <col min="1037" max="1037" width="9.85546875" style="43" customWidth="1"/>
    <col min="1038" max="1038" width="0.85546875" style="43" customWidth="1"/>
    <col min="1039" max="1039" width="10.85546875" style="43" customWidth="1"/>
    <col min="1040" max="1040" width="1.85546875" style="43" customWidth="1"/>
    <col min="1041" max="1276" width="9.140625" style="43"/>
    <col min="1277" max="1277" width="6.28515625" style="43" customWidth="1"/>
    <col min="1278" max="1278" width="3.140625" style="43" customWidth="1"/>
    <col min="1279" max="1279" width="7.7109375" style="43" customWidth="1"/>
    <col min="1280" max="1280" width="6.7109375" style="43" customWidth="1"/>
    <col min="1281" max="1281" width="7.7109375" style="43" customWidth="1"/>
    <col min="1282" max="1282" width="7.42578125" style="43" customWidth="1"/>
    <col min="1283" max="1283" width="7.7109375" style="43" customWidth="1"/>
    <col min="1284" max="1284" width="6.7109375" style="43" customWidth="1"/>
    <col min="1285" max="1285" width="2.28515625" style="43" customWidth="1"/>
    <col min="1286" max="1286" width="9" style="43" customWidth="1"/>
    <col min="1287" max="1287" width="1.7109375" style="43" customWidth="1"/>
    <col min="1288" max="1288" width="4.42578125" style="43" customWidth="1"/>
    <col min="1289" max="1289" width="17.140625" style="43" customWidth="1"/>
    <col min="1290" max="1290" width="1.5703125" style="43" customWidth="1"/>
    <col min="1291" max="1291" width="10.5703125" style="43" customWidth="1"/>
    <col min="1292" max="1292" width="1.7109375" style="43" customWidth="1"/>
    <col min="1293" max="1293" width="9.85546875" style="43" customWidth="1"/>
    <col min="1294" max="1294" width="0.85546875" style="43" customWidth="1"/>
    <col min="1295" max="1295" width="10.85546875" style="43" customWidth="1"/>
    <col min="1296" max="1296" width="1.85546875" style="43" customWidth="1"/>
    <col min="1297" max="1532" width="9.140625" style="43"/>
    <col min="1533" max="1533" width="6.28515625" style="43" customWidth="1"/>
    <col min="1534" max="1534" width="3.140625" style="43" customWidth="1"/>
    <col min="1535" max="1535" width="7.7109375" style="43" customWidth="1"/>
    <col min="1536" max="1536" width="6.7109375" style="43" customWidth="1"/>
    <col min="1537" max="1537" width="7.7109375" style="43" customWidth="1"/>
    <col min="1538" max="1538" width="7.42578125" style="43" customWidth="1"/>
    <col min="1539" max="1539" width="7.7109375" style="43" customWidth="1"/>
    <col min="1540" max="1540" width="6.7109375" style="43" customWidth="1"/>
    <col min="1541" max="1541" width="2.28515625" style="43" customWidth="1"/>
    <col min="1542" max="1542" width="9" style="43" customWidth="1"/>
    <col min="1543" max="1543" width="1.7109375" style="43" customWidth="1"/>
    <col min="1544" max="1544" width="4.42578125" style="43" customWidth="1"/>
    <col min="1545" max="1545" width="17.140625" style="43" customWidth="1"/>
    <col min="1546" max="1546" width="1.5703125" style="43" customWidth="1"/>
    <col min="1547" max="1547" width="10.5703125" style="43" customWidth="1"/>
    <col min="1548" max="1548" width="1.7109375" style="43" customWidth="1"/>
    <col min="1549" max="1549" width="9.85546875" style="43" customWidth="1"/>
    <col min="1550" max="1550" width="0.85546875" style="43" customWidth="1"/>
    <col min="1551" max="1551" width="10.85546875" style="43" customWidth="1"/>
    <col min="1552" max="1552" width="1.85546875" style="43" customWidth="1"/>
    <col min="1553" max="1788" width="9.140625" style="43"/>
    <col min="1789" max="1789" width="6.28515625" style="43" customWidth="1"/>
    <col min="1790" max="1790" width="3.140625" style="43" customWidth="1"/>
    <col min="1791" max="1791" width="7.7109375" style="43" customWidth="1"/>
    <col min="1792" max="1792" width="6.7109375" style="43" customWidth="1"/>
    <col min="1793" max="1793" width="7.7109375" style="43" customWidth="1"/>
    <col min="1794" max="1794" width="7.42578125" style="43" customWidth="1"/>
    <col min="1795" max="1795" width="7.7109375" style="43" customWidth="1"/>
    <col min="1796" max="1796" width="6.7109375" style="43" customWidth="1"/>
    <col min="1797" max="1797" width="2.28515625" style="43" customWidth="1"/>
    <col min="1798" max="1798" width="9" style="43" customWidth="1"/>
    <col min="1799" max="1799" width="1.7109375" style="43" customWidth="1"/>
    <col min="1800" max="1800" width="4.42578125" style="43" customWidth="1"/>
    <col min="1801" max="1801" width="17.140625" style="43" customWidth="1"/>
    <col min="1802" max="1802" width="1.5703125" style="43" customWidth="1"/>
    <col min="1803" max="1803" width="10.5703125" style="43" customWidth="1"/>
    <col min="1804" max="1804" width="1.7109375" style="43" customWidth="1"/>
    <col min="1805" max="1805" width="9.85546875" style="43" customWidth="1"/>
    <col min="1806" max="1806" width="0.85546875" style="43" customWidth="1"/>
    <col min="1807" max="1807" width="10.85546875" style="43" customWidth="1"/>
    <col min="1808" max="1808" width="1.85546875" style="43" customWidth="1"/>
    <col min="1809" max="2044" width="9.140625" style="43"/>
    <col min="2045" max="2045" width="6.28515625" style="43" customWidth="1"/>
    <col min="2046" max="2046" width="3.140625" style="43" customWidth="1"/>
    <col min="2047" max="2047" width="7.7109375" style="43" customWidth="1"/>
    <col min="2048" max="2048" width="6.7109375" style="43" customWidth="1"/>
    <col min="2049" max="2049" width="7.7109375" style="43" customWidth="1"/>
    <col min="2050" max="2050" width="7.42578125" style="43" customWidth="1"/>
    <col min="2051" max="2051" width="7.7109375" style="43" customWidth="1"/>
    <col min="2052" max="2052" width="6.7109375" style="43" customWidth="1"/>
    <col min="2053" max="2053" width="2.28515625" style="43" customWidth="1"/>
    <col min="2054" max="2054" width="9" style="43" customWidth="1"/>
    <col min="2055" max="2055" width="1.7109375" style="43" customWidth="1"/>
    <col min="2056" max="2056" width="4.42578125" style="43" customWidth="1"/>
    <col min="2057" max="2057" width="17.140625" style="43" customWidth="1"/>
    <col min="2058" max="2058" width="1.5703125" style="43" customWidth="1"/>
    <col min="2059" max="2059" width="10.5703125" style="43" customWidth="1"/>
    <col min="2060" max="2060" width="1.7109375" style="43" customWidth="1"/>
    <col min="2061" max="2061" width="9.85546875" style="43" customWidth="1"/>
    <col min="2062" max="2062" width="0.85546875" style="43" customWidth="1"/>
    <col min="2063" max="2063" width="10.85546875" style="43" customWidth="1"/>
    <col min="2064" max="2064" width="1.85546875" style="43" customWidth="1"/>
    <col min="2065" max="2300" width="9.140625" style="43"/>
    <col min="2301" max="2301" width="6.28515625" style="43" customWidth="1"/>
    <col min="2302" max="2302" width="3.140625" style="43" customWidth="1"/>
    <col min="2303" max="2303" width="7.7109375" style="43" customWidth="1"/>
    <col min="2304" max="2304" width="6.7109375" style="43" customWidth="1"/>
    <col min="2305" max="2305" width="7.7109375" style="43" customWidth="1"/>
    <col min="2306" max="2306" width="7.42578125" style="43" customWidth="1"/>
    <col min="2307" max="2307" width="7.7109375" style="43" customWidth="1"/>
    <col min="2308" max="2308" width="6.7109375" style="43" customWidth="1"/>
    <col min="2309" max="2309" width="2.28515625" style="43" customWidth="1"/>
    <col min="2310" max="2310" width="9" style="43" customWidth="1"/>
    <col min="2311" max="2311" width="1.7109375" style="43" customWidth="1"/>
    <col min="2312" max="2312" width="4.42578125" style="43" customWidth="1"/>
    <col min="2313" max="2313" width="17.140625" style="43" customWidth="1"/>
    <col min="2314" max="2314" width="1.5703125" style="43" customWidth="1"/>
    <col min="2315" max="2315" width="10.5703125" style="43" customWidth="1"/>
    <col min="2316" max="2316" width="1.7109375" style="43" customWidth="1"/>
    <col min="2317" max="2317" width="9.85546875" style="43" customWidth="1"/>
    <col min="2318" max="2318" width="0.85546875" style="43" customWidth="1"/>
    <col min="2319" max="2319" width="10.85546875" style="43" customWidth="1"/>
    <col min="2320" max="2320" width="1.85546875" style="43" customWidth="1"/>
    <col min="2321" max="2556" width="9.140625" style="43"/>
    <col min="2557" max="2557" width="6.28515625" style="43" customWidth="1"/>
    <col min="2558" max="2558" width="3.140625" style="43" customWidth="1"/>
    <col min="2559" max="2559" width="7.7109375" style="43" customWidth="1"/>
    <col min="2560" max="2560" width="6.7109375" style="43" customWidth="1"/>
    <col min="2561" max="2561" width="7.7109375" style="43" customWidth="1"/>
    <col min="2562" max="2562" width="7.42578125" style="43" customWidth="1"/>
    <col min="2563" max="2563" width="7.7109375" style="43" customWidth="1"/>
    <col min="2564" max="2564" width="6.7109375" style="43" customWidth="1"/>
    <col min="2565" max="2565" width="2.28515625" style="43" customWidth="1"/>
    <col min="2566" max="2566" width="9" style="43" customWidth="1"/>
    <col min="2567" max="2567" width="1.7109375" style="43" customWidth="1"/>
    <col min="2568" max="2568" width="4.42578125" style="43" customWidth="1"/>
    <col min="2569" max="2569" width="17.140625" style="43" customWidth="1"/>
    <col min="2570" max="2570" width="1.5703125" style="43" customWidth="1"/>
    <col min="2571" max="2571" width="10.5703125" style="43" customWidth="1"/>
    <col min="2572" max="2572" width="1.7109375" style="43" customWidth="1"/>
    <col min="2573" max="2573" width="9.85546875" style="43" customWidth="1"/>
    <col min="2574" max="2574" width="0.85546875" style="43" customWidth="1"/>
    <col min="2575" max="2575" width="10.85546875" style="43" customWidth="1"/>
    <col min="2576" max="2576" width="1.85546875" style="43" customWidth="1"/>
    <col min="2577" max="2812" width="9.140625" style="43"/>
    <col min="2813" max="2813" width="6.28515625" style="43" customWidth="1"/>
    <col min="2814" max="2814" width="3.140625" style="43" customWidth="1"/>
    <col min="2815" max="2815" width="7.7109375" style="43" customWidth="1"/>
    <col min="2816" max="2816" width="6.7109375" style="43" customWidth="1"/>
    <col min="2817" max="2817" width="7.7109375" style="43" customWidth="1"/>
    <col min="2818" max="2818" width="7.42578125" style="43" customWidth="1"/>
    <col min="2819" max="2819" width="7.7109375" style="43" customWidth="1"/>
    <col min="2820" max="2820" width="6.7109375" style="43" customWidth="1"/>
    <col min="2821" max="2821" width="2.28515625" style="43" customWidth="1"/>
    <col min="2822" max="2822" width="9" style="43" customWidth="1"/>
    <col min="2823" max="2823" width="1.7109375" style="43" customWidth="1"/>
    <col min="2824" max="2824" width="4.42578125" style="43" customWidth="1"/>
    <col min="2825" max="2825" width="17.140625" style="43" customWidth="1"/>
    <col min="2826" max="2826" width="1.5703125" style="43" customWidth="1"/>
    <col min="2827" max="2827" width="10.5703125" style="43" customWidth="1"/>
    <col min="2828" max="2828" width="1.7109375" style="43" customWidth="1"/>
    <col min="2829" max="2829" width="9.85546875" style="43" customWidth="1"/>
    <col min="2830" max="2830" width="0.85546875" style="43" customWidth="1"/>
    <col min="2831" max="2831" width="10.85546875" style="43" customWidth="1"/>
    <col min="2832" max="2832" width="1.85546875" style="43" customWidth="1"/>
    <col min="2833" max="3068" width="9.140625" style="43"/>
    <col min="3069" max="3069" width="6.28515625" style="43" customWidth="1"/>
    <col min="3070" max="3070" width="3.140625" style="43" customWidth="1"/>
    <col min="3071" max="3071" width="7.7109375" style="43" customWidth="1"/>
    <col min="3072" max="3072" width="6.7109375" style="43" customWidth="1"/>
    <col min="3073" max="3073" width="7.7109375" style="43" customWidth="1"/>
    <col min="3074" max="3074" width="7.42578125" style="43" customWidth="1"/>
    <col min="3075" max="3075" width="7.7109375" style="43" customWidth="1"/>
    <col min="3076" max="3076" width="6.7109375" style="43" customWidth="1"/>
    <col min="3077" max="3077" width="2.28515625" style="43" customWidth="1"/>
    <col min="3078" max="3078" width="9" style="43" customWidth="1"/>
    <col min="3079" max="3079" width="1.7109375" style="43" customWidth="1"/>
    <col min="3080" max="3080" width="4.42578125" style="43" customWidth="1"/>
    <col min="3081" max="3081" width="17.140625" style="43" customWidth="1"/>
    <col min="3082" max="3082" width="1.5703125" style="43" customWidth="1"/>
    <col min="3083" max="3083" width="10.5703125" style="43" customWidth="1"/>
    <col min="3084" max="3084" width="1.7109375" style="43" customWidth="1"/>
    <col min="3085" max="3085" width="9.85546875" style="43" customWidth="1"/>
    <col min="3086" max="3086" width="0.85546875" style="43" customWidth="1"/>
    <col min="3087" max="3087" width="10.85546875" style="43" customWidth="1"/>
    <col min="3088" max="3088" width="1.85546875" style="43" customWidth="1"/>
    <col min="3089" max="3324" width="9.140625" style="43"/>
    <col min="3325" max="3325" width="6.28515625" style="43" customWidth="1"/>
    <col min="3326" max="3326" width="3.140625" style="43" customWidth="1"/>
    <col min="3327" max="3327" width="7.7109375" style="43" customWidth="1"/>
    <col min="3328" max="3328" width="6.7109375" style="43" customWidth="1"/>
    <col min="3329" max="3329" width="7.7109375" style="43" customWidth="1"/>
    <col min="3330" max="3330" width="7.42578125" style="43" customWidth="1"/>
    <col min="3331" max="3331" width="7.7109375" style="43" customWidth="1"/>
    <col min="3332" max="3332" width="6.7109375" style="43" customWidth="1"/>
    <col min="3333" max="3333" width="2.28515625" style="43" customWidth="1"/>
    <col min="3334" max="3334" width="9" style="43" customWidth="1"/>
    <col min="3335" max="3335" width="1.7109375" style="43" customWidth="1"/>
    <col min="3336" max="3336" width="4.42578125" style="43" customWidth="1"/>
    <col min="3337" max="3337" width="17.140625" style="43" customWidth="1"/>
    <col min="3338" max="3338" width="1.5703125" style="43" customWidth="1"/>
    <col min="3339" max="3339" width="10.5703125" style="43" customWidth="1"/>
    <col min="3340" max="3340" width="1.7109375" style="43" customWidth="1"/>
    <col min="3341" max="3341" width="9.85546875" style="43" customWidth="1"/>
    <col min="3342" max="3342" width="0.85546875" style="43" customWidth="1"/>
    <col min="3343" max="3343" width="10.85546875" style="43" customWidth="1"/>
    <col min="3344" max="3344" width="1.85546875" style="43" customWidth="1"/>
    <col min="3345" max="3580" width="9.140625" style="43"/>
    <col min="3581" max="3581" width="6.28515625" style="43" customWidth="1"/>
    <col min="3582" max="3582" width="3.140625" style="43" customWidth="1"/>
    <col min="3583" max="3583" width="7.7109375" style="43" customWidth="1"/>
    <col min="3584" max="3584" width="6.7109375" style="43" customWidth="1"/>
    <col min="3585" max="3585" width="7.7109375" style="43" customWidth="1"/>
    <col min="3586" max="3586" width="7.42578125" style="43" customWidth="1"/>
    <col min="3587" max="3587" width="7.7109375" style="43" customWidth="1"/>
    <col min="3588" max="3588" width="6.7109375" style="43" customWidth="1"/>
    <col min="3589" max="3589" width="2.28515625" style="43" customWidth="1"/>
    <col min="3590" max="3590" width="9" style="43" customWidth="1"/>
    <col min="3591" max="3591" width="1.7109375" style="43" customWidth="1"/>
    <col min="3592" max="3592" width="4.42578125" style="43" customWidth="1"/>
    <col min="3593" max="3593" width="17.140625" style="43" customWidth="1"/>
    <col min="3594" max="3594" width="1.5703125" style="43" customWidth="1"/>
    <col min="3595" max="3595" width="10.5703125" style="43" customWidth="1"/>
    <col min="3596" max="3596" width="1.7109375" style="43" customWidth="1"/>
    <col min="3597" max="3597" width="9.85546875" style="43" customWidth="1"/>
    <col min="3598" max="3598" width="0.85546875" style="43" customWidth="1"/>
    <col min="3599" max="3599" width="10.85546875" style="43" customWidth="1"/>
    <col min="3600" max="3600" width="1.85546875" style="43" customWidth="1"/>
    <col min="3601" max="3836" width="9.140625" style="43"/>
    <col min="3837" max="3837" width="6.28515625" style="43" customWidth="1"/>
    <col min="3838" max="3838" width="3.140625" style="43" customWidth="1"/>
    <col min="3839" max="3839" width="7.7109375" style="43" customWidth="1"/>
    <col min="3840" max="3840" width="6.7109375" style="43" customWidth="1"/>
    <col min="3841" max="3841" width="7.7109375" style="43" customWidth="1"/>
    <col min="3842" max="3842" width="7.42578125" style="43" customWidth="1"/>
    <col min="3843" max="3843" width="7.7109375" style="43" customWidth="1"/>
    <col min="3844" max="3844" width="6.7109375" style="43" customWidth="1"/>
    <col min="3845" max="3845" width="2.28515625" style="43" customWidth="1"/>
    <col min="3846" max="3846" width="9" style="43" customWidth="1"/>
    <col min="3847" max="3847" width="1.7109375" style="43" customWidth="1"/>
    <col min="3848" max="3848" width="4.42578125" style="43" customWidth="1"/>
    <col min="3849" max="3849" width="17.140625" style="43" customWidth="1"/>
    <col min="3850" max="3850" width="1.5703125" style="43" customWidth="1"/>
    <col min="3851" max="3851" width="10.5703125" style="43" customWidth="1"/>
    <col min="3852" max="3852" width="1.7109375" style="43" customWidth="1"/>
    <col min="3853" max="3853" width="9.85546875" style="43" customWidth="1"/>
    <col min="3854" max="3854" width="0.85546875" style="43" customWidth="1"/>
    <col min="3855" max="3855" width="10.85546875" style="43" customWidth="1"/>
    <col min="3856" max="3856" width="1.85546875" style="43" customWidth="1"/>
    <col min="3857" max="4092" width="9.140625" style="43"/>
    <col min="4093" max="4093" width="6.28515625" style="43" customWidth="1"/>
    <col min="4094" max="4094" width="3.140625" style="43" customWidth="1"/>
    <col min="4095" max="4095" width="7.7109375" style="43" customWidth="1"/>
    <col min="4096" max="4096" width="6.7109375" style="43" customWidth="1"/>
    <col min="4097" max="4097" width="7.7109375" style="43" customWidth="1"/>
    <col min="4098" max="4098" width="7.42578125" style="43" customWidth="1"/>
    <col min="4099" max="4099" width="7.7109375" style="43" customWidth="1"/>
    <col min="4100" max="4100" width="6.7109375" style="43" customWidth="1"/>
    <col min="4101" max="4101" width="2.28515625" style="43" customWidth="1"/>
    <col min="4102" max="4102" width="9" style="43" customWidth="1"/>
    <col min="4103" max="4103" width="1.7109375" style="43" customWidth="1"/>
    <col min="4104" max="4104" width="4.42578125" style="43" customWidth="1"/>
    <col min="4105" max="4105" width="17.140625" style="43" customWidth="1"/>
    <col min="4106" max="4106" width="1.5703125" style="43" customWidth="1"/>
    <col min="4107" max="4107" width="10.5703125" style="43" customWidth="1"/>
    <col min="4108" max="4108" width="1.7109375" style="43" customWidth="1"/>
    <col min="4109" max="4109" width="9.85546875" style="43" customWidth="1"/>
    <col min="4110" max="4110" width="0.85546875" style="43" customWidth="1"/>
    <col min="4111" max="4111" width="10.85546875" style="43" customWidth="1"/>
    <col min="4112" max="4112" width="1.85546875" style="43" customWidth="1"/>
    <col min="4113" max="4348" width="9.140625" style="43"/>
    <col min="4349" max="4349" width="6.28515625" style="43" customWidth="1"/>
    <col min="4350" max="4350" width="3.140625" style="43" customWidth="1"/>
    <col min="4351" max="4351" width="7.7109375" style="43" customWidth="1"/>
    <col min="4352" max="4352" width="6.7109375" style="43" customWidth="1"/>
    <col min="4353" max="4353" width="7.7109375" style="43" customWidth="1"/>
    <col min="4354" max="4354" width="7.42578125" style="43" customWidth="1"/>
    <col min="4355" max="4355" width="7.7109375" style="43" customWidth="1"/>
    <col min="4356" max="4356" width="6.7109375" style="43" customWidth="1"/>
    <col min="4357" max="4357" width="2.28515625" style="43" customWidth="1"/>
    <col min="4358" max="4358" width="9" style="43" customWidth="1"/>
    <col min="4359" max="4359" width="1.7109375" style="43" customWidth="1"/>
    <col min="4360" max="4360" width="4.42578125" style="43" customWidth="1"/>
    <col min="4361" max="4361" width="17.140625" style="43" customWidth="1"/>
    <col min="4362" max="4362" width="1.5703125" style="43" customWidth="1"/>
    <col min="4363" max="4363" width="10.5703125" style="43" customWidth="1"/>
    <col min="4364" max="4364" width="1.7109375" style="43" customWidth="1"/>
    <col min="4365" max="4365" width="9.85546875" style="43" customWidth="1"/>
    <col min="4366" max="4366" width="0.85546875" style="43" customWidth="1"/>
    <col min="4367" max="4367" width="10.85546875" style="43" customWidth="1"/>
    <col min="4368" max="4368" width="1.85546875" style="43" customWidth="1"/>
    <col min="4369" max="4604" width="9.140625" style="43"/>
    <col min="4605" max="4605" width="6.28515625" style="43" customWidth="1"/>
    <col min="4606" max="4606" width="3.140625" style="43" customWidth="1"/>
    <col min="4607" max="4607" width="7.7109375" style="43" customWidth="1"/>
    <col min="4608" max="4608" width="6.7109375" style="43" customWidth="1"/>
    <col min="4609" max="4609" width="7.7109375" style="43" customWidth="1"/>
    <col min="4610" max="4610" width="7.42578125" style="43" customWidth="1"/>
    <col min="4611" max="4611" width="7.7109375" style="43" customWidth="1"/>
    <col min="4612" max="4612" width="6.7109375" style="43" customWidth="1"/>
    <col min="4613" max="4613" width="2.28515625" style="43" customWidth="1"/>
    <col min="4614" max="4614" width="9" style="43" customWidth="1"/>
    <col min="4615" max="4615" width="1.7109375" style="43" customWidth="1"/>
    <col min="4616" max="4616" width="4.42578125" style="43" customWidth="1"/>
    <col min="4617" max="4617" width="17.140625" style="43" customWidth="1"/>
    <col min="4618" max="4618" width="1.5703125" style="43" customWidth="1"/>
    <col min="4619" max="4619" width="10.5703125" style="43" customWidth="1"/>
    <col min="4620" max="4620" width="1.7109375" style="43" customWidth="1"/>
    <col min="4621" max="4621" width="9.85546875" style="43" customWidth="1"/>
    <col min="4622" max="4622" width="0.85546875" style="43" customWidth="1"/>
    <col min="4623" max="4623" width="10.85546875" style="43" customWidth="1"/>
    <col min="4624" max="4624" width="1.85546875" style="43" customWidth="1"/>
    <col min="4625" max="4860" width="9.140625" style="43"/>
    <col min="4861" max="4861" width="6.28515625" style="43" customWidth="1"/>
    <col min="4862" max="4862" width="3.140625" style="43" customWidth="1"/>
    <col min="4863" max="4863" width="7.7109375" style="43" customWidth="1"/>
    <col min="4864" max="4864" width="6.7109375" style="43" customWidth="1"/>
    <col min="4865" max="4865" width="7.7109375" style="43" customWidth="1"/>
    <col min="4866" max="4866" width="7.42578125" style="43" customWidth="1"/>
    <col min="4867" max="4867" width="7.7109375" style="43" customWidth="1"/>
    <col min="4868" max="4868" width="6.7109375" style="43" customWidth="1"/>
    <col min="4869" max="4869" width="2.28515625" style="43" customWidth="1"/>
    <col min="4870" max="4870" width="9" style="43" customWidth="1"/>
    <col min="4871" max="4871" width="1.7109375" style="43" customWidth="1"/>
    <col min="4872" max="4872" width="4.42578125" style="43" customWidth="1"/>
    <col min="4873" max="4873" width="17.140625" style="43" customWidth="1"/>
    <col min="4874" max="4874" width="1.5703125" style="43" customWidth="1"/>
    <col min="4875" max="4875" width="10.5703125" style="43" customWidth="1"/>
    <col min="4876" max="4876" width="1.7109375" style="43" customWidth="1"/>
    <col min="4877" max="4877" width="9.85546875" style="43" customWidth="1"/>
    <col min="4878" max="4878" width="0.85546875" style="43" customWidth="1"/>
    <col min="4879" max="4879" width="10.85546875" style="43" customWidth="1"/>
    <col min="4880" max="4880" width="1.85546875" style="43" customWidth="1"/>
    <col min="4881" max="5116" width="9.140625" style="43"/>
    <col min="5117" max="5117" width="6.28515625" style="43" customWidth="1"/>
    <col min="5118" max="5118" width="3.140625" style="43" customWidth="1"/>
    <col min="5119" max="5119" width="7.7109375" style="43" customWidth="1"/>
    <col min="5120" max="5120" width="6.7109375" style="43" customWidth="1"/>
    <col min="5121" max="5121" width="7.7109375" style="43" customWidth="1"/>
    <col min="5122" max="5122" width="7.42578125" style="43" customWidth="1"/>
    <col min="5123" max="5123" width="7.7109375" style="43" customWidth="1"/>
    <col min="5124" max="5124" width="6.7109375" style="43" customWidth="1"/>
    <col min="5125" max="5125" width="2.28515625" style="43" customWidth="1"/>
    <col min="5126" max="5126" width="9" style="43" customWidth="1"/>
    <col min="5127" max="5127" width="1.7109375" style="43" customWidth="1"/>
    <col min="5128" max="5128" width="4.42578125" style="43" customWidth="1"/>
    <col min="5129" max="5129" width="17.140625" style="43" customWidth="1"/>
    <col min="5130" max="5130" width="1.5703125" style="43" customWidth="1"/>
    <col min="5131" max="5131" width="10.5703125" style="43" customWidth="1"/>
    <col min="5132" max="5132" width="1.7109375" style="43" customWidth="1"/>
    <col min="5133" max="5133" width="9.85546875" style="43" customWidth="1"/>
    <col min="5134" max="5134" width="0.85546875" style="43" customWidth="1"/>
    <col min="5135" max="5135" width="10.85546875" style="43" customWidth="1"/>
    <col min="5136" max="5136" width="1.85546875" style="43" customWidth="1"/>
    <col min="5137" max="5372" width="9.140625" style="43"/>
    <col min="5373" max="5373" width="6.28515625" style="43" customWidth="1"/>
    <col min="5374" max="5374" width="3.140625" style="43" customWidth="1"/>
    <col min="5375" max="5375" width="7.7109375" style="43" customWidth="1"/>
    <col min="5376" max="5376" width="6.7109375" style="43" customWidth="1"/>
    <col min="5377" max="5377" width="7.7109375" style="43" customWidth="1"/>
    <col min="5378" max="5378" width="7.42578125" style="43" customWidth="1"/>
    <col min="5379" max="5379" width="7.7109375" style="43" customWidth="1"/>
    <col min="5380" max="5380" width="6.7109375" style="43" customWidth="1"/>
    <col min="5381" max="5381" width="2.28515625" style="43" customWidth="1"/>
    <col min="5382" max="5382" width="9" style="43" customWidth="1"/>
    <col min="5383" max="5383" width="1.7109375" style="43" customWidth="1"/>
    <col min="5384" max="5384" width="4.42578125" style="43" customWidth="1"/>
    <col min="5385" max="5385" width="17.140625" style="43" customWidth="1"/>
    <col min="5386" max="5386" width="1.5703125" style="43" customWidth="1"/>
    <col min="5387" max="5387" width="10.5703125" style="43" customWidth="1"/>
    <col min="5388" max="5388" width="1.7109375" style="43" customWidth="1"/>
    <col min="5389" max="5389" width="9.85546875" style="43" customWidth="1"/>
    <col min="5390" max="5390" width="0.85546875" style="43" customWidth="1"/>
    <col min="5391" max="5391" width="10.85546875" style="43" customWidth="1"/>
    <col min="5392" max="5392" width="1.85546875" style="43" customWidth="1"/>
    <col min="5393" max="5628" width="9.140625" style="43"/>
    <col min="5629" max="5629" width="6.28515625" style="43" customWidth="1"/>
    <col min="5630" max="5630" width="3.140625" style="43" customWidth="1"/>
    <col min="5631" max="5631" width="7.7109375" style="43" customWidth="1"/>
    <col min="5632" max="5632" width="6.7109375" style="43" customWidth="1"/>
    <col min="5633" max="5633" width="7.7109375" style="43" customWidth="1"/>
    <col min="5634" max="5634" width="7.42578125" style="43" customWidth="1"/>
    <col min="5635" max="5635" width="7.7109375" style="43" customWidth="1"/>
    <col min="5636" max="5636" width="6.7109375" style="43" customWidth="1"/>
    <col min="5637" max="5637" width="2.28515625" style="43" customWidth="1"/>
    <col min="5638" max="5638" width="9" style="43" customWidth="1"/>
    <col min="5639" max="5639" width="1.7109375" style="43" customWidth="1"/>
    <col min="5640" max="5640" width="4.42578125" style="43" customWidth="1"/>
    <col min="5641" max="5641" width="17.140625" style="43" customWidth="1"/>
    <col min="5642" max="5642" width="1.5703125" style="43" customWidth="1"/>
    <col min="5643" max="5643" width="10.5703125" style="43" customWidth="1"/>
    <col min="5644" max="5644" width="1.7109375" style="43" customWidth="1"/>
    <col min="5645" max="5645" width="9.85546875" style="43" customWidth="1"/>
    <col min="5646" max="5646" width="0.85546875" style="43" customWidth="1"/>
    <col min="5647" max="5647" width="10.85546875" style="43" customWidth="1"/>
    <col min="5648" max="5648" width="1.85546875" style="43" customWidth="1"/>
    <col min="5649" max="5884" width="9.140625" style="43"/>
    <col min="5885" max="5885" width="6.28515625" style="43" customWidth="1"/>
    <col min="5886" max="5886" width="3.140625" style="43" customWidth="1"/>
    <col min="5887" max="5887" width="7.7109375" style="43" customWidth="1"/>
    <col min="5888" max="5888" width="6.7109375" style="43" customWidth="1"/>
    <col min="5889" max="5889" width="7.7109375" style="43" customWidth="1"/>
    <col min="5890" max="5890" width="7.42578125" style="43" customWidth="1"/>
    <col min="5891" max="5891" width="7.7109375" style="43" customWidth="1"/>
    <col min="5892" max="5892" width="6.7109375" style="43" customWidth="1"/>
    <col min="5893" max="5893" width="2.28515625" style="43" customWidth="1"/>
    <col min="5894" max="5894" width="9" style="43" customWidth="1"/>
    <col min="5895" max="5895" width="1.7109375" style="43" customWidth="1"/>
    <col min="5896" max="5896" width="4.42578125" style="43" customWidth="1"/>
    <col min="5897" max="5897" width="17.140625" style="43" customWidth="1"/>
    <col min="5898" max="5898" width="1.5703125" style="43" customWidth="1"/>
    <col min="5899" max="5899" width="10.5703125" style="43" customWidth="1"/>
    <col min="5900" max="5900" width="1.7109375" style="43" customWidth="1"/>
    <col min="5901" max="5901" width="9.85546875" style="43" customWidth="1"/>
    <col min="5902" max="5902" width="0.85546875" style="43" customWidth="1"/>
    <col min="5903" max="5903" width="10.85546875" style="43" customWidth="1"/>
    <col min="5904" max="5904" width="1.85546875" style="43" customWidth="1"/>
    <col min="5905" max="6140" width="9.140625" style="43"/>
    <col min="6141" max="6141" width="6.28515625" style="43" customWidth="1"/>
    <col min="6142" max="6142" width="3.140625" style="43" customWidth="1"/>
    <col min="6143" max="6143" width="7.7109375" style="43" customWidth="1"/>
    <col min="6144" max="6144" width="6.7109375" style="43" customWidth="1"/>
    <col min="6145" max="6145" width="7.7109375" style="43" customWidth="1"/>
    <col min="6146" max="6146" width="7.42578125" style="43" customWidth="1"/>
    <col min="6147" max="6147" width="7.7109375" style="43" customWidth="1"/>
    <col min="6148" max="6148" width="6.7109375" style="43" customWidth="1"/>
    <col min="6149" max="6149" width="2.28515625" style="43" customWidth="1"/>
    <col min="6150" max="6150" width="9" style="43" customWidth="1"/>
    <col min="6151" max="6151" width="1.7109375" style="43" customWidth="1"/>
    <col min="6152" max="6152" width="4.42578125" style="43" customWidth="1"/>
    <col min="6153" max="6153" width="17.140625" style="43" customWidth="1"/>
    <col min="6154" max="6154" width="1.5703125" style="43" customWidth="1"/>
    <col min="6155" max="6155" width="10.5703125" style="43" customWidth="1"/>
    <col min="6156" max="6156" width="1.7109375" style="43" customWidth="1"/>
    <col min="6157" max="6157" width="9.85546875" style="43" customWidth="1"/>
    <col min="6158" max="6158" width="0.85546875" style="43" customWidth="1"/>
    <col min="6159" max="6159" width="10.85546875" style="43" customWidth="1"/>
    <col min="6160" max="6160" width="1.85546875" style="43" customWidth="1"/>
    <col min="6161" max="6396" width="9.140625" style="43"/>
    <col min="6397" max="6397" width="6.28515625" style="43" customWidth="1"/>
    <col min="6398" max="6398" width="3.140625" style="43" customWidth="1"/>
    <col min="6399" max="6399" width="7.7109375" style="43" customWidth="1"/>
    <col min="6400" max="6400" width="6.7109375" style="43" customWidth="1"/>
    <col min="6401" max="6401" width="7.7109375" style="43" customWidth="1"/>
    <col min="6402" max="6402" width="7.42578125" style="43" customWidth="1"/>
    <col min="6403" max="6403" width="7.7109375" style="43" customWidth="1"/>
    <col min="6404" max="6404" width="6.7109375" style="43" customWidth="1"/>
    <col min="6405" max="6405" width="2.28515625" style="43" customWidth="1"/>
    <col min="6406" max="6406" width="9" style="43" customWidth="1"/>
    <col min="6407" max="6407" width="1.7109375" style="43" customWidth="1"/>
    <col min="6408" max="6408" width="4.42578125" style="43" customWidth="1"/>
    <col min="6409" max="6409" width="17.140625" style="43" customWidth="1"/>
    <col min="6410" max="6410" width="1.5703125" style="43" customWidth="1"/>
    <col min="6411" max="6411" width="10.5703125" style="43" customWidth="1"/>
    <col min="6412" max="6412" width="1.7109375" style="43" customWidth="1"/>
    <col min="6413" max="6413" width="9.85546875" style="43" customWidth="1"/>
    <col min="6414" max="6414" width="0.85546875" style="43" customWidth="1"/>
    <col min="6415" max="6415" width="10.85546875" style="43" customWidth="1"/>
    <col min="6416" max="6416" width="1.85546875" style="43" customWidth="1"/>
    <col min="6417" max="6652" width="9.140625" style="43"/>
    <col min="6653" max="6653" width="6.28515625" style="43" customWidth="1"/>
    <col min="6654" max="6654" width="3.140625" style="43" customWidth="1"/>
    <col min="6655" max="6655" width="7.7109375" style="43" customWidth="1"/>
    <col min="6656" max="6656" width="6.7109375" style="43" customWidth="1"/>
    <col min="6657" max="6657" width="7.7109375" style="43" customWidth="1"/>
    <col min="6658" max="6658" width="7.42578125" style="43" customWidth="1"/>
    <col min="6659" max="6659" width="7.7109375" style="43" customWidth="1"/>
    <col min="6660" max="6660" width="6.7109375" style="43" customWidth="1"/>
    <col min="6661" max="6661" width="2.28515625" style="43" customWidth="1"/>
    <col min="6662" max="6662" width="9" style="43" customWidth="1"/>
    <col min="6663" max="6663" width="1.7109375" style="43" customWidth="1"/>
    <col min="6664" max="6664" width="4.42578125" style="43" customWidth="1"/>
    <col min="6665" max="6665" width="17.140625" style="43" customWidth="1"/>
    <col min="6666" max="6666" width="1.5703125" style="43" customWidth="1"/>
    <col min="6667" max="6667" width="10.5703125" style="43" customWidth="1"/>
    <col min="6668" max="6668" width="1.7109375" style="43" customWidth="1"/>
    <col min="6669" max="6669" width="9.85546875" style="43" customWidth="1"/>
    <col min="6670" max="6670" width="0.85546875" style="43" customWidth="1"/>
    <col min="6671" max="6671" width="10.85546875" style="43" customWidth="1"/>
    <col min="6672" max="6672" width="1.85546875" style="43" customWidth="1"/>
    <col min="6673" max="6908" width="9.140625" style="43"/>
    <col min="6909" max="6909" width="6.28515625" style="43" customWidth="1"/>
    <col min="6910" max="6910" width="3.140625" style="43" customWidth="1"/>
    <col min="6911" max="6911" width="7.7109375" style="43" customWidth="1"/>
    <col min="6912" max="6912" width="6.7109375" style="43" customWidth="1"/>
    <col min="6913" max="6913" width="7.7109375" style="43" customWidth="1"/>
    <col min="6914" max="6914" width="7.42578125" style="43" customWidth="1"/>
    <col min="6915" max="6915" width="7.7109375" style="43" customWidth="1"/>
    <col min="6916" max="6916" width="6.7109375" style="43" customWidth="1"/>
    <col min="6917" max="6917" width="2.28515625" style="43" customWidth="1"/>
    <col min="6918" max="6918" width="9" style="43" customWidth="1"/>
    <col min="6919" max="6919" width="1.7109375" style="43" customWidth="1"/>
    <col min="6920" max="6920" width="4.42578125" style="43" customWidth="1"/>
    <col min="6921" max="6921" width="17.140625" style="43" customWidth="1"/>
    <col min="6922" max="6922" width="1.5703125" style="43" customWidth="1"/>
    <col min="6923" max="6923" width="10.5703125" style="43" customWidth="1"/>
    <col min="6924" max="6924" width="1.7109375" style="43" customWidth="1"/>
    <col min="6925" max="6925" width="9.85546875" style="43" customWidth="1"/>
    <col min="6926" max="6926" width="0.85546875" style="43" customWidth="1"/>
    <col min="6927" max="6927" width="10.85546875" style="43" customWidth="1"/>
    <col min="6928" max="6928" width="1.85546875" style="43" customWidth="1"/>
    <col min="6929" max="7164" width="9.140625" style="43"/>
    <col min="7165" max="7165" width="6.28515625" style="43" customWidth="1"/>
    <col min="7166" max="7166" width="3.140625" style="43" customWidth="1"/>
    <col min="7167" max="7167" width="7.7109375" style="43" customWidth="1"/>
    <col min="7168" max="7168" width="6.7109375" style="43" customWidth="1"/>
    <col min="7169" max="7169" width="7.7109375" style="43" customWidth="1"/>
    <col min="7170" max="7170" width="7.42578125" style="43" customWidth="1"/>
    <col min="7171" max="7171" width="7.7109375" style="43" customWidth="1"/>
    <col min="7172" max="7172" width="6.7109375" style="43" customWidth="1"/>
    <col min="7173" max="7173" width="2.28515625" style="43" customWidth="1"/>
    <col min="7174" max="7174" width="9" style="43" customWidth="1"/>
    <col min="7175" max="7175" width="1.7109375" style="43" customWidth="1"/>
    <col min="7176" max="7176" width="4.42578125" style="43" customWidth="1"/>
    <col min="7177" max="7177" width="17.140625" style="43" customWidth="1"/>
    <col min="7178" max="7178" width="1.5703125" style="43" customWidth="1"/>
    <col min="7179" max="7179" width="10.5703125" style="43" customWidth="1"/>
    <col min="7180" max="7180" width="1.7109375" style="43" customWidth="1"/>
    <col min="7181" max="7181" width="9.85546875" style="43" customWidth="1"/>
    <col min="7182" max="7182" width="0.85546875" style="43" customWidth="1"/>
    <col min="7183" max="7183" width="10.85546875" style="43" customWidth="1"/>
    <col min="7184" max="7184" width="1.85546875" style="43" customWidth="1"/>
    <col min="7185" max="7420" width="9.140625" style="43"/>
    <col min="7421" max="7421" width="6.28515625" style="43" customWidth="1"/>
    <col min="7422" max="7422" width="3.140625" style="43" customWidth="1"/>
    <col min="7423" max="7423" width="7.7109375" style="43" customWidth="1"/>
    <col min="7424" max="7424" width="6.7109375" style="43" customWidth="1"/>
    <col min="7425" max="7425" width="7.7109375" style="43" customWidth="1"/>
    <col min="7426" max="7426" width="7.42578125" style="43" customWidth="1"/>
    <col min="7427" max="7427" width="7.7109375" style="43" customWidth="1"/>
    <col min="7428" max="7428" width="6.7109375" style="43" customWidth="1"/>
    <col min="7429" max="7429" width="2.28515625" style="43" customWidth="1"/>
    <col min="7430" max="7430" width="9" style="43" customWidth="1"/>
    <col min="7431" max="7431" width="1.7109375" style="43" customWidth="1"/>
    <col min="7432" max="7432" width="4.42578125" style="43" customWidth="1"/>
    <col min="7433" max="7433" width="17.140625" style="43" customWidth="1"/>
    <col min="7434" max="7434" width="1.5703125" style="43" customWidth="1"/>
    <col min="7435" max="7435" width="10.5703125" style="43" customWidth="1"/>
    <col min="7436" max="7436" width="1.7109375" style="43" customWidth="1"/>
    <col min="7437" max="7437" width="9.85546875" style="43" customWidth="1"/>
    <col min="7438" max="7438" width="0.85546875" style="43" customWidth="1"/>
    <col min="7439" max="7439" width="10.85546875" style="43" customWidth="1"/>
    <col min="7440" max="7440" width="1.85546875" style="43" customWidth="1"/>
    <col min="7441" max="7676" width="9.140625" style="43"/>
    <col min="7677" max="7677" width="6.28515625" style="43" customWidth="1"/>
    <col min="7678" max="7678" width="3.140625" style="43" customWidth="1"/>
    <col min="7679" max="7679" width="7.7109375" style="43" customWidth="1"/>
    <col min="7680" max="7680" width="6.7109375" style="43" customWidth="1"/>
    <col min="7681" max="7681" width="7.7109375" style="43" customWidth="1"/>
    <col min="7682" max="7682" width="7.42578125" style="43" customWidth="1"/>
    <col min="7683" max="7683" width="7.7109375" style="43" customWidth="1"/>
    <col min="7684" max="7684" width="6.7109375" style="43" customWidth="1"/>
    <col min="7685" max="7685" width="2.28515625" style="43" customWidth="1"/>
    <col min="7686" max="7686" width="9" style="43" customWidth="1"/>
    <col min="7687" max="7687" width="1.7109375" style="43" customWidth="1"/>
    <col min="7688" max="7688" width="4.42578125" style="43" customWidth="1"/>
    <col min="7689" max="7689" width="17.140625" style="43" customWidth="1"/>
    <col min="7690" max="7690" width="1.5703125" style="43" customWidth="1"/>
    <col min="7691" max="7691" width="10.5703125" style="43" customWidth="1"/>
    <col min="7692" max="7692" width="1.7109375" style="43" customWidth="1"/>
    <col min="7693" max="7693" width="9.85546875" style="43" customWidth="1"/>
    <col min="7694" max="7694" width="0.85546875" style="43" customWidth="1"/>
    <col min="7695" max="7695" width="10.85546875" style="43" customWidth="1"/>
    <col min="7696" max="7696" width="1.85546875" style="43" customWidth="1"/>
    <col min="7697" max="7932" width="9.140625" style="43"/>
    <col min="7933" max="7933" width="6.28515625" style="43" customWidth="1"/>
    <col min="7934" max="7934" width="3.140625" style="43" customWidth="1"/>
    <col min="7935" max="7935" width="7.7109375" style="43" customWidth="1"/>
    <col min="7936" max="7936" width="6.7109375" style="43" customWidth="1"/>
    <col min="7937" max="7937" width="7.7109375" style="43" customWidth="1"/>
    <col min="7938" max="7938" width="7.42578125" style="43" customWidth="1"/>
    <col min="7939" max="7939" width="7.7109375" style="43" customWidth="1"/>
    <col min="7940" max="7940" width="6.7109375" style="43" customWidth="1"/>
    <col min="7941" max="7941" width="2.28515625" style="43" customWidth="1"/>
    <col min="7942" max="7942" width="9" style="43" customWidth="1"/>
    <col min="7943" max="7943" width="1.7109375" style="43" customWidth="1"/>
    <col min="7944" max="7944" width="4.42578125" style="43" customWidth="1"/>
    <col min="7945" max="7945" width="17.140625" style="43" customWidth="1"/>
    <col min="7946" max="7946" width="1.5703125" style="43" customWidth="1"/>
    <col min="7947" max="7947" width="10.5703125" style="43" customWidth="1"/>
    <col min="7948" max="7948" width="1.7109375" style="43" customWidth="1"/>
    <col min="7949" max="7949" width="9.85546875" style="43" customWidth="1"/>
    <col min="7950" max="7950" width="0.85546875" style="43" customWidth="1"/>
    <col min="7951" max="7951" width="10.85546875" style="43" customWidth="1"/>
    <col min="7952" max="7952" width="1.85546875" style="43" customWidth="1"/>
    <col min="7953" max="8188" width="9.140625" style="43"/>
    <col min="8189" max="8189" width="6.28515625" style="43" customWidth="1"/>
    <col min="8190" max="8190" width="3.140625" style="43" customWidth="1"/>
    <col min="8191" max="8191" width="7.7109375" style="43" customWidth="1"/>
    <col min="8192" max="8192" width="6.7109375" style="43" customWidth="1"/>
    <col min="8193" max="8193" width="7.7109375" style="43" customWidth="1"/>
    <col min="8194" max="8194" width="7.42578125" style="43" customWidth="1"/>
    <col min="8195" max="8195" width="7.7109375" style="43" customWidth="1"/>
    <col min="8196" max="8196" width="6.7109375" style="43" customWidth="1"/>
    <col min="8197" max="8197" width="2.28515625" style="43" customWidth="1"/>
    <col min="8198" max="8198" width="9" style="43" customWidth="1"/>
    <col min="8199" max="8199" width="1.7109375" style="43" customWidth="1"/>
    <col min="8200" max="8200" width="4.42578125" style="43" customWidth="1"/>
    <col min="8201" max="8201" width="17.140625" style="43" customWidth="1"/>
    <col min="8202" max="8202" width="1.5703125" style="43" customWidth="1"/>
    <col min="8203" max="8203" width="10.5703125" style="43" customWidth="1"/>
    <col min="8204" max="8204" width="1.7109375" style="43" customWidth="1"/>
    <col min="8205" max="8205" width="9.85546875" style="43" customWidth="1"/>
    <col min="8206" max="8206" width="0.85546875" style="43" customWidth="1"/>
    <col min="8207" max="8207" width="10.85546875" style="43" customWidth="1"/>
    <col min="8208" max="8208" width="1.85546875" style="43" customWidth="1"/>
    <col min="8209" max="8444" width="9.140625" style="43"/>
    <col min="8445" max="8445" width="6.28515625" style="43" customWidth="1"/>
    <col min="8446" max="8446" width="3.140625" style="43" customWidth="1"/>
    <col min="8447" max="8447" width="7.7109375" style="43" customWidth="1"/>
    <col min="8448" max="8448" width="6.7109375" style="43" customWidth="1"/>
    <col min="8449" max="8449" width="7.7109375" style="43" customWidth="1"/>
    <col min="8450" max="8450" width="7.42578125" style="43" customWidth="1"/>
    <col min="8451" max="8451" width="7.7109375" style="43" customWidth="1"/>
    <col min="8452" max="8452" width="6.7109375" style="43" customWidth="1"/>
    <col min="8453" max="8453" width="2.28515625" style="43" customWidth="1"/>
    <col min="8454" max="8454" width="9" style="43" customWidth="1"/>
    <col min="8455" max="8455" width="1.7109375" style="43" customWidth="1"/>
    <col min="8456" max="8456" width="4.42578125" style="43" customWidth="1"/>
    <col min="8457" max="8457" width="17.140625" style="43" customWidth="1"/>
    <col min="8458" max="8458" width="1.5703125" style="43" customWidth="1"/>
    <col min="8459" max="8459" width="10.5703125" style="43" customWidth="1"/>
    <col min="8460" max="8460" width="1.7109375" style="43" customWidth="1"/>
    <col min="8461" max="8461" width="9.85546875" style="43" customWidth="1"/>
    <col min="8462" max="8462" width="0.85546875" style="43" customWidth="1"/>
    <col min="8463" max="8463" width="10.85546875" style="43" customWidth="1"/>
    <col min="8464" max="8464" width="1.85546875" style="43" customWidth="1"/>
    <col min="8465" max="8700" width="9.140625" style="43"/>
    <col min="8701" max="8701" width="6.28515625" style="43" customWidth="1"/>
    <col min="8702" max="8702" width="3.140625" style="43" customWidth="1"/>
    <col min="8703" max="8703" width="7.7109375" style="43" customWidth="1"/>
    <col min="8704" max="8704" width="6.7109375" style="43" customWidth="1"/>
    <col min="8705" max="8705" width="7.7109375" style="43" customWidth="1"/>
    <col min="8706" max="8706" width="7.42578125" style="43" customWidth="1"/>
    <col min="8707" max="8707" width="7.7109375" style="43" customWidth="1"/>
    <col min="8708" max="8708" width="6.7109375" style="43" customWidth="1"/>
    <col min="8709" max="8709" width="2.28515625" style="43" customWidth="1"/>
    <col min="8710" max="8710" width="9" style="43" customWidth="1"/>
    <col min="8711" max="8711" width="1.7109375" style="43" customWidth="1"/>
    <col min="8712" max="8712" width="4.42578125" style="43" customWidth="1"/>
    <col min="8713" max="8713" width="17.140625" style="43" customWidth="1"/>
    <col min="8714" max="8714" width="1.5703125" style="43" customWidth="1"/>
    <col min="8715" max="8715" width="10.5703125" style="43" customWidth="1"/>
    <col min="8716" max="8716" width="1.7109375" style="43" customWidth="1"/>
    <col min="8717" max="8717" width="9.85546875" style="43" customWidth="1"/>
    <col min="8718" max="8718" width="0.85546875" style="43" customWidth="1"/>
    <col min="8719" max="8719" width="10.85546875" style="43" customWidth="1"/>
    <col min="8720" max="8720" width="1.85546875" style="43" customWidth="1"/>
    <col min="8721" max="8956" width="9.140625" style="43"/>
    <col min="8957" max="8957" width="6.28515625" style="43" customWidth="1"/>
    <col min="8958" max="8958" width="3.140625" style="43" customWidth="1"/>
    <col min="8959" max="8959" width="7.7109375" style="43" customWidth="1"/>
    <col min="8960" max="8960" width="6.7109375" style="43" customWidth="1"/>
    <col min="8961" max="8961" width="7.7109375" style="43" customWidth="1"/>
    <col min="8962" max="8962" width="7.42578125" style="43" customWidth="1"/>
    <col min="8963" max="8963" width="7.7109375" style="43" customWidth="1"/>
    <col min="8964" max="8964" width="6.7109375" style="43" customWidth="1"/>
    <col min="8965" max="8965" width="2.28515625" style="43" customWidth="1"/>
    <col min="8966" max="8966" width="9" style="43" customWidth="1"/>
    <col min="8967" max="8967" width="1.7109375" style="43" customWidth="1"/>
    <col min="8968" max="8968" width="4.42578125" style="43" customWidth="1"/>
    <col min="8969" max="8969" width="17.140625" style="43" customWidth="1"/>
    <col min="8970" max="8970" width="1.5703125" style="43" customWidth="1"/>
    <col min="8971" max="8971" width="10.5703125" style="43" customWidth="1"/>
    <col min="8972" max="8972" width="1.7109375" style="43" customWidth="1"/>
    <col min="8973" max="8973" width="9.85546875" style="43" customWidth="1"/>
    <col min="8974" max="8974" width="0.85546875" style="43" customWidth="1"/>
    <col min="8975" max="8975" width="10.85546875" style="43" customWidth="1"/>
    <col min="8976" max="8976" width="1.85546875" style="43" customWidth="1"/>
    <col min="8977" max="9212" width="9.140625" style="43"/>
    <col min="9213" max="9213" width="6.28515625" style="43" customWidth="1"/>
    <col min="9214" max="9214" width="3.140625" style="43" customWidth="1"/>
    <col min="9215" max="9215" width="7.7109375" style="43" customWidth="1"/>
    <col min="9216" max="9216" width="6.7109375" style="43" customWidth="1"/>
    <col min="9217" max="9217" width="7.7109375" style="43" customWidth="1"/>
    <col min="9218" max="9218" width="7.42578125" style="43" customWidth="1"/>
    <col min="9219" max="9219" width="7.7109375" style="43" customWidth="1"/>
    <col min="9220" max="9220" width="6.7109375" style="43" customWidth="1"/>
    <col min="9221" max="9221" width="2.28515625" style="43" customWidth="1"/>
    <col min="9222" max="9222" width="9" style="43" customWidth="1"/>
    <col min="9223" max="9223" width="1.7109375" style="43" customWidth="1"/>
    <col min="9224" max="9224" width="4.42578125" style="43" customWidth="1"/>
    <col min="9225" max="9225" width="17.140625" style="43" customWidth="1"/>
    <col min="9226" max="9226" width="1.5703125" style="43" customWidth="1"/>
    <col min="9227" max="9227" width="10.5703125" style="43" customWidth="1"/>
    <col min="9228" max="9228" width="1.7109375" style="43" customWidth="1"/>
    <col min="9229" max="9229" width="9.85546875" style="43" customWidth="1"/>
    <col min="9230" max="9230" width="0.85546875" style="43" customWidth="1"/>
    <col min="9231" max="9231" width="10.85546875" style="43" customWidth="1"/>
    <col min="9232" max="9232" width="1.85546875" style="43" customWidth="1"/>
    <col min="9233" max="9468" width="9.140625" style="43"/>
    <col min="9469" max="9469" width="6.28515625" style="43" customWidth="1"/>
    <col min="9470" max="9470" width="3.140625" style="43" customWidth="1"/>
    <col min="9471" max="9471" width="7.7109375" style="43" customWidth="1"/>
    <col min="9472" max="9472" width="6.7109375" style="43" customWidth="1"/>
    <col min="9473" max="9473" width="7.7109375" style="43" customWidth="1"/>
    <col min="9474" max="9474" width="7.42578125" style="43" customWidth="1"/>
    <col min="9475" max="9475" width="7.7109375" style="43" customWidth="1"/>
    <col min="9476" max="9476" width="6.7109375" style="43" customWidth="1"/>
    <col min="9477" max="9477" width="2.28515625" style="43" customWidth="1"/>
    <col min="9478" max="9478" width="9" style="43" customWidth="1"/>
    <col min="9479" max="9479" width="1.7109375" style="43" customWidth="1"/>
    <col min="9480" max="9480" width="4.42578125" style="43" customWidth="1"/>
    <col min="9481" max="9481" width="17.140625" style="43" customWidth="1"/>
    <col min="9482" max="9482" width="1.5703125" style="43" customWidth="1"/>
    <col min="9483" max="9483" width="10.5703125" style="43" customWidth="1"/>
    <col min="9484" max="9484" width="1.7109375" style="43" customWidth="1"/>
    <col min="9485" max="9485" width="9.85546875" style="43" customWidth="1"/>
    <col min="9486" max="9486" width="0.85546875" style="43" customWidth="1"/>
    <col min="9487" max="9487" width="10.85546875" style="43" customWidth="1"/>
    <col min="9488" max="9488" width="1.85546875" style="43" customWidth="1"/>
    <col min="9489" max="9724" width="9.140625" style="43"/>
    <col min="9725" max="9725" width="6.28515625" style="43" customWidth="1"/>
    <col min="9726" max="9726" width="3.140625" style="43" customWidth="1"/>
    <col min="9727" max="9727" width="7.7109375" style="43" customWidth="1"/>
    <col min="9728" max="9728" width="6.7109375" style="43" customWidth="1"/>
    <col min="9729" max="9729" width="7.7109375" style="43" customWidth="1"/>
    <col min="9730" max="9730" width="7.42578125" style="43" customWidth="1"/>
    <col min="9731" max="9731" width="7.7109375" style="43" customWidth="1"/>
    <col min="9732" max="9732" width="6.7109375" style="43" customWidth="1"/>
    <col min="9733" max="9733" width="2.28515625" style="43" customWidth="1"/>
    <col min="9734" max="9734" width="9" style="43" customWidth="1"/>
    <col min="9735" max="9735" width="1.7109375" style="43" customWidth="1"/>
    <col min="9736" max="9736" width="4.42578125" style="43" customWidth="1"/>
    <col min="9737" max="9737" width="17.140625" style="43" customWidth="1"/>
    <col min="9738" max="9738" width="1.5703125" style="43" customWidth="1"/>
    <col min="9739" max="9739" width="10.5703125" style="43" customWidth="1"/>
    <col min="9740" max="9740" width="1.7109375" style="43" customWidth="1"/>
    <col min="9741" max="9741" width="9.85546875" style="43" customWidth="1"/>
    <col min="9742" max="9742" width="0.85546875" style="43" customWidth="1"/>
    <col min="9743" max="9743" width="10.85546875" style="43" customWidth="1"/>
    <col min="9744" max="9744" width="1.85546875" style="43" customWidth="1"/>
    <col min="9745" max="9980" width="9.140625" style="43"/>
    <col min="9981" max="9981" width="6.28515625" style="43" customWidth="1"/>
    <col min="9982" max="9982" width="3.140625" style="43" customWidth="1"/>
    <col min="9983" max="9983" width="7.7109375" style="43" customWidth="1"/>
    <col min="9984" max="9984" width="6.7109375" style="43" customWidth="1"/>
    <col min="9985" max="9985" width="7.7109375" style="43" customWidth="1"/>
    <col min="9986" max="9986" width="7.42578125" style="43" customWidth="1"/>
    <col min="9987" max="9987" width="7.7109375" style="43" customWidth="1"/>
    <col min="9988" max="9988" width="6.7109375" style="43" customWidth="1"/>
    <col min="9989" max="9989" width="2.28515625" style="43" customWidth="1"/>
    <col min="9990" max="9990" width="9" style="43" customWidth="1"/>
    <col min="9991" max="9991" width="1.7109375" style="43" customWidth="1"/>
    <col min="9992" max="9992" width="4.42578125" style="43" customWidth="1"/>
    <col min="9993" max="9993" width="17.140625" style="43" customWidth="1"/>
    <col min="9994" max="9994" width="1.5703125" style="43" customWidth="1"/>
    <col min="9995" max="9995" width="10.5703125" style="43" customWidth="1"/>
    <col min="9996" max="9996" width="1.7109375" style="43" customWidth="1"/>
    <col min="9997" max="9997" width="9.85546875" style="43" customWidth="1"/>
    <col min="9998" max="9998" width="0.85546875" style="43" customWidth="1"/>
    <col min="9999" max="9999" width="10.85546875" style="43" customWidth="1"/>
    <col min="10000" max="10000" width="1.85546875" style="43" customWidth="1"/>
    <col min="10001" max="10236" width="9.140625" style="43"/>
    <col min="10237" max="10237" width="6.28515625" style="43" customWidth="1"/>
    <col min="10238" max="10238" width="3.140625" style="43" customWidth="1"/>
    <col min="10239" max="10239" width="7.7109375" style="43" customWidth="1"/>
    <col min="10240" max="10240" width="6.7109375" style="43" customWidth="1"/>
    <col min="10241" max="10241" width="7.7109375" style="43" customWidth="1"/>
    <col min="10242" max="10242" width="7.42578125" style="43" customWidth="1"/>
    <col min="10243" max="10243" width="7.7109375" style="43" customWidth="1"/>
    <col min="10244" max="10244" width="6.7109375" style="43" customWidth="1"/>
    <col min="10245" max="10245" width="2.28515625" style="43" customWidth="1"/>
    <col min="10246" max="10246" width="9" style="43" customWidth="1"/>
    <col min="10247" max="10247" width="1.7109375" style="43" customWidth="1"/>
    <col min="10248" max="10248" width="4.42578125" style="43" customWidth="1"/>
    <col min="10249" max="10249" width="17.140625" style="43" customWidth="1"/>
    <col min="10250" max="10250" width="1.5703125" style="43" customWidth="1"/>
    <col min="10251" max="10251" width="10.5703125" style="43" customWidth="1"/>
    <col min="10252" max="10252" width="1.7109375" style="43" customWidth="1"/>
    <col min="10253" max="10253" width="9.85546875" style="43" customWidth="1"/>
    <col min="10254" max="10254" width="0.85546875" style="43" customWidth="1"/>
    <col min="10255" max="10255" width="10.85546875" style="43" customWidth="1"/>
    <col min="10256" max="10256" width="1.85546875" style="43" customWidth="1"/>
    <col min="10257" max="10492" width="9.140625" style="43"/>
    <col min="10493" max="10493" width="6.28515625" style="43" customWidth="1"/>
    <col min="10494" max="10494" width="3.140625" style="43" customWidth="1"/>
    <col min="10495" max="10495" width="7.7109375" style="43" customWidth="1"/>
    <col min="10496" max="10496" width="6.7109375" style="43" customWidth="1"/>
    <col min="10497" max="10497" width="7.7109375" style="43" customWidth="1"/>
    <col min="10498" max="10498" width="7.42578125" style="43" customWidth="1"/>
    <col min="10499" max="10499" width="7.7109375" style="43" customWidth="1"/>
    <col min="10500" max="10500" width="6.7109375" style="43" customWidth="1"/>
    <col min="10501" max="10501" width="2.28515625" style="43" customWidth="1"/>
    <col min="10502" max="10502" width="9" style="43" customWidth="1"/>
    <col min="10503" max="10503" width="1.7109375" style="43" customWidth="1"/>
    <col min="10504" max="10504" width="4.42578125" style="43" customWidth="1"/>
    <col min="10505" max="10505" width="17.140625" style="43" customWidth="1"/>
    <col min="10506" max="10506" width="1.5703125" style="43" customWidth="1"/>
    <col min="10507" max="10507" width="10.5703125" style="43" customWidth="1"/>
    <col min="10508" max="10508" width="1.7109375" style="43" customWidth="1"/>
    <col min="10509" max="10509" width="9.85546875" style="43" customWidth="1"/>
    <col min="10510" max="10510" width="0.85546875" style="43" customWidth="1"/>
    <col min="10511" max="10511" width="10.85546875" style="43" customWidth="1"/>
    <col min="10512" max="10512" width="1.85546875" style="43" customWidth="1"/>
    <col min="10513" max="10748" width="9.140625" style="43"/>
    <col min="10749" max="10749" width="6.28515625" style="43" customWidth="1"/>
    <col min="10750" max="10750" width="3.140625" style="43" customWidth="1"/>
    <col min="10751" max="10751" width="7.7109375" style="43" customWidth="1"/>
    <col min="10752" max="10752" width="6.7109375" style="43" customWidth="1"/>
    <col min="10753" max="10753" width="7.7109375" style="43" customWidth="1"/>
    <col min="10754" max="10754" width="7.42578125" style="43" customWidth="1"/>
    <col min="10755" max="10755" width="7.7109375" style="43" customWidth="1"/>
    <col min="10756" max="10756" width="6.7109375" style="43" customWidth="1"/>
    <col min="10757" max="10757" width="2.28515625" style="43" customWidth="1"/>
    <col min="10758" max="10758" width="9" style="43" customWidth="1"/>
    <col min="10759" max="10759" width="1.7109375" style="43" customWidth="1"/>
    <col min="10760" max="10760" width="4.42578125" style="43" customWidth="1"/>
    <col min="10761" max="10761" width="17.140625" style="43" customWidth="1"/>
    <col min="10762" max="10762" width="1.5703125" style="43" customWidth="1"/>
    <col min="10763" max="10763" width="10.5703125" style="43" customWidth="1"/>
    <col min="10764" max="10764" width="1.7109375" style="43" customWidth="1"/>
    <col min="10765" max="10765" width="9.85546875" style="43" customWidth="1"/>
    <col min="10766" max="10766" width="0.85546875" style="43" customWidth="1"/>
    <col min="10767" max="10767" width="10.85546875" style="43" customWidth="1"/>
    <col min="10768" max="10768" width="1.85546875" style="43" customWidth="1"/>
    <col min="10769" max="11004" width="9.140625" style="43"/>
    <col min="11005" max="11005" width="6.28515625" style="43" customWidth="1"/>
    <col min="11006" max="11006" width="3.140625" style="43" customWidth="1"/>
    <col min="11007" max="11007" width="7.7109375" style="43" customWidth="1"/>
    <col min="11008" max="11008" width="6.7109375" style="43" customWidth="1"/>
    <col min="11009" max="11009" width="7.7109375" style="43" customWidth="1"/>
    <col min="11010" max="11010" width="7.42578125" style="43" customWidth="1"/>
    <col min="11011" max="11011" width="7.7109375" style="43" customWidth="1"/>
    <col min="11012" max="11012" width="6.7109375" style="43" customWidth="1"/>
    <col min="11013" max="11013" width="2.28515625" style="43" customWidth="1"/>
    <col min="11014" max="11014" width="9" style="43" customWidth="1"/>
    <col min="11015" max="11015" width="1.7109375" style="43" customWidth="1"/>
    <col min="11016" max="11016" width="4.42578125" style="43" customWidth="1"/>
    <col min="11017" max="11017" width="17.140625" style="43" customWidth="1"/>
    <col min="11018" max="11018" width="1.5703125" style="43" customWidth="1"/>
    <col min="11019" max="11019" width="10.5703125" style="43" customWidth="1"/>
    <col min="11020" max="11020" width="1.7109375" style="43" customWidth="1"/>
    <col min="11021" max="11021" width="9.85546875" style="43" customWidth="1"/>
    <col min="11022" max="11022" width="0.85546875" style="43" customWidth="1"/>
    <col min="11023" max="11023" width="10.85546875" style="43" customWidth="1"/>
    <col min="11024" max="11024" width="1.85546875" style="43" customWidth="1"/>
    <col min="11025" max="11260" width="9.140625" style="43"/>
    <col min="11261" max="11261" width="6.28515625" style="43" customWidth="1"/>
    <col min="11262" max="11262" width="3.140625" style="43" customWidth="1"/>
    <col min="11263" max="11263" width="7.7109375" style="43" customWidth="1"/>
    <col min="11264" max="11264" width="6.7109375" style="43" customWidth="1"/>
    <col min="11265" max="11265" width="7.7109375" style="43" customWidth="1"/>
    <col min="11266" max="11266" width="7.42578125" style="43" customWidth="1"/>
    <col min="11267" max="11267" width="7.7109375" style="43" customWidth="1"/>
    <col min="11268" max="11268" width="6.7109375" style="43" customWidth="1"/>
    <col min="11269" max="11269" width="2.28515625" style="43" customWidth="1"/>
    <col min="11270" max="11270" width="9" style="43" customWidth="1"/>
    <col min="11271" max="11271" width="1.7109375" style="43" customWidth="1"/>
    <col min="11272" max="11272" width="4.42578125" style="43" customWidth="1"/>
    <col min="11273" max="11273" width="17.140625" style="43" customWidth="1"/>
    <col min="11274" max="11274" width="1.5703125" style="43" customWidth="1"/>
    <col min="11275" max="11275" width="10.5703125" style="43" customWidth="1"/>
    <col min="11276" max="11276" width="1.7109375" style="43" customWidth="1"/>
    <col min="11277" max="11277" width="9.85546875" style="43" customWidth="1"/>
    <col min="11278" max="11278" width="0.85546875" style="43" customWidth="1"/>
    <col min="11279" max="11279" width="10.85546875" style="43" customWidth="1"/>
    <col min="11280" max="11280" width="1.85546875" style="43" customWidth="1"/>
    <col min="11281" max="11516" width="9.140625" style="43"/>
    <col min="11517" max="11517" width="6.28515625" style="43" customWidth="1"/>
    <col min="11518" max="11518" width="3.140625" style="43" customWidth="1"/>
    <col min="11519" max="11519" width="7.7109375" style="43" customWidth="1"/>
    <col min="11520" max="11520" width="6.7109375" style="43" customWidth="1"/>
    <col min="11521" max="11521" width="7.7109375" style="43" customWidth="1"/>
    <col min="11522" max="11522" width="7.42578125" style="43" customWidth="1"/>
    <col min="11523" max="11523" width="7.7109375" style="43" customWidth="1"/>
    <col min="11524" max="11524" width="6.7109375" style="43" customWidth="1"/>
    <col min="11525" max="11525" width="2.28515625" style="43" customWidth="1"/>
    <col min="11526" max="11526" width="9" style="43" customWidth="1"/>
    <col min="11527" max="11527" width="1.7109375" style="43" customWidth="1"/>
    <col min="11528" max="11528" width="4.42578125" style="43" customWidth="1"/>
    <col min="11529" max="11529" width="17.140625" style="43" customWidth="1"/>
    <col min="11530" max="11530" width="1.5703125" style="43" customWidth="1"/>
    <col min="11531" max="11531" width="10.5703125" style="43" customWidth="1"/>
    <col min="11532" max="11532" width="1.7109375" style="43" customWidth="1"/>
    <col min="11533" max="11533" width="9.85546875" style="43" customWidth="1"/>
    <col min="11534" max="11534" width="0.85546875" style="43" customWidth="1"/>
    <col min="11535" max="11535" width="10.85546875" style="43" customWidth="1"/>
    <col min="11536" max="11536" width="1.85546875" style="43" customWidth="1"/>
    <col min="11537" max="11772" width="9.140625" style="43"/>
    <col min="11773" max="11773" width="6.28515625" style="43" customWidth="1"/>
    <col min="11774" max="11774" width="3.140625" style="43" customWidth="1"/>
    <col min="11775" max="11775" width="7.7109375" style="43" customWidth="1"/>
    <col min="11776" max="11776" width="6.7109375" style="43" customWidth="1"/>
    <col min="11777" max="11777" width="7.7109375" style="43" customWidth="1"/>
    <col min="11778" max="11778" width="7.42578125" style="43" customWidth="1"/>
    <col min="11779" max="11779" width="7.7109375" style="43" customWidth="1"/>
    <col min="11780" max="11780" width="6.7109375" style="43" customWidth="1"/>
    <col min="11781" max="11781" width="2.28515625" style="43" customWidth="1"/>
    <col min="11782" max="11782" width="9" style="43" customWidth="1"/>
    <col min="11783" max="11783" width="1.7109375" style="43" customWidth="1"/>
    <col min="11784" max="11784" width="4.42578125" style="43" customWidth="1"/>
    <col min="11785" max="11785" width="17.140625" style="43" customWidth="1"/>
    <col min="11786" max="11786" width="1.5703125" style="43" customWidth="1"/>
    <col min="11787" max="11787" width="10.5703125" style="43" customWidth="1"/>
    <col min="11788" max="11788" width="1.7109375" style="43" customWidth="1"/>
    <col min="11789" max="11789" width="9.85546875" style="43" customWidth="1"/>
    <col min="11790" max="11790" width="0.85546875" style="43" customWidth="1"/>
    <col min="11791" max="11791" width="10.85546875" style="43" customWidth="1"/>
    <col min="11792" max="11792" width="1.85546875" style="43" customWidth="1"/>
    <col min="11793" max="12028" width="9.140625" style="43"/>
    <col min="12029" max="12029" width="6.28515625" style="43" customWidth="1"/>
    <col min="12030" max="12030" width="3.140625" style="43" customWidth="1"/>
    <col min="12031" max="12031" width="7.7109375" style="43" customWidth="1"/>
    <col min="12032" max="12032" width="6.7109375" style="43" customWidth="1"/>
    <col min="12033" max="12033" width="7.7109375" style="43" customWidth="1"/>
    <col min="12034" max="12034" width="7.42578125" style="43" customWidth="1"/>
    <col min="12035" max="12035" width="7.7109375" style="43" customWidth="1"/>
    <col min="12036" max="12036" width="6.7109375" style="43" customWidth="1"/>
    <col min="12037" max="12037" width="2.28515625" style="43" customWidth="1"/>
    <col min="12038" max="12038" width="9" style="43" customWidth="1"/>
    <col min="12039" max="12039" width="1.7109375" style="43" customWidth="1"/>
    <col min="12040" max="12040" width="4.42578125" style="43" customWidth="1"/>
    <col min="12041" max="12041" width="17.140625" style="43" customWidth="1"/>
    <col min="12042" max="12042" width="1.5703125" style="43" customWidth="1"/>
    <col min="12043" max="12043" width="10.5703125" style="43" customWidth="1"/>
    <col min="12044" max="12044" width="1.7109375" style="43" customWidth="1"/>
    <col min="12045" max="12045" width="9.85546875" style="43" customWidth="1"/>
    <col min="12046" max="12046" width="0.85546875" style="43" customWidth="1"/>
    <col min="12047" max="12047" width="10.85546875" style="43" customWidth="1"/>
    <col min="12048" max="12048" width="1.85546875" style="43" customWidth="1"/>
    <col min="12049" max="12284" width="9.140625" style="43"/>
    <col min="12285" max="12285" width="6.28515625" style="43" customWidth="1"/>
    <col min="12286" max="12286" width="3.140625" style="43" customWidth="1"/>
    <col min="12287" max="12287" width="7.7109375" style="43" customWidth="1"/>
    <col min="12288" max="12288" width="6.7109375" style="43" customWidth="1"/>
    <col min="12289" max="12289" width="7.7109375" style="43" customWidth="1"/>
    <col min="12290" max="12290" width="7.42578125" style="43" customWidth="1"/>
    <col min="12291" max="12291" width="7.7109375" style="43" customWidth="1"/>
    <col min="12292" max="12292" width="6.7109375" style="43" customWidth="1"/>
    <col min="12293" max="12293" width="2.28515625" style="43" customWidth="1"/>
    <col min="12294" max="12294" width="9" style="43" customWidth="1"/>
    <col min="12295" max="12295" width="1.7109375" style="43" customWidth="1"/>
    <col min="12296" max="12296" width="4.42578125" style="43" customWidth="1"/>
    <col min="12297" max="12297" width="17.140625" style="43" customWidth="1"/>
    <col min="12298" max="12298" width="1.5703125" style="43" customWidth="1"/>
    <col min="12299" max="12299" width="10.5703125" style="43" customWidth="1"/>
    <col min="12300" max="12300" width="1.7109375" style="43" customWidth="1"/>
    <col min="12301" max="12301" width="9.85546875" style="43" customWidth="1"/>
    <col min="12302" max="12302" width="0.85546875" style="43" customWidth="1"/>
    <col min="12303" max="12303" width="10.85546875" style="43" customWidth="1"/>
    <col min="12304" max="12304" width="1.85546875" style="43" customWidth="1"/>
    <col min="12305" max="12540" width="9.140625" style="43"/>
    <col min="12541" max="12541" width="6.28515625" style="43" customWidth="1"/>
    <col min="12542" max="12542" width="3.140625" style="43" customWidth="1"/>
    <col min="12543" max="12543" width="7.7109375" style="43" customWidth="1"/>
    <col min="12544" max="12544" width="6.7109375" style="43" customWidth="1"/>
    <col min="12545" max="12545" width="7.7109375" style="43" customWidth="1"/>
    <col min="12546" max="12546" width="7.42578125" style="43" customWidth="1"/>
    <col min="12547" max="12547" width="7.7109375" style="43" customWidth="1"/>
    <col min="12548" max="12548" width="6.7109375" style="43" customWidth="1"/>
    <col min="12549" max="12549" width="2.28515625" style="43" customWidth="1"/>
    <col min="12550" max="12550" width="9" style="43" customWidth="1"/>
    <col min="12551" max="12551" width="1.7109375" style="43" customWidth="1"/>
    <col min="12552" max="12552" width="4.42578125" style="43" customWidth="1"/>
    <col min="12553" max="12553" width="17.140625" style="43" customWidth="1"/>
    <col min="12554" max="12554" width="1.5703125" style="43" customWidth="1"/>
    <col min="12555" max="12555" width="10.5703125" style="43" customWidth="1"/>
    <col min="12556" max="12556" width="1.7109375" style="43" customWidth="1"/>
    <col min="12557" max="12557" width="9.85546875" style="43" customWidth="1"/>
    <col min="12558" max="12558" width="0.85546875" style="43" customWidth="1"/>
    <col min="12559" max="12559" width="10.85546875" style="43" customWidth="1"/>
    <col min="12560" max="12560" width="1.85546875" style="43" customWidth="1"/>
    <col min="12561" max="12796" width="9.140625" style="43"/>
    <col min="12797" max="12797" width="6.28515625" style="43" customWidth="1"/>
    <col min="12798" max="12798" width="3.140625" style="43" customWidth="1"/>
    <col min="12799" max="12799" width="7.7109375" style="43" customWidth="1"/>
    <col min="12800" max="12800" width="6.7109375" style="43" customWidth="1"/>
    <col min="12801" max="12801" width="7.7109375" style="43" customWidth="1"/>
    <col min="12802" max="12802" width="7.42578125" style="43" customWidth="1"/>
    <col min="12803" max="12803" width="7.7109375" style="43" customWidth="1"/>
    <col min="12804" max="12804" width="6.7109375" style="43" customWidth="1"/>
    <col min="12805" max="12805" width="2.28515625" style="43" customWidth="1"/>
    <col min="12806" max="12806" width="9" style="43" customWidth="1"/>
    <col min="12807" max="12807" width="1.7109375" style="43" customWidth="1"/>
    <col min="12808" max="12808" width="4.42578125" style="43" customWidth="1"/>
    <col min="12809" max="12809" width="17.140625" style="43" customWidth="1"/>
    <col min="12810" max="12810" width="1.5703125" style="43" customWidth="1"/>
    <col min="12811" max="12811" width="10.5703125" style="43" customWidth="1"/>
    <col min="12812" max="12812" width="1.7109375" style="43" customWidth="1"/>
    <col min="12813" max="12813" width="9.85546875" style="43" customWidth="1"/>
    <col min="12814" max="12814" width="0.85546875" style="43" customWidth="1"/>
    <col min="12815" max="12815" width="10.85546875" style="43" customWidth="1"/>
    <col min="12816" max="12816" width="1.85546875" style="43" customWidth="1"/>
    <col min="12817" max="13052" width="9.140625" style="43"/>
    <col min="13053" max="13053" width="6.28515625" style="43" customWidth="1"/>
    <col min="13054" max="13054" width="3.140625" style="43" customWidth="1"/>
    <col min="13055" max="13055" width="7.7109375" style="43" customWidth="1"/>
    <col min="13056" max="13056" width="6.7109375" style="43" customWidth="1"/>
    <col min="13057" max="13057" width="7.7109375" style="43" customWidth="1"/>
    <col min="13058" max="13058" width="7.42578125" style="43" customWidth="1"/>
    <col min="13059" max="13059" width="7.7109375" style="43" customWidth="1"/>
    <col min="13060" max="13060" width="6.7109375" style="43" customWidth="1"/>
    <col min="13061" max="13061" width="2.28515625" style="43" customWidth="1"/>
    <col min="13062" max="13062" width="9" style="43" customWidth="1"/>
    <col min="13063" max="13063" width="1.7109375" style="43" customWidth="1"/>
    <col min="13064" max="13064" width="4.42578125" style="43" customWidth="1"/>
    <col min="13065" max="13065" width="17.140625" style="43" customWidth="1"/>
    <col min="13066" max="13066" width="1.5703125" style="43" customWidth="1"/>
    <col min="13067" max="13067" width="10.5703125" style="43" customWidth="1"/>
    <col min="13068" max="13068" width="1.7109375" style="43" customWidth="1"/>
    <col min="13069" max="13069" width="9.85546875" style="43" customWidth="1"/>
    <col min="13070" max="13070" width="0.85546875" style="43" customWidth="1"/>
    <col min="13071" max="13071" width="10.85546875" style="43" customWidth="1"/>
    <col min="13072" max="13072" width="1.85546875" style="43" customWidth="1"/>
    <col min="13073" max="13308" width="9.140625" style="43"/>
    <col min="13309" max="13309" width="6.28515625" style="43" customWidth="1"/>
    <col min="13310" max="13310" width="3.140625" style="43" customWidth="1"/>
    <col min="13311" max="13311" width="7.7109375" style="43" customWidth="1"/>
    <col min="13312" max="13312" width="6.7109375" style="43" customWidth="1"/>
    <col min="13313" max="13313" width="7.7109375" style="43" customWidth="1"/>
    <col min="13314" max="13314" width="7.42578125" style="43" customWidth="1"/>
    <col min="13315" max="13315" width="7.7109375" style="43" customWidth="1"/>
    <col min="13316" max="13316" width="6.7109375" style="43" customWidth="1"/>
    <col min="13317" max="13317" width="2.28515625" style="43" customWidth="1"/>
    <col min="13318" max="13318" width="9" style="43" customWidth="1"/>
    <col min="13319" max="13319" width="1.7109375" style="43" customWidth="1"/>
    <col min="13320" max="13320" width="4.42578125" style="43" customWidth="1"/>
    <col min="13321" max="13321" width="17.140625" style="43" customWidth="1"/>
    <col min="13322" max="13322" width="1.5703125" style="43" customWidth="1"/>
    <col min="13323" max="13323" width="10.5703125" style="43" customWidth="1"/>
    <col min="13324" max="13324" width="1.7109375" style="43" customWidth="1"/>
    <col min="13325" max="13325" width="9.85546875" style="43" customWidth="1"/>
    <col min="13326" max="13326" width="0.85546875" style="43" customWidth="1"/>
    <col min="13327" max="13327" width="10.85546875" style="43" customWidth="1"/>
    <col min="13328" max="13328" width="1.85546875" style="43" customWidth="1"/>
    <col min="13329" max="13564" width="9.140625" style="43"/>
    <col min="13565" max="13565" width="6.28515625" style="43" customWidth="1"/>
    <col min="13566" max="13566" width="3.140625" style="43" customWidth="1"/>
    <col min="13567" max="13567" width="7.7109375" style="43" customWidth="1"/>
    <col min="13568" max="13568" width="6.7109375" style="43" customWidth="1"/>
    <col min="13569" max="13569" width="7.7109375" style="43" customWidth="1"/>
    <col min="13570" max="13570" width="7.42578125" style="43" customWidth="1"/>
    <col min="13571" max="13571" width="7.7109375" style="43" customWidth="1"/>
    <col min="13572" max="13572" width="6.7109375" style="43" customWidth="1"/>
    <col min="13573" max="13573" width="2.28515625" style="43" customWidth="1"/>
    <col min="13574" max="13574" width="9" style="43" customWidth="1"/>
    <col min="13575" max="13575" width="1.7109375" style="43" customWidth="1"/>
    <col min="13576" max="13576" width="4.42578125" style="43" customWidth="1"/>
    <col min="13577" max="13577" width="17.140625" style="43" customWidth="1"/>
    <col min="13578" max="13578" width="1.5703125" style="43" customWidth="1"/>
    <col min="13579" max="13579" width="10.5703125" style="43" customWidth="1"/>
    <col min="13580" max="13580" width="1.7109375" style="43" customWidth="1"/>
    <col min="13581" max="13581" width="9.85546875" style="43" customWidth="1"/>
    <col min="13582" max="13582" width="0.85546875" style="43" customWidth="1"/>
    <col min="13583" max="13583" width="10.85546875" style="43" customWidth="1"/>
    <col min="13584" max="13584" width="1.85546875" style="43" customWidth="1"/>
    <col min="13585" max="13820" width="9.140625" style="43"/>
    <col min="13821" max="13821" width="6.28515625" style="43" customWidth="1"/>
    <col min="13822" max="13822" width="3.140625" style="43" customWidth="1"/>
    <col min="13823" max="13823" width="7.7109375" style="43" customWidth="1"/>
    <col min="13824" max="13824" width="6.7109375" style="43" customWidth="1"/>
    <col min="13825" max="13825" width="7.7109375" style="43" customWidth="1"/>
    <col min="13826" max="13826" width="7.42578125" style="43" customWidth="1"/>
    <col min="13827" max="13827" width="7.7109375" style="43" customWidth="1"/>
    <col min="13828" max="13828" width="6.7109375" style="43" customWidth="1"/>
    <col min="13829" max="13829" width="2.28515625" style="43" customWidth="1"/>
    <col min="13830" max="13830" width="9" style="43" customWidth="1"/>
    <col min="13831" max="13831" width="1.7109375" style="43" customWidth="1"/>
    <col min="13832" max="13832" width="4.42578125" style="43" customWidth="1"/>
    <col min="13833" max="13833" width="17.140625" style="43" customWidth="1"/>
    <col min="13834" max="13834" width="1.5703125" style="43" customWidth="1"/>
    <col min="13835" max="13835" width="10.5703125" style="43" customWidth="1"/>
    <col min="13836" max="13836" width="1.7109375" style="43" customWidth="1"/>
    <col min="13837" max="13837" width="9.85546875" style="43" customWidth="1"/>
    <col min="13838" max="13838" width="0.85546875" style="43" customWidth="1"/>
    <col min="13839" max="13839" width="10.85546875" style="43" customWidth="1"/>
    <col min="13840" max="13840" width="1.85546875" style="43" customWidth="1"/>
    <col min="13841" max="14076" width="9.140625" style="43"/>
    <col min="14077" max="14077" width="6.28515625" style="43" customWidth="1"/>
    <col min="14078" max="14078" width="3.140625" style="43" customWidth="1"/>
    <col min="14079" max="14079" width="7.7109375" style="43" customWidth="1"/>
    <col min="14080" max="14080" width="6.7109375" style="43" customWidth="1"/>
    <col min="14081" max="14081" width="7.7109375" style="43" customWidth="1"/>
    <col min="14082" max="14082" width="7.42578125" style="43" customWidth="1"/>
    <col min="14083" max="14083" width="7.7109375" style="43" customWidth="1"/>
    <col min="14084" max="14084" width="6.7109375" style="43" customWidth="1"/>
    <col min="14085" max="14085" width="2.28515625" style="43" customWidth="1"/>
    <col min="14086" max="14086" width="9" style="43" customWidth="1"/>
    <col min="14087" max="14087" width="1.7109375" style="43" customWidth="1"/>
    <col min="14088" max="14088" width="4.42578125" style="43" customWidth="1"/>
    <col min="14089" max="14089" width="17.140625" style="43" customWidth="1"/>
    <col min="14090" max="14090" width="1.5703125" style="43" customWidth="1"/>
    <col min="14091" max="14091" width="10.5703125" style="43" customWidth="1"/>
    <col min="14092" max="14092" width="1.7109375" style="43" customWidth="1"/>
    <col min="14093" max="14093" width="9.85546875" style="43" customWidth="1"/>
    <col min="14094" max="14094" width="0.85546875" style="43" customWidth="1"/>
    <col min="14095" max="14095" width="10.85546875" style="43" customWidth="1"/>
    <col min="14096" max="14096" width="1.85546875" style="43" customWidth="1"/>
    <col min="14097" max="14332" width="9.140625" style="43"/>
    <col min="14333" max="14333" width="6.28515625" style="43" customWidth="1"/>
    <col min="14334" max="14334" width="3.140625" style="43" customWidth="1"/>
    <col min="14335" max="14335" width="7.7109375" style="43" customWidth="1"/>
    <col min="14336" max="14336" width="6.7109375" style="43" customWidth="1"/>
    <col min="14337" max="14337" width="7.7109375" style="43" customWidth="1"/>
    <col min="14338" max="14338" width="7.42578125" style="43" customWidth="1"/>
    <col min="14339" max="14339" width="7.7109375" style="43" customWidth="1"/>
    <col min="14340" max="14340" width="6.7109375" style="43" customWidth="1"/>
    <col min="14341" max="14341" width="2.28515625" style="43" customWidth="1"/>
    <col min="14342" max="14342" width="9" style="43" customWidth="1"/>
    <col min="14343" max="14343" width="1.7109375" style="43" customWidth="1"/>
    <col min="14344" max="14344" width="4.42578125" style="43" customWidth="1"/>
    <col min="14345" max="14345" width="17.140625" style="43" customWidth="1"/>
    <col min="14346" max="14346" width="1.5703125" style="43" customWidth="1"/>
    <col min="14347" max="14347" width="10.5703125" style="43" customWidth="1"/>
    <col min="14348" max="14348" width="1.7109375" style="43" customWidth="1"/>
    <col min="14349" max="14349" width="9.85546875" style="43" customWidth="1"/>
    <col min="14350" max="14350" width="0.85546875" style="43" customWidth="1"/>
    <col min="14351" max="14351" width="10.85546875" style="43" customWidth="1"/>
    <col min="14352" max="14352" width="1.85546875" style="43" customWidth="1"/>
    <col min="14353" max="14588" width="9.140625" style="43"/>
    <col min="14589" max="14589" width="6.28515625" style="43" customWidth="1"/>
    <col min="14590" max="14590" width="3.140625" style="43" customWidth="1"/>
    <col min="14591" max="14591" width="7.7109375" style="43" customWidth="1"/>
    <col min="14592" max="14592" width="6.7109375" style="43" customWidth="1"/>
    <col min="14593" max="14593" width="7.7109375" style="43" customWidth="1"/>
    <col min="14594" max="14594" width="7.42578125" style="43" customWidth="1"/>
    <col min="14595" max="14595" width="7.7109375" style="43" customWidth="1"/>
    <col min="14596" max="14596" width="6.7109375" style="43" customWidth="1"/>
    <col min="14597" max="14597" width="2.28515625" style="43" customWidth="1"/>
    <col min="14598" max="14598" width="9" style="43" customWidth="1"/>
    <col min="14599" max="14599" width="1.7109375" style="43" customWidth="1"/>
    <col min="14600" max="14600" width="4.42578125" style="43" customWidth="1"/>
    <col min="14601" max="14601" width="17.140625" style="43" customWidth="1"/>
    <col min="14602" max="14602" width="1.5703125" style="43" customWidth="1"/>
    <col min="14603" max="14603" width="10.5703125" style="43" customWidth="1"/>
    <col min="14604" max="14604" width="1.7109375" style="43" customWidth="1"/>
    <col min="14605" max="14605" width="9.85546875" style="43" customWidth="1"/>
    <col min="14606" max="14606" width="0.85546875" style="43" customWidth="1"/>
    <col min="14607" max="14607" width="10.85546875" style="43" customWidth="1"/>
    <col min="14608" max="14608" width="1.85546875" style="43" customWidth="1"/>
    <col min="14609" max="14844" width="9.140625" style="43"/>
    <col min="14845" max="14845" width="6.28515625" style="43" customWidth="1"/>
    <col min="14846" max="14846" width="3.140625" style="43" customWidth="1"/>
    <col min="14847" max="14847" width="7.7109375" style="43" customWidth="1"/>
    <col min="14848" max="14848" width="6.7109375" style="43" customWidth="1"/>
    <col min="14849" max="14849" width="7.7109375" style="43" customWidth="1"/>
    <col min="14850" max="14850" width="7.42578125" style="43" customWidth="1"/>
    <col min="14851" max="14851" width="7.7109375" style="43" customWidth="1"/>
    <col min="14852" max="14852" width="6.7109375" style="43" customWidth="1"/>
    <col min="14853" max="14853" width="2.28515625" style="43" customWidth="1"/>
    <col min="14854" max="14854" width="9" style="43" customWidth="1"/>
    <col min="14855" max="14855" width="1.7109375" style="43" customWidth="1"/>
    <col min="14856" max="14856" width="4.42578125" style="43" customWidth="1"/>
    <col min="14857" max="14857" width="17.140625" style="43" customWidth="1"/>
    <col min="14858" max="14858" width="1.5703125" style="43" customWidth="1"/>
    <col min="14859" max="14859" width="10.5703125" style="43" customWidth="1"/>
    <col min="14860" max="14860" width="1.7109375" style="43" customWidth="1"/>
    <col min="14861" max="14861" width="9.85546875" style="43" customWidth="1"/>
    <col min="14862" max="14862" width="0.85546875" style="43" customWidth="1"/>
    <col min="14863" max="14863" width="10.85546875" style="43" customWidth="1"/>
    <col min="14864" max="14864" width="1.85546875" style="43" customWidth="1"/>
    <col min="14865" max="15100" width="9.140625" style="43"/>
    <col min="15101" max="15101" width="6.28515625" style="43" customWidth="1"/>
    <col min="15102" max="15102" width="3.140625" style="43" customWidth="1"/>
    <col min="15103" max="15103" width="7.7109375" style="43" customWidth="1"/>
    <col min="15104" max="15104" width="6.7109375" style="43" customWidth="1"/>
    <col min="15105" max="15105" width="7.7109375" style="43" customWidth="1"/>
    <col min="15106" max="15106" width="7.42578125" style="43" customWidth="1"/>
    <col min="15107" max="15107" width="7.7109375" style="43" customWidth="1"/>
    <col min="15108" max="15108" width="6.7109375" style="43" customWidth="1"/>
    <col min="15109" max="15109" width="2.28515625" style="43" customWidth="1"/>
    <col min="15110" max="15110" width="9" style="43" customWidth="1"/>
    <col min="15111" max="15111" width="1.7109375" style="43" customWidth="1"/>
    <col min="15112" max="15112" width="4.42578125" style="43" customWidth="1"/>
    <col min="15113" max="15113" width="17.140625" style="43" customWidth="1"/>
    <col min="15114" max="15114" width="1.5703125" style="43" customWidth="1"/>
    <col min="15115" max="15115" width="10.5703125" style="43" customWidth="1"/>
    <col min="15116" max="15116" width="1.7109375" style="43" customWidth="1"/>
    <col min="15117" max="15117" width="9.85546875" style="43" customWidth="1"/>
    <col min="15118" max="15118" width="0.85546875" style="43" customWidth="1"/>
    <col min="15119" max="15119" width="10.85546875" style="43" customWidth="1"/>
    <col min="15120" max="15120" width="1.85546875" style="43" customWidth="1"/>
    <col min="15121" max="15356" width="9.140625" style="43"/>
    <col min="15357" max="15357" width="6.28515625" style="43" customWidth="1"/>
    <col min="15358" max="15358" width="3.140625" style="43" customWidth="1"/>
    <col min="15359" max="15359" width="7.7109375" style="43" customWidth="1"/>
    <col min="15360" max="15360" width="6.7109375" style="43" customWidth="1"/>
    <col min="15361" max="15361" width="7.7109375" style="43" customWidth="1"/>
    <col min="15362" max="15362" width="7.42578125" style="43" customWidth="1"/>
    <col min="15363" max="15363" width="7.7109375" style="43" customWidth="1"/>
    <col min="15364" max="15364" width="6.7109375" style="43" customWidth="1"/>
    <col min="15365" max="15365" width="2.28515625" style="43" customWidth="1"/>
    <col min="15366" max="15366" width="9" style="43" customWidth="1"/>
    <col min="15367" max="15367" width="1.7109375" style="43" customWidth="1"/>
    <col min="15368" max="15368" width="4.42578125" style="43" customWidth="1"/>
    <col min="15369" max="15369" width="17.140625" style="43" customWidth="1"/>
    <col min="15370" max="15370" width="1.5703125" style="43" customWidth="1"/>
    <col min="15371" max="15371" width="10.5703125" style="43" customWidth="1"/>
    <col min="15372" max="15372" width="1.7109375" style="43" customWidth="1"/>
    <col min="15373" max="15373" width="9.85546875" style="43" customWidth="1"/>
    <col min="15374" max="15374" width="0.85546875" style="43" customWidth="1"/>
    <col min="15375" max="15375" width="10.85546875" style="43" customWidth="1"/>
    <col min="15376" max="15376" width="1.85546875" style="43" customWidth="1"/>
    <col min="15377" max="15612" width="9.140625" style="43"/>
    <col min="15613" max="15613" width="6.28515625" style="43" customWidth="1"/>
    <col min="15614" max="15614" width="3.140625" style="43" customWidth="1"/>
    <col min="15615" max="15615" width="7.7109375" style="43" customWidth="1"/>
    <col min="15616" max="15616" width="6.7109375" style="43" customWidth="1"/>
    <col min="15617" max="15617" width="7.7109375" style="43" customWidth="1"/>
    <col min="15618" max="15618" width="7.42578125" style="43" customWidth="1"/>
    <col min="15619" max="15619" width="7.7109375" style="43" customWidth="1"/>
    <col min="15620" max="15620" width="6.7109375" style="43" customWidth="1"/>
    <col min="15621" max="15621" width="2.28515625" style="43" customWidth="1"/>
    <col min="15622" max="15622" width="9" style="43" customWidth="1"/>
    <col min="15623" max="15623" width="1.7109375" style="43" customWidth="1"/>
    <col min="15624" max="15624" width="4.42578125" style="43" customWidth="1"/>
    <col min="15625" max="15625" width="17.140625" style="43" customWidth="1"/>
    <col min="15626" max="15626" width="1.5703125" style="43" customWidth="1"/>
    <col min="15627" max="15627" width="10.5703125" style="43" customWidth="1"/>
    <col min="15628" max="15628" width="1.7109375" style="43" customWidth="1"/>
    <col min="15629" max="15629" width="9.85546875" style="43" customWidth="1"/>
    <col min="15630" max="15630" width="0.85546875" style="43" customWidth="1"/>
    <col min="15631" max="15631" width="10.85546875" style="43" customWidth="1"/>
    <col min="15632" max="15632" width="1.85546875" style="43" customWidth="1"/>
    <col min="15633" max="15868" width="9.140625" style="43"/>
    <col min="15869" max="15869" width="6.28515625" style="43" customWidth="1"/>
    <col min="15870" max="15870" width="3.140625" style="43" customWidth="1"/>
    <col min="15871" max="15871" width="7.7109375" style="43" customWidth="1"/>
    <col min="15872" max="15872" width="6.7109375" style="43" customWidth="1"/>
    <col min="15873" max="15873" width="7.7109375" style="43" customWidth="1"/>
    <col min="15874" max="15874" width="7.42578125" style="43" customWidth="1"/>
    <col min="15875" max="15875" width="7.7109375" style="43" customWidth="1"/>
    <col min="15876" max="15876" width="6.7109375" style="43" customWidth="1"/>
    <col min="15877" max="15877" width="2.28515625" style="43" customWidth="1"/>
    <col min="15878" max="15878" width="9" style="43" customWidth="1"/>
    <col min="15879" max="15879" width="1.7109375" style="43" customWidth="1"/>
    <col min="15880" max="15880" width="4.42578125" style="43" customWidth="1"/>
    <col min="15881" max="15881" width="17.140625" style="43" customWidth="1"/>
    <col min="15882" max="15882" width="1.5703125" style="43" customWidth="1"/>
    <col min="15883" max="15883" width="10.5703125" style="43" customWidth="1"/>
    <col min="15884" max="15884" width="1.7109375" style="43" customWidth="1"/>
    <col min="15885" max="15885" width="9.85546875" style="43" customWidth="1"/>
    <col min="15886" max="15886" width="0.85546875" style="43" customWidth="1"/>
    <col min="15887" max="15887" width="10.85546875" style="43" customWidth="1"/>
    <col min="15888" max="15888" width="1.85546875" style="43" customWidth="1"/>
    <col min="15889" max="16124" width="9.140625" style="43"/>
    <col min="16125" max="16125" width="6.28515625" style="43" customWidth="1"/>
    <col min="16126" max="16126" width="3.140625" style="43" customWidth="1"/>
    <col min="16127" max="16127" width="7.7109375" style="43" customWidth="1"/>
    <col min="16128" max="16128" width="6.7109375" style="43" customWidth="1"/>
    <col min="16129" max="16129" width="7.7109375" style="43" customWidth="1"/>
    <col min="16130" max="16130" width="7.42578125" style="43" customWidth="1"/>
    <col min="16131" max="16131" width="7.7109375" style="43" customWidth="1"/>
    <col min="16132" max="16132" width="6.7109375" style="43" customWidth="1"/>
    <col min="16133" max="16133" width="2.28515625" style="43" customWidth="1"/>
    <col min="16134" max="16134" width="9" style="43" customWidth="1"/>
    <col min="16135" max="16135" width="1.7109375" style="43" customWidth="1"/>
    <col min="16136" max="16136" width="4.42578125" style="43" customWidth="1"/>
    <col min="16137" max="16137" width="17.140625" style="43" customWidth="1"/>
    <col min="16138" max="16138" width="1.5703125" style="43" customWidth="1"/>
    <col min="16139" max="16139" width="10.5703125" style="43" customWidth="1"/>
    <col min="16140" max="16140" width="1.7109375" style="43" customWidth="1"/>
    <col min="16141" max="16141" width="9.85546875" style="43" customWidth="1"/>
    <col min="16142" max="16142" width="0.85546875" style="43" customWidth="1"/>
    <col min="16143" max="16143" width="10.85546875" style="43" customWidth="1"/>
    <col min="16144" max="16144" width="1.85546875" style="43" customWidth="1"/>
    <col min="16145" max="16384" width="9.140625" style="43"/>
  </cols>
  <sheetData>
    <row r="1" spans="1:45" s="41" customFormat="1" x14ac:dyDescent="0.2">
      <c r="D1" s="42"/>
    </row>
    <row r="2" spans="1:45" s="41" customFormat="1" x14ac:dyDescent="0.2">
      <c r="D2" s="42"/>
    </row>
    <row r="3" spans="1:45" s="41" customFormat="1" x14ac:dyDescent="0.2">
      <c r="D3" s="42"/>
    </row>
    <row r="4" spans="1:45" x14ac:dyDescent="0.2">
      <c r="C4" s="41"/>
      <c r="D4" s="42"/>
      <c r="E4" s="41"/>
      <c r="F4" s="41"/>
      <c r="G4" s="41"/>
      <c r="H4" s="41"/>
      <c r="I4" s="41"/>
      <c r="J4" s="41"/>
      <c r="K4" s="41"/>
      <c r="L4" s="41"/>
      <c r="M4" s="41"/>
      <c r="N4" s="41"/>
      <c r="O4" s="25">
        <f ca="1">NOW()</f>
        <v>41283.612542129631</v>
      </c>
      <c r="P4" s="41"/>
      <c r="Q4" s="41"/>
    </row>
    <row r="5" spans="1:45" ht="15.75" x14ac:dyDescent="0.25"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41"/>
    </row>
    <row r="6" spans="1:45" ht="15.75" x14ac:dyDescent="0.25"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1"/>
    </row>
    <row r="7" spans="1:45" ht="15.75" x14ac:dyDescent="0.25">
      <c r="C7" s="44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1"/>
    </row>
    <row r="8" spans="1:45" ht="15.75" x14ac:dyDescent="0.25">
      <c r="C8" s="44"/>
      <c r="D8" s="44"/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1"/>
    </row>
    <row r="9" spans="1:45" s="47" customFormat="1" ht="15.75" customHeight="1" x14ac:dyDescent="0.25">
      <c r="A9" s="45"/>
      <c r="B9" s="45"/>
      <c r="C9" s="46"/>
      <c r="D9" s="46"/>
      <c r="E9" s="46"/>
      <c r="F9" s="46"/>
      <c r="G9" s="46"/>
      <c r="H9" s="46"/>
      <c r="I9" s="46"/>
      <c r="J9" s="46"/>
      <c r="K9" s="46"/>
      <c r="L9" s="44" t="s">
        <v>1375</v>
      </c>
      <c r="M9" s="45"/>
      <c r="N9" s="46"/>
      <c r="O9" s="46"/>
      <c r="P9" s="46"/>
      <c r="Q9" s="45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  <c r="AS9" s="45"/>
    </row>
    <row r="10" spans="1:45" s="47" customFormat="1" ht="15.75" customHeight="1" x14ac:dyDescent="0.25">
      <c r="A10" s="45"/>
      <c r="B10" s="45"/>
      <c r="C10" s="46"/>
      <c r="D10" s="46"/>
      <c r="E10" s="46"/>
      <c r="F10" s="46"/>
      <c r="G10" s="46"/>
      <c r="H10" s="46"/>
      <c r="I10" s="46"/>
      <c r="J10" s="46"/>
      <c r="K10" s="46"/>
      <c r="L10" s="44" t="s">
        <v>1376</v>
      </c>
      <c r="M10" s="45"/>
      <c r="N10" s="46"/>
      <c r="O10" s="46"/>
      <c r="P10" s="46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</row>
    <row r="11" spans="1:45" s="47" customFormat="1" ht="15.75" customHeight="1" x14ac:dyDescent="0.25">
      <c r="A11" s="45"/>
      <c r="B11" s="45"/>
      <c r="C11" s="46"/>
      <c r="D11" s="46"/>
      <c r="E11" s="46"/>
      <c r="F11" s="46"/>
      <c r="G11" s="46"/>
      <c r="H11" s="46"/>
      <c r="I11" s="46"/>
      <c r="J11" s="46"/>
      <c r="K11" s="46"/>
      <c r="L11" s="44" t="s">
        <v>0</v>
      </c>
      <c r="M11" s="45"/>
      <c r="N11" s="46"/>
      <c r="O11" s="46"/>
      <c r="P11" s="46"/>
      <c r="Q11" s="45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  <c r="AS11" s="45"/>
    </row>
    <row r="12" spans="1:45" s="47" customFormat="1" ht="15.75" customHeight="1" x14ac:dyDescent="0.25">
      <c r="A12" s="45"/>
      <c r="B12" s="45"/>
      <c r="C12" s="46"/>
      <c r="D12" s="46"/>
      <c r="E12" s="46"/>
      <c r="F12" s="46"/>
      <c r="G12" s="46"/>
      <c r="H12" s="46"/>
      <c r="I12" s="46"/>
      <c r="J12" s="46"/>
      <c r="K12" s="46"/>
      <c r="L12" s="44" t="s">
        <v>1</v>
      </c>
      <c r="M12" s="45"/>
      <c r="N12" s="46"/>
      <c r="O12" s="46"/>
      <c r="P12" s="46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  <c r="AS12" s="45"/>
    </row>
    <row r="13" spans="1:45" s="47" customFormat="1" ht="15.75" customHeight="1" x14ac:dyDescent="0.25">
      <c r="A13" s="45"/>
      <c r="B13" s="45"/>
      <c r="C13" s="46"/>
      <c r="D13" s="46"/>
      <c r="E13" s="46"/>
      <c r="F13" s="46"/>
      <c r="G13" s="46"/>
      <c r="H13" s="46"/>
      <c r="I13" s="46"/>
      <c r="J13" s="46"/>
      <c r="K13" s="46"/>
      <c r="L13" s="44" t="s">
        <v>1292</v>
      </c>
      <c r="M13" s="45"/>
      <c r="N13" s="46"/>
      <c r="O13" s="46"/>
      <c r="P13" s="46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  <c r="AS13" s="45"/>
    </row>
    <row r="14" spans="1:45" s="47" customFormat="1" ht="15" customHeight="1" x14ac:dyDescent="0.2">
      <c r="A14" s="45"/>
      <c r="B14" s="45"/>
      <c r="C14" s="46"/>
      <c r="D14" s="46"/>
      <c r="E14" s="46"/>
      <c r="F14" s="46"/>
      <c r="G14" s="46"/>
      <c r="H14" s="46"/>
      <c r="I14" s="46"/>
      <c r="J14" s="46"/>
      <c r="K14" s="46"/>
      <c r="L14" s="48" t="s">
        <v>2</v>
      </c>
      <c r="M14" s="45"/>
      <c r="N14" s="46"/>
      <c r="O14" s="46"/>
      <c r="P14" s="46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</row>
    <row r="15" spans="1:45" s="47" customFormat="1" ht="15" customHeight="1" x14ac:dyDescent="0.2">
      <c r="A15" s="45"/>
      <c r="B15" s="45"/>
      <c r="C15" s="46"/>
      <c r="D15" s="46"/>
      <c r="E15" s="46"/>
      <c r="F15" s="46"/>
      <c r="G15" s="46"/>
      <c r="H15" s="46"/>
      <c r="I15" s="46"/>
      <c r="J15" s="46"/>
      <c r="K15" s="46"/>
      <c r="L15" s="48" t="s">
        <v>3</v>
      </c>
      <c r="M15" s="45"/>
      <c r="N15" s="46"/>
      <c r="O15" s="46"/>
      <c r="P15" s="46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  <c r="AS15" s="45"/>
    </row>
    <row r="16" spans="1:45" s="47" customFormat="1" ht="12" customHeight="1" x14ac:dyDescent="0.2">
      <c r="A16" s="45"/>
      <c r="B16" s="45"/>
      <c r="C16" s="46"/>
      <c r="D16" s="46"/>
      <c r="E16" s="46"/>
      <c r="F16" s="46"/>
      <c r="G16" s="46"/>
      <c r="H16" s="46"/>
      <c r="I16" s="46"/>
      <c r="J16" s="46"/>
      <c r="K16" s="46"/>
      <c r="L16" s="49" t="s">
        <v>1377</v>
      </c>
      <c r="M16" s="45"/>
      <c r="N16" s="46"/>
      <c r="O16" s="46"/>
      <c r="P16" s="46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</row>
    <row r="17" spans="1:45" s="47" customFormat="1" ht="18.75" customHeight="1" x14ac:dyDescent="0.2">
      <c r="A17" s="45"/>
      <c r="B17" s="45"/>
      <c r="C17" s="46"/>
      <c r="D17" s="46"/>
      <c r="E17" s="46"/>
      <c r="F17" s="46"/>
      <c r="G17" s="46"/>
      <c r="H17" s="46"/>
      <c r="I17" s="46"/>
      <c r="J17" s="46"/>
      <c r="K17" s="46"/>
      <c r="L17" s="48"/>
      <c r="M17" s="46"/>
      <c r="N17" s="46"/>
      <c r="O17" s="46"/>
      <c r="P17" s="46"/>
      <c r="Q17" s="45"/>
      <c r="R17" s="45"/>
      <c r="S17" s="45"/>
      <c r="T17" s="45"/>
      <c r="U17" s="45"/>
      <c r="V17" s="45"/>
      <c r="W17" s="45"/>
      <c r="X17" s="45"/>
      <c r="Y17" s="45"/>
      <c r="Z17" s="45"/>
      <c r="AA17" s="45"/>
      <c r="AB17" s="45"/>
      <c r="AC17" s="45"/>
      <c r="AD17" s="45"/>
      <c r="AE17" s="45"/>
      <c r="AF17" s="45"/>
      <c r="AG17" s="45"/>
      <c r="AH17" s="45"/>
      <c r="AI17" s="45"/>
      <c r="AJ17" s="45"/>
      <c r="AK17" s="45"/>
      <c r="AL17" s="45"/>
      <c r="AM17" s="45"/>
      <c r="AN17" s="45"/>
      <c r="AO17" s="45"/>
      <c r="AP17" s="45"/>
      <c r="AQ17" s="45"/>
      <c r="AR17" s="45"/>
      <c r="AS17" s="45"/>
    </row>
    <row r="18" spans="1:45" x14ac:dyDescent="0.2">
      <c r="C18" s="50" t="s">
        <v>1266</v>
      </c>
      <c r="D18" s="50"/>
      <c r="E18" s="5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</row>
    <row r="19" spans="1:45" ht="14.25" x14ac:dyDescent="0.2">
      <c r="C19" s="41"/>
      <c r="D19" s="52"/>
      <c r="E19" s="122" t="s">
        <v>5</v>
      </c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45" ht="14.25" x14ac:dyDescent="0.2">
      <c r="C20" s="41"/>
      <c r="D20" s="54"/>
      <c r="E20" s="41"/>
      <c r="F20" s="159" t="s">
        <v>1256</v>
      </c>
      <c r="G20" s="159"/>
      <c r="H20" s="159"/>
      <c r="I20" s="159"/>
      <c r="J20" s="159"/>
      <c r="K20" s="159"/>
      <c r="L20" s="159"/>
      <c r="M20" s="159"/>
      <c r="N20" s="55"/>
      <c r="O20" s="156"/>
      <c r="P20" s="156"/>
      <c r="Q20" s="41"/>
    </row>
    <row r="21" spans="1:45" x14ac:dyDescent="0.2">
      <c r="C21" s="41"/>
      <c r="D21" s="54"/>
      <c r="E21" s="48"/>
      <c r="F21" s="41"/>
      <c r="G21" s="56"/>
      <c r="H21" s="56"/>
      <c r="I21" s="56"/>
      <c r="J21" s="56"/>
      <c r="K21" s="56"/>
      <c r="L21" s="57"/>
      <c r="M21" s="57"/>
      <c r="N21" s="58"/>
      <c r="O21" s="53"/>
      <c r="P21" s="58"/>
      <c r="Q21" s="59"/>
    </row>
    <row r="22" spans="1:45" s="62" customFormat="1" ht="12.75" customHeight="1" x14ac:dyDescent="0.2">
      <c r="A22" s="60"/>
      <c r="B22" s="60"/>
      <c r="C22" s="60"/>
      <c r="D22" s="48"/>
      <c r="E22" s="48"/>
      <c r="F22" s="60"/>
      <c r="G22" s="60"/>
      <c r="H22" s="60"/>
      <c r="I22" s="60"/>
      <c r="J22" s="60"/>
      <c r="K22" s="60"/>
      <c r="L22" s="60"/>
      <c r="M22" s="60"/>
      <c r="N22" s="61"/>
      <c r="O22" s="61"/>
      <c r="P22" s="61"/>
      <c r="Q22" s="60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  <c r="AS22" s="60"/>
    </row>
    <row r="23" spans="1:45" s="62" customFormat="1" ht="63.75" customHeight="1" x14ac:dyDescent="0.2">
      <c r="A23" s="60"/>
      <c r="B23" s="60"/>
      <c r="C23" s="69" t="s">
        <v>1278</v>
      </c>
      <c r="D23" s="70"/>
      <c r="E23" s="71"/>
      <c r="F23" s="72"/>
      <c r="G23" s="72"/>
      <c r="H23" s="72"/>
      <c r="I23" s="72"/>
      <c r="J23" s="72"/>
      <c r="K23" s="72"/>
      <c r="L23" s="72"/>
      <c r="M23" s="72"/>
      <c r="N23" s="30" t="s">
        <v>7</v>
      </c>
      <c r="O23" s="30" t="s">
        <v>1304</v>
      </c>
      <c r="P23" s="32" t="s">
        <v>1335</v>
      </c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  <c r="AS23" s="60"/>
    </row>
    <row r="24" spans="1:45" s="62" customFormat="1" ht="12.75" customHeight="1" x14ac:dyDescent="0.2">
      <c r="A24" s="60"/>
      <c r="B24" s="60"/>
      <c r="C24" s="60"/>
      <c r="D24" s="123" t="s">
        <v>1272</v>
      </c>
      <c r="E24" s="90" t="s">
        <v>1270</v>
      </c>
      <c r="F24" s="124"/>
      <c r="G24" s="124"/>
      <c r="H24" s="124"/>
      <c r="I24" s="124"/>
      <c r="J24" s="124"/>
      <c r="K24" s="124"/>
      <c r="L24" s="124"/>
      <c r="M24" s="124"/>
      <c r="N24" s="125"/>
      <c r="O24" s="125"/>
      <c r="P24" s="125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  <c r="AS24" s="60"/>
    </row>
    <row r="25" spans="1:45" s="62" customFormat="1" ht="28.5" customHeight="1" x14ac:dyDescent="0.2">
      <c r="A25" s="60"/>
      <c r="B25" s="60"/>
      <c r="C25" s="60"/>
      <c r="D25" s="126" t="s">
        <v>4</v>
      </c>
      <c r="E25" s="158" t="s">
        <v>1361</v>
      </c>
      <c r="F25" s="158"/>
      <c r="G25" s="158"/>
      <c r="H25" s="158"/>
      <c r="I25" s="158"/>
      <c r="J25" s="158"/>
      <c r="K25" s="158"/>
      <c r="L25" s="158"/>
      <c r="M25" s="158"/>
      <c r="N25" s="22" t="str">
        <f>IF(F$20&lt;&gt;"Please select a district.",VLOOKUP(F$20,data!A$3:Q$616,5,FALSE),"")</f>
        <v/>
      </c>
      <c r="O25" s="23" t="str">
        <f>IF(F$20&lt;&gt;"Please select a district.",VLOOKUP(F$20,data!A$3:Q$616,4,FALSE),"")</f>
        <v/>
      </c>
      <c r="P25" s="9" t="str">
        <f>IF(F$20&lt;&gt;"Please select a district.",N25/O25,"")</f>
        <v/>
      </c>
      <c r="Q25" s="60"/>
      <c r="R25" s="60"/>
      <c r="S25" s="60"/>
      <c r="T25" s="60"/>
      <c r="U25" s="60"/>
      <c r="V25" s="60"/>
      <c r="W25" s="60"/>
      <c r="X25" s="60"/>
      <c r="Y25" s="60"/>
      <c r="Z25" s="60"/>
      <c r="AA25" s="60"/>
      <c r="AB25" s="60"/>
      <c r="AC25" s="60"/>
      <c r="AD25" s="60"/>
      <c r="AE25" s="60"/>
      <c r="AF25" s="60"/>
      <c r="AG25" s="60"/>
      <c r="AH25" s="60"/>
      <c r="AI25" s="60"/>
      <c r="AJ25" s="60"/>
      <c r="AK25" s="60"/>
      <c r="AL25" s="60"/>
      <c r="AM25" s="60"/>
      <c r="AN25" s="60"/>
      <c r="AO25" s="60"/>
      <c r="AP25" s="60"/>
      <c r="AQ25" s="60"/>
      <c r="AR25" s="60"/>
      <c r="AS25" s="60"/>
    </row>
    <row r="26" spans="1:45" s="62" customFormat="1" ht="38.25" customHeight="1" x14ac:dyDescent="0.2">
      <c r="A26" s="60"/>
      <c r="B26" s="60"/>
      <c r="C26" s="60"/>
      <c r="D26" s="73" t="s">
        <v>1271</v>
      </c>
      <c r="E26" s="74" t="s">
        <v>1286</v>
      </c>
      <c r="F26" s="75"/>
      <c r="G26" s="75"/>
      <c r="H26" s="75"/>
      <c r="I26" s="75"/>
      <c r="J26" s="75"/>
      <c r="K26" s="75"/>
      <c r="L26" s="75"/>
      <c r="M26" s="75"/>
      <c r="N26" s="14" t="s">
        <v>1290</v>
      </c>
      <c r="O26" s="127" t="s">
        <v>1291</v>
      </c>
      <c r="P26" s="14" t="s">
        <v>1335</v>
      </c>
      <c r="Q26" s="60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  <c r="AS26" s="60"/>
    </row>
    <row r="27" spans="1:45" s="62" customFormat="1" ht="28.5" customHeight="1" x14ac:dyDescent="0.2">
      <c r="A27" s="60"/>
      <c r="B27" s="60"/>
      <c r="C27" s="60"/>
      <c r="D27" s="61"/>
      <c r="E27" s="158" t="s">
        <v>1360</v>
      </c>
      <c r="F27" s="158"/>
      <c r="G27" s="158"/>
      <c r="H27" s="158"/>
      <c r="I27" s="158"/>
      <c r="J27" s="158"/>
      <c r="K27" s="158"/>
      <c r="L27" s="158"/>
      <c r="M27" s="158"/>
      <c r="N27" s="22" t="str">
        <f>IF(F$20&lt;&gt;"Please select a district.",VLOOKUP(F$20,data!A$3:Q$616,6,FALSE),"")</f>
        <v/>
      </c>
      <c r="O27" s="34" t="str">
        <f>IF(F$20&lt;&gt;"Please select a district.",VLOOKUP(F$20,data!A$3:Q$616,17,FALSE),"")</f>
        <v/>
      </c>
      <c r="P27" s="11" t="str">
        <f>IF(F$20&lt;&gt;"Please select a district.",N27/O27,"")</f>
        <v/>
      </c>
      <c r="Q27" s="17"/>
      <c r="R27" s="128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  <c r="AS27" s="60"/>
    </row>
    <row r="28" spans="1:45" s="62" customFormat="1" ht="40.5" customHeight="1" x14ac:dyDescent="0.2">
      <c r="A28" s="60"/>
      <c r="B28" s="60"/>
      <c r="C28" s="81" t="s">
        <v>1289</v>
      </c>
      <c r="D28" s="82"/>
      <c r="E28" s="83"/>
      <c r="F28" s="82"/>
      <c r="G28" s="84"/>
      <c r="H28" s="84"/>
      <c r="I28" s="72"/>
      <c r="J28" s="72"/>
      <c r="K28" s="72"/>
      <c r="L28" s="72"/>
      <c r="M28" s="72"/>
      <c r="N28" s="30" t="s">
        <v>1290</v>
      </c>
      <c r="O28" s="129" t="s">
        <v>1291</v>
      </c>
      <c r="P28" s="32" t="s">
        <v>1335</v>
      </c>
      <c r="Q28" s="60"/>
      <c r="R28" s="60"/>
      <c r="S28" s="60"/>
      <c r="T28" s="60"/>
      <c r="U28" s="60"/>
      <c r="V28" s="60"/>
      <c r="W28" s="60"/>
      <c r="X28" s="60"/>
      <c r="Y28" s="60"/>
      <c r="Z28" s="60"/>
      <c r="AA28" s="60"/>
      <c r="AB28" s="60"/>
      <c r="AC28" s="60"/>
      <c r="AD28" s="60"/>
      <c r="AE28" s="60"/>
      <c r="AF28" s="60"/>
      <c r="AG28" s="60"/>
      <c r="AH28" s="60"/>
      <c r="AI28" s="60"/>
      <c r="AJ28" s="60"/>
      <c r="AK28" s="60"/>
      <c r="AL28" s="60"/>
      <c r="AM28" s="60"/>
      <c r="AN28" s="60"/>
      <c r="AO28" s="60"/>
      <c r="AP28" s="60"/>
      <c r="AQ28" s="60"/>
      <c r="AR28" s="60"/>
      <c r="AS28" s="60"/>
    </row>
    <row r="29" spans="1:45" s="60" customFormat="1" ht="12.75" customHeight="1" x14ac:dyDescent="0.2">
      <c r="D29" s="90" t="s">
        <v>1273</v>
      </c>
      <c r="E29" s="90"/>
      <c r="F29" s="90"/>
      <c r="G29" s="124"/>
      <c r="H29" s="124"/>
      <c r="I29" s="124"/>
      <c r="J29" s="124"/>
      <c r="K29" s="124"/>
      <c r="L29" s="124"/>
      <c r="M29" s="124"/>
      <c r="N29" s="130"/>
      <c r="O29" s="131"/>
      <c r="P29" s="31"/>
    </row>
    <row r="30" spans="1:45" s="60" customFormat="1" ht="12.75" customHeight="1" x14ac:dyDescent="0.2">
      <c r="D30" s="79" t="s">
        <v>8</v>
      </c>
      <c r="E30" s="61"/>
      <c r="F30" s="79"/>
      <c r="G30" s="61"/>
      <c r="H30" s="61"/>
      <c r="I30" s="61"/>
      <c r="J30" s="61"/>
      <c r="K30" s="61"/>
      <c r="L30" s="61"/>
      <c r="M30" s="61"/>
      <c r="N30" s="22" t="str">
        <f>IF(F$20&lt;&gt;"Please select a district.",VLOOKUP(F$20,data!A$3:Q$616,7,FALSE),"")</f>
        <v/>
      </c>
      <c r="O30" s="34" t="str">
        <f>IF(F$20&lt;&gt;"Please select a district.",VLOOKUP(F$20,data!A$3:Q$616,17,FALSE),"")</f>
        <v/>
      </c>
      <c r="P30" s="13" t="str">
        <f>IF(F$20&lt;&gt;"Please select a district.",N30/O30,"")</f>
        <v/>
      </c>
    </row>
    <row r="31" spans="1:45" s="60" customFormat="1" ht="12.75" customHeight="1" x14ac:dyDescent="0.2">
      <c r="D31" s="74" t="s">
        <v>1274</v>
      </c>
      <c r="E31" s="74"/>
      <c r="F31" s="74"/>
      <c r="G31" s="75"/>
      <c r="H31" s="75"/>
      <c r="I31" s="75"/>
      <c r="J31" s="75"/>
      <c r="K31" s="75"/>
      <c r="L31" s="75"/>
      <c r="M31" s="75"/>
      <c r="N31" s="132"/>
      <c r="O31" s="133"/>
      <c r="P31" s="15"/>
    </row>
    <row r="32" spans="1:45" s="60" customFormat="1" ht="12.75" customHeight="1" x14ac:dyDescent="0.2">
      <c r="D32" s="79" t="s">
        <v>9</v>
      </c>
      <c r="E32" s="79"/>
      <c r="F32" s="79"/>
      <c r="G32" s="92"/>
      <c r="H32" s="92"/>
      <c r="I32" s="61"/>
      <c r="J32" s="61"/>
      <c r="K32" s="61"/>
      <c r="L32" s="61"/>
      <c r="M32" s="61"/>
      <c r="N32" s="22" t="str">
        <f>IF(F$20&lt;&gt;"Please select a district.",VLOOKUP(F$20,data!A$3:Q$616,8,FALSE),"")</f>
        <v/>
      </c>
      <c r="O32" s="34" t="str">
        <f>IF(F$20&lt;&gt;"Please select a district.",VLOOKUP(F$20,data!A$3:Q$616,17,FALSE),"")</f>
        <v/>
      </c>
      <c r="P32" s="13" t="str">
        <f>IF(F$20&lt;&gt;"Please select a district.",N32/O32,"")</f>
        <v/>
      </c>
    </row>
    <row r="33" spans="1:45" s="60" customFormat="1" ht="12.75" customHeight="1" x14ac:dyDescent="0.2">
      <c r="D33" s="79" t="s">
        <v>1275</v>
      </c>
      <c r="E33" s="79"/>
      <c r="F33" s="79"/>
      <c r="G33" s="61"/>
      <c r="H33" s="61"/>
      <c r="I33" s="61"/>
      <c r="J33" s="61"/>
      <c r="K33" s="61"/>
      <c r="L33" s="61"/>
      <c r="M33" s="61"/>
      <c r="N33" s="22" t="str">
        <f>IF(F$20&lt;&gt;"Please select a district.",VLOOKUP(F$20,data!A$3:Q$616,9,FALSE),"")</f>
        <v/>
      </c>
      <c r="O33" s="34" t="str">
        <f>IF(F$20&lt;&gt;"Please select a district.",VLOOKUP(F$20,data!A$3:Q$616,17,FALSE),"")</f>
        <v/>
      </c>
      <c r="P33" s="13" t="str">
        <f>IF(F$20&lt;&gt;"Please select a district.",N33/O33,"")</f>
        <v/>
      </c>
    </row>
    <row r="34" spans="1:45" s="60" customFormat="1" ht="12.75" customHeight="1" x14ac:dyDescent="0.2">
      <c r="D34" s="79" t="s">
        <v>1312</v>
      </c>
      <c r="E34" s="79"/>
      <c r="F34" s="79"/>
      <c r="G34" s="61"/>
      <c r="H34" s="61"/>
      <c r="I34" s="61"/>
      <c r="J34" s="61"/>
      <c r="K34" s="61"/>
      <c r="L34" s="61"/>
      <c r="M34" s="61"/>
      <c r="N34" s="22" t="str">
        <f>IF(F$20&lt;&gt;"Please select a district.",VLOOKUP(F$20,data!A$3:Q$616,10,FALSE),"")</f>
        <v/>
      </c>
      <c r="O34" s="34" t="str">
        <f>IF(F$20&lt;&gt;"Please select a district.",VLOOKUP(F$20,data!A$3:Q$616,17,FALSE),"")</f>
        <v/>
      </c>
      <c r="P34" s="13" t="str">
        <f>IF(F$20&lt;&gt;"Please select a district.",N34/O34,"")</f>
        <v/>
      </c>
    </row>
    <row r="35" spans="1:45" s="60" customFormat="1" ht="12.75" customHeight="1" x14ac:dyDescent="0.2">
      <c r="D35" s="63" t="s">
        <v>1313</v>
      </c>
      <c r="E35" s="63"/>
      <c r="F35" s="63"/>
      <c r="G35" s="86"/>
      <c r="H35" s="86"/>
      <c r="N35" s="22" t="str">
        <f>IF(F$20&lt;&gt;"Please select a district.",VLOOKUP(F$20,data!A$3:Q$616,11,FALSE),"")</f>
        <v/>
      </c>
      <c r="O35" s="24" t="str">
        <f>IF(F$20&lt;&gt;"Please select a district.",VLOOKUP(F$20,data!A$3:Q$616,17,FALSE),"")</f>
        <v/>
      </c>
      <c r="P35" s="13" t="str">
        <f>IF(F$20&lt;&gt;"Please select a district.",N35/O35,"")</f>
        <v/>
      </c>
    </row>
    <row r="36" spans="1:45" s="60" customFormat="1" ht="12.75" customHeight="1" x14ac:dyDescent="0.2">
      <c r="D36" s="63" t="s">
        <v>1314</v>
      </c>
      <c r="F36" s="63"/>
      <c r="N36" s="22" t="str">
        <f>IF(F$20&lt;&gt;"Please select a district.",VLOOKUP(F$20,data!A$3:Q$616,12,FALSE),"")</f>
        <v/>
      </c>
      <c r="O36" s="24" t="str">
        <f>IF(F$20&lt;&gt;"Please select a district.",VLOOKUP(F$20,data!A$3:Q$616,17,FALSE),"")</f>
        <v/>
      </c>
      <c r="P36" s="13" t="str">
        <f>IF(F$20&lt;&gt;"Please select a district.",N36/O36,"")</f>
        <v/>
      </c>
    </row>
    <row r="37" spans="1:45" s="60" customFormat="1" ht="15.75" customHeight="1" x14ac:dyDescent="0.2">
      <c r="D37" s="94"/>
      <c r="E37" s="63"/>
      <c r="F37" s="87"/>
      <c r="G37" s="86"/>
      <c r="H37" s="86"/>
      <c r="N37" s="21"/>
      <c r="O37" s="21"/>
      <c r="P37" s="13"/>
    </row>
    <row r="38" spans="1:45" s="62" customFormat="1" ht="15.75" customHeight="1" x14ac:dyDescent="0.2">
      <c r="A38" s="60"/>
      <c r="B38" s="60"/>
      <c r="C38" s="81" t="s">
        <v>1280</v>
      </c>
      <c r="D38" s="72"/>
      <c r="E38" s="71"/>
      <c r="F38" s="72"/>
      <c r="G38" s="72"/>
      <c r="H38" s="72"/>
      <c r="I38" s="72"/>
      <c r="J38" s="72"/>
      <c r="K38" s="72"/>
      <c r="L38" s="72"/>
      <c r="M38" s="72"/>
      <c r="N38" s="95"/>
      <c r="O38" s="95"/>
      <c r="P38" s="33"/>
      <c r="Q38" s="60"/>
      <c r="R38" s="60"/>
      <c r="S38" s="60"/>
      <c r="T38" s="97"/>
      <c r="U38" s="97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  <c r="AS38" s="60"/>
    </row>
    <row r="39" spans="1:45" s="62" customFormat="1" ht="15.75" customHeight="1" thickBot="1" x14ac:dyDescent="0.25">
      <c r="A39" s="60"/>
      <c r="B39" s="60"/>
      <c r="C39" s="60"/>
      <c r="D39" s="99" t="s">
        <v>1293</v>
      </c>
      <c r="E39" s="60" t="s">
        <v>1294</v>
      </c>
      <c r="F39" s="60"/>
      <c r="G39" s="60"/>
      <c r="H39" s="60"/>
      <c r="I39" s="63"/>
      <c r="J39" s="63"/>
      <c r="K39" s="60"/>
      <c r="L39" s="60"/>
      <c r="M39" s="60"/>
      <c r="N39" s="134"/>
      <c r="O39" s="134"/>
      <c r="P39" s="27" t="str">
        <f>IF(F$20&lt;&gt;"Please select a district.",SUM(P30:P36,P27,P25),"")</f>
        <v/>
      </c>
      <c r="Q39" s="60"/>
      <c r="R39" s="60"/>
      <c r="S39" s="60"/>
      <c r="T39" s="97"/>
      <c r="U39" s="97"/>
      <c r="V39" s="60"/>
      <c r="W39" s="60"/>
      <c r="X39" s="60"/>
      <c r="Y39" s="60"/>
      <c r="Z39" s="60"/>
      <c r="AA39" s="60"/>
      <c r="AB39" s="60"/>
      <c r="AC39" s="60"/>
      <c r="AD39" s="60"/>
      <c r="AE39" s="60"/>
      <c r="AF39" s="60"/>
      <c r="AG39" s="60"/>
      <c r="AH39" s="60"/>
      <c r="AI39" s="60"/>
      <c r="AJ39" s="60"/>
      <c r="AK39" s="60"/>
      <c r="AL39" s="60"/>
      <c r="AM39" s="60"/>
      <c r="AN39" s="60"/>
      <c r="AO39" s="60"/>
      <c r="AP39" s="60"/>
      <c r="AQ39" s="60"/>
      <c r="AR39" s="60"/>
      <c r="AS39" s="60"/>
    </row>
    <row r="40" spans="1:45" s="60" customFormat="1" ht="15.75" customHeight="1" x14ac:dyDescent="0.2">
      <c r="D40" s="99"/>
      <c r="I40" s="63"/>
      <c r="J40" s="63"/>
      <c r="P40" s="128"/>
      <c r="T40" s="97"/>
      <c r="U40" s="97"/>
    </row>
    <row r="41" spans="1:45" s="60" customFormat="1" ht="15.75" customHeight="1" x14ac:dyDescent="0.2">
      <c r="D41" s="99"/>
      <c r="I41" s="63"/>
      <c r="J41" s="63"/>
      <c r="P41" s="128"/>
      <c r="T41" s="97"/>
      <c r="U41" s="97"/>
    </row>
    <row r="42" spans="1:45" s="60" customFormat="1" ht="15.75" customHeight="1" x14ac:dyDescent="0.2">
      <c r="D42" s="99"/>
      <c r="I42" s="63"/>
      <c r="J42" s="63"/>
      <c r="P42" s="128"/>
      <c r="T42" s="97"/>
      <c r="U42" s="97"/>
    </row>
    <row r="43" spans="1:45" s="62" customFormat="1" ht="12.75" customHeight="1" x14ac:dyDescent="0.2">
      <c r="A43" s="60"/>
      <c r="B43" s="60"/>
      <c r="C43" s="60"/>
      <c r="D43" s="87"/>
      <c r="E43" s="101"/>
      <c r="F43" s="102"/>
      <c r="G43" s="101"/>
      <c r="H43" s="101"/>
      <c r="I43" s="101"/>
      <c r="J43" s="101"/>
      <c r="K43" s="101"/>
      <c r="L43" s="101"/>
      <c r="M43" s="101"/>
      <c r="N43" s="101"/>
      <c r="O43" s="101"/>
      <c r="P43" s="101"/>
      <c r="Q43" s="101"/>
      <c r="R43" s="101"/>
      <c r="S43" s="60"/>
      <c r="T43" s="60"/>
      <c r="U43" s="60"/>
      <c r="V43" s="60"/>
      <c r="W43" s="60"/>
      <c r="X43" s="60"/>
      <c r="Y43" s="60"/>
      <c r="Z43" s="60"/>
      <c r="AA43" s="60"/>
      <c r="AB43" s="60"/>
      <c r="AC43" s="60"/>
      <c r="AD43" s="60"/>
      <c r="AE43" s="60"/>
      <c r="AF43" s="60"/>
      <c r="AG43" s="60"/>
      <c r="AH43" s="60"/>
      <c r="AI43" s="60"/>
      <c r="AJ43" s="60"/>
      <c r="AK43" s="60"/>
      <c r="AL43" s="60"/>
      <c r="AM43" s="60"/>
      <c r="AN43" s="60"/>
      <c r="AO43" s="60"/>
      <c r="AP43" s="60"/>
      <c r="AQ43" s="60"/>
      <c r="AR43" s="60"/>
      <c r="AS43" s="60"/>
    </row>
    <row r="44" spans="1:45" s="62" customFormat="1" ht="12.75" customHeight="1" x14ac:dyDescent="0.2">
      <c r="A44" s="60"/>
      <c r="B44" s="60"/>
      <c r="C44" s="60"/>
      <c r="D44" s="103"/>
      <c r="E44" s="104"/>
      <c r="F44" s="105"/>
      <c r="G44" s="105"/>
      <c r="H44" s="105"/>
      <c r="I44" s="105"/>
      <c r="J44" s="105"/>
      <c r="K44" s="106"/>
      <c r="L44" s="107"/>
      <c r="M44" s="105"/>
      <c r="N44" s="105"/>
      <c r="O44" s="105"/>
      <c r="P44" s="105"/>
      <c r="Q44" s="101"/>
      <c r="R44" s="60"/>
      <c r="S44" s="60"/>
      <c r="T44" s="60"/>
      <c r="U44" s="60"/>
      <c r="V44" s="60"/>
      <c r="W44" s="60"/>
      <c r="X44" s="60"/>
      <c r="Y44" s="60"/>
      <c r="Z44" s="60"/>
      <c r="AA44" s="60"/>
      <c r="AB44" s="60"/>
      <c r="AC44" s="60"/>
      <c r="AD44" s="60"/>
      <c r="AE44" s="60"/>
      <c r="AF44" s="60"/>
      <c r="AG44" s="60"/>
      <c r="AH44" s="60"/>
      <c r="AI44" s="60"/>
      <c r="AJ44" s="60"/>
      <c r="AK44" s="60"/>
      <c r="AL44" s="60"/>
      <c r="AM44" s="60"/>
      <c r="AN44" s="60"/>
      <c r="AO44" s="60"/>
      <c r="AP44" s="60"/>
      <c r="AQ44" s="60"/>
      <c r="AR44" s="60"/>
      <c r="AS44" s="60"/>
    </row>
    <row r="45" spans="1:45" s="62" customFormat="1" ht="12.75" customHeight="1" x14ac:dyDescent="0.2">
      <c r="A45" s="60"/>
      <c r="B45" s="60"/>
      <c r="C45" s="60"/>
      <c r="D45" s="135" t="s">
        <v>10</v>
      </c>
      <c r="E45" s="60"/>
      <c r="F45" s="56"/>
      <c r="G45" s="56"/>
      <c r="H45" s="56"/>
      <c r="I45" s="56"/>
      <c r="J45" s="56"/>
      <c r="K45" s="66"/>
      <c r="L45" s="55"/>
      <c r="M45" s="135" t="s">
        <v>11</v>
      </c>
      <c r="N45" s="136"/>
      <c r="O45" s="56"/>
      <c r="P45" s="56"/>
      <c r="Q45" s="41"/>
      <c r="R45" s="60"/>
      <c r="S45" s="60"/>
      <c r="T45" s="60"/>
      <c r="U45" s="60"/>
      <c r="V45" s="60"/>
      <c r="W45" s="60"/>
      <c r="X45" s="60"/>
      <c r="Y45" s="60"/>
      <c r="Z45" s="60"/>
      <c r="AA45" s="60"/>
      <c r="AB45" s="60"/>
      <c r="AC45" s="60"/>
      <c r="AD45" s="60"/>
      <c r="AE45" s="60"/>
      <c r="AF45" s="60"/>
      <c r="AG45" s="60"/>
      <c r="AH45" s="60"/>
      <c r="AI45" s="60"/>
      <c r="AJ45" s="60"/>
      <c r="AK45" s="60"/>
      <c r="AL45" s="60"/>
      <c r="AM45" s="60"/>
      <c r="AN45" s="60"/>
      <c r="AO45" s="60"/>
      <c r="AP45" s="60"/>
      <c r="AQ45" s="60"/>
      <c r="AR45" s="60"/>
      <c r="AS45" s="60"/>
    </row>
    <row r="46" spans="1:45" s="62" customFormat="1" ht="12.75" customHeight="1" x14ac:dyDescent="0.2">
      <c r="A46" s="60"/>
      <c r="B46" s="60"/>
      <c r="C46" s="60"/>
      <c r="D46" s="48"/>
      <c r="E46" s="48"/>
      <c r="F46" s="60"/>
      <c r="G46" s="60"/>
      <c r="H46" s="60"/>
      <c r="I46" s="60"/>
      <c r="J46" s="60"/>
      <c r="K46" s="60"/>
      <c r="L46" s="60"/>
      <c r="M46" s="60"/>
      <c r="N46" s="61"/>
      <c r="O46" s="61"/>
      <c r="P46" s="61"/>
      <c r="Q46" s="60"/>
      <c r="R46" s="60"/>
      <c r="S46" s="60"/>
      <c r="T46" s="60"/>
      <c r="U46" s="60"/>
      <c r="V46" s="60"/>
      <c r="W46" s="60"/>
      <c r="X46" s="60"/>
      <c r="Y46" s="60"/>
      <c r="Z46" s="60"/>
      <c r="AA46" s="60"/>
      <c r="AB46" s="60"/>
      <c r="AC46" s="60"/>
      <c r="AD46" s="60"/>
      <c r="AE46" s="60"/>
      <c r="AF46" s="60"/>
      <c r="AG46" s="60"/>
      <c r="AH46" s="60"/>
      <c r="AI46" s="60"/>
      <c r="AJ46" s="60"/>
      <c r="AK46" s="60"/>
      <c r="AL46" s="60"/>
      <c r="AM46" s="60"/>
      <c r="AN46" s="60"/>
      <c r="AO46" s="60"/>
      <c r="AP46" s="60"/>
      <c r="AQ46" s="60"/>
      <c r="AR46" s="60"/>
      <c r="AS46" s="60"/>
    </row>
    <row r="47" spans="1:45" s="62" customFormat="1" ht="15" customHeight="1" x14ac:dyDescent="0.2">
      <c r="A47" s="60"/>
      <c r="B47" s="60"/>
      <c r="C47" s="48"/>
      <c r="D47" s="48"/>
      <c r="E47" s="60"/>
      <c r="F47" s="60"/>
      <c r="G47" s="60"/>
      <c r="H47" s="60"/>
      <c r="I47" s="60"/>
      <c r="J47" s="60"/>
      <c r="K47" s="60"/>
      <c r="L47" s="60"/>
      <c r="M47" s="61"/>
      <c r="N47" s="61"/>
      <c r="O47" s="61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0"/>
      <c r="AC47" s="60"/>
      <c r="AD47" s="60"/>
      <c r="AE47" s="60"/>
      <c r="AF47" s="60"/>
      <c r="AG47" s="60"/>
      <c r="AH47" s="60"/>
      <c r="AI47" s="60"/>
      <c r="AJ47" s="60"/>
      <c r="AK47" s="60"/>
      <c r="AL47" s="60"/>
      <c r="AM47" s="60"/>
      <c r="AN47" s="60"/>
      <c r="AO47" s="60"/>
      <c r="AP47" s="60"/>
      <c r="AQ47" s="60"/>
      <c r="AR47" s="60"/>
      <c r="AS47" s="60"/>
    </row>
    <row r="48" spans="1:45" s="137" customFormat="1" ht="15" customHeight="1" x14ac:dyDescent="0.15">
      <c r="A48" s="86"/>
      <c r="B48" s="86"/>
      <c r="C48" s="86"/>
      <c r="D48" s="110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</row>
    <row r="49" spans="1:45" s="138" customFormat="1" ht="15" customHeight="1" x14ac:dyDescent="0.2">
      <c r="A49" s="111"/>
      <c r="B49" s="111"/>
      <c r="C49" s="111"/>
      <c r="D49" s="111"/>
      <c r="E49" s="111"/>
      <c r="F49" s="111"/>
      <c r="G49" s="111"/>
      <c r="H49" s="111"/>
      <c r="I49" s="111"/>
      <c r="J49" s="111"/>
      <c r="K49" s="111"/>
      <c r="L49" s="111"/>
      <c r="M49" s="111"/>
      <c r="N49" s="111"/>
      <c r="O49" s="111"/>
      <c r="P49" s="111"/>
      <c r="Q49" s="111"/>
      <c r="R49" s="111"/>
      <c r="S49" s="111"/>
      <c r="T49" s="111"/>
      <c r="U49" s="111"/>
      <c r="V49" s="111"/>
      <c r="W49" s="111"/>
      <c r="X49" s="111"/>
      <c r="Y49" s="111"/>
      <c r="Z49" s="111"/>
      <c r="AA49" s="111"/>
      <c r="AB49" s="111"/>
      <c r="AC49" s="111"/>
      <c r="AD49" s="111"/>
      <c r="AE49" s="111"/>
      <c r="AF49" s="111"/>
      <c r="AG49" s="111"/>
      <c r="AH49" s="111"/>
      <c r="AI49" s="111"/>
      <c r="AJ49" s="111"/>
      <c r="AK49" s="111"/>
      <c r="AL49" s="111"/>
      <c r="AM49" s="111"/>
      <c r="AN49" s="111"/>
      <c r="AO49" s="111"/>
      <c r="AP49" s="111"/>
      <c r="AQ49" s="111"/>
      <c r="AR49" s="111"/>
      <c r="AS49" s="111"/>
    </row>
    <row r="50" spans="1:45" s="138" customFormat="1" ht="15" customHeight="1" x14ac:dyDescent="0.2">
      <c r="A50" s="111"/>
      <c r="B50" s="111"/>
      <c r="C50" s="111"/>
      <c r="D50" s="111"/>
      <c r="E50" s="111"/>
      <c r="F50" s="111"/>
      <c r="G50" s="111"/>
      <c r="H50" s="111"/>
      <c r="I50" s="111"/>
      <c r="J50" s="111"/>
      <c r="K50" s="111"/>
      <c r="L50" s="111"/>
      <c r="M50" s="111"/>
      <c r="N50" s="111"/>
      <c r="O50" s="111"/>
      <c r="P50" s="111"/>
      <c r="Q50" s="111"/>
      <c r="R50" s="111"/>
      <c r="S50" s="111"/>
      <c r="T50" s="111"/>
      <c r="U50" s="111"/>
      <c r="V50" s="111"/>
      <c r="W50" s="111"/>
      <c r="X50" s="111"/>
      <c r="Y50" s="111"/>
      <c r="Z50" s="111"/>
      <c r="AA50" s="111"/>
      <c r="AB50" s="111"/>
      <c r="AC50" s="111"/>
      <c r="AD50" s="111"/>
      <c r="AE50" s="111"/>
      <c r="AF50" s="111"/>
      <c r="AG50" s="111"/>
      <c r="AH50" s="111"/>
      <c r="AI50" s="111"/>
      <c r="AJ50" s="111"/>
      <c r="AK50" s="111"/>
      <c r="AL50" s="111"/>
      <c r="AM50" s="111"/>
      <c r="AN50" s="111"/>
      <c r="AO50" s="111"/>
      <c r="AP50" s="111"/>
      <c r="AQ50" s="111"/>
      <c r="AR50" s="111"/>
      <c r="AS50" s="111"/>
    </row>
    <row r="51" spans="1:45" s="139" customFormat="1" ht="15" customHeight="1" x14ac:dyDescent="0.15">
      <c r="A51" s="101"/>
      <c r="B51" s="101"/>
      <c r="C51" s="101"/>
      <c r="D51" s="101"/>
      <c r="E51" s="101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</row>
    <row r="52" spans="1:45" s="139" customFormat="1" ht="15" customHeight="1" x14ac:dyDescent="0.15">
      <c r="A52" s="101"/>
      <c r="B52" s="101"/>
      <c r="C52" s="101"/>
      <c r="D52" s="101"/>
      <c r="E52" s="101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</row>
    <row r="53" spans="1:45" s="139" customFormat="1" ht="15" customHeight="1" x14ac:dyDescent="0.15">
      <c r="A53" s="101"/>
      <c r="B53" s="101"/>
      <c r="C53" s="101"/>
      <c r="D53" s="101"/>
      <c r="E53" s="101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</row>
    <row r="54" spans="1:45" s="139" customFormat="1" ht="15" customHeight="1" x14ac:dyDescent="0.15">
      <c r="A54" s="101"/>
      <c r="B54" s="101"/>
      <c r="C54" s="101"/>
      <c r="D54" s="101"/>
      <c r="E54" s="101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</row>
    <row r="55" spans="1:45" s="139" customFormat="1" ht="15" customHeight="1" x14ac:dyDescent="0.15">
      <c r="A55" s="101"/>
      <c r="B55" s="101"/>
      <c r="C55" s="101"/>
      <c r="D55" s="101"/>
      <c r="E55" s="101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  <c r="AA55" s="101"/>
      <c r="AB55" s="101"/>
      <c r="AC55" s="101"/>
      <c r="AD55" s="101"/>
      <c r="AE55" s="101"/>
      <c r="AF55" s="101"/>
      <c r="AG55" s="101"/>
      <c r="AH55" s="101"/>
      <c r="AI55" s="101"/>
      <c r="AJ55" s="101"/>
      <c r="AK55" s="101"/>
      <c r="AL55" s="101"/>
      <c r="AM55" s="101"/>
      <c r="AN55" s="101"/>
      <c r="AO55" s="101"/>
      <c r="AP55" s="101"/>
      <c r="AQ55" s="101"/>
      <c r="AR55" s="101"/>
      <c r="AS55" s="101"/>
    </row>
    <row r="56" spans="1:45" ht="15" customHeight="1" x14ac:dyDescent="0.2"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</row>
    <row r="57" spans="1:45" s="137" customFormat="1" ht="15" customHeight="1" x14ac:dyDescent="0.15">
      <c r="A57" s="86"/>
      <c r="B57" s="86"/>
      <c r="C57" s="86"/>
      <c r="D57" s="110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</row>
    <row r="58" spans="1:45" s="137" customFormat="1" ht="15" customHeight="1" x14ac:dyDescent="0.15">
      <c r="A58" s="86"/>
      <c r="B58" s="86"/>
      <c r="C58" s="86"/>
      <c r="D58" s="110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</row>
    <row r="59" spans="1:45" s="137" customFormat="1" ht="15" customHeight="1" x14ac:dyDescent="0.15">
      <c r="A59" s="86"/>
      <c r="B59" s="86"/>
      <c r="C59" s="86"/>
      <c r="D59" s="110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</row>
    <row r="60" spans="1:45" s="138" customFormat="1" ht="15" customHeight="1" x14ac:dyDescent="0.2">
      <c r="A60" s="111"/>
      <c r="B60" s="111"/>
      <c r="C60" s="112"/>
      <c r="D60" s="113"/>
      <c r="E60" s="111"/>
      <c r="F60" s="111"/>
      <c r="G60" s="111"/>
      <c r="H60" s="111"/>
      <c r="I60" s="111"/>
      <c r="J60" s="111"/>
      <c r="K60" s="111"/>
      <c r="L60" s="111"/>
      <c r="M60" s="111"/>
      <c r="N60" s="111"/>
      <c r="O60" s="111"/>
      <c r="P60" s="111"/>
      <c r="Q60" s="111"/>
      <c r="R60" s="111"/>
      <c r="S60" s="111"/>
      <c r="T60" s="111"/>
      <c r="U60" s="111"/>
      <c r="V60" s="111"/>
      <c r="W60" s="111"/>
      <c r="X60" s="111"/>
      <c r="Y60" s="111"/>
      <c r="Z60" s="111"/>
      <c r="AA60" s="111"/>
      <c r="AB60" s="111"/>
      <c r="AC60" s="111"/>
      <c r="AD60" s="111"/>
      <c r="AE60" s="111"/>
      <c r="AF60" s="111"/>
      <c r="AG60" s="111"/>
      <c r="AH60" s="111"/>
      <c r="AI60" s="111"/>
      <c r="AJ60" s="111"/>
      <c r="AK60" s="111"/>
      <c r="AL60" s="111"/>
      <c r="AM60" s="111"/>
      <c r="AN60" s="111"/>
      <c r="AO60" s="111"/>
      <c r="AP60" s="111"/>
      <c r="AQ60" s="111"/>
      <c r="AR60" s="111"/>
      <c r="AS60" s="111"/>
    </row>
    <row r="61" spans="1:45" s="138" customFormat="1" ht="15" customHeight="1" x14ac:dyDescent="0.2">
      <c r="A61" s="111"/>
      <c r="B61" s="111"/>
      <c r="C61" s="112"/>
      <c r="D61" s="113"/>
      <c r="E61" s="111"/>
      <c r="F61" s="111"/>
      <c r="G61" s="111"/>
      <c r="H61" s="111"/>
      <c r="I61" s="111"/>
      <c r="J61" s="111"/>
      <c r="K61" s="111"/>
      <c r="L61" s="111"/>
      <c r="M61" s="111"/>
      <c r="N61" s="111"/>
      <c r="O61" s="111"/>
      <c r="P61" s="111"/>
      <c r="Q61" s="111"/>
      <c r="R61" s="111"/>
      <c r="S61" s="111"/>
      <c r="T61" s="111"/>
      <c r="U61" s="111"/>
      <c r="V61" s="111"/>
      <c r="W61" s="111"/>
      <c r="X61" s="111"/>
      <c r="Y61" s="111"/>
      <c r="Z61" s="111"/>
      <c r="AA61" s="111"/>
      <c r="AB61" s="111"/>
      <c r="AC61" s="111"/>
      <c r="AD61" s="111"/>
      <c r="AE61" s="111"/>
      <c r="AF61" s="111"/>
      <c r="AG61" s="111"/>
      <c r="AH61" s="111"/>
      <c r="AI61" s="111"/>
      <c r="AJ61" s="111"/>
      <c r="AK61" s="111"/>
      <c r="AL61" s="111"/>
      <c r="AM61" s="111"/>
      <c r="AN61" s="111"/>
      <c r="AO61" s="111"/>
      <c r="AP61" s="111"/>
      <c r="AQ61" s="111"/>
      <c r="AR61" s="111"/>
      <c r="AS61" s="111"/>
    </row>
    <row r="62" spans="1:45" s="138" customFormat="1" ht="15" customHeight="1" x14ac:dyDescent="0.2">
      <c r="A62" s="111"/>
      <c r="B62" s="111"/>
      <c r="C62" s="112"/>
      <c r="D62" s="113"/>
      <c r="E62" s="111"/>
      <c r="F62" s="111"/>
      <c r="G62" s="111"/>
      <c r="H62" s="111"/>
      <c r="I62" s="111"/>
      <c r="J62" s="111"/>
      <c r="K62" s="111"/>
      <c r="L62" s="111"/>
      <c r="M62" s="111"/>
      <c r="N62" s="111"/>
      <c r="O62" s="111"/>
      <c r="P62" s="111"/>
      <c r="Q62" s="111"/>
      <c r="R62" s="111"/>
      <c r="S62" s="111"/>
      <c r="T62" s="111"/>
      <c r="U62" s="111"/>
      <c r="V62" s="111"/>
      <c r="W62" s="111"/>
      <c r="X62" s="111"/>
      <c r="Y62" s="111"/>
      <c r="Z62" s="111"/>
      <c r="AA62" s="111"/>
      <c r="AB62" s="111"/>
      <c r="AC62" s="111"/>
      <c r="AD62" s="111"/>
      <c r="AE62" s="111"/>
      <c r="AF62" s="111"/>
      <c r="AG62" s="111"/>
      <c r="AH62" s="111"/>
      <c r="AI62" s="111"/>
      <c r="AJ62" s="111"/>
      <c r="AK62" s="111"/>
      <c r="AL62" s="111"/>
      <c r="AM62" s="111"/>
      <c r="AN62" s="111"/>
      <c r="AO62" s="111"/>
      <c r="AP62" s="111"/>
      <c r="AQ62" s="111"/>
      <c r="AR62" s="111"/>
      <c r="AS62" s="111"/>
    </row>
    <row r="63" spans="1:45" s="138" customFormat="1" ht="15" customHeight="1" x14ac:dyDescent="0.2">
      <c r="A63" s="111"/>
      <c r="B63" s="111"/>
      <c r="C63" s="112"/>
      <c r="D63" s="113"/>
      <c r="E63" s="111"/>
      <c r="F63" s="111"/>
      <c r="G63" s="111"/>
      <c r="H63" s="111"/>
      <c r="I63" s="111"/>
      <c r="J63" s="111"/>
      <c r="K63" s="111"/>
      <c r="L63" s="111"/>
      <c r="M63" s="111"/>
      <c r="N63" s="111"/>
      <c r="O63" s="111"/>
      <c r="P63" s="111"/>
      <c r="Q63" s="111"/>
      <c r="R63" s="111"/>
      <c r="S63" s="111"/>
      <c r="T63" s="111"/>
      <c r="U63" s="111"/>
      <c r="V63" s="111"/>
      <c r="W63" s="111"/>
      <c r="X63" s="111"/>
      <c r="Y63" s="111"/>
      <c r="Z63" s="111"/>
      <c r="AA63" s="111"/>
      <c r="AB63" s="111"/>
      <c r="AC63" s="111"/>
      <c r="AD63" s="111"/>
      <c r="AE63" s="111"/>
      <c r="AF63" s="111"/>
      <c r="AG63" s="111"/>
      <c r="AH63" s="111"/>
      <c r="AI63" s="111"/>
      <c r="AJ63" s="111"/>
      <c r="AK63" s="111"/>
      <c r="AL63" s="111"/>
      <c r="AM63" s="111"/>
      <c r="AN63" s="111"/>
      <c r="AO63" s="111"/>
      <c r="AP63" s="111"/>
      <c r="AQ63" s="111"/>
      <c r="AR63" s="111"/>
      <c r="AS63" s="111"/>
    </row>
    <row r="64" spans="1:45" s="138" customFormat="1" ht="15" customHeight="1" x14ac:dyDescent="0.2">
      <c r="A64" s="111"/>
      <c r="B64" s="111"/>
      <c r="C64" s="112"/>
      <c r="D64" s="113"/>
      <c r="E64" s="111"/>
      <c r="F64" s="111"/>
      <c r="G64" s="111"/>
      <c r="H64" s="111"/>
      <c r="I64" s="111"/>
      <c r="J64" s="111"/>
      <c r="K64" s="111"/>
      <c r="L64" s="111"/>
      <c r="M64" s="111"/>
      <c r="N64" s="111"/>
      <c r="O64" s="111"/>
      <c r="P64" s="111"/>
      <c r="Q64" s="111"/>
      <c r="R64" s="111"/>
      <c r="S64" s="111"/>
      <c r="T64" s="111"/>
      <c r="U64" s="111"/>
      <c r="V64" s="111"/>
      <c r="W64" s="111"/>
      <c r="X64" s="111"/>
      <c r="Y64" s="111"/>
      <c r="Z64" s="111"/>
      <c r="AA64" s="111"/>
      <c r="AB64" s="111"/>
      <c r="AC64" s="111"/>
      <c r="AD64" s="111"/>
      <c r="AE64" s="111"/>
      <c r="AF64" s="111"/>
      <c r="AG64" s="111"/>
      <c r="AH64" s="111"/>
      <c r="AI64" s="111"/>
      <c r="AJ64" s="111"/>
      <c r="AK64" s="111"/>
      <c r="AL64" s="111"/>
      <c r="AM64" s="111"/>
      <c r="AN64" s="111"/>
      <c r="AO64" s="111"/>
      <c r="AP64" s="111"/>
      <c r="AQ64" s="111"/>
      <c r="AR64" s="111"/>
      <c r="AS64" s="111"/>
    </row>
    <row r="65" spans="1:45" s="138" customFormat="1" ht="15" customHeight="1" x14ac:dyDescent="0.2">
      <c r="A65" s="111"/>
      <c r="B65" s="111"/>
      <c r="C65" s="112"/>
      <c r="D65" s="113"/>
      <c r="E65" s="111"/>
      <c r="F65" s="111"/>
      <c r="G65" s="111"/>
      <c r="H65" s="111"/>
      <c r="I65" s="111"/>
      <c r="J65" s="111"/>
      <c r="K65" s="111"/>
      <c r="L65" s="111"/>
      <c r="M65" s="111"/>
      <c r="N65" s="111"/>
      <c r="O65" s="111"/>
      <c r="P65" s="111"/>
      <c r="Q65" s="111"/>
      <c r="R65" s="111"/>
      <c r="S65" s="111"/>
      <c r="T65" s="111"/>
      <c r="U65" s="111"/>
      <c r="V65" s="111"/>
      <c r="W65" s="111"/>
      <c r="X65" s="111"/>
      <c r="Y65" s="111"/>
      <c r="Z65" s="111"/>
      <c r="AA65" s="111"/>
      <c r="AB65" s="111"/>
      <c r="AC65" s="111"/>
      <c r="AD65" s="111"/>
      <c r="AE65" s="111"/>
      <c r="AF65" s="111"/>
      <c r="AG65" s="111"/>
      <c r="AH65" s="111"/>
      <c r="AI65" s="111"/>
      <c r="AJ65" s="111"/>
      <c r="AK65" s="111"/>
      <c r="AL65" s="111"/>
      <c r="AM65" s="111"/>
      <c r="AN65" s="111"/>
      <c r="AO65" s="111"/>
      <c r="AP65" s="111"/>
      <c r="AQ65" s="111"/>
      <c r="AR65" s="111"/>
      <c r="AS65" s="111"/>
    </row>
    <row r="66" spans="1:45" s="138" customFormat="1" ht="15" customHeight="1" x14ac:dyDescent="0.2">
      <c r="A66" s="111"/>
      <c r="B66" s="111"/>
      <c r="C66" s="112"/>
      <c r="D66" s="113"/>
      <c r="E66" s="111"/>
      <c r="F66" s="111"/>
      <c r="G66" s="111"/>
      <c r="H66" s="111"/>
      <c r="I66" s="111"/>
      <c r="J66" s="111"/>
      <c r="K66" s="111"/>
      <c r="L66" s="111"/>
      <c r="M66" s="111"/>
      <c r="N66" s="111"/>
      <c r="O66" s="111"/>
      <c r="P66" s="111"/>
      <c r="Q66" s="111"/>
      <c r="R66" s="111"/>
      <c r="S66" s="111"/>
      <c r="T66" s="111"/>
      <c r="U66" s="111"/>
      <c r="V66" s="111"/>
      <c r="W66" s="111"/>
      <c r="X66" s="111"/>
      <c r="Y66" s="111"/>
      <c r="Z66" s="111"/>
      <c r="AA66" s="111"/>
      <c r="AB66" s="111"/>
      <c r="AC66" s="111"/>
      <c r="AD66" s="111"/>
      <c r="AE66" s="111"/>
      <c r="AF66" s="111"/>
      <c r="AG66" s="111"/>
      <c r="AH66" s="111"/>
      <c r="AI66" s="111"/>
      <c r="AJ66" s="111"/>
      <c r="AK66" s="111"/>
      <c r="AL66" s="111"/>
      <c r="AM66" s="111"/>
      <c r="AN66" s="111"/>
      <c r="AO66" s="111"/>
      <c r="AP66" s="111"/>
      <c r="AQ66" s="111"/>
      <c r="AR66" s="111"/>
      <c r="AS66" s="111"/>
    </row>
    <row r="67" spans="1:45" s="138" customFormat="1" ht="15" customHeight="1" x14ac:dyDescent="0.2">
      <c r="A67" s="111"/>
      <c r="B67" s="111"/>
      <c r="C67" s="112"/>
      <c r="D67" s="113"/>
      <c r="E67" s="111"/>
      <c r="F67" s="111"/>
      <c r="G67" s="111"/>
      <c r="H67" s="111"/>
      <c r="I67" s="111"/>
      <c r="J67" s="111"/>
      <c r="K67" s="111"/>
      <c r="L67" s="111"/>
      <c r="M67" s="111"/>
      <c r="N67" s="111"/>
      <c r="O67" s="111"/>
      <c r="P67" s="111"/>
      <c r="Q67" s="111"/>
      <c r="R67" s="111"/>
      <c r="S67" s="111"/>
      <c r="T67" s="111"/>
      <c r="U67" s="111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111"/>
      <c r="AH67" s="111"/>
      <c r="AI67" s="111"/>
      <c r="AJ67" s="111"/>
      <c r="AK67" s="111"/>
      <c r="AL67" s="111"/>
      <c r="AM67" s="111"/>
      <c r="AN67" s="111"/>
      <c r="AO67" s="111"/>
      <c r="AP67" s="111"/>
      <c r="AQ67" s="111"/>
      <c r="AR67" s="111"/>
      <c r="AS67" s="111"/>
    </row>
    <row r="68" spans="1:45" s="138" customFormat="1" ht="15" customHeight="1" x14ac:dyDescent="0.2">
      <c r="A68" s="111"/>
      <c r="B68" s="111"/>
      <c r="C68" s="112"/>
      <c r="D68" s="113"/>
      <c r="E68" s="111"/>
      <c r="F68" s="111"/>
      <c r="G68" s="111"/>
      <c r="H68" s="111"/>
      <c r="I68" s="111"/>
      <c r="J68" s="111"/>
      <c r="K68" s="111"/>
      <c r="L68" s="111"/>
      <c r="M68" s="111"/>
      <c r="N68" s="111"/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G68" s="111"/>
      <c r="AH68" s="111"/>
      <c r="AI68" s="111"/>
      <c r="AJ68" s="111"/>
      <c r="AK68" s="111"/>
      <c r="AL68" s="111"/>
      <c r="AM68" s="111"/>
      <c r="AN68" s="111"/>
      <c r="AO68" s="111"/>
      <c r="AP68" s="111"/>
      <c r="AQ68" s="111"/>
      <c r="AR68" s="111"/>
      <c r="AS68" s="111"/>
    </row>
    <row r="69" spans="1:45" s="140" customFormat="1" ht="15" customHeight="1" x14ac:dyDescent="0.15">
      <c r="A69" s="114"/>
      <c r="B69" s="114"/>
      <c r="C69" s="114"/>
      <c r="D69" s="115"/>
      <c r="E69" s="114"/>
      <c r="F69" s="114"/>
      <c r="G69" s="114"/>
      <c r="H69" s="114"/>
      <c r="I69" s="114"/>
      <c r="J69" s="114"/>
      <c r="K69" s="114"/>
      <c r="L69" s="114"/>
      <c r="M69" s="114"/>
      <c r="N69" s="114"/>
      <c r="O69" s="114"/>
      <c r="P69" s="114"/>
      <c r="Q69" s="114"/>
      <c r="R69" s="114"/>
      <c r="S69" s="114"/>
      <c r="T69" s="114"/>
      <c r="U69" s="114"/>
      <c r="V69" s="114"/>
      <c r="W69" s="114"/>
      <c r="X69" s="114"/>
      <c r="Y69" s="114"/>
      <c r="Z69" s="114"/>
      <c r="AA69" s="114"/>
      <c r="AB69" s="114"/>
      <c r="AC69" s="114"/>
      <c r="AD69" s="114"/>
      <c r="AE69" s="114"/>
      <c r="AF69" s="114"/>
      <c r="AG69" s="114"/>
      <c r="AH69" s="114"/>
      <c r="AI69" s="114"/>
      <c r="AJ69" s="114"/>
      <c r="AK69" s="114"/>
      <c r="AL69" s="114"/>
      <c r="AM69" s="114"/>
      <c r="AN69" s="114"/>
      <c r="AO69" s="114"/>
      <c r="AP69" s="114"/>
      <c r="AQ69" s="114"/>
      <c r="AR69" s="114"/>
      <c r="AS69" s="114"/>
    </row>
    <row r="70" spans="1:45" s="141" customFormat="1" ht="15" customHeight="1" x14ac:dyDescent="0.15">
      <c r="A70" s="92"/>
      <c r="B70" s="92"/>
      <c r="C70" s="92"/>
      <c r="D70" s="116"/>
      <c r="E70" s="92"/>
      <c r="F70" s="92"/>
      <c r="G70" s="92"/>
      <c r="H70" s="92"/>
      <c r="I70" s="92"/>
      <c r="J70" s="92"/>
      <c r="K70" s="92"/>
      <c r="L70" s="92"/>
      <c r="M70" s="92"/>
      <c r="N70" s="92"/>
      <c r="O70" s="92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</row>
    <row r="71" spans="1:45" ht="15" customHeight="1" x14ac:dyDescent="0.2">
      <c r="C71" s="41"/>
      <c r="D71" s="117"/>
      <c r="E71" s="55"/>
      <c r="F71" s="55"/>
      <c r="G71" s="55"/>
      <c r="H71" s="55"/>
      <c r="I71" s="55"/>
      <c r="J71" s="55"/>
      <c r="K71" s="55"/>
      <c r="L71" s="55"/>
      <c r="M71" s="41"/>
      <c r="N71" s="41"/>
      <c r="O71" s="41"/>
      <c r="P71" s="41"/>
      <c r="Q71" s="41"/>
    </row>
    <row r="72" spans="1:45" s="142" customFormat="1" ht="15" customHeight="1" x14ac:dyDescent="0.15">
      <c r="A72" s="118"/>
      <c r="B72" s="118"/>
      <c r="C72" s="118"/>
      <c r="D72" s="119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  <c r="X72" s="118"/>
      <c r="Y72" s="118"/>
      <c r="Z72" s="118"/>
      <c r="AA72" s="118"/>
      <c r="AB72" s="118"/>
      <c r="AC72" s="118"/>
      <c r="AD72" s="118"/>
      <c r="AE72" s="118"/>
      <c r="AF72" s="118"/>
      <c r="AG72" s="118"/>
      <c r="AH72" s="118"/>
      <c r="AI72" s="118"/>
      <c r="AJ72" s="118"/>
      <c r="AK72" s="118"/>
      <c r="AL72" s="118"/>
      <c r="AM72" s="118"/>
      <c r="AN72" s="118"/>
      <c r="AO72" s="118"/>
      <c r="AP72" s="118"/>
      <c r="AQ72" s="118"/>
      <c r="AR72" s="118"/>
      <c r="AS72" s="118"/>
    </row>
    <row r="73" spans="1:45" s="138" customFormat="1" ht="15" customHeight="1" x14ac:dyDescent="0.2">
      <c r="A73" s="111"/>
      <c r="B73" s="111"/>
      <c r="C73" s="112"/>
      <c r="D73" s="113"/>
      <c r="E73" s="111"/>
      <c r="F73" s="111"/>
      <c r="G73" s="111"/>
      <c r="H73" s="111"/>
      <c r="I73" s="111"/>
      <c r="J73" s="111"/>
      <c r="K73" s="111"/>
      <c r="L73" s="111"/>
      <c r="M73" s="111"/>
      <c r="N73" s="111"/>
      <c r="O73" s="111"/>
      <c r="P73" s="111"/>
      <c r="Q73" s="111"/>
      <c r="R73" s="111"/>
      <c r="S73" s="111"/>
      <c r="T73" s="111"/>
      <c r="U73" s="111"/>
      <c r="V73" s="111"/>
      <c r="W73" s="111"/>
      <c r="X73" s="111"/>
      <c r="Y73" s="111"/>
      <c r="Z73" s="111"/>
      <c r="AA73" s="111"/>
      <c r="AB73" s="111"/>
      <c r="AC73" s="111"/>
      <c r="AD73" s="111"/>
      <c r="AE73" s="111"/>
      <c r="AF73" s="111"/>
      <c r="AG73" s="111"/>
      <c r="AH73" s="111"/>
      <c r="AI73" s="111"/>
      <c r="AJ73" s="111"/>
      <c r="AK73" s="111"/>
      <c r="AL73" s="111"/>
      <c r="AM73" s="111"/>
      <c r="AN73" s="111"/>
      <c r="AO73" s="111"/>
      <c r="AP73" s="111"/>
      <c r="AQ73" s="111"/>
      <c r="AR73" s="111"/>
      <c r="AS73" s="111"/>
    </row>
    <row r="74" spans="1:45" ht="15" customHeight="1" x14ac:dyDescent="0.2"/>
    <row r="75" spans="1:45" ht="15" customHeight="1" x14ac:dyDescent="0.2"/>
    <row r="76" spans="1:45" ht="15" customHeight="1" x14ac:dyDescent="0.2"/>
    <row r="77" spans="1:45" ht="90" x14ac:dyDescent="1.1499999999999999">
      <c r="I77" s="143"/>
    </row>
  </sheetData>
  <sheetProtection password="E787" sheet="1" objects="1" scenarios="1"/>
  <dataConsolidate/>
  <mergeCells count="5">
    <mergeCell ref="O20:P20"/>
    <mergeCell ref="C5:P5"/>
    <mergeCell ref="E27:M27"/>
    <mergeCell ref="E25:M25"/>
    <mergeCell ref="F20:M20"/>
  </mergeCells>
  <dataValidations count="2">
    <dataValidation type="list" allowBlank="1" showInputMessage="1" showErrorMessage="1" sqref="WVG983015:WVP983015 IU65511:JD65511 SQ65511:SZ65511 ACM65511:ACV65511 AMI65511:AMR65511 AWE65511:AWN65511 BGA65511:BGJ65511 BPW65511:BQF65511 BZS65511:CAB65511 CJO65511:CJX65511 CTK65511:CTT65511 DDG65511:DDP65511 DNC65511:DNL65511 DWY65511:DXH65511 EGU65511:EHD65511 EQQ65511:EQZ65511 FAM65511:FAV65511 FKI65511:FKR65511 FUE65511:FUN65511 GEA65511:GEJ65511 GNW65511:GOF65511 GXS65511:GYB65511 HHO65511:HHX65511 HRK65511:HRT65511 IBG65511:IBP65511 ILC65511:ILL65511 IUY65511:IVH65511 JEU65511:JFD65511 JOQ65511:JOZ65511 JYM65511:JYV65511 KII65511:KIR65511 KSE65511:KSN65511 LCA65511:LCJ65511 LLW65511:LMF65511 LVS65511:LWB65511 MFO65511:MFX65511 MPK65511:MPT65511 MZG65511:MZP65511 NJC65511:NJL65511 NSY65511:NTH65511 OCU65511:ODD65511 OMQ65511:OMZ65511 OWM65511:OWV65511 PGI65511:PGR65511 PQE65511:PQN65511 QAA65511:QAJ65511 QJW65511:QKF65511 QTS65511:QUB65511 RDO65511:RDX65511 RNK65511:RNT65511 RXG65511:RXP65511 SHC65511:SHL65511 SQY65511:SRH65511 TAU65511:TBD65511 TKQ65511:TKZ65511 TUM65511:TUV65511 UEI65511:UER65511 UOE65511:UON65511 UYA65511:UYJ65511 VHW65511:VIF65511 VRS65511:VSB65511 WBO65511:WBX65511 WLK65511:WLT65511 WVG65511:WVP65511 IU131047:JD131047 SQ131047:SZ131047 ACM131047:ACV131047 AMI131047:AMR131047 AWE131047:AWN131047 BGA131047:BGJ131047 BPW131047:BQF131047 BZS131047:CAB131047 CJO131047:CJX131047 CTK131047:CTT131047 DDG131047:DDP131047 DNC131047:DNL131047 DWY131047:DXH131047 EGU131047:EHD131047 EQQ131047:EQZ131047 FAM131047:FAV131047 FKI131047:FKR131047 FUE131047:FUN131047 GEA131047:GEJ131047 GNW131047:GOF131047 GXS131047:GYB131047 HHO131047:HHX131047 HRK131047:HRT131047 IBG131047:IBP131047 ILC131047:ILL131047 IUY131047:IVH131047 JEU131047:JFD131047 JOQ131047:JOZ131047 JYM131047:JYV131047 KII131047:KIR131047 KSE131047:KSN131047 LCA131047:LCJ131047 LLW131047:LMF131047 LVS131047:LWB131047 MFO131047:MFX131047 MPK131047:MPT131047 MZG131047:MZP131047 NJC131047:NJL131047 NSY131047:NTH131047 OCU131047:ODD131047 OMQ131047:OMZ131047 OWM131047:OWV131047 PGI131047:PGR131047 PQE131047:PQN131047 QAA131047:QAJ131047 QJW131047:QKF131047 QTS131047:QUB131047 RDO131047:RDX131047 RNK131047:RNT131047 RXG131047:RXP131047 SHC131047:SHL131047 SQY131047:SRH131047 TAU131047:TBD131047 TKQ131047:TKZ131047 TUM131047:TUV131047 UEI131047:UER131047 UOE131047:UON131047 UYA131047:UYJ131047 VHW131047:VIF131047 VRS131047:VSB131047 WBO131047:WBX131047 WLK131047:WLT131047 WVG131047:WVP131047 IU196583:JD196583 SQ196583:SZ196583 ACM196583:ACV196583 AMI196583:AMR196583 AWE196583:AWN196583 BGA196583:BGJ196583 BPW196583:BQF196583 BZS196583:CAB196583 CJO196583:CJX196583 CTK196583:CTT196583 DDG196583:DDP196583 DNC196583:DNL196583 DWY196583:DXH196583 EGU196583:EHD196583 EQQ196583:EQZ196583 FAM196583:FAV196583 FKI196583:FKR196583 FUE196583:FUN196583 GEA196583:GEJ196583 GNW196583:GOF196583 GXS196583:GYB196583 HHO196583:HHX196583 HRK196583:HRT196583 IBG196583:IBP196583 ILC196583:ILL196583 IUY196583:IVH196583 JEU196583:JFD196583 JOQ196583:JOZ196583 JYM196583:JYV196583 KII196583:KIR196583 KSE196583:KSN196583 LCA196583:LCJ196583 LLW196583:LMF196583 LVS196583:LWB196583 MFO196583:MFX196583 MPK196583:MPT196583 MZG196583:MZP196583 NJC196583:NJL196583 NSY196583:NTH196583 OCU196583:ODD196583 OMQ196583:OMZ196583 OWM196583:OWV196583 PGI196583:PGR196583 PQE196583:PQN196583 QAA196583:QAJ196583 QJW196583:QKF196583 QTS196583:QUB196583 RDO196583:RDX196583 RNK196583:RNT196583 RXG196583:RXP196583 SHC196583:SHL196583 SQY196583:SRH196583 TAU196583:TBD196583 TKQ196583:TKZ196583 TUM196583:TUV196583 UEI196583:UER196583 UOE196583:UON196583 UYA196583:UYJ196583 VHW196583:VIF196583 VRS196583:VSB196583 WBO196583:WBX196583 WLK196583:WLT196583 WVG196583:WVP196583 IU262119:JD262119 SQ262119:SZ262119 ACM262119:ACV262119 AMI262119:AMR262119 AWE262119:AWN262119 BGA262119:BGJ262119 BPW262119:BQF262119 BZS262119:CAB262119 CJO262119:CJX262119 CTK262119:CTT262119 DDG262119:DDP262119 DNC262119:DNL262119 DWY262119:DXH262119 EGU262119:EHD262119 EQQ262119:EQZ262119 FAM262119:FAV262119 FKI262119:FKR262119 FUE262119:FUN262119 GEA262119:GEJ262119 GNW262119:GOF262119 GXS262119:GYB262119 HHO262119:HHX262119 HRK262119:HRT262119 IBG262119:IBP262119 ILC262119:ILL262119 IUY262119:IVH262119 JEU262119:JFD262119 JOQ262119:JOZ262119 JYM262119:JYV262119 KII262119:KIR262119 KSE262119:KSN262119 LCA262119:LCJ262119 LLW262119:LMF262119 LVS262119:LWB262119 MFO262119:MFX262119 MPK262119:MPT262119 MZG262119:MZP262119 NJC262119:NJL262119 NSY262119:NTH262119 OCU262119:ODD262119 OMQ262119:OMZ262119 OWM262119:OWV262119 PGI262119:PGR262119 PQE262119:PQN262119 QAA262119:QAJ262119 QJW262119:QKF262119 QTS262119:QUB262119 RDO262119:RDX262119 RNK262119:RNT262119 RXG262119:RXP262119 SHC262119:SHL262119 SQY262119:SRH262119 TAU262119:TBD262119 TKQ262119:TKZ262119 TUM262119:TUV262119 UEI262119:UER262119 UOE262119:UON262119 UYA262119:UYJ262119 VHW262119:VIF262119 VRS262119:VSB262119 WBO262119:WBX262119 WLK262119:WLT262119 WVG262119:WVP262119 IU327655:JD327655 SQ327655:SZ327655 ACM327655:ACV327655 AMI327655:AMR327655 AWE327655:AWN327655 BGA327655:BGJ327655 BPW327655:BQF327655 BZS327655:CAB327655 CJO327655:CJX327655 CTK327655:CTT327655 DDG327655:DDP327655 DNC327655:DNL327655 DWY327655:DXH327655 EGU327655:EHD327655 EQQ327655:EQZ327655 FAM327655:FAV327655 FKI327655:FKR327655 FUE327655:FUN327655 GEA327655:GEJ327655 GNW327655:GOF327655 GXS327655:GYB327655 HHO327655:HHX327655 HRK327655:HRT327655 IBG327655:IBP327655 ILC327655:ILL327655 IUY327655:IVH327655 JEU327655:JFD327655 JOQ327655:JOZ327655 JYM327655:JYV327655 KII327655:KIR327655 KSE327655:KSN327655 LCA327655:LCJ327655 LLW327655:LMF327655 LVS327655:LWB327655 MFO327655:MFX327655 MPK327655:MPT327655 MZG327655:MZP327655 NJC327655:NJL327655 NSY327655:NTH327655 OCU327655:ODD327655 OMQ327655:OMZ327655 OWM327655:OWV327655 PGI327655:PGR327655 PQE327655:PQN327655 QAA327655:QAJ327655 QJW327655:QKF327655 QTS327655:QUB327655 RDO327655:RDX327655 RNK327655:RNT327655 RXG327655:RXP327655 SHC327655:SHL327655 SQY327655:SRH327655 TAU327655:TBD327655 TKQ327655:TKZ327655 TUM327655:TUV327655 UEI327655:UER327655 UOE327655:UON327655 UYA327655:UYJ327655 VHW327655:VIF327655 VRS327655:VSB327655 WBO327655:WBX327655 WLK327655:WLT327655 WVG327655:WVP327655 IU393191:JD393191 SQ393191:SZ393191 ACM393191:ACV393191 AMI393191:AMR393191 AWE393191:AWN393191 BGA393191:BGJ393191 BPW393191:BQF393191 BZS393191:CAB393191 CJO393191:CJX393191 CTK393191:CTT393191 DDG393191:DDP393191 DNC393191:DNL393191 DWY393191:DXH393191 EGU393191:EHD393191 EQQ393191:EQZ393191 FAM393191:FAV393191 FKI393191:FKR393191 FUE393191:FUN393191 GEA393191:GEJ393191 GNW393191:GOF393191 GXS393191:GYB393191 HHO393191:HHX393191 HRK393191:HRT393191 IBG393191:IBP393191 ILC393191:ILL393191 IUY393191:IVH393191 JEU393191:JFD393191 JOQ393191:JOZ393191 JYM393191:JYV393191 KII393191:KIR393191 KSE393191:KSN393191 LCA393191:LCJ393191 LLW393191:LMF393191 LVS393191:LWB393191 MFO393191:MFX393191 MPK393191:MPT393191 MZG393191:MZP393191 NJC393191:NJL393191 NSY393191:NTH393191 OCU393191:ODD393191 OMQ393191:OMZ393191 OWM393191:OWV393191 PGI393191:PGR393191 PQE393191:PQN393191 QAA393191:QAJ393191 QJW393191:QKF393191 QTS393191:QUB393191 RDO393191:RDX393191 RNK393191:RNT393191 RXG393191:RXP393191 SHC393191:SHL393191 SQY393191:SRH393191 TAU393191:TBD393191 TKQ393191:TKZ393191 TUM393191:TUV393191 UEI393191:UER393191 UOE393191:UON393191 UYA393191:UYJ393191 VHW393191:VIF393191 VRS393191:VSB393191 WBO393191:WBX393191 WLK393191:WLT393191 WVG393191:WVP393191 IU458727:JD458727 SQ458727:SZ458727 ACM458727:ACV458727 AMI458727:AMR458727 AWE458727:AWN458727 BGA458727:BGJ458727 BPW458727:BQF458727 BZS458727:CAB458727 CJO458727:CJX458727 CTK458727:CTT458727 DDG458727:DDP458727 DNC458727:DNL458727 DWY458727:DXH458727 EGU458727:EHD458727 EQQ458727:EQZ458727 FAM458727:FAV458727 FKI458727:FKR458727 FUE458727:FUN458727 GEA458727:GEJ458727 GNW458727:GOF458727 GXS458727:GYB458727 HHO458727:HHX458727 HRK458727:HRT458727 IBG458727:IBP458727 ILC458727:ILL458727 IUY458727:IVH458727 JEU458727:JFD458727 JOQ458727:JOZ458727 JYM458727:JYV458727 KII458727:KIR458727 KSE458727:KSN458727 LCA458727:LCJ458727 LLW458727:LMF458727 LVS458727:LWB458727 MFO458727:MFX458727 MPK458727:MPT458727 MZG458727:MZP458727 NJC458727:NJL458727 NSY458727:NTH458727 OCU458727:ODD458727 OMQ458727:OMZ458727 OWM458727:OWV458727 PGI458727:PGR458727 PQE458727:PQN458727 QAA458727:QAJ458727 QJW458727:QKF458727 QTS458727:QUB458727 RDO458727:RDX458727 RNK458727:RNT458727 RXG458727:RXP458727 SHC458727:SHL458727 SQY458727:SRH458727 TAU458727:TBD458727 TKQ458727:TKZ458727 TUM458727:TUV458727 UEI458727:UER458727 UOE458727:UON458727 UYA458727:UYJ458727 VHW458727:VIF458727 VRS458727:VSB458727 WBO458727:WBX458727 WLK458727:WLT458727 WVG458727:WVP458727 IU524263:JD524263 SQ524263:SZ524263 ACM524263:ACV524263 AMI524263:AMR524263 AWE524263:AWN524263 BGA524263:BGJ524263 BPW524263:BQF524263 BZS524263:CAB524263 CJO524263:CJX524263 CTK524263:CTT524263 DDG524263:DDP524263 DNC524263:DNL524263 DWY524263:DXH524263 EGU524263:EHD524263 EQQ524263:EQZ524263 FAM524263:FAV524263 FKI524263:FKR524263 FUE524263:FUN524263 GEA524263:GEJ524263 GNW524263:GOF524263 GXS524263:GYB524263 HHO524263:HHX524263 HRK524263:HRT524263 IBG524263:IBP524263 ILC524263:ILL524263 IUY524263:IVH524263 JEU524263:JFD524263 JOQ524263:JOZ524263 JYM524263:JYV524263 KII524263:KIR524263 KSE524263:KSN524263 LCA524263:LCJ524263 LLW524263:LMF524263 LVS524263:LWB524263 MFO524263:MFX524263 MPK524263:MPT524263 MZG524263:MZP524263 NJC524263:NJL524263 NSY524263:NTH524263 OCU524263:ODD524263 OMQ524263:OMZ524263 OWM524263:OWV524263 PGI524263:PGR524263 PQE524263:PQN524263 QAA524263:QAJ524263 QJW524263:QKF524263 QTS524263:QUB524263 RDO524263:RDX524263 RNK524263:RNT524263 RXG524263:RXP524263 SHC524263:SHL524263 SQY524263:SRH524263 TAU524263:TBD524263 TKQ524263:TKZ524263 TUM524263:TUV524263 UEI524263:UER524263 UOE524263:UON524263 UYA524263:UYJ524263 VHW524263:VIF524263 VRS524263:VSB524263 WBO524263:WBX524263 WLK524263:WLT524263 WVG524263:WVP524263 IU589799:JD589799 SQ589799:SZ589799 ACM589799:ACV589799 AMI589799:AMR589799 AWE589799:AWN589799 BGA589799:BGJ589799 BPW589799:BQF589799 BZS589799:CAB589799 CJO589799:CJX589799 CTK589799:CTT589799 DDG589799:DDP589799 DNC589799:DNL589799 DWY589799:DXH589799 EGU589799:EHD589799 EQQ589799:EQZ589799 FAM589799:FAV589799 FKI589799:FKR589799 FUE589799:FUN589799 GEA589799:GEJ589799 GNW589799:GOF589799 GXS589799:GYB589799 HHO589799:HHX589799 HRK589799:HRT589799 IBG589799:IBP589799 ILC589799:ILL589799 IUY589799:IVH589799 JEU589799:JFD589799 JOQ589799:JOZ589799 JYM589799:JYV589799 KII589799:KIR589799 KSE589799:KSN589799 LCA589799:LCJ589799 LLW589799:LMF589799 LVS589799:LWB589799 MFO589799:MFX589799 MPK589799:MPT589799 MZG589799:MZP589799 NJC589799:NJL589799 NSY589799:NTH589799 OCU589799:ODD589799 OMQ589799:OMZ589799 OWM589799:OWV589799 PGI589799:PGR589799 PQE589799:PQN589799 QAA589799:QAJ589799 QJW589799:QKF589799 QTS589799:QUB589799 RDO589799:RDX589799 RNK589799:RNT589799 RXG589799:RXP589799 SHC589799:SHL589799 SQY589799:SRH589799 TAU589799:TBD589799 TKQ589799:TKZ589799 TUM589799:TUV589799 UEI589799:UER589799 UOE589799:UON589799 UYA589799:UYJ589799 VHW589799:VIF589799 VRS589799:VSB589799 WBO589799:WBX589799 WLK589799:WLT589799 WVG589799:WVP589799 IU655335:JD655335 SQ655335:SZ655335 ACM655335:ACV655335 AMI655335:AMR655335 AWE655335:AWN655335 BGA655335:BGJ655335 BPW655335:BQF655335 BZS655335:CAB655335 CJO655335:CJX655335 CTK655335:CTT655335 DDG655335:DDP655335 DNC655335:DNL655335 DWY655335:DXH655335 EGU655335:EHD655335 EQQ655335:EQZ655335 FAM655335:FAV655335 FKI655335:FKR655335 FUE655335:FUN655335 GEA655335:GEJ655335 GNW655335:GOF655335 GXS655335:GYB655335 HHO655335:HHX655335 HRK655335:HRT655335 IBG655335:IBP655335 ILC655335:ILL655335 IUY655335:IVH655335 JEU655335:JFD655335 JOQ655335:JOZ655335 JYM655335:JYV655335 KII655335:KIR655335 KSE655335:KSN655335 LCA655335:LCJ655335 LLW655335:LMF655335 LVS655335:LWB655335 MFO655335:MFX655335 MPK655335:MPT655335 MZG655335:MZP655335 NJC655335:NJL655335 NSY655335:NTH655335 OCU655335:ODD655335 OMQ655335:OMZ655335 OWM655335:OWV655335 PGI655335:PGR655335 PQE655335:PQN655335 QAA655335:QAJ655335 QJW655335:QKF655335 QTS655335:QUB655335 RDO655335:RDX655335 RNK655335:RNT655335 RXG655335:RXP655335 SHC655335:SHL655335 SQY655335:SRH655335 TAU655335:TBD655335 TKQ655335:TKZ655335 TUM655335:TUV655335 UEI655335:UER655335 UOE655335:UON655335 UYA655335:UYJ655335 VHW655335:VIF655335 VRS655335:VSB655335 WBO655335:WBX655335 WLK655335:WLT655335 WVG655335:WVP655335 IU720871:JD720871 SQ720871:SZ720871 ACM720871:ACV720871 AMI720871:AMR720871 AWE720871:AWN720871 BGA720871:BGJ720871 BPW720871:BQF720871 BZS720871:CAB720871 CJO720871:CJX720871 CTK720871:CTT720871 DDG720871:DDP720871 DNC720871:DNL720871 DWY720871:DXH720871 EGU720871:EHD720871 EQQ720871:EQZ720871 FAM720871:FAV720871 FKI720871:FKR720871 FUE720871:FUN720871 GEA720871:GEJ720871 GNW720871:GOF720871 GXS720871:GYB720871 HHO720871:HHX720871 HRK720871:HRT720871 IBG720871:IBP720871 ILC720871:ILL720871 IUY720871:IVH720871 JEU720871:JFD720871 JOQ720871:JOZ720871 JYM720871:JYV720871 KII720871:KIR720871 KSE720871:KSN720871 LCA720871:LCJ720871 LLW720871:LMF720871 LVS720871:LWB720871 MFO720871:MFX720871 MPK720871:MPT720871 MZG720871:MZP720871 NJC720871:NJL720871 NSY720871:NTH720871 OCU720871:ODD720871 OMQ720871:OMZ720871 OWM720871:OWV720871 PGI720871:PGR720871 PQE720871:PQN720871 QAA720871:QAJ720871 QJW720871:QKF720871 QTS720871:QUB720871 RDO720871:RDX720871 RNK720871:RNT720871 RXG720871:RXP720871 SHC720871:SHL720871 SQY720871:SRH720871 TAU720871:TBD720871 TKQ720871:TKZ720871 TUM720871:TUV720871 UEI720871:UER720871 UOE720871:UON720871 UYA720871:UYJ720871 VHW720871:VIF720871 VRS720871:VSB720871 WBO720871:WBX720871 WLK720871:WLT720871 WVG720871:WVP720871 IU786407:JD786407 SQ786407:SZ786407 ACM786407:ACV786407 AMI786407:AMR786407 AWE786407:AWN786407 BGA786407:BGJ786407 BPW786407:BQF786407 BZS786407:CAB786407 CJO786407:CJX786407 CTK786407:CTT786407 DDG786407:DDP786407 DNC786407:DNL786407 DWY786407:DXH786407 EGU786407:EHD786407 EQQ786407:EQZ786407 FAM786407:FAV786407 FKI786407:FKR786407 FUE786407:FUN786407 GEA786407:GEJ786407 GNW786407:GOF786407 GXS786407:GYB786407 HHO786407:HHX786407 HRK786407:HRT786407 IBG786407:IBP786407 ILC786407:ILL786407 IUY786407:IVH786407 JEU786407:JFD786407 JOQ786407:JOZ786407 JYM786407:JYV786407 KII786407:KIR786407 KSE786407:KSN786407 LCA786407:LCJ786407 LLW786407:LMF786407 LVS786407:LWB786407 MFO786407:MFX786407 MPK786407:MPT786407 MZG786407:MZP786407 NJC786407:NJL786407 NSY786407:NTH786407 OCU786407:ODD786407 OMQ786407:OMZ786407 OWM786407:OWV786407 PGI786407:PGR786407 PQE786407:PQN786407 QAA786407:QAJ786407 QJW786407:QKF786407 QTS786407:QUB786407 RDO786407:RDX786407 RNK786407:RNT786407 RXG786407:RXP786407 SHC786407:SHL786407 SQY786407:SRH786407 TAU786407:TBD786407 TKQ786407:TKZ786407 TUM786407:TUV786407 UEI786407:UER786407 UOE786407:UON786407 UYA786407:UYJ786407 VHW786407:VIF786407 VRS786407:VSB786407 WBO786407:WBX786407 WLK786407:WLT786407 WVG786407:WVP786407 IU851943:JD851943 SQ851943:SZ851943 ACM851943:ACV851943 AMI851943:AMR851943 AWE851943:AWN851943 BGA851943:BGJ851943 BPW851943:BQF851943 BZS851943:CAB851943 CJO851943:CJX851943 CTK851943:CTT851943 DDG851943:DDP851943 DNC851943:DNL851943 DWY851943:DXH851943 EGU851943:EHD851943 EQQ851943:EQZ851943 FAM851943:FAV851943 FKI851943:FKR851943 FUE851943:FUN851943 GEA851943:GEJ851943 GNW851943:GOF851943 GXS851943:GYB851943 HHO851943:HHX851943 HRK851943:HRT851943 IBG851943:IBP851943 ILC851943:ILL851943 IUY851943:IVH851943 JEU851943:JFD851943 JOQ851943:JOZ851943 JYM851943:JYV851943 KII851943:KIR851943 KSE851943:KSN851943 LCA851943:LCJ851943 LLW851943:LMF851943 LVS851943:LWB851943 MFO851943:MFX851943 MPK851943:MPT851943 MZG851943:MZP851943 NJC851943:NJL851943 NSY851943:NTH851943 OCU851943:ODD851943 OMQ851943:OMZ851943 OWM851943:OWV851943 PGI851943:PGR851943 PQE851943:PQN851943 QAA851943:QAJ851943 QJW851943:QKF851943 QTS851943:QUB851943 RDO851943:RDX851943 RNK851943:RNT851943 RXG851943:RXP851943 SHC851943:SHL851943 SQY851943:SRH851943 TAU851943:TBD851943 TKQ851943:TKZ851943 TUM851943:TUV851943 UEI851943:UER851943 UOE851943:UON851943 UYA851943:UYJ851943 VHW851943:VIF851943 VRS851943:VSB851943 WBO851943:WBX851943 WLK851943:WLT851943 WVG851943:WVP851943 IU917479:JD917479 SQ917479:SZ917479 ACM917479:ACV917479 AMI917479:AMR917479 AWE917479:AWN917479 BGA917479:BGJ917479 BPW917479:BQF917479 BZS917479:CAB917479 CJO917479:CJX917479 CTK917479:CTT917479 DDG917479:DDP917479 DNC917479:DNL917479 DWY917479:DXH917479 EGU917479:EHD917479 EQQ917479:EQZ917479 FAM917479:FAV917479 FKI917479:FKR917479 FUE917479:FUN917479 GEA917479:GEJ917479 GNW917479:GOF917479 GXS917479:GYB917479 HHO917479:HHX917479 HRK917479:HRT917479 IBG917479:IBP917479 ILC917479:ILL917479 IUY917479:IVH917479 JEU917479:JFD917479 JOQ917479:JOZ917479 JYM917479:JYV917479 KII917479:KIR917479 KSE917479:KSN917479 LCA917479:LCJ917479 LLW917479:LMF917479 LVS917479:LWB917479 MFO917479:MFX917479 MPK917479:MPT917479 MZG917479:MZP917479 NJC917479:NJL917479 NSY917479:NTH917479 OCU917479:ODD917479 OMQ917479:OMZ917479 OWM917479:OWV917479 PGI917479:PGR917479 PQE917479:PQN917479 QAA917479:QAJ917479 QJW917479:QKF917479 QTS917479:QUB917479 RDO917479:RDX917479 RNK917479:RNT917479 RXG917479:RXP917479 SHC917479:SHL917479 SQY917479:SRH917479 TAU917479:TBD917479 TKQ917479:TKZ917479 TUM917479:TUV917479 UEI917479:UER917479 UOE917479:UON917479 UYA917479:UYJ917479 VHW917479:VIF917479 VRS917479:VSB917479 WBO917479:WBX917479 WLK917479:WLT917479 WVG917479:WVP917479 IU983015:JD983015 SQ983015:SZ983015 ACM983015:ACV983015 AMI983015:AMR983015 AWE983015:AWN983015 BGA983015:BGJ983015 BPW983015:BQF983015 BZS983015:CAB983015 CJO983015:CJX983015 CTK983015:CTT983015 DDG983015:DDP983015 DNC983015:DNL983015 DWY983015:DXH983015 EGU983015:EHD983015 EQQ983015:EQZ983015 FAM983015:FAV983015 FKI983015:FKR983015 FUE983015:FUN983015 GEA983015:GEJ983015 GNW983015:GOF983015 GXS983015:GYB983015 HHO983015:HHX983015 HRK983015:HRT983015 IBG983015:IBP983015 ILC983015:ILL983015 IUY983015:IVH983015 JEU983015:JFD983015 JOQ983015:JOZ983015 JYM983015:JYV983015 KII983015:KIR983015 KSE983015:KSN983015 LCA983015:LCJ983015 LLW983015:LMF983015 LVS983015:LWB983015 MFO983015:MFX983015 MPK983015:MPT983015 MZG983015:MZP983015 NJC983015:NJL983015 NSY983015:NTH983015 OCU983015:ODD983015 OMQ983015:OMZ983015 OWM983015:OWV983015 PGI983015:PGR983015 PQE983015:PQN983015 QAA983015:QAJ983015 QJW983015:QKF983015 QTS983015:QUB983015 RDO983015:RDX983015 RNK983015:RNT983015 RXG983015:RXP983015 SHC983015:SHL983015 SQY983015:SRH983015 TAU983015:TBD983015 TKQ983015:TKZ983015 TUM983015:TUV983015 UEI983015:UER983015 UOE983015:UON983015 UYA983015:UYJ983015 VHW983015:VIF983015 VRS983015:VSB983015 WBO983015:WBX983015 WLK983015:WLT983015 E983015:L983015 E917479:L917479 E851943:L851943 E786407:L786407 E720871:L720871 E655335:L655335 E589799:L589799 E524263:L524263 E458727:L458727 E393191:L393191 E327655:L327655 E262119:L262119 E196583:L196583 E131047:L131047 E65511:L65511 IV20:JE20 SR20:TA20 ACN20:ACW20 AMJ20:AMS20 AWF20:AWO20 BGB20:BGK20 BPX20:BQG20 BZT20:CAC20 CJP20:CJY20 CTL20:CTU20 DDH20:DDQ20 DND20:DNM20 DWZ20:DXI20 EGV20:EHE20 EQR20:ERA20 FAN20:FAW20 FKJ20:FKS20 FUF20:FUO20 GEB20:GEK20 GNX20:GOG20 GXT20:GYC20 HHP20:HHY20 HRL20:HRU20 IBH20:IBQ20 ILD20:ILM20 IUZ20:IVI20 JEV20:JFE20 JOR20:JPA20 JYN20:JYW20 KIJ20:KIS20 KSF20:KSO20 LCB20:LCK20 LLX20:LMG20 LVT20:LWC20 MFP20:MFY20 MPL20:MPU20 MZH20:MZQ20 NJD20:NJM20 NSZ20:NTI20 OCV20:ODE20 OMR20:ONA20 OWN20:OWW20 PGJ20:PGS20 PQF20:PQO20 QAB20:QAK20 QJX20:QKG20 QTT20:QUC20 RDP20:RDY20 RNL20:RNU20 RXH20:RXQ20 SHD20:SHM20 SQZ20:SRI20 TAV20:TBE20 TKR20:TLA20 TUN20:TUW20 UEJ20:UES20 UOF20:UOO20 UYB20:UYK20 VHX20:VIG20 VRT20:VSC20 WBP20:WBY20 WLL20:WLU20 WVH20:WVQ20">
      <formula1>dist_county</formula1>
    </dataValidation>
    <dataValidation type="list" allowBlank="1" showInputMessage="1" showErrorMessage="1" sqref="F20:M20">
      <formula1>dist</formula1>
    </dataValidation>
  </dataValidations>
  <pageMargins left="0.7" right="0.7" top="0.75" bottom="0.75" header="0.3" footer="0.3"/>
  <pageSetup scale="61" fitToHeight="0" orientation="portrait" verticalDpi="4" r:id="rId1"/>
  <headerFooter>
    <oddFooter>&amp;LFY2012 ODE SF-6 Excess Cost Per Capita Form</oddFooter>
  </headerFooter>
  <ignoredErrors>
    <ignoredError sqref="D24 D26 D39" numberStoredAsText="1"/>
    <ignoredError sqref="N27 N25:O25 N37:P39 O26 N29 N28 P27 N31 N30 P30 N32 P32 P33 P34 P35 P36 P29 P31 N33:N36 O4 P25 O28 O29 O31 O27 O32:O36 O30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R285"/>
  <sheetViews>
    <sheetView zoomScale="80" zoomScaleNormal="80" workbookViewId="0">
      <selection activeCell="F18" sqref="F18:M18"/>
    </sheetView>
  </sheetViews>
  <sheetFormatPr defaultRowHeight="12.75" x14ac:dyDescent="0.2"/>
  <cols>
    <col min="1" max="1" width="9.140625" style="41"/>
    <col min="2" max="2" width="11.5703125" style="41" customWidth="1"/>
    <col min="3" max="3" width="12.85546875" style="43" customWidth="1"/>
    <col min="4" max="4" width="5.85546875" style="120" customWidth="1"/>
    <col min="5" max="5" width="3.85546875" style="43" customWidth="1"/>
    <col min="6" max="7" width="7.42578125" style="43" customWidth="1"/>
    <col min="8" max="8" width="14.85546875" style="43" customWidth="1"/>
    <col min="9" max="11" width="7.7109375" style="43" customWidth="1"/>
    <col min="12" max="12" width="12" style="43" customWidth="1"/>
    <col min="13" max="13" width="11.5703125" style="43" customWidth="1"/>
    <col min="14" max="15" width="15.7109375" style="43" customWidth="1"/>
    <col min="16" max="16" width="18.85546875" style="43" customWidth="1"/>
    <col min="17" max="17" width="15.7109375" style="43" customWidth="1"/>
    <col min="18" max="44" width="9.140625" style="41"/>
    <col min="45" max="253" width="9.140625" style="43"/>
    <col min="254" max="254" width="6.28515625" style="43" customWidth="1"/>
    <col min="255" max="255" width="3.140625" style="43" customWidth="1"/>
    <col min="256" max="256" width="7.7109375" style="43" customWidth="1"/>
    <col min="257" max="257" width="6.7109375" style="43" customWidth="1"/>
    <col min="258" max="258" width="7.7109375" style="43" customWidth="1"/>
    <col min="259" max="259" width="7.42578125" style="43" customWidth="1"/>
    <col min="260" max="260" width="7.7109375" style="43" customWidth="1"/>
    <col min="261" max="261" width="6.7109375" style="43" customWidth="1"/>
    <col min="262" max="262" width="2.28515625" style="43" customWidth="1"/>
    <col min="263" max="263" width="9" style="43" customWidth="1"/>
    <col min="264" max="264" width="1.7109375" style="43" customWidth="1"/>
    <col min="265" max="265" width="4.42578125" style="43" customWidth="1"/>
    <col min="266" max="266" width="17.140625" style="43" customWidth="1"/>
    <col min="267" max="267" width="1.5703125" style="43" customWidth="1"/>
    <col min="268" max="268" width="10.5703125" style="43" customWidth="1"/>
    <col min="269" max="269" width="1.7109375" style="43" customWidth="1"/>
    <col min="270" max="270" width="9.85546875" style="43" customWidth="1"/>
    <col min="271" max="271" width="0.85546875" style="43" customWidth="1"/>
    <col min="272" max="272" width="10.85546875" style="43" customWidth="1"/>
    <col min="273" max="273" width="1.85546875" style="43" customWidth="1"/>
    <col min="274" max="509" width="9.140625" style="43"/>
    <col min="510" max="510" width="6.28515625" style="43" customWidth="1"/>
    <col min="511" max="511" width="3.140625" style="43" customWidth="1"/>
    <col min="512" max="512" width="7.7109375" style="43" customWidth="1"/>
    <col min="513" max="513" width="6.7109375" style="43" customWidth="1"/>
    <col min="514" max="514" width="7.7109375" style="43" customWidth="1"/>
    <col min="515" max="515" width="7.42578125" style="43" customWidth="1"/>
    <col min="516" max="516" width="7.7109375" style="43" customWidth="1"/>
    <col min="517" max="517" width="6.7109375" style="43" customWidth="1"/>
    <col min="518" max="518" width="2.28515625" style="43" customWidth="1"/>
    <col min="519" max="519" width="9" style="43" customWidth="1"/>
    <col min="520" max="520" width="1.7109375" style="43" customWidth="1"/>
    <col min="521" max="521" width="4.42578125" style="43" customWidth="1"/>
    <col min="522" max="522" width="17.140625" style="43" customWidth="1"/>
    <col min="523" max="523" width="1.5703125" style="43" customWidth="1"/>
    <col min="524" max="524" width="10.5703125" style="43" customWidth="1"/>
    <col min="525" max="525" width="1.7109375" style="43" customWidth="1"/>
    <col min="526" max="526" width="9.85546875" style="43" customWidth="1"/>
    <col min="527" max="527" width="0.85546875" style="43" customWidth="1"/>
    <col min="528" max="528" width="10.85546875" style="43" customWidth="1"/>
    <col min="529" max="529" width="1.85546875" style="43" customWidth="1"/>
    <col min="530" max="765" width="9.140625" style="43"/>
    <col min="766" max="766" width="6.28515625" style="43" customWidth="1"/>
    <col min="767" max="767" width="3.140625" style="43" customWidth="1"/>
    <col min="768" max="768" width="7.7109375" style="43" customWidth="1"/>
    <col min="769" max="769" width="6.7109375" style="43" customWidth="1"/>
    <col min="770" max="770" width="7.7109375" style="43" customWidth="1"/>
    <col min="771" max="771" width="7.42578125" style="43" customWidth="1"/>
    <col min="772" max="772" width="7.7109375" style="43" customWidth="1"/>
    <col min="773" max="773" width="6.7109375" style="43" customWidth="1"/>
    <col min="774" max="774" width="2.28515625" style="43" customWidth="1"/>
    <col min="775" max="775" width="9" style="43" customWidth="1"/>
    <col min="776" max="776" width="1.7109375" style="43" customWidth="1"/>
    <col min="777" max="777" width="4.42578125" style="43" customWidth="1"/>
    <col min="778" max="778" width="17.140625" style="43" customWidth="1"/>
    <col min="779" max="779" width="1.5703125" style="43" customWidth="1"/>
    <col min="780" max="780" width="10.5703125" style="43" customWidth="1"/>
    <col min="781" max="781" width="1.7109375" style="43" customWidth="1"/>
    <col min="782" max="782" width="9.85546875" style="43" customWidth="1"/>
    <col min="783" max="783" width="0.85546875" style="43" customWidth="1"/>
    <col min="784" max="784" width="10.85546875" style="43" customWidth="1"/>
    <col min="785" max="785" width="1.85546875" style="43" customWidth="1"/>
    <col min="786" max="1021" width="9.140625" style="43"/>
    <col min="1022" max="1022" width="6.28515625" style="43" customWidth="1"/>
    <col min="1023" max="1023" width="3.140625" style="43" customWidth="1"/>
    <col min="1024" max="1024" width="7.7109375" style="43" customWidth="1"/>
    <col min="1025" max="1025" width="6.7109375" style="43" customWidth="1"/>
    <col min="1026" max="1026" width="7.7109375" style="43" customWidth="1"/>
    <col min="1027" max="1027" width="7.42578125" style="43" customWidth="1"/>
    <col min="1028" max="1028" width="7.7109375" style="43" customWidth="1"/>
    <col min="1029" max="1029" width="6.7109375" style="43" customWidth="1"/>
    <col min="1030" max="1030" width="2.28515625" style="43" customWidth="1"/>
    <col min="1031" max="1031" width="9" style="43" customWidth="1"/>
    <col min="1032" max="1032" width="1.7109375" style="43" customWidth="1"/>
    <col min="1033" max="1033" width="4.42578125" style="43" customWidth="1"/>
    <col min="1034" max="1034" width="17.140625" style="43" customWidth="1"/>
    <col min="1035" max="1035" width="1.5703125" style="43" customWidth="1"/>
    <col min="1036" max="1036" width="10.5703125" style="43" customWidth="1"/>
    <col min="1037" max="1037" width="1.7109375" style="43" customWidth="1"/>
    <col min="1038" max="1038" width="9.85546875" style="43" customWidth="1"/>
    <col min="1039" max="1039" width="0.85546875" style="43" customWidth="1"/>
    <col min="1040" max="1040" width="10.85546875" style="43" customWidth="1"/>
    <col min="1041" max="1041" width="1.85546875" style="43" customWidth="1"/>
    <col min="1042" max="1277" width="9.140625" style="43"/>
    <col min="1278" max="1278" width="6.28515625" style="43" customWidth="1"/>
    <col min="1279" max="1279" width="3.140625" style="43" customWidth="1"/>
    <col min="1280" max="1280" width="7.7109375" style="43" customWidth="1"/>
    <col min="1281" max="1281" width="6.7109375" style="43" customWidth="1"/>
    <col min="1282" max="1282" width="7.7109375" style="43" customWidth="1"/>
    <col min="1283" max="1283" width="7.42578125" style="43" customWidth="1"/>
    <col min="1284" max="1284" width="7.7109375" style="43" customWidth="1"/>
    <col min="1285" max="1285" width="6.7109375" style="43" customWidth="1"/>
    <col min="1286" max="1286" width="2.28515625" style="43" customWidth="1"/>
    <col min="1287" max="1287" width="9" style="43" customWidth="1"/>
    <col min="1288" max="1288" width="1.7109375" style="43" customWidth="1"/>
    <col min="1289" max="1289" width="4.42578125" style="43" customWidth="1"/>
    <col min="1290" max="1290" width="17.140625" style="43" customWidth="1"/>
    <col min="1291" max="1291" width="1.5703125" style="43" customWidth="1"/>
    <col min="1292" max="1292" width="10.5703125" style="43" customWidth="1"/>
    <col min="1293" max="1293" width="1.7109375" style="43" customWidth="1"/>
    <col min="1294" max="1294" width="9.85546875" style="43" customWidth="1"/>
    <col min="1295" max="1295" width="0.85546875" style="43" customWidth="1"/>
    <col min="1296" max="1296" width="10.85546875" style="43" customWidth="1"/>
    <col min="1297" max="1297" width="1.85546875" style="43" customWidth="1"/>
    <col min="1298" max="1533" width="9.140625" style="43"/>
    <col min="1534" max="1534" width="6.28515625" style="43" customWidth="1"/>
    <col min="1535" max="1535" width="3.140625" style="43" customWidth="1"/>
    <col min="1536" max="1536" width="7.7109375" style="43" customWidth="1"/>
    <col min="1537" max="1537" width="6.7109375" style="43" customWidth="1"/>
    <col min="1538" max="1538" width="7.7109375" style="43" customWidth="1"/>
    <col min="1539" max="1539" width="7.42578125" style="43" customWidth="1"/>
    <col min="1540" max="1540" width="7.7109375" style="43" customWidth="1"/>
    <col min="1541" max="1541" width="6.7109375" style="43" customWidth="1"/>
    <col min="1542" max="1542" width="2.28515625" style="43" customWidth="1"/>
    <col min="1543" max="1543" width="9" style="43" customWidth="1"/>
    <col min="1544" max="1544" width="1.7109375" style="43" customWidth="1"/>
    <col min="1545" max="1545" width="4.42578125" style="43" customWidth="1"/>
    <col min="1546" max="1546" width="17.140625" style="43" customWidth="1"/>
    <col min="1547" max="1547" width="1.5703125" style="43" customWidth="1"/>
    <col min="1548" max="1548" width="10.5703125" style="43" customWidth="1"/>
    <col min="1549" max="1549" width="1.7109375" style="43" customWidth="1"/>
    <col min="1550" max="1550" width="9.85546875" style="43" customWidth="1"/>
    <col min="1551" max="1551" width="0.85546875" style="43" customWidth="1"/>
    <col min="1552" max="1552" width="10.85546875" style="43" customWidth="1"/>
    <col min="1553" max="1553" width="1.85546875" style="43" customWidth="1"/>
    <col min="1554" max="1789" width="9.140625" style="43"/>
    <col min="1790" max="1790" width="6.28515625" style="43" customWidth="1"/>
    <col min="1791" max="1791" width="3.140625" style="43" customWidth="1"/>
    <col min="1792" max="1792" width="7.7109375" style="43" customWidth="1"/>
    <col min="1793" max="1793" width="6.7109375" style="43" customWidth="1"/>
    <col min="1794" max="1794" width="7.7109375" style="43" customWidth="1"/>
    <col min="1795" max="1795" width="7.42578125" style="43" customWidth="1"/>
    <col min="1796" max="1796" width="7.7109375" style="43" customWidth="1"/>
    <col min="1797" max="1797" width="6.7109375" style="43" customWidth="1"/>
    <col min="1798" max="1798" width="2.28515625" style="43" customWidth="1"/>
    <col min="1799" max="1799" width="9" style="43" customWidth="1"/>
    <col min="1800" max="1800" width="1.7109375" style="43" customWidth="1"/>
    <col min="1801" max="1801" width="4.42578125" style="43" customWidth="1"/>
    <col min="1802" max="1802" width="17.140625" style="43" customWidth="1"/>
    <col min="1803" max="1803" width="1.5703125" style="43" customWidth="1"/>
    <col min="1804" max="1804" width="10.5703125" style="43" customWidth="1"/>
    <col min="1805" max="1805" width="1.7109375" style="43" customWidth="1"/>
    <col min="1806" max="1806" width="9.85546875" style="43" customWidth="1"/>
    <col min="1807" max="1807" width="0.85546875" style="43" customWidth="1"/>
    <col min="1808" max="1808" width="10.85546875" style="43" customWidth="1"/>
    <col min="1809" max="1809" width="1.85546875" style="43" customWidth="1"/>
    <col min="1810" max="2045" width="9.140625" style="43"/>
    <col min="2046" max="2046" width="6.28515625" style="43" customWidth="1"/>
    <col min="2047" max="2047" width="3.140625" style="43" customWidth="1"/>
    <col min="2048" max="2048" width="7.7109375" style="43" customWidth="1"/>
    <col min="2049" max="2049" width="6.7109375" style="43" customWidth="1"/>
    <col min="2050" max="2050" width="7.7109375" style="43" customWidth="1"/>
    <col min="2051" max="2051" width="7.42578125" style="43" customWidth="1"/>
    <col min="2052" max="2052" width="7.7109375" style="43" customWidth="1"/>
    <col min="2053" max="2053" width="6.7109375" style="43" customWidth="1"/>
    <col min="2054" max="2054" width="2.28515625" style="43" customWidth="1"/>
    <col min="2055" max="2055" width="9" style="43" customWidth="1"/>
    <col min="2056" max="2056" width="1.7109375" style="43" customWidth="1"/>
    <col min="2057" max="2057" width="4.42578125" style="43" customWidth="1"/>
    <col min="2058" max="2058" width="17.140625" style="43" customWidth="1"/>
    <col min="2059" max="2059" width="1.5703125" style="43" customWidth="1"/>
    <col min="2060" max="2060" width="10.5703125" style="43" customWidth="1"/>
    <col min="2061" max="2061" width="1.7109375" style="43" customWidth="1"/>
    <col min="2062" max="2062" width="9.85546875" style="43" customWidth="1"/>
    <col min="2063" max="2063" width="0.85546875" style="43" customWidth="1"/>
    <col min="2064" max="2064" width="10.85546875" style="43" customWidth="1"/>
    <col min="2065" max="2065" width="1.85546875" style="43" customWidth="1"/>
    <col min="2066" max="2301" width="9.140625" style="43"/>
    <col min="2302" max="2302" width="6.28515625" style="43" customWidth="1"/>
    <col min="2303" max="2303" width="3.140625" style="43" customWidth="1"/>
    <col min="2304" max="2304" width="7.7109375" style="43" customWidth="1"/>
    <col min="2305" max="2305" width="6.7109375" style="43" customWidth="1"/>
    <col min="2306" max="2306" width="7.7109375" style="43" customWidth="1"/>
    <col min="2307" max="2307" width="7.42578125" style="43" customWidth="1"/>
    <col min="2308" max="2308" width="7.7109375" style="43" customWidth="1"/>
    <col min="2309" max="2309" width="6.7109375" style="43" customWidth="1"/>
    <col min="2310" max="2310" width="2.28515625" style="43" customWidth="1"/>
    <col min="2311" max="2311" width="9" style="43" customWidth="1"/>
    <col min="2312" max="2312" width="1.7109375" style="43" customWidth="1"/>
    <col min="2313" max="2313" width="4.42578125" style="43" customWidth="1"/>
    <col min="2314" max="2314" width="17.140625" style="43" customWidth="1"/>
    <col min="2315" max="2315" width="1.5703125" style="43" customWidth="1"/>
    <col min="2316" max="2316" width="10.5703125" style="43" customWidth="1"/>
    <col min="2317" max="2317" width="1.7109375" style="43" customWidth="1"/>
    <col min="2318" max="2318" width="9.85546875" style="43" customWidth="1"/>
    <col min="2319" max="2319" width="0.85546875" style="43" customWidth="1"/>
    <col min="2320" max="2320" width="10.85546875" style="43" customWidth="1"/>
    <col min="2321" max="2321" width="1.85546875" style="43" customWidth="1"/>
    <col min="2322" max="2557" width="9.140625" style="43"/>
    <col min="2558" max="2558" width="6.28515625" style="43" customWidth="1"/>
    <col min="2559" max="2559" width="3.140625" style="43" customWidth="1"/>
    <col min="2560" max="2560" width="7.7109375" style="43" customWidth="1"/>
    <col min="2561" max="2561" width="6.7109375" style="43" customWidth="1"/>
    <col min="2562" max="2562" width="7.7109375" style="43" customWidth="1"/>
    <col min="2563" max="2563" width="7.42578125" style="43" customWidth="1"/>
    <col min="2564" max="2564" width="7.7109375" style="43" customWidth="1"/>
    <col min="2565" max="2565" width="6.7109375" style="43" customWidth="1"/>
    <col min="2566" max="2566" width="2.28515625" style="43" customWidth="1"/>
    <col min="2567" max="2567" width="9" style="43" customWidth="1"/>
    <col min="2568" max="2568" width="1.7109375" style="43" customWidth="1"/>
    <col min="2569" max="2569" width="4.42578125" style="43" customWidth="1"/>
    <col min="2570" max="2570" width="17.140625" style="43" customWidth="1"/>
    <col min="2571" max="2571" width="1.5703125" style="43" customWidth="1"/>
    <col min="2572" max="2572" width="10.5703125" style="43" customWidth="1"/>
    <col min="2573" max="2573" width="1.7109375" style="43" customWidth="1"/>
    <col min="2574" max="2574" width="9.85546875" style="43" customWidth="1"/>
    <col min="2575" max="2575" width="0.85546875" style="43" customWidth="1"/>
    <col min="2576" max="2576" width="10.85546875" style="43" customWidth="1"/>
    <col min="2577" max="2577" width="1.85546875" style="43" customWidth="1"/>
    <col min="2578" max="2813" width="9.140625" style="43"/>
    <col min="2814" max="2814" width="6.28515625" style="43" customWidth="1"/>
    <col min="2815" max="2815" width="3.140625" style="43" customWidth="1"/>
    <col min="2816" max="2816" width="7.7109375" style="43" customWidth="1"/>
    <col min="2817" max="2817" width="6.7109375" style="43" customWidth="1"/>
    <col min="2818" max="2818" width="7.7109375" style="43" customWidth="1"/>
    <col min="2819" max="2819" width="7.42578125" style="43" customWidth="1"/>
    <col min="2820" max="2820" width="7.7109375" style="43" customWidth="1"/>
    <col min="2821" max="2821" width="6.7109375" style="43" customWidth="1"/>
    <col min="2822" max="2822" width="2.28515625" style="43" customWidth="1"/>
    <col min="2823" max="2823" width="9" style="43" customWidth="1"/>
    <col min="2824" max="2824" width="1.7109375" style="43" customWidth="1"/>
    <col min="2825" max="2825" width="4.42578125" style="43" customWidth="1"/>
    <col min="2826" max="2826" width="17.140625" style="43" customWidth="1"/>
    <col min="2827" max="2827" width="1.5703125" style="43" customWidth="1"/>
    <col min="2828" max="2828" width="10.5703125" style="43" customWidth="1"/>
    <col min="2829" max="2829" width="1.7109375" style="43" customWidth="1"/>
    <col min="2830" max="2830" width="9.85546875" style="43" customWidth="1"/>
    <col min="2831" max="2831" width="0.85546875" style="43" customWidth="1"/>
    <col min="2832" max="2832" width="10.85546875" style="43" customWidth="1"/>
    <col min="2833" max="2833" width="1.85546875" style="43" customWidth="1"/>
    <col min="2834" max="3069" width="9.140625" style="43"/>
    <col min="3070" max="3070" width="6.28515625" style="43" customWidth="1"/>
    <col min="3071" max="3071" width="3.140625" style="43" customWidth="1"/>
    <col min="3072" max="3072" width="7.7109375" style="43" customWidth="1"/>
    <col min="3073" max="3073" width="6.7109375" style="43" customWidth="1"/>
    <col min="3074" max="3074" width="7.7109375" style="43" customWidth="1"/>
    <col min="3075" max="3075" width="7.42578125" style="43" customWidth="1"/>
    <col min="3076" max="3076" width="7.7109375" style="43" customWidth="1"/>
    <col min="3077" max="3077" width="6.7109375" style="43" customWidth="1"/>
    <col min="3078" max="3078" width="2.28515625" style="43" customWidth="1"/>
    <col min="3079" max="3079" width="9" style="43" customWidth="1"/>
    <col min="3080" max="3080" width="1.7109375" style="43" customWidth="1"/>
    <col min="3081" max="3081" width="4.42578125" style="43" customWidth="1"/>
    <col min="3082" max="3082" width="17.140625" style="43" customWidth="1"/>
    <col min="3083" max="3083" width="1.5703125" style="43" customWidth="1"/>
    <col min="3084" max="3084" width="10.5703125" style="43" customWidth="1"/>
    <col min="3085" max="3085" width="1.7109375" style="43" customWidth="1"/>
    <col min="3086" max="3086" width="9.85546875" style="43" customWidth="1"/>
    <col min="3087" max="3087" width="0.85546875" style="43" customWidth="1"/>
    <col min="3088" max="3088" width="10.85546875" style="43" customWidth="1"/>
    <col min="3089" max="3089" width="1.85546875" style="43" customWidth="1"/>
    <col min="3090" max="3325" width="9.140625" style="43"/>
    <col min="3326" max="3326" width="6.28515625" style="43" customWidth="1"/>
    <col min="3327" max="3327" width="3.140625" style="43" customWidth="1"/>
    <col min="3328" max="3328" width="7.7109375" style="43" customWidth="1"/>
    <col min="3329" max="3329" width="6.7109375" style="43" customWidth="1"/>
    <col min="3330" max="3330" width="7.7109375" style="43" customWidth="1"/>
    <col min="3331" max="3331" width="7.42578125" style="43" customWidth="1"/>
    <col min="3332" max="3332" width="7.7109375" style="43" customWidth="1"/>
    <col min="3333" max="3333" width="6.7109375" style="43" customWidth="1"/>
    <col min="3334" max="3334" width="2.28515625" style="43" customWidth="1"/>
    <col min="3335" max="3335" width="9" style="43" customWidth="1"/>
    <col min="3336" max="3336" width="1.7109375" style="43" customWidth="1"/>
    <col min="3337" max="3337" width="4.42578125" style="43" customWidth="1"/>
    <col min="3338" max="3338" width="17.140625" style="43" customWidth="1"/>
    <col min="3339" max="3339" width="1.5703125" style="43" customWidth="1"/>
    <col min="3340" max="3340" width="10.5703125" style="43" customWidth="1"/>
    <col min="3341" max="3341" width="1.7109375" style="43" customWidth="1"/>
    <col min="3342" max="3342" width="9.85546875" style="43" customWidth="1"/>
    <col min="3343" max="3343" width="0.85546875" style="43" customWidth="1"/>
    <col min="3344" max="3344" width="10.85546875" style="43" customWidth="1"/>
    <col min="3345" max="3345" width="1.85546875" style="43" customWidth="1"/>
    <col min="3346" max="3581" width="9.140625" style="43"/>
    <col min="3582" max="3582" width="6.28515625" style="43" customWidth="1"/>
    <col min="3583" max="3583" width="3.140625" style="43" customWidth="1"/>
    <col min="3584" max="3584" width="7.7109375" style="43" customWidth="1"/>
    <col min="3585" max="3585" width="6.7109375" style="43" customWidth="1"/>
    <col min="3586" max="3586" width="7.7109375" style="43" customWidth="1"/>
    <col min="3587" max="3587" width="7.42578125" style="43" customWidth="1"/>
    <col min="3588" max="3588" width="7.7109375" style="43" customWidth="1"/>
    <col min="3589" max="3589" width="6.7109375" style="43" customWidth="1"/>
    <col min="3590" max="3590" width="2.28515625" style="43" customWidth="1"/>
    <col min="3591" max="3591" width="9" style="43" customWidth="1"/>
    <col min="3592" max="3592" width="1.7109375" style="43" customWidth="1"/>
    <col min="3593" max="3593" width="4.42578125" style="43" customWidth="1"/>
    <col min="3594" max="3594" width="17.140625" style="43" customWidth="1"/>
    <col min="3595" max="3595" width="1.5703125" style="43" customWidth="1"/>
    <col min="3596" max="3596" width="10.5703125" style="43" customWidth="1"/>
    <col min="3597" max="3597" width="1.7109375" style="43" customWidth="1"/>
    <col min="3598" max="3598" width="9.85546875" style="43" customWidth="1"/>
    <col min="3599" max="3599" width="0.85546875" style="43" customWidth="1"/>
    <col min="3600" max="3600" width="10.85546875" style="43" customWidth="1"/>
    <col min="3601" max="3601" width="1.85546875" style="43" customWidth="1"/>
    <col min="3602" max="3837" width="9.140625" style="43"/>
    <col min="3838" max="3838" width="6.28515625" style="43" customWidth="1"/>
    <col min="3839" max="3839" width="3.140625" style="43" customWidth="1"/>
    <col min="3840" max="3840" width="7.7109375" style="43" customWidth="1"/>
    <col min="3841" max="3841" width="6.7109375" style="43" customWidth="1"/>
    <col min="3842" max="3842" width="7.7109375" style="43" customWidth="1"/>
    <col min="3843" max="3843" width="7.42578125" style="43" customWidth="1"/>
    <col min="3844" max="3844" width="7.7109375" style="43" customWidth="1"/>
    <col min="3845" max="3845" width="6.7109375" style="43" customWidth="1"/>
    <col min="3846" max="3846" width="2.28515625" style="43" customWidth="1"/>
    <col min="3847" max="3847" width="9" style="43" customWidth="1"/>
    <col min="3848" max="3848" width="1.7109375" style="43" customWidth="1"/>
    <col min="3849" max="3849" width="4.42578125" style="43" customWidth="1"/>
    <col min="3850" max="3850" width="17.140625" style="43" customWidth="1"/>
    <col min="3851" max="3851" width="1.5703125" style="43" customWidth="1"/>
    <col min="3852" max="3852" width="10.5703125" style="43" customWidth="1"/>
    <col min="3853" max="3853" width="1.7109375" style="43" customWidth="1"/>
    <col min="3854" max="3854" width="9.85546875" style="43" customWidth="1"/>
    <col min="3855" max="3855" width="0.85546875" style="43" customWidth="1"/>
    <col min="3856" max="3856" width="10.85546875" style="43" customWidth="1"/>
    <col min="3857" max="3857" width="1.85546875" style="43" customWidth="1"/>
    <col min="3858" max="4093" width="9.140625" style="43"/>
    <col min="4094" max="4094" width="6.28515625" style="43" customWidth="1"/>
    <col min="4095" max="4095" width="3.140625" style="43" customWidth="1"/>
    <col min="4096" max="4096" width="7.7109375" style="43" customWidth="1"/>
    <col min="4097" max="4097" width="6.7109375" style="43" customWidth="1"/>
    <col min="4098" max="4098" width="7.7109375" style="43" customWidth="1"/>
    <col min="4099" max="4099" width="7.42578125" style="43" customWidth="1"/>
    <col min="4100" max="4100" width="7.7109375" style="43" customWidth="1"/>
    <col min="4101" max="4101" width="6.7109375" style="43" customWidth="1"/>
    <col min="4102" max="4102" width="2.28515625" style="43" customWidth="1"/>
    <col min="4103" max="4103" width="9" style="43" customWidth="1"/>
    <col min="4104" max="4104" width="1.7109375" style="43" customWidth="1"/>
    <col min="4105" max="4105" width="4.42578125" style="43" customWidth="1"/>
    <col min="4106" max="4106" width="17.140625" style="43" customWidth="1"/>
    <col min="4107" max="4107" width="1.5703125" style="43" customWidth="1"/>
    <col min="4108" max="4108" width="10.5703125" style="43" customWidth="1"/>
    <col min="4109" max="4109" width="1.7109375" style="43" customWidth="1"/>
    <col min="4110" max="4110" width="9.85546875" style="43" customWidth="1"/>
    <col min="4111" max="4111" width="0.85546875" style="43" customWidth="1"/>
    <col min="4112" max="4112" width="10.85546875" style="43" customWidth="1"/>
    <col min="4113" max="4113" width="1.85546875" style="43" customWidth="1"/>
    <col min="4114" max="4349" width="9.140625" style="43"/>
    <col min="4350" max="4350" width="6.28515625" style="43" customWidth="1"/>
    <col min="4351" max="4351" width="3.140625" style="43" customWidth="1"/>
    <col min="4352" max="4352" width="7.7109375" style="43" customWidth="1"/>
    <col min="4353" max="4353" width="6.7109375" style="43" customWidth="1"/>
    <col min="4354" max="4354" width="7.7109375" style="43" customWidth="1"/>
    <col min="4355" max="4355" width="7.42578125" style="43" customWidth="1"/>
    <col min="4356" max="4356" width="7.7109375" style="43" customWidth="1"/>
    <col min="4357" max="4357" width="6.7109375" style="43" customWidth="1"/>
    <col min="4358" max="4358" width="2.28515625" style="43" customWidth="1"/>
    <col min="4359" max="4359" width="9" style="43" customWidth="1"/>
    <col min="4360" max="4360" width="1.7109375" style="43" customWidth="1"/>
    <col min="4361" max="4361" width="4.42578125" style="43" customWidth="1"/>
    <col min="4362" max="4362" width="17.140625" style="43" customWidth="1"/>
    <col min="4363" max="4363" width="1.5703125" style="43" customWidth="1"/>
    <col min="4364" max="4364" width="10.5703125" style="43" customWidth="1"/>
    <col min="4365" max="4365" width="1.7109375" style="43" customWidth="1"/>
    <col min="4366" max="4366" width="9.85546875" style="43" customWidth="1"/>
    <col min="4367" max="4367" width="0.85546875" style="43" customWidth="1"/>
    <col min="4368" max="4368" width="10.85546875" style="43" customWidth="1"/>
    <col min="4369" max="4369" width="1.85546875" style="43" customWidth="1"/>
    <col min="4370" max="4605" width="9.140625" style="43"/>
    <col min="4606" max="4606" width="6.28515625" style="43" customWidth="1"/>
    <col min="4607" max="4607" width="3.140625" style="43" customWidth="1"/>
    <col min="4608" max="4608" width="7.7109375" style="43" customWidth="1"/>
    <col min="4609" max="4609" width="6.7109375" style="43" customWidth="1"/>
    <col min="4610" max="4610" width="7.7109375" style="43" customWidth="1"/>
    <col min="4611" max="4611" width="7.42578125" style="43" customWidth="1"/>
    <col min="4612" max="4612" width="7.7109375" style="43" customWidth="1"/>
    <col min="4613" max="4613" width="6.7109375" style="43" customWidth="1"/>
    <col min="4614" max="4614" width="2.28515625" style="43" customWidth="1"/>
    <col min="4615" max="4615" width="9" style="43" customWidth="1"/>
    <col min="4616" max="4616" width="1.7109375" style="43" customWidth="1"/>
    <col min="4617" max="4617" width="4.42578125" style="43" customWidth="1"/>
    <col min="4618" max="4618" width="17.140625" style="43" customWidth="1"/>
    <col min="4619" max="4619" width="1.5703125" style="43" customWidth="1"/>
    <col min="4620" max="4620" width="10.5703125" style="43" customWidth="1"/>
    <col min="4621" max="4621" width="1.7109375" style="43" customWidth="1"/>
    <col min="4622" max="4622" width="9.85546875" style="43" customWidth="1"/>
    <col min="4623" max="4623" width="0.85546875" style="43" customWidth="1"/>
    <col min="4624" max="4624" width="10.85546875" style="43" customWidth="1"/>
    <col min="4625" max="4625" width="1.85546875" style="43" customWidth="1"/>
    <col min="4626" max="4861" width="9.140625" style="43"/>
    <col min="4862" max="4862" width="6.28515625" style="43" customWidth="1"/>
    <col min="4863" max="4863" width="3.140625" style="43" customWidth="1"/>
    <col min="4864" max="4864" width="7.7109375" style="43" customWidth="1"/>
    <col min="4865" max="4865" width="6.7109375" style="43" customWidth="1"/>
    <col min="4866" max="4866" width="7.7109375" style="43" customWidth="1"/>
    <col min="4867" max="4867" width="7.42578125" style="43" customWidth="1"/>
    <col min="4868" max="4868" width="7.7109375" style="43" customWidth="1"/>
    <col min="4869" max="4869" width="6.7109375" style="43" customWidth="1"/>
    <col min="4870" max="4870" width="2.28515625" style="43" customWidth="1"/>
    <col min="4871" max="4871" width="9" style="43" customWidth="1"/>
    <col min="4872" max="4872" width="1.7109375" style="43" customWidth="1"/>
    <col min="4873" max="4873" width="4.42578125" style="43" customWidth="1"/>
    <col min="4874" max="4874" width="17.140625" style="43" customWidth="1"/>
    <col min="4875" max="4875" width="1.5703125" style="43" customWidth="1"/>
    <col min="4876" max="4876" width="10.5703125" style="43" customWidth="1"/>
    <col min="4877" max="4877" width="1.7109375" style="43" customWidth="1"/>
    <col min="4878" max="4878" width="9.85546875" style="43" customWidth="1"/>
    <col min="4879" max="4879" width="0.85546875" style="43" customWidth="1"/>
    <col min="4880" max="4880" width="10.85546875" style="43" customWidth="1"/>
    <col min="4881" max="4881" width="1.85546875" style="43" customWidth="1"/>
    <col min="4882" max="5117" width="9.140625" style="43"/>
    <col min="5118" max="5118" width="6.28515625" style="43" customWidth="1"/>
    <col min="5119" max="5119" width="3.140625" style="43" customWidth="1"/>
    <col min="5120" max="5120" width="7.7109375" style="43" customWidth="1"/>
    <col min="5121" max="5121" width="6.7109375" style="43" customWidth="1"/>
    <col min="5122" max="5122" width="7.7109375" style="43" customWidth="1"/>
    <col min="5123" max="5123" width="7.42578125" style="43" customWidth="1"/>
    <col min="5124" max="5124" width="7.7109375" style="43" customWidth="1"/>
    <col min="5125" max="5125" width="6.7109375" style="43" customWidth="1"/>
    <col min="5126" max="5126" width="2.28515625" style="43" customWidth="1"/>
    <col min="5127" max="5127" width="9" style="43" customWidth="1"/>
    <col min="5128" max="5128" width="1.7109375" style="43" customWidth="1"/>
    <col min="5129" max="5129" width="4.42578125" style="43" customWidth="1"/>
    <col min="5130" max="5130" width="17.140625" style="43" customWidth="1"/>
    <col min="5131" max="5131" width="1.5703125" style="43" customWidth="1"/>
    <col min="5132" max="5132" width="10.5703125" style="43" customWidth="1"/>
    <col min="5133" max="5133" width="1.7109375" style="43" customWidth="1"/>
    <col min="5134" max="5134" width="9.85546875" style="43" customWidth="1"/>
    <col min="5135" max="5135" width="0.85546875" style="43" customWidth="1"/>
    <col min="5136" max="5136" width="10.85546875" style="43" customWidth="1"/>
    <col min="5137" max="5137" width="1.85546875" style="43" customWidth="1"/>
    <col min="5138" max="5373" width="9.140625" style="43"/>
    <col min="5374" max="5374" width="6.28515625" style="43" customWidth="1"/>
    <col min="5375" max="5375" width="3.140625" style="43" customWidth="1"/>
    <col min="5376" max="5376" width="7.7109375" style="43" customWidth="1"/>
    <col min="5377" max="5377" width="6.7109375" style="43" customWidth="1"/>
    <col min="5378" max="5378" width="7.7109375" style="43" customWidth="1"/>
    <col min="5379" max="5379" width="7.42578125" style="43" customWidth="1"/>
    <col min="5380" max="5380" width="7.7109375" style="43" customWidth="1"/>
    <col min="5381" max="5381" width="6.7109375" style="43" customWidth="1"/>
    <col min="5382" max="5382" width="2.28515625" style="43" customWidth="1"/>
    <col min="5383" max="5383" width="9" style="43" customWidth="1"/>
    <col min="5384" max="5384" width="1.7109375" style="43" customWidth="1"/>
    <col min="5385" max="5385" width="4.42578125" style="43" customWidth="1"/>
    <col min="5386" max="5386" width="17.140625" style="43" customWidth="1"/>
    <col min="5387" max="5387" width="1.5703125" style="43" customWidth="1"/>
    <col min="5388" max="5388" width="10.5703125" style="43" customWidth="1"/>
    <col min="5389" max="5389" width="1.7109375" style="43" customWidth="1"/>
    <col min="5390" max="5390" width="9.85546875" style="43" customWidth="1"/>
    <col min="5391" max="5391" width="0.85546875" style="43" customWidth="1"/>
    <col min="5392" max="5392" width="10.85546875" style="43" customWidth="1"/>
    <col min="5393" max="5393" width="1.85546875" style="43" customWidth="1"/>
    <col min="5394" max="5629" width="9.140625" style="43"/>
    <col min="5630" max="5630" width="6.28515625" style="43" customWidth="1"/>
    <col min="5631" max="5631" width="3.140625" style="43" customWidth="1"/>
    <col min="5632" max="5632" width="7.7109375" style="43" customWidth="1"/>
    <col min="5633" max="5633" width="6.7109375" style="43" customWidth="1"/>
    <col min="5634" max="5634" width="7.7109375" style="43" customWidth="1"/>
    <col min="5635" max="5635" width="7.42578125" style="43" customWidth="1"/>
    <col min="5636" max="5636" width="7.7109375" style="43" customWidth="1"/>
    <col min="5637" max="5637" width="6.7109375" style="43" customWidth="1"/>
    <col min="5638" max="5638" width="2.28515625" style="43" customWidth="1"/>
    <col min="5639" max="5639" width="9" style="43" customWidth="1"/>
    <col min="5640" max="5640" width="1.7109375" style="43" customWidth="1"/>
    <col min="5641" max="5641" width="4.42578125" style="43" customWidth="1"/>
    <col min="5642" max="5642" width="17.140625" style="43" customWidth="1"/>
    <col min="5643" max="5643" width="1.5703125" style="43" customWidth="1"/>
    <col min="5644" max="5644" width="10.5703125" style="43" customWidth="1"/>
    <col min="5645" max="5645" width="1.7109375" style="43" customWidth="1"/>
    <col min="5646" max="5646" width="9.85546875" style="43" customWidth="1"/>
    <col min="5647" max="5647" width="0.85546875" style="43" customWidth="1"/>
    <col min="5648" max="5648" width="10.85546875" style="43" customWidth="1"/>
    <col min="5649" max="5649" width="1.85546875" style="43" customWidth="1"/>
    <col min="5650" max="5885" width="9.140625" style="43"/>
    <col min="5886" max="5886" width="6.28515625" style="43" customWidth="1"/>
    <col min="5887" max="5887" width="3.140625" style="43" customWidth="1"/>
    <col min="5888" max="5888" width="7.7109375" style="43" customWidth="1"/>
    <col min="5889" max="5889" width="6.7109375" style="43" customWidth="1"/>
    <col min="5890" max="5890" width="7.7109375" style="43" customWidth="1"/>
    <col min="5891" max="5891" width="7.42578125" style="43" customWidth="1"/>
    <col min="5892" max="5892" width="7.7109375" style="43" customWidth="1"/>
    <col min="5893" max="5893" width="6.7109375" style="43" customWidth="1"/>
    <col min="5894" max="5894" width="2.28515625" style="43" customWidth="1"/>
    <col min="5895" max="5895" width="9" style="43" customWidth="1"/>
    <col min="5896" max="5896" width="1.7109375" style="43" customWidth="1"/>
    <col min="5897" max="5897" width="4.42578125" style="43" customWidth="1"/>
    <col min="5898" max="5898" width="17.140625" style="43" customWidth="1"/>
    <col min="5899" max="5899" width="1.5703125" style="43" customWidth="1"/>
    <col min="5900" max="5900" width="10.5703125" style="43" customWidth="1"/>
    <col min="5901" max="5901" width="1.7109375" style="43" customWidth="1"/>
    <col min="5902" max="5902" width="9.85546875" style="43" customWidth="1"/>
    <col min="5903" max="5903" width="0.85546875" style="43" customWidth="1"/>
    <col min="5904" max="5904" width="10.85546875" style="43" customWidth="1"/>
    <col min="5905" max="5905" width="1.85546875" style="43" customWidth="1"/>
    <col min="5906" max="6141" width="9.140625" style="43"/>
    <col min="6142" max="6142" width="6.28515625" style="43" customWidth="1"/>
    <col min="6143" max="6143" width="3.140625" style="43" customWidth="1"/>
    <col min="6144" max="6144" width="7.7109375" style="43" customWidth="1"/>
    <col min="6145" max="6145" width="6.7109375" style="43" customWidth="1"/>
    <col min="6146" max="6146" width="7.7109375" style="43" customWidth="1"/>
    <col min="6147" max="6147" width="7.42578125" style="43" customWidth="1"/>
    <col min="6148" max="6148" width="7.7109375" style="43" customWidth="1"/>
    <col min="6149" max="6149" width="6.7109375" style="43" customWidth="1"/>
    <col min="6150" max="6150" width="2.28515625" style="43" customWidth="1"/>
    <col min="6151" max="6151" width="9" style="43" customWidth="1"/>
    <col min="6152" max="6152" width="1.7109375" style="43" customWidth="1"/>
    <col min="6153" max="6153" width="4.42578125" style="43" customWidth="1"/>
    <col min="6154" max="6154" width="17.140625" style="43" customWidth="1"/>
    <col min="6155" max="6155" width="1.5703125" style="43" customWidth="1"/>
    <col min="6156" max="6156" width="10.5703125" style="43" customWidth="1"/>
    <col min="6157" max="6157" width="1.7109375" style="43" customWidth="1"/>
    <col min="6158" max="6158" width="9.85546875" style="43" customWidth="1"/>
    <col min="6159" max="6159" width="0.85546875" style="43" customWidth="1"/>
    <col min="6160" max="6160" width="10.85546875" style="43" customWidth="1"/>
    <col min="6161" max="6161" width="1.85546875" style="43" customWidth="1"/>
    <col min="6162" max="6397" width="9.140625" style="43"/>
    <col min="6398" max="6398" width="6.28515625" style="43" customWidth="1"/>
    <col min="6399" max="6399" width="3.140625" style="43" customWidth="1"/>
    <col min="6400" max="6400" width="7.7109375" style="43" customWidth="1"/>
    <col min="6401" max="6401" width="6.7109375" style="43" customWidth="1"/>
    <col min="6402" max="6402" width="7.7109375" style="43" customWidth="1"/>
    <col min="6403" max="6403" width="7.42578125" style="43" customWidth="1"/>
    <col min="6404" max="6404" width="7.7109375" style="43" customWidth="1"/>
    <col min="6405" max="6405" width="6.7109375" style="43" customWidth="1"/>
    <col min="6406" max="6406" width="2.28515625" style="43" customWidth="1"/>
    <col min="6407" max="6407" width="9" style="43" customWidth="1"/>
    <col min="6408" max="6408" width="1.7109375" style="43" customWidth="1"/>
    <col min="6409" max="6409" width="4.42578125" style="43" customWidth="1"/>
    <col min="6410" max="6410" width="17.140625" style="43" customWidth="1"/>
    <col min="6411" max="6411" width="1.5703125" style="43" customWidth="1"/>
    <col min="6412" max="6412" width="10.5703125" style="43" customWidth="1"/>
    <col min="6413" max="6413" width="1.7109375" style="43" customWidth="1"/>
    <col min="6414" max="6414" width="9.85546875" style="43" customWidth="1"/>
    <col min="6415" max="6415" width="0.85546875" style="43" customWidth="1"/>
    <col min="6416" max="6416" width="10.85546875" style="43" customWidth="1"/>
    <col min="6417" max="6417" width="1.85546875" style="43" customWidth="1"/>
    <col min="6418" max="6653" width="9.140625" style="43"/>
    <col min="6654" max="6654" width="6.28515625" style="43" customWidth="1"/>
    <col min="6655" max="6655" width="3.140625" style="43" customWidth="1"/>
    <col min="6656" max="6656" width="7.7109375" style="43" customWidth="1"/>
    <col min="6657" max="6657" width="6.7109375" style="43" customWidth="1"/>
    <col min="6658" max="6658" width="7.7109375" style="43" customWidth="1"/>
    <col min="6659" max="6659" width="7.42578125" style="43" customWidth="1"/>
    <col min="6660" max="6660" width="7.7109375" style="43" customWidth="1"/>
    <col min="6661" max="6661" width="6.7109375" style="43" customWidth="1"/>
    <col min="6662" max="6662" width="2.28515625" style="43" customWidth="1"/>
    <col min="6663" max="6663" width="9" style="43" customWidth="1"/>
    <col min="6664" max="6664" width="1.7109375" style="43" customWidth="1"/>
    <col min="6665" max="6665" width="4.42578125" style="43" customWidth="1"/>
    <col min="6666" max="6666" width="17.140625" style="43" customWidth="1"/>
    <col min="6667" max="6667" width="1.5703125" style="43" customWidth="1"/>
    <col min="6668" max="6668" width="10.5703125" style="43" customWidth="1"/>
    <col min="6669" max="6669" width="1.7109375" style="43" customWidth="1"/>
    <col min="6670" max="6670" width="9.85546875" style="43" customWidth="1"/>
    <col min="6671" max="6671" width="0.85546875" style="43" customWidth="1"/>
    <col min="6672" max="6672" width="10.85546875" style="43" customWidth="1"/>
    <col min="6673" max="6673" width="1.85546875" style="43" customWidth="1"/>
    <col min="6674" max="6909" width="9.140625" style="43"/>
    <col min="6910" max="6910" width="6.28515625" style="43" customWidth="1"/>
    <col min="6911" max="6911" width="3.140625" style="43" customWidth="1"/>
    <col min="6912" max="6912" width="7.7109375" style="43" customWidth="1"/>
    <col min="6913" max="6913" width="6.7109375" style="43" customWidth="1"/>
    <col min="6914" max="6914" width="7.7109375" style="43" customWidth="1"/>
    <col min="6915" max="6915" width="7.42578125" style="43" customWidth="1"/>
    <col min="6916" max="6916" width="7.7109375" style="43" customWidth="1"/>
    <col min="6917" max="6917" width="6.7109375" style="43" customWidth="1"/>
    <col min="6918" max="6918" width="2.28515625" style="43" customWidth="1"/>
    <col min="6919" max="6919" width="9" style="43" customWidth="1"/>
    <col min="6920" max="6920" width="1.7109375" style="43" customWidth="1"/>
    <col min="6921" max="6921" width="4.42578125" style="43" customWidth="1"/>
    <col min="6922" max="6922" width="17.140625" style="43" customWidth="1"/>
    <col min="6923" max="6923" width="1.5703125" style="43" customWidth="1"/>
    <col min="6924" max="6924" width="10.5703125" style="43" customWidth="1"/>
    <col min="6925" max="6925" width="1.7109375" style="43" customWidth="1"/>
    <col min="6926" max="6926" width="9.85546875" style="43" customWidth="1"/>
    <col min="6927" max="6927" width="0.85546875" style="43" customWidth="1"/>
    <col min="6928" max="6928" width="10.85546875" style="43" customWidth="1"/>
    <col min="6929" max="6929" width="1.85546875" style="43" customWidth="1"/>
    <col min="6930" max="7165" width="9.140625" style="43"/>
    <col min="7166" max="7166" width="6.28515625" style="43" customWidth="1"/>
    <col min="7167" max="7167" width="3.140625" style="43" customWidth="1"/>
    <col min="7168" max="7168" width="7.7109375" style="43" customWidth="1"/>
    <col min="7169" max="7169" width="6.7109375" style="43" customWidth="1"/>
    <col min="7170" max="7170" width="7.7109375" style="43" customWidth="1"/>
    <col min="7171" max="7171" width="7.42578125" style="43" customWidth="1"/>
    <col min="7172" max="7172" width="7.7109375" style="43" customWidth="1"/>
    <col min="7173" max="7173" width="6.7109375" style="43" customWidth="1"/>
    <col min="7174" max="7174" width="2.28515625" style="43" customWidth="1"/>
    <col min="7175" max="7175" width="9" style="43" customWidth="1"/>
    <col min="7176" max="7176" width="1.7109375" style="43" customWidth="1"/>
    <col min="7177" max="7177" width="4.42578125" style="43" customWidth="1"/>
    <col min="7178" max="7178" width="17.140625" style="43" customWidth="1"/>
    <col min="7179" max="7179" width="1.5703125" style="43" customWidth="1"/>
    <col min="7180" max="7180" width="10.5703125" style="43" customWidth="1"/>
    <col min="7181" max="7181" width="1.7109375" style="43" customWidth="1"/>
    <col min="7182" max="7182" width="9.85546875" style="43" customWidth="1"/>
    <col min="7183" max="7183" width="0.85546875" style="43" customWidth="1"/>
    <col min="7184" max="7184" width="10.85546875" style="43" customWidth="1"/>
    <col min="7185" max="7185" width="1.85546875" style="43" customWidth="1"/>
    <col min="7186" max="7421" width="9.140625" style="43"/>
    <col min="7422" max="7422" width="6.28515625" style="43" customWidth="1"/>
    <col min="7423" max="7423" width="3.140625" style="43" customWidth="1"/>
    <col min="7424" max="7424" width="7.7109375" style="43" customWidth="1"/>
    <col min="7425" max="7425" width="6.7109375" style="43" customWidth="1"/>
    <col min="7426" max="7426" width="7.7109375" style="43" customWidth="1"/>
    <col min="7427" max="7427" width="7.42578125" style="43" customWidth="1"/>
    <col min="7428" max="7428" width="7.7109375" style="43" customWidth="1"/>
    <col min="7429" max="7429" width="6.7109375" style="43" customWidth="1"/>
    <col min="7430" max="7430" width="2.28515625" style="43" customWidth="1"/>
    <col min="7431" max="7431" width="9" style="43" customWidth="1"/>
    <col min="7432" max="7432" width="1.7109375" style="43" customWidth="1"/>
    <col min="7433" max="7433" width="4.42578125" style="43" customWidth="1"/>
    <col min="7434" max="7434" width="17.140625" style="43" customWidth="1"/>
    <col min="7435" max="7435" width="1.5703125" style="43" customWidth="1"/>
    <col min="7436" max="7436" width="10.5703125" style="43" customWidth="1"/>
    <col min="7437" max="7437" width="1.7109375" style="43" customWidth="1"/>
    <col min="7438" max="7438" width="9.85546875" style="43" customWidth="1"/>
    <col min="7439" max="7439" width="0.85546875" style="43" customWidth="1"/>
    <col min="7440" max="7440" width="10.85546875" style="43" customWidth="1"/>
    <col min="7441" max="7441" width="1.85546875" style="43" customWidth="1"/>
    <col min="7442" max="7677" width="9.140625" style="43"/>
    <col min="7678" max="7678" width="6.28515625" style="43" customWidth="1"/>
    <col min="7679" max="7679" width="3.140625" style="43" customWidth="1"/>
    <col min="7680" max="7680" width="7.7109375" style="43" customWidth="1"/>
    <col min="7681" max="7681" width="6.7109375" style="43" customWidth="1"/>
    <col min="7682" max="7682" width="7.7109375" style="43" customWidth="1"/>
    <col min="7683" max="7683" width="7.42578125" style="43" customWidth="1"/>
    <col min="7684" max="7684" width="7.7109375" style="43" customWidth="1"/>
    <col min="7685" max="7685" width="6.7109375" style="43" customWidth="1"/>
    <col min="7686" max="7686" width="2.28515625" style="43" customWidth="1"/>
    <col min="7687" max="7687" width="9" style="43" customWidth="1"/>
    <col min="7688" max="7688" width="1.7109375" style="43" customWidth="1"/>
    <col min="7689" max="7689" width="4.42578125" style="43" customWidth="1"/>
    <col min="7690" max="7690" width="17.140625" style="43" customWidth="1"/>
    <col min="7691" max="7691" width="1.5703125" style="43" customWidth="1"/>
    <col min="7692" max="7692" width="10.5703125" style="43" customWidth="1"/>
    <col min="7693" max="7693" width="1.7109375" style="43" customWidth="1"/>
    <col min="7694" max="7694" width="9.85546875" style="43" customWidth="1"/>
    <col min="7695" max="7695" width="0.85546875" style="43" customWidth="1"/>
    <col min="7696" max="7696" width="10.85546875" style="43" customWidth="1"/>
    <col min="7697" max="7697" width="1.85546875" style="43" customWidth="1"/>
    <col min="7698" max="7933" width="9.140625" style="43"/>
    <col min="7934" max="7934" width="6.28515625" style="43" customWidth="1"/>
    <col min="7935" max="7935" width="3.140625" style="43" customWidth="1"/>
    <col min="7936" max="7936" width="7.7109375" style="43" customWidth="1"/>
    <col min="7937" max="7937" width="6.7109375" style="43" customWidth="1"/>
    <col min="7938" max="7938" width="7.7109375" style="43" customWidth="1"/>
    <col min="7939" max="7939" width="7.42578125" style="43" customWidth="1"/>
    <col min="7940" max="7940" width="7.7109375" style="43" customWidth="1"/>
    <col min="7941" max="7941" width="6.7109375" style="43" customWidth="1"/>
    <col min="7942" max="7942" width="2.28515625" style="43" customWidth="1"/>
    <col min="7943" max="7943" width="9" style="43" customWidth="1"/>
    <col min="7944" max="7944" width="1.7109375" style="43" customWidth="1"/>
    <col min="7945" max="7945" width="4.42578125" style="43" customWidth="1"/>
    <col min="7946" max="7946" width="17.140625" style="43" customWidth="1"/>
    <col min="7947" max="7947" width="1.5703125" style="43" customWidth="1"/>
    <col min="7948" max="7948" width="10.5703125" style="43" customWidth="1"/>
    <col min="7949" max="7949" width="1.7109375" style="43" customWidth="1"/>
    <col min="7950" max="7950" width="9.85546875" style="43" customWidth="1"/>
    <col min="7951" max="7951" width="0.85546875" style="43" customWidth="1"/>
    <col min="7952" max="7952" width="10.85546875" style="43" customWidth="1"/>
    <col min="7953" max="7953" width="1.85546875" style="43" customWidth="1"/>
    <col min="7954" max="8189" width="9.140625" style="43"/>
    <col min="8190" max="8190" width="6.28515625" style="43" customWidth="1"/>
    <col min="8191" max="8191" width="3.140625" style="43" customWidth="1"/>
    <col min="8192" max="8192" width="7.7109375" style="43" customWidth="1"/>
    <col min="8193" max="8193" width="6.7109375" style="43" customWidth="1"/>
    <col min="8194" max="8194" width="7.7109375" style="43" customWidth="1"/>
    <col min="8195" max="8195" width="7.42578125" style="43" customWidth="1"/>
    <col min="8196" max="8196" width="7.7109375" style="43" customWidth="1"/>
    <col min="8197" max="8197" width="6.7109375" style="43" customWidth="1"/>
    <col min="8198" max="8198" width="2.28515625" style="43" customWidth="1"/>
    <col min="8199" max="8199" width="9" style="43" customWidth="1"/>
    <col min="8200" max="8200" width="1.7109375" style="43" customWidth="1"/>
    <col min="8201" max="8201" width="4.42578125" style="43" customWidth="1"/>
    <col min="8202" max="8202" width="17.140625" style="43" customWidth="1"/>
    <col min="8203" max="8203" width="1.5703125" style="43" customWidth="1"/>
    <col min="8204" max="8204" width="10.5703125" style="43" customWidth="1"/>
    <col min="8205" max="8205" width="1.7109375" style="43" customWidth="1"/>
    <col min="8206" max="8206" width="9.85546875" style="43" customWidth="1"/>
    <col min="8207" max="8207" width="0.85546875" style="43" customWidth="1"/>
    <col min="8208" max="8208" width="10.85546875" style="43" customWidth="1"/>
    <col min="8209" max="8209" width="1.85546875" style="43" customWidth="1"/>
    <col min="8210" max="8445" width="9.140625" style="43"/>
    <col min="8446" max="8446" width="6.28515625" style="43" customWidth="1"/>
    <col min="8447" max="8447" width="3.140625" style="43" customWidth="1"/>
    <col min="8448" max="8448" width="7.7109375" style="43" customWidth="1"/>
    <col min="8449" max="8449" width="6.7109375" style="43" customWidth="1"/>
    <col min="8450" max="8450" width="7.7109375" style="43" customWidth="1"/>
    <col min="8451" max="8451" width="7.42578125" style="43" customWidth="1"/>
    <col min="8452" max="8452" width="7.7109375" style="43" customWidth="1"/>
    <col min="8453" max="8453" width="6.7109375" style="43" customWidth="1"/>
    <col min="8454" max="8454" width="2.28515625" style="43" customWidth="1"/>
    <col min="8455" max="8455" width="9" style="43" customWidth="1"/>
    <col min="8456" max="8456" width="1.7109375" style="43" customWidth="1"/>
    <col min="8457" max="8457" width="4.42578125" style="43" customWidth="1"/>
    <col min="8458" max="8458" width="17.140625" style="43" customWidth="1"/>
    <col min="8459" max="8459" width="1.5703125" style="43" customWidth="1"/>
    <col min="8460" max="8460" width="10.5703125" style="43" customWidth="1"/>
    <col min="8461" max="8461" width="1.7109375" style="43" customWidth="1"/>
    <col min="8462" max="8462" width="9.85546875" style="43" customWidth="1"/>
    <col min="8463" max="8463" width="0.85546875" style="43" customWidth="1"/>
    <col min="8464" max="8464" width="10.85546875" style="43" customWidth="1"/>
    <col min="8465" max="8465" width="1.85546875" style="43" customWidth="1"/>
    <col min="8466" max="8701" width="9.140625" style="43"/>
    <col min="8702" max="8702" width="6.28515625" style="43" customWidth="1"/>
    <col min="8703" max="8703" width="3.140625" style="43" customWidth="1"/>
    <col min="8704" max="8704" width="7.7109375" style="43" customWidth="1"/>
    <col min="8705" max="8705" width="6.7109375" style="43" customWidth="1"/>
    <col min="8706" max="8706" width="7.7109375" style="43" customWidth="1"/>
    <col min="8707" max="8707" width="7.42578125" style="43" customWidth="1"/>
    <col min="8708" max="8708" width="7.7109375" style="43" customWidth="1"/>
    <col min="8709" max="8709" width="6.7109375" style="43" customWidth="1"/>
    <col min="8710" max="8710" width="2.28515625" style="43" customWidth="1"/>
    <col min="8711" max="8711" width="9" style="43" customWidth="1"/>
    <col min="8712" max="8712" width="1.7109375" style="43" customWidth="1"/>
    <col min="8713" max="8713" width="4.42578125" style="43" customWidth="1"/>
    <col min="8714" max="8714" width="17.140625" style="43" customWidth="1"/>
    <col min="8715" max="8715" width="1.5703125" style="43" customWidth="1"/>
    <col min="8716" max="8716" width="10.5703125" style="43" customWidth="1"/>
    <col min="8717" max="8717" width="1.7109375" style="43" customWidth="1"/>
    <col min="8718" max="8718" width="9.85546875" style="43" customWidth="1"/>
    <col min="8719" max="8719" width="0.85546875" style="43" customWidth="1"/>
    <col min="8720" max="8720" width="10.85546875" style="43" customWidth="1"/>
    <col min="8721" max="8721" width="1.85546875" style="43" customWidth="1"/>
    <col min="8722" max="8957" width="9.140625" style="43"/>
    <col min="8958" max="8958" width="6.28515625" style="43" customWidth="1"/>
    <col min="8959" max="8959" width="3.140625" style="43" customWidth="1"/>
    <col min="8960" max="8960" width="7.7109375" style="43" customWidth="1"/>
    <col min="8961" max="8961" width="6.7109375" style="43" customWidth="1"/>
    <col min="8962" max="8962" width="7.7109375" style="43" customWidth="1"/>
    <col min="8963" max="8963" width="7.42578125" style="43" customWidth="1"/>
    <col min="8964" max="8964" width="7.7109375" style="43" customWidth="1"/>
    <col min="8965" max="8965" width="6.7109375" style="43" customWidth="1"/>
    <col min="8966" max="8966" width="2.28515625" style="43" customWidth="1"/>
    <col min="8967" max="8967" width="9" style="43" customWidth="1"/>
    <col min="8968" max="8968" width="1.7109375" style="43" customWidth="1"/>
    <col min="8969" max="8969" width="4.42578125" style="43" customWidth="1"/>
    <col min="8970" max="8970" width="17.140625" style="43" customWidth="1"/>
    <col min="8971" max="8971" width="1.5703125" style="43" customWidth="1"/>
    <col min="8972" max="8972" width="10.5703125" style="43" customWidth="1"/>
    <col min="8973" max="8973" width="1.7109375" style="43" customWidth="1"/>
    <col min="8974" max="8974" width="9.85546875" style="43" customWidth="1"/>
    <col min="8975" max="8975" width="0.85546875" style="43" customWidth="1"/>
    <col min="8976" max="8976" width="10.85546875" style="43" customWidth="1"/>
    <col min="8977" max="8977" width="1.85546875" style="43" customWidth="1"/>
    <col min="8978" max="9213" width="9.140625" style="43"/>
    <col min="9214" max="9214" width="6.28515625" style="43" customWidth="1"/>
    <col min="9215" max="9215" width="3.140625" style="43" customWidth="1"/>
    <col min="9216" max="9216" width="7.7109375" style="43" customWidth="1"/>
    <col min="9217" max="9217" width="6.7109375" style="43" customWidth="1"/>
    <col min="9218" max="9218" width="7.7109375" style="43" customWidth="1"/>
    <col min="9219" max="9219" width="7.42578125" style="43" customWidth="1"/>
    <col min="9220" max="9220" width="7.7109375" style="43" customWidth="1"/>
    <col min="9221" max="9221" width="6.7109375" style="43" customWidth="1"/>
    <col min="9222" max="9222" width="2.28515625" style="43" customWidth="1"/>
    <col min="9223" max="9223" width="9" style="43" customWidth="1"/>
    <col min="9224" max="9224" width="1.7109375" style="43" customWidth="1"/>
    <col min="9225" max="9225" width="4.42578125" style="43" customWidth="1"/>
    <col min="9226" max="9226" width="17.140625" style="43" customWidth="1"/>
    <col min="9227" max="9227" width="1.5703125" style="43" customWidth="1"/>
    <col min="9228" max="9228" width="10.5703125" style="43" customWidth="1"/>
    <col min="9229" max="9229" width="1.7109375" style="43" customWidth="1"/>
    <col min="9230" max="9230" width="9.85546875" style="43" customWidth="1"/>
    <col min="9231" max="9231" width="0.85546875" style="43" customWidth="1"/>
    <col min="9232" max="9232" width="10.85546875" style="43" customWidth="1"/>
    <col min="9233" max="9233" width="1.85546875" style="43" customWidth="1"/>
    <col min="9234" max="9469" width="9.140625" style="43"/>
    <col min="9470" max="9470" width="6.28515625" style="43" customWidth="1"/>
    <col min="9471" max="9471" width="3.140625" style="43" customWidth="1"/>
    <col min="9472" max="9472" width="7.7109375" style="43" customWidth="1"/>
    <col min="9473" max="9473" width="6.7109375" style="43" customWidth="1"/>
    <col min="9474" max="9474" width="7.7109375" style="43" customWidth="1"/>
    <col min="9475" max="9475" width="7.42578125" style="43" customWidth="1"/>
    <col min="9476" max="9476" width="7.7109375" style="43" customWidth="1"/>
    <col min="9477" max="9477" width="6.7109375" style="43" customWidth="1"/>
    <col min="9478" max="9478" width="2.28515625" style="43" customWidth="1"/>
    <col min="9479" max="9479" width="9" style="43" customWidth="1"/>
    <col min="9480" max="9480" width="1.7109375" style="43" customWidth="1"/>
    <col min="9481" max="9481" width="4.42578125" style="43" customWidth="1"/>
    <col min="9482" max="9482" width="17.140625" style="43" customWidth="1"/>
    <col min="9483" max="9483" width="1.5703125" style="43" customWidth="1"/>
    <col min="9484" max="9484" width="10.5703125" style="43" customWidth="1"/>
    <col min="9485" max="9485" width="1.7109375" style="43" customWidth="1"/>
    <col min="9486" max="9486" width="9.85546875" style="43" customWidth="1"/>
    <col min="9487" max="9487" width="0.85546875" style="43" customWidth="1"/>
    <col min="9488" max="9488" width="10.85546875" style="43" customWidth="1"/>
    <col min="9489" max="9489" width="1.85546875" style="43" customWidth="1"/>
    <col min="9490" max="9725" width="9.140625" style="43"/>
    <col min="9726" max="9726" width="6.28515625" style="43" customWidth="1"/>
    <col min="9727" max="9727" width="3.140625" style="43" customWidth="1"/>
    <col min="9728" max="9728" width="7.7109375" style="43" customWidth="1"/>
    <col min="9729" max="9729" width="6.7109375" style="43" customWidth="1"/>
    <col min="9730" max="9730" width="7.7109375" style="43" customWidth="1"/>
    <col min="9731" max="9731" width="7.42578125" style="43" customWidth="1"/>
    <col min="9732" max="9732" width="7.7109375" style="43" customWidth="1"/>
    <col min="9733" max="9733" width="6.7109375" style="43" customWidth="1"/>
    <col min="9734" max="9734" width="2.28515625" style="43" customWidth="1"/>
    <col min="9735" max="9735" width="9" style="43" customWidth="1"/>
    <col min="9736" max="9736" width="1.7109375" style="43" customWidth="1"/>
    <col min="9737" max="9737" width="4.42578125" style="43" customWidth="1"/>
    <col min="9738" max="9738" width="17.140625" style="43" customWidth="1"/>
    <col min="9739" max="9739" width="1.5703125" style="43" customWidth="1"/>
    <col min="9740" max="9740" width="10.5703125" style="43" customWidth="1"/>
    <col min="9741" max="9741" width="1.7109375" style="43" customWidth="1"/>
    <col min="9742" max="9742" width="9.85546875" style="43" customWidth="1"/>
    <col min="9743" max="9743" width="0.85546875" style="43" customWidth="1"/>
    <col min="9744" max="9744" width="10.85546875" style="43" customWidth="1"/>
    <col min="9745" max="9745" width="1.85546875" style="43" customWidth="1"/>
    <col min="9746" max="9981" width="9.140625" style="43"/>
    <col min="9982" max="9982" width="6.28515625" style="43" customWidth="1"/>
    <col min="9983" max="9983" width="3.140625" style="43" customWidth="1"/>
    <col min="9984" max="9984" width="7.7109375" style="43" customWidth="1"/>
    <col min="9985" max="9985" width="6.7109375" style="43" customWidth="1"/>
    <col min="9986" max="9986" width="7.7109375" style="43" customWidth="1"/>
    <col min="9987" max="9987" width="7.42578125" style="43" customWidth="1"/>
    <col min="9988" max="9988" width="7.7109375" style="43" customWidth="1"/>
    <col min="9989" max="9989" width="6.7109375" style="43" customWidth="1"/>
    <col min="9990" max="9990" width="2.28515625" style="43" customWidth="1"/>
    <col min="9991" max="9991" width="9" style="43" customWidth="1"/>
    <col min="9992" max="9992" width="1.7109375" style="43" customWidth="1"/>
    <col min="9993" max="9993" width="4.42578125" style="43" customWidth="1"/>
    <col min="9994" max="9994" width="17.140625" style="43" customWidth="1"/>
    <col min="9995" max="9995" width="1.5703125" style="43" customWidth="1"/>
    <col min="9996" max="9996" width="10.5703125" style="43" customWidth="1"/>
    <col min="9997" max="9997" width="1.7109375" style="43" customWidth="1"/>
    <col min="9998" max="9998" width="9.85546875" style="43" customWidth="1"/>
    <col min="9999" max="9999" width="0.85546875" style="43" customWidth="1"/>
    <col min="10000" max="10000" width="10.85546875" style="43" customWidth="1"/>
    <col min="10001" max="10001" width="1.85546875" style="43" customWidth="1"/>
    <col min="10002" max="10237" width="9.140625" style="43"/>
    <col min="10238" max="10238" width="6.28515625" style="43" customWidth="1"/>
    <col min="10239" max="10239" width="3.140625" style="43" customWidth="1"/>
    <col min="10240" max="10240" width="7.7109375" style="43" customWidth="1"/>
    <col min="10241" max="10241" width="6.7109375" style="43" customWidth="1"/>
    <col min="10242" max="10242" width="7.7109375" style="43" customWidth="1"/>
    <col min="10243" max="10243" width="7.42578125" style="43" customWidth="1"/>
    <col min="10244" max="10244" width="7.7109375" style="43" customWidth="1"/>
    <col min="10245" max="10245" width="6.7109375" style="43" customWidth="1"/>
    <col min="10246" max="10246" width="2.28515625" style="43" customWidth="1"/>
    <col min="10247" max="10247" width="9" style="43" customWidth="1"/>
    <col min="10248" max="10248" width="1.7109375" style="43" customWidth="1"/>
    <col min="10249" max="10249" width="4.42578125" style="43" customWidth="1"/>
    <col min="10250" max="10250" width="17.140625" style="43" customWidth="1"/>
    <col min="10251" max="10251" width="1.5703125" style="43" customWidth="1"/>
    <col min="10252" max="10252" width="10.5703125" style="43" customWidth="1"/>
    <col min="10253" max="10253" width="1.7109375" style="43" customWidth="1"/>
    <col min="10254" max="10254" width="9.85546875" style="43" customWidth="1"/>
    <col min="10255" max="10255" width="0.85546875" style="43" customWidth="1"/>
    <col min="10256" max="10256" width="10.85546875" style="43" customWidth="1"/>
    <col min="10257" max="10257" width="1.85546875" style="43" customWidth="1"/>
    <col min="10258" max="10493" width="9.140625" style="43"/>
    <col min="10494" max="10494" width="6.28515625" style="43" customWidth="1"/>
    <col min="10495" max="10495" width="3.140625" style="43" customWidth="1"/>
    <col min="10496" max="10496" width="7.7109375" style="43" customWidth="1"/>
    <col min="10497" max="10497" width="6.7109375" style="43" customWidth="1"/>
    <col min="10498" max="10498" width="7.7109375" style="43" customWidth="1"/>
    <col min="10499" max="10499" width="7.42578125" style="43" customWidth="1"/>
    <col min="10500" max="10500" width="7.7109375" style="43" customWidth="1"/>
    <col min="10501" max="10501" width="6.7109375" style="43" customWidth="1"/>
    <col min="10502" max="10502" width="2.28515625" style="43" customWidth="1"/>
    <col min="10503" max="10503" width="9" style="43" customWidth="1"/>
    <col min="10504" max="10504" width="1.7109375" style="43" customWidth="1"/>
    <col min="10505" max="10505" width="4.42578125" style="43" customWidth="1"/>
    <col min="10506" max="10506" width="17.140625" style="43" customWidth="1"/>
    <col min="10507" max="10507" width="1.5703125" style="43" customWidth="1"/>
    <col min="10508" max="10508" width="10.5703125" style="43" customWidth="1"/>
    <col min="10509" max="10509" width="1.7109375" style="43" customWidth="1"/>
    <col min="10510" max="10510" width="9.85546875" style="43" customWidth="1"/>
    <col min="10511" max="10511" width="0.85546875" style="43" customWidth="1"/>
    <col min="10512" max="10512" width="10.85546875" style="43" customWidth="1"/>
    <col min="10513" max="10513" width="1.85546875" style="43" customWidth="1"/>
    <col min="10514" max="10749" width="9.140625" style="43"/>
    <col min="10750" max="10750" width="6.28515625" style="43" customWidth="1"/>
    <col min="10751" max="10751" width="3.140625" style="43" customWidth="1"/>
    <col min="10752" max="10752" width="7.7109375" style="43" customWidth="1"/>
    <col min="10753" max="10753" width="6.7109375" style="43" customWidth="1"/>
    <col min="10754" max="10754" width="7.7109375" style="43" customWidth="1"/>
    <col min="10755" max="10755" width="7.42578125" style="43" customWidth="1"/>
    <col min="10756" max="10756" width="7.7109375" style="43" customWidth="1"/>
    <col min="10757" max="10757" width="6.7109375" style="43" customWidth="1"/>
    <col min="10758" max="10758" width="2.28515625" style="43" customWidth="1"/>
    <col min="10759" max="10759" width="9" style="43" customWidth="1"/>
    <col min="10760" max="10760" width="1.7109375" style="43" customWidth="1"/>
    <col min="10761" max="10761" width="4.42578125" style="43" customWidth="1"/>
    <col min="10762" max="10762" width="17.140625" style="43" customWidth="1"/>
    <col min="10763" max="10763" width="1.5703125" style="43" customWidth="1"/>
    <col min="10764" max="10764" width="10.5703125" style="43" customWidth="1"/>
    <col min="10765" max="10765" width="1.7109375" style="43" customWidth="1"/>
    <col min="10766" max="10766" width="9.85546875" style="43" customWidth="1"/>
    <col min="10767" max="10767" width="0.85546875" style="43" customWidth="1"/>
    <col min="10768" max="10768" width="10.85546875" style="43" customWidth="1"/>
    <col min="10769" max="10769" width="1.85546875" style="43" customWidth="1"/>
    <col min="10770" max="11005" width="9.140625" style="43"/>
    <col min="11006" max="11006" width="6.28515625" style="43" customWidth="1"/>
    <col min="11007" max="11007" width="3.140625" style="43" customWidth="1"/>
    <col min="11008" max="11008" width="7.7109375" style="43" customWidth="1"/>
    <col min="11009" max="11009" width="6.7109375" style="43" customWidth="1"/>
    <col min="11010" max="11010" width="7.7109375" style="43" customWidth="1"/>
    <col min="11011" max="11011" width="7.42578125" style="43" customWidth="1"/>
    <col min="11012" max="11012" width="7.7109375" style="43" customWidth="1"/>
    <col min="11013" max="11013" width="6.7109375" style="43" customWidth="1"/>
    <col min="11014" max="11014" width="2.28515625" style="43" customWidth="1"/>
    <col min="11015" max="11015" width="9" style="43" customWidth="1"/>
    <col min="11016" max="11016" width="1.7109375" style="43" customWidth="1"/>
    <col min="11017" max="11017" width="4.42578125" style="43" customWidth="1"/>
    <col min="11018" max="11018" width="17.140625" style="43" customWidth="1"/>
    <col min="11019" max="11019" width="1.5703125" style="43" customWidth="1"/>
    <col min="11020" max="11020" width="10.5703125" style="43" customWidth="1"/>
    <col min="11021" max="11021" width="1.7109375" style="43" customWidth="1"/>
    <col min="11022" max="11022" width="9.85546875" style="43" customWidth="1"/>
    <col min="11023" max="11023" width="0.85546875" style="43" customWidth="1"/>
    <col min="11024" max="11024" width="10.85546875" style="43" customWidth="1"/>
    <col min="11025" max="11025" width="1.85546875" style="43" customWidth="1"/>
    <col min="11026" max="11261" width="9.140625" style="43"/>
    <col min="11262" max="11262" width="6.28515625" style="43" customWidth="1"/>
    <col min="11263" max="11263" width="3.140625" style="43" customWidth="1"/>
    <col min="11264" max="11264" width="7.7109375" style="43" customWidth="1"/>
    <col min="11265" max="11265" width="6.7109375" style="43" customWidth="1"/>
    <col min="11266" max="11266" width="7.7109375" style="43" customWidth="1"/>
    <col min="11267" max="11267" width="7.42578125" style="43" customWidth="1"/>
    <col min="11268" max="11268" width="7.7109375" style="43" customWidth="1"/>
    <col min="11269" max="11269" width="6.7109375" style="43" customWidth="1"/>
    <col min="11270" max="11270" width="2.28515625" style="43" customWidth="1"/>
    <col min="11271" max="11271" width="9" style="43" customWidth="1"/>
    <col min="11272" max="11272" width="1.7109375" style="43" customWidth="1"/>
    <col min="11273" max="11273" width="4.42578125" style="43" customWidth="1"/>
    <col min="11274" max="11274" width="17.140625" style="43" customWidth="1"/>
    <col min="11275" max="11275" width="1.5703125" style="43" customWidth="1"/>
    <col min="11276" max="11276" width="10.5703125" style="43" customWidth="1"/>
    <col min="11277" max="11277" width="1.7109375" style="43" customWidth="1"/>
    <col min="11278" max="11278" width="9.85546875" style="43" customWidth="1"/>
    <col min="11279" max="11279" width="0.85546875" style="43" customWidth="1"/>
    <col min="11280" max="11280" width="10.85546875" style="43" customWidth="1"/>
    <col min="11281" max="11281" width="1.85546875" style="43" customWidth="1"/>
    <col min="11282" max="11517" width="9.140625" style="43"/>
    <col min="11518" max="11518" width="6.28515625" style="43" customWidth="1"/>
    <col min="11519" max="11519" width="3.140625" style="43" customWidth="1"/>
    <col min="11520" max="11520" width="7.7109375" style="43" customWidth="1"/>
    <col min="11521" max="11521" width="6.7109375" style="43" customWidth="1"/>
    <col min="11522" max="11522" width="7.7109375" style="43" customWidth="1"/>
    <col min="11523" max="11523" width="7.42578125" style="43" customWidth="1"/>
    <col min="11524" max="11524" width="7.7109375" style="43" customWidth="1"/>
    <col min="11525" max="11525" width="6.7109375" style="43" customWidth="1"/>
    <col min="11526" max="11526" width="2.28515625" style="43" customWidth="1"/>
    <col min="11527" max="11527" width="9" style="43" customWidth="1"/>
    <col min="11528" max="11528" width="1.7109375" style="43" customWidth="1"/>
    <col min="11529" max="11529" width="4.42578125" style="43" customWidth="1"/>
    <col min="11530" max="11530" width="17.140625" style="43" customWidth="1"/>
    <col min="11531" max="11531" width="1.5703125" style="43" customWidth="1"/>
    <col min="11532" max="11532" width="10.5703125" style="43" customWidth="1"/>
    <col min="11533" max="11533" width="1.7109375" style="43" customWidth="1"/>
    <col min="11534" max="11534" width="9.85546875" style="43" customWidth="1"/>
    <col min="11535" max="11535" width="0.85546875" style="43" customWidth="1"/>
    <col min="11536" max="11536" width="10.85546875" style="43" customWidth="1"/>
    <col min="11537" max="11537" width="1.85546875" style="43" customWidth="1"/>
    <col min="11538" max="11773" width="9.140625" style="43"/>
    <col min="11774" max="11774" width="6.28515625" style="43" customWidth="1"/>
    <col min="11775" max="11775" width="3.140625" style="43" customWidth="1"/>
    <col min="11776" max="11776" width="7.7109375" style="43" customWidth="1"/>
    <col min="11777" max="11777" width="6.7109375" style="43" customWidth="1"/>
    <col min="11778" max="11778" width="7.7109375" style="43" customWidth="1"/>
    <col min="11779" max="11779" width="7.42578125" style="43" customWidth="1"/>
    <col min="11780" max="11780" width="7.7109375" style="43" customWidth="1"/>
    <col min="11781" max="11781" width="6.7109375" style="43" customWidth="1"/>
    <col min="11782" max="11782" width="2.28515625" style="43" customWidth="1"/>
    <col min="11783" max="11783" width="9" style="43" customWidth="1"/>
    <col min="11784" max="11784" width="1.7109375" style="43" customWidth="1"/>
    <col min="11785" max="11785" width="4.42578125" style="43" customWidth="1"/>
    <col min="11786" max="11786" width="17.140625" style="43" customWidth="1"/>
    <col min="11787" max="11787" width="1.5703125" style="43" customWidth="1"/>
    <col min="11788" max="11788" width="10.5703125" style="43" customWidth="1"/>
    <col min="11789" max="11789" width="1.7109375" style="43" customWidth="1"/>
    <col min="11790" max="11790" width="9.85546875" style="43" customWidth="1"/>
    <col min="11791" max="11791" width="0.85546875" style="43" customWidth="1"/>
    <col min="11792" max="11792" width="10.85546875" style="43" customWidth="1"/>
    <col min="11793" max="11793" width="1.85546875" style="43" customWidth="1"/>
    <col min="11794" max="12029" width="9.140625" style="43"/>
    <col min="12030" max="12030" width="6.28515625" style="43" customWidth="1"/>
    <col min="12031" max="12031" width="3.140625" style="43" customWidth="1"/>
    <col min="12032" max="12032" width="7.7109375" style="43" customWidth="1"/>
    <col min="12033" max="12033" width="6.7109375" style="43" customWidth="1"/>
    <col min="12034" max="12034" width="7.7109375" style="43" customWidth="1"/>
    <col min="12035" max="12035" width="7.42578125" style="43" customWidth="1"/>
    <col min="12036" max="12036" width="7.7109375" style="43" customWidth="1"/>
    <col min="12037" max="12037" width="6.7109375" style="43" customWidth="1"/>
    <col min="12038" max="12038" width="2.28515625" style="43" customWidth="1"/>
    <col min="12039" max="12039" width="9" style="43" customWidth="1"/>
    <col min="12040" max="12040" width="1.7109375" style="43" customWidth="1"/>
    <col min="12041" max="12041" width="4.42578125" style="43" customWidth="1"/>
    <col min="12042" max="12042" width="17.140625" style="43" customWidth="1"/>
    <col min="12043" max="12043" width="1.5703125" style="43" customWidth="1"/>
    <col min="12044" max="12044" width="10.5703125" style="43" customWidth="1"/>
    <col min="12045" max="12045" width="1.7109375" style="43" customWidth="1"/>
    <col min="12046" max="12046" width="9.85546875" style="43" customWidth="1"/>
    <col min="12047" max="12047" width="0.85546875" style="43" customWidth="1"/>
    <col min="12048" max="12048" width="10.85546875" style="43" customWidth="1"/>
    <col min="12049" max="12049" width="1.85546875" style="43" customWidth="1"/>
    <col min="12050" max="12285" width="9.140625" style="43"/>
    <col min="12286" max="12286" width="6.28515625" style="43" customWidth="1"/>
    <col min="12287" max="12287" width="3.140625" style="43" customWidth="1"/>
    <col min="12288" max="12288" width="7.7109375" style="43" customWidth="1"/>
    <col min="12289" max="12289" width="6.7109375" style="43" customWidth="1"/>
    <col min="12290" max="12290" width="7.7109375" style="43" customWidth="1"/>
    <col min="12291" max="12291" width="7.42578125" style="43" customWidth="1"/>
    <col min="12292" max="12292" width="7.7109375" style="43" customWidth="1"/>
    <col min="12293" max="12293" width="6.7109375" style="43" customWidth="1"/>
    <col min="12294" max="12294" width="2.28515625" style="43" customWidth="1"/>
    <col min="12295" max="12295" width="9" style="43" customWidth="1"/>
    <col min="12296" max="12296" width="1.7109375" style="43" customWidth="1"/>
    <col min="12297" max="12297" width="4.42578125" style="43" customWidth="1"/>
    <col min="12298" max="12298" width="17.140625" style="43" customWidth="1"/>
    <col min="12299" max="12299" width="1.5703125" style="43" customWidth="1"/>
    <col min="12300" max="12300" width="10.5703125" style="43" customWidth="1"/>
    <col min="12301" max="12301" width="1.7109375" style="43" customWidth="1"/>
    <col min="12302" max="12302" width="9.85546875" style="43" customWidth="1"/>
    <col min="12303" max="12303" width="0.85546875" style="43" customWidth="1"/>
    <col min="12304" max="12304" width="10.85546875" style="43" customWidth="1"/>
    <col min="12305" max="12305" width="1.85546875" style="43" customWidth="1"/>
    <col min="12306" max="12541" width="9.140625" style="43"/>
    <col min="12542" max="12542" width="6.28515625" style="43" customWidth="1"/>
    <col min="12543" max="12543" width="3.140625" style="43" customWidth="1"/>
    <col min="12544" max="12544" width="7.7109375" style="43" customWidth="1"/>
    <col min="12545" max="12545" width="6.7109375" style="43" customWidth="1"/>
    <col min="12546" max="12546" width="7.7109375" style="43" customWidth="1"/>
    <col min="12547" max="12547" width="7.42578125" style="43" customWidth="1"/>
    <col min="12548" max="12548" width="7.7109375" style="43" customWidth="1"/>
    <col min="12549" max="12549" width="6.7109375" style="43" customWidth="1"/>
    <col min="12550" max="12550" width="2.28515625" style="43" customWidth="1"/>
    <col min="12551" max="12551" width="9" style="43" customWidth="1"/>
    <col min="12552" max="12552" width="1.7109375" style="43" customWidth="1"/>
    <col min="12553" max="12553" width="4.42578125" style="43" customWidth="1"/>
    <col min="12554" max="12554" width="17.140625" style="43" customWidth="1"/>
    <col min="12555" max="12555" width="1.5703125" style="43" customWidth="1"/>
    <col min="12556" max="12556" width="10.5703125" style="43" customWidth="1"/>
    <col min="12557" max="12557" width="1.7109375" style="43" customWidth="1"/>
    <col min="12558" max="12558" width="9.85546875" style="43" customWidth="1"/>
    <col min="12559" max="12559" width="0.85546875" style="43" customWidth="1"/>
    <col min="12560" max="12560" width="10.85546875" style="43" customWidth="1"/>
    <col min="12561" max="12561" width="1.85546875" style="43" customWidth="1"/>
    <col min="12562" max="12797" width="9.140625" style="43"/>
    <col min="12798" max="12798" width="6.28515625" style="43" customWidth="1"/>
    <col min="12799" max="12799" width="3.140625" style="43" customWidth="1"/>
    <col min="12800" max="12800" width="7.7109375" style="43" customWidth="1"/>
    <col min="12801" max="12801" width="6.7109375" style="43" customWidth="1"/>
    <col min="12802" max="12802" width="7.7109375" style="43" customWidth="1"/>
    <col min="12803" max="12803" width="7.42578125" style="43" customWidth="1"/>
    <col min="12804" max="12804" width="7.7109375" style="43" customWidth="1"/>
    <col min="12805" max="12805" width="6.7109375" style="43" customWidth="1"/>
    <col min="12806" max="12806" width="2.28515625" style="43" customWidth="1"/>
    <col min="12807" max="12807" width="9" style="43" customWidth="1"/>
    <col min="12808" max="12808" width="1.7109375" style="43" customWidth="1"/>
    <col min="12809" max="12809" width="4.42578125" style="43" customWidth="1"/>
    <col min="12810" max="12810" width="17.140625" style="43" customWidth="1"/>
    <col min="12811" max="12811" width="1.5703125" style="43" customWidth="1"/>
    <col min="12812" max="12812" width="10.5703125" style="43" customWidth="1"/>
    <col min="12813" max="12813" width="1.7109375" style="43" customWidth="1"/>
    <col min="12814" max="12814" width="9.85546875" style="43" customWidth="1"/>
    <col min="12815" max="12815" width="0.85546875" style="43" customWidth="1"/>
    <col min="12816" max="12816" width="10.85546875" style="43" customWidth="1"/>
    <col min="12817" max="12817" width="1.85546875" style="43" customWidth="1"/>
    <col min="12818" max="13053" width="9.140625" style="43"/>
    <col min="13054" max="13054" width="6.28515625" style="43" customWidth="1"/>
    <col min="13055" max="13055" width="3.140625" style="43" customWidth="1"/>
    <col min="13056" max="13056" width="7.7109375" style="43" customWidth="1"/>
    <col min="13057" max="13057" width="6.7109375" style="43" customWidth="1"/>
    <col min="13058" max="13058" width="7.7109375" style="43" customWidth="1"/>
    <col min="13059" max="13059" width="7.42578125" style="43" customWidth="1"/>
    <col min="13060" max="13060" width="7.7109375" style="43" customWidth="1"/>
    <col min="13061" max="13061" width="6.7109375" style="43" customWidth="1"/>
    <col min="13062" max="13062" width="2.28515625" style="43" customWidth="1"/>
    <col min="13063" max="13063" width="9" style="43" customWidth="1"/>
    <col min="13064" max="13064" width="1.7109375" style="43" customWidth="1"/>
    <col min="13065" max="13065" width="4.42578125" style="43" customWidth="1"/>
    <col min="13066" max="13066" width="17.140625" style="43" customWidth="1"/>
    <col min="13067" max="13067" width="1.5703125" style="43" customWidth="1"/>
    <col min="13068" max="13068" width="10.5703125" style="43" customWidth="1"/>
    <col min="13069" max="13069" width="1.7109375" style="43" customWidth="1"/>
    <col min="13070" max="13070" width="9.85546875" style="43" customWidth="1"/>
    <col min="13071" max="13071" width="0.85546875" style="43" customWidth="1"/>
    <col min="13072" max="13072" width="10.85546875" style="43" customWidth="1"/>
    <col min="13073" max="13073" width="1.85546875" style="43" customWidth="1"/>
    <col min="13074" max="13309" width="9.140625" style="43"/>
    <col min="13310" max="13310" width="6.28515625" style="43" customWidth="1"/>
    <col min="13311" max="13311" width="3.140625" style="43" customWidth="1"/>
    <col min="13312" max="13312" width="7.7109375" style="43" customWidth="1"/>
    <col min="13313" max="13313" width="6.7109375" style="43" customWidth="1"/>
    <col min="13314" max="13314" width="7.7109375" style="43" customWidth="1"/>
    <col min="13315" max="13315" width="7.42578125" style="43" customWidth="1"/>
    <col min="13316" max="13316" width="7.7109375" style="43" customWidth="1"/>
    <col min="13317" max="13317" width="6.7109375" style="43" customWidth="1"/>
    <col min="13318" max="13318" width="2.28515625" style="43" customWidth="1"/>
    <col min="13319" max="13319" width="9" style="43" customWidth="1"/>
    <col min="13320" max="13320" width="1.7109375" style="43" customWidth="1"/>
    <col min="13321" max="13321" width="4.42578125" style="43" customWidth="1"/>
    <col min="13322" max="13322" width="17.140625" style="43" customWidth="1"/>
    <col min="13323" max="13323" width="1.5703125" style="43" customWidth="1"/>
    <col min="13324" max="13324" width="10.5703125" style="43" customWidth="1"/>
    <col min="13325" max="13325" width="1.7109375" style="43" customWidth="1"/>
    <col min="13326" max="13326" width="9.85546875" style="43" customWidth="1"/>
    <col min="13327" max="13327" width="0.85546875" style="43" customWidth="1"/>
    <col min="13328" max="13328" width="10.85546875" style="43" customWidth="1"/>
    <col min="13329" max="13329" width="1.85546875" style="43" customWidth="1"/>
    <col min="13330" max="13565" width="9.140625" style="43"/>
    <col min="13566" max="13566" width="6.28515625" style="43" customWidth="1"/>
    <col min="13567" max="13567" width="3.140625" style="43" customWidth="1"/>
    <col min="13568" max="13568" width="7.7109375" style="43" customWidth="1"/>
    <col min="13569" max="13569" width="6.7109375" style="43" customWidth="1"/>
    <col min="13570" max="13570" width="7.7109375" style="43" customWidth="1"/>
    <col min="13571" max="13571" width="7.42578125" style="43" customWidth="1"/>
    <col min="13572" max="13572" width="7.7109375" style="43" customWidth="1"/>
    <col min="13573" max="13573" width="6.7109375" style="43" customWidth="1"/>
    <col min="13574" max="13574" width="2.28515625" style="43" customWidth="1"/>
    <col min="13575" max="13575" width="9" style="43" customWidth="1"/>
    <col min="13576" max="13576" width="1.7109375" style="43" customWidth="1"/>
    <col min="13577" max="13577" width="4.42578125" style="43" customWidth="1"/>
    <col min="13578" max="13578" width="17.140625" style="43" customWidth="1"/>
    <col min="13579" max="13579" width="1.5703125" style="43" customWidth="1"/>
    <col min="13580" max="13580" width="10.5703125" style="43" customWidth="1"/>
    <col min="13581" max="13581" width="1.7109375" style="43" customWidth="1"/>
    <col min="13582" max="13582" width="9.85546875" style="43" customWidth="1"/>
    <col min="13583" max="13583" width="0.85546875" style="43" customWidth="1"/>
    <col min="13584" max="13584" width="10.85546875" style="43" customWidth="1"/>
    <col min="13585" max="13585" width="1.85546875" style="43" customWidth="1"/>
    <col min="13586" max="13821" width="9.140625" style="43"/>
    <col min="13822" max="13822" width="6.28515625" style="43" customWidth="1"/>
    <col min="13823" max="13823" width="3.140625" style="43" customWidth="1"/>
    <col min="13824" max="13824" width="7.7109375" style="43" customWidth="1"/>
    <col min="13825" max="13825" width="6.7109375" style="43" customWidth="1"/>
    <col min="13826" max="13826" width="7.7109375" style="43" customWidth="1"/>
    <col min="13827" max="13827" width="7.42578125" style="43" customWidth="1"/>
    <col min="13828" max="13828" width="7.7109375" style="43" customWidth="1"/>
    <col min="13829" max="13829" width="6.7109375" style="43" customWidth="1"/>
    <col min="13830" max="13830" width="2.28515625" style="43" customWidth="1"/>
    <col min="13831" max="13831" width="9" style="43" customWidth="1"/>
    <col min="13832" max="13832" width="1.7109375" style="43" customWidth="1"/>
    <col min="13833" max="13833" width="4.42578125" style="43" customWidth="1"/>
    <col min="13834" max="13834" width="17.140625" style="43" customWidth="1"/>
    <col min="13835" max="13835" width="1.5703125" style="43" customWidth="1"/>
    <col min="13836" max="13836" width="10.5703125" style="43" customWidth="1"/>
    <col min="13837" max="13837" width="1.7109375" style="43" customWidth="1"/>
    <col min="13838" max="13838" width="9.85546875" style="43" customWidth="1"/>
    <col min="13839" max="13839" width="0.85546875" style="43" customWidth="1"/>
    <col min="13840" max="13840" width="10.85546875" style="43" customWidth="1"/>
    <col min="13841" max="13841" width="1.85546875" style="43" customWidth="1"/>
    <col min="13842" max="14077" width="9.140625" style="43"/>
    <col min="14078" max="14078" width="6.28515625" style="43" customWidth="1"/>
    <col min="14079" max="14079" width="3.140625" style="43" customWidth="1"/>
    <col min="14080" max="14080" width="7.7109375" style="43" customWidth="1"/>
    <col min="14081" max="14081" width="6.7109375" style="43" customWidth="1"/>
    <col min="14082" max="14082" width="7.7109375" style="43" customWidth="1"/>
    <col min="14083" max="14083" width="7.42578125" style="43" customWidth="1"/>
    <col min="14084" max="14084" width="7.7109375" style="43" customWidth="1"/>
    <col min="14085" max="14085" width="6.7109375" style="43" customWidth="1"/>
    <col min="14086" max="14086" width="2.28515625" style="43" customWidth="1"/>
    <col min="14087" max="14087" width="9" style="43" customWidth="1"/>
    <col min="14088" max="14088" width="1.7109375" style="43" customWidth="1"/>
    <col min="14089" max="14089" width="4.42578125" style="43" customWidth="1"/>
    <col min="14090" max="14090" width="17.140625" style="43" customWidth="1"/>
    <col min="14091" max="14091" width="1.5703125" style="43" customWidth="1"/>
    <col min="14092" max="14092" width="10.5703125" style="43" customWidth="1"/>
    <col min="14093" max="14093" width="1.7109375" style="43" customWidth="1"/>
    <col min="14094" max="14094" width="9.85546875" style="43" customWidth="1"/>
    <col min="14095" max="14095" width="0.85546875" style="43" customWidth="1"/>
    <col min="14096" max="14096" width="10.85546875" style="43" customWidth="1"/>
    <col min="14097" max="14097" width="1.85546875" style="43" customWidth="1"/>
    <col min="14098" max="14333" width="9.140625" style="43"/>
    <col min="14334" max="14334" width="6.28515625" style="43" customWidth="1"/>
    <col min="14335" max="14335" width="3.140625" style="43" customWidth="1"/>
    <col min="14336" max="14336" width="7.7109375" style="43" customWidth="1"/>
    <col min="14337" max="14337" width="6.7109375" style="43" customWidth="1"/>
    <col min="14338" max="14338" width="7.7109375" style="43" customWidth="1"/>
    <col min="14339" max="14339" width="7.42578125" style="43" customWidth="1"/>
    <col min="14340" max="14340" width="7.7109375" style="43" customWidth="1"/>
    <col min="14341" max="14341" width="6.7109375" style="43" customWidth="1"/>
    <col min="14342" max="14342" width="2.28515625" style="43" customWidth="1"/>
    <col min="14343" max="14343" width="9" style="43" customWidth="1"/>
    <col min="14344" max="14344" width="1.7109375" style="43" customWidth="1"/>
    <col min="14345" max="14345" width="4.42578125" style="43" customWidth="1"/>
    <col min="14346" max="14346" width="17.140625" style="43" customWidth="1"/>
    <col min="14347" max="14347" width="1.5703125" style="43" customWidth="1"/>
    <col min="14348" max="14348" width="10.5703125" style="43" customWidth="1"/>
    <col min="14349" max="14349" width="1.7109375" style="43" customWidth="1"/>
    <col min="14350" max="14350" width="9.85546875" style="43" customWidth="1"/>
    <col min="14351" max="14351" width="0.85546875" style="43" customWidth="1"/>
    <col min="14352" max="14352" width="10.85546875" style="43" customWidth="1"/>
    <col min="14353" max="14353" width="1.85546875" style="43" customWidth="1"/>
    <col min="14354" max="14589" width="9.140625" style="43"/>
    <col min="14590" max="14590" width="6.28515625" style="43" customWidth="1"/>
    <col min="14591" max="14591" width="3.140625" style="43" customWidth="1"/>
    <col min="14592" max="14592" width="7.7109375" style="43" customWidth="1"/>
    <col min="14593" max="14593" width="6.7109375" style="43" customWidth="1"/>
    <col min="14594" max="14594" width="7.7109375" style="43" customWidth="1"/>
    <col min="14595" max="14595" width="7.42578125" style="43" customWidth="1"/>
    <col min="14596" max="14596" width="7.7109375" style="43" customWidth="1"/>
    <col min="14597" max="14597" width="6.7109375" style="43" customWidth="1"/>
    <col min="14598" max="14598" width="2.28515625" style="43" customWidth="1"/>
    <col min="14599" max="14599" width="9" style="43" customWidth="1"/>
    <col min="14600" max="14600" width="1.7109375" style="43" customWidth="1"/>
    <col min="14601" max="14601" width="4.42578125" style="43" customWidth="1"/>
    <col min="14602" max="14602" width="17.140625" style="43" customWidth="1"/>
    <col min="14603" max="14603" width="1.5703125" style="43" customWidth="1"/>
    <col min="14604" max="14604" width="10.5703125" style="43" customWidth="1"/>
    <col min="14605" max="14605" width="1.7109375" style="43" customWidth="1"/>
    <col min="14606" max="14606" width="9.85546875" style="43" customWidth="1"/>
    <col min="14607" max="14607" width="0.85546875" style="43" customWidth="1"/>
    <col min="14608" max="14608" width="10.85546875" style="43" customWidth="1"/>
    <col min="14609" max="14609" width="1.85546875" style="43" customWidth="1"/>
    <col min="14610" max="14845" width="9.140625" style="43"/>
    <col min="14846" max="14846" width="6.28515625" style="43" customWidth="1"/>
    <col min="14847" max="14847" width="3.140625" style="43" customWidth="1"/>
    <col min="14848" max="14848" width="7.7109375" style="43" customWidth="1"/>
    <col min="14849" max="14849" width="6.7109375" style="43" customWidth="1"/>
    <col min="14850" max="14850" width="7.7109375" style="43" customWidth="1"/>
    <col min="14851" max="14851" width="7.42578125" style="43" customWidth="1"/>
    <col min="14852" max="14852" width="7.7109375" style="43" customWidth="1"/>
    <col min="14853" max="14853" width="6.7109375" style="43" customWidth="1"/>
    <col min="14854" max="14854" width="2.28515625" style="43" customWidth="1"/>
    <col min="14855" max="14855" width="9" style="43" customWidth="1"/>
    <col min="14856" max="14856" width="1.7109375" style="43" customWidth="1"/>
    <col min="14857" max="14857" width="4.42578125" style="43" customWidth="1"/>
    <col min="14858" max="14858" width="17.140625" style="43" customWidth="1"/>
    <col min="14859" max="14859" width="1.5703125" style="43" customWidth="1"/>
    <col min="14860" max="14860" width="10.5703125" style="43" customWidth="1"/>
    <col min="14861" max="14861" width="1.7109375" style="43" customWidth="1"/>
    <col min="14862" max="14862" width="9.85546875" style="43" customWidth="1"/>
    <col min="14863" max="14863" width="0.85546875" style="43" customWidth="1"/>
    <col min="14864" max="14864" width="10.85546875" style="43" customWidth="1"/>
    <col min="14865" max="14865" width="1.85546875" style="43" customWidth="1"/>
    <col min="14866" max="15101" width="9.140625" style="43"/>
    <col min="15102" max="15102" width="6.28515625" style="43" customWidth="1"/>
    <col min="15103" max="15103" width="3.140625" style="43" customWidth="1"/>
    <col min="15104" max="15104" width="7.7109375" style="43" customWidth="1"/>
    <col min="15105" max="15105" width="6.7109375" style="43" customWidth="1"/>
    <col min="15106" max="15106" width="7.7109375" style="43" customWidth="1"/>
    <col min="15107" max="15107" width="7.42578125" style="43" customWidth="1"/>
    <col min="15108" max="15108" width="7.7109375" style="43" customWidth="1"/>
    <col min="15109" max="15109" width="6.7109375" style="43" customWidth="1"/>
    <col min="15110" max="15110" width="2.28515625" style="43" customWidth="1"/>
    <col min="15111" max="15111" width="9" style="43" customWidth="1"/>
    <col min="15112" max="15112" width="1.7109375" style="43" customWidth="1"/>
    <col min="15113" max="15113" width="4.42578125" style="43" customWidth="1"/>
    <col min="15114" max="15114" width="17.140625" style="43" customWidth="1"/>
    <col min="15115" max="15115" width="1.5703125" style="43" customWidth="1"/>
    <col min="15116" max="15116" width="10.5703125" style="43" customWidth="1"/>
    <col min="15117" max="15117" width="1.7109375" style="43" customWidth="1"/>
    <col min="15118" max="15118" width="9.85546875" style="43" customWidth="1"/>
    <col min="15119" max="15119" width="0.85546875" style="43" customWidth="1"/>
    <col min="15120" max="15120" width="10.85546875" style="43" customWidth="1"/>
    <col min="15121" max="15121" width="1.85546875" style="43" customWidth="1"/>
    <col min="15122" max="15357" width="9.140625" style="43"/>
    <col min="15358" max="15358" width="6.28515625" style="43" customWidth="1"/>
    <col min="15359" max="15359" width="3.140625" style="43" customWidth="1"/>
    <col min="15360" max="15360" width="7.7109375" style="43" customWidth="1"/>
    <col min="15361" max="15361" width="6.7109375" style="43" customWidth="1"/>
    <col min="15362" max="15362" width="7.7109375" style="43" customWidth="1"/>
    <col min="15363" max="15363" width="7.42578125" style="43" customWidth="1"/>
    <col min="15364" max="15364" width="7.7109375" style="43" customWidth="1"/>
    <col min="15365" max="15365" width="6.7109375" style="43" customWidth="1"/>
    <col min="15366" max="15366" width="2.28515625" style="43" customWidth="1"/>
    <col min="15367" max="15367" width="9" style="43" customWidth="1"/>
    <col min="15368" max="15368" width="1.7109375" style="43" customWidth="1"/>
    <col min="15369" max="15369" width="4.42578125" style="43" customWidth="1"/>
    <col min="15370" max="15370" width="17.140625" style="43" customWidth="1"/>
    <col min="15371" max="15371" width="1.5703125" style="43" customWidth="1"/>
    <col min="15372" max="15372" width="10.5703125" style="43" customWidth="1"/>
    <col min="15373" max="15373" width="1.7109375" style="43" customWidth="1"/>
    <col min="15374" max="15374" width="9.85546875" style="43" customWidth="1"/>
    <col min="15375" max="15375" width="0.85546875" style="43" customWidth="1"/>
    <col min="15376" max="15376" width="10.85546875" style="43" customWidth="1"/>
    <col min="15377" max="15377" width="1.85546875" style="43" customWidth="1"/>
    <col min="15378" max="15613" width="9.140625" style="43"/>
    <col min="15614" max="15614" width="6.28515625" style="43" customWidth="1"/>
    <col min="15615" max="15615" width="3.140625" style="43" customWidth="1"/>
    <col min="15616" max="15616" width="7.7109375" style="43" customWidth="1"/>
    <col min="15617" max="15617" width="6.7109375" style="43" customWidth="1"/>
    <col min="15618" max="15618" width="7.7109375" style="43" customWidth="1"/>
    <col min="15619" max="15619" width="7.42578125" style="43" customWidth="1"/>
    <col min="15620" max="15620" width="7.7109375" style="43" customWidth="1"/>
    <col min="15621" max="15621" width="6.7109375" style="43" customWidth="1"/>
    <col min="15622" max="15622" width="2.28515625" style="43" customWidth="1"/>
    <col min="15623" max="15623" width="9" style="43" customWidth="1"/>
    <col min="15624" max="15624" width="1.7109375" style="43" customWidth="1"/>
    <col min="15625" max="15625" width="4.42578125" style="43" customWidth="1"/>
    <col min="15626" max="15626" width="17.140625" style="43" customWidth="1"/>
    <col min="15627" max="15627" width="1.5703125" style="43" customWidth="1"/>
    <col min="15628" max="15628" width="10.5703125" style="43" customWidth="1"/>
    <col min="15629" max="15629" width="1.7109375" style="43" customWidth="1"/>
    <col min="15630" max="15630" width="9.85546875" style="43" customWidth="1"/>
    <col min="15631" max="15631" width="0.85546875" style="43" customWidth="1"/>
    <col min="15632" max="15632" width="10.85546875" style="43" customWidth="1"/>
    <col min="15633" max="15633" width="1.85546875" style="43" customWidth="1"/>
    <col min="15634" max="15869" width="9.140625" style="43"/>
    <col min="15870" max="15870" width="6.28515625" style="43" customWidth="1"/>
    <col min="15871" max="15871" width="3.140625" style="43" customWidth="1"/>
    <col min="15872" max="15872" width="7.7109375" style="43" customWidth="1"/>
    <col min="15873" max="15873" width="6.7109375" style="43" customWidth="1"/>
    <col min="15874" max="15874" width="7.7109375" style="43" customWidth="1"/>
    <col min="15875" max="15875" width="7.42578125" style="43" customWidth="1"/>
    <col min="15876" max="15876" width="7.7109375" style="43" customWidth="1"/>
    <col min="15877" max="15877" width="6.7109375" style="43" customWidth="1"/>
    <col min="15878" max="15878" width="2.28515625" style="43" customWidth="1"/>
    <col min="15879" max="15879" width="9" style="43" customWidth="1"/>
    <col min="15880" max="15880" width="1.7109375" style="43" customWidth="1"/>
    <col min="15881" max="15881" width="4.42578125" style="43" customWidth="1"/>
    <col min="15882" max="15882" width="17.140625" style="43" customWidth="1"/>
    <col min="15883" max="15883" width="1.5703125" style="43" customWidth="1"/>
    <col min="15884" max="15884" width="10.5703125" style="43" customWidth="1"/>
    <col min="15885" max="15885" width="1.7109375" style="43" customWidth="1"/>
    <col min="15886" max="15886" width="9.85546875" style="43" customWidth="1"/>
    <col min="15887" max="15887" width="0.85546875" style="43" customWidth="1"/>
    <col min="15888" max="15888" width="10.85546875" style="43" customWidth="1"/>
    <col min="15889" max="15889" width="1.85546875" style="43" customWidth="1"/>
    <col min="15890" max="16125" width="9.140625" style="43"/>
    <col min="16126" max="16126" width="6.28515625" style="43" customWidth="1"/>
    <col min="16127" max="16127" width="3.140625" style="43" customWidth="1"/>
    <col min="16128" max="16128" width="7.7109375" style="43" customWidth="1"/>
    <col min="16129" max="16129" width="6.7109375" style="43" customWidth="1"/>
    <col min="16130" max="16130" width="7.7109375" style="43" customWidth="1"/>
    <col min="16131" max="16131" width="7.42578125" style="43" customWidth="1"/>
    <col min="16132" max="16132" width="7.7109375" style="43" customWidth="1"/>
    <col min="16133" max="16133" width="6.7109375" style="43" customWidth="1"/>
    <col min="16134" max="16134" width="2.28515625" style="43" customWidth="1"/>
    <col min="16135" max="16135" width="9" style="43" customWidth="1"/>
    <col min="16136" max="16136" width="1.7109375" style="43" customWidth="1"/>
    <col min="16137" max="16137" width="4.42578125" style="43" customWidth="1"/>
    <col min="16138" max="16138" width="17.140625" style="43" customWidth="1"/>
    <col min="16139" max="16139" width="1.5703125" style="43" customWidth="1"/>
    <col min="16140" max="16140" width="10.5703125" style="43" customWidth="1"/>
    <col min="16141" max="16141" width="1.7109375" style="43" customWidth="1"/>
    <col min="16142" max="16142" width="9.85546875" style="43" customWidth="1"/>
    <col min="16143" max="16143" width="0.85546875" style="43" customWidth="1"/>
    <col min="16144" max="16144" width="10.85546875" style="43" customWidth="1"/>
    <col min="16145" max="16145" width="1.85546875" style="43" customWidth="1"/>
    <col min="16146" max="16384" width="9.140625" style="43"/>
  </cols>
  <sheetData>
    <row r="1" spans="1:44" x14ac:dyDescent="0.2">
      <c r="C1" s="41"/>
      <c r="D1" s="42"/>
      <c r="E1" s="41"/>
      <c r="F1" s="41"/>
      <c r="G1" s="41"/>
      <c r="H1" s="41"/>
      <c r="I1" s="41"/>
      <c r="J1" s="41"/>
      <c r="K1" s="41"/>
      <c r="L1" s="41"/>
      <c r="M1" s="41"/>
      <c r="O1" s="41"/>
      <c r="P1" s="25">
        <f ca="1">NOW()</f>
        <v>41283.612542129631</v>
      </c>
      <c r="Q1" s="41"/>
    </row>
    <row r="2" spans="1:44" ht="15.75" x14ac:dyDescent="0.25">
      <c r="C2" s="157"/>
      <c r="D2" s="157"/>
      <c r="E2" s="157"/>
      <c r="F2" s="157"/>
      <c r="G2" s="157"/>
      <c r="H2" s="157"/>
      <c r="I2" s="157"/>
      <c r="J2" s="157"/>
      <c r="K2" s="157"/>
      <c r="L2" s="157"/>
      <c r="M2" s="157"/>
      <c r="N2" s="157"/>
      <c r="O2" s="157"/>
      <c r="P2" s="157"/>
      <c r="Q2" s="157"/>
    </row>
    <row r="3" spans="1:44" ht="15.75" x14ac:dyDescent="0.25"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</row>
    <row r="4" spans="1:44" ht="15.75" x14ac:dyDescent="0.25">
      <c r="C4" s="145"/>
      <c r="D4" s="145"/>
      <c r="E4" s="145"/>
      <c r="F4" s="145"/>
      <c r="G4" s="145"/>
      <c r="H4" s="145"/>
      <c r="I4" s="145"/>
      <c r="J4" s="145"/>
      <c r="K4" s="145"/>
      <c r="L4" s="145"/>
      <c r="M4" s="145"/>
      <c r="N4" s="145"/>
      <c r="O4" s="145"/>
      <c r="P4" s="145"/>
      <c r="Q4" s="145"/>
    </row>
    <row r="5" spans="1:44" ht="15.75" x14ac:dyDescent="0.25">
      <c r="C5" s="145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</row>
    <row r="6" spans="1:44" s="47" customFormat="1" ht="15.75" x14ac:dyDescent="0.25">
      <c r="A6" s="45"/>
      <c r="B6" s="45"/>
      <c r="C6" s="46"/>
      <c r="D6" s="46"/>
      <c r="E6" s="46"/>
      <c r="F6" s="46"/>
      <c r="G6" s="46"/>
      <c r="H6" s="46"/>
      <c r="I6" s="46"/>
      <c r="J6" s="46"/>
      <c r="K6" s="45"/>
      <c r="L6" s="153" t="s">
        <v>1375</v>
      </c>
      <c r="M6" s="45"/>
      <c r="N6" s="46"/>
      <c r="O6" s="46"/>
      <c r="P6" s="46"/>
      <c r="Q6" s="46"/>
      <c r="R6" s="45"/>
      <c r="S6" s="45"/>
      <c r="T6" s="45"/>
      <c r="U6" s="45"/>
      <c r="V6" s="45"/>
      <c r="W6" s="45"/>
      <c r="X6" s="45"/>
      <c r="Y6" s="45"/>
      <c r="Z6" s="45"/>
      <c r="AA6" s="45"/>
      <c r="AB6" s="45"/>
      <c r="AC6" s="45"/>
      <c r="AD6" s="45"/>
      <c r="AE6" s="45"/>
      <c r="AF6" s="45"/>
      <c r="AG6" s="45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</row>
    <row r="7" spans="1:44" s="47" customFormat="1" ht="15.75" x14ac:dyDescent="0.25">
      <c r="A7" s="45"/>
      <c r="B7" s="45"/>
      <c r="C7" s="46"/>
      <c r="D7" s="46"/>
      <c r="E7" s="46"/>
      <c r="F7" s="46"/>
      <c r="G7" s="46"/>
      <c r="H7" s="46"/>
      <c r="I7" s="46"/>
      <c r="J7" s="46"/>
      <c r="K7" s="45"/>
      <c r="L7" s="153" t="s">
        <v>1376</v>
      </c>
      <c r="M7" s="45"/>
      <c r="N7" s="46"/>
      <c r="O7" s="46"/>
      <c r="P7" s="46"/>
      <c r="Q7" s="46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</row>
    <row r="8" spans="1:44" s="47" customFormat="1" ht="15.75" x14ac:dyDescent="0.25">
      <c r="A8" s="45"/>
      <c r="B8" s="45"/>
      <c r="C8" s="46"/>
      <c r="D8" s="46"/>
      <c r="E8" s="46"/>
      <c r="F8" s="46"/>
      <c r="G8" s="46"/>
      <c r="H8" s="46"/>
      <c r="I8" s="46"/>
      <c r="J8" s="46"/>
      <c r="K8" s="45"/>
      <c r="L8" s="145" t="s">
        <v>0</v>
      </c>
      <c r="M8" s="45"/>
      <c r="N8" s="46"/>
      <c r="O8" s="46"/>
      <c r="P8" s="46"/>
      <c r="Q8" s="46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</row>
    <row r="9" spans="1:44" s="47" customFormat="1" ht="15.75" x14ac:dyDescent="0.25">
      <c r="A9" s="45"/>
      <c r="B9" s="45"/>
      <c r="C9" s="46"/>
      <c r="D9" s="46"/>
      <c r="E9" s="46"/>
      <c r="F9" s="46"/>
      <c r="G9" s="46"/>
      <c r="H9" s="46"/>
      <c r="I9" s="46"/>
      <c r="J9" s="46"/>
      <c r="K9" s="45"/>
      <c r="L9" s="145" t="s">
        <v>1</v>
      </c>
      <c r="M9" s="45"/>
      <c r="N9" s="46"/>
      <c r="O9" s="46"/>
      <c r="P9" s="46"/>
      <c r="Q9" s="46"/>
      <c r="R9" s="45"/>
      <c r="S9" s="45"/>
      <c r="T9" s="45"/>
      <c r="U9" s="45"/>
      <c r="V9" s="45"/>
      <c r="W9" s="45"/>
      <c r="X9" s="45"/>
      <c r="Y9" s="45"/>
      <c r="Z9" s="45"/>
      <c r="AA9" s="45"/>
      <c r="AB9" s="45"/>
      <c r="AC9" s="45"/>
      <c r="AD9" s="45"/>
      <c r="AE9" s="45"/>
      <c r="AF9" s="45"/>
      <c r="AG9" s="45"/>
      <c r="AH9" s="45"/>
      <c r="AI9" s="45"/>
      <c r="AJ9" s="45"/>
      <c r="AK9" s="45"/>
      <c r="AL9" s="45"/>
      <c r="AM9" s="45"/>
      <c r="AN9" s="45"/>
      <c r="AO9" s="45"/>
      <c r="AP9" s="45"/>
      <c r="AQ9" s="45"/>
      <c r="AR9" s="45"/>
    </row>
    <row r="10" spans="1:44" s="47" customFormat="1" ht="15.75" x14ac:dyDescent="0.25">
      <c r="A10" s="45"/>
      <c r="B10" s="45"/>
      <c r="C10" s="46"/>
      <c r="D10" s="46"/>
      <c r="E10" s="46"/>
      <c r="F10" s="46"/>
      <c r="G10" s="46"/>
      <c r="H10" s="46"/>
      <c r="I10" s="46"/>
      <c r="J10" s="46"/>
      <c r="K10" s="45"/>
      <c r="L10" s="145" t="s">
        <v>1319</v>
      </c>
      <c r="M10" s="45"/>
      <c r="N10" s="46"/>
      <c r="O10" s="46"/>
      <c r="P10" s="46"/>
      <c r="Q10" s="46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</row>
    <row r="11" spans="1:44" s="47" customFormat="1" x14ac:dyDescent="0.2">
      <c r="A11" s="45"/>
      <c r="B11" s="45"/>
      <c r="C11" s="46"/>
      <c r="D11" s="46"/>
      <c r="E11" s="46"/>
      <c r="F11" s="46"/>
      <c r="G11" s="46"/>
      <c r="H11" s="46"/>
      <c r="I11" s="46"/>
      <c r="J11" s="46"/>
      <c r="K11" s="45"/>
      <c r="L11" s="48" t="s">
        <v>2</v>
      </c>
      <c r="M11" s="45"/>
      <c r="N11" s="46"/>
      <c r="O11" s="46"/>
      <c r="P11" s="46"/>
      <c r="Q11" s="46"/>
      <c r="R11" s="45"/>
      <c r="S11" s="45"/>
      <c r="T11" s="45"/>
      <c r="U11" s="45"/>
      <c r="V11" s="45"/>
      <c r="W11" s="45"/>
      <c r="X11" s="45"/>
      <c r="Y11" s="45"/>
      <c r="Z11" s="45"/>
      <c r="AA11" s="45"/>
      <c r="AB11" s="45"/>
      <c r="AC11" s="45"/>
      <c r="AD11" s="45"/>
      <c r="AE11" s="45"/>
      <c r="AF11" s="45"/>
      <c r="AG11" s="45"/>
      <c r="AH11" s="45"/>
      <c r="AI11" s="45"/>
      <c r="AJ11" s="45"/>
      <c r="AK11" s="45"/>
      <c r="AL11" s="45"/>
      <c r="AM11" s="45"/>
      <c r="AN11" s="45"/>
      <c r="AO11" s="45"/>
      <c r="AP11" s="45"/>
      <c r="AQ11" s="45"/>
      <c r="AR11" s="45"/>
    </row>
    <row r="12" spans="1:44" s="47" customFormat="1" x14ac:dyDescent="0.2">
      <c r="A12" s="45"/>
      <c r="B12" s="45"/>
      <c r="C12" s="46"/>
      <c r="D12" s="46"/>
      <c r="E12" s="46"/>
      <c r="F12" s="46"/>
      <c r="G12" s="46"/>
      <c r="H12" s="46"/>
      <c r="I12" s="46"/>
      <c r="J12" s="46"/>
      <c r="K12" s="45"/>
      <c r="L12" s="48" t="s">
        <v>3</v>
      </c>
      <c r="M12" s="45"/>
      <c r="N12" s="46"/>
      <c r="O12" s="46"/>
      <c r="P12" s="46"/>
      <c r="Q12" s="46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5"/>
      <c r="AJ12" s="45"/>
      <c r="AK12" s="45"/>
      <c r="AL12" s="45"/>
      <c r="AM12" s="45"/>
      <c r="AN12" s="45"/>
      <c r="AO12" s="45"/>
      <c r="AP12" s="45"/>
      <c r="AQ12" s="45"/>
      <c r="AR12" s="45"/>
    </row>
    <row r="13" spans="1:44" s="47" customFormat="1" ht="11.25" x14ac:dyDescent="0.2">
      <c r="A13" s="45"/>
      <c r="B13" s="45"/>
      <c r="C13" s="46"/>
      <c r="D13" s="46"/>
      <c r="E13" s="46"/>
      <c r="F13" s="46"/>
      <c r="G13" s="46"/>
      <c r="H13" s="46"/>
      <c r="I13" s="46"/>
      <c r="J13" s="46"/>
      <c r="K13" s="45"/>
      <c r="L13" s="49" t="s">
        <v>1377</v>
      </c>
      <c r="M13" s="45"/>
      <c r="N13" s="46"/>
      <c r="O13" s="46"/>
      <c r="P13" s="46"/>
      <c r="Q13" s="46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5"/>
      <c r="AJ13" s="45"/>
      <c r="AK13" s="45"/>
      <c r="AL13" s="45"/>
      <c r="AM13" s="45"/>
      <c r="AN13" s="45"/>
      <c r="AO13" s="45"/>
      <c r="AP13" s="45"/>
      <c r="AQ13" s="45"/>
      <c r="AR13" s="45"/>
    </row>
    <row r="14" spans="1:44" s="47" customFormat="1" ht="18.75" customHeight="1" x14ac:dyDescent="0.2">
      <c r="A14" s="45"/>
      <c r="B14" s="60"/>
      <c r="C14" s="46"/>
      <c r="D14" s="46"/>
      <c r="E14" s="46"/>
      <c r="F14" s="46"/>
      <c r="H14" s="46"/>
      <c r="I14" s="46"/>
      <c r="J14" s="46"/>
      <c r="K14" s="49"/>
      <c r="L14" s="45"/>
      <c r="M14" s="45"/>
      <c r="N14" s="46"/>
      <c r="O14" s="46"/>
      <c r="P14" s="46"/>
      <c r="Q14" s="46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</row>
    <row r="15" spans="1:44" s="47" customFormat="1" x14ac:dyDescent="0.2">
      <c r="B15" s="45"/>
      <c r="C15" s="87" t="s">
        <v>1359</v>
      </c>
      <c r="D15" s="46"/>
      <c r="E15" s="46"/>
      <c r="F15" s="46"/>
      <c r="G15" s="46"/>
      <c r="H15" s="46"/>
      <c r="I15" s="46"/>
      <c r="J15" s="46"/>
      <c r="K15" s="46"/>
      <c r="L15" s="48"/>
      <c r="M15" s="46"/>
      <c r="N15" s="46"/>
      <c r="O15" s="46"/>
      <c r="P15" s="46"/>
      <c r="Q15" s="46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  <c r="AC15" s="45"/>
      <c r="AD15" s="45"/>
      <c r="AE15" s="45"/>
      <c r="AF15" s="45"/>
      <c r="AG15" s="45"/>
      <c r="AH15" s="45"/>
      <c r="AI15" s="45"/>
      <c r="AJ15" s="45"/>
      <c r="AK15" s="45"/>
      <c r="AL15" s="45"/>
      <c r="AM15" s="45"/>
      <c r="AN15" s="45"/>
      <c r="AO15" s="45"/>
      <c r="AP15" s="45"/>
      <c r="AQ15" s="45"/>
      <c r="AR15" s="45"/>
    </row>
    <row r="16" spans="1:44" x14ac:dyDescent="0.2">
      <c r="C16" s="50" t="s">
        <v>1266</v>
      </c>
      <c r="D16" s="50"/>
      <c r="E16" s="5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</row>
    <row r="17" spans="1:44" x14ac:dyDescent="0.2">
      <c r="C17" s="41"/>
      <c r="D17" s="52" t="s">
        <v>4</v>
      </c>
      <c r="E17" s="53" t="s">
        <v>5</v>
      </c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44" x14ac:dyDescent="0.2">
      <c r="C18" s="41"/>
      <c r="D18" s="54"/>
      <c r="E18" s="41"/>
      <c r="F18" s="160" t="s">
        <v>1256</v>
      </c>
      <c r="G18" s="160"/>
      <c r="H18" s="160"/>
      <c r="I18" s="160"/>
      <c r="J18" s="160"/>
      <c r="K18" s="160"/>
      <c r="L18" s="160"/>
      <c r="M18" s="160"/>
      <c r="N18" s="144"/>
      <c r="O18" s="156"/>
      <c r="P18" s="156"/>
      <c r="Q18" s="156"/>
    </row>
    <row r="19" spans="1:44" x14ac:dyDescent="0.2">
      <c r="C19" s="41"/>
      <c r="D19" s="54"/>
      <c r="E19" s="48"/>
      <c r="F19" s="41"/>
      <c r="G19" s="56"/>
      <c r="H19" s="56"/>
      <c r="I19" s="56"/>
      <c r="J19" s="56"/>
      <c r="K19" s="56"/>
      <c r="L19" s="57"/>
      <c r="M19" s="57"/>
      <c r="N19" s="58"/>
      <c r="O19" s="53"/>
      <c r="P19" s="58"/>
      <c r="Q19" s="58"/>
      <c r="R19" s="59"/>
    </row>
    <row r="20" spans="1:44" s="62" customFormat="1" x14ac:dyDescent="0.2">
      <c r="A20" s="60"/>
      <c r="B20" s="60"/>
      <c r="C20" s="60"/>
      <c r="D20" s="52" t="s">
        <v>6</v>
      </c>
      <c r="E20" s="53" t="s">
        <v>1249</v>
      </c>
      <c r="F20" s="60"/>
      <c r="G20" s="60"/>
      <c r="H20" s="60"/>
      <c r="I20" s="60"/>
      <c r="J20" s="60"/>
      <c r="K20" s="60"/>
      <c r="L20" s="60"/>
      <c r="M20" s="60"/>
      <c r="N20" s="61"/>
      <c r="O20" s="61"/>
      <c r="P20" s="61"/>
      <c r="Q20" s="61"/>
      <c r="R20" s="60"/>
      <c r="S20" s="60"/>
      <c r="T20" s="60"/>
      <c r="U20" s="60"/>
      <c r="V20" s="60"/>
      <c r="W20" s="60"/>
      <c r="X20" s="60"/>
      <c r="Y20" s="60"/>
      <c r="Z20" s="60"/>
      <c r="AA20" s="60"/>
      <c r="AB20" s="60"/>
      <c r="AC20" s="60"/>
      <c r="AD20" s="60"/>
      <c r="AE20" s="60"/>
      <c r="AF20" s="60"/>
      <c r="AG20" s="60"/>
      <c r="AH20" s="60"/>
      <c r="AI20" s="60"/>
      <c r="AJ20" s="60"/>
      <c r="AK20" s="60"/>
      <c r="AL20" s="60"/>
      <c r="AM20" s="60"/>
      <c r="AN20" s="60"/>
      <c r="AO20" s="60"/>
      <c r="AP20" s="60"/>
      <c r="AQ20" s="60"/>
      <c r="AR20" s="60"/>
    </row>
    <row r="21" spans="1:44" s="62" customFormat="1" x14ac:dyDescent="0.2">
      <c r="A21" s="60"/>
      <c r="B21" s="60"/>
      <c r="C21" s="60"/>
      <c r="D21" s="52"/>
      <c r="E21" s="60"/>
      <c r="F21" s="160" t="s">
        <v>1256</v>
      </c>
      <c r="G21" s="160"/>
      <c r="H21" s="160"/>
      <c r="I21" s="160"/>
      <c r="J21" s="160"/>
      <c r="K21" s="160"/>
      <c r="L21" s="160"/>
      <c r="M21" s="160"/>
      <c r="N21" s="61"/>
      <c r="O21" s="61"/>
      <c r="P21" s="61"/>
      <c r="Q21" s="61"/>
      <c r="R21" s="60"/>
      <c r="S21" s="60"/>
      <c r="T21" s="60"/>
      <c r="U21" s="60"/>
      <c r="V21" s="60"/>
      <c r="W21" s="60"/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AH21" s="60"/>
      <c r="AI21" s="60"/>
      <c r="AJ21" s="60"/>
      <c r="AK21" s="60"/>
      <c r="AL21" s="60"/>
      <c r="AM21" s="60"/>
      <c r="AN21" s="60"/>
      <c r="AO21" s="60"/>
      <c r="AP21" s="60"/>
      <c r="AQ21" s="60"/>
      <c r="AR21" s="60"/>
    </row>
    <row r="22" spans="1:44" s="62" customFormat="1" x14ac:dyDescent="0.2">
      <c r="A22" s="60"/>
      <c r="B22" s="60"/>
      <c r="C22" s="60"/>
      <c r="D22" s="52"/>
      <c r="E22" s="48"/>
      <c r="F22" s="60"/>
      <c r="G22" s="56"/>
      <c r="H22" s="56"/>
      <c r="I22" s="56"/>
      <c r="J22" s="56"/>
      <c r="K22" s="56"/>
      <c r="L22" s="57"/>
      <c r="M22" s="57"/>
      <c r="N22" s="61"/>
      <c r="O22" s="61"/>
      <c r="P22" s="61"/>
      <c r="Q22" s="61"/>
      <c r="R22" s="60"/>
      <c r="S22" s="60"/>
      <c r="T22" s="60"/>
      <c r="U22" s="60"/>
      <c r="V22" s="60"/>
      <c r="W22" s="60"/>
      <c r="X22" s="60"/>
      <c r="Y22" s="60"/>
      <c r="Z22" s="60"/>
      <c r="AA22" s="60"/>
      <c r="AB22" s="60"/>
      <c r="AC22" s="60"/>
      <c r="AD22" s="60"/>
      <c r="AE22" s="60"/>
      <c r="AF22" s="60"/>
      <c r="AG22" s="60"/>
      <c r="AH22" s="60"/>
      <c r="AI22" s="60"/>
      <c r="AJ22" s="60"/>
      <c r="AK22" s="60"/>
      <c r="AL22" s="60"/>
      <c r="AM22" s="60"/>
      <c r="AN22" s="60"/>
      <c r="AO22" s="60"/>
      <c r="AP22" s="60"/>
      <c r="AQ22" s="60"/>
      <c r="AR22" s="60"/>
    </row>
    <row r="23" spans="1:44" s="62" customFormat="1" x14ac:dyDescent="0.2">
      <c r="A23" s="60"/>
      <c r="B23" s="60"/>
      <c r="C23" s="60"/>
      <c r="D23" s="52" t="s">
        <v>1267</v>
      </c>
      <c r="E23" s="63" t="s">
        <v>1253</v>
      </c>
      <c r="F23" s="60"/>
      <c r="G23" s="60"/>
      <c r="H23" s="60"/>
      <c r="I23" s="60"/>
      <c r="J23" s="60"/>
      <c r="K23" s="60"/>
      <c r="L23" s="60"/>
      <c r="M23" s="60"/>
      <c r="N23" s="61"/>
      <c r="O23" s="61"/>
      <c r="P23" s="61"/>
      <c r="Q23" s="61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0"/>
      <c r="AC23" s="60"/>
      <c r="AD23" s="60"/>
      <c r="AE23" s="60"/>
      <c r="AF23" s="60"/>
      <c r="AG23" s="60"/>
      <c r="AH23" s="60"/>
      <c r="AI23" s="60"/>
      <c r="AJ23" s="60"/>
      <c r="AK23" s="60"/>
      <c r="AL23" s="60"/>
      <c r="AM23" s="60"/>
      <c r="AN23" s="60"/>
      <c r="AO23" s="60"/>
      <c r="AP23" s="60"/>
      <c r="AQ23" s="60"/>
      <c r="AR23" s="60"/>
    </row>
    <row r="24" spans="1:44" s="62" customFormat="1" x14ac:dyDescent="0.2">
      <c r="A24" s="60"/>
      <c r="B24" s="60"/>
      <c r="C24" s="60"/>
      <c r="D24" s="52"/>
      <c r="E24" s="60"/>
      <c r="F24" s="160" t="s">
        <v>1254</v>
      </c>
      <c r="G24" s="160"/>
      <c r="H24" s="160"/>
      <c r="I24" s="160"/>
      <c r="J24" s="160"/>
      <c r="K24" s="160"/>
      <c r="L24" s="160"/>
      <c r="M24" s="160"/>
      <c r="N24" s="61"/>
      <c r="O24" s="61"/>
      <c r="P24" s="61"/>
      <c r="Q24" s="61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0"/>
      <c r="AC24" s="60"/>
      <c r="AD24" s="60"/>
      <c r="AE24" s="60"/>
      <c r="AF24" s="60"/>
      <c r="AG24" s="60"/>
      <c r="AH24" s="60"/>
      <c r="AI24" s="60"/>
      <c r="AJ24" s="60"/>
      <c r="AK24" s="60"/>
      <c r="AL24" s="60"/>
      <c r="AM24" s="60"/>
      <c r="AN24" s="60"/>
      <c r="AO24" s="60"/>
      <c r="AP24" s="60"/>
      <c r="AQ24" s="60"/>
      <c r="AR24" s="60"/>
    </row>
    <row r="25" spans="1:44" s="61" customFormat="1" x14ac:dyDescent="0.2">
      <c r="D25" s="64"/>
      <c r="F25" s="144"/>
      <c r="G25" s="144"/>
      <c r="H25" s="144"/>
      <c r="I25" s="144"/>
      <c r="J25" s="144"/>
      <c r="K25" s="144"/>
      <c r="L25" s="144"/>
      <c r="M25" s="144"/>
    </row>
    <row r="26" spans="1:44" s="62" customFormat="1" x14ac:dyDescent="0.2">
      <c r="A26" s="60"/>
      <c r="B26" s="60"/>
      <c r="C26" s="60"/>
      <c r="D26" s="52" t="s">
        <v>1268</v>
      </c>
      <c r="E26" s="63" t="s">
        <v>1324</v>
      </c>
      <c r="F26" s="65"/>
      <c r="G26" s="66"/>
      <c r="H26" s="66"/>
      <c r="I26" s="66"/>
      <c r="J26" s="66"/>
      <c r="K26" s="66"/>
      <c r="L26" s="59"/>
      <c r="M26" s="59"/>
      <c r="N26" s="61"/>
      <c r="O26" s="61"/>
      <c r="P26" s="61"/>
      <c r="Q26" s="61"/>
      <c r="R26" s="60"/>
      <c r="S26" s="60"/>
      <c r="T26" s="60"/>
      <c r="U26" s="60"/>
      <c r="V26" s="60"/>
      <c r="W26" s="60"/>
      <c r="X26" s="60"/>
      <c r="Y26" s="60"/>
      <c r="Z26" s="60"/>
      <c r="AA26" s="60"/>
      <c r="AB26" s="60"/>
      <c r="AC26" s="60"/>
      <c r="AD26" s="60"/>
      <c r="AE26" s="60"/>
      <c r="AF26" s="60"/>
      <c r="AG26" s="60"/>
      <c r="AH26" s="60"/>
      <c r="AI26" s="60"/>
      <c r="AJ26" s="60"/>
      <c r="AK26" s="60"/>
      <c r="AL26" s="60"/>
      <c r="AM26" s="60"/>
      <c r="AN26" s="60"/>
      <c r="AO26" s="60"/>
      <c r="AP26" s="60"/>
      <c r="AQ26" s="60"/>
      <c r="AR26" s="60"/>
    </row>
    <row r="27" spans="1:44" s="62" customFormat="1" x14ac:dyDescent="0.2">
      <c r="A27" s="60"/>
      <c r="B27" s="60"/>
      <c r="C27" s="60"/>
      <c r="D27" s="52"/>
      <c r="E27" s="48"/>
      <c r="F27" s="160" t="s">
        <v>1257</v>
      </c>
      <c r="G27" s="160"/>
      <c r="H27" s="160"/>
      <c r="I27" s="160"/>
      <c r="J27" s="160"/>
      <c r="K27" s="160"/>
      <c r="L27" s="160"/>
      <c r="M27" s="160"/>
      <c r="N27" s="61"/>
      <c r="O27" s="61"/>
      <c r="P27" s="61"/>
      <c r="Q27" s="61"/>
      <c r="R27" s="60"/>
      <c r="S27" s="60"/>
      <c r="T27" s="60"/>
      <c r="U27" s="60"/>
      <c r="V27" s="60"/>
      <c r="W27" s="60"/>
      <c r="X27" s="60"/>
      <c r="Y27" s="60"/>
      <c r="Z27" s="60"/>
      <c r="AA27" s="60"/>
      <c r="AB27" s="60"/>
      <c r="AC27" s="60"/>
      <c r="AD27" s="60"/>
      <c r="AE27" s="60"/>
      <c r="AF27" s="60"/>
      <c r="AG27" s="60"/>
      <c r="AH27" s="60"/>
      <c r="AI27" s="60"/>
      <c r="AJ27" s="60"/>
      <c r="AK27" s="60"/>
      <c r="AL27" s="60"/>
      <c r="AM27" s="60"/>
      <c r="AN27" s="60"/>
      <c r="AO27" s="60"/>
      <c r="AP27" s="60"/>
      <c r="AQ27" s="60"/>
      <c r="AR27" s="60"/>
    </row>
    <row r="28" spans="1:44" s="60" customFormat="1" x14ac:dyDescent="0.2">
      <c r="D28" s="52"/>
      <c r="E28" s="48"/>
      <c r="F28" s="144"/>
      <c r="G28" s="144"/>
      <c r="H28" s="144"/>
      <c r="I28" s="144"/>
      <c r="J28" s="144"/>
      <c r="K28" s="144"/>
      <c r="L28" s="144"/>
      <c r="M28" s="144"/>
      <c r="N28" s="61"/>
      <c r="O28" s="61"/>
      <c r="P28" s="61"/>
      <c r="Q28" s="61"/>
    </row>
    <row r="29" spans="1:44" s="62" customFormat="1" x14ac:dyDescent="0.2">
      <c r="A29" s="60"/>
      <c r="B29" s="60"/>
      <c r="C29" s="60"/>
      <c r="D29" s="52" t="s">
        <v>1265</v>
      </c>
      <c r="E29" s="63" t="s">
        <v>1287</v>
      </c>
      <c r="F29" s="60"/>
      <c r="G29" s="60"/>
      <c r="H29" s="60"/>
      <c r="I29" s="60"/>
      <c r="J29" s="60"/>
      <c r="K29" s="60"/>
      <c r="L29" s="60"/>
      <c r="M29" s="60"/>
      <c r="N29" s="61"/>
      <c r="O29" s="61"/>
      <c r="P29" s="61"/>
      <c r="Q29" s="61"/>
      <c r="R29" s="60"/>
      <c r="S29" s="60"/>
      <c r="T29" s="60"/>
      <c r="U29" s="60"/>
      <c r="V29" s="60"/>
      <c r="W29" s="60"/>
      <c r="X29" s="60"/>
      <c r="Y29" s="60"/>
      <c r="Z29" s="60"/>
      <c r="AA29" s="60"/>
      <c r="AB29" s="60"/>
      <c r="AC29" s="60"/>
      <c r="AD29" s="60"/>
      <c r="AE29" s="60"/>
      <c r="AF29" s="60"/>
      <c r="AG29" s="60"/>
      <c r="AH29" s="60"/>
      <c r="AI29" s="60"/>
      <c r="AJ29" s="60"/>
      <c r="AK29" s="60"/>
      <c r="AL29" s="60"/>
      <c r="AM29" s="60"/>
      <c r="AN29" s="60"/>
      <c r="AO29" s="60"/>
      <c r="AP29" s="60"/>
      <c r="AQ29" s="60"/>
      <c r="AR29" s="60"/>
    </row>
    <row r="30" spans="1:44" s="62" customFormat="1" x14ac:dyDescent="0.2">
      <c r="A30" s="60"/>
      <c r="B30" s="60"/>
      <c r="C30" s="60"/>
      <c r="D30" s="48"/>
      <c r="E30" s="63"/>
      <c r="F30" s="161">
        <v>0</v>
      </c>
      <c r="G30" s="161"/>
      <c r="H30" s="67" t="s">
        <v>1288</v>
      </c>
      <c r="I30" s="68"/>
      <c r="J30" s="68"/>
      <c r="K30" s="68"/>
      <c r="L30" s="68"/>
      <c r="M30" s="68"/>
      <c r="N30" s="61"/>
      <c r="O30" s="61"/>
      <c r="P30" s="61"/>
      <c r="Q30" s="61"/>
      <c r="R30" s="60"/>
      <c r="S30" s="60"/>
      <c r="T30" s="60"/>
      <c r="U30" s="60"/>
      <c r="V30" s="60"/>
      <c r="W30" s="60"/>
      <c r="X30" s="60"/>
      <c r="Y30" s="60"/>
      <c r="Z30" s="60"/>
      <c r="AA30" s="60"/>
      <c r="AB30" s="60"/>
      <c r="AC30" s="60"/>
      <c r="AD30" s="60"/>
      <c r="AE30" s="60"/>
      <c r="AF30" s="60"/>
      <c r="AG30" s="60"/>
      <c r="AH30" s="60"/>
      <c r="AI30" s="60"/>
      <c r="AJ30" s="60"/>
      <c r="AK30" s="60"/>
      <c r="AL30" s="60"/>
      <c r="AM30" s="60"/>
      <c r="AN30" s="60"/>
      <c r="AO30" s="60"/>
      <c r="AP30" s="60"/>
      <c r="AQ30" s="60"/>
      <c r="AR30" s="60"/>
    </row>
    <row r="31" spans="1:44" s="62" customFormat="1" x14ac:dyDescent="0.2">
      <c r="A31" s="60"/>
      <c r="B31" s="60"/>
      <c r="C31" s="60"/>
      <c r="D31" s="48"/>
      <c r="E31" s="48"/>
      <c r="F31" s="60"/>
      <c r="G31" s="60"/>
      <c r="H31" s="60"/>
      <c r="I31" s="60"/>
      <c r="J31" s="60"/>
      <c r="K31" s="60"/>
      <c r="L31" s="60"/>
      <c r="M31" s="60"/>
      <c r="N31" s="61"/>
      <c r="O31" s="61"/>
      <c r="P31" s="61"/>
      <c r="Q31" s="61"/>
      <c r="R31" s="60"/>
      <c r="S31" s="60"/>
      <c r="T31" s="60"/>
      <c r="U31" s="60"/>
      <c r="V31" s="60"/>
      <c r="W31" s="60"/>
      <c r="X31" s="60"/>
      <c r="Y31" s="60"/>
      <c r="Z31" s="60"/>
      <c r="AA31" s="60"/>
      <c r="AB31" s="60"/>
      <c r="AC31" s="60"/>
      <c r="AD31" s="60"/>
      <c r="AE31" s="60"/>
      <c r="AF31" s="60"/>
      <c r="AG31" s="60"/>
      <c r="AH31" s="60"/>
      <c r="AI31" s="60"/>
      <c r="AJ31" s="60"/>
      <c r="AK31" s="60"/>
      <c r="AL31" s="60"/>
      <c r="AM31" s="60"/>
      <c r="AN31" s="60"/>
      <c r="AO31" s="60"/>
      <c r="AP31" s="60"/>
      <c r="AQ31" s="60"/>
      <c r="AR31" s="60"/>
    </row>
    <row r="32" spans="1:44" s="62" customFormat="1" ht="51" x14ac:dyDescent="0.2">
      <c r="A32" s="60"/>
      <c r="B32" s="60"/>
      <c r="C32" s="69" t="s">
        <v>1278</v>
      </c>
      <c r="D32" s="70"/>
      <c r="E32" s="71"/>
      <c r="F32" s="72"/>
      <c r="G32" s="72"/>
      <c r="H32" s="72"/>
      <c r="I32" s="72"/>
      <c r="J32" s="72"/>
      <c r="K32" s="72"/>
      <c r="L32" s="72"/>
      <c r="M32" s="72"/>
      <c r="N32" s="30" t="s">
        <v>7</v>
      </c>
      <c r="O32" s="30" t="s">
        <v>1299</v>
      </c>
      <c r="P32" s="30" t="s">
        <v>1279</v>
      </c>
      <c r="Q32" s="32" t="s">
        <v>1362</v>
      </c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0"/>
      <c r="AC32" s="60"/>
      <c r="AD32" s="60"/>
      <c r="AE32" s="60"/>
      <c r="AF32" s="60"/>
      <c r="AG32" s="60"/>
      <c r="AH32" s="60"/>
      <c r="AI32" s="60"/>
      <c r="AJ32" s="60"/>
      <c r="AK32" s="60"/>
      <c r="AL32" s="60"/>
      <c r="AM32" s="60"/>
      <c r="AN32" s="60"/>
      <c r="AO32" s="60"/>
      <c r="AP32" s="60"/>
      <c r="AQ32" s="60"/>
      <c r="AR32" s="60"/>
    </row>
    <row r="33" spans="1:44" s="62" customFormat="1" x14ac:dyDescent="0.2">
      <c r="A33" s="60"/>
      <c r="B33" s="60"/>
      <c r="C33" s="60"/>
      <c r="D33" s="73" t="s">
        <v>1272</v>
      </c>
      <c r="E33" s="74" t="s">
        <v>1270</v>
      </c>
      <c r="F33" s="75"/>
      <c r="G33" s="75"/>
      <c r="H33" s="75"/>
      <c r="I33" s="75"/>
      <c r="J33" s="75"/>
      <c r="K33" s="75"/>
      <c r="L33" s="75"/>
      <c r="M33" s="75"/>
      <c r="N33" s="76"/>
      <c r="O33" s="76"/>
      <c r="P33" s="77"/>
      <c r="Q33" s="76"/>
      <c r="R33" s="61"/>
      <c r="S33" s="60"/>
      <c r="T33" s="60"/>
      <c r="U33" s="60"/>
      <c r="V33" s="60"/>
      <c r="W33" s="60"/>
      <c r="X33" s="60"/>
      <c r="Y33" s="60"/>
      <c r="Z33" s="60"/>
      <c r="AA33" s="60"/>
      <c r="AB33" s="60"/>
      <c r="AC33" s="60"/>
      <c r="AD33" s="60"/>
      <c r="AE33" s="60"/>
      <c r="AF33" s="60"/>
      <c r="AG33" s="60"/>
      <c r="AH33" s="60"/>
      <c r="AI33" s="60"/>
      <c r="AJ33" s="60"/>
      <c r="AK33" s="60"/>
      <c r="AL33" s="60"/>
      <c r="AM33" s="60"/>
      <c r="AN33" s="60"/>
      <c r="AO33" s="60"/>
      <c r="AP33" s="60"/>
      <c r="AQ33" s="60"/>
      <c r="AR33" s="60"/>
    </row>
    <row r="34" spans="1:44" s="60" customFormat="1" x14ac:dyDescent="0.2">
      <c r="D34" s="78" t="s">
        <v>4</v>
      </c>
      <c r="E34" s="79" t="s">
        <v>1297</v>
      </c>
      <c r="F34" s="61"/>
      <c r="G34" s="61"/>
      <c r="H34" s="61"/>
      <c r="I34" s="61"/>
      <c r="J34" s="61"/>
      <c r="K34" s="61"/>
      <c r="L34" s="61"/>
      <c r="M34" s="61"/>
      <c r="N34" s="149"/>
      <c r="O34" s="150"/>
      <c r="P34" s="19" t="str">
        <f>IF(AND(F$18&lt;&gt;"Please select a district.",F30=100),1,IF(AND(F$18&lt;&gt;"Please select a district.",F$30&lt;&gt;100),(100-F30)/100,""))</f>
        <v/>
      </c>
      <c r="Q34" s="9" t="str">
        <f>IF(AND(O34&lt;&gt;"",F$18&lt;&gt;"Please select a district."),(N34/O34)*P34,"")</f>
        <v/>
      </c>
      <c r="R34" s="61"/>
    </row>
    <row r="35" spans="1:44" s="62" customFormat="1" x14ac:dyDescent="0.2">
      <c r="A35" s="60"/>
      <c r="B35" s="60"/>
      <c r="C35" s="60"/>
      <c r="D35" s="64"/>
      <c r="E35" s="79" t="s">
        <v>1298</v>
      </c>
      <c r="F35" s="61"/>
      <c r="G35" s="61"/>
      <c r="H35" s="61"/>
      <c r="I35" s="61"/>
      <c r="J35" s="61"/>
      <c r="K35" s="61"/>
      <c r="L35" s="61"/>
      <c r="M35" s="61"/>
      <c r="N35" s="149"/>
      <c r="O35" s="36" t="str">
        <f>IF(AND(F18&lt;&gt;"Please select a district.",O34&lt;&gt;""),O34,"")</f>
        <v/>
      </c>
      <c r="P35" s="19" t="str">
        <f>IF(AND(F$18&lt;&gt;"Please select a district.",F30=100),1,IF(AND(F$18&lt;&gt;"Please select a district.",F$30&lt;&gt;100),(100-F30)/100,""))</f>
        <v/>
      </c>
      <c r="Q35" s="9" t="str">
        <f>IF(AND(O35&lt;&gt;"",F$18&lt;&gt;"Please select a district."),(N35/O35)*P35,"")</f>
        <v/>
      </c>
      <c r="R35" s="61"/>
      <c r="S35" s="60"/>
      <c r="T35" s="60"/>
      <c r="U35" s="60"/>
      <c r="V35" s="60"/>
      <c r="W35" s="60"/>
      <c r="X35" s="60"/>
      <c r="Y35" s="60"/>
      <c r="Z35" s="60"/>
      <c r="AA35" s="60"/>
      <c r="AB35" s="60"/>
      <c r="AC35" s="60"/>
      <c r="AD35" s="60"/>
      <c r="AE35" s="60"/>
      <c r="AF35" s="60"/>
      <c r="AG35" s="60"/>
      <c r="AH35" s="60"/>
      <c r="AI35" s="60"/>
      <c r="AJ35" s="60"/>
      <c r="AK35" s="60"/>
      <c r="AL35" s="60"/>
      <c r="AM35" s="60"/>
      <c r="AN35" s="60"/>
      <c r="AO35" s="60"/>
      <c r="AP35" s="60"/>
      <c r="AQ35" s="60"/>
      <c r="AR35" s="60"/>
    </row>
    <row r="36" spans="1:44" s="62" customFormat="1" x14ac:dyDescent="0.2">
      <c r="A36" s="60"/>
      <c r="B36" s="60"/>
      <c r="C36" s="60"/>
      <c r="D36" s="73" t="s">
        <v>1271</v>
      </c>
      <c r="E36" s="74" t="s">
        <v>1286</v>
      </c>
      <c r="F36" s="75"/>
      <c r="G36" s="75"/>
      <c r="H36" s="75"/>
      <c r="I36" s="75"/>
      <c r="J36" s="75"/>
      <c r="K36" s="75"/>
      <c r="L36" s="75"/>
      <c r="M36" s="75"/>
      <c r="N36" s="10"/>
      <c r="O36" s="37" t="s">
        <v>1291</v>
      </c>
      <c r="P36" s="80"/>
      <c r="Q36" s="10"/>
      <c r="R36" s="61"/>
      <c r="S36" s="60"/>
      <c r="T36" s="60"/>
      <c r="U36" s="60"/>
      <c r="V36" s="60"/>
      <c r="W36" s="60"/>
      <c r="X36" s="60"/>
      <c r="Y36" s="60"/>
      <c r="Z36" s="60"/>
      <c r="AA36" s="60"/>
      <c r="AB36" s="60"/>
      <c r="AC36" s="60"/>
      <c r="AD36" s="60"/>
      <c r="AE36" s="60"/>
      <c r="AF36" s="60"/>
      <c r="AG36" s="60"/>
      <c r="AH36" s="60"/>
      <c r="AI36" s="60"/>
      <c r="AJ36" s="60"/>
      <c r="AK36" s="60"/>
      <c r="AL36" s="60"/>
      <c r="AM36" s="60"/>
      <c r="AN36" s="60"/>
      <c r="AO36" s="60"/>
      <c r="AP36" s="60"/>
      <c r="AQ36" s="60"/>
      <c r="AR36" s="60"/>
    </row>
    <row r="37" spans="1:44" s="62" customFormat="1" x14ac:dyDescent="0.2">
      <c r="A37" s="60"/>
      <c r="B37" s="60"/>
      <c r="C37" s="60"/>
      <c r="D37" s="60"/>
      <c r="E37" s="162" t="s">
        <v>1360</v>
      </c>
      <c r="F37" s="162"/>
      <c r="G37" s="162"/>
      <c r="H37" s="162"/>
      <c r="I37" s="162"/>
      <c r="J37" s="162"/>
      <c r="K37" s="162"/>
      <c r="L37" s="162"/>
      <c r="M37" s="162"/>
      <c r="N37" s="9" t="str">
        <f>IF(AND(N50="",F$18&lt;&gt;"Please select a district."),VLOOKUP(F$18,data!A$3:Q$616,6,FALSE),"")</f>
        <v/>
      </c>
      <c r="O37" s="20" t="str">
        <f>IF(F$18&lt;&gt;"Please select a district.",VLOOKUP(F$18,data!A$3:Q$616,17,FALSE),"")</f>
        <v/>
      </c>
      <c r="P37" s="19" t="str">
        <f>IF(F18&lt;&gt;"Please select a district.",F$30/100,"")</f>
        <v/>
      </c>
      <c r="Q37" s="11" t="str">
        <f>IF(AND(F$18&lt;&gt;"Please select a district.", P37&lt;&gt;0),(N37/O37)*P37,"")</f>
        <v/>
      </c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0"/>
      <c r="AC37" s="60"/>
      <c r="AD37" s="60"/>
      <c r="AE37" s="60"/>
      <c r="AF37" s="60"/>
      <c r="AG37" s="60"/>
      <c r="AH37" s="60"/>
      <c r="AI37" s="60"/>
      <c r="AJ37" s="60"/>
      <c r="AK37" s="60"/>
      <c r="AL37" s="60"/>
      <c r="AM37" s="60"/>
      <c r="AN37" s="60"/>
      <c r="AO37" s="60"/>
      <c r="AP37" s="60"/>
      <c r="AQ37" s="60"/>
      <c r="AR37" s="60"/>
    </row>
    <row r="38" spans="1:44" s="62" customFormat="1" ht="41.25" customHeight="1" x14ac:dyDescent="0.2">
      <c r="A38" s="60"/>
      <c r="B38" s="60"/>
      <c r="C38" s="81" t="s">
        <v>1289</v>
      </c>
      <c r="D38" s="82"/>
      <c r="E38" s="83"/>
      <c r="F38" s="82"/>
      <c r="G38" s="84"/>
      <c r="H38" s="84"/>
      <c r="I38" s="72"/>
      <c r="J38" s="72"/>
      <c r="K38" s="72"/>
      <c r="L38" s="72"/>
      <c r="M38" s="72"/>
      <c r="N38" s="28" t="s">
        <v>1290</v>
      </c>
      <c r="O38" s="30" t="s">
        <v>1291</v>
      </c>
      <c r="P38" s="30"/>
      <c r="Q38" s="32" t="s">
        <v>1335</v>
      </c>
      <c r="R38" s="60"/>
      <c r="S38" s="60"/>
      <c r="T38" s="60"/>
      <c r="U38" s="60"/>
      <c r="V38" s="60"/>
      <c r="W38" s="60"/>
      <c r="X38" s="60"/>
      <c r="Y38" s="60"/>
      <c r="Z38" s="60"/>
      <c r="AA38" s="60"/>
      <c r="AB38" s="60"/>
      <c r="AC38" s="60"/>
      <c r="AD38" s="60"/>
      <c r="AE38" s="60"/>
      <c r="AF38" s="60"/>
      <c r="AG38" s="60"/>
      <c r="AH38" s="60"/>
      <c r="AI38" s="60"/>
      <c r="AJ38" s="60"/>
      <c r="AK38" s="60"/>
      <c r="AL38" s="60"/>
      <c r="AM38" s="60"/>
      <c r="AN38" s="60"/>
      <c r="AO38" s="60"/>
      <c r="AP38" s="60"/>
      <c r="AQ38" s="60"/>
      <c r="AR38" s="60"/>
    </row>
    <row r="39" spans="1:44" s="60" customFormat="1" x14ac:dyDescent="0.2">
      <c r="D39" s="74" t="s">
        <v>1273</v>
      </c>
      <c r="E39" s="74"/>
      <c r="F39" s="74"/>
      <c r="G39" s="75"/>
      <c r="H39" s="75"/>
      <c r="I39" s="75"/>
      <c r="J39" s="75"/>
      <c r="K39" s="75"/>
      <c r="L39" s="75"/>
      <c r="M39" s="75"/>
      <c r="N39" s="10"/>
      <c r="O39" s="38"/>
      <c r="P39" s="77"/>
      <c r="Q39" s="12"/>
    </row>
    <row r="40" spans="1:44" s="60" customFormat="1" x14ac:dyDescent="0.2">
      <c r="D40" s="79" t="s">
        <v>8</v>
      </c>
      <c r="E40" s="61"/>
      <c r="F40" s="79"/>
      <c r="G40" s="61"/>
      <c r="H40" s="61"/>
      <c r="I40" s="61"/>
      <c r="J40" s="61"/>
      <c r="K40" s="61"/>
      <c r="L40" s="61"/>
      <c r="M40" s="61"/>
      <c r="N40" s="9" t="str">
        <f>IF(AND(N50="",F$18&lt;&gt;"Please select a district."),VLOOKUP(F$18,data!A$3:Q$616,7,FALSE),"")</f>
        <v/>
      </c>
      <c r="O40" s="29" t="str">
        <f>IF(F$18&lt;&gt;"Please select a district.",VLOOKUP(F$18,data!A$3:Q$616,17,FALSE),"")</f>
        <v/>
      </c>
      <c r="P40" s="85"/>
      <c r="Q40" s="11" t="str">
        <f>IF(AND(F$18&lt;&gt;"Please select a district.",N40&lt;&gt;""),N40/O40,"")</f>
        <v/>
      </c>
    </row>
    <row r="41" spans="1:44" s="60" customFormat="1" x14ac:dyDescent="0.2">
      <c r="D41" s="74" t="s">
        <v>1274</v>
      </c>
      <c r="E41" s="74"/>
      <c r="F41" s="74"/>
      <c r="G41" s="75"/>
      <c r="H41" s="75"/>
      <c r="I41" s="75"/>
      <c r="J41" s="75"/>
      <c r="K41" s="75"/>
      <c r="L41" s="75"/>
      <c r="M41" s="75"/>
      <c r="N41" s="10"/>
      <c r="O41" s="38"/>
      <c r="P41" s="77"/>
      <c r="Q41" s="12"/>
    </row>
    <row r="42" spans="1:44" s="60" customFormat="1" x14ac:dyDescent="0.2">
      <c r="D42" s="63" t="s">
        <v>9</v>
      </c>
      <c r="E42" s="63"/>
      <c r="F42" s="63"/>
      <c r="G42" s="86"/>
      <c r="H42" s="86"/>
      <c r="N42" s="16" t="str">
        <f>IF(AND(N50="",F$18&lt;&gt;"Please select a district."),VLOOKUP(F$18,data!A$3:Q$616,8,FALSE),"")</f>
        <v/>
      </c>
      <c r="O42" s="20" t="str">
        <f>IF(F$18&lt;&gt;"Please select a district.",VLOOKUP(F$18,data!A$3:Q$616,17,FALSE),"")</f>
        <v/>
      </c>
      <c r="P42" s="85"/>
      <c r="Q42" s="11" t="str">
        <f>IF(AND(F$18&lt;&gt;"Please select a district.",N42&lt;&gt;""),N42/O42,"")</f>
        <v/>
      </c>
    </row>
    <row r="43" spans="1:44" s="60" customFormat="1" x14ac:dyDescent="0.2">
      <c r="D43" s="63" t="s">
        <v>1275</v>
      </c>
      <c r="E43" s="63"/>
      <c r="F43" s="63"/>
      <c r="N43" s="16" t="str">
        <f>IF(F$18&lt;&gt;"Please select a district.",VLOOKUP(F$18,data!A$3:Q$616,9,FALSE),"")</f>
        <v/>
      </c>
      <c r="O43" s="20" t="str">
        <f>IF(F$18&lt;&gt;"Please select a district.",VLOOKUP(F$18,data!A$3:Q$616,17,FALSE),"")</f>
        <v/>
      </c>
      <c r="P43" s="85"/>
      <c r="Q43" s="11" t="str">
        <f>IF(AND(F$18&lt;&gt;"Please select a district.",N43&lt;&gt;""),N43/O43,"")</f>
        <v/>
      </c>
    </row>
    <row r="44" spans="1:44" s="60" customFormat="1" x14ac:dyDescent="0.2">
      <c r="D44" s="63" t="s">
        <v>1312</v>
      </c>
      <c r="E44" s="63"/>
      <c r="F44" s="63"/>
      <c r="N44" s="16" t="str">
        <f>IF(AND(N50="",F$18&lt;&gt;"Please select a district."),VLOOKUP(F$18,data!A$3:Q$616,10,FALSE),"")</f>
        <v/>
      </c>
      <c r="O44" s="20" t="str">
        <f>IF(F$18&lt;&gt;"Please select a district.",VLOOKUP(F$18,data!A$3:Q$616,17,FALSE),"")</f>
        <v/>
      </c>
      <c r="P44" s="85"/>
      <c r="Q44" s="11" t="str">
        <f>IF(AND(N44&lt;&gt;"",F$18&lt;&gt;"Please select a district."),N44/O44,"")</f>
        <v/>
      </c>
    </row>
    <row r="45" spans="1:44" s="60" customFormat="1" x14ac:dyDescent="0.2">
      <c r="D45" s="63" t="s">
        <v>1313</v>
      </c>
      <c r="E45" s="63"/>
      <c r="F45" s="63"/>
      <c r="G45" s="86"/>
      <c r="H45" s="86"/>
      <c r="N45" s="16" t="str">
        <f>IF(AND(N50="",F$18&lt;&gt;"Please select a district."),VLOOKUP(F$18,data!A$3:Q$616,11,FALSE),"")</f>
        <v/>
      </c>
      <c r="O45" s="20" t="str">
        <f>IF(F$18&lt;&gt;"Please select a district.",VLOOKUP(F$18,data!A$3:Q$616,17,FALSE),"")</f>
        <v/>
      </c>
      <c r="P45" s="85"/>
      <c r="Q45" s="11" t="str">
        <f>IF(AND(N45&lt;&gt;"",F$18&lt;&gt;"Please select a district."),N45/O45,"")</f>
        <v/>
      </c>
    </row>
    <row r="46" spans="1:44" s="60" customFormat="1" x14ac:dyDescent="0.2">
      <c r="D46" s="63" t="s">
        <v>1314</v>
      </c>
      <c r="F46" s="63"/>
      <c r="N46" s="16" t="str">
        <f>IF(AND(N50="",F$18&lt;&gt;"Please select a district."),VLOOKUP(F$18,data!A$3:Q$616,12,FALSE),"")</f>
        <v/>
      </c>
      <c r="O46" s="20" t="str">
        <f>IF(F$18&lt;&gt;"Please select a district.",VLOOKUP(F$18,data!A$3:Q$616,17,FALSE),"")</f>
        <v/>
      </c>
      <c r="P46" s="85"/>
      <c r="Q46" s="11" t="str">
        <f>IF(AND(N46&lt;&gt;"",F$18&lt;&gt;"Please select a district."),N46/O46,"")</f>
        <v/>
      </c>
    </row>
    <row r="47" spans="1:44" s="60" customFormat="1" x14ac:dyDescent="0.2">
      <c r="D47" s="87"/>
      <c r="E47" s="88"/>
      <c r="F47" s="87"/>
      <c r="G47" s="86"/>
      <c r="H47" s="86"/>
      <c r="N47" s="21"/>
      <c r="O47" s="21"/>
      <c r="P47" s="89"/>
      <c r="Q47" s="13"/>
    </row>
    <row r="48" spans="1:44" s="60" customFormat="1" ht="39.75" customHeight="1" x14ac:dyDescent="0.2">
      <c r="C48" s="164" t="s">
        <v>1321</v>
      </c>
      <c r="D48" s="165"/>
      <c r="E48" s="165"/>
      <c r="F48" s="165"/>
      <c r="G48" s="165"/>
      <c r="H48" s="165"/>
      <c r="I48" s="165"/>
      <c r="J48" s="165"/>
      <c r="K48" s="165"/>
      <c r="L48" s="165"/>
      <c r="M48" s="165"/>
      <c r="N48" s="30" t="s">
        <v>7</v>
      </c>
      <c r="O48" s="30" t="s">
        <v>1299</v>
      </c>
      <c r="P48" s="30"/>
      <c r="Q48" s="32" t="s">
        <v>1335</v>
      </c>
    </row>
    <row r="49" spans="1:44" s="60" customFormat="1" x14ac:dyDescent="0.2">
      <c r="D49" s="163" t="s">
        <v>1320</v>
      </c>
      <c r="E49" s="163"/>
      <c r="F49" s="163"/>
      <c r="G49" s="163"/>
      <c r="H49" s="163"/>
      <c r="I49" s="163"/>
      <c r="J49" s="163"/>
      <c r="K49" s="163"/>
      <c r="L49" s="163"/>
      <c r="M49" s="163"/>
      <c r="N49" s="39"/>
      <c r="O49" s="39"/>
      <c r="P49" s="90"/>
      <c r="Q49" s="31"/>
    </row>
    <row r="50" spans="1:44" s="60" customFormat="1" x14ac:dyDescent="0.2">
      <c r="D50" s="40" t="s">
        <v>4</v>
      </c>
      <c r="E50" s="79" t="s">
        <v>1357</v>
      </c>
      <c r="F50" s="91"/>
      <c r="G50" s="92"/>
      <c r="H50" s="92"/>
      <c r="I50" s="61"/>
      <c r="J50" s="61"/>
      <c r="K50" s="61"/>
      <c r="L50" s="61"/>
      <c r="M50" s="61"/>
      <c r="N50" s="149"/>
      <c r="O50" s="150"/>
      <c r="P50" s="93"/>
      <c r="Q50" s="13" t="str">
        <f>IF(AND(F$18&lt;&gt;"Please select a district.",O50&lt;&gt;""),N50/O50,"")</f>
        <v/>
      </c>
    </row>
    <row r="51" spans="1:44" s="60" customFormat="1" x14ac:dyDescent="0.2">
      <c r="D51" s="40" t="s">
        <v>6</v>
      </c>
      <c r="E51" s="79" t="s">
        <v>1358</v>
      </c>
      <c r="F51" s="91"/>
      <c r="G51" s="92"/>
      <c r="H51" s="92"/>
      <c r="I51" s="61"/>
      <c r="J51" s="61"/>
      <c r="K51" s="61"/>
      <c r="L51" s="61"/>
      <c r="M51" s="61"/>
      <c r="N51" s="149"/>
      <c r="O51" s="150"/>
      <c r="P51" s="93"/>
      <c r="Q51" s="13" t="str">
        <f t="shared" ref="Q51:Q55" si="0">IF(AND(F$18&lt;&gt;"Please select a district.",O51&lt;&gt;""),N51/O51,"")</f>
        <v/>
      </c>
    </row>
    <row r="52" spans="1:44" s="60" customFormat="1" x14ac:dyDescent="0.2">
      <c r="D52" s="94" t="s">
        <v>1267</v>
      </c>
      <c r="E52" s="63" t="s">
        <v>1276</v>
      </c>
      <c r="F52" s="87"/>
      <c r="G52" s="86"/>
      <c r="H52" s="86"/>
      <c r="N52" s="149"/>
      <c r="O52" s="150"/>
      <c r="P52" s="89"/>
      <c r="Q52" s="13" t="str">
        <f t="shared" si="0"/>
        <v/>
      </c>
    </row>
    <row r="53" spans="1:44" s="60" customFormat="1" x14ac:dyDescent="0.2">
      <c r="D53" s="94" t="s">
        <v>1268</v>
      </c>
      <c r="E53" s="63" t="s">
        <v>1322</v>
      </c>
      <c r="F53" s="87"/>
      <c r="G53" s="86"/>
      <c r="H53" s="86"/>
      <c r="N53" s="149"/>
      <c r="O53" s="150"/>
      <c r="P53" s="89"/>
      <c r="Q53" s="13" t="str">
        <f t="shared" si="0"/>
        <v/>
      </c>
    </row>
    <row r="54" spans="1:44" s="60" customFormat="1" x14ac:dyDescent="0.2">
      <c r="D54" s="94" t="s">
        <v>1265</v>
      </c>
      <c r="E54" s="63" t="s">
        <v>1277</v>
      </c>
      <c r="F54" s="87"/>
      <c r="G54" s="86"/>
      <c r="H54" s="86"/>
      <c r="N54" s="149"/>
      <c r="O54" s="150"/>
      <c r="P54" s="89"/>
      <c r="Q54" s="13" t="str">
        <f t="shared" si="0"/>
        <v/>
      </c>
    </row>
    <row r="55" spans="1:44" s="60" customFormat="1" x14ac:dyDescent="0.2">
      <c r="D55" s="94" t="s">
        <v>1269</v>
      </c>
      <c r="E55" s="63" t="s">
        <v>1323</v>
      </c>
      <c r="F55" s="87"/>
      <c r="G55" s="86"/>
      <c r="H55" s="86"/>
      <c r="N55" s="149"/>
      <c r="O55" s="150"/>
      <c r="P55" s="89"/>
      <c r="Q55" s="13" t="str">
        <f t="shared" si="0"/>
        <v/>
      </c>
    </row>
    <row r="56" spans="1:44" s="60" customFormat="1" x14ac:dyDescent="0.2">
      <c r="D56" s="94"/>
      <c r="E56" s="63"/>
      <c r="F56" s="87"/>
      <c r="G56" s="86"/>
      <c r="H56" s="86"/>
      <c r="N56" s="21"/>
      <c r="O56" s="40"/>
      <c r="P56" s="63"/>
      <c r="Q56" s="13"/>
    </row>
    <row r="57" spans="1:44" s="62" customFormat="1" x14ac:dyDescent="0.2">
      <c r="A57" s="60"/>
      <c r="B57" s="60"/>
      <c r="C57" s="81" t="s">
        <v>1280</v>
      </c>
      <c r="D57" s="72"/>
      <c r="E57" s="71"/>
      <c r="F57" s="72"/>
      <c r="G57" s="72"/>
      <c r="H57" s="72"/>
      <c r="I57" s="72"/>
      <c r="J57" s="72"/>
      <c r="K57" s="72"/>
      <c r="L57" s="72"/>
      <c r="M57" s="72"/>
      <c r="N57" s="95"/>
      <c r="O57" s="95"/>
      <c r="P57" s="96"/>
      <c r="Q57" s="33"/>
      <c r="R57" s="60"/>
      <c r="S57" s="60"/>
      <c r="T57" s="60"/>
      <c r="U57" s="97"/>
      <c r="V57" s="97"/>
      <c r="W57" s="60"/>
      <c r="X57" s="60"/>
      <c r="Y57" s="60"/>
      <c r="Z57" s="60"/>
      <c r="AA57" s="60"/>
      <c r="AB57" s="60"/>
      <c r="AC57" s="60"/>
      <c r="AD57" s="60"/>
      <c r="AE57" s="60"/>
      <c r="AF57" s="60"/>
      <c r="AG57" s="60"/>
      <c r="AH57" s="60"/>
      <c r="AI57" s="60"/>
      <c r="AJ57" s="60"/>
      <c r="AK57" s="60"/>
      <c r="AL57" s="60"/>
      <c r="AM57" s="60"/>
      <c r="AN57" s="60"/>
      <c r="AO57" s="60"/>
      <c r="AP57" s="60"/>
      <c r="AQ57" s="60"/>
      <c r="AR57" s="60"/>
    </row>
    <row r="58" spans="1:44" s="62" customFormat="1" x14ac:dyDescent="0.2">
      <c r="A58" s="60"/>
      <c r="B58" s="60"/>
      <c r="C58" s="60"/>
      <c r="D58" s="98" t="s">
        <v>1281</v>
      </c>
      <c r="E58" s="60" t="s">
        <v>1300</v>
      </c>
      <c r="F58" s="60"/>
      <c r="G58" s="60"/>
      <c r="H58" s="60"/>
      <c r="I58" s="60"/>
      <c r="J58" s="60"/>
      <c r="K58" s="60"/>
      <c r="L58" s="60"/>
      <c r="M58" s="60"/>
      <c r="N58" s="146"/>
      <c r="O58" s="146"/>
      <c r="P58" s="134"/>
      <c r="Q58" s="16" t="str">
        <f>IF(F18&lt;&gt;"Please select a district.",SUM(Q34:Q35,Q37),"")</f>
        <v/>
      </c>
      <c r="R58" s="60"/>
      <c r="S58" s="60"/>
      <c r="T58" s="60"/>
      <c r="U58" s="97"/>
      <c r="V58" s="97"/>
      <c r="W58" s="60"/>
      <c r="X58" s="60"/>
      <c r="Y58" s="60"/>
      <c r="Z58" s="60"/>
      <c r="AA58" s="60"/>
      <c r="AB58" s="60"/>
      <c r="AC58" s="60"/>
      <c r="AD58" s="60"/>
      <c r="AE58" s="60"/>
      <c r="AF58" s="60"/>
      <c r="AG58" s="60"/>
      <c r="AH58" s="60"/>
      <c r="AI58" s="60"/>
      <c r="AJ58" s="60"/>
      <c r="AK58" s="60"/>
      <c r="AL58" s="60"/>
      <c r="AM58" s="60"/>
      <c r="AN58" s="60"/>
      <c r="AO58" s="60"/>
      <c r="AP58" s="60"/>
      <c r="AQ58" s="60"/>
      <c r="AR58" s="60"/>
    </row>
    <row r="59" spans="1:44" s="62" customFormat="1" x14ac:dyDescent="0.2">
      <c r="A59" s="60"/>
      <c r="B59" s="60"/>
      <c r="C59" s="60"/>
      <c r="D59" s="98" t="s">
        <v>1282</v>
      </c>
      <c r="E59" s="60" t="s">
        <v>1301</v>
      </c>
      <c r="F59" s="60"/>
      <c r="G59" s="60"/>
      <c r="H59" s="60"/>
      <c r="I59" s="60"/>
      <c r="J59" s="60"/>
      <c r="K59" s="60"/>
      <c r="L59" s="60"/>
      <c r="M59" s="60"/>
      <c r="N59" s="147"/>
      <c r="O59" s="148"/>
      <c r="P59" s="89"/>
      <c r="Q59" s="11" t="str">
        <f>IF(F18&lt;&gt;"Please select a district.",SUM(Q40,Q42:Q46),"")</f>
        <v/>
      </c>
      <c r="R59" s="60"/>
      <c r="S59" s="60"/>
      <c r="T59" s="60"/>
      <c r="U59" s="97"/>
      <c r="V59" s="97"/>
      <c r="W59" s="60"/>
      <c r="X59" s="60"/>
      <c r="Y59" s="60"/>
      <c r="Z59" s="60"/>
      <c r="AA59" s="60"/>
      <c r="AB59" s="60"/>
      <c r="AC59" s="60"/>
      <c r="AD59" s="60"/>
      <c r="AE59" s="60"/>
      <c r="AF59" s="60"/>
      <c r="AG59" s="60"/>
      <c r="AH59" s="60"/>
      <c r="AI59" s="60"/>
      <c r="AJ59" s="60"/>
      <c r="AK59" s="60"/>
      <c r="AL59" s="60"/>
      <c r="AM59" s="60"/>
      <c r="AN59" s="60"/>
      <c r="AO59" s="60"/>
      <c r="AP59" s="60"/>
      <c r="AQ59" s="60"/>
      <c r="AR59" s="60"/>
    </row>
    <row r="60" spans="1:44" s="62" customFormat="1" ht="13.5" thickBot="1" x14ac:dyDescent="0.25">
      <c r="A60" s="60"/>
      <c r="B60" s="60"/>
      <c r="C60" s="60"/>
      <c r="D60" s="99" t="s">
        <v>1283</v>
      </c>
      <c r="E60" s="60" t="s">
        <v>1302</v>
      </c>
      <c r="F60" s="60"/>
      <c r="G60" s="60"/>
      <c r="H60" s="60"/>
      <c r="I60" s="60"/>
      <c r="J60" s="60"/>
      <c r="K60" s="60"/>
      <c r="L60" s="60"/>
      <c r="M60" s="60"/>
      <c r="N60" s="134"/>
      <c r="O60" s="134"/>
      <c r="P60" s="134"/>
      <c r="Q60" s="17" t="str">
        <f>IF(F18&lt;&gt;"Please select a district.",SUM(Q50:Q55),"")</f>
        <v/>
      </c>
      <c r="R60" s="60"/>
      <c r="S60" s="60"/>
      <c r="T60" s="60"/>
      <c r="U60" s="97"/>
      <c r="V60" s="97"/>
      <c r="W60" s="60"/>
      <c r="X60" s="60"/>
      <c r="Y60" s="60"/>
      <c r="Z60" s="60"/>
      <c r="AA60" s="60"/>
      <c r="AB60" s="60"/>
      <c r="AC60" s="60"/>
      <c r="AD60" s="60"/>
      <c r="AE60" s="60"/>
      <c r="AF60" s="60"/>
      <c r="AG60" s="60"/>
      <c r="AH60" s="60"/>
      <c r="AI60" s="60"/>
      <c r="AJ60" s="60"/>
      <c r="AK60" s="60"/>
      <c r="AL60" s="60"/>
      <c r="AM60" s="60"/>
      <c r="AN60" s="60"/>
      <c r="AO60" s="60"/>
      <c r="AP60" s="60"/>
      <c r="AQ60" s="60"/>
      <c r="AR60" s="60"/>
    </row>
    <row r="61" spans="1:44" s="62" customFormat="1" ht="13.5" thickBot="1" x14ac:dyDescent="0.25">
      <c r="A61" s="60"/>
      <c r="B61" s="60"/>
      <c r="C61" s="60"/>
      <c r="D61" s="99" t="s">
        <v>1284</v>
      </c>
      <c r="E61" s="60" t="s">
        <v>1285</v>
      </c>
      <c r="F61" s="60"/>
      <c r="G61" s="60"/>
      <c r="H61" s="60"/>
      <c r="I61" s="63"/>
      <c r="J61" s="63"/>
      <c r="K61" s="60"/>
      <c r="L61" s="60"/>
      <c r="M61" s="60"/>
      <c r="N61" s="134"/>
      <c r="O61" s="134"/>
      <c r="P61" s="134"/>
      <c r="Q61" s="18" t="str">
        <f>IF(F18&lt;&gt;"Please select a district.",SUM(Q58:Q60),"")</f>
        <v/>
      </c>
      <c r="R61" s="60"/>
      <c r="S61" s="60"/>
      <c r="T61" s="60"/>
      <c r="U61" s="97"/>
      <c r="V61" s="97"/>
      <c r="W61" s="60"/>
      <c r="X61" s="60"/>
      <c r="Y61" s="60"/>
      <c r="Z61" s="60"/>
      <c r="AA61" s="60"/>
      <c r="AB61" s="60"/>
      <c r="AC61" s="60"/>
      <c r="AD61" s="60"/>
      <c r="AE61" s="60"/>
      <c r="AF61" s="60"/>
      <c r="AG61" s="60"/>
      <c r="AH61" s="60"/>
      <c r="AI61" s="60"/>
      <c r="AJ61" s="60"/>
      <c r="AK61" s="60"/>
      <c r="AL61" s="60"/>
      <c r="AM61" s="60"/>
      <c r="AN61" s="60"/>
      <c r="AO61" s="60"/>
      <c r="AP61" s="60"/>
      <c r="AQ61" s="60"/>
      <c r="AR61" s="60"/>
    </row>
    <row r="62" spans="1:44" s="62" customFormat="1" x14ac:dyDescent="0.2">
      <c r="A62" s="60"/>
      <c r="B62" s="60"/>
      <c r="C62" s="60"/>
      <c r="D62" s="99"/>
      <c r="E62" s="60"/>
      <c r="F62" s="60"/>
      <c r="G62" s="60"/>
      <c r="H62" s="60"/>
      <c r="I62" s="63"/>
      <c r="J62" s="63"/>
      <c r="K62" s="60"/>
      <c r="L62" s="60"/>
      <c r="M62" s="60"/>
      <c r="N62" s="60"/>
      <c r="O62" s="60"/>
      <c r="P62" s="60"/>
      <c r="Q62" s="17"/>
      <c r="R62" s="60"/>
      <c r="S62" s="60"/>
      <c r="T62" s="60"/>
      <c r="U62" s="97"/>
      <c r="V62" s="97"/>
      <c r="W62" s="60"/>
      <c r="X62" s="60"/>
      <c r="Y62" s="60"/>
      <c r="Z62" s="60"/>
      <c r="AA62" s="60"/>
      <c r="AB62" s="60"/>
      <c r="AC62" s="60"/>
      <c r="AD62" s="60"/>
      <c r="AE62" s="60"/>
      <c r="AF62" s="60"/>
      <c r="AG62" s="60"/>
      <c r="AH62" s="60"/>
      <c r="AI62" s="60"/>
      <c r="AJ62" s="60"/>
      <c r="AK62" s="60"/>
      <c r="AL62" s="60"/>
      <c r="AM62" s="60"/>
      <c r="AN62" s="60"/>
      <c r="AO62" s="60"/>
      <c r="AP62" s="60"/>
      <c r="AQ62" s="60"/>
      <c r="AR62" s="60"/>
    </row>
    <row r="63" spans="1:44" s="62" customFormat="1" x14ac:dyDescent="0.2">
      <c r="A63" s="60"/>
      <c r="B63" s="60"/>
      <c r="C63" s="60"/>
      <c r="D63" s="99"/>
      <c r="E63" s="60"/>
      <c r="F63" s="60"/>
      <c r="G63" s="60"/>
      <c r="H63" s="60"/>
      <c r="I63" s="63"/>
      <c r="J63" s="63"/>
      <c r="K63" s="60"/>
      <c r="L63" s="60"/>
      <c r="M63" s="60"/>
      <c r="N63" s="60"/>
      <c r="O63" s="60"/>
      <c r="P63" s="60"/>
      <c r="Q63" s="17"/>
      <c r="R63" s="60"/>
      <c r="S63" s="60"/>
      <c r="T63" s="60"/>
      <c r="U63" s="97"/>
      <c r="V63" s="97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</row>
    <row r="64" spans="1:44" s="62" customFormat="1" x14ac:dyDescent="0.2">
      <c r="A64" s="60"/>
      <c r="B64" s="60"/>
      <c r="C64" s="60"/>
      <c r="D64" s="60"/>
      <c r="E64" s="60"/>
      <c r="F64" s="60"/>
      <c r="G64" s="60"/>
      <c r="H64" s="60"/>
      <c r="I64" s="100"/>
      <c r="J64" s="100"/>
      <c r="K64" s="86"/>
      <c r="L64" s="86"/>
      <c r="M64" s="60"/>
      <c r="N64" s="60"/>
      <c r="O64" s="60"/>
      <c r="P64" s="60"/>
      <c r="Q64" s="60"/>
      <c r="R64" s="60"/>
      <c r="S64" s="60"/>
      <c r="T64" s="60"/>
      <c r="U64" s="97"/>
      <c r="V64" s="97"/>
      <c r="W64" s="60"/>
      <c r="X64" s="60"/>
      <c r="Y64" s="60"/>
      <c r="Z64" s="60"/>
      <c r="AA64" s="60"/>
      <c r="AB64" s="60"/>
      <c r="AC64" s="60"/>
      <c r="AD64" s="60"/>
      <c r="AE64" s="60"/>
      <c r="AF64" s="60"/>
      <c r="AG64" s="60"/>
      <c r="AH64" s="60"/>
      <c r="AI64" s="60"/>
      <c r="AJ64" s="60"/>
      <c r="AK64" s="60"/>
      <c r="AL64" s="60"/>
      <c r="AM64" s="60"/>
      <c r="AN64" s="60"/>
      <c r="AO64" s="60"/>
      <c r="AP64" s="60"/>
      <c r="AQ64" s="60"/>
      <c r="AR64" s="60"/>
    </row>
    <row r="65" spans="1:44" s="62" customFormat="1" x14ac:dyDescent="0.2">
      <c r="A65" s="60"/>
      <c r="B65" s="60"/>
      <c r="C65" s="60"/>
      <c r="D65" s="87"/>
      <c r="E65" s="101"/>
      <c r="F65" s="102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60"/>
      <c r="U65" s="60"/>
      <c r="V65" s="60"/>
      <c r="W65" s="60"/>
      <c r="X65" s="60"/>
      <c r="Y65" s="60"/>
      <c r="Z65" s="60"/>
      <c r="AA65" s="60"/>
      <c r="AB65" s="60"/>
      <c r="AC65" s="60"/>
      <c r="AD65" s="60"/>
      <c r="AE65" s="60"/>
      <c r="AF65" s="60"/>
      <c r="AG65" s="60"/>
      <c r="AH65" s="60"/>
      <c r="AI65" s="60"/>
      <c r="AJ65" s="60"/>
      <c r="AK65" s="60"/>
      <c r="AL65" s="60"/>
      <c r="AM65" s="60"/>
      <c r="AN65" s="60"/>
      <c r="AO65" s="60"/>
      <c r="AP65" s="60"/>
      <c r="AQ65" s="60"/>
      <c r="AR65" s="60"/>
    </row>
    <row r="66" spans="1:44" s="62" customFormat="1" x14ac:dyDescent="0.2">
      <c r="A66" s="60"/>
      <c r="B66" s="60"/>
      <c r="C66" s="60"/>
      <c r="D66" s="103"/>
      <c r="E66" s="104"/>
      <c r="F66" s="105"/>
      <c r="G66" s="105"/>
      <c r="H66" s="105"/>
      <c r="I66" s="105"/>
      <c r="J66" s="105"/>
      <c r="K66" s="106"/>
      <c r="L66" s="107"/>
      <c r="M66" s="105"/>
      <c r="N66" s="105"/>
      <c r="O66" s="105"/>
      <c r="P66" s="105"/>
      <c r="Q66" s="105"/>
      <c r="R66" s="101"/>
      <c r="S66" s="60"/>
      <c r="T66" s="60"/>
      <c r="U66" s="60"/>
      <c r="V66" s="60"/>
      <c r="W66" s="60"/>
      <c r="X66" s="60"/>
      <c r="Y66" s="60"/>
      <c r="Z66" s="60"/>
      <c r="AA66" s="60"/>
      <c r="AB66" s="60"/>
      <c r="AC66" s="60"/>
      <c r="AD66" s="60"/>
      <c r="AE66" s="60"/>
      <c r="AF66" s="60"/>
      <c r="AG66" s="60"/>
      <c r="AH66" s="60"/>
      <c r="AI66" s="60"/>
      <c r="AJ66" s="60"/>
      <c r="AK66" s="60"/>
      <c r="AL66" s="60"/>
      <c r="AM66" s="60"/>
      <c r="AN66" s="60"/>
      <c r="AO66" s="60"/>
      <c r="AP66" s="60"/>
      <c r="AQ66" s="60"/>
      <c r="AR66" s="60"/>
    </row>
    <row r="67" spans="1:44" s="62" customFormat="1" x14ac:dyDescent="0.2">
      <c r="A67" s="60"/>
      <c r="B67" s="60"/>
      <c r="C67" s="60"/>
      <c r="D67" s="108" t="s">
        <v>10</v>
      </c>
      <c r="E67" s="60"/>
      <c r="F67" s="56"/>
      <c r="G67" s="56"/>
      <c r="H67" s="56"/>
      <c r="I67" s="56"/>
      <c r="J67" s="56"/>
      <c r="K67" s="66"/>
      <c r="L67" s="144"/>
      <c r="M67" s="109"/>
      <c r="N67" s="108" t="s">
        <v>11</v>
      </c>
      <c r="O67" s="56"/>
      <c r="P67" s="56"/>
      <c r="Q67" s="56"/>
      <c r="R67" s="41"/>
      <c r="S67" s="60"/>
      <c r="T67" s="60"/>
      <c r="U67" s="60"/>
      <c r="V67" s="60"/>
      <c r="W67" s="60"/>
      <c r="X67" s="60"/>
      <c r="Y67" s="60"/>
      <c r="Z67" s="60"/>
      <c r="AA67" s="60"/>
      <c r="AB67" s="60"/>
      <c r="AC67" s="60"/>
      <c r="AD67" s="60"/>
      <c r="AE67" s="60"/>
      <c r="AF67" s="60"/>
      <c r="AG67" s="60"/>
      <c r="AH67" s="60"/>
      <c r="AI67" s="60"/>
      <c r="AJ67" s="60"/>
      <c r="AK67" s="60"/>
      <c r="AL67" s="60"/>
      <c r="AM67" s="60"/>
      <c r="AN67" s="60"/>
      <c r="AO67" s="60"/>
      <c r="AP67" s="60"/>
      <c r="AQ67" s="60"/>
      <c r="AR67" s="60"/>
    </row>
    <row r="68" spans="1:44" s="62" customFormat="1" x14ac:dyDescent="0.2">
      <c r="A68" s="60"/>
      <c r="B68" s="60"/>
      <c r="C68" s="60"/>
      <c r="D68" s="48"/>
      <c r="E68" s="48"/>
      <c r="F68" s="60"/>
      <c r="G68" s="60"/>
      <c r="H68" s="60"/>
      <c r="I68" s="60"/>
      <c r="J68" s="60"/>
      <c r="K68" s="60"/>
      <c r="L68" s="60"/>
      <c r="M68" s="60"/>
      <c r="N68" s="61"/>
      <c r="O68" s="61"/>
      <c r="P68" s="61"/>
      <c r="Q68" s="61"/>
      <c r="R68" s="60"/>
      <c r="S68" s="60"/>
      <c r="T68" s="60"/>
      <c r="U68" s="60"/>
      <c r="V68" s="60"/>
      <c r="W68" s="60"/>
      <c r="X68" s="60"/>
      <c r="Y68" s="60"/>
      <c r="Z68" s="60"/>
      <c r="AA68" s="60"/>
      <c r="AB68" s="60"/>
      <c r="AC68" s="60"/>
      <c r="AD68" s="60"/>
      <c r="AE68" s="60"/>
      <c r="AF68" s="60"/>
      <c r="AG68" s="60"/>
      <c r="AH68" s="60"/>
      <c r="AI68" s="60"/>
      <c r="AJ68" s="60"/>
      <c r="AK68" s="60"/>
      <c r="AL68" s="60"/>
      <c r="AM68" s="60"/>
      <c r="AN68" s="60"/>
      <c r="AO68" s="60"/>
      <c r="AP68" s="60"/>
      <c r="AQ68" s="60"/>
      <c r="AR68" s="60"/>
    </row>
    <row r="69" spans="1:44" s="60" customFormat="1" ht="14.25" customHeight="1" x14ac:dyDescent="0.2">
      <c r="C69" s="48"/>
      <c r="D69" s="48"/>
      <c r="M69" s="61"/>
      <c r="N69" s="61"/>
      <c r="O69" s="61"/>
      <c r="P69" s="61"/>
    </row>
    <row r="70" spans="1:44" s="86" customFormat="1" ht="14.25" customHeight="1" x14ac:dyDescent="0.15">
      <c r="D70" s="110"/>
    </row>
    <row r="71" spans="1:44" s="111" customFormat="1" ht="14.25" customHeight="1" x14ac:dyDescent="0.2"/>
    <row r="72" spans="1:44" s="111" customFormat="1" ht="14.25" customHeight="1" x14ac:dyDescent="0.2"/>
    <row r="73" spans="1:44" s="101" customFormat="1" ht="14.25" customHeight="1" x14ac:dyDescent="0.15"/>
    <row r="74" spans="1:44" s="101" customFormat="1" ht="14.25" customHeight="1" x14ac:dyDescent="0.15"/>
    <row r="75" spans="1:44" s="101" customFormat="1" ht="14.25" customHeight="1" x14ac:dyDescent="0.15"/>
    <row r="76" spans="1:44" s="101" customFormat="1" ht="14.25" customHeight="1" x14ac:dyDescent="0.15"/>
    <row r="77" spans="1:44" s="101" customFormat="1" ht="14.25" customHeight="1" x14ac:dyDescent="0.15"/>
    <row r="78" spans="1:44" s="41" customFormat="1" ht="14.25" customHeight="1" x14ac:dyDescent="0.2"/>
    <row r="79" spans="1:44" s="86" customFormat="1" ht="14.25" customHeight="1" x14ac:dyDescent="0.15">
      <c r="D79" s="110"/>
    </row>
    <row r="80" spans="1:44" s="86" customFormat="1" ht="14.25" customHeight="1" x14ac:dyDescent="0.15">
      <c r="D80" s="110"/>
    </row>
    <row r="81" spans="3:12" s="86" customFormat="1" ht="14.25" customHeight="1" x14ac:dyDescent="0.15">
      <c r="D81" s="110"/>
    </row>
    <row r="82" spans="3:12" s="111" customFormat="1" ht="14.25" customHeight="1" x14ac:dyDescent="0.2">
      <c r="C82" s="112"/>
      <c r="D82" s="113"/>
    </row>
    <row r="83" spans="3:12" s="111" customFormat="1" ht="14.25" customHeight="1" x14ac:dyDescent="0.2">
      <c r="C83" s="112"/>
      <c r="D83" s="113"/>
    </row>
    <row r="84" spans="3:12" s="111" customFormat="1" ht="14.25" customHeight="1" x14ac:dyDescent="0.2">
      <c r="C84" s="112"/>
      <c r="D84" s="113"/>
    </row>
    <row r="85" spans="3:12" s="111" customFormat="1" ht="14.25" customHeight="1" x14ac:dyDescent="0.2">
      <c r="C85" s="112"/>
      <c r="D85" s="113"/>
    </row>
    <row r="86" spans="3:12" s="111" customFormat="1" ht="14.25" customHeight="1" x14ac:dyDescent="0.2">
      <c r="C86" s="112"/>
      <c r="D86" s="113"/>
    </row>
    <row r="87" spans="3:12" s="111" customFormat="1" ht="14.25" customHeight="1" x14ac:dyDescent="0.2">
      <c r="C87" s="112"/>
      <c r="D87" s="113"/>
    </row>
    <row r="88" spans="3:12" s="111" customFormat="1" ht="14.25" customHeight="1" x14ac:dyDescent="0.2">
      <c r="C88" s="112"/>
      <c r="D88" s="113"/>
    </row>
    <row r="89" spans="3:12" s="111" customFormat="1" ht="14.25" customHeight="1" x14ac:dyDescent="0.2">
      <c r="C89" s="112"/>
      <c r="D89" s="113"/>
    </row>
    <row r="90" spans="3:12" s="111" customFormat="1" ht="14.25" customHeight="1" x14ac:dyDescent="0.2">
      <c r="C90" s="112"/>
      <c r="D90" s="113"/>
    </row>
    <row r="91" spans="3:12" s="114" customFormat="1" ht="14.25" customHeight="1" x14ac:dyDescent="0.15">
      <c r="D91" s="115"/>
    </row>
    <row r="92" spans="3:12" s="92" customFormat="1" ht="14.25" customHeight="1" x14ac:dyDescent="0.15">
      <c r="D92" s="116"/>
    </row>
    <row r="93" spans="3:12" s="41" customFormat="1" ht="14.25" customHeight="1" x14ac:dyDescent="0.2">
      <c r="D93" s="117"/>
      <c r="E93" s="144"/>
      <c r="F93" s="144"/>
      <c r="G93" s="144"/>
      <c r="H93" s="144"/>
      <c r="I93" s="144"/>
      <c r="J93" s="144"/>
      <c r="K93" s="144"/>
      <c r="L93" s="144"/>
    </row>
    <row r="94" spans="3:12" s="118" customFormat="1" ht="14.25" customHeight="1" x14ac:dyDescent="0.15">
      <c r="D94" s="119"/>
    </row>
    <row r="95" spans="3:12" s="111" customFormat="1" ht="14.25" customHeight="1" x14ac:dyDescent="0.2">
      <c r="C95" s="112"/>
      <c r="D95" s="113"/>
    </row>
    <row r="96" spans="3:12" s="41" customFormat="1" ht="14.25" customHeight="1" x14ac:dyDescent="0.2">
      <c r="D96" s="42"/>
    </row>
    <row r="97" spans="4:4" s="41" customFormat="1" ht="14.25" customHeight="1" x14ac:dyDescent="0.2">
      <c r="D97" s="42"/>
    </row>
    <row r="98" spans="4:4" s="41" customFormat="1" ht="14.25" customHeight="1" x14ac:dyDescent="0.2">
      <c r="D98" s="42"/>
    </row>
    <row r="99" spans="4:4" s="41" customFormat="1" ht="14.25" customHeight="1" x14ac:dyDescent="0.2">
      <c r="D99" s="42"/>
    </row>
    <row r="100" spans="4:4" s="41" customFormat="1" ht="14.25" customHeight="1" x14ac:dyDescent="0.2">
      <c r="D100" s="42"/>
    </row>
    <row r="101" spans="4:4" s="41" customFormat="1" ht="14.25" customHeight="1" x14ac:dyDescent="0.2">
      <c r="D101" s="42"/>
    </row>
    <row r="102" spans="4:4" s="41" customFormat="1" ht="14.25" customHeight="1" x14ac:dyDescent="0.2">
      <c r="D102" s="42"/>
    </row>
    <row r="103" spans="4:4" s="41" customFormat="1" ht="14.25" customHeight="1" x14ac:dyDescent="0.2">
      <c r="D103" s="42"/>
    </row>
    <row r="104" spans="4:4" s="41" customFormat="1" ht="14.25" customHeight="1" x14ac:dyDescent="0.2">
      <c r="D104" s="42"/>
    </row>
    <row r="105" spans="4:4" s="41" customFormat="1" ht="14.25" customHeight="1" x14ac:dyDescent="0.2">
      <c r="D105" s="42"/>
    </row>
    <row r="106" spans="4:4" s="41" customFormat="1" ht="14.25" customHeight="1" x14ac:dyDescent="0.2">
      <c r="D106" s="42"/>
    </row>
    <row r="107" spans="4:4" s="41" customFormat="1" ht="14.25" customHeight="1" x14ac:dyDescent="0.2">
      <c r="D107" s="42"/>
    </row>
    <row r="108" spans="4:4" s="41" customFormat="1" ht="14.25" customHeight="1" x14ac:dyDescent="0.2">
      <c r="D108" s="42"/>
    </row>
    <row r="109" spans="4:4" s="41" customFormat="1" ht="14.25" customHeight="1" x14ac:dyDescent="0.2">
      <c r="D109" s="42"/>
    </row>
    <row r="110" spans="4:4" s="41" customFormat="1" ht="14.25" customHeight="1" x14ac:dyDescent="0.2">
      <c r="D110" s="42"/>
    </row>
    <row r="111" spans="4:4" s="41" customFormat="1" ht="14.25" customHeight="1" x14ac:dyDescent="0.2">
      <c r="D111" s="42"/>
    </row>
    <row r="112" spans="4:4" s="41" customFormat="1" ht="14.25" customHeight="1" x14ac:dyDescent="0.2">
      <c r="D112" s="42"/>
    </row>
    <row r="113" spans="4:4" s="41" customFormat="1" ht="14.25" customHeight="1" x14ac:dyDescent="0.2">
      <c r="D113" s="42"/>
    </row>
    <row r="114" spans="4:4" s="41" customFormat="1" ht="14.25" customHeight="1" x14ac:dyDescent="0.2">
      <c r="D114" s="42"/>
    </row>
    <row r="115" spans="4:4" s="41" customFormat="1" ht="14.25" customHeight="1" x14ac:dyDescent="0.2">
      <c r="D115" s="42"/>
    </row>
    <row r="116" spans="4:4" s="41" customFormat="1" ht="14.25" customHeight="1" x14ac:dyDescent="0.2">
      <c r="D116" s="42"/>
    </row>
    <row r="117" spans="4:4" s="41" customFormat="1" ht="14.25" customHeight="1" x14ac:dyDescent="0.2">
      <c r="D117" s="42"/>
    </row>
    <row r="118" spans="4:4" s="41" customFormat="1" ht="14.25" customHeight="1" x14ac:dyDescent="0.2">
      <c r="D118" s="42"/>
    </row>
    <row r="119" spans="4:4" s="41" customFormat="1" ht="14.25" customHeight="1" x14ac:dyDescent="0.2">
      <c r="D119" s="42"/>
    </row>
    <row r="120" spans="4:4" s="41" customFormat="1" ht="14.25" customHeight="1" x14ac:dyDescent="0.2">
      <c r="D120" s="42"/>
    </row>
    <row r="121" spans="4:4" s="41" customFormat="1" ht="14.25" customHeight="1" x14ac:dyDescent="0.2">
      <c r="D121" s="42"/>
    </row>
    <row r="122" spans="4:4" s="41" customFormat="1" ht="14.25" customHeight="1" x14ac:dyDescent="0.2">
      <c r="D122" s="42"/>
    </row>
    <row r="123" spans="4:4" s="41" customFormat="1" ht="14.25" customHeight="1" x14ac:dyDescent="0.2">
      <c r="D123" s="42"/>
    </row>
    <row r="124" spans="4:4" s="41" customFormat="1" ht="14.25" customHeight="1" x14ac:dyDescent="0.2">
      <c r="D124" s="42"/>
    </row>
    <row r="125" spans="4:4" s="41" customFormat="1" ht="14.25" customHeight="1" x14ac:dyDescent="0.2">
      <c r="D125" s="42"/>
    </row>
    <row r="126" spans="4:4" s="41" customFormat="1" ht="14.25" customHeight="1" x14ac:dyDescent="0.2">
      <c r="D126" s="42"/>
    </row>
    <row r="127" spans="4:4" s="41" customFormat="1" ht="14.25" customHeight="1" x14ac:dyDescent="0.2">
      <c r="D127" s="42"/>
    </row>
    <row r="128" spans="4:4" s="41" customFormat="1" ht="14.25" customHeight="1" x14ac:dyDescent="0.2">
      <c r="D128" s="42"/>
    </row>
    <row r="129" spans="4:4" s="41" customFormat="1" ht="14.25" customHeight="1" x14ac:dyDescent="0.2">
      <c r="D129" s="42"/>
    </row>
    <row r="130" spans="4:4" s="41" customFormat="1" ht="14.25" customHeight="1" x14ac:dyDescent="0.2">
      <c r="D130" s="42"/>
    </row>
    <row r="131" spans="4:4" s="41" customFormat="1" ht="14.25" customHeight="1" x14ac:dyDescent="0.2">
      <c r="D131" s="42"/>
    </row>
    <row r="132" spans="4:4" s="41" customFormat="1" ht="14.25" customHeight="1" x14ac:dyDescent="0.2">
      <c r="D132" s="42"/>
    </row>
    <row r="133" spans="4:4" s="41" customFormat="1" ht="14.25" customHeight="1" x14ac:dyDescent="0.2">
      <c r="D133" s="42"/>
    </row>
    <row r="134" spans="4:4" s="41" customFormat="1" ht="14.25" customHeight="1" x14ac:dyDescent="0.2">
      <c r="D134" s="42"/>
    </row>
    <row r="135" spans="4:4" s="41" customFormat="1" ht="14.25" customHeight="1" x14ac:dyDescent="0.2">
      <c r="D135" s="42"/>
    </row>
    <row r="136" spans="4:4" s="41" customFormat="1" ht="14.25" customHeight="1" x14ac:dyDescent="0.2">
      <c r="D136" s="42"/>
    </row>
    <row r="137" spans="4:4" s="41" customFormat="1" ht="14.25" customHeight="1" x14ac:dyDescent="0.2">
      <c r="D137" s="42"/>
    </row>
    <row r="138" spans="4:4" s="41" customFormat="1" ht="14.25" customHeight="1" x14ac:dyDescent="0.2">
      <c r="D138" s="42"/>
    </row>
    <row r="139" spans="4:4" s="41" customFormat="1" ht="14.25" customHeight="1" x14ac:dyDescent="0.2">
      <c r="D139" s="42"/>
    </row>
    <row r="140" spans="4:4" s="41" customFormat="1" ht="14.25" customHeight="1" x14ac:dyDescent="0.2">
      <c r="D140" s="42"/>
    </row>
    <row r="141" spans="4:4" s="41" customFormat="1" ht="14.25" customHeight="1" x14ac:dyDescent="0.2">
      <c r="D141" s="42"/>
    </row>
    <row r="142" spans="4:4" s="41" customFormat="1" ht="14.25" customHeight="1" x14ac:dyDescent="0.2">
      <c r="D142" s="42"/>
    </row>
    <row r="143" spans="4:4" s="41" customFormat="1" ht="14.25" customHeight="1" x14ac:dyDescent="0.2">
      <c r="D143" s="42"/>
    </row>
    <row r="144" spans="4:4" s="41" customFormat="1" ht="14.25" customHeight="1" x14ac:dyDescent="0.2">
      <c r="D144" s="42"/>
    </row>
    <row r="145" spans="4:4" s="41" customFormat="1" ht="14.25" customHeight="1" x14ac:dyDescent="0.2">
      <c r="D145" s="42"/>
    </row>
    <row r="146" spans="4:4" s="41" customFormat="1" ht="14.25" customHeight="1" x14ac:dyDescent="0.2">
      <c r="D146" s="42"/>
    </row>
    <row r="147" spans="4:4" s="41" customFormat="1" ht="14.25" customHeight="1" x14ac:dyDescent="0.2">
      <c r="D147" s="42"/>
    </row>
    <row r="148" spans="4:4" s="41" customFormat="1" ht="14.25" customHeight="1" x14ac:dyDescent="0.2">
      <c r="D148" s="42"/>
    </row>
    <row r="149" spans="4:4" s="41" customFormat="1" ht="14.25" customHeight="1" x14ac:dyDescent="0.2">
      <c r="D149" s="42"/>
    </row>
    <row r="150" spans="4:4" s="41" customFormat="1" ht="14.25" customHeight="1" x14ac:dyDescent="0.2">
      <c r="D150" s="42"/>
    </row>
    <row r="151" spans="4:4" s="41" customFormat="1" ht="14.25" customHeight="1" x14ac:dyDescent="0.2">
      <c r="D151" s="42"/>
    </row>
    <row r="152" spans="4:4" s="41" customFormat="1" ht="14.25" customHeight="1" x14ac:dyDescent="0.2">
      <c r="D152" s="42"/>
    </row>
    <row r="153" spans="4:4" s="41" customFormat="1" ht="14.25" customHeight="1" x14ac:dyDescent="0.2">
      <c r="D153" s="42"/>
    </row>
    <row r="154" spans="4:4" s="41" customFormat="1" ht="14.25" customHeight="1" x14ac:dyDescent="0.2">
      <c r="D154" s="42"/>
    </row>
    <row r="155" spans="4:4" s="41" customFormat="1" ht="14.25" customHeight="1" x14ac:dyDescent="0.2">
      <c r="D155" s="42"/>
    </row>
    <row r="156" spans="4:4" s="41" customFormat="1" ht="14.25" customHeight="1" x14ac:dyDescent="0.2">
      <c r="D156" s="42"/>
    </row>
    <row r="157" spans="4:4" s="41" customFormat="1" ht="14.25" customHeight="1" x14ac:dyDescent="0.2">
      <c r="D157" s="42"/>
    </row>
    <row r="158" spans="4:4" s="41" customFormat="1" ht="14.25" customHeight="1" x14ac:dyDescent="0.2">
      <c r="D158" s="42"/>
    </row>
    <row r="159" spans="4:4" s="41" customFormat="1" ht="14.25" customHeight="1" x14ac:dyDescent="0.2">
      <c r="D159" s="42"/>
    </row>
    <row r="160" spans="4:4" s="41" customFormat="1" ht="14.25" customHeight="1" x14ac:dyDescent="0.2">
      <c r="D160" s="42"/>
    </row>
    <row r="161" spans="4:4" s="41" customFormat="1" ht="14.25" customHeight="1" x14ac:dyDescent="0.2">
      <c r="D161" s="42"/>
    </row>
    <row r="162" spans="4:4" s="41" customFormat="1" ht="14.25" customHeight="1" x14ac:dyDescent="0.2">
      <c r="D162" s="42"/>
    </row>
    <row r="163" spans="4:4" s="41" customFormat="1" ht="14.25" customHeight="1" x14ac:dyDescent="0.2">
      <c r="D163" s="42"/>
    </row>
    <row r="164" spans="4:4" s="41" customFormat="1" ht="14.25" customHeight="1" x14ac:dyDescent="0.2">
      <c r="D164" s="42"/>
    </row>
    <row r="165" spans="4:4" s="41" customFormat="1" ht="14.25" customHeight="1" x14ac:dyDescent="0.2">
      <c r="D165" s="42"/>
    </row>
    <row r="166" spans="4:4" s="41" customFormat="1" ht="14.25" customHeight="1" x14ac:dyDescent="0.2">
      <c r="D166" s="42"/>
    </row>
    <row r="167" spans="4:4" s="41" customFormat="1" ht="14.25" customHeight="1" x14ac:dyDescent="0.2">
      <c r="D167" s="42"/>
    </row>
    <row r="168" spans="4:4" s="41" customFormat="1" ht="14.25" customHeight="1" x14ac:dyDescent="0.2">
      <c r="D168" s="42"/>
    </row>
    <row r="169" spans="4:4" s="41" customFormat="1" ht="14.25" customHeight="1" x14ac:dyDescent="0.2">
      <c r="D169" s="42"/>
    </row>
    <row r="170" spans="4:4" s="41" customFormat="1" ht="14.25" customHeight="1" x14ac:dyDescent="0.2">
      <c r="D170" s="42"/>
    </row>
    <row r="171" spans="4:4" s="41" customFormat="1" ht="14.25" customHeight="1" x14ac:dyDescent="0.2">
      <c r="D171" s="42"/>
    </row>
    <row r="172" spans="4:4" s="41" customFormat="1" ht="14.25" customHeight="1" x14ac:dyDescent="0.2">
      <c r="D172" s="42"/>
    </row>
    <row r="173" spans="4:4" s="41" customFormat="1" ht="14.25" customHeight="1" x14ac:dyDescent="0.2">
      <c r="D173" s="42"/>
    </row>
    <row r="174" spans="4:4" s="41" customFormat="1" ht="14.25" customHeight="1" x14ac:dyDescent="0.2">
      <c r="D174" s="42"/>
    </row>
    <row r="175" spans="4:4" s="41" customFormat="1" ht="14.25" customHeight="1" x14ac:dyDescent="0.2">
      <c r="D175" s="42"/>
    </row>
    <row r="176" spans="4:4" s="41" customFormat="1" ht="14.25" customHeight="1" x14ac:dyDescent="0.2">
      <c r="D176" s="42"/>
    </row>
    <row r="177" spans="4:4" s="41" customFormat="1" ht="14.25" customHeight="1" x14ac:dyDescent="0.2">
      <c r="D177" s="42"/>
    </row>
    <row r="178" spans="4:4" s="41" customFormat="1" ht="14.25" customHeight="1" x14ac:dyDescent="0.2">
      <c r="D178" s="42"/>
    </row>
    <row r="179" spans="4:4" s="41" customFormat="1" ht="14.25" customHeight="1" x14ac:dyDescent="0.2">
      <c r="D179" s="42"/>
    </row>
    <row r="180" spans="4:4" s="41" customFormat="1" ht="14.25" customHeight="1" x14ac:dyDescent="0.2">
      <c r="D180" s="42"/>
    </row>
    <row r="181" spans="4:4" s="41" customFormat="1" ht="14.25" customHeight="1" x14ac:dyDescent="0.2">
      <c r="D181" s="42"/>
    </row>
    <row r="182" spans="4:4" s="41" customFormat="1" ht="14.25" customHeight="1" x14ac:dyDescent="0.2">
      <c r="D182" s="42"/>
    </row>
    <row r="183" spans="4:4" s="41" customFormat="1" ht="14.25" customHeight="1" x14ac:dyDescent="0.2">
      <c r="D183" s="42"/>
    </row>
    <row r="184" spans="4:4" s="41" customFormat="1" ht="14.25" customHeight="1" x14ac:dyDescent="0.2">
      <c r="D184" s="42"/>
    </row>
    <row r="185" spans="4:4" s="41" customFormat="1" ht="14.25" customHeight="1" x14ac:dyDescent="0.2">
      <c r="D185" s="42"/>
    </row>
    <row r="186" spans="4:4" s="41" customFormat="1" ht="14.25" customHeight="1" x14ac:dyDescent="0.2">
      <c r="D186" s="42"/>
    </row>
    <row r="187" spans="4:4" s="41" customFormat="1" ht="14.25" customHeight="1" x14ac:dyDescent="0.2">
      <c r="D187" s="42"/>
    </row>
    <row r="188" spans="4:4" s="41" customFormat="1" ht="14.25" customHeight="1" x14ac:dyDescent="0.2">
      <c r="D188" s="42"/>
    </row>
    <row r="189" spans="4:4" s="41" customFormat="1" ht="14.25" customHeight="1" x14ac:dyDescent="0.2">
      <c r="D189" s="42"/>
    </row>
    <row r="190" spans="4:4" s="41" customFormat="1" ht="14.25" customHeight="1" x14ac:dyDescent="0.2">
      <c r="D190" s="42"/>
    </row>
    <row r="191" spans="4:4" s="41" customFormat="1" ht="14.25" customHeight="1" x14ac:dyDescent="0.2">
      <c r="D191" s="42"/>
    </row>
    <row r="192" spans="4:4" s="41" customFormat="1" ht="14.25" customHeight="1" x14ac:dyDescent="0.2">
      <c r="D192" s="42"/>
    </row>
    <row r="193" spans="4:4" s="41" customFormat="1" ht="14.25" customHeight="1" x14ac:dyDescent="0.2">
      <c r="D193" s="42"/>
    </row>
    <row r="194" spans="4:4" s="41" customFormat="1" ht="14.25" customHeight="1" x14ac:dyDescent="0.2">
      <c r="D194" s="42"/>
    </row>
    <row r="195" spans="4:4" s="41" customFormat="1" ht="14.25" customHeight="1" x14ac:dyDescent="0.2">
      <c r="D195" s="42"/>
    </row>
    <row r="196" spans="4:4" s="41" customFormat="1" ht="14.25" customHeight="1" x14ac:dyDescent="0.2">
      <c r="D196" s="42"/>
    </row>
    <row r="197" spans="4:4" s="41" customFormat="1" ht="14.25" customHeight="1" x14ac:dyDescent="0.2">
      <c r="D197" s="42"/>
    </row>
    <row r="198" spans="4:4" s="41" customFormat="1" ht="14.25" customHeight="1" x14ac:dyDescent="0.2">
      <c r="D198" s="42"/>
    </row>
    <row r="199" spans="4:4" s="41" customFormat="1" ht="14.25" customHeight="1" x14ac:dyDescent="0.2">
      <c r="D199" s="42"/>
    </row>
    <row r="200" spans="4:4" s="41" customFormat="1" ht="14.25" customHeight="1" x14ac:dyDescent="0.2">
      <c r="D200" s="42"/>
    </row>
    <row r="201" spans="4:4" s="41" customFormat="1" ht="14.25" customHeight="1" x14ac:dyDescent="0.2">
      <c r="D201" s="42"/>
    </row>
    <row r="202" spans="4:4" s="41" customFormat="1" ht="14.25" customHeight="1" x14ac:dyDescent="0.2">
      <c r="D202" s="42"/>
    </row>
    <row r="203" spans="4:4" s="41" customFormat="1" ht="14.25" customHeight="1" x14ac:dyDescent="0.2">
      <c r="D203" s="42"/>
    </row>
    <row r="204" spans="4:4" s="41" customFormat="1" ht="14.25" customHeight="1" x14ac:dyDescent="0.2">
      <c r="D204" s="42"/>
    </row>
    <row r="205" spans="4:4" s="41" customFormat="1" ht="14.25" customHeight="1" x14ac:dyDescent="0.2">
      <c r="D205" s="42"/>
    </row>
    <row r="206" spans="4:4" s="41" customFormat="1" ht="14.25" customHeight="1" x14ac:dyDescent="0.2">
      <c r="D206" s="42"/>
    </row>
    <row r="207" spans="4:4" s="41" customFormat="1" ht="14.25" customHeight="1" x14ac:dyDescent="0.2">
      <c r="D207" s="42"/>
    </row>
    <row r="208" spans="4:4" s="41" customFormat="1" ht="14.25" customHeight="1" x14ac:dyDescent="0.2">
      <c r="D208" s="42"/>
    </row>
    <row r="209" spans="4:4" s="41" customFormat="1" ht="14.25" customHeight="1" x14ac:dyDescent="0.2">
      <c r="D209" s="42"/>
    </row>
    <row r="210" spans="4:4" s="41" customFormat="1" ht="14.25" customHeight="1" x14ac:dyDescent="0.2">
      <c r="D210" s="42"/>
    </row>
    <row r="211" spans="4:4" s="41" customFormat="1" ht="14.25" customHeight="1" x14ac:dyDescent="0.2">
      <c r="D211" s="42"/>
    </row>
    <row r="212" spans="4:4" s="41" customFormat="1" ht="14.25" customHeight="1" x14ac:dyDescent="0.2">
      <c r="D212" s="42"/>
    </row>
    <row r="213" spans="4:4" s="41" customFormat="1" ht="14.25" customHeight="1" x14ac:dyDescent="0.2">
      <c r="D213" s="42"/>
    </row>
    <row r="214" spans="4:4" s="41" customFormat="1" ht="14.25" customHeight="1" x14ac:dyDescent="0.2">
      <c r="D214" s="42"/>
    </row>
    <row r="215" spans="4:4" s="41" customFormat="1" ht="14.25" customHeight="1" x14ac:dyDescent="0.2">
      <c r="D215" s="42"/>
    </row>
    <row r="216" spans="4:4" s="41" customFormat="1" ht="14.25" customHeight="1" x14ac:dyDescent="0.2">
      <c r="D216" s="42"/>
    </row>
    <row r="217" spans="4:4" s="41" customFormat="1" ht="14.25" customHeight="1" x14ac:dyDescent="0.2">
      <c r="D217" s="42"/>
    </row>
    <row r="218" spans="4:4" s="41" customFormat="1" ht="14.25" customHeight="1" x14ac:dyDescent="0.2">
      <c r="D218" s="42"/>
    </row>
    <row r="219" spans="4:4" s="41" customFormat="1" ht="14.25" customHeight="1" x14ac:dyDescent="0.2">
      <c r="D219" s="42"/>
    </row>
    <row r="220" spans="4:4" s="41" customFormat="1" ht="14.25" customHeight="1" x14ac:dyDescent="0.2">
      <c r="D220" s="42"/>
    </row>
    <row r="221" spans="4:4" s="41" customFormat="1" ht="14.25" customHeight="1" x14ac:dyDescent="0.2">
      <c r="D221" s="42"/>
    </row>
    <row r="222" spans="4:4" s="41" customFormat="1" ht="14.25" customHeight="1" x14ac:dyDescent="0.2">
      <c r="D222" s="42"/>
    </row>
    <row r="223" spans="4:4" s="41" customFormat="1" ht="14.25" customHeight="1" x14ac:dyDescent="0.2">
      <c r="D223" s="42"/>
    </row>
    <row r="224" spans="4:4" s="41" customFormat="1" ht="14.25" customHeight="1" x14ac:dyDescent="0.2">
      <c r="D224" s="42"/>
    </row>
    <row r="225" spans="4:4" s="41" customFormat="1" ht="14.25" customHeight="1" x14ac:dyDescent="0.2">
      <c r="D225" s="42"/>
    </row>
    <row r="226" spans="4:4" s="41" customFormat="1" x14ac:dyDescent="0.2">
      <c r="D226" s="42"/>
    </row>
    <row r="227" spans="4:4" s="41" customFormat="1" x14ac:dyDescent="0.2">
      <c r="D227" s="42"/>
    </row>
    <row r="228" spans="4:4" s="41" customFormat="1" x14ac:dyDescent="0.2">
      <c r="D228" s="42"/>
    </row>
    <row r="229" spans="4:4" s="41" customFormat="1" x14ac:dyDescent="0.2">
      <c r="D229" s="42"/>
    </row>
    <row r="230" spans="4:4" s="41" customFormat="1" x14ac:dyDescent="0.2">
      <c r="D230" s="42"/>
    </row>
    <row r="231" spans="4:4" s="41" customFormat="1" x14ac:dyDescent="0.2">
      <c r="D231" s="42"/>
    </row>
    <row r="232" spans="4:4" s="41" customFormat="1" x14ac:dyDescent="0.2">
      <c r="D232" s="42"/>
    </row>
    <row r="233" spans="4:4" s="41" customFormat="1" x14ac:dyDescent="0.2">
      <c r="D233" s="42"/>
    </row>
    <row r="234" spans="4:4" s="41" customFormat="1" x14ac:dyDescent="0.2">
      <c r="D234" s="42"/>
    </row>
    <row r="235" spans="4:4" s="41" customFormat="1" x14ac:dyDescent="0.2">
      <c r="D235" s="42"/>
    </row>
    <row r="236" spans="4:4" s="41" customFormat="1" x14ac:dyDescent="0.2">
      <c r="D236" s="42"/>
    </row>
    <row r="237" spans="4:4" s="41" customFormat="1" x14ac:dyDescent="0.2">
      <c r="D237" s="42"/>
    </row>
    <row r="238" spans="4:4" s="41" customFormat="1" x14ac:dyDescent="0.2">
      <c r="D238" s="42"/>
    </row>
    <row r="239" spans="4:4" s="41" customFormat="1" x14ac:dyDescent="0.2">
      <c r="D239" s="42"/>
    </row>
    <row r="240" spans="4:4" s="41" customFormat="1" x14ac:dyDescent="0.2">
      <c r="D240" s="42"/>
    </row>
    <row r="241" spans="4:4" s="41" customFormat="1" x14ac:dyDescent="0.2">
      <c r="D241" s="42"/>
    </row>
    <row r="242" spans="4:4" s="41" customFormat="1" x14ac:dyDescent="0.2">
      <c r="D242" s="42"/>
    </row>
    <row r="243" spans="4:4" s="41" customFormat="1" x14ac:dyDescent="0.2">
      <c r="D243" s="42"/>
    </row>
    <row r="244" spans="4:4" s="41" customFormat="1" x14ac:dyDescent="0.2">
      <c r="D244" s="42"/>
    </row>
    <row r="245" spans="4:4" s="41" customFormat="1" x14ac:dyDescent="0.2">
      <c r="D245" s="42"/>
    </row>
    <row r="246" spans="4:4" s="41" customFormat="1" x14ac:dyDescent="0.2">
      <c r="D246" s="42"/>
    </row>
    <row r="247" spans="4:4" s="41" customFormat="1" x14ac:dyDescent="0.2">
      <c r="D247" s="42"/>
    </row>
    <row r="248" spans="4:4" s="41" customFormat="1" x14ac:dyDescent="0.2">
      <c r="D248" s="42"/>
    </row>
    <row r="249" spans="4:4" s="41" customFormat="1" x14ac:dyDescent="0.2">
      <c r="D249" s="42"/>
    </row>
    <row r="250" spans="4:4" s="41" customFormat="1" x14ac:dyDescent="0.2">
      <c r="D250" s="42"/>
    </row>
    <row r="251" spans="4:4" s="41" customFormat="1" x14ac:dyDescent="0.2">
      <c r="D251" s="42"/>
    </row>
    <row r="252" spans="4:4" s="41" customFormat="1" x14ac:dyDescent="0.2">
      <c r="D252" s="42"/>
    </row>
    <row r="253" spans="4:4" s="41" customFormat="1" x14ac:dyDescent="0.2">
      <c r="D253" s="42"/>
    </row>
    <row r="254" spans="4:4" s="41" customFormat="1" x14ac:dyDescent="0.2">
      <c r="D254" s="42"/>
    </row>
    <row r="255" spans="4:4" s="41" customFormat="1" x14ac:dyDescent="0.2">
      <c r="D255" s="42"/>
    </row>
    <row r="256" spans="4:4" s="41" customFormat="1" x14ac:dyDescent="0.2">
      <c r="D256" s="42"/>
    </row>
    <row r="257" spans="4:4" s="41" customFormat="1" x14ac:dyDescent="0.2">
      <c r="D257" s="42"/>
    </row>
    <row r="258" spans="4:4" s="41" customFormat="1" x14ac:dyDescent="0.2">
      <c r="D258" s="42"/>
    </row>
    <row r="259" spans="4:4" s="41" customFormat="1" x14ac:dyDescent="0.2">
      <c r="D259" s="42"/>
    </row>
    <row r="260" spans="4:4" s="41" customFormat="1" x14ac:dyDescent="0.2">
      <c r="D260" s="42"/>
    </row>
    <row r="261" spans="4:4" s="41" customFormat="1" x14ac:dyDescent="0.2">
      <c r="D261" s="42"/>
    </row>
    <row r="262" spans="4:4" s="41" customFormat="1" x14ac:dyDescent="0.2">
      <c r="D262" s="42"/>
    </row>
    <row r="263" spans="4:4" s="41" customFormat="1" x14ac:dyDescent="0.2">
      <c r="D263" s="42"/>
    </row>
    <row r="264" spans="4:4" s="41" customFormat="1" x14ac:dyDescent="0.2">
      <c r="D264" s="42"/>
    </row>
    <row r="265" spans="4:4" s="41" customFormat="1" x14ac:dyDescent="0.2">
      <c r="D265" s="42"/>
    </row>
    <row r="266" spans="4:4" s="41" customFormat="1" x14ac:dyDescent="0.2">
      <c r="D266" s="42"/>
    </row>
    <row r="267" spans="4:4" s="41" customFormat="1" x14ac:dyDescent="0.2">
      <c r="D267" s="42"/>
    </row>
    <row r="268" spans="4:4" s="41" customFormat="1" x14ac:dyDescent="0.2">
      <c r="D268" s="42"/>
    </row>
    <row r="269" spans="4:4" s="41" customFormat="1" x14ac:dyDescent="0.2">
      <c r="D269" s="42"/>
    </row>
    <row r="270" spans="4:4" s="41" customFormat="1" x14ac:dyDescent="0.2">
      <c r="D270" s="42"/>
    </row>
    <row r="271" spans="4:4" s="41" customFormat="1" x14ac:dyDescent="0.2">
      <c r="D271" s="42"/>
    </row>
    <row r="272" spans="4:4" s="41" customFormat="1" x14ac:dyDescent="0.2">
      <c r="D272" s="42"/>
    </row>
    <row r="273" spans="4:4" s="41" customFormat="1" x14ac:dyDescent="0.2">
      <c r="D273" s="42"/>
    </row>
    <row r="274" spans="4:4" s="41" customFormat="1" x14ac:dyDescent="0.2">
      <c r="D274" s="42"/>
    </row>
    <row r="275" spans="4:4" s="41" customFormat="1" x14ac:dyDescent="0.2">
      <c r="D275" s="42"/>
    </row>
    <row r="276" spans="4:4" s="41" customFormat="1" x14ac:dyDescent="0.2">
      <c r="D276" s="42"/>
    </row>
    <row r="277" spans="4:4" s="41" customFormat="1" x14ac:dyDescent="0.2">
      <c r="D277" s="42"/>
    </row>
    <row r="278" spans="4:4" s="41" customFormat="1" x14ac:dyDescent="0.2">
      <c r="D278" s="42"/>
    </row>
    <row r="279" spans="4:4" s="41" customFormat="1" x14ac:dyDescent="0.2">
      <c r="D279" s="42"/>
    </row>
    <row r="280" spans="4:4" s="41" customFormat="1" x14ac:dyDescent="0.2">
      <c r="D280" s="42"/>
    </row>
    <row r="281" spans="4:4" s="41" customFormat="1" x14ac:dyDescent="0.2">
      <c r="D281" s="42"/>
    </row>
    <row r="282" spans="4:4" s="41" customFormat="1" x14ac:dyDescent="0.2">
      <c r="D282" s="42"/>
    </row>
    <row r="283" spans="4:4" s="41" customFormat="1" x14ac:dyDescent="0.2">
      <c r="D283" s="42"/>
    </row>
    <row r="284" spans="4:4" s="41" customFormat="1" x14ac:dyDescent="0.2">
      <c r="D284" s="42"/>
    </row>
    <row r="285" spans="4:4" s="41" customFormat="1" x14ac:dyDescent="0.2">
      <c r="D285" s="42"/>
    </row>
  </sheetData>
  <sheetProtection password="E7B2" sheet="1" objects="1" scenarios="1"/>
  <mergeCells count="10">
    <mergeCell ref="F27:M27"/>
    <mergeCell ref="F30:G30"/>
    <mergeCell ref="E37:M37"/>
    <mergeCell ref="D49:M49"/>
    <mergeCell ref="C2:Q2"/>
    <mergeCell ref="F18:M18"/>
    <mergeCell ref="O18:Q18"/>
    <mergeCell ref="F21:M21"/>
    <mergeCell ref="F24:M24"/>
    <mergeCell ref="C48:M48"/>
  </mergeCells>
  <dataValidations count="5">
    <dataValidation allowBlank="1" showInputMessage="1" showErrorMessage="1" promptTitle="Inclusion" prompt="Enter a number from 0 to 100." sqref="F30:G30"/>
    <dataValidation type="list" allowBlank="1" showInputMessage="1" showErrorMessage="1" sqref="F27:M28">
      <formula1>Placement</formula1>
    </dataValidation>
    <dataValidation type="list" allowBlank="1" showInputMessage="1" showErrorMessage="1" sqref="F21:M21 F18:M18">
      <formula1>dist</formula1>
    </dataValidation>
    <dataValidation type="list" allowBlank="1" showInputMessage="1" showErrorMessage="1" sqref="F24:M25">
      <formula1>Disability_Type</formula1>
    </dataValidation>
    <dataValidation type="list" allowBlank="1" showInputMessage="1" showErrorMessage="1" sqref="WVH983036:WVQ983036 IV65532:JE65532 SR65532:TA65532 ACN65532:ACW65532 AMJ65532:AMS65532 AWF65532:AWO65532 BGB65532:BGK65532 BPX65532:BQG65532 BZT65532:CAC65532 CJP65532:CJY65532 CTL65532:CTU65532 DDH65532:DDQ65532 DND65532:DNM65532 DWZ65532:DXI65532 EGV65532:EHE65532 EQR65532:ERA65532 FAN65532:FAW65532 FKJ65532:FKS65532 FUF65532:FUO65532 GEB65532:GEK65532 GNX65532:GOG65532 GXT65532:GYC65532 HHP65532:HHY65532 HRL65532:HRU65532 IBH65532:IBQ65532 ILD65532:ILM65532 IUZ65532:IVI65532 JEV65532:JFE65532 JOR65532:JPA65532 JYN65532:JYW65532 KIJ65532:KIS65532 KSF65532:KSO65532 LCB65532:LCK65532 LLX65532:LMG65532 LVT65532:LWC65532 MFP65532:MFY65532 MPL65532:MPU65532 MZH65532:MZQ65532 NJD65532:NJM65532 NSZ65532:NTI65532 OCV65532:ODE65532 OMR65532:ONA65532 OWN65532:OWW65532 PGJ65532:PGS65532 PQF65532:PQO65532 QAB65532:QAK65532 QJX65532:QKG65532 QTT65532:QUC65532 RDP65532:RDY65532 RNL65532:RNU65532 RXH65532:RXQ65532 SHD65532:SHM65532 SQZ65532:SRI65532 TAV65532:TBE65532 TKR65532:TLA65532 TUN65532:TUW65532 UEJ65532:UES65532 UOF65532:UOO65532 UYB65532:UYK65532 VHX65532:VIG65532 VRT65532:VSC65532 WBP65532:WBY65532 WLL65532:WLU65532 WVH65532:WVQ65532 IV131068:JE131068 SR131068:TA131068 ACN131068:ACW131068 AMJ131068:AMS131068 AWF131068:AWO131068 BGB131068:BGK131068 BPX131068:BQG131068 BZT131068:CAC131068 CJP131068:CJY131068 CTL131068:CTU131068 DDH131068:DDQ131068 DND131068:DNM131068 DWZ131068:DXI131068 EGV131068:EHE131068 EQR131068:ERA131068 FAN131068:FAW131068 FKJ131068:FKS131068 FUF131068:FUO131068 GEB131068:GEK131068 GNX131068:GOG131068 GXT131068:GYC131068 HHP131068:HHY131068 HRL131068:HRU131068 IBH131068:IBQ131068 ILD131068:ILM131068 IUZ131068:IVI131068 JEV131068:JFE131068 JOR131068:JPA131068 JYN131068:JYW131068 KIJ131068:KIS131068 KSF131068:KSO131068 LCB131068:LCK131068 LLX131068:LMG131068 LVT131068:LWC131068 MFP131068:MFY131068 MPL131068:MPU131068 MZH131068:MZQ131068 NJD131068:NJM131068 NSZ131068:NTI131068 OCV131068:ODE131068 OMR131068:ONA131068 OWN131068:OWW131068 PGJ131068:PGS131068 PQF131068:PQO131068 QAB131068:QAK131068 QJX131068:QKG131068 QTT131068:QUC131068 RDP131068:RDY131068 RNL131068:RNU131068 RXH131068:RXQ131068 SHD131068:SHM131068 SQZ131068:SRI131068 TAV131068:TBE131068 TKR131068:TLA131068 TUN131068:TUW131068 UEJ131068:UES131068 UOF131068:UOO131068 UYB131068:UYK131068 VHX131068:VIG131068 VRT131068:VSC131068 WBP131068:WBY131068 WLL131068:WLU131068 WVH131068:WVQ131068 IV196604:JE196604 SR196604:TA196604 ACN196604:ACW196604 AMJ196604:AMS196604 AWF196604:AWO196604 BGB196604:BGK196604 BPX196604:BQG196604 BZT196604:CAC196604 CJP196604:CJY196604 CTL196604:CTU196604 DDH196604:DDQ196604 DND196604:DNM196604 DWZ196604:DXI196604 EGV196604:EHE196604 EQR196604:ERA196604 FAN196604:FAW196604 FKJ196604:FKS196604 FUF196604:FUO196604 GEB196604:GEK196604 GNX196604:GOG196604 GXT196604:GYC196604 HHP196604:HHY196604 HRL196604:HRU196604 IBH196604:IBQ196604 ILD196604:ILM196604 IUZ196604:IVI196604 JEV196604:JFE196604 JOR196604:JPA196604 JYN196604:JYW196604 KIJ196604:KIS196604 KSF196604:KSO196604 LCB196604:LCK196604 LLX196604:LMG196604 LVT196604:LWC196604 MFP196604:MFY196604 MPL196604:MPU196604 MZH196604:MZQ196604 NJD196604:NJM196604 NSZ196604:NTI196604 OCV196604:ODE196604 OMR196604:ONA196604 OWN196604:OWW196604 PGJ196604:PGS196604 PQF196604:PQO196604 QAB196604:QAK196604 QJX196604:QKG196604 QTT196604:QUC196604 RDP196604:RDY196604 RNL196604:RNU196604 RXH196604:RXQ196604 SHD196604:SHM196604 SQZ196604:SRI196604 TAV196604:TBE196604 TKR196604:TLA196604 TUN196604:TUW196604 UEJ196604:UES196604 UOF196604:UOO196604 UYB196604:UYK196604 VHX196604:VIG196604 VRT196604:VSC196604 WBP196604:WBY196604 WLL196604:WLU196604 WVH196604:WVQ196604 IV262140:JE262140 SR262140:TA262140 ACN262140:ACW262140 AMJ262140:AMS262140 AWF262140:AWO262140 BGB262140:BGK262140 BPX262140:BQG262140 BZT262140:CAC262140 CJP262140:CJY262140 CTL262140:CTU262140 DDH262140:DDQ262140 DND262140:DNM262140 DWZ262140:DXI262140 EGV262140:EHE262140 EQR262140:ERA262140 FAN262140:FAW262140 FKJ262140:FKS262140 FUF262140:FUO262140 GEB262140:GEK262140 GNX262140:GOG262140 GXT262140:GYC262140 HHP262140:HHY262140 HRL262140:HRU262140 IBH262140:IBQ262140 ILD262140:ILM262140 IUZ262140:IVI262140 JEV262140:JFE262140 JOR262140:JPA262140 JYN262140:JYW262140 KIJ262140:KIS262140 KSF262140:KSO262140 LCB262140:LCK262140 LLX262140:LMG262140 LVT262140:LWC262140 MFP262140:MFY262140 MPL262140:MPU262140 MZH262140:MZQ262140 NJD262140:NJM262140 NSZ262140:NTI262140 OCV262140:ODE262140 OMR262140:ONA262140 OWN262140:OWW262140 PGJ262140:PGS262140 PQF262140:PQO262140 QAB262140:QAK262140 QJX262140:QKG262140 QTT262140:QUC262140 RDP262140:RDY262140 RNL262140:RNU262140 RXH262140:RXQ262140 SHD262140:SHM262140 SQZ262140:SRI262140 TAV262140:TBE262140 TKR262140:TLA262140 TUN262140:TUW262140 UEJ262140:UES262140 UOF262140:UOO262140 UYB262140:UYK262140 VHX262140:VIG262140 VRT262140:VSC262140 WBP262140:WBY262140 WLL262140:WLU262140 WVH262140:WVQ262140 IV327676:JE327676 SR327676:TA327676 ACN327676:ACW327676 AMJ327676:AMS327676 AWF327676:AWO327676 BGB327676:BGK327676 BPX327676:BQG327676 BZT327676:CAC327676 CJP327676:CJY327676 CTL327676:CTU327676 DDH327676:DDQ327676 DND327676:DNM327676 DWZ327676:DXI327676 EGV327676:EHE327676 EQR327676:ERA327676 FAN327676:FAW327676 FKJ327676:FKS327676 FUF327676:FUO327676 GEB327676:GEK327676 GNX327676:GOG327676 GXT327676:GYC327676 HHP327676:HHY327676 HRL327676:HRU327676 IBH327676:IBQ327676 ILD327676:ILM327676 IUZ327676:IVI327676 JEV327676:JFE327676 JOR327676:JPA327676 JYN327676:JYW327676 KIJ327676:KIS327676 KSF327676:KSO327676 LCB327676:LCK327676 LLX327676:LMG327676 LVT327676:LWC327676 MFP327676:MFY327676 MPL327676:MPU327676 MZH327676:MZQ327676 NJD327676:NJM327676 NSZ327676:NTI327676 OCV327676:ODE327676 OMR327676:ONA327676 OWN327676:OWW327676 PGJ327676:PGS327676 PQF327676:PQO327676 QAB327676:QAK327676 QJX327676:QKG327676 QTT327676:QUC327676 RDP327676:RDY327676 RNL327676:RNU327676 RXH327676:RXQ327676 SHD327676:SHM327676 SQZ327676:SRI327676 TAV327676:TBE327676 TKR327676:TLA327676 TUN327676:TUW327676 UEJ327676:UES327676 UOF327676:UOO327676 UYB327676:UYK327676 VHX327676:VIG327676 VRT327676:VSC327676 WBP327676:WBY327676 WLL327676:WLU327676 WVH327676:WVQ327676 IV393212:JE393212 SR393212:TA393212 ACN393212:ACW393212 AMJ393212:AMS393212 AWF393212:AWO393212 BGB393212:BGK393212 BPX393212:BQG393212 BZT393212:CAC393212 CJP393212:CJY393212 CTL393212:CTU393212 DDH393212:DDQ393212 DND393212:DNM393212 DWZ393212:DXI393212 EGV393212:EHE393212 EQR393212:ERA393212 FAN393212:FAW393212 FKJ393212:FKS393212 FUF393212:FUO393212 GEB393212:GEK393212 GNX393212:GOG393212 GXT393212:GYC393212 HHP393212:HHY393212 HRL393212:HRU393212 IBH393212:IBQ393212 ILD393212:ILM393212 IUZ393212:IVI393212 JEV393212:JFE393212 JOR393212:JPA393212 JYN393212:JYW393212 KIJ393212:KIS393212 KSF393212:KSO393212 LCB393212:LCK393212 LLX393212:LMG393212 LVT393212:LWC393212 MFP393212:MFY393212 MPL393212:MPU393212 MZH393212:MZQ393212 NJD393212:NJM393212 NSZ393212:NTI393212 OCV393212:ODE393212 OMR393212:ONA393212 OWN393212:OWW393212 PGJ393212:PGS393212 PQF393212:PQO393212 QAB393212:QAK393212 QJX393212:QKG393212 QTT393212:QUC393212 RDP393212:RDY393212 RNL393212:RNU393212 RXH393212:RXQ393212 SHD393212:SHM393212 SQZ393212:SRI393212 TAV393212:TBE393212 TKR393212:TLA393212 TUN393212:TUW393212 UEJ393212:UES393212 UOF393212:UOO393212 UYB393212:UYK393212 VHX393212:VIG393212 VRT393212:VSC393212 WBP393212:WBY393212 WLL393212:WLU393212 WVH393212:WVQ393212 IV458748:JE458748 SR458748:TA458748 ACN458748:ACW458748 AMJ458748:AMS458748 AWF458748:AWO458748 BGB458748:BGK458748 BPX458748:BQG458748 BZT458748:CAC458748 CJP458748:CJY458748 CTL458748:CTU458748 DDH458748:DDQ458748 DND458748:DNM458748 DWZ458748:DXI458748 EGV458748:EHE458748 EQR458748:ERA458748 FAN458748:FAW458748 FKJ458748:FKS458748 FUF458748:FUO458748 GEB458748:GEK458748 GNX458748:GOG458748 GXT458748:GYC458748 HHP458748:HHY458748 HRL458748:HRU458748 IBH458748:IBQ458748 ILD458748:ILM458748 IUZ458748:IVI458748 JEV458748:JFE458748 JOR458748:JPA458748 JYN458748:JYW458748 KIJ458748:KIS458748 KSF458748:KSO458748 LCB458748:LCK458748 LLX458748:LMG458748 LVT458748:LWC458748 MFP458748:MFY458748 MPL458748:MPU458748 MZH458748:MZQ458748 NJD458748:NJM458748 NSZ458748:NTI458748 OCV458748:ODE458748 OMR458748:ONA458748 OWN458748:OWW458748 PGJ458748:PGS458748 PQF458748:PQO458748 QAB458748:QAK458748 QJX458748:QKG458748 QTT458748:QUC458748 RDP458748:RDY458748 RNL458748:RNU458748 RXH458748:RXQ458748 SHD458748:SHM458748 SQZ458748:SRI458748 TAV458748:TBE458748 TKR458748:TLA458748 TUN458748:TUW458748 UEJ458748:UES458748 UOF458748:UOO458748 UYB458748:UYK458748 VHX458748:VIG458748 VRT458748:VSC458748 WBP458748:WBY458748 WLL458748:WLU458748 WVH458748:WVQ458748 IV524284:JE524284 SR524284:TA524284 ACN524284:ACW524284 AMJ524284:AMS524284 AWF524284:AWO524284 BGB524284:BGK524284 BPX524284:BQG524284 BZT524284:CAC524284 CJP524284:CJY524284 CTL524284:CTU524284 DDH524284:DDQ524284 DND524284:DNM524284 DWZ524284:DXI524284 EGV524284:EHE524284 EQR524284:ERA524284 FAN524284:FAW524284 FKJ524284:FKS524284 FUF524284:FUO524284 GEB524284:GEK524284 GNX524284:GOG524284 GXT524284:GYC524284 HHP524284:HHY524284 HRL524284:HRU524284 IBH524284:IBQ524284 ILD524284:ILM524284 IUZ524284:IVI524284 JEV524284:JFE524284 JOR524284:JPA524284 JYN524284:JYW524284 KIJ524284:KIS524284 KSF524284:KSO524284 LCB524284:LCK524284 LLX524284:LMG524284 LVT524284:LWC524284 MFP524284:MFY524284 MPL524284:MPU524284 MZH524284:MZQ524284 NJD524284:NJM524284 NSZ524284:NTI524284 OCV524284:ODE524284 OMR524284:ONA524284 OWN524284:OWW524284 PGJ524284:PGS524284 PQF524284:PQO524284 QAB524284:QAK524284 QJX524284:QKG524284 QTT524284:QUC524284 RDP524284:RDY524284 RNL524284:RNU524284 RXH524284:RXQ524284 SHD524284:SHM524284 SQZ524284:SRI524284 TAV524284:TBE524284 TKR524284:TLA524284 TUN524284:TUW524284 UEJ524284:UES524284 UOF524284:UOO524284 UYB524284:UYK524284 VHX524284:VIG524284 VRT524284:VSC524284 WBP524284:WBY524284 WLL524284:WLU524284 WVH524284:WVQ524284 IV589820:JE589820 SR589820:TA589820 ACN589820:ACW589820 AMJ589820:AMS589820 AWF589820:AWO589820 BGB589820:BGK589820 BPX589820:BQG589820 BZT589820:CAC589820 CJP589820:CJY589820 CTL589820:CTU589820 DDH589820:DDQ589820 DND589820:DNM589820 DWZ589820:DXI589820 EGV589820:EHE589820 EQR589820:ERA589820 FAN589820:FAW589820 FKJ589820:FKS589820 FUF589820:FUO589820 GEB589820:GEK589820 GNX589820:GOG589820 GXT589820:GYC589820 HHP589820:HHY589820 HRL589820:HRU589820 IBH589820:IBQ589820 ILD589820:ILM589820 IUZ589820:IVI589820 JEV589820:JFE589820 JOR589820:JPA589820 JYN589820:JYW589820 KIJ589820:KIS589820 KSF589820:KSO589820 LCB589820:LCK589820 LLX589820:LMG589820 LVT589820:LWC589820 MFP589820:MFY589820 MPL589820:MPU589820 MZH589820:MZQ589820 NJD589820:NJM589820 NSZ589820:NTI589820 OCV589820:ODE589820 OMR589820:ONA589820 OWN589820:OWW589820 PGJ589820:PGS589820 PQF589820:PQO589820 QAB589820:QAK589820 QJX589820:QKG589820 QTT589820:QUC589820 RDP589820:RDY589820 RNL589820:RNU589820 RXH589820:RXQ589820 SHD589820:SHM589820 SQZ589820:SRI589820 TAV589820:TBE589820 TKR589820:TLA589820 TUN589820:TUW589820 UEJ589820:UES589820 UOF589820:UOO589820 UYB589820:UYK589820 VHX589820:VIG589820 VRT589820:VSC589820 WBP589820:WBY589820 WLL589820:WLU589820 WVH589820:WVQ589820 IV655356:JE655356 SR655356:TA655356 ACN655356:ACW655356 AMJ655356:AMS655356 AWF655356:AWO655356 BGB655356:BGK655356 BPX655356:BQG655356 BZT655356:CAC655356 CJP655356:CJY655356 CTL655356:CTU655356 DDH655356:DDQ655356 DND655356:DNM655356 DWZ655356:DXI655356 EGV655356:EHE655356 EQR655356:ERA655356 FAN655356:FAW655356 FKJ655356:FKS655356 FUF655356:FUO655356 GEB655356:GEK655356 GNX655356:GOG655356 GXT655356:GYC655356 HHP655356:HHY655356 HRL655356:HRU655356 IBH655356:IBQ655356 ILD655356:ILM655356 IUZ655356:IVI655356 JEV655356:JFE655356 JOR655356:JPA655356 JYN655356:JYW655356 KIJ655356:KIS655356 KSF655356:KSO655356 LCB655356:LCK655356 LLX655356:LMG655356 LVT655356:LWC655356 MFP655356:MFY655356 MPL655356:MPU655356 MZH655356:MZQ655356 NJD655356:NJM655356 NSZ655356:NTI655356 OCV655356:ODE655356 OMR655356:ONA655356 OWN655356:OWW655356 PGJ655356:PGS655356 PQF655356:PQO655356 QAB655356:QAK655356 QJX655356:QKG655356 QTT655356:QUC655356 RDP655356:RDY655356 RNL655356:RNU655356 RXH655356:RXQ655356 SHD655356:SHM655356 SQZ655356:SRI655356 TAV655356:TBE655356 TKR655356:TLA655356 TUN655356:TUW655356 UEJ655356:UES655356 UOF655356:UOO655356 UYB655356:UYK655356 VHX655356:VIG655356 VRT655356:VSC655356 WBP655356:WBY655356 WLL655356:WLU655356 WVH655356:WVQ655356 IV720892:JE720892 SR720892:TA720892 ACN720892:ACW720892 AMJ720892:AMS720892 AWF720892:AWO720892 BGB720892:BGK720892 BPX720892:BQG720892 BZT720892:CAC720892 CJP720892:CJY720892 CTL720892:CTU720892 DDH720892:DDQ720892 DND720892:DNM720892 DWZ720892:DXI720892 EGV720892:EHE720892 EQR720892:ERA720892 FAN720892:FAW720892 FKJ720892:FKS720892 FUF720892:FUO720892 GEB720892:GEK720892 GNX720892:GOG720892 GXT720892:GYC720892 HHP720892:HHY720892 HRL720892:HRU720892 IBH720892:IBQ720892 ILD720892:ILM720892 IUZ720892:IVI720892 JEV720892:JFE720892 JOR720892:JPA720892 JYN720892:JYW720892 KIJ720892:KIS720892 KSF720892:KSO720892 LCB720892:LCK720892 LLX720892:LMG720892 LVT720892:LWC720892 MFP720892:MFY720892 MPL720892:MPU720892 MZH720892:MZQ720892 NJD720892:NJM720892 NSZ720892:NTI720892 OCV720892:ODE720892 OMR720892:ONA720892 OWN720892:OWW720892 PGJ720892:PGS720892 PQF720892:PQO720892 QAB720892:QAK720892 QJX720892:QKG720892 QTT720892:QUC720892 RDP720892:RDY720892 RNL720892:RNU720892 RXH720892:RXQ720892 SHD720892:SHM720892 SQZ720892:SRI720892 TAV720892:TBE720892 TKR720892:TLA720892 TUN720892:TUW720892 UEJ720892:UES720892 UOF720892:UOO720892 UYB720892:UYK720892 VHX720892:VIG720892 VRT720892:VSC720892 WBP720892:WBY720892 WLL720892:WLU720892 WVH720892:WVQ720892 IV786428:JE786428 SR786428:TA786428 ACN786428:ACW786428 AMJ786428:AMS786428 AWF786428:AWO786428 BGB786428:BGK786428 BPX786428:BQG786428 BZT786428:CAC786428 CJP786428:CJY786428 CTL786428:CTU786428 DDH786428:DDQ786428 DND786428:DNM786428 DWZ786428:DXI786428 EGV786428:EHE786428 EQR786428:ERA786428 FAN786428:FAW786428 FKJ786428:FKS786428 FUF786428:FUO786428 GEB786428:GEK786428 GNX786428:GOG786428 GXT786428:GYC786428 HHP786428:HHY786428 HRL786428:HRU786428 IBH786428:IBQ786428 ILD786428:ILM786428 IUZ786428:IVI786428 JEV786428:JFE786428 JOR786428:JPA786428 JYN786428:JYW786428 KIJ786428:KIS786428 KSF786428:KSO786428 LCB786428:LCK786428 LLX786428:LMG786428 LVT786428:LWC786428 MFP786428:MFY786428 MPL786428:MPU786428 MZH786428:MZQ786428 NJD786428:NJM786428 NSZ786428:NTI786428 OCV786428:ODE786428 OMR786428:ONA786428 OWN786428:OWW786428 PGJ786428:PGS786428 PQF786428:PQO786428 QAB786428:QAK786428 QJX786428:QKG786428 QTT786428:QUC786428 RDP786428:RDY786428 RNL786428:RNU786428 RXH786428:RXQ786428 SHD786428:SHM786428 SQZ786428:SRI786428 TAV786428:TBE786428 TKR786428:TLA786428 TUN786428:TUW786428 UEJ786428:UES786428 UOF786428:UOO786428 UYB786428:UYK786428 VHX786428:VIG786428 VRT786428:VSC786428 WBP786428:WBY786428 WLL786428:WLU786428 WVH786428:WVQ786428 IV851964:JE851964 SR851964:TA851964 ACN851964:ACW851964 AMJ851964:AMS851964 AWF851964:AWO851964 BGB851964:BGK851964 BPX851964:BQG851964 BZT851964:CAC851964 CJP851964:CJY851964 CTL851964:CTU851964 DDH851964:DDQ851964 DND851964:DNM851964 DWZ851964:DXI851964 EGV851964:EHE851964 EQR851964:ERA851964 FAN851964:FAW851964 FKJ851964:FKS851964 FUF851964:FUO851964 GEB851964:GEK851964 GNX851964:GOG851964 GXT851964:GYC851964 HHP851964:HHY851964 HRL851964:HRU851964 IBH851964:IBQ851964 ILD851964:ILM851964 IUZ851964:IVI851964 JEV851964:JFE851964 JOR851964:JPA851964 JYN851964:JYW851964 KIJ851964:KIS851964 KSF851964:KSO851964 LCB851964:LCK851964 LLX851964:LMG851964 LVT851964:LWC851964 MFP851964:MFY851964 MPL851964:MPU851964 MZH851964:MZQ851964 NJD851964:NJM851964 NSZ851964:NTI851964 OCV851964:ODE851964 OMR851964:ONA851964 OWN851964:OWW851964 PGJ851964:PGS851964 PQF851964:PQO851964 QAB851964:QAK851964 QJX851964:QKG851964 QTT851964:QUC851964 RDP851964:RDY851964 RNL851964:RNU851964 RXH851964:RXQ851964 SHD851964:SHM851964 SQZ851964:SRI851964 TAV851964:TBE851964 TKR851964:TLA851964 TUN851964:TUW851964 UEJ851964:UES851964 UOF851964:UOO851964 UYB851964:UYK851964 VHX851964:VIG851964 VRT851964:VSC851964 WBP851964:WBY851964 WLL851964:WLU851964 WVH851964:WVQ851964 IV917500:JE917500 SR917500:TA917500 ACN917500:ACW917500 AMJ917500:AMS917500 AWF917500:AWO917500 BGB917500:BGK917500 BPX917500:BQG917500 BZT917500:CAC917500 CJP917500:CJY917500 CTL917500:CTU917500 DDH917500:DDQ917500 DND917500:DNM917500 DWZ917500:DXI917500 EGV917500:EHE917500 EQR917500:ERA917500 FAN917500:FAW917500 FKJ917500:FKS917500 FUF917500:FUO917500 GEB917500:GEK917500 GNX917500:GOG917500 GXT917500:GYC917500 HHP917500:HHY917500 HRL917500:HRU917500 IBH917500:IBQ917500 ILD917500:ILM917500 IUZ917500:IVI917500 JEV917500:JFE917500 JOR917500:JPA917500 JYN917500:JYW917500 KIJ917500:KIS917500 KSF917500:KSO917500 LCB917500:LCK917500 LLX917500:LMG917500 LVT917500:LWC917500 MFP917500:MFY917500 MPL917500:MPU917500 MZH917500:MZQ917500 NJD917500:NJM917500 NSZ917500:NTI917500 OCV917500:ODE917500 OMR917500:ONA917500 OWN917500:OWW917500 PGJ917500:PGS917500 PQF917500:PQO917500 QAB917500:QAK917500 QJX917500:QKG917500 QTT917500:QUC917500 RDP917500:RDY917500 RNL917500:RNU917500 RXH917500:RXQ917500 SHD917500:SHM917500 SQZ917500:SRI917500 TAV917500:TBE917500 TKR917500:TLA917500 TUN917500:TUW917500 UEJ917500:UES917500 UOF917500:UOO917500 UYB917500:UYK917500 VHX917500:VIG917500 VRT917500:VSC917500 WBP917500:WBY917500 WLL917500:WLU917500 WVH917500:WVQ917500 IV983036:JE983036 SR983036:TA983036 ACN983036:ACW983036 AMJ983036:AMS983036 AWF983036:AWO983036 BGB983036:BGK983036 BPX983036:BQG983036 BZT983036:CAC983036 CJP983036:CJY983036 CTL983036:CTU983036 DDH983036:DDQ983036 DND983036:DNM983036 DWZ983036:DXI983036 EGV983036:EHE983036 EQR983036:ERA983036 FAN983036:FAW983036 FKJ983036:FKS983036 FUF983036:FUO983036 GEB983036:GEK983036 GNX983036:GOG983036 GXT983036:GYC983036 HHP983036:HHY983036 HRL983036:HRU983036 IBH983036:IBQ983036 ILD983036:ILM983036 IUZ983036:IVI983036 JEV983036:JFE983036 JOR983036:JPA983036 JYN983036:JYW983036 KIJ983036:KIS983036 KSF983036:KSO983036 LCB983036:LCK983036 LLX983036:LMG983036 LVT983036:LWC983036 MFP983036:MFY983036 MPL983036:MPU983036 MZH983036:MZQ983036 NJD983036:NJM983036 NSZ983036:NTI983036 OCV983036:ODE983036 OMR983036:ONA983036 OWN983036:OWW983036 PGJ983036:PGS983036 PQF983036:PQO983036 QAB983036:QAK983036 QJX983036:QKG983036 QTT983036:QUC983036 RDP983036:RDY983036 RNL983036:RNU983036 RXH983036:RXQ983036 SHD983036:SHM983036 SQZ983036:SRI983036 TAV983036:TBE983036 TKR983036:TLA983036 TUN983036:TUW983036 UEJ983036:UES983036 UOF983036:UOO983036 UYB983036:UYK983036 VHX983036:VIG983036 VRT983036:VSC983036 WBP983036:WBY983036 WLL983036:WLU983036 E983036:L983036 E917500:L917500 E851964:L851964 E786428:L786428 E720892:L720892 E655356:L655356 E589820:L589820 E524284:L524284 E458748:L458748 E393212:L393212 E327676:L327676 E262140:L262140 E196604:L196604 E131068:L131068 E65532:L65532 IW18:JF18 SS18:TB18 ACO18:ACX18 AMK18:AMT18 AWG18:AWP18 BGC18:BGL18 BPY18:BQH18 BZU18:CAD18 CJQ18:CJZ18 CTM18:CTV18 DDI18:DDR18 DNE18:DNN18 DXA18:DXJ18 EGW18:EHF18 EQS18:ERB18 FAO18:FAX18 FKK18:FKT18 FUG18:FUP18 GEC18:GEL18 GNY18:GOH18 GXU18:GYD18 HHQ18:HHZ18 HRM18:HRV18 IBI18:IBR18 ILE18:ILN18 IVA18:IVJ18 JEW18:JFF18 JOS18:JPB18 JYO18:JYX18 KIK18:KIT18 KSG18:KSP18 LCC18:LCL18 LLY18:LMH18 LVU18:LWD18 MFQ18:MFZ18 MPM18:MPV18 MZI18:MZR18 NJE18:NJN18 NTA18:NTJ18 OCW18:ODF18 OMS18:ONB18 OWO18:OWX18 PGK18:PGT18 PQG18:PQP18 QAC18:QAL18 QJY18:QKH18 QTU18:QUD18 RDQ18:RDZ18 RNM18:RNV18 RXI18:RXR18 SHE18:SHN18 SRA18:SRJ18 TAW18:TBF18 TKS18:TLB18 TUO18:TUX18 UEK18:UET18 UOG18:UOP18 UYC18:UYL18 VHY18:VIH18 VRU18:VSD18 WBQ18:WBZ18 WLM18:WLV18 WVI18:WVR18">
      <formula1>dist_county</formula1>
    </dataValidation>
  </dataValidations>
  <pageMargins left="0.25" right="0.25" top="0.75" bottom="0.75" header="0.3" footer="0.3"/>
  <pageSetup scale="54" orientation="portrait" verticalDpi="4" r:id="rId1"/>
  <headerFooter>
    <oddFooter>&amp;LFY2012 ODE SF-6 Excess Cost Specific Student form. Revised 12/3/2012</oddFooter>
  </headerFooter>
  <ignoredErrors>
    <ignoredError sqref="P36 Q42:Q43 Q58:Q60 O37 O40 O42:O46 Q40 Q50 Q51:Q55 P1 Q44:Q46 N40 N42:N46 O35" unlockedFormula="1"/>
    <ignoredError sqref="N38:N39 Q39" evalError="1"/>
    <ignoredError sqref="N41:O41 Q41 O38:O39 Q61" evalError="1" unlockedFormula="1"/>
    <ignoredError sqref="D58:D61 D33 D35:D36" numberStoredAsText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Q616"/>
  <sheetViews>
    <sheetView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K609" sqref="K609"/>
    </sheetView>
  </sheetViews>
  <sheetFormatPr defaultRowHeight="12.75" x14ac:dyDescent="0.2"/>
  <cols>
    <col min="1" max="1" width="38.5703125" style="8" customWidth="1"/>
    <col min="2" max="2" width="15" style="8" bestFit="1" customWidth="1"/>
    <col min="3" max="3" width="9" style="8" bestFit="1" customWidth="1"/>
    <col min="4" max="4" width="19.85546875" style="2" customWidth="1"/>
    <col min="5" max="5" width="12.7109375" style="2" customWidth="1"/>
    <col min="6" max="6" width="12" style="8" customWidth="1"/>
    <col min="7" max="7" width="12" style="8" bestFit="1" customWidth="1"/>
    <col min="8" max="8" width="11" style="8" bestFit="1" customWidth="1"/>
    <col min="9" max="12" width="11" style="8" customWidth="1"/>
    <col min="13" max="13" width="14" style="8" customWidth="1"/>
    <col min="14" max="16" width="12" style="8" bestFit="1" customWidth="1"/>
    <col min="17" max="17" width="9" style="8" bestFit="1" customWidth="1"/>
    <col min="18" max="249" width="9.140625" style="8"/>
    <col min="250" max="250" width="9.28515625" style="8" bestFit="1" customWidth="1"/>
    <col min="251" max="251" width="9.140625" style="8"/>
    <col min="252" max="252" width="10" style="8" bestFit="1" customWidth="1"/>
    <col min="253" max="266" width="9.28515625" style="8" bestFit="1" customWidth="1"/>
    <col min="267" max="505" width="9.140625" style="8"/>
    <col min="506" max="506" width="9.28515625" style="8" bestFit="1" customWidth="1"/>
    <col min="507" max="507" width="9.140625" style="8"/>
    <col min="508" max="508" width="10" style="8" bestFit="1" customWidth="1"/>
    <col min="509" max="522" width="9.28515625" style="8" bestFit="1" customWidth="1"/>
    <col min="523" max="761" width="9.140625" style="8"/>
    <col min="762" max="762" width="9.28515625" style="8" bestFit="1" customWidth="1"/>
    <col min="763" max="763" width="9.140625" style="8"/>
    <col min="764" max="764" width="10" style="8" bestFit="1" customWidth="1"/>
    <col min="765" max="778" width="9.28515625" style="8" bestFit="1" customWidth="1"/>
    <col min="779" max="1017" width="9.140625" style="8"/>
    <col min="1018" max="1018" width="9.28515625" style="8" bestFit="1" customWidth="1"/>
    <col min="1019" max="1019" width="9.140625" style="8"/>
    <col min="1020" max="1020" width="10" style="8" bestFit="1" customWidth="1"/>
    <col min="1021" max="1034" width="9.28515625" style="8" bestFit="1" customWidth="1"/>
    <col min="1035" max="1273" width="9.140625" style="8"/>
    <col min="1274" max="1274" width="9.28515625" style="8" bestFit="1" customWidth="1"/>
    <col min="1275" max="1275" width="9.140625" style="8"/>
    <col min="1276" max="1276" width="10" style="8" bestFit="1" customWidth="1"/>
    <col min="1277" max="1290" width="9.28515625" style="8" bestFit="1" customWidth="1"/>
    <col min="1291" max="1529" width="9.140625" style="8"/>
    <col min="1530" max="1530" width="9.28515625" style="8" bestFit="1" customWidth="1"/>
    <col min="1531" max="1531" width="9.140625" style="8"/>
    <col min="1532" max="1532" width="10" style="8" bestFit="1" customWidth="1"/>
    <col min="1533" max="1546" width="9.28515625" style="8" bestFit="1" customWidth="1"/>
    <col min="1547" max="1785" width="9.140625" style="8"/>
    <col min="1786" max="1786" width="9.28515625" style="8" bestFit="1" customWidth="1"/>
    <col min="1787" max="1787" width="9.140625" style="8"/>
    <col min="1788" max="1788" width="10" style="8" bestFit="1" customWidth="1"/>
    <col min="1789" max="1802" width="9.28515625" style="8" bestFit="1" customWidth="1"/>
    <col min="1803" max="2041" width="9.140625" style="8"/>
    <col min="2042" max="2042" width="9.28515625" style="8" bestFit="1" customWidth="1"/>
    <col min="2043" max="2043" width="9.140625" style="8"/>
    <col min="2044" max="2044" width="10" style="8" bestFit="1" customWidth="1"/>
    <col min="2045" max="2058" width="9.28515625" style="8" bestFit="1" customWidth="1"/>
    <col min="2059" max="2297" width="9.140625" style="8"/>
    <col min="2298" max="2298" width="9.28515625" style="8" bestFit="1" customWidth="1"/>
    <col min="2299" max="2299" width="9.140625" style="8"/>
    <col min="2300" max="2300" width="10" style="8" bestFit="1" customWidth="1"/>
    <col min="2301" max="2314" width="9.28515625" style="8" bestFit="1" customWidth="1"/>
    <col min="2315" max="2553" width="9.140625" style="8"/>
    <col min="2554" max="2554" width="9.28515625" style="8" bestFit="1" customWidth="1"/>
    <col min="2555" max="2555" width="9.140625" style="8"/>
    <col min="2556" max="2556" width="10" style="8" bestFit="1" customWidth="1"/>
    <col min="2557" max="2570" width="9.28515625" style="8" bestFit="1" customWidth="1"/>
    <col min="2571" max="2809" width="9.140625" style="8"/>
    <col min="2810" max="2810" width="9.28515625" style="8" bestFit="1" customWidth="1"/>
    <col min="2811" max="2811" width="9.140625" style="8"/>
    <col min="2812" max="2812" width="10" style="8" bestFit="1" customWidth="1"/>
    <col min="2813" max="2826" width="9.28515625" style="8" bestFit="1" customWidth="1"/>
    <col min="2827" max="3065" width="9.140625" style="8"/>
    <col min="3066" max="3066" width="9.28515625" style="8" bestFit="1" customWidth="1"/>
    <col min="3067" max="3067" width="9.140625" style="8"/>
    <col min="3068" max="3068" width="10" style="8" bestFit="1" customWidth="1"/>
    <col min="3069" max="3082" width="9.28515625" style="8" bestFit="1" customWidth="1"/>
    <col min="3083" max="3321" width="9.140625" style="8"/>
    <col min="3322" max="3322" width="9.28515625" style="8" bestFit="1" customWidth="1"/>
    <col min="3323" max="3323" width="9.140625" style="8"/>
    <col min="3324" max="3324" width="10" style="8" bestFit="1" customWidth="1"/>
    <col min="3325" max="3338" width="9.28515625" style="8" bestFit="1" customWidth="1"/>
    <col min="3339" max="3577" width="9.140625" style="8"/>
    <col min="3578" max="3578" width="9.28515625" style="8" bestFit="1" customWidth="1"/>
    <col min="3579" max="3579" width="9.140625" style="8"/>
    <col min="3580" max="3580" width="10" style="8" bestFit="1" customWidth="1"/>
    <col min="3581" max="3594" width="9.28515625" style="8" bestFit="1" customWidth="1"/>
    <col min="3595" max="3833" width="9.140625" style="8"/>
    <col min="3834" max="3834" width="9.28515625" style="8" bestFit="1" customWidth="1"/>
    <col min="3835" max="3835" width="9.140625" style="8"/>
    <col min="3836" max="3836" width="10" style="8" bestFit="1" customWidth="1"/>
    <col min="3837" max="3850" width="9.28515625" style="8" bestFit="1" customWidth="1"/>
    <col min="3851" max="4089" width="9.140625" style="8"/>
    <col min="4090" max="4090" width="9.28515625" style="8" bestFit="1" customWidth="1"/>
    <col min="4091" max="4091" width="9.140625" style="8"/>
    <col min="4092" max="4092" width="10" style="8" bestFit="1" customWidth="1"/>
    <col min="4093" max="4106" width="9.28515625" style="8" bestFit="1" customWidth="1"/>
    <col min="4107" max="4345" width="9.140625" style="8"/>
    <col min="4346" max="4346" width="9.28515625" style="8" bestFit="1" customWidth="1"/>
    <col min="4347" max="4347" width="9.140625" style="8"/>
    <col min="4348" max="4348" width="10" style="8" bestFit="1" customWidth="1"/>
    <col min="4349" max="4362" width="9.28515625" style="8" bestFit="1" customWidth="1"/>
    <col min="4363" max="4601" width="9.140625" style="8"/>
    <col min="4602" max="4602" width="9.28515625" style="8" bestFit="1" customWidth="1"/>
    <col min="4603" max="4603" width="9.140625" style="8"/>
    <col min="4604" max="4604" width="10" style="8" bestFit="1" customWidth="1"/>
    <col min="4605" max="4618" width="9.28515625" style="8" bestFit="1" customWidth="1"/>
    <col min="4619" max="4857" width="9.140625" style="8"/>
    <col min="4858" max="4858" width="9.28515625" style="8" bestFit="1" customWidth="1"/>
    <col min="4859" max="4859" width="9.140625" style="8"/>
    <col min="4860" max="4860" width="10" style="8" bestFit="1" customWidth="1"/>
    <col min="4861" max="4874" width="9.28515625" style="8" bestFit="1" customWidth="1"/>
    <col min="4875" max="5113" width="9.140625" style="8"/>
    <col min="5114" max="5114" width="9.28515625" style="8" bestFit="1" customWidth="1"/>
    <col min="5115" max="5115" width="9.140625" style="8"/>
    <col min="5116" max="5116" width="10" style="8" bestFit="1" customWidth="1"/>
    <col min="5117" max="5130" width="9.28515625" style="8" bestFit="1" customWidth="1"/>
    <col min="5131" max="5369" width="9.140625" style="8"/>
    <col min="5370" max="5370" width="9.28515625" style="8" bestFit="1" customWidth="1"/>
    <col min="5371" max="5371" width="9.140625" style="8"/>
    <col min="5372" max="5372" width="10" style="8" bestFit="1" customWidth="1"/>
    <col min="5373" max="5386" width="9.28515625" style="8" bestFit="1" customWidth="1"/>
    <col min="5387" max="5625" width="9.140625" style="8"/>
    <col min="5626" max="5626" width="9.28515625" style="8" bestFit="1" customWidth="1"/>
    <col min="5627" max="5627" width="9.140625" style="8"/>
    <col min="5628" max="5628" width="10" style="8" bestFit="1" customWidth="1"/>
    <col min="5629" max="5642" width="9.28515625" style="8" bestFit="1" customWidth="1"/>
    <col min="5643" max="5881" width="9.140625" style="8"/>
    <col min="5882" max="5882" width="9.28515625" style="8" bestFit="1" customWidth="1"/>
    <col min="5883" max="5883" width="9.140625" style="8"/>
    <col min="5884" max="5884" width="10" style="8" bestFit="1" customWidth="1"/>
    <col min="5885" max="5898" width="9.28515625" style="8" bestFit="1" customWidth="1"/>
    <col min="5899" max="6137" width="9.140625" style="8"/>
    <col min="6138" max="6138" width="9.28515625" style="8" bestFit="1" customWidth="1"/>
    <col min="6139" max="6139" width="9.140625" style="8"/>
    <col min="6140" max="6140" width="10" style="8" bestFit="1" customWidth="1"/>
    <col min="6141" max="6154" width="9.28515625" style="8" bestFit="1" customWidth="1"/>
    <col min="6155" max="6393" width="9.140625" style="8"/>
    <col min="6394" max="6394" width="9.28515625" style="8" bestFit="1" customWidth="1"/>
    <col min="6395" max="6395" width="9.140625" style="8"/>
    <col min="6396" max="6396" width="10" style="8" bestFit="1" customWidth="1"/>
    <col min="6397" max="6410" width="9.28515625" style="8" bestFit="1" customWidth="1"/>
    <col min="6411" max="6649" width="9.140625" style="8"/>
    <col min="6650" max="6650" width="9.28515625" style="8" bestFit="1" customWidth="1"/>
    <col min="6651" max="6651" width="9.140625" style="8"/>
    <col min="6652" max="6652" width="10" style="8" bestFit="1" customWidth="1"/>
    <col min="6653" max="6666" width="9.28515625" style="8" bestFit="1" customWidth="1"/>
    <col min="6667" max="6905" width="9.140625" style="8"/>
    <col min="6906" max="6906" width="9.28515625" style="8" bestFit="1" customWidth="1"/>
    <col min="6907" max="6907" width="9.140625" style="8"/>
    <col min="6908" max="6908" width="10" style="8" bestFit="1" customWidth="1"/>
    <col min="6909" max="6922" width="9.28515625" style="8" bestFit="1" customWidth="1"/>
    <col min="6923" max="7161" width="9.140625" style="8"/>
    <col min="7162" max="7162" width="9.28515625" style="8" bestFit="1" customWidth="1"/>
    <col min="7163" max="7163" width="9.140625" style="8"/>
    <col min="7164" max="7164" width="10" style="8" bestFit="1" customWidth="1"/>
    <col min="7165" max="7178" width="9.28515625" style="8" bestFit="1" customWidth="1"/>
    <col min="7179" max="7417" width="9.140625" style="8"/>
    <col min="7418" max="7418" width="9.28515625" style="8" bestFit="1" customWidth="1"/>
    <col min="7419" max="7419" width="9.140625" style="8"/>
    <col min="7420" max="7420" width="10" style="8" bestFit="1" customWidth="1"/>
    <col min="7421" max="7434" width="9.28515625" style="8" bestFit="1" customWidth="1"/>
    <col min="7435" max="7673" width="9.140625" style="8"/>
    <col min="7674" max="7674" width="9.28515625" style="8" bestFit="1" customWidth="1"/>
    <col min="7675" max="7675" width="9.140625" style="8"/>
    <col min="7676" max="7676" width="10" style="8" bestFit="1" customWidth="1"/>
    <col min="7677" max="7690" width="9.28515625" style="8" bestFit="1" customWidth="1"/>
    <col min="7691" max="7929" width="9.140625" style="8"/>
    <col min="7930" max="7930" width="9.28515625" style="8" bestFit="1" customWidth="1"/>
    <col min="7931" max="7931" width="9.140625" style="8"/>
    <col min="7932" max="7932" width="10" style="8" bestFit="1" customWidth="1"/>
    <col min="7933" max="7946" width="9.28515625" style="8" bestFit="1" customWidth="1"/>
    <col min="7947" max="8185" width="9.140625" style="8"/>
    <col min="8186" max="8186" width="9.28515625" style="8" bestFit="1" customWidth="1"/>
    <col min="8187" max="8187" width="9.140625" style="8"/>
    <col min="8188" max="8188" width="10" style="8" bestFit="1" customWidth="1"/>
    <col min="8189" max="8202" width="9.28515625" style="8" bestFit="1" customWidth="1"/>
    <col min="8203" max="8441" width="9.140625" style="8"/>
    <col min="8442" max="8442" width="9.28515625" style="8" bestFit="1" customWidth="1"/>
    <col min="8443" max="8443" width="9.140625" style="8"/>
    <col min="8444" max="8444" width="10" style="8" bestFit="1" customWidth="1"/>
    <col min="8445" max="8458" width="9.28515625" style="8" bestFit="1" customWidth="1"/>
    <col min="8459" max="8697" width="9.140625" style="8"/>
    <col min="8698" max="8698" width="9.28515625" style="8" bestFit="1" customWidth="1"/>
    <col min="8699" max="8699" width="9.140625" style="8"/>
    <col min="8700" max="8700" width="10" style="8" bestFit="1" customWidth="1"/>
    <col min="8701" max="8714" width="9.28515625" style="8" bestFit="1" customWidth="1"/>
    <col min="8715" max="8953" width="9.140625" style="8"/>
    <col min="8954" max="8954" width="9.28515625" style="8" bestFit="1" customWidth="1"/>
    <col min="8955" max="8955" width="9.140625" style="8"/>
    <col min="8956" max="8956" width="10" style="8" bestFit="1" customWidth="1"/>
    <col min="8957" max="8970" width="9.28515625" style="8" bestFit="1" customWidth="1"/>
    <col min="8971" max="9209" width="9.140625" style="8"/>
    <col min="9210" max="9210" width="9.28515625" style="8" bestFit="1" customWidth="1"/>
    <col min="9211" max="9211" width="9.140625" style="8"/>
    <col min="9212" max="9212" width="10" style="8" bestFit="1" customWidth="1"/>
    <col min="9213" max="9226" width="9.28515625" style="8" bestFit="1" customWidth="1"/>
    <col min="9227" max="9465" width="9.140625" style="8"/>
    <col min="9466" max="9466" width="9.28515625" style="8" bestFit="1" customWidth="1"/>
    <col min="9467" max="9467" width="9.140625" style="8"/>
    <col min="9468" max="9468" width="10" style="8" bestFit="1" customWidth="1"/>
    <col min="9469" max="9482" width="9.28515625" style="8" bestFit="1" customWidth="1"/>
    <col min="9483" max="9721" width="9.140625" style="8"/>
    <col min="9722" max="9722" width="9.28515625" style="8" bestFit="1" customWidth="1"/>
    <col min="9723" max="9723" width="9.140625" style="8"/>
    <col min="9724" max="9724" width="10" style="8" bestFit="1" customWidth="1"/>
    <col min="9725" max="9738" width="9.28515625" style="8" bestFit="1" customWidth="1"/>
    <col min="9739" max="9977" width="9.140625" style="8"/>
    <col min="9978" max="9978" width="9.28515625" style="8" bestFit="1" customWidth="1"/>
    <col min="9979" max="9979" width="9.140625" style="8"/>
    <col min="9980" max="9980" width="10" style="8" bestFit="1" customWidth="1"/>
    <col min="9981" max="9994" width="9.28515625" style="8" bestFit="1" customWidth="1"/>
    <col min="9995" max="10233" width="9.140625" style="8"/>
    <col min="10234" max="10234" width="9.28515625" style="8" bestFit="1" customWidth="1"/>
    <col min="10235" max="10235" width="9.140625" style="8"/>
    <col min="10236" max="10236" width="10" style="8" bestFit="1" customWidth="1"/>
    <col min="10237" max="10250" width="9.28515625" style="8" bestFit="1" customWidth="1"/>
    <col min="10251" max="10489" width="9.140625" style="8"/>
    <col min="10490" max="10490" width="9.28515625" style="8" bestFit="1" customWidth="1"/>
    <col min="10491" max="10491" width="9.140625" style="8"/>
    <col min="10492" max="10492" width="10" style="8" bestFit="1" customWidth="1"/>
    <col min="10493" max="10506" width="9.28515625" style="8" bestFit="1" customWidth="1"/>
    <col min="10507" max="10745" width="9.140625" style="8"/>
    <col min="10746" max="10746" width="9.28515625" style="8" bestFit="1" customWidth="1"/>
    <col min="10747" max="10747" width="9.140625" style="8"/>
    <col min="10748" max="10748" width="10" style="8" bestFit="1" customWidth="1"/>
    <col min="10749" max="10762" width="9.28515625" style="8" bestFit="1" customWidth="1"/>
    <col min="10763" max="11001" width="9.140625" style="8"/>
    <col min="11002" max="11002" width="9.28515625" style="8" bestFit="1" customWidth="1"/>
    <col min="11003" max="11003" width="9.140625" style="8"/>
    <col min="11004" max="11004" width="10" style="8" bestFit="1" customWidth="1"/>
    <col min="11005" max="11018" width="9.28515625" style="8" bestFit="1" customWidth="1"/>
    <col min="11019" max="11257" width="9.140625" style="8"/>
    <col min="11258" max="11258" width="9.28515625" style="8" bestFit="1" customWidth="1"/>
    <col min="11259" max="11259" width="9.140625" style="8"/>
    <col min="11260" max="11260" width="10" style="8" bestFit="1" customWidth="1"/>
    <col min="11261" max="11274" width="9.28515625" style="8" bestFit="1" customWidth="1"/>
    <col min="11275" max="11513" width="9.140625" style="8"/>
    <col min="11514" max="11514" width="9.28515625" style="8" bestFit="1" customWidth="1"/>
    <col min="11515" max="11515" width="9.140625" style="8"/>
    <col min="11516" max="11516" width="10" style="8" bestFit="1" customWidth="1"/>
    <col min="11517" max="11530" width="9.28515625" style="8" bestFit="1" customWidth="1"/>
    <col min="11531" max="11769" width="9.140625" style="8"/>
    <col min="11770" max="11770" width="9.28515625" style="8" bestFit="1" customWidth="1"/>
    <col min="11771" max="11771" width="9.140625" style="8"/>
    <col min="11772" max="11772" width="10" style="8" bestFit="1" customWidth="1"/>
    <col min="11773" max="11786" width="9.28515625" style="8" bestFit="1" customWidth="1"/>
    <col min="11787" max="12025" width="9.140625" style="8"/>
    <col min="12026" max="12026" width="9.28515625" style="8" bestFit="1" customWidth="1"/>
    <col min="12027" max="12027" width="9.140625" style="8"/>
    <col min="12028" max="12028" width="10" style="8" bestFit="1" customWidth="1"/>
    <col min="12029" max="12042" width="9.28515625" style="8" bestFit="1" customWidth="1"/>
    <col min="12043" max="12281" width="9.140625" style="8"/>
    <col min="12282" max="12282" width="9.28515625" style="8" bestFit="1" customWidth="1"/>
    <col min="12283" max="12283" width="9.140625" style="8"/>
    <col min="12284" max="12284" width="10" style="8" bestFit="1" customWidth="1"/>
    <col min="12285" max="12298" width="9.28515625" style="8" bestFit="1" customWidth="1"/>
    <col min="12299" max="12537" width="9.140625" style="8"/>
    <col min="12538" max="12538" width="9.28515625" style="8" bestFit="1" customWidth="1"/>
    <col min="12539" max="12539" width="9.140625" style="8"/>
    <col min="12540" max="12540" width="10" style="8" bestFit="1" customWidth="1"/>
    <col min="12541" max="12554" width="9.28515625" style="8" bestFit="1" customWidth="1"/>
    <col min="12555" max="12793" width="9.140625" style="8"/>
    <col min="12794" max="12794" width="9.28515625" style="8" bestFit="1" customWidth="1"/>
    <col min="12795" max="12795" width="9.140625" style="8"/>
    <col min="12796" max="12796" width="10" style="8" bestFit="1" customWidth="1"/>
    <col min="12797" max="12810" width="9.28515625" style="8" bestFit="1" customWidth="1"/>
    <col min="12811" max="13049" width="9.140625" style="8"/>
    <col min="13050" max="13050" width="9.28515625" style="8" bestFit="1" customWidth="1"/>
    <col min="13051" max="13051" width="9.140625" style="8"/>
    <col min="13052" max="13052" width="10" style="8" bestFit="1" customWidth="1"/>
    <col min="13053" max="13066" width="9.28515625" style="8" bestFit="1" customWidth="1"/>
    <col min="13067" max="13305" width="9.140625" style="8"/>
    <col min="13306" max="13306" width="9.28515625" style="8" bestFit="1" customWidth="1"/>
    <col min="13307" max="13307" width="9.140625" style="8"/>
    <col min="13308" max="13308" width="10" style="8" bestFit="1" customWidth="1"/>
    <col min="13309" max="13322" width="9.28515625" style="8" bestFit="1" customWidth="1"/>
    <col min="13323" max="13561" width="9.140625" style="8"/>
    <col min="13562" max="13562" width="9.28515625" style="8" bestFit="1" customWidth="1"/>
    <col min="13563" max="13563" width="9.140625" style="8"/>
    <col min="13564" max="13564" width="10" style="8" bestFit="1" customWidth="1"/>
    <col min="13565" max="13578" width="9.28515625" style="8" bestFit="1" customWidth="1"/>
    <col min="13579" max="13817" width="9.140625" style="8"/>
    <col min="13818" max="13818" width="9.28515625" style="8" bestFit="1" customWidth="1"/>
    <col min="13819" max="13819" width="9.140625" style="8"/>
    <col min="13820" max="13820" width="10" style="8" bestFit="1" customWidth="1"/>
    <col min="13821" max="13834" width="9.28515625" style="8" bestFit="1" customWidth="1"/>
    <col min="13835" max="14073" width="9.140625" style="8"/>
    <col min="14074" max="14074" width="9.28515625" style="8" bestFit="1" customWidth="1"/>
    <col min="14075" max="14075" width="9.140625" style="8"/>
    <col min="14076" max="14076" width="10" style="8" bestFit="1" customWidth="1"/>
    <col min="14077" max="14090" width="9.28515625" style="8" bestFit="1" customWidth="1"/>
    <col min="14091" max="14329" width="9.140625" style="8"/>
    <col min="14330" max="14330" width="9.28515625" style="8" bestFit="1" customWidth="1"/>
    <col min="14331" max="14331" width="9.140625" style="8"/>
    <col min="14332" max="14332" width="10" style="8" bestFit="1" customWidth="1"/>
    <col min="14333" max="14346" width="9.28515625" style="8" bestFit="1" customWidth="1"/>
    <col min="14347" max="14585" width="9.140625" style="8"/>
    <col min="14586" max="14586" width="9.28515625" style="8" bestFit="1" customWidth="1"/>
    <col min="14587" max="14587" width="9.140625" style="8"/>
    <col min="14588" max="14588" width="10" style="8" bestFit="1" customWidth="1"/>
    <col min="14589" max="14602" width="9.28515625" style="8" bestFit="1" customWidth="1"/>
    <col min="14603" max="14841" width="9.140625" style="8"/>
    <col min="14842" max="14842" width="9.28515625" style="8" bestFit="1" customWidth="1"/>
    <col min="14843" max="14843" width="9.140625" style="8"/>
    <col min="14844" max="14844" width="10" style="8" bestFit="1" customWidth="1"/>
    <col min="14845" max="14858" width="9.28515625" style="8" bestFit="1" customWidth="1"/>
    <col min="14859" max="15097" width="9.140625" style="8"/>
    <col min="15098" max="15098" width="9.28515625" style="8" bestFit="1" customWidth="1"/>
    <col min="15099" max="15099" width="9.140625" style="8"/>
    <col min="15100" max="15100" width="10" style="8" bestFit="1" customWidth="1"/>
    <col min="15101" max="15114" width="9.28515625" style="8" bestFit="1" customWidth="1"/>
    <col min="15115" max="15353" width="9.140625" style="8"/>
    <col min="15354" max="15354" width="9.28515625" style="8" bestFit="1" customWidth="1"/>
    <col min="15355" max="15355" width="9.140625" style="8"/>
    <col min="15356" max="15356" width="10" style="8" bestFit="1" customWidth="1"/>
    <col min="15357" max="15370" width="9.28515625" style="8" bestFit="1" customWidth="1"/>
    <col min="15371" max="15609" width="9.140625" style="8"/>
    <col min="15610" max="15610" width="9.28515625" style="8" bestFit="1" customWidth="1"/>
    <col min="15611" max="15611" width="9.140625" style="8"/>
    <col min="15612" max="15612" width="10" style="8" bestFit="1" customWidth="1"/>
    <col min="15613" max="15626" width="9.28515625" style="8" bestFit="1" customWidth="1"/>
    <col min="15627" max="15865" width="9.140625" style="8"/>
    <col min="15866" max="15866" width="9.28515625" style="8" bestFit="1" customWidth="1"/>
    <col min="15867" max="15867" width="9.140625" style="8"/>
    <col min="15868" max="15868" width="10" style="8" bestFit="1" customWidth="1"/>
    <col min="15869" max="15882" width="9.28515625" style="8" bestFit="1" customWidth="1"/>
    <col min="15883" max="16121" width="9.140625" style="8"/>
    <col min="16122" max="16122" width="9.28515625" style="8" bestFit="1" customWidth="1"/>
    <col min="16123" max="16123" width="9.140625" style="8"/>
    <col min="16124" max="16124" width="10" style="8" bestFit="1" customWidth="1"/>
    <col min="16125" max="16138" width="9.28515625" style="8" bestFit="1" customWidth="1"/>
    <col min="16139" max="16384" width="9.140625" style="8"/>
  </cols>
  <sheetData>
    <row r="1" spans="1:17" x14ac:dyDescent="0.2">
      <c r="A1" s="8" t="s">
        <v>12</v>
      </c>
      <c r="B1" s="7" t="s">
        <v>13</v>
      </c>
      <c r="C1" s="7" t="s">
        <v>14</v>
      </c>
      <c r="D1" s="26" t="s">
        <v>1303</v>
      </c>
      <c r="E1" s="151" t="s">
        <v>1295</v>
      </c>
      <c r="F1" s="152" t="s">
        <v>1296</v>
      </c>
      <c r="G1" s="7" t="s">
        <v>15</v>
      </c>
      <c r="H1" s="7" t="s">
        <v>16</v>
      </c>
      <c r="I1" s="7" t="s">
        <v>1315</v>
      </c>
      <c r="J1" s="7" t="s">
        <v>1316</v>
      </c>
      <c r="K1" s="7" t="s">
        <v>1317</v>
      </c>
      <c r="L1" s="7" t="s">
        <v>1318</v>
      </c>
      <c r="M1" s="26" t="s">
        <v>1308</v>
      </c>
      <c r="N1" s="26" t="s">
        <v>1309</v>
      </c>
      <c r="O1" s="26" t="s">
        <v>1310</v>
      </c>
      <c r="P1" s="26" t="s">
        <v>1311</v>
      </c>
      <c r="Q1" s="26" t="s">
        <v>17</v>
      </c>
    </row>
    <row r="2" spans="1:17" x14ac:dyDescent="0.2">
      <c r="A2" s="8" t="s">
        <v>1256</v>
      </c>
      <c r="B2" s="7"/>
      <c r="C2" s="7"/>
      <c r="F2" s="7"/>
      <c r="G2" s="7"/>
      <c r="H2" s="7"/>
      <c r="I2" s="7"/>
      <c r="J2" s="7"/>
      <c r="K2" s="7"/>
      <c r="L2" s="7"/>
      <c r="M2" s="26"/>
      <c r="N2" s="26"/>
      <c r="O2" s="26"/>
      <c r="P2" s="26"/>
      <c r="Q2" s="26"/>
    </row>
    <row r="3" spans="1:17" x14ac:dyDescent="0.2">
      <c r="A3" s="8" t="s">
        <v>18</v>
      </c>
      <c r="B3" s="7">
        <v>2012</v>
      </c>
      <c r="C3" s="7" t="s">
        <v>19</v>
      </c>
      <c r="D3" s="2">
        <v>83.342767544603859</v>
      </c>
      <c r="E3" s="2">
        <v>241158.23</v>
      </c>
      <c r="F3" s="7">
        <v>3283118.54</v>
      </c>
      <c r="G3" s="7">
        <v>46243.78</v>
      </c>
      <c r="H3" s="7">
        <v>6987.05</v>
      </c>
      <c r="I3" s="155">
        <v>978016.58</v>
      </c>
      <c r="J3" s="155">
        <v>1023476.03</v>
      </c>
      <c r="K3" s="155">
        <v>125338.71</v>
      </c>
      <c r="L3" s="155">
        <v>672121.96</v>
      </c>
      <c r="M3" s="26">
        <v>1097.8588523191593</v>
      </c>
      <c r="N3" s="26">
        <v>1148.8887230030084</v>
      </c>
      <c r="O3" s="26">
        <v>140.69721835570923</v>
      </c>
      <c r="P3" s="26">
        <v>754.48111894391798</v>
      </c>
      <c r="Q3" s="154">
        <v>890.84</v>
      </c>
    </row>
    <row r="4" spans="1:17" x14ac:dyDescent="0.2">
      <c r="A4" s="8" t="s">
        <v>20</v>
      </c>
      <c r="B4" s="7">
        <v>2012</v>
      </c>
      <c r="C4" s="7" t="s">
        <v>21</v>
      </c>
      <c r="D4" s="2">
        <v>640.58982896272437</v>
      </c>
      <c r="E4" s="2">
        <v>2440189.0699999998</v>
      </c>
      <c r="F4" s="7">
        <v>12132096.039999999</v>
      </c>
      <c r="G4" s="7">
        <v>516034.77</v>
      </c>
      <c r="H4" s="7">
        <v>264156.53999999998</v>
      </c>
      <c r="I4" s="155">
        <v>3193564.86</v>
      </c>
      <c r="J4" s="155">
        <v>4280071.68</v>
      </c>
      <c r="K4" s="155">
        <v>775393.4</v>
      </c>
      <c r="L4" s="155">
        <v>1889426.46</v>
      </c>
      <c r="M4" s="26">
        <v>807.35283142886033</v>
      </c>
      <c r="N4" s="26">
        <v>1082.0284356355546</v>
      </c>
      <c r="O4" s="26">
        <v>196.02421882900194</v>
      </c>
      <c r="P4" s="26">
        <v>477.65862574577812</v>
      </c>
      <c r="Q4" s="154">
        <v>3955.6</v>
      </c>
    </row>
    <row r="5" spans="1:17" x14ac:dyDescent="0.2">
      <c r="A5" s="8" t="s">
        <v>22</v>
      </c>
      <c r="B5" s="7">
        <v>2012</v>
      </c>
      <c r="C5" s="7" t="s">
        <v>23</v>
      </c>
      <c r="D5" s="2">
        <v>149.84561111111108</v>
      </c>
      <c r="E5" s="2">
        <v>361572.64</v>
      </c>
      <c r="F5" s="7">
        <v>4250359.4800000004</v>
      </c>
      <c r="G5" s="7">
        <v>77622.320000000007</v>
      </c>
      <c r="H5" s="7">
        <v>45103.89</v>
      </c>
      <c r="I5" s="155">
        <v>1399382.72</v>
      </c>
      <c r="J5" s="155">
        <v>1767702.52</v>
      </c>
      <c r="K5" s="155">
        <v>6682.9</v>
      </c>
      <c r="L5" s="155">
        <v>971642.91</v>
      </c>
      <c r="M5" s="26">
        <v>1125.2946918951084</v>
      </c>
      <c r="N5" s="26">
        <v>1421.4740786606303</v>
      </c>
      <c r="O5" s="26">
        <v>5.3739636691139223</v>
      </c>
      <c r="P5" s="26">
        <v>781.33350756290361</v>
      </c>
      <c r="Q5" s="154">
        <v>1243.57</v>
      </c>
    </row>
    <row r="6" spans="1:17" x14ac:dyDescent="0.2">
      <c r="A6" s="8" t="s">
        <v>24</v>
      </c>
      <c r="B6" s="7">
        <v>2012</v>
      </c>
      <c r="C6" s="7" t="s">
        <v>25</v>
      </c>
      <c r="D6" s="2">
        <v>3756.1112643678161</v>
      </c>
      <c r="E6" s="2">
        <v>24916669.210000001</v>
      </c>
      <c r="F6" s="7">
        <v>97749395.140000001</v>
      </c>
      <c r="G6" s="7">
        <v>3683579.37</v>
      </c>
      <c r="H6" s="7">
        <v>255709.47</v>
      </c>
      <c r="I6" s="155">
        <v>22662923.620000001</v>
      </c>
      <c r="J6" s="155">
        <v>45233608.25</v>
      </c>
      <c r="K6" s="155">
        <v>7542894.9800000004</v>
      </c>
      <c r="L6" s="155">
        <v>24915316.210000001</v>
      </c>
      <c r="M6" s="26">
        <v>1030.8976304240236</v>
      </c>
      <c r="N6" s="26">
        <v>2057.5994669682236</v>
      </c>
      <c r="O6" s="26">
        <v>343.11339047875515</v>
      </c>
      <c r="P6" s="26">
        <v>1133.355116613779</v>
      </c>
      <c r="Q6" s="154">
        <v>21983.68</v>
      </c>
    </row>
    <row r="7" spans="1:17" x14ac:dyDescent="0.2">
      <c r="A7" s="8" t="s">
        <v>26</v>
      </c>
      <c r="B7" s="7">
        <v>2012</v>
      </c>
      <c r="C7" s="7" t="s">
        <v>27</v>
      </c>
      <c r="D7" s="2">
        <v>264.38097320940403</v>
      </c>
      <c r="E7" s="2">
        <v>563144.99</v>
      </c>
      <c r="F7" s="7">
        <v>2597174.9700000002</v>
      </c>
      <c r="G7" s="7">
        <v>110029.41</v>
      </c>
      <c r="H7" s="7">
        <v>97139.520000000004</v>
      </c>
      <c r="I7" s="155">
        <v>1598830.98</v>
      </c>
      <c r="J7" s="155">
        <v>2674184.89</v>
      </c>
      <c r="K7" s="155">
        <v>221484.5</v>
      </c>
      <c r="L7" s="155">
        <v>928563.87</v>
      </c>
      <c r="M7" s="26">
        <v>1002.0626120310366</v>
      </c>
      <c r="N7" s="26">
        <v>1676.0375108113869</v>
      </c>
      <c r="O7" s="26">
        <v>138.8147586397082</v>
      </c>
      <c r="P7" s="26">
        <v>581.97467315140955</v>
      </c>
      <c r="Q7" s="154">
        <v>1595.54</v>
      </c>
    </row>
    <row r="8" spans="1:17" x14ac:dyDescent="0.2">
      <c r="A8" s="8" t="s">
        <v>28</v>
      </c>
      <c r="B8" s="7">
        <v>2012</v>
      </c>
      <c r="C8" s="7" t="s">
        <v>29</v>
      </c>
      <c r="D8" s="2">
        <v>95.429837571310557</v>
      </c>
      <c r="E8" s="2">
        <v>283656.03000000003</v>
      </c>
      <c r="F8" s="7">
        <v>3935205.89</v>
      </c>
      <c r="G8" s="7">
        <v>44930.19</v>
      </c>
      <c r="H8" s="7">
        <v>649.97</v>
      </c>
      <c r="I8" s="155">
        <v>943196.48</v>
      </c>
      <c r="J8" s="155">
        <v>1102114.31</v>
      </c>
      <c r="K8" s="155">
        <v>24788.43</v>
      </c>
      <c r="L8" s="155">
        <v>673712.64000000001</v>
      </c>
      <c r="M8" s="26">
        <v>836.47112869039279</v>
      </c>
      <c r="N8" s="26">
        <v>977.40695642919866</v>
      </c>
      <c r="O8" s="26">
        <v>21.983548985003416</v>
      </c>
      <c r="P8" s="26">
        <v>597.48014792610797</v>
      </c>
      <c r="Q8" s="154">
        <v>1127.5899999999999</v>
      </c>
    </row>
    <row r="9" spans="1:17" x14ac:dyDescent="0.2">
      <c r="A9" s="8" t="s">
        <v>30</v>
      </c>
      <c r="B9" s="7">
        <v>2012</v>
      </c>
      <c r="C9" s="7" t="s">
        <v>31</v>
      </c>
      <c r="D9" s="2">
        <v>496.21148133798272</v>
      </c>
      <c r="E9" s="2">
        <v>2859206.54</v>
      </c>
      <c r="F9" s="7">
        <v>9552744.1999999993</v>
      </c>
      <c r="G9" s="7">
        <v>495112.81</v>
      </c>
      <c r="H9" s="7">
        <v>73968.28</v>
      </c>
      <c r="I9" s="155">
        <v>2592951.2400000002</v>
      </c>
      <c r="J9" s="155">
        <v>3939978.62</v>
      </c>
      <c r="K9" s="155">
        <v>129922.75</v>
      </c>
      <c r="L9" s="155">
        <v>1960405.33</v>
      </c>
      <c r="M9" s="26">
        <v>912.22725545657966</v>
      </c>
      <c r="N9" s="26">
        <v>1386.1255189203641</v>
      </c>
      <c r="O9" s="26">
        <v>45.708176777698036</v>
      </c>
      <c r="P9" s="26">
        <v>689.69101546558591</v>
      </c>
      <c r="Q9" s="154">
        <v>2842.44</v>
      </c>
    </row>
    <row r="10" spans="1:17" x14ac:dyDescent="0.2">
      <c r="A10" s="8" t="s">
        <v>32</v>
      </c>
      <c r="B10" s="7">
        <v>2012</v>
      </c>
      <c r="C10" s="7" t="s">
        <v>33</v>
      </c>
      <c r="D10" s="2">
        <v>168.16474758520138</v>
      </c>
      <c r="E10" s="2">
        <v>729481.28</v>
      </c>
      <c r="F10" s="7">
        <v>3804393.06</v>
      </c>
      <c r="G10" s="7">
        <v>181138.85</v>
      </c>
      <c r="H10" s="7">
        <v>142471.21</v>
      </c>
      <c r="I10" s="155">
        <v>1520971.01</v>
      </c>
      <c r="J10" s="155">
        <v>2495103.59</v>
      </c>
      <c r="K10" s="155">
        <v>51814.69</v>
      </c>
      <c r="L10" s="155">
        <v>777150.35</v>
      </c>
      <c r="M10" s="26">
        <v>894.83094962141047</v>
      </c>
      <c r="N10" s="26">
        <v>1467.9411377101069</v>
      </c>
      <c r="O10" s="26">
        <v>30.484070999511687</v>
      </c>
      <c r="P10" s="26">
        <v>457.21988198125581</v>
      </c>
      <c r="Q10" s="154">
        <v>1699.73</v>
      </c>
    </row>
    <row r="11" spans="1:17" x14ac:dyDescent="0.2">
      <c r="A11" s="8" t="s">
        <v>34</v>
      </c>
      <c r="B11" s="7">
        <v>2012</v>
      </c>
      <c r="C11" s="7" t="s">
        <v>35</v>
      </c>
      <c r="D11" s="2">
        <v>597.38915296920356</v>
      </c>
      <c r="E11" s="2">
        <v>1974216.93</v>
      </c>
      <c r="F11" s="7">
        <v>14248397.23</v>
      </c>
      <c r="G11" s="7">
        <v>466062.1</v>
      </c>
      <c r="H11" s="7">
        <v>610</v>
      </c>
      <c r="I11" s="155">
        <v>3887479.71</v>
      </c>
      <c r="J11" s="155">
        <v>4461831.68</v>
      </c>
      <c r="K11" s="155">
        <v>739498.51</v>
      </c>
      <c r="L11" s="155">
        <v>3069947.36</v>
      </c>
      <c r="M11" s="26">
        <v>979.03400885983183</v>
      </c>
      <c r="N11" s="26">
        <v>1123.6804517053538</v>
      </c>
      <c r="O11" s="26">
        <v>186.23741981952941</v>
      </c>
      <c r="P11" s="26">
        <v>773.14432358785405</v>
      </c>
      <c r="Q11" s="154">
        <v>3970.73</v>
      </c>
    </row>
    <row r="12" spans="1:17" x14ac:dyDescent="0.2">
      <c r="A12" s="8" t="s">
        <v>36</v>
      </c>
      <c r="B12" s="7">
        <v>2012</v>
      </c>
      <c r="C12" s="7" t="s">
        <v>37</v>
      </c>
      <c r="D12" s="2">
        <v>90.988764044943821</v>
      </c>
      <c r="E12" s="2">
        <v>182243.78</v>
      </c>
      <c r="F12" s="7">
        <v>4049237.42</v>
      </c>
      <c r="G12" s="7">
        <v>214918.87</v>
      </c>
      <c r="H12" s="7">
        <v>1255.5999999999999</v>
      </c>
      <c r="I12" s="155">
        <v>1067808.94</v>
      </c>
      <c r="J12" s="155">
        <v>1717671.63</v>
      </c>
      <c r="K12" s="155">
        <v>72788.649999999994</v>
      </c>
      <c r="L12" s="155">
        <v>886547.41</v>
      </c>
      <c r="M12" s="26">
        <v>879.48484923360752</v>
      </c>
      <c r="N12" s="26">
        <v>1414.7345259568579</v>
      </c>
      <c r="O12" s="26">
        <v>59.951281987925498</v>
      </c>
      <c r="P12" s="26">
        <v>730.19150338102179</v>
      </c>
      <c r="Q12" s="154">
        <v>1214.1300000000001</v>
      </c>
    </row>
    <row r="13" spans="1:17" x14ac:dyDescent="0.2">
      <c r="A13" s="8" t="s">
        <v>38</v>
      </c>
      <c r="B13" s="7">
        <v>2012</v>
      </c>
      <c r="C13" s="7" t="s">
        <v>39</v>
      </c>
      <c r="D13" s="2">
        <v>79.31425269645608</v>
      </c>
      <c r="E13" s="2">
        <v>528335.17000000004</v>
      </c>
      <c r="F13" s="7">
        <v>2389226.8199999998</v>
      </c>
      <c r="G13" s="7">
        <v>71714.89</v>
      </c>
      <c r="H13" s="7">
        <v>2202.96</v>
      </c>
      <c r="I13" s="155">
        <v>717700.92</v>
      </c>
      <c r="J13" s="155">
        <v>931651.96</v>
      </c>
      <c r="K13" s="155">
        <v>61507.05</v>
      </c>
      <c r="L13" s="155">
        <v>644254.93999999994</v>
      </c>
      <c r="M13" s="26">
        <v>1056.4057228649651</v>
      </c>
      <c r="N13" s="26">
        <v>1371.3267390856367</v>
      </c>
      <c r="O13" s="26">
        <v>90.534089905502086</v>
      </c>
      <c r="P13" s="26">
        <v>948.29836026965756</v>
      </c>
      <c r="Q13" s="154">
        <v>679.38</v>
      </c>
    </row>
    <row r="14" spans="1:17" x14ac:dyDescent="0.2">
      <c r="A14" s="8" t="s">
        <v>40</v>
      </c>
      <c r="B14" s="7">
        <v>2012</v>
      </c>
      <c r="C14" s="7" t="s">
        <v>41</v>
      </c>
      <c r="D14" s="2">
        <v>333.04918071847493</v>
      </c>
      <c r="E14" s="2">
        <v>1391264.05</v>
      </c>
      <c r="F14" s="7">
        <v>16139592.380000001</v>
      </c>
      <c r="G14" s="7">
        <v>341668.53</v>
      </c>
      <c r="H14" s="7">
        <v>0</v>
      </c>
      <c r="I14" s="155">
        <v>4148007.14</v>
      </c>
      <c r="J14" s="155">
        <v>5631071.3600000003</v>
      </c>
      <c r="K14" s="155">
        <v>482753.39</v>
      </c>
      <c r="L14" s="155">
        <v>2427090.6800000002</v>
      </c>
      <c r="M14" s="26">
        <v>1012.744033536712</v>
      </c>
      <c r="N14" s="26">
        <v>1374.8370554298174</v>
      </c>
      <c r="O14" s="26">
        <v>117.86518173450429</v>
      </c>
      <c r="P14" s="26">
        <v>592.57892333872917</v>
      </c>
      <c r="Q14" s="154">
        <v>4095.81</v>
      </c>
    </row>
    <row r="15" spans="1:17" x14ac:dyDescent="0.2">
      <c r="A15" s="8" t="s">
        <v>42</v>
      </c>
      <c r="B15" s="7">
        <v>2012</v>
      </c>
      <c r="C15" s="7" t="s">
        <v>43</v>
      </c>
      <c r="D15" s="2">
        <v>76.446265137713013</v>
      </c>
      <c r="E15" s="2">
        <v>0</v>
      </c>
      <c r="F15" s="7">
        <v>2469722.92</v>
      </c>
      <c r="G15" s="7">
        <v>36793.370000000003</v>
      </c>
      <c r="H15" s="7">
        <v>70851.17</v>
      </c>
      <c r="I15" s="155">
        <v>777660.05</v>
      </c>
      <c r="J15" s="155">
        <v>974417.46</v>
      </c>
      <c r="K15" s="155">
        <v>48900.89</v>
      </c>
      <c r="L15" s="155">
        <v>440014.44</v>
      </c>
      <c r="M15" s="26">
        <v>1176.7928968115855</v>
      </c>
      <c r="N15" s="26">
        <v>1474.5357504955887</v>
      </c>
      <c r="O15" s="26">
        <v>73.999197978300018</v>
      </c>
      <c r="P15" s="26">
        <v>665.85118714344082</v>
      </c>
      <c r="Q15" s="154">
        <v>660.83</v>
      </c>
    </row>
    <row r="16" spans="1:17" x14ac:dyDescent="0.2">
      <c r="A16" s="8" t="s">
        <v>44</v>
      </c>
      <c r="B16" s="7">
        <v>2012</v>
      </c>
      <c r="C16" s="7" t="s">
        <v>45</v>
      </c>
      <c r="D16" s="2">
        <v>54.142609804993619</v>
      </c>
      <c r="E16" s="2">
        <v>174074.54</v>
      </c>
      <c r="F16" s="7">
        <v>2042591.03</v>
      </c>
      <c r="G16" s="7">
        <v>95766.35</v>
      </c>
      <c r="H16" s="7">
        <v>21669.75</v>
      </c>
      <c r="I16" s="155">
        <v>853451.05</v>
      </c>
      <c r="J16" s="155">
        <v>839849.5</v>
      </c>
      <c r="K16" s="155">
        <v>30865.03</v>
      </c>
      <c r="L16" s="155">
        <v>481895.21</v>
      </c>
      <c r="M16" s="26">
        <v>1464.4983355068982</v>
      </c>
      <c r="N16" s="26">
        <v>1441.1584528794015</v>
      </c>
      <c r="O16" s="26">
        <v>52.963535589264879</v>
      </c>
      <c r="P16" s="26">
        <v>826.91881735191168</v>
      </c>
      <c r="Q16" s="154">
        <v>582.76</v>
      </c>
    </row>
    <row r="17" spans="1:17" x14ac:dyDescent="0.2">
      <c r="A17" s="8" t="s">
        <v>46</v>
      </c>
      <c r="B17" s="7">
        <v>2012</v>
      </c>
      <c r="C17" s="7" t="s">
        <v>47</v>
      </c>
      <c r="D17" s="2">
        <v>88.792697158801673</v>
      </c>
      <c r="E17" s="2">
        <v>463078.73</v>
      </c>
      <c r="F17" s="7">
        <v>3705825.98</v>
      </c>
      <c r="G17" s="7">
        <v>127751.27</v>
      </c>
      <c r="H17" s="7">
        <v>16024.84</v>
      </c>
      <c r="I17" s="155">
        <v>1042477.6</v>
      </c>
      <c r="J17" s="155">
        <v>1222617.08</v>
      </c>
      <c r="K17" s="155">
        <v>184623.96</v>
      </c>
      <c r="L17" s="155">
        <v>728062.3</v>
      </c>
      <c r="M17" s="26">
        <v>1000.9002054649845</v>
      </c>
      <c r="N17" s="26">
        <v>1173.8551375847305</v>
      </c>
      <c r="O17" s="26">
        <v>177.26055648366841</v>
      </c>
      <c r="P17" s="26">
        <v>699.02480941682518</v>
      </c>
      <c r="Q17" s="154">
        <v>1041.54</v>
      </c>
    </row>
    <row r="18" spans="1:17" x14ac:dyDescent="0.2">
      <c r="A18" s="8" t="s">
        <v>48</v>
      </c>
      <c r="B18" s="7">
        <v>2012</v>
      </c>
      <c r="C18" s="7" t="s">
        <v>49</v>
      </c>
      <c r="D18" s="2">
        <v>109.94742268559533</v>
      </c>
      <c r="E18" s="2">
        <v>413717.88</v>
      </c>
      <c r="F18" s="7">
        <v>5430045.3899999997</v>
      </c>
      <c r="G18" s="7">
        <v>165026.59</v>
      </c>
      <c r="H18" s="7">
        <v>2246</v>
      </c>
      <c r="I18" s="155">
        <v>1164178.48</v>
      </c>
      <c r="J18" s="155">
        <v>1457473.4</v>
      </c>
      <c r="K18" s="155">
        <v>116830.27</v>
      </c>
      <c r="L18" s="155">
        <v>1330222.93</v>
      </c>
      <c r="M18" s="26">
        <v>921.54491842728112</v>
      </c>
      <c r="N18" s="26">
        <v>1153.7124492396836</v>
      </c>
      <c r="O18" s="26">
        <v>92.480958449762142</v>
      </c>
      <c r="P18" s="26">
        <v>1052.9830284416089</v>
      </c>
      <c r="Q18" s="154">
        <v>1263.29</v>
      </c>
    </row>
    <row r="19" spans="1:17" x14ac:dyDescent="0.2">
      <c r="A19" s="8" t="s">
        <v>50</v>
      </c>
      <c r="B19" s="7">
        <v>2012</v>
      </c>
      <c r="C19" s="7" t="s">
        <v>51</v>
      </c>
      <c r="D19" s="2">
        <v>86.902310791023297</v>
      </c>
      <c r="E19" s="2">
        <v>347365.78</v>
      </c>
      <c r="F19" s="7">
        <v>2464957.54</v>
      </c>
      <c r="G19" s="7">
        <v>81058.19</v>
      </c>
      <c r="H19" s="7">
        <v>300.63</v>
      </c>
      <c r="I19" s="155">
        <v>736674.42</v>
      </c>
      <c r="J19" s="155">
        <v>705774.52</v>
      </c>
      <c r="K19" s="155">
        <v>15814.86</v>
      </c>
      <c r="L19" s="155">
        <v>652906.26</v>
      </c>
      <c r="M19" s="26">
        <v>1251.6130687417174</v>
      </c>
      <c r="N19" s="26">
        <v>1199.1140031941281</v>
      </c>
      <c r="O19" s="26">
        <v>26.869516463352475</v>
      </c>
      <c r="P19" s="26">
        <v>1109.2905977097421</v>
      </c>
      <c r="Q19" s="154">
        <v>588.58000000000004</v>
      </c>
    </row>
    <row r="20" spans="1:17" x14ac:dyDescent="0.2">
      <c r="A20" s="8" t="s">
        <v>52</v>
      </c>
      <c r="B20" s="7">
        <v>2012</v>
      </c>
      <c r="C20" s="7" t="s">
        <v>53</v>
      </c>
      <c r="D20" s="2">
        <v>370.19390198683925</v>
      </c>
      <c r="E20" s="2">
        <v>2211620.8199999998</v>
      </c>
      <c r="F20" s="7">
        <v>13667257.140000001</v>
      </c>
      <c r="G20" s="7">
        <v>315752.95</v>
      </c>
      <c r="H20" s="7">
        <v>15490.65</v>
      </c>
      <c r="I20" s="155">
        <v>3510003.83</v>
      </c>
      <c r="J20" s="155">
        <v>4005280.44</v>
      </c>
      <c r="K20" s="155">
        <v>455560.82</v>
      </c>
      <c r="L20" s="155">
        <v>2951971.18</v>
      </c>
      <c r="M20" s="26">
        <v>1038.5056866260732</v>
      </c>
      <c r="N20" s="26">
        <v>1185.0432976513819</v>
      </c>
      <c r="O20" s="26">
        <v>134.78689058126668</v>
      </c>
      <c r="P20" s="26">
        <v>873.40043078707401</v>
      </c>
      <c r="Q20" s="154">
        <v>3379.86</v>
      </c>
    </row>
    <row r="21" spans="1:17" x14ac:dyDescent="0.2">
      <c r="A21" s="8" t="s">
        <v>54</v>
      </c>
      <c r="B21" s="7">
        <v>2012</v>
      </c>
      <c r="C21" s="7" t="s">
        <v>55</v>
      </c>
      <c r="D21" s="2">
        <v>690.43056818181844</v>
      </c>
      <c r="E21" s="2">
        <v>2626677.86</v>
      </c>
      <c r="F21" s="7">
        <v>12050167.15</v>
      </c>
      <c r="G21" s="7">
        <v>135191.32</v>
      </c>
      <c r="H21" s="7">
        <v>367.29</v>
      </c>
      <c r="I21" s="155">
        <v>3570833.15</v>
      </c>
      <c r="J21" s="155">
        <v>5365712.8600000003</v>
      </c>
      <c r="K21" s="155">
        <v>1954140.54</v>
      </c>
      <c r="L21" s="155">
        <v>2576443.5499999998</v>
      </c>
      <c r="M21" s="26">
        <v>937.64492030564816</v>
      </c>
      <c r="N21" s="26">
        <v>1408.9522516608461</v>
      </c>
      <c r="O21" s="26">
        <v>513.12673371320534</v>
      </c>
      <c r="P21" s="26">
        <v>676.53376834808171</v>
      </c>
      <c r="Q21" s="154">
        <v>3808.3</v>
      </c>
    </row>
    <row r="22" spans="1:17" x14ac:dyDescent="0.2">
      <c r="A22" s="8" t="s">
        <v>56</v>
      </c>
      <c r="B22" s="7">
        <v>2012</v>
      </c>
      <c r="C22" s="7" t="s">
        <v>57</v>
      </c>
      <c r="D22" s="2">
        <v>399.31480446927378</v>
      </c>
      <c r="E22" s="2">
        <v>2058551.07</v>
      </c>
      <c r="F22" s="7">
        <v>12665132.74</v>
      </c>
      <c r="G22" s="7">
        <v>137860.24</v>
      </c>
      <c r="H22" s="7">
        <v>5108.87</v>
      </c>
      <c r="I22" s="155">
        <v>2627732.73</v>
      </c>
      <c r="J22" s="155">
        <v>5352410.87</v>
      </c>
      <c r="K22" s="155">
        <v>1449885.61</v>
      </c>
      <c r="L22" s="155">
        <v>2531115</v>
      </c>
      <c r="M22" s="26">
        <v>996.72758272770022</v>
      </c>
      <c r="N22" s="26">
        <v>2030.2276130725697</v>
      </c>
      <c r="O22" s="26">
        <v>549.95736925154381</v>
      </c>
      <c r="P22" s="26">
        <v>960.07942769576232</v>
      </c>
      <c r="Q22" s="154">
        <v>2636.36</v>
      </c>
    </row>
    <row r="23" spans="1:17" x14ac:dyDescent="0.2">
      <c r="A23" s="8" t="s">
        <v>58</v>
      </c>
      <c r="B23" s="7">
        <v>2012</v>
      </c>
      <c r="C23" s="7" t="s">
        <v>59</v>
      </c>
      <c r="D23" s="2">
        <v>228.82931111427624</v>
      </c>
      <c r="E23" s="2">
        <v>1811328.08</v>
      </c>
      <c r="F23" s="7">
        <v>13530280.34</v>
      </c>
      <c r="G23" s="7">
        <v>166802.73000000001</v>
      </c>
      <c r="H23" s="7">
        <v>107850.32</v>
      </c>
      <c r="I23" s="155">
        <v>3186761.16</v>
      </c>
      <c r="J23" s="155">
        <v>4480669.7</v>
      </c>
      <c r="K23" s="155">
        <v>924508.57</v>
      </c>
      <c r="L23" s="155">
        <v>3397154.24</v>
      </c>
      <c r="M23" s="26">
        <v>1115.429985509174</v>
      </c>
      <c r="N23" s="26">
        <v>1568.3237894559991</v>
      </c>
      <c r="O23" s="26">
        <v>323.59644449733634</v>
      </c>
      <c r="P23" s="26">
        <v>1189.0717610903823</v>
      </c>
      <c r="Q23" s="154">
        <v>2856.98</v>
      </c>
    </row>
    <row r="24" spans="1:17" x14ac:dyDescent="0.2">
      <c r="A24" s="8" t="s">
        <v>60</v>
      </c>
      <c r="B24" s="7">
        <v>2012</v>
      </c>
      <c r="C24" s="7" t="s">
        <v>61</v>
      </c>
      <c r="D24" s="2">
        <v>665.74786154403773</v>
      </c>
      <c r="E24" s="2">
        <v>1820807.33</v>
      </c>
      <c r="F24" s="7">
        <v>17028357.370000001</v>
      </c>
      <c r="G24" s="7">
        <v>189979.7</v>
      </c>
      <c r="H24" s="7">
        <v>16033.29</v>
      </c>
      <c r="I24" s="155">
        <v>3877498.05</v>
      </c>
      <c r="J24" s="155">
        <v>5822985.4400000004</v>
      </c>
      <c r="K24" s="155">
        <v>100511.31</v>
      </c>
      <c r="L24" s="155">
        <v>4120383.36</v>
      </c>
      <c r="M24" s="26">
        <v>728.55994956915822</v>
      </c>
      <c r="N24" s="26">
        <v>1094.1060250200107</v>
      </c>
      <c r="O24" s="26">
        <v>18.885506581938841</v>
      </c>
      <c r="P24" s="26">
        <v>774.19672537738575</v>
      </c>
      <c r="Q24" s="154">
        <v>5322.14</v>
      </c>
    </row>
    <row r="25" spans="1:17" x14ac:dyDescent="0.2">
      <c r="A25" s="8" t="s">
        <v>62</v>
      </c>
      <c r="B25" s="7">
        <v>2012</v>
      </c>
      <c r="C25" s="7" t="s">
        <v>63</v>
      </c>
      <c r="D25" s="2">
        <v>357.35100314947232</v>
      </c>
      <c r="E25" s="2">
        <v>1719278.57</v>
      </c>
      <c r="F25" s="7">
        <v>16683737.93</v>
      </c>
      <c r="G25" s="7">
        <v>546039.94999999995</v>
      </c>
      <c r="H25" s="7">
        <v>131373.85999999999</v>
      </c>
      <c r="I25" s="155">
        <v>4302486.8899999997</v>
      </c>
      <c r="J25" s="155">
        <v>6218895.7699999996</v>
      </c>
      <c r="K25" s="155">
        <v>108484.09</v>
      </c>
      <c r="L25" s="155">
        <v>4615049.41</v>
      </c>
      <c r="M25" s="26">
        <v>1157.6592448890633</v>
      </c>
      <c r="N25" s="26">
        <v>1673.3025260053705</v>
      </c>
      <c r="O25" s="26">
        <v>29.189539195057769</v>
      </c>
      <c r="P25" s="26">
        <v>1241.7596501046673</v>
      </c>
      <c r="Q25" s="154">
        <v>3716.54</v>
      </c>
    </row>
    <row r="26" spans="1:17" x14ac:dyDescent="0.2">
      <c r="A26" s="8" t="s">
        <v>64</v>
      </c>
      <c r="B26" s="7">
        <v>2012</v>
      </c>
      <c r="C26" s="7" t="s">
        <v>65</v>
      </c>
      <c r="D26" s="2">
        <v>350.99169787765294</v>
      </c>
      <c r="E26" s="2">
        <v>1494970.04</v>
      </c>
      <c r="F26" s="7">
        <v>12955669.48</v>
      </c>
      <c r="G26" s="7">
        <v>634779.63</v>
      </c>
      <c r="H26" s="7">
        <v>32729.49</v>
      </c>
      <c r="I26" s="155">
        <v>2989114.95</v>
      </c>
      <c r="J26" s="155">
        <v>3716197.16</v>
      </c>
      <c r="K26" s="155">
        <v>1139864.53</v>
      </c>
      <c r="L26" s="155">
        <v>2264298.15</v>
      </c>
      <c r="M26" s="26">
        <v>748.50253915151279</v>
      </c>
      <c r="N26" s="26">
        <v>930.57077321420525</v>
      </c>
      <c r="O26" s="26">
        <v>285.43281515277477</v>
      </c>
      <c r="P26" s="26">
        <v>567.00158509162475</v>
      </c>
      <c r="Q26" s="154">
        <v>3993.46</v>
      </c>
    </row>
    <row r="27" spans="1:17" x14ac:dyDescent="0.2">
      <c r="A27" s="8" t="s">
        <v>66</v>
      </c>
      <c r="B27" s="7">
        <v>2012</v>
      </c>
      <c r="C27" s="7" t="s">
        <v>67</v>
      </c>
      <c r="D27" s="2">
        <v>44.246451005406712</v>
      </c>
      <c r="E27" s="2">
        <v>285527.69</v>
      </c>
      <c r="F27" s="7">
        <v>3506765.85</v>
      </c>
      <c r="G27" s="7">
        <v>88378.84</v>
      </c>
      <c r="H27" s="7">
        <v>89930.78</v>
      </c>
      <c r="I27" s="155">
        <v>881871.75</v>
      </c>
      <c r="J27" s="155">
        <v>781182.61</v>
      </c>
      <c r="K27" s="155">
        <v>52371.4</v>
      </c>
      <c r="L27" s="155">
        <v>845056.23</v>
      </c>
      <c r="M27" s="26">
        <v>1104.3551356225112</v>
      </c>
      <c r="N27" s="26">
        <v>978.26359355824377</v>
      </c>
      <c r="O27" s="26">
        <v>65.583940691762464</v>
      </c>
      <c r="P27" s="26">
        <v>1058.2515966639116</v>
      </c>
      <c r="Q27" s="154">
        <v>798.54</v>
      </c>
    </row>
    <row r="28" spans="1:17" x14ac:dyDescent="0.2">
      <c r="A28" s="8" t="s">
        <v>68</v>
      </c>
      <c r="B28" s="7">
        <v>2012</v>
      </c>
      <c r="C28" s="7" t="s">
        <v>69</v>
      </c>
      <c r="D28" s="2">
        <v>573.62118760136957</v>
      </c>
      <c r="E28" s="2">
        <v>2519680.2000000002</v>
      </c>
      <c r="F28" s="7">
        <v>14855988.92</v>
      </c>
      <c r="G28" s="7">
        <v>297505.59999999998</v>
      </c>
      <c r="H28" s="7">
        <v>93000.16</v>
      </c>
      <c r="I28" s="155">
        <v>4055237.2</v>
      </c>
      <c r="J28" s="155">
        <v>4467121.6500000004</v>
      </c>
      <c r="K28" s="155">
        <v>985779.37</v>
      </c>
      <c r="L28" s="155">
        <v>3521595.45</v>
      </c>
      <c r="M28" s="26">
        <v>1096.1759617671864</v>
      </c>
      <c r="N28" s="26">
        <v>1207.5129343900699</v>
      </c>
      <c r="O28" s="26">
        <v>266.46718692558875</v>
      </c>
      <c r="P28" s="26">
        <v>951.92662943580649</v>
      </c>
      <c r="Q28" s="154">
        <v>3699.44</v>
      </c>
    </row>
    <row r="29" spans="1:17" x14ac:dyDescent="0.2">
      <c r="A29" s="8" t="s">
        <v>70</v>
      </c>
      <c r="B29" s="7">
        <v>2012</v>
      </c>
      <c r="C29" s="7" t="s">
        <v>71</v>
      </c>
      <c r="D29" s="2">
        <v>130.05357521962952</v>
      </c>
      <c r="E29" s="2">
        <v>359201.82</v>
      </c>
      <c r="F29" s="7">
        <v>2238389.4700000002</v>
      </c>
      <c r="G29" s="7">
        <v>163610.85999999999</v>
      </c>
      <c r="H29" s="7">
        <v>17133.89</v>
      </c>
      <c r="I29" s="155">
        <v>991913.05</v>
      </c>
      <c r="J29" s="155">
        <v>1759689.31</v>
      </c>
      <c r="K29" s="155">
        <v>66641.63</v>
      </c>
      <c r="L29" s="155">
        <v>813293.91</v>
      </c>
      <c r="M29" s="26">
        <v>856.41900000863404</v>
      </c>
      <c r="N29" s="26">
        <v>1519.3180079605597</v>
      </c>
      <c r="O29" s="26">
        <v>57.538468844164704</v>
      </c>
      <c r="P29" s="26">
        <v>702.19900536172202</v>
      </c>
      <c r="Q29" s="154">
        <v>1158.21</v>
      </c>
    </row>
    <row r="30" spans="1:17" x14ac:dyDescent="0.2">
      <c r="A30" s="8" t="s">
        <v>72</v>
      </c>
      <c r="B30" s="7">
        <v>2012</v>
      </c>
      <c r="C30" s="7" t="s">
        <v>73</v>
      </c>
      <c r="D30" s="2">
        <v>265.99063918582027</v>
      </c>
      <c r="E30" s="2">
        <v>765535.42</v>
      </c>
      <c r="F30" s="7">
        <v>7373208.1100000003</v>
      </c>
      <c r="G30" s="7">
        <v>46439.54</v>
      </c>
      <c r="H30" s="7">
        <v>2397.61</v>
      </c>
      <c r="I30" s="155">
        <v>1915120.97</v>
      </c>
      <c r="J30" s="155">
        <v>2621900.92</v>
      </c>
      <c r="K30" s="155">
        <v>272271.38</v>
      </c>
      <c r="L30" s="155">
        <v>780861.62</v>
      </c>
      <c r="M30" s="26">
        <v>910.74370485207885</v>
      </c>
      <c r="N30" s="26">
        <v>1246.8558357626223</v>
      </c>
      <c r="O30" s="26">
        <v>129.47978181576082</v>
      </c>
      <c r="P30" s="26">
        <v>371.34197573722781</v>
      </c>
      <c r="Q30" s="154">
        <v>2102.81</v>
      </c>
    </row>
    <row r="31" spans="1:17" x14ac:dyDescent="0.2">
      <c r="A31" s="8" t="s">
        <v>74</v>
      </c>
      <c r="B31" s="7">
        <v>2012</v>
      </c>
      <c r="C31" s="7" t="s">
        <v>75</v>
      </c>
      <c r="D31" s="2">
        <v>140.23639229915335</v>
      </c>
      <c r="E31" s="2">
        <v>663933.06999999995</v>
      </c>
      <c r="F31" s="7">
        <v>6750982.5</v>
      </c>
      <c r="G31" s="7">
        <v>93903.45</v>
      </c>
      <c r="H31" s="7">
        <v>21035.59</v>
      </c>
      <c r="I31" s="155">
        <v>1871843.79</v>
      </c>
      <c r="J31" s="155">
        <v>2366426.7000000002</v>
      </c>
      <c r="K31" s="155">
        <v>41012.75</v>
      </c>
      <c r="L31" s="155">
        <v>1249881.26</v>
      </c>
      <c r="M31" s="26">
        <v>1008.7484924095043</v>
      </c>
      <c r="N31" s="26">
        <v>1275.2823599786595</v>
      </c>
      <c r="O31" s="26">
        <v>22.102031138008527</v>
      </c>
      <c r="P31" s="26">
        <v>673.56893959398803</v>
      </c>
      <c r="Q31" s="154">
        <v>1855.61</v>
      </c>
    </row>
    <row r="32" spans="1:17" x14ac:dyDescent="0.2">
      <c r="A32" s="8" t="s">
        <v>76</v>
      </c>
      <c r="B32" s="7">
        <v>2012</v>
      </c>
      <c r="C32" s="7" t="s">
        <v>77</v>
      </c>
      <c r="D32" s="2">
        <v>256.97222222222223</v>
      </c>
      <c r="E32" s="2">
        <v>1467150.54</v>
      </c>
      <c r="F32" s="7">
        <v>11979036.390000001</v>
      </c>
      <c r="G32" s="7">
        <v>362407.01</v>
      </c>
      <c r="H32" s="7">
        <v>120683.61</v>
      </c>
      <c r="I32" s="155">
        <v>3474983.11</v>
      </c>
      <c r="J32" s="155">
        <v>3692029.56</v>
      </c>
      <c r="K32" s="155">
        <v>386856.67</v>
      </c>
      <c r="L32" s="155">
        <v>3378931.95</v>
      </c>
      <c r="M32" s="26">
        <v>1419.2293690014294</v>
      </c>
      <c r="N32" s="26">
        <v>1507.8740289973452</v>
      </c>
      <c r="O32" s="26">
        <v>157.99741474372064</v>
      </c>
      <c r="P32" s="26">
        <v>1380.000796405963</v>
      </c>
      <c r="Q32" s="154">
        <v>2448.5</v>
      </c>
    </row>
    <row r="33" spans="1:17" x14ac:dyDescent="0.2">
      <c r="A33" s="8" t="s">
        <v>78</v>
      </c>
      <c r="B33" s="7">
        <v>2012</v>
      </c>
      <c r="C33" s="7" t="s">
        <v>79</v>
      </c>
      <c r="D33" s="2">
        <v>218.14346640527535</v>
      </c>
      <c r="E33" s="2">
        <v>1693833.23</v>
      </c>
      <c r="F33" s="7">
        <v>10340886.18</v>
      </c>
      <c r="G33" s="7">
        <v>182997.13</v>
      </c>
      <c r="H33" s="7">
        <v>28852.32</v>
      </c>
      <c r="I33" s="155">
        <v>4138657.19</v>
      </c>
      <c r="J33" s="155">
        <v>4777827.55</v>
      </c>
      <c r="K33" s="155">
        <v>501723.29</v>
      </c>
      <c r="L33" s="155">
        <v>3086918</v>
      </c>
      <c r="M33" s="26">
        <v>2705.1284633937498</v>
      </c>
      <c r="N33" s="26">
        <v>3122.9059826266557</v>
      </c>
      <c r="O33" s="26">
        <v>327.93872268665882</v>
      </c>
      <c r="P33" s="26">
        <v>2017.6857764734334</v>
      </c>
      <c r="Q33" s="154">
        <v>1529.93</v>
      </c>
    </row>
    <row r="34" spans="1:17" x14ac:dyDescent="0.2">
      <c r="A34" s="8" t="s">
        <v>80</v>
      </c>
      <c r="B34" s="7">
        <v>2012</v>
      </c>
      <c r="C34" s="7" t="s">
        <v>81</v>
      </c>
      <c r="D34" s="2">
        <v>267.39230337078646</v>
      </c>
      <c r="E34" s="2">
        <v>863156.94</v>
      </c>
      <c r="F34" s="7">
        <v>6706259.6299999999</v>
      </c>
      <c r="G34" s="7">
        <v>141038.35</v>
      </c>
      <c r="H34" s="7">
        <v>39415.33</v>
      </c>
      <c r="I34" s="155">
        <v>2027619.7</v>
      </c>
      <c r="J34" s="155">
        <v>2682616.67</v>
      </c>
      <c r="K34" s="155">
        <v>513190.93</v>
      </c>
      <c r="L34" s="155">
        <v>744050.38</v>
      </c>
      <c r="M34" s="26">
        <v>1034.4892909256027</v>
      </c>
      <c r="N34" s="26">
        <v>1368.6680084897093</v>
      </c>
      <c r="O34" s="26">
        <v>261.82943541392433</v>
      </c>
      <c r="P34" s="26">
        <v>379.61366720747748</v>
      </c>
      <c r="Q34" s="154">
        <v>1960.02</v>
      </c>
    </row>
    <row r="35" spans="1:17" x14ac:dyDescent="0.2">
      <c r="A35" s="8" t="s">
        <v>82</v>
      </c>
      <c r="B35" s="7">
        <v>2012</v>
      </c>
      <c r="C35" s="7" t="s">
        <v>83</v>
      </c>
      <c r="D35" s="2">
        <v>943.72288802132925</v>
      </c>
      <c r="E35" s="2">
        <v>5236809.7</v>
      </c>
      <c r="F35" s="7">
        <v>29586018.199999999</v>
      </c>
      <c r="G35" s="7">
        <v>597442.32999999996</v>
      </c>
      <c r="H35" s="7">
        <v>98423.17</v>
      </c>
      <c r="I35" s="155">
        <v>7542740.3200000003</v>
      </c>
      <c r="J35" s="155">
        <v>11066993.33</v>
      </c>
      <c r="K35" s="155">
        <v>2831744.03</v>
      </c>
      <c r="L35" s="155">
        <v>7541594.8099999996</v>
      </c>
      <c r="M35" s="26">
        <v>1000.0437950204246</v>
      </c>
      <c r="N35" s="26">
        <v>1467.3020069182132</v>
      </c>
      <c r="O35" s="26">
        <v>375.4428664047698</v>
      </c>
      <c r="P35" s="26">
        <v>999.8919191611169</v>
      </c>
      <c r="Q35" s="154">
        <v>7542.41</v>
      </c>
    </row>
    <row r="36" spans="1:17" x14ac:dyDescent="0.2">
      <c r="A36" s="8" t="s">
        <v>84</v>
      </c>
      <c r="B36" s="7">
        <v>2012</v>
      </c>
      <c r="C36" s="7" t="s">
        <v>85</v>
      </c>
      <c r="D36" s="2">
        <v>558.47709014670102</v>
      </c>
      <c r="E36" s="2">
        <v>3848811.5</v>
      </c>
      <c r="F36" s="7">
        <v>13396534.880000001</v>
      </c>
      <c r="G36" s="7">
        <v>559065.47</v>
      </c>
      <c r="H36" s="7">
        <v>70221.98</v>
      </c>
      <c r="I36" s="155">
        <v>6091861.8399999999</v>
      </c>
      <c r="J36" s="155">
        <v>9489824.9299999997</v>
      </c>
      <c r="K36" s="155">
        <v>1034730.11</v>
      </c>
      <c r="L36" s="155">
        <v>3836936.85</v>
      </c>
      <c r="M36" s="26">
        <v>1740.9199307274193</v>
      </c>
      <c r="N36" s="26">
        <v>2711.9829361972097</v>
      </c>
      <c r="O36" s="26">
        <v>295.70307382788167</v>
      </c>
      <c r="P36" s="26">
        <v>1096.5120369682388</v>
      </c>
      <c r="Q36" s="154">
        <v>3499.22</v>
      </c>
    </row>
    <row r="37" spans="1:17" x14ac:dyDescent="0.2">
      <c r="A37" s="8" t="s">
        <v>86</v>
      </c>
      <c r="B37" s="7">
        <v>2012</v>
      </c>
      <c r="C37" s="7" t="s">
        <v>87</v>
      </c>
      <c r="D37" s="2">
        <v>219.14326379650419</v>
      </c>
      <c r="E37" s="2">
        <v>698694.42</v>
      </c>
      <c r="F37" s="7">
        <v>3141824.85</v>
      </c>
      <c r="G37" s="7">
        <v>80052.78</v>
      </c>
      <c r="H37" s="7">
        <v>0</v>
      </c>
      <c r="I37" s="155">
        <v>1543338.12</v>
      </c>
      <c r="J37" s="155">
        <v>2345268.73</v>
      </c>
      <c r="K37" s="155">
        <v>7418.97</v>
      </c>
      <c r="L37" s="155">
        <v>736098.86</v>
      </c>
      <c r="M37" s="26">
        <v>1252.5163489396928</v>
      </c>
      <c r="N37" s="26">
        <v>1903.3336823054885</v>
      </c>
      <c r="O37" s="26">
        <v>6.0209626762106492</v>
      </c>
      <c r="P37" s="26">
        <v>597.39071084816464</v>
      </c>
      <c r="Q37" s="154">
        <v>1232.19</v>
      </c>
    </row>
    <row r="38" spans="1:17" x14ac:dyDescent="0.2">
      <c r="A38" s="8" t="s">
        <v>88</v>
      </c>
      <c r="B38" s="7">
        <v>2012</v>
      </c>
      <c r="C38" s="7" t="s">
        <v>89</v>
      </c>
      <c r="D38" s="2">
        <v>214.16364071933759</v>
      </c>
      <c r="E38" s="2">
        <v>993813.95</v>
      </c>
      <c r="F38" s="7">
        <v>10328548.279999999</v>
      </c>
      <c r="G38" s="7">
        <v>386377.48</v>
      </c>
      <c r="H38" s="7">
        <v>52734.8</v>
      </c>
      <c r="I38" s="155">
        <v>2784233.46</v>
      </c>
      <c r="J38" s="155">
        <v>5594635.0300000003</v>
      </c>
      <c r="K38" s="155">
        <v>281897.33</v>
      </c>
      <c r="L38" s="155">
        <v>2189842.56</v>
      </c>
      <c r="M38" s="26">
        <v>1076.1195923147386</v>
      </c>
      <c r="N38" s="26">
        <v>2162.35328471103</v>
      </c>
      <c r="O38" s="26">
        <v>108.95467071723697</v>
      </c>
      <c r="P38" s="26">
        <v>846.38465730552048</v>
      </c>
      <c r="Q38" s="154">
        <v>2587.29</v>
      </c>
    </row>
    <row r="39" spans="1:17" x14ac:dyDescent="0.2">
      <c r="A39" s="8" t="s">
        <v>90</v>
      </c>
      <c r="B39" s="7">
        <v>2012</v>
      </c>
      <c r="C39" s="7" t="s">
        <v>91</v>
      </c>
      <c r="D39" s="2">
        <v>380.39201441652051</v>
      </c>
      <c r="E39" s="2">
        <v>1499177.01</v>
      </c>
      <c r="F39" s="7">
        <v>9263505.4399999995</v>
      </c>
      <c r="G39" s="7">
        <v>101986.88</v>
      </c>
      <c r="H39" s="7">
        <v>77044.31</v>
      </c>
      <c r="I39" s="155">
        <v>2828892.61</v>
      </c>
      <c r="J39" s="155">
        <v>2810625.64</v>
      </c>
      <c r="K39" s="155">
        <v>251614.06</v>
      </c>
      <c r="L39" s="155">
        <v>2144088.35</v>
      </c>
      <c r="M39" s="26">
        <v>1080.1628935260314</v>
      </c>
      <c r="N39" s="26">
        <v>1073.187972278967</v>
      </c>
      <c r="O39" s="26">
        <v>96.074403864144031</v>
      </c>
      <c r="P39" s="26">
        <v>818.68242998148116</v>
      </c>
      <c r="Q39" s="154">
        <v>2618.9499999999998</v>
      </c>
    </row>
    <row r="40" spans="1:17" x14ac:dyDescent="0.2">
      <c r="A40" s="8" t="s">
        <v>92</v>
      </c>
      <c r="B40" s="7">
        <v>2012</v>
      </c>
      <c r="C40" s="7" t="s">
        <v>93</v>
      </c>
      <c r="D40" s="2">
        <v>263.29657972032294</v>
      </c>
      <c r="E40" s="2">
        <v>1317278.8500000001</v>
      </c>
      <c r="F40" s="7">
        <v>6393353.5</v>
      </c>
      <c r="G40" s="7">
        <v>200740.97</v>
      </c>
      <c r="H40" s="7">
        <v>17998.29</v>
      </c>
      <c r="I40" s="155">
        <v>2035934.87</v>
      </c>
      <c r="J40" s="155">
        <v>2670395.4900000002</v>
      </c>
      <c r="K40" s="155">
        <v>645694.69999999995</v>
      </c>
      <c r="L40" s="155">
        <v>1608056.24</v>
      </c>
      <c r="M40" s="26">
        <v>980.83309405892908</v>
      </c>
      <c r="N40" s="26">
        <v>1286.4911885996187</v>
      </c>
      <c r="O40" s="26">
        <v>311.07023105235777</v>
      </c>
      <c r="P40" s="26">
        <v>774.69805176035311</v>
      </c>
      <c r="Q40" s="154">
        <v>2075.7199999999998</v>
      </c>
    </row>
    <row r="41" spans="1:17" x14ac:dyDescent="0.2">
      <c r="A41" s="8" t="s">
        <v>94</v>
      </c>
      <c r="B41" s="7">
        <v>2012</v>
      </c>
      <c r="C41" s="7" t="s">
        <v>95</v>
      </c>
      <c r="D41" s="2">
        <v>142.12500000000003</v>
      </c>
      <c r="E41" s="2">
        <v>693789.66</v>
      </c>
      <c r="F41" s="7">
        <v>2941354.47</v>
      </c>
      <c r="G41" s="7">
        <v>173910.55</v>
      </c>
      <c r="H41" s="7">
        <v>11280.27</v>
      </c>
      <c r="I41" s="155">
        <v>1289145.3899999999</v>
      </c>
      <c r="J41" s="155">
        <v>1424571.53</v>
      </c>
      <c r="K41" s="155">
        <v>49669.67</v>
      </c>
      <c r="L41" s="155">
        <v>1388787.37</v>
      </c>
      <c r="M41" s="26">
        <v>1274.8920963626654</v>
      </c>
      <c r="N41" s="26">
        <v>1408.8209122015865</v>
      </c>
      <c r="O41" s="26">
        <v>49.120502778931545</v>
      </c>
      <c r="P41" s="26">
        <v>1373.4323958147909</v>
      </c>
      <c r="Q41" s="154">
        <v>1011.18</v>
      </c>
    </row>
    <row r="42" spans="1:17" x14ac:dyDescent="0.2">
      <c r="A42" s="8" t="s">
        <v>96</v>
      </c>
      <c r="B42" s="7">
        <v>2012</v>
      </c>
      <c r="C42" s="7" t="s">
        <v>97</v>
      </c>
      <c r="D42" s="2">
        <v>233.01705198358417</v>
      </c>
      <c r="E42" s="2">
        <v>872036.67</v>
      </c>
      <c r="F42" s="7">
        <v>6319502.0499999998</v>
      </c>
      <c r="G42" s="7">
        <v>165469.53</v>
      </c>
      <c r="H42" s="7">
        <v>20588.55</v>
      </c>
      <c r="I42" s="155">
        <v>2234758.7599999998</v>
      </c>
      <c r="J42" s="155">
        <v>2850460.09</v>
      </c>
      <c r="K42" s="155">
        <v>184221.87</v>
      </c>
      <c r="L42" s="155">
        <v>1409086.29</v>
      </c>
      <c r="M42" s="26">
        <v>1246.6369300971196</v>
      </c>
      <c r="N42" s="26">
        <v>1590.0995130060301</v>
      </c>
      <c r="O42" s="26">
        <v>102.76625405131007</v>
      </c>
      <c r="P42" s="26">
        <v>786.04413069066118</v>
      </c>
      <c r="Q42" s="154">
        <v>1792.63</v>
      </c>
    </row>
    <row r="43" spans="1:17" x14ac:dyDescent="0.2">
      <c r="A43" s="8" t="s">
        <v>98</v>
      </c>
      <c r="B43" s="7">
        <v>2012</v>
      </c>
      <c r="C43" s="7" t="s">
        <v>99</v>
      </c>
      <c r="D43" s="2">
        <v>240.03085839256423</v>
      </c>
      <c r="E43" s="2">
        <v>1131022.33</v>
      </c>
      <c r="F43" s="7">
        <v>8077089.04</v>
      </c>
      <c r="G43" s="7">
        <v>166189.95000000001</v>
      </c>
      <c r="H43" s="7">
        <v>5933.98</v>
      </c>
      <c r="I43" s="155">
        <v>2303189.14</v>
      </c>
      <c r="J43" s="155">
        <v>3481900.17</v>
      </c>
      <c r="K43" s="155">
        <v>667447.85</v>
      </c>
      <c r="L43" s="155">
        <v>2099035.63</v>
      </c>
      <c r="M43" s="26">
        <v>1398.3213871568992</v>
      </c>
      <c r="N43" s="26">
        <v>2113.9451342047587</v>
      </c>
      <c r="O43" s="26">
        <v>405.22360376659725</v>
      </c>
      <c r="P43" s="26">
        <v>1274.3748929943963</v>
      </c>
      <c r="Q43" s="154">
        <v>1647.11</v>
      </c>
    </row>
    <row r="44" spans="1:17" x14ac:dyDescent="0.2">
      <c r="A44" s="8" t="s">
        <v>100</v>
      </c>
      <c r="B44" s="7">
        <v>2012</v>
      </c>
      <c r="C44" s="7" t="s">
        <v>101</v>
      </c>
      <c r="D44" s="2">
        <v>987.08142700542498</v>
      </c>
      <c r="E44" s="2">
        <v>7440284.4100000001</v>
      </c>
      <c r="F44" s="7">
        <v>34317314.850000001</v>
      </c>
      <c r="G44" s="7">
        <v>711335.3</v>
      </c>
      <c r="H44" s="7">
        <v>73283.94</v>
      </c>
      <c r="I44" s="155">
        <v>9655899.9700000007</v>
      </c>
      <c r="J44" s="155">
        <v>12104948.220000001</v>
      </c>
      <c r="K44" s="155">
        <v>2412240.84</v>
      </c>
      <c r="L44" s="155">
        <v>9451783</v>
      </c>
      <c r="M44" s="26">
        <v>1355.9276770229947</v>
      </c>
      <c r="N44" s="26">
        <v>1699.8347509215378</v>
      </c>
      <c r="O44" s="26">
        <v>338.73840126382305</v>
      </c>
      <c r="P44" s="26">
        <v>1327.2645954010884</v>
      </c>
      <c r="Q44" s="154">
        <v>7121.25</v>
      </c>
    </row>
    <row r="45" spans="1:17" x14ac:dyDescent="0.2">
      <c r="A45" s="8" t="s">
        <v>102</v>
      </c>
      <c r="B45" s="7">
        <v>2012</v>
      </c>
      <c r="C45" s="7" t="s">
        <v>103</v>
      </c>
      <c r="D45" s="2">
        <v>119.25053162732023</v>
      </c>
      <c r="E45" s="2">
        <v>468896.58</v>
      </c>
      <c r="F45" s="7">
        <v>3852533.31</v>
      </c>
      <c r="G45" s="7">
        <v>68973.240000000005</v>
      </c>
      <c r="H45" s="7">
        <v>6807.52</v>
      </c>
      <c r="I45" s="155">
        <v>1584690.95</v>
      </c>
      <c r="J45" s="155">
        <v>1530405.58</v>
      </c>
      <c r="K45" s="155">
        <v>246756.26</v>
      </c>
      <c r="L45" s="155">
        <v>986591.91</v>
      </c>
      <c r="M45" s="26">
        <v>1567.0150205679931</v>
      </c>
      <c r="N45" s="26">
        <v>1513.3351594019462</v>
      </c>
      <c r="O45" s="26">
        <v>244.00389605252749</v>
      </c>
      <c r="P45" s="26">
        <v>975.58728542045731</v>
      </c>
      <c r="Q45" s="154">
        <v>1011.28</v>
      </c>
    </row>
    <row r="46" spans="1:17" x14ac:dyDescent="0.2">
      <c r="A46" s="8" t="s">
        <v>104</v>
      </c>
      <c r="B46" s="7">
        <v>2012</v>
      </c>
      <c r="C46" s="7" t="s">
        <v>105</v>
      </c>
      <c r="D46" s="2">
        <v>158.37619251834766</v>
      </c>
      <c r="E46" s="2">
        <v>743400.3</v>
      </c>
      <c r="F46" s="7">
        <v>6196398.4000000004</v>
      </c>
      <c r="G46" s="7">
        <v>213035.37</v>
      </c>
      <c r="H46" s="7">
        <v>101132.5</v>
      </c>
      <c r="I46" s="155">
        <v>1698779.57</v>
      </c>
      <c r="J46" s="155">
        <v>1953364.19</v>
      </c>
      <c r="K46" s="155">
        <v>180698.31</v>
      </c>
      <c r="L46" s="155">
        <v>1170882.23</v>
      </c>
      <c r="M46" s="26">
        <v>1068.1796900053448</v>
      </c>
      <c r="N46" s="26">
        <v>1228.2605652843713</v>
      </c>
      <c r="O46" s="26">
        <v>113.62172477756469</v>
      </c>
      <c r="P46" s="26">
        <v>736.24185242242277</v>
      </c>
      <c r="Q46" s="154">
        <v>1590.35</v>
      </c>
    </row>
    <row r="47" spans="1:17" x14ac:dyDescent="0.2">
      <c r="A47" s="8" t="s">
        <v>106</v>
      </c>
      <c r="B47" s="7">
        <v>2012</v>
      </c>
      <c r="C47" s="7" t="s">
        <v>107</v>
      </c>
      <c r="D47" s="2">
        <v>120.5195530726257</v>
      </c>
      <c r="E47" s="2">
        <v>467398.28</v>
      </c>
      <c r="F47" s="7">
        <v>3406618.69</v>
      </c>
      <c r="G47" s="7">
        <v>70055.31</v>
      </c>
      <c r="H47" s="7">
        <v>6882.94</v>
      </c>
      <c r="I47" s="155">
        <v>1166539.06</v>
      </c>
      <c r="J47" s="155">
        <v>1394419.38</v>
      </c>
      <c r="K47" s="155">
        <v>74960.33</v>
      </c>
      <c r="L47" s="155">
        <v>762516.65</v>
      </c>
      <c r="M47" s="26">
        <v>1312.5319936541514</v>
      </c>
      <c r="N47" s="26">
        <v>1568.9316471078005</v>
      </c>
      <c r="O47" s="26">
        <v>84.341651945947774</v>
      </c>
      <c r="P47" s="26">
        <v>857.94598152502897</v>
      </c>
      <c r="Q47" s="154">
        <v>888.77</v>
      </c>
    </row>
    <row r="48" spans="1:17" x14ac:dyDescent="0.2">
      <c r="A48" s="8" t="s">
        <v>108</v>
      </c>
      <c r="B48" s="7">
        <v>2012</v>
      </c>
      <c r="C48" s="7" t="s">
        <v>109</v>
      </c>
      <c r="D48" s="2">
        <v>48.353932584269664</v>
      </c>
      <c r="E48" s="2">
        <v>0</v>
      </c>
      <c r="F48" s="7">
        <v>3025834.88</v>
      </c>
      <c r="G48" s="7">
        <v>17116.310000000001</v>
      </c>
      <c r="H48" s="7">
        <v>533.99</v>
      </c>
      <c r="I48" s="155">
        <v>1116942.93</v>
      </c>
      <c r="J48" s="155">
        <v>1229785.8899999999</v>
      </c>
      <c r="K48" s="155">
        <v>24871.759999999998</v>
      </c>
      <c r="L48" s="155">
        <v>419896.3</v>
      </c>
      <c r="M48" s="26">
        <v>1263.1814460038677</v>
      </c>
      <c r="N48" s="26">
        <v>1390.7986496725964</v>
      </c>
      <c r="O48" s="26">
        <v>28.128156701310743</v>
      </c>
      <c r="P48" s="26">
        <v>474.87226174185446</v>
      </c>
      <c r="Q48" s="154">
        <v>884.23</v>
      </c>
    </row>
    <row r="49" spans="1:17" x14ac:dyDescent="0.2">
      <c r="A49" s="8" t="s">
        <v>110</v>
      </c>
      <c r="B49" s="7">
        <v>2012</v>
      </c>
      <c r="C49" s="7" t="s">
        <v>111</v>
      </c>
      <c r="D49" s="2">
        <v>196.52061606230851</v>
      </c>
      <c r="E49" s="2">
        <v>615629.34</v>
      </c>
      <c r="F49" s="7">
        <v>5610969.5499999998</v>
      </c>
      <c r="G49" s="7">
        <v>184796.58</v>
      </c>
      <c r="H49" s="7">
        <v>225906.25</v>
      </c>
      <c r="I49" s="155">
        <v>1353438.74</v>
      </c>
      <c r="J49" s="155">
        <v>1914901.24</v>
      </c>
      <c r="K49" s="155">
        <v>231483.26</v>
      </c>
      <c r="L49" s="155">
        <v>603528.41</v>
      </c>
      <c r="M49" s="26">
        <v>741.59401437776705</v>
      </c>
      <c r="N49" s="26">
        <v>1049.2379564283522</v>
      </c>
      <c r="O49" s="26">
        <v>126.83736246876782</v>
      </c>
      <c r="P49" s="26">
        <v>330.69325055889186</v>
      </c>
      <c r="Q49" s="154">
        <v>1825.04</v>
      </c>
    </row>
    <row r="50" spans="1:17" x14ac:dyDescent="0.2">
      <c r="A50" s="8" t="s">
        <v>112</v>
      </c>
      <c r="B50" s="7">
        <v>2012</v>
      </c>
      <c r="C50" s="7" t="s">
        <v>113</v>
      </c>
      <c r="D50" s="2">
        <v>28.90549243613081</v>
      </c>
      <c r="E50" s="2">
        <v>14466.24</v>
      </c>
      <c r="F50" s="7">
        <v>801577.2</v>
      </c>
      <c r="G50" s="7">
        <v>8383.42</v>
      </c>
      <c r="H50" s="7">
        <v>0</v>
      </c>
      <c r="I50" s="155">
        <v>432594.46</v>
      </c>
      <c r="J50" s="155">
        <v>415940.28</v>
      </c>
      <c r="K50" s="155">
        <v>27227.78</v>
      </c>
      <c r="L50" s="155">
        <v>169971.32</v>
      </c>
      <c r="M50" s="26">
        <v>2645.1905344258289</v>
      </c>
      <c r="N50" s="26">
        <v>2543.3550201785497</v>
      </c>
      <c r="O50" s="26">
        <v>166.49003301944478</v>
      </c>
      <c r="P50" s="26">
        <v>1039.3256695609637</v>
      </c>
      <c r="Q50" s="154">
        <v>163.54</v>
      </c>
    </row>
    <row r="51" spans="1:17" x14ac:dyDescent="0.2">
      <c r="A51" s="8" t="s">
        <v>114</v>
      </c>
      <c r="B51" s="7">
        <v>2012</v>
      </c>
      <c r="C51" s="7" t="s">
        <v>115</v>
      </c>
      <c r="D51" s="2">
        <v>172.62588102469252</v>
      </c>
      <c r="E51" s="2">
        <v>1629279.54</v>
      </c>
      <c r="F51" s="7">
        <v>13593906.67</v>
      </c>
      <c r="G51" s="7">
        <v>584847.79</v>
      </c>
      <c r="H51" s="7">
        <v>185728.88</v>
      </c>
      <c r="I51" s="155">
        <v>2990317.04</v>
      </c>
      <c r="J51" s="155">
        <v>4257528.38</v>
      </c>
      <c r="K51" s="155">
        <v>761132.95</v>
      </c>
      <c r="L51" s="155">
        <v>3561333.58</v>
      </c>
      <c r="M51" s="26">
        <v>1406.0699292807706</v>
      </c>
      <c r="N51" s="26">
        <v>2001.9223875263317</v>
      </c>
      <c r="O51" s="26">
        <v>357.89053095847129</v>
      </c>
      <c r="P51" s="26">
        <v>1674.5662710653025</v>
      </c>
      <c r="Q51" s="154">
        <v>2126.7199999999998</v>
      </c>
    </row>
    <row r="52" spans="1:17" x14ac:dyDescent="0.2">
      <c r="A52" s="8" t="s">
        <v>116</v>
      </c>
      <c r="B52" s="7">
        <v>2012</v>
      </c>
      <c r="C52" s="7" t="s">
        <v>117</v>
      </c>
      <c r="D52" s="2">
        <v>316.80803072437391</v>
      </c>
      <c r="E52" s="2">
        <v>188455.47</v>
      </c>
      <c r="F52" s="7">
        <v>10874254.560000001</v>
      </c>
      <c r="G52" s="7">
        <v>280676.5</v>
      </c>
      <c r="H52" s="7">
        <v>38928.6</v>
      </c>
      <c r="I52" s="155">
        <v>3188582.21</v>
      </c>
      <c r="J52" s="155">
        <v>3799023.77</v>
      </c>
      <c r="K52" s="155">
        <v>1212430.1000000001</v>
      </c>
      <c r="L52" s="155">
        <v>2405251.71</v>
      </c>
      <c r="M52" s="26">
        <v>1115.9814538709227</v>
      </c>
      <c r="N52" s="26">
        <v>1329.6317268654627</v>
      </c>
      <c r="O52" s="26">
        <v>424.34204815903689</v>
      </c>
      <c r="P52" s="26">
        <v>841.82126207475858</v>
      </c>
      <c r="Q52" s="154">
        <v>2857.2</v>
      </c>
    </row>
    <row r="53" spans="1:17" x14ac:dyDescent="0.2">
      <c r="A53" s="8" t="s">
        <v>118</v>
      </c>
      <c r="B53" s="7">
        <v>2012</v>
      </c>
      <c r="C53" s="7" t="s">
        <v>119</v>
      </c>
      <c r="D53" s="2">
        <v>138.38767589200802</v>
      </c>
      <c r="E53" s="2">
        <v>5.4</v>
      </c>
      <c r="F53" s="7">
        <v>5251037.0199999996</v>
      </c>
      <c r="G53" s="7">
        <v>77919.649999999994</v>
      </c>
      <c r="H53" s="7">
        <v>0</v>
      </c>
      <c r="I53" s="155">
        <v>1369295.71</v>
      </c>
      <c r="J53" s="155">
        <v>1703477.94</v>
      </c>
      <c r="K53" s="155">
        <v>175004.17</v>
      </c>
      <c r="L53" s="155">
        <v>885295.78</v>
      </c>
      <c r="M53" s="26">
        <v>971.28325696207924</v>
      </c>
      <c r="N53" s="26">
        <v>1208.3289165685426</v>
      </c>
      <c r="O53" s="26">
        <v>124.1358013307041</v>
      </c>
      <c r="P53" s="26">
        <v>627.96732823561126</v>
      </c>
      <c r="Q53" s="154">
        <v>1409.78</v>
      </c>
    </row>
    <row r="54" spans="1:17" x14ac:dyDescent="0.2">
      <c r="A54" s="8" t="s">
        <v>120</v>
      </c>
      <c r="B54" s="7">
        <v>2012</v>
      </c>
      <c r="C54" s="7" t="s">
        <v>121</v>
      </c>
      <c r="D54" s="2">
        <v>213.493997825299</v>
      </c>
      <c r="E54" s="2">
        <v>691614.7</v>
      </c>
      <c r="F54" s="7">
        <v>4616644.68</v>
      </c>
      <c r="G54" s="7">
        <v>60623.47</v>
      </c>
      <c r="H54" s="7">
        <v>3791.06</v>
      </c>
      <c r="I54" s="155">
        <v>1736985.81</v>
      </c>
      <c r="J54" s="155">
        <v>2108899.35</v>
      </c>
      <c r="K54" s="155">
        <v>642276.22</v>
      </c>
      <c r="L54" s="155">
        <v>1093965.6299999999</v>
      </c>
      <c r="M54" s="26">
        <v>981.57528580066582</v>
      </c>
      <c r="N54" s="26">
        <v>1191.7446131589804</v>
      </c>
      <c r="O54" s="26">
        <v>362.95199452980631</v>
      </c>
      <c r="P54" s="26">
        <v>618.20287750269836</v>
      </c>
      <c r="Q54" s="154">
        <v>1769.59</v>
      </c>
    </row>
    <row r="55" spans="1:17" x14ac:dyDescent="0.2">
      <c r="A55" s="8" t="s">
        <v>122</v>
      </c>
      <c r="B55" s="7">
        <v>2012</v>
      </c>
      <c r="C55" s="7" t="s">
        <v>123</v>
      </c>
      <c r="D55" s="2">
        <v>160.10948241297615</v>
      </c>
      <c r="E55" s="2">
        <v>656377.94999999995</v>
      </c>
      <c r="F55" s="7">
        <v>5559042.4100000001</v>
      </c>
      <c r="G55" s="7">
        <v>269410.77</v>
      </c>
      <c r="H55" s="7">
        <v>29196.57</v>
      </c>
      <c r="I55" s="155">
        <v>2199006.94</v>
      </c>
      <c r="J55" s="155">
        <v>2728295.72</v>
      </c>
      <c r="K55" s="155">
        <v>163217.41</v>
      </c>
      <c r="L55" s="155">
        <v>1789677.58</v>
      </c>
      <c r="M55" s="26">
        <v>1251.4337891747618</v>
      </c>
      <c r="N55" s="26">
        <v>1552.6469647562301</v>
      </c>
      <c r="O55" s="26">
        <v>92.885464861511849</v>
      </c>
      <c r="P55" s="26">
        <v>1018.4883706372106</v>
      </c>
      <c r="Q55" s="154">
        <v>1757.19</v>
      </c>
    </row>
    <row r="56" spans="1:17" x14ac:dyDescent="0.2">
      <c r="A56" s="8" t="s">
        <v>124</v>
      </c>
      <c r="B56" s="7">
        <v>2012</v>
      </c>
      <c r="C56" s="7" t="s">
        <v>125</v>
      </c>
      <c r="D56" s="2">
        <v>34.166445764275593</v>
      </c>
      <c r="E56" s="2">
        <v>126057.72</v>
      </c>
      <c r="F56" s="7">
        <v>807458.05</v>
      </c>
      <c r="G56" s="7">
        <v>29577.51</v>
      </c>
      <c r="H56" s="7">
        <v>0</v>
      </c>
      <c r="I56" s="155">
        <v>636651.25</v>
      </c>
      <c r="J56" s="155">
        <v>565572.04</v>
      </c>
      <c r="K56" s="155">
        <v>21992.57</v>
      </c>
      <c r="L56" s="155">
        <v>212829.85</v>
      </c>
      <c r="M56" s="26">
        <v>2259.3911917098449</v>
      </c>
      <c r="N56" s="26">
        <v>2007.140464191923</v>
      </c>
      <c r="O56" s="26">
        <v>78.048725956419915</v>
      </c>
      <c r="P56" s="26">
        <v>755.30502519696222</v>
      </c>
      <c r="Q56" s="154">
        <v>281.77999999999997</v>
      </c>
    </row>
    <row r="57" spans="1:17" x14ac:dyDescent="0.2">
      <c r="A57" s="8" t="s">
        <v>126</v>
      </c>
      <c r="B57" s="7">
        <v>2012</v>
      </c>
      <c r="C57" s="7" t="s">
        <v>127</v>
      </c>
      <c r="D57" s="2">
        <v>85.200321027287288</v>
      </c>
      <c r="E57" s="2">
        <v>140917.18</v>
      </c>
      <c r="F57" s="7">
        <v>2916441.18</v>
      </c>
      <c r="G57" s="7">
        <v>104347.09</v>
      </c>
      <c r="H57" s="7">
        <v>14558.98</v>
      </c>
      <c r="I57" s="155">
        <v>930301.28</v>
      </c>
      <c r="J57" s="155">
        <v>1589201.58</v>
      </c>
      <c r="K57" s="155">
        <v>48510.85</v>
      </c>
      <c r="L57" s="155">
        <v>741949.4</v>
      </c>
      <c r="M57" s="26">
        <v>1044.9535876353507</v>
      </c>
      <c r="N57" s="26">
        <v>1785.0581614772882</v>
      </c>
      <c r="O57" s="26">
        <v>54.489430291593656</v>
      </c>
      <c r="P57" s="26">
        <v>833.38882149436142</v>
      </c>
      <c r="Q57" s="154">
        <v>890.28</v>
      </c>
    </row>
    <row r="58" spans="1:17" x14ac:dyDescent="0.2">
      <c r="A58" s="8" t="s">
        <v>128</v>
      </c>
      <c r="B58" s="7">
        <v>2012</v>
      </c>
      <c r="C58" s="7" t="s">
        <v>129</v>
      </c>
      <c r="D58" s="2">
        <v>96.52068181818187</v>
      </c>
      <c r="E58" s="2">
        <v>313673.15999999997</v>
      </c>
      <c r="F58" s="7">
        <v>3849111.13</v>
      </c>
      <c r="G58" s="7">
        <v>115122.33</v>
      </c>
      <c r="H58" s="7">
        <v>361.34</v>
      </c>
      <c r="I58" s="155">
        <v>1073253.6299999999</v>
      </c>
      <c r="J58" s="155">
        <v>1220187.0900000001</v>
      </c>
      <c r="K58" s="155">
        <v>30218.2</v>
      </c>
      <c r="L58" s="155">
        <v>752585.24</v>
      </c>
      <c r="M58" s="26">
        <v>949.24434833368696</v>
      </c>
      <c r="N58" s="26">
        <v>1079.2003555508384</v>
      </c>
      <c r="O58" s="26">
        <v>26.726632703601499</v>
      </c>
      <c r="P58" s="26">
        <v>665.62764451991791</v>
      </c>
      <c r="Q58" s="154">
        <v>1130.6400000000001</v>
      </c>
    </row>
    <row r="59" spans="1:17" x14ac:dyDescent="0.2">
      <c r="A59" s="8" t="s">
        <v>130</v>
      </c>
      <c r="B59" s="7">
        <v>2012</v>
      </c>
      <c r="C59" s="7" t="s">
        <v>131</v>
      </c>
      <c r="D59" s="2">
        <v>563.98003083897993</v>
      </c>
      <c r="E59" s="2">
        <v>2062449.72</v>
      </c>
      <c r="F59" s="7">
        <v>17478978.010000002</v>
      </c>
      <c r="G59" s="7">
        <v>275279.09000000003</v>
      </c>
      <c r="H59" s="7">
        <v>121637.83</v>
      </c>
      <c r="I59" s="155">
        <v>3583857.47</v>
      </c>
      <c r="J59" s="155">
        <v>5094942.8</v>
      </c>
      <c r="K59" s="155">
        <v>394544.68</v>
      </c>
      <c r="L59" s="155">
        <v>3349058.06</v>
      </c>
      <c r="M59" s="26">
        <v>776.24253995620461</v>
      </c>
      <c r="N59" s="26">
        <v>1103.5347731068046</v>
      </c>
      <c r="O59" s="26">
        <v>85.456067126857022</v>
      </c>
      <c r="P59" s="26">
        <v>725.38636279952254</v>
      </c>
      <c r="Q59" s="154">
        <v>4616.93</v>
      </c>
    </row>
    <row r="60" spans="1:17" x14ac:dyDescent="0.2">
      <c r="A60" s="8" t="s">
        <v>132</v>
      </c>
      <c r="B60" s="7">
        <v>2012</v>
      </c>
      <c r="C60" s="7" t="s">
        <v>133</v>
      </c>
      <c r="D60" s="2">
        <v>39.814606741573037</v>
      </c>
      <c r="E60" s="2">
        <v>182192.32</v>
      </c>
      <c r="F60" s="7">
        <v>1856240.59</v>
      </c>
      <c r="G60" s="7">
        <v>71102.87</v>
      </c>
      <c r="H60" s="7">
        <v>5944.44</v>
      </c>
      <c r="I60" s="155">
        <v>624221.79</v>
      </c>
      <c r="J60" s="155">
        <v>503376.38</v>
      </c>
      <c r="K60" s="155">
        <v>118146.24000000001</v>
      </c>
      <c r="L60" s="155">
        <v>402337.76</v>
      </c>
      <c r="M60" s="26">
        <v>1127.8534853467279</v>
      </c>
      <c r="N60" s="26">
        <v>909.50814873703609</v>
      </c>
      <c r="O60" s="26">
        <v>213.46843493658079</v>
      </c>
      <c r="P60" s="26">
        <v>726.95002348859896</v>
      </c>
      <c r="Q60" s="154">
        <v>553.46</v>
      </c>
    </row>
    <row r="61" spans="1:17" x14ac:dyDescent="0.2">
      <c r="A61" s="8" t="s">
        <v>134</v>
      </c>
      <c r="B61" s="7">
        <v>2012</v>
      </c>
      <c r="C61" s="7" t="s">
        <v>135</v>
      </c>
      <c r="D61" s="2">
        <v>295.17432044699473</v>
      </c>
      <c r="E61" s="2">
        <v>1798700.51</v>
      </c>
      <c r="F61" s="7">
        <v>13383127.619999999</v>
      </c>
      <c r="G61" s="7">
        <v>619469.51</v>
      </c>
      <c r="H61" s="7">
        <v>4300</v>
      </c>
      <c r="I61" s="155">
        <v>3529688.92</v>
      </c>
      <c r="J61" s="155">
        <v>3762033.65</v>
      </c>
      <c r="K61" s="155">
        <v>573340.99</v>
      </c>
      <c r="L61" s="155">
        <v>2094939.94</v>
      </c>
      <c r="M61" s="26">
        <v>1200.117275051681</v>
      </c>
      <c r="N61" s="26">
        <v>1279.1160000272005</v>
      </c>
      <c r="O61" s="26">
        <v>194.9396794418453</v>
      </c>
      <c r="P61" s="26">
        <v>712.29325563050816</v>
      </c>
      <c r="Q61" s="154">
        <v>2941.12</v>
      </c>
    </row>
    <row r="62" spans="1:17" x14ac:dyDescent="0.2">
      <c r="A62" s="8" t="s">
        <v>136</v>
      </c>
      <c r="B62" s="7">
        <v>2012</v>
      </c>
      <c r="C62" s="7" t="s">
        <v>137</v>
      </c>
      <c r="D62" s="2">
        <v>100.8037296121783</v>
      </c>
      <c r="E62" s="2">
        <v>289222.08</v>
      </c>
      <c r="F62" s="7">
        <v>1891743.52</v>
      </c>
      <c r="G62" s="7">
        <v>33957.980000000003</v>
      </c>
      <c r="H62" s="7">
        <v>1127.69</v>
      </c>
      <c r="I62" s="155">
        <v>811330.05</v>
      </c>
      <c r="J62" s="155">
        <v>864848.82</v>
      </c>
      <c r="K62" s="155">
        <v>176587.19</v>
      </c>
      <c r="L62" s="155">
        <v>545792.82999999996</v>
      </c>
      <c r="M62" s="26">
        <v>1350.4611505043445</v>
      </c>
      <c r="N62" s="26">
        <v>1439.5432937181663</v>
      </c>
      <c r="O62" s="26">
        <v>293.92987449648791</v>
      </c>
      <c r="P62" s="26">
        <v>908.4737008555544</v>
      </c>
      <c r="Q62" s="154">
        <v>600.78</v>
      </c>
    </row>
    <row r="63" spans="1:17" x14ac:dyDescent="0.2">
      <c r="A63" s="8" t="s">
        <v>138</v>
      </c>
      <c r="B63" s="7">
        <v>2012</v>
      </c>
      <c r="C63" s="7" t="s">
        <v>139</v>
      </c>
      <c r="D63" s="2">
        <v>352.56513467677581</v>
      </c>
      <c r="E63" s="2">
        <v>3392098.27</v>
      </c>
      <c r="F63" s="7">
        <v>19137606.649999999</v>
      </c>
      <c r="G63" s="7">
        <v>243730.94</v>
      </c>
      <c r="H63" s="7">
        <v>134985.75</v>
      </c>
      <c r="I63" s="155">
        <v>4752491.04</v>
      </c>
      <c r="J63" s="155">
        <v>7087290.5800000001</v>
      </c>
      <c r="K63" s="155">
        <v>1834813.13</v>
      </c>
      <c r="L63" s="155">
        <v>4715067.17</v>
      </c>
      <c r="M63" s="26">
        <v>1150.2062122143539</v>
      </c>
      <c r="N63" s="26">
        <v>1715.2784895906445</v>
      </c>
      <c r="O63" s="26">
        <v>444.06468999433667</v>
      </c>
      <c r="P63" s="26">
        <v>1141.1488215960851</v>
      </c>
      <c r="Q63" s="154">
        <v>4131.8599999999997</v>
      </c>
    </row>
    <row r="64" spans="1:17" x14ac:dyDescent="0.2">
      <c r="A64" s="8" t="s">
        <v>140</v>
      </c>
      <c r="B64" s="7">
        <v>2012</v>
      </c>
      <c r="C64" s="7" t="s">
        <v>141</v>
      </c>
      <c r="D64" s="2">
        <v>137.05498701298694</v>
      </c>
      <c r="E64" s="2">
        <v>337547.39</v>
      </c>
      <c r="F64" s="7">
        <v>2105570.7200000002</v>
      </c>
      <c r="G64" s="7">
        <v>131294.62</v>
      </c>
      <c r="H64" s="7">
        <v>21118.76</v>
      </c>
      <c r="I64" s="155">
        <v>857704.22</v>
      </c>
      <c r="J64" s="155">
        <v>1057533.33</v>
      </c>
      <c r="K64" s="155">
        <v>69096.740000000005</v>
      </c>
      <c r="L64" s="155">
        <v>698982.40000000002</v>
      </c>
      <c r="M64" s="26">
        <v>1106.4581387548699</v>
      </c>
      <c r="N64" s="26">
        <v>1364.2422792125701</v>
      </c>
      <c r="O64" s="26">
        <v>89.136381227585858</v>
      </c>
      <c r="P64" s="26">
        <v>901.70334631956462</v>
      </c>
      <c r="Q64" s="154">
        <v>775.18</v>
      </c>
    </row>
    <row r="65" spans="1:17" x14ac:dyDescent="0.2">
      <c r="A65" s="8" t="s">
        <v>142</v>
      </c>
      <c r="B65" s="7">
        <v>2012</v>
      </c>
      <c r="C65" s="7" t="s">
        <v>143</v>
      </c>
      <c r="D65" s="2">
        <v>96.064190703770919</v>
      </c>
      <c r="E65" s="2">
        <v>369181.21</v>
      </c>
      <c r="F65" s="7">
        <v>2343623.84</v>
      </c>
      <c r="G65" s="7">
        <v>114323.12</v>
      </c>
      <c r="H65" s="7">
        <v>1252.43</v>
      </c>
      <c r="I65" s="155">
        <v>712815.4</v>
      </c>
      <c r="J65" s="155">
        <v>1209860.3</v>
      </c>
      <c r="K65" s="155">
        <v>63100.07</v>
      </c>
      <c r="L65" s="155">
        <v>615940.12</v>
      </c>
      <c r="M65" s="26">
        <v>988.05899394258631</v>
      </c>
      <c r="N65" s="26">
        <v>1677.0307583549341</v>
      </c>
      <c r="O65" s="26">
        <v>87.46527036580126</v>
      </c>
      <c r="P65" s="26">
        <v>853.77669351149802</v>
      </c>
      <c r="Q65" s="154">
        <v>721.43</v>
      </c>
    </row>
    <row r="66" spans="1:17" x14ac:dyDescent="0.2">
      <c r="A66" s="8" t="s">
        <v>144</v>
      </c>
      <c r="B66" s="7">
        <v>2012</v>
      </c>
      <c r="C66" s="7" t="s">
        <v>145</v>
      </c>
      <c r="D66" s="2">
        <v>99.637271268057773</v>
      </c>
      <c r="E66" s="2">
        <v>295095.92</v>
      </c>
      <c r="F66" s="7">
        <v>2643802.7799999998</v>
      </c>
      <c r="G66" s="7">
        <v>55787.17</v>
      </c>
      <c r="H66" s="7">
        <v>3040.81</v>
      </c>
      <c r="I66" s="155">
        <v>899660.28</v>
      </c>
      <c r="J66" s="155">
        <v>976274.7</v>
      </c>
      <c r="K66" s="155">
        <v>12181.89</v>
      </c>
      <c r="L66" s="155">
        <v>183374.17</v>
      </c>
      <c r="M66" s="26">
        <v>1231.3149661260522</v>
      </c>
      <c r="N66" s="26">
        <v>1336.1728597823856</v>
      </c>
      <c r="O66" s="26">
        <v>16.67267501539725</v>
      </c>
      <c r="P66" s="26">
        <v>250.97402313008968</v>
      </c>
      <c r="Q66" s="154">
        <v>730.65</v>
      </c>
    </row>
    <row r="67" spans="1:17" x14ac:dyDescent="0.2">
      <c r="A67" s="8" t="s">
        <v>146</v>
      </c>
      <c r="B67" s="7">
        <v>2012</v>
      </c>
      <c r="C67" s="7" t="s">
        <v>147</v>
      </c>
      <c r="D67" s="2">
        <v>137.18307314419414</v>
      </c>
      <c r="E67" s="2">
        <v>335452.13</v>
      </c>
      <c r="F67" s="7">
        <v>4040791.41</v>
      </c>
      <c r="G67" s="7">
        <v>193230.26</v>
      </c>
      <c r="H67" s="7">
        <v>0</v>
      </c>
      <c r="I67" s="155">
        <v>1184018.6499999999</v>
      </c>
      <c r="J67" s="155">
        <v>1609721.86</v>
      </c>
      <c r="K67" s="155">
        <v>0</v>
      </c>
      <c r="L67" s="155">
        <v>687111.12</v>
      </c>
      <c r="M67" s="26">
        <v>997.21949432335009</v>
      </c>
      <c r="N67" s="26">
        <v>1355.7607553144899</v>
      </c>
      <c r="O67" s="26">
        <v>0</v>
      </c>
      <c r="P67" s="26">
        <v>578.70761041673688</v>
      </c>
      <c r="Q67" s="154">
        <v>1187.32</v>
      </c>
    </row>
    <row r="68" spans="1:17" x14ac:dyDescent="0.2">
      <c r="A68" s="8" t="s">
        <v>148</v>
      </c>
      <c r="B68" s="7">
        <v>2012</v>
      </c>
      <c r="C68" s="7" t="s">
        <v>149</v>
      </c>
      <c r="D68" s="2">
        <v>226.58116888718388</v>
      </c>
      <c r="E68" s="2">
        <v>1781112.81</v>
      </c>
      <c r="F68" s="7">
        <v>6105596.7300000004</v>
      </c>
      <c r="G68" s="7">
        <v>27388.75</v>
      </c>
      <c r="H68" s="7">
        <v>0</v>
      </c>
      <c r="I68" s="155">
        <v>2181147.58</v>
      </c>
      <c r="J68" s="155">
        <v>1577801.96</v>
      </c>
      <c r="K68" s="155">
        <v>13797.87</v>
      </c>
      <c r="L68" s="155">
        <v>1875125.53</v>
      </c>
      <c r="M68" s="26">
        <v>1481.8384015435622</v>
      </c>
      <c r="N68" s="26">
        <v>1071.9345888363498</v>
      </c>
      <c r="O68" s="26">
        <v>9.3740624490461446</v>
      </c>
      <c r="P68" s="26">
        <v>1273.9316878634709</v>
      </c>
      <c r="Q68" s="154">
        <v>1471.92</v>
      </c>
    </row>
    <row r="69" spans="1:17" x14ac:dyDescent="0.2">
      <c r="A69" s="8" t="s">
        <v>150</v>
      </c>
      <c r="B69" s="7">
        <v>2012</v>
      </c>
      <c r="C69" s="7" t="s">
        <v>151</v>
      </c>
      <c r="D69" s="2">
        <v>164.42944451498212</v>
      </c>
      <c r="E69" s="2">
        <v>935062.42</v>
      </c>
      <c r="F69" s="7">
        <v>4902925.13</v>
      </c>
      <c r="G69" s="7">
        <v>128588.62</v>
      </c>
      <c r="H69" s="7">
        <v>24174.23</v>
      </c>
      <c r="I69" s="155">
        <v>1670495.74</v>
      </c>
      <c r="J69" s="155">
        <v>1953559.01</v>
      </c>
      <c r="K69" s="155">
        <v>304310</v>
      </c>
      <c r="L69" s="155">
        <v>1604792.05</v>
      </c>
      <c r="M69" s="26">
        <v>1140.5426142764481</v>
      </c>
      <c r="N69" s="26">
        <v>1333.8060355716382</v>
      </c>
      <c r="O69" s="26">
        <v>207.76977434882053</v>
      </c>
      <c r="P69" s="26">
        <v>1095.6829617997473</v>
      </c>
      <c r="Q69" s="154">
        <v>1464.65</v>
      </c>
    </row>
    <row r="70" spans="1:17" x14ac:dyDescent="0.2">
      <c r="A70" s="8" t="s">
        <v>152</v>
      </c>
      <c r="B70" s="7">
        <v>2012</v>
      </c>
      <c r="C70" s="7" t="s">
        <v>153</v>
      </c>
      <c r="D70" s="2">
        <v>112.00548993561007</v>
      </c>
      <c r="E70" s="2">
        <v>330747.11</v>
      </c>
      <c r="F70" s="7">
        <v>2574588.08</v>
      </c>
      <c r="G70" s="7">
        <v>44340.49</v>
      </c>
      <c r="H70" s="7">
        <v>796</v>
      </c>
      <c r="I70" s="155">
        <v>1003904.87</v>
      </c>
      <c r="J70" s="155">
        <v>835155.67</v>
      </c>
      <c r="K70" s="155">
        <v>108255.56</v>
      </c>
      <c r="L70" s="155">
        <v>582850.34</v>
      </c>
      <c r="M70" s="26">
        <v>1429.5141042618936</v>
      </c>
      <c r="N70" s="26">
        <v>1189.2230481153972</v>
      </c>
      <c r="O70" s="26">
        <v>154.15091061842313</v>
      </c>
      <c r="P70" s="26">
        <v>829.9519273214006</v>
      </c>
      <c r="Q70" s="154">
        <v>702.27</v>
      </c>
    </row>
    <row r="71" spans="1:17" x14ac:dyDescent="0.2">
      <c r="A71" s="8" t="s">
        <v>154</v>
      </c>
      <c r="B71" s="7">
        <v>2012</v>
      </c>
      <c r="C71" s="7" t="s">
        <v>155</v>
      </c>
      <c r="D71" s="2">
        <v>671.74259373129803</v>
      </c>
      <c r="E71" s="2">
        <v>3374179.43</v>
      </c>
      <c r="F71" s="7">
        <v>27581151.59</v>
      </c>
      <c r="G71" s="7">
        <v>941346.46</v>
      </c>
      <c r="H71" s="7">
        <v>192413.22</v>
      </c>
      <c r="I71" s="155">
        <v>6993694.3300000001</v>
      </c>
      <c r="J71" s="155">
        <v>10124435.210000001</v>
      </c>
      <c r="K71" s="155">
        <v>748340.98</v>
      </c>
      <c r="L71" s="155">
        <v>8392170.9399999995</v>
      </c>
      <c r="M71" s="26">
        <v>924.87775052071277</v>
      </c>
      <c r="N71" s="26">
        <v>1338.9010758091713</v>
      </c>
      <c r="O71" s="26">
        <v>98.963993784507551</v>
      </c>
      <c r="P71" s="26">
        <v>1109.8186187059873</v>
      </c>
      <c r="Q71" s="154">
        <v>7561.75</v>
      </c>
    </row>
    <row r="72" spans="1:17" x14ac:dyDescent="0.2">
      <c r="A72" s="8" t="s">
        <v>156</v>
      </c>
      <c r="B72" s="7">
        <v>2012</v>
      </c>
      <c r="C72" s="7" t="s">
        <v>157</v>
      </c>
      <c r="D72" s="2">
        <v>312.40239283279851</v>
      </c>
      <c r="E72" s="2">
        <v>1376779.06</v>
      </c>
      <c r="F72" s="7">
        <v>7471894.46</v>
      </c>
      <c r="G72" s="7">
        <v>93343.1</v>
      </c>
      <c r="H72" s="7">
        <v>0</v>
      </c>
      <c r="I72" s="155">
        <v>2008925.8</v>
      </c>
      <c r="J72" s="155">
        <v>2159647.11</v>
      </c>
      <c r="K72" s="155">
        <v>868958.64</v>
      </c>
      <c r="L72" s="155">
        <v>2193250.96</v>
      </c>
      <c r="M72" s="26">
        <v>1031.0379019220406</v>
      </c>
      <c r="N72" s="26">
        <v>1108.3923682927455</v>
      </c>
      <c r="O72" s="26">
        <v>445.97430778310962</v>
      </c>
      <c r="P72" s="26">
        <v>1125.6388206009906</v>
      </c>
      <c r="Q72" s="154">
        <v>1948.45</v>
      </c>
    </row>
    <row r="73" spans="1:17" x14ac:dyDescent="0.2">
      <c r="A73" s="8" t="s">
        <v>158</v>
      </c>
      <c r="B73" s="7">
        <v>2012</v>
      </c>
      <c r="C73" s="7" t="s">
        <v>159</v>
      </c>
      <c r="D73" s="2">
        <v>97.200728995808277</v>
      </c>
      <c r="E73" s="2">
        <v>426361.72</v>
      </c>
      <c r="F73" s="7">
        <v>2659956.29</v>
      </c>
      <c r="G73" s="7">
        <v>159349.23000000001</v>
      </c>
      <c r="H73" s="7">
        <v>74810.509999999995</v>
      </c>
      <c r="I73" s="155">
        <v>1092957.93</v>
      </c>
      <c r="J73" s="155">
        <v>1200546.6100000001</v>
      </c>
      <c r="K73" s="155">
        <v>35013.97</v>
      </c>
      <c r="L73" s="155">
        <v>590525.87</v>
      </c>
      <c r="M73" s="26">
        <v>1513.6663573664239</v>
      </c>
      <c r="N73" s="26">
        <v>1662.6687671384652</v>
      </c>
      <c r="O73" s="26">
        <v>48.4917735368252</v>
      </c>
      <c r="P73" s="26">
        <v>817.83490291665521</v>
      </c>
      <c r="Q73" s="154">
        <v>722.06</v>
      </c>
    </row>
    <row r="74" spans="1:17" x14ac:dyDescent="0.2">
      <c r="A74" s="8" t="s">
        <v>160</v>
      </c>
      <c r="B74" s="7">
        <v>2012</v>
      </c>
      <c r="C74" s="7" t="s">
        <v>161</v>
      </c>
      <c r="D74" s="2">
        <v>277.03743534035755</v>
      </c>
      <c r="E74" s="2">
        <v>1088067.53</v>
      </c>
      <c r="F74" s="7">
        <v>6742652.6699999999</v>
      </c>
      <c r="G74" s="7">
        <v>450798.36</v>
      </c>
      <c r="H74" s="7">
        <v>10100</v>
      </c>
      <c r="I74" s="155">
        <v>2249434.0299999998</v>
      </c>
      <c r="J74" s="155">
        <v>3583595.02</v>
      </c>
      <c r="K74" s="155">
        <v>169311.11</v>
      </c>
      <c r="L74" s="155">
        <v>916318.37</v>
      </c>
      <c r="M74" s="26">
        <v>1146.3018793888928</v>
      </c>
      <c r="N74" s="26">
        <v>1826.1845653658388</v>
      </c>
      <c r="O74" s="26">
        <v>86.280211380290879</v>
      </c>
      <c r="P74" s="26">
        <v>466.95188907121093</v>
      </c>
      <c r="Q74" s="154">
        <v>1962.34</v>
      </c>
    </row>
    <row r="75" spans="1:17" x14ac:dyDescent="0.2">
      <c r="A75" s="8" t="s">
        <v>162</v>
      </c>
      <c r="B75" s="7">
        <v>2012</v>
      </c>
      <c r="C75" s="7" t="s">
        <v>163</v>
      </c>
      <c r="D75" s="2">
        <v>241.43929618768334</v>
      </c>
      <c r="E75" s="2">
        <v>217661.27</v>
      </c>
      <c r="F75" s="7">
        <v>7332221.9800000004</v>
      </c>
      <c r="G75" s="7">
        <v>135653.25</v>
      </c>
      <c r="H75" s="7">
        <v>67825.69</v>
      </c>
      <c r="I75" s="155">
        <v>1904665.3</v>
      </c>
      <c r="J75" s="155">
        <v>2554457.7999999998</v>
      </c>
      <c r="K75" s="155">
        <v>8052.68</v>
      </c>
      <c r="L75" s="155">
        <v>973853.57</v>
      </c>
      <c r="M75" s="26">
        <v>1014.5499240951342</v>
      </c>
      <c r="N75" s="26">
        <v>1360.6721176125923</v>
      </c>
      <c r="O75" s="26">
        <v>4.2893866354169443</v>
      </c>
      <c r="P75" s="26">
        <v>518.73841851546058</v>
      </c>
      <c r="Q75" s="154">
        <v>1877.35</v>
      </c>
    </row>
    <row r="76" spans="1:17" x14ac:dyDescent="0.2">
      <c r="A76" s="8" t="s">
        <v>164</v>
      </c>
      <c r="B76" s="7">
        <v>2012</v>
      </c>
      <c r="C76" s="7" t="s">
        <v>165</v>
      </c>
      <c r="D76" s="2">
        <v>203.56279126879798</v>
      </c>
      <c r="E76" s="2">
        <v>1383798.12</v>
      </c>
      <c r="F76" s="7">
        <v>8294426.2599999998</v>
      </c>
      <c r="G76" s="7">
        <v>96150.57</v>
      </c>
      <c r="H76" s="7">
        <v>109</v>
      </c>
      <c r="I76" s="155">
        <v>2035913.23</v>
      </c>
      <c r="J76" s="155">
        <v>2330468.2799999998</v>
      </c>
      <c r="K76" s="155">
        <v>13803.42</v>
      </c>
      <c r="L76" s="155">
        <v>1722865.34</v>
      </c>
      <c r="M76" s="26">
        <v>908.1965240820623</v>
      </c>
      <c r="N76" s="26">
        <v>1039.5940063612152</v>
      </c>
      <c r="O76" s="26">
        <v>6.1575404490322123</v>
      </c>
      <c r="P76" s="26">
        <v>768.54960721948873</v>
      </c>
      <c r="Q76" s="154">
        <v>2241.71</v>
      </c>
    </row>
    <row r="77" spans="1:17" x14ac:dyDescent="0.2">
      <c r="A77" s="8" t="s">
        <v>166</v>
      </c>
      <c r="B77" s="7">
        <v>2012</v>
      </c>
      <c r="C77" s="7" t="s">
        <v>167</v>
      </c>
      <c r="D77" s="2">
        <v>217.5778600044774</v>
      </c>
      <c r="E77" s="2">
        <v>1154756.77</v>
      </c>
      <c r="F77" s="7">
        <v>8626338.5800000001</v>
      </c>
      <c r="G77" s="7">
        <v>229993.91</v>
      </c>
      <c r="H77" s="7">
        <v>0</v>
      </c>
      <c r="I77" s="155">
        <v>2819476.21</v>
      </c>
      <c r="J77" s="155">
        <v>3757909.31</v>
      </c>
      <c r="K77" s="155">
        <v>85987.14</v>
      </c>
      <c r="L77" s="155">
        <v>2218243.29</v>
      </c>
      <c r="M77" s="26">
        <v>1235.8426813125159</v>
      </c>
      <c r="N77" s="26">
        <v>1647.1799624795083</v>
      </c>
      <c r="O77" s="26">
        <v>37.690184183534818</v>
      </c>
      <c r="P77" s="26">
        <v>972.30816333686914</v>
      </c>
      <c r="Q77" s="154">
        <v>2281.42</v>
      </c>
    </row>
    <row r="78" spans="1:17" x14ac:dyDescent="0.2">
      <c r="A78" s="8" t="s">
        <v>168</v>
      </c>
      <c r="B78" s="7">
        <v>2012</v>
      </c>
      <c r="C78" s="7" t="s">
        <v>169</v>
      </c>
      <c r="D78" s="2">
        <v>258.5028755760369</v>
      </c>
      <c r="E78" s="2">
        <v>1359854.39</v>
      </c>
      <c r="F78" s="7">
        <v>5404151.9800000004</v>
      </c>
      <c r="G78" s="7">
        <v>76936.27</v>
      </c>
      <c r="H78" s="7">
        <v>30902.57</v>
      </c>
      <c r="I78" s="155">
        <v>2334865.13</v>
      </c>
      <c r="J78" s="155">
        <v>1346573.88</v>
      </c>
      <c r="K78" s="155">
        <v>719437.05</v>
      </c>
      <c r="L78" s="155">
        <v>1557084.98</v>
      </c>
      <c r="M78" s="26">
        <v>1560.6135403577252</v>
      </c>
      <c r="N78" s="26">
        <v>900.04403390102402</v>
      </c>
      <c r="O78" s="26">
        <v>480.86854664064384</v>
      </c>
      <c r="P78" s="26">
        <v>1040.748723364436</v>
      </c>
      <c r="Q78" s="154">
        <v>1496.12</v>
      </c>
    </row>
    <row r="79" spans="1:17" x14ac:dyDescent="0.2">
      <c r="A79" s="8" t="s">
        <v>170</v>
      </c>
      <c r="B79" s="7">
        <v>2012</v>
      </c>
      <c r="C79" s="7" t="s">
        <v>171</v>
      </c>
      <c r="D79" s="2">
        <v>48.571915436486215</v>
      </c>
      <c r="E79" s="2">
        <v>306833.08</v>
      </c>
      <c r="F79" s="7">
        <v>2813038.02</v>
      </c>
      <c r="G79" s="7">
        <v>75807.88</v>
      </c>
      <c r="H79" s="7">
        <v>3348</v>
      </c>
      <c r="I79" s="155">
        <v>974294.98</v>
      </c>
      <c r="J79" s="155">
        <v>1041375.54</v>
      </c>
      <c r="K79" s="155">
        <v>408800.67</v>
      </c>
      <c r="L79" s="155">
        <v>711339.52000000002</v>
      </c>
      <c r="M79" s="26">
        <v>1188.1356308382722</v>
      </c>
      <c r="N79" s="26">
        <v>1269.9391966049609</v>
      </c>
      <c r="O79" s="26">
        <v>498.52524328674912</v>
      </c>
      <c r="P79" s="26">
        <v>867.46606180337074</v>
      </c>
      <c r="Q79" s="154">
        <v>820.02</v>
      </c>
    </row>
    <row r="80" spans="1:17" x14ac:dyDescent="0.2">
      <c r="A80" s="8" t="s">
        <v>172</v>
      </c>
      <c r="B80" s="7">
        <v>2012</v>
      </c>
      <c r="C80" s="7" t="s">
        <v>173</v>
      </c>
      <c r="D80" s="2">
        <v>371.47183937412927</v>
      </c>
      <c r="E80" s="2">
        <v>1269404.57</v>
      </c>
      <c r="F80" s="7">
        <v>8111952.6699999999</v>
      </c>
      <c r="G80" s="7">
        <v>229363.12</v>
      </c>
      <c r="H80" s="7">
        <v>15669.6</v>
      </c>
      <c r="I80" s="155">
        <v>1910630.04</v>
      </c>
      <c r="J80" s="155">
        <v>3169327.69</v>
      </c>
      <c r="K80" s="155">
        <v>438232.22</v>
      </c>
      <c r="L80" s="155">
        <v>1462390.04</v>
      </c>
      <c r="M80" s="26">
        <v>819.20423616172877</v>
      </c>
      <c r="N80" s="26">
        <v>1358.8850876816875</v>
      </c>
      <c r="O80" s="26">
        <v>187.89702010890534</v>
      </c>
      <c r="P80" s="26">
        <v>627.01626720404749</v>
      </c>
      <c r="Q80" s="154">
        <v>2332.3000000000002</v>
      </c>
    </row>
    <row r="81" spans="1:17" x14ac:dyDescent="0.2">
      <c r="A81" s="8" t="s">
        <v>174</v>
      </c>
      <c r="B81" s="7">
        <v>2012</v>
      </c>
      <c r="C81" s="7" t="s">
        <v>175</v>
      </c>
      <c r="D81" s="2">
        <v>184.45277777777778</v>
      </c>
      <c r="E81" s="2">
        <v>1070826.1100000001</v>
      </c>
      <c r="F81" s="7">
        <v>5179628.45</v>
      </c>
      <c r="G81" s="7">
        <v>188648.48</v>
      </c>
      <c r="H81" s="7">
        <v>5602.03</v>
      </c>
      <c r="I81" s="155">
        <v>1182170.51</v>
      </c>
      <c r="J81" s="155">
        <v>2076771.19</v>
      </c>
      <c r="K81" s="155">
        <v>1342.08</v>
      </c>
      <c r="L81" s="155">
        <v>1097364.03</v>
      </c>
      <c r="M81" s="26">
        <v>945.07863327124335</v>
      </c>
      <c r="N81" s="26">
        <v>1660.2614100585993</v>
      </c>
      <c r="O81" s="26">
        <v>1.0729172495942825</v>
      </c>
      <c r="P81" s="26">
        <v>877.28063667687297</v>
      </c>
      <c r="Q81" s="154">
        <v>1250.8699999999999</v>
      </c>
    </row>
    <row r="82" spans="1:17" x14ac:dyDescent="0.2">
      <c r="A82" s="8" t="s">
        <v>176</v>
      </c>
      <c r="B82" s="7">
        <v>2012</v>
      </c>
      <c r="C82" s="7" t="s">
        <v>177</v>
      </c>
      <c r="D82" s="2">
        <v>345.41708759364275</v>
      </c>
      <c r="E82" s="2">
        <v>2193149.1</v>
      </c>
      <c r="F82" s="7">
        <v>12460005.859999999</v>
      </c>
      <c r="G82" s="7">
        <v>563369.49</v>
      </c>
      <c r="H82" s="7">
        <v>187707.9</v>
      </c>
      <c r="I82" s="155">
        <v>3820674.22</v>
      </c>
      <c r="J82" s="155">
        <v>6462536.4400000004</v>
      </c>
      <c r="K82" s="155">
        <v>625541.32999999996</v>
      </c>
      <c r="L82" s="155">
        <v>3036639.65</v>
      </c>
      <c r="M82" s="26">
        <v>1106.3418746000355</v>
      </c>
      <c r="N82" s="26">
        <v>1871.3384779769681</v>
      </c>
      <c r="O82" s="26">
        <v>181.13624136003915</v>
      </c>
      <c r="P82" s="26">
        <v>879.31119206122605</v>
      </c>
      <c r="Q82" s="154">
        <v>3453.43</v>
      </c>
    </row>
    <row r="83" spans="1:17" x14ac:dyDescent="0.2">
      <c r="A83" s="8" t="s">
        <v>178</v>
      </c>
      <c r="B83" s="7">
        <v>2012</v>
      </c>
      <c r="C83" s="7" t="s">
        <v>179</v>
      </c>
      <c r="D83" s="2">
        <v>262.23747734686481</v>
      </c>
      <c r="E83" s="2">
        <v>1146420.1499999999</v>
      </c>
      <c r="F83" s="7">
        <v>11704387.82</v>
      </c>
      <c r="G83" s="7">
        <v>138621.10999999999</v>
      </c>
      <c r="H83" s="7">
        <v>45023.25</v>
      </c>
      <c r="I83" s="155">
        <v>2232552.5499999998</v>
      </c>
      <c r="J83" s="155">
        <v>3485028.24</v>
      </c>
      <c r="K83" s="155">
        <v>597978.43999999994</v>
      </c>
      <c r="L83" s="155">
        <v>2196100.71</v>
      </c>
      <c r="M83" s="26">
        <v>779.60147850166391</v>
      </c>
      <c r="N83" s="26">
        <v>1216.9626952449794</v>
      </c>
      <c r="O83" s="26">
        <v>208.8124984722615</v>
      </c>
      <c r="P83" s="26">
        <v>766.8725918476382</v>
      </c>
      <c r="Q83" s="154">
        <v>2863.71</v>
      </c>
    </row>
    <row r="84" spans="1:17" x14ac:dyDescent="0.2">
      <c r="A84" s="8" t="s">
        <v>180</v>
      </c>
      <c r="B84" s="7">
        <v>2012</v>
      </c>
      <c r="C84" s="7" t="s">
        <v>181</v>
      </c>
      <c r="D84" s="2">
        <v>1461.7685935099848</v>
      </c>
      <c r="E84" s="2">
        <v>7486809.04</v>
      </c>
      <c r="F84" s="7">
        <v>35521524.240000002</v>
      </c>
      <c r="G84" s="7">
        <v>1008090.43</v>
      </c>
      <c r="H84" s="7">
        <v>141742.14000000001</v>
      </c>
      <c r="I84" s="155">
        <v>12508148.039999999</v>
      </c>
      <c r="J84" s="155">
        <v>11594819.66</v>
      </c>
      <c r="K84" s="155">
        <v>696465.13</v>
      </c>
      <c r="L84" s="155">
        <v>8554589.3000000007</v>
      </c>
      <c r="M84" s="26">
        <v>1312.0701091141009</v>
      </c>
      <c r="N84" s="26">
        <v>1216.2644899791676</v>
      </c>
      <c r="O84" s="26">
        <v>73.057264448020277</v>
      </c>
      <c r="P84" s="26">
        <v>897.35274002060191</v>
      </c>
      <c r="Q84" s="154">
        <v>9533.14</v>
      </c>
    </row>
    <row r="85" spans="1:17" x14ac:dyDescent="0.2">
      <c r="A85" s="8" t="s">
        <v>182</v>
      </c>
      <c r="B85" s="7">
        <v>2012</v>
      </c>
      <c r="C85" s="7" t="s">
        <v>183</v>
      </c>
      <c r="D85" s="2">
        <v>304.03750716944262</v>
      </c>
      <c r="E85" s="2">
        <v>1216371.8999999999</v>
      </c>
      <c r="F85" s="7">
        <v>7648753.9400000004</v>
      </c>
      <c r="G85" s="7">
        <v>142454.44</v>
      </c>
      <c r="H85" s="7">
        <v>65935.16</v>
      </c>
      <c r="I85" s="155">
        <v>2065024.83</v>
      </c>
      <c r="J85" s="155">
        <v>3569969.13</v>
      </c>
      <c r="K85" s="155">
        <v>484069.9</v>
      </c>
      <c r="L85" s="155">
        <v>1998341.91</v>
      </c>
      <c r="M85" s="26">
        <v>971.76724454358077</v>
      </c>
      <c r="N85" s="26">
        <v>1679.9696614620098</v>
      </c>
      <c r="O85" s="26">
        <v>227.79545604276666</v>
      </c>
      <c r="P85" s="26">
        <v>940.38734223677886</v>
      </c>
      <c r="Q85" s="154">
        <v>2125.02</v>
      </c>
    </row>
    <row r="86" spans="1:17" x14ac:dyDescent="0.2">
      <c r="A86" s="8" t="s">
        <v>184</v>
      </c>
      <c r="B86" s="7">
        <v>2012</v>
      </c>
      <c r="C86" s="7" t="s">
        <v>185</v>
      </c>
      <c r="D86" s="2">
        <v>168.39578853046595</v>
      </c>
      <c r="E86" s="2">
        <v>803420.71</v>
      </c>
      <c r="F86" s="7">
        <v>4536446.4800000004</v>
      </c>
      <c r="G86" s="7">
        <v>23213.43</v>
      </c>
      <c r="H86" s="7">
        <v>0</v>
      </c>
      <c r="I86" s="155">
        <v>1718347.47</v>
      </c>
      <c r="J86" s="155">
        <v>2336068.3199999998</v>
      </c>
      <c r="K86" s="155">
        <v>18740.72</v>
      </c>
      <c r="L86" s="155">
        <v>897320.69</v>
      </c>
      <c r="M86" s="26">
        <v>1361.7576197042463</v>
      </c>
      <c r="N86" s="26">
        <v>1851.2896200846369</v>
      </c>
      <c r="O86" s="26">
        <v>14.851663417494811</v>
      </c>
      <c r="P86" s="26">
        <v>711.10954464045142</v>
      </c>
      <c r="Q86" s="154">
        <v>1261.8599999999999</v>
      </c>
    </row>
    <row r="87" spans="1:17" x14ac:dyDescent="0.2">
      <c r="A87" s="8" t="s">
        <v>186</v>
      </c>
      <c r="B87" s="7">
        <v>2012</v>
      </c>
      <c r="C87" s="7" t="s">
        <v>187</v>
      </c>
      <c r="D87" s="2">
        <v>180.27410339080473</v>
      </c>
      <c r="E87" s="2">
        <v>445889.01</v>
      </c>
      <c r="F87" s="7">
        <v>4219605.2300000004</v>
      </c>
      <c r="G87" s="7">
        <v>110119.76</v>
      </c>
      <c r="H87" s="7">
        <v>27107.27</v>
      </c>
      <c r="I87" s="155">
        <v>1141794.32</v>
      </c>
      <c r="J87" s="155">
        <v>1782255.93</v>
      </c>
      <c r="K87" s="155">
        <v>219415.46</v>
      </c>
      <c r="L87" s="155">
        <v>586765.24</v>
      </c>
      <c r="M87" s="26">
        <v>1013.9188718786631</v>
      </c>
      <c r="N87" s="26">
        <v>1582.6518754662027</v>
      </c>
      <c r="O87" s="26">
        <v>194.84198842041701</v>
      </c>
      <c r="P87" s="26">
        <v>521.05036763399994</v>
      </c>
      <c r="Q87" s="154">
        <v>1126.1199999999999</v>
      </c>
    </row>
    <row r="88" spans="1:17" x14ac:dyDescent="0.2">
      <c r="A88" s="8" t="s">
        <v>188</v>
      </c>
      <c r="B88" s="7">
        <v>2012</v>
      </c>
      <c r="C88" s="7" t="s">
        <v>189</v>
      </c>
      <c r="D88" s="2">
        <v>101.59772727272728</v>
      </c>
      <c r="E88" s="2">
        <v>259045.49</v>
      </c>
      <c r="F88" s="7">
        <v>3046135.03</v>
      </c>
      <c r="G88" s="7">
        <v>170712.69</v>
      </c>
      <c r="H88" s="7">
        <v>3691.21</v>
      </c>
      <c r="I88" s="155">
        <v>1035110.34</v>
      </c>
      <c r="J88" s="155">
        <v>710128.49</v>
      </c>
      <c r="K88" s="155">
        <v>150736.35999999999</v>
      </c>
      <c r="L88" s="155">
        <v>718794.34</v>
      </c>
      <c r="M88" s="26">
        <v>1252.4172585270239</v>
      </c>
      <c r="N88" s="26">
        <v>859.21002068990549</v>
      </c>
      <c r="O88" s="26">
        <v>182.38134762671052</v>
      </c>
      <c r="P88" s="26">
        <v>869.69514452685451</v>
      </c>
      <c r="Q88" s="154">
        <v>826.49</v>
      </c>
    </row>
    <row r="89" spans="1:17" x14ac:dyDescent="0.2">
      <c r="A89" s="8" t="s">
        <v>190</v>
      </c>
      <c r="B89" s="7">
        <v>2012</v>
      </c>
      <c r="C89" s="7" t="s">
        <v>191</v>
      </c>
      <c r="D89" s="2">
        <v>150.59011680473591</v>
      </c>
      <c r="E89" s="2">
        <v>690184.7</v>
      </c>
      <c r="F89" s="7">
        <v>6452175.0999999996</v>
      </c>
      <c r="G89" s="7">
        <v>132658.91</v>
      </c>
      <c r="H89" s="7">
        <v>24297</v>
      </c>
      <c r="I89" s="155">
        <v>1516611.08</v>
      </c>
      <c r="J89" s="155">
        <v>2067580.02</v>
      </c>
      <c r="K89" s="155">
        <v>664933.07999999996</v>
      </c>
      <c r="L89" s="155">
        <v>1537045.4</v>
      </c>
      <c r="M89" s="26">
        <v>917.51226889942893</v>
      </c>
      <c r="N89" s="26">
        <v>1250.8348780369761</v>
      </c>
      <c r="O89" s="26">
        <v>402.26810086148481</v>
      </c>
      <c r="P89" s="26">
        <v>929.87452811925266</v>
      </c>
      <c r="Q89" s="154">
        <v>1652.96</v>
      </c>
    </row>
    <row r="90" spans="1:17" x14ac:dyDescent="0.2">
      <c r="A90" s="8" t="s">
        <v>192</v>
      </c>
      <c r="B90" s="7">
        <v>2012</v>
      </c>
      <c r="C90" s="7" t="s">
        <v>193</v>
      </c>
      <c r="D90" s="2">
        <v>271.43821321871616</v>
      </c>
      <c r="E90" s="2">
        <v>876012.21</v>
      </c>
      <c r="F90" s="7">
        <v>7679272.8200000003</v>
      </c>
      <c r="G90" s="7">
        <v>209574.36</v>
      </c>
      <c r="H90" s="7">
        <v>50172.95</v>
      </c>
      <c r="I90" s="155">
        <v>2224188.06</v>
      </c>
      <c r="J90" s="155">
        <v>4101846.23</v>
      </c>
      <c r="K90" s="155">
        <v>442784.1</v>
      </c>
      <c r="L90" s="155">
        <v>1659615.71</v>
      </c>
      <c r="M90" s="26">
        <v>960.83048650890328</v>
      </c>
      <c r="N90" s="26">
        <v>1771.9629826425787</v>
      </c>
      <c r="O90" s="26">
        <v>191.27899743397006</v>
      </c>
      <c r="P90" s="26">
        <v>716.93999205135515</v>
      </c>
      <c r="Q90" s="154">
        <v>2314.86</v>
      </c>
    </row>
    <row r="91" spans="1:17" x14ac:dyDescent="0.2">
      <c r="A91" s="8" t="s">
        <v>194</v>
      </c>
      <c r="B91" s="7">
        <v>2012</v>
      </c>
      <c r="C91" s="7" t="s">
        <v>195</v>
      </c>
      <c r="D91" s="2">
        <v>55.173872514535596</v>
      </c>
      <c r="E91" s="2">
        <v>239064.83</v>
      </c>
      <c r="F91" s="7">
        <v>2180190.54</v>
      </c>
      <c r="G91" s="7">
        <v>92493.62</v>
      </c>
      <c r="H91" s="7">
        <v>2533.89</v>
      </c>
      <c r="I91" s="155">
        <v>940976.62</v>
      </c>
      <c r="J91" s="155">
        <v>630094.82999999996</v>
      </c>
      <c r="K91" s="155">
        <v>37615.769999999997</v>
      </c>
      <c r="L91" s="155">
        <v>636940.28</v>
      </c>
      <c r="M91" s="26">
        <v>1554.1515872229379</v>
      </c>
      <c r="N91" s="26">
        <v>1040.687791100981</v>
      </c>
      <c r="O91" s="26">
        <v>62.127588940640166</v>
      </c>
      <c r="P91" s="26">
        <v>1051.9939880421498</v>
      </c>
      <c r="Q91" s="154">
        <v>605.46</v>
      </c>
    </row>
    <row r="92" spans="1:17" x14ac:dyDescent="0.2">
      <c r="A92" s="8" t="s">
        <v>196</v>
      </c>
      <c r="B92" s="7">
        <v>2012</v>
      </c>
      <c r="C92" s="7" t="s">
        <v>197</v>
      </c>
      <c r="D92" s="2">
        <v>400.81811484195492</v>
      </c>
      <c r="E92" s="2">
        <v>1872714.13</v>
      </c>
      <c r="F92" s="7">
        <v>10838082.33</v>
      </c>
      <c r="G92" s="7">
        <v>425380.82</v>
      </c>
      <c r="H92" s="7">
        <v>246866.73</v>
      </c>
      <c r="I92" s="155">
        <v>2837022.88</v>
      </c>
      <c r="J92" s="155">
        <v>3802700.39</v>
      </c>
      <c r="K92" s="155">
        <v>1296566.43</v>
      </c>
      <c r="L92" s="155">
        <v>2731873.5</v>
      </c>
      <c r="M92" s="26">
        <v>1064.5009905745333</v>
      </c>
      <c r="N92" s="26">
        <v>1426.8402135738729</v>
      </c>
      <c r="O92" s="26">
        <v>486.49457810530106</v>
      </c>
      <c r="P92" s="26">
        <v>1025.0470898120911</v>
      </c>
      <c r="Q92" s="154">
        <v>2665.12</v>
      </c>
    </row>
    <row r="93" spans="1:17" x14ac:dyDescent="0.2">
      <c r="A93" s="8" t="s">
        <v>198</v>
      </c>
      <c r="B93" s="7">
        <v>2012</v>
      </c>
      <c r="C93" s="7" t="s">
        <v>199</v>
      </c>
      <c r="D93" s="2">
        <v>100.57223437215222</v>
      </c>
      <c r="E93" s="2">
        <v>375420.52</v>
      </c>
      <c r="F93" s="7">
        <v>3400473.73</v>
      </c>
      <c r="G93" s="7">
        <v>97527.27</v>
      </c>
      <c r="H93" s="7">
        <v>1229.7</v>
      </c>
      <c r="I93" s="155">
        <v>1356349.72</v>
      </c>
      <c r="J93" s="155">
        <v>1422056.23</v>
      </c>
      <c r="K93" s="155">
        <v>19337.04</v>
      </c>
      <c r="L93" s="155">
        <v>719847.45</v>
      </c>
      <c r="M93" s="26">
        <v>1221.9146682041765</v>
      </c>
      <c r="N93" s="26">
        <v>1281.1086556998973</v>
      </c>
      <c r="O93" s="26">
        <v>17.420442874903156</v>
      </c>
      <c r="P93" s="26">
        <v>648.49953153997217</v>
      </c>
      <c r="Q93" s="154">
        <v>1110.02</v>
      </c>
    </row>
    <row r="94" spans="1:17" x14ac:dyDescent="0.2">
      <c r="A94" s="8" t="s">
        <v>200</v>
      </c>
      <c r="B94" s="7">
        <v>2012</v>
      </c>
      <c r="C94" s="7" t="s">
        <v>201</v>
      </c>
      <c r="D94" s="2">
        <v>816.36242427380523</v>
      </c>
      <c r="E94" s="2">
        <v>5446485.5999999996</v>
      </c>
      <c r="F94" s="7">
        <v>38025555.299999997</v>
      </c>
      <c r="G94" s="7">
        <v>566178.05000000005</v>
      </c>
      <c r="H94" s="7">
        <v>64748.959999999999</v>
      </c>
      <c r="I94" s="155">
        <v>6848697.0199999996</v>
      </c>
      <c r="J94" s="155">
        <v>13035921.33</v>
      </c>
      <c r="K94" s="155">
        <v>1388792.3</v>
      </c>
      <c r="L94" s="155">
        <v>9869510.4100000001</v>
      </c>
      <c r="M94" s="26">
        <v>854.45192013783617</v>
      </c>
      <c r="N94" s="26">
        <v>1626.3776859535064</v>
      </c>
      <c r="O94" s="26">
        <v>173.26744692345025</v>
      </c>
      <c r="P94" s="26">
        <v>1231.3323389862651</v>
      </c>
      <c r="Q94" s="154">
        <v>8015.31</v>
      </c>
    </row>
    <row r="95" spans="1:17" x14ac:dyDescent="0.2">
      <c r="A95" s="8" t="s">
        <v>202</v>
      </c>
      <c r="B95" s="7">
        <v>2012</v>
      </c>
      <c r="C95" s="7" t="s">
        <v>203</v>
      </c>
      <c r="D95" s="2">
        <v>145.70833333333337</v>
      </c>
      <c r="E95" s="2">
        <v>681670.84</v>
      </c>
      <c r="F95" s="7">
        <v>4239356.88</v>
      </c>
      <c r="G95" s="7">
        <v>127285.37</v>
      </c>
      <c r="H95" s="7">
        <v>63955.92</v>
      </c>
      <c r="I95" s="155">
        <v>1337611.23</v>
      </c>
      <c r="J95" s="155">
        <v>1745928.14</v>
      </c>
      <c r="K95" s="155">
        <v>19516.52</v>
      </c>
      <c r="L95" s="155">
        <v>706426.15</v>
      </c>
      <c r="M95" s="26">
        <v>1205.27232834745</v>
      </c>
      <c r="N95" s="26">
        <v>1573.1916921967922</v>
      </c>
      <c r="O95" s="26">
        <v>17.585619030455938</v>
      </c>
      <c r="P95" s="26">
        <v>636.53464588214092</v>
      </c>
      <c r="Q95" s="154">
        <v>1109.8</v>
      </c>
    </row>
    <row r="96" spans="1:17" x14ac:dyDescent="0.2">
      <c r="A96" s="8" t="s">
        <v>204</v>
      </c>
      <c r="B96" s="7">
        <v>2012</v>
      </c>
      <c r="C96" s="7" t="s">
        <v>205</v>
      </c>
      <c r="D96" s="2">
        <v>206.63501997523224</v>
      </c>
      <c r="E96" s="2">
        <v>1332741.47</v>
      </c>
      <c r="F96" s="7">
        <v>10794016.550000001</v>
      </c>
      <c r="G96" s="7">
        <v>255862.09</v>
      </c>
      <c r="H96" s="7">
        <v>80919.16</v>
      </c>
      <c r="I96" s="155">
        <v>2916675.01</v>
      </c>
      <c r="J96" s="155">
        <v>3540254.66</v>
      </c>
      <c r="K96" s="155">
        <v>954169</v>
      </c>
      <c r="L96" s="155">
        <v>1784127.38</v>
      </c>
      <c r="M96" s="26">
        <v>1499.0902741014477</v>
      </c>
      <c r="N96" s="26">
        <v>1819.5929647466373</v>
      </c>
      <c r="O96" s="26">
        <v>490.41647178548845</v>
      </c>
      <c r="P96" s="26">
        <v>916.99212080405823</v>
      </c>
      <c r="Q96" s="154">
        <v>1945.63</v>
      </c>
    </row>
    <row r="97" spans="1:17" x14ac:dyDescent="0.2">
      <c r="A97" s="8" t="s">
        <v>206</v>
      </c>
      <c r="B97" s="7">
        <v>2012</v>
      </c>
      <c r="C97" s="7" t="s">
        <v>207</v>
      </c>
      <c r="D97" s="2">
        <v>162.89000025889291</v>
      </c>
      <c r="E97" s="2">
        <v>726538.78</v>
      </c>
      <c r="F97" s="7">
        <v>5146611.7699999996</v>
      </c>
      <c r="G97" s="7">
        <v>137076.56</v>
      </c>
      <c r="H97" s="7">
        <v>44832.18</v>
      </c>
      <c r="I97" s="155">
        <v>1513786.36</v>
      </c>
      <c r="J97" s="155">
        <v>2160505.2599999998</v>
      </c>
      <c r="K97" s="155">
        <v>13443.98</v>
      </c>
      <c r="L97" s="155">
        <v>1569074.04</v>
      </c>
      <c r="M97" s="26">
        <v>1030.7542863368333</v>
      </c>
      <c r="N97" s="26">
        <v>1471.1125137884544</v>
      </c>
      <c r="O97" s="26">
        <v>9.1541583255028538</v>
      </c>
      <c r="P97" s="26">
        <v>1068.4002941536953</v>
      </c>
      <c r="Q97" s="154">
        <v>1468.62</v>
      </c>
    </row>
    <row r="98" spans="1:17" x14ac:dyDescent="0.2">
      <c r="A98" s="8" t="s">
        <v>208</v>
      </c>
      <c r="B98" s="7">
        <v>2012</v>
      </c>
      <c r="C98" s="7" t="s">
        <v>209</v>
      </c>
      <c r="D98" s="2">
        <v>285.37157142857154</v>
      </c>
      <c r="E98" s="2">
        <v>2026769.81</v>
      </c>
      <c r="F98" s="7">
        <v>12597263.970000001</v>
      </c>
      <c r="G98" s="7">
        <v>184445.01</v>
      </c>
      <c r="H98" s="7">
        <v>1424.5</v>
      </c>
      <c r="I98" s="155">
        <v>3406329.49</v>
      </c>
      <c r="J98" s="155">
        <v>4461120.22</v>
      </c>
      <c r="K98" s="155">
        <v>105466.44</v>
      </c>
      <c r="L98" s="155">
        <v>2264038.87</v>
      </c>
      <c r="M98" s="26">
        <v>1154.4727220348748</v>
      </c>
      <c r="N98" s="26">
        <v>1511.962251105726</v>
      </c>
      <c r="O98" s="26">
        <v>35.74467133246344</v>
      </c>
      <c r="P98" s="26">
        <v>767.32774228533663</v>
      </c>
      <c r="Q98" s="154">
        <v>2950.55</v>
      </c>
    </row>
    <row r="99" spans="1:17" x14ac:dyDescent="0.2">
      <c r="A99" s="8" t="s">
        <v>210</v>
      </c>
      <c r="B99" s="7">
        <v>2012</v>
      </c>
      <c r="C99" s="7" t="s">
        <v>211</v>
      </c>
      <c r="D99" s="2">
        <v>193.75689655172408</v>
      </c>
      <c r="E99" s="2">
        <v>513316.59</v>
      </c>
      <c r="F99" s="7">
        <v>4793275.3600000003</v>
      </c>
      <c r="G99" s="7">
        <v>82834.87</v>
      </c>
      <c r="H99" s="7">
        <v>-12611.24</v>
      </c>
      <c r="I99" s="155">
        <v>1526091.31</v>
      </c>
      <c r="J99" s="155">
        <v>1818704.56</v>
      </c>
      <c r="K99" s="155">
        <v>257632.9</v>
      </c>
      <c r="L99" s="155">
        <v>635564.07999999996</v>
      </c>
      <c r="M99" s="26">
        <v>1054.2435322644155</v>
      </c>
      <c r="N99" s="26">
        <v>1256.3845340812536</v>
      </c>
      <c r="O99" s="26">
        <v>177.97612550688396</v>
      </c>
      <c r="P99" s="26">
        <v>439.05585222130878</v>
      </c>
      <c r="Q99" s="154">
        <v>1447.57</v>
      </c>
    </row>
    <row r="100" spans="1:17" x14ac:dyDescent="0.2">
      <c r="A100" s="8" t="s">
        <v>212</v>
      </c>
      <c r="B100" s="7">
        <v>2012</v>
      </c>
      <c r="C100" s="7" t="s">
        <v>213</v>
      </c>
      <c r="D100" s="2">
        <v>272.39421287215856</v>
      </c>
      <c r="E100" s="2">
        <v>1006150.23</v>
      </c>
      <c r="F100" s="7">
        <v>10558097.380000001</v>
      </c>
      <c r="G100" s="7">
        <v>143047.34</v>
      </c>
      <c r="H100" s="7">
        <v>0</v>
      </c>
      <c r="I100" s="155">
        <v>3624617.63</v>
      </c>
      <c r="J100" s="155">
        <v>2960232.83</v>
      </c>
      <c r="K100" s="155">
        <v>278286.78000000003</v>
      </c>
      <c r="L100" s="155">
        <v>2652597.4300000002</v>
      </c>
      <c r="M100" s="26">
        <v>1305.6368505797639</v>
      </c>
      <c r="N100" s="26">
        <v>1066.3163576633658</v>
      </c>
      <c r="O100" s="26">
        <v>100.24270477247103</v>
      </c>
      <c r="P100" s="26">
        <v>955.50187851433475</v>
      </c>
      <c r="Q100" s="154">
        <v>2776.13</v>
      </c>
    </row>
    <row r="101" spans="1:17" x14ac:dyDescent="0.2">
      <c r="A101" s="8" t="s">
        <v>214</v>
      </c>
      <c r="B101" s="7">
        <v>2012</v>
      </c>
      <c r="C101" s="7" t="s">
        <v>215</v>
      </c>
      <c r="D101" s="2">
        <v>98.83327506007484</v>
      </c>
      <c r="E101" s="2">
        <v>205550.4</v>
      </c>
      <c r="F101" s="7">
        <v>5032559.26</v>
      </c>
      <c r="G101" s="7">
        <v>135317.85</v>
      </c>
      <c r="H101" s="7">
        <v>397.47</v>
      </c>
      <c r="I101" s="155">
        <v>1803810.24</v>
      </c>
      <c r="J101" s="155">
        <v>1538677.49</v>
      </c>
      <c r="K101" s="155">
        <v>29243.360000000001</v>
      </c>
      <c r="L101" s="155">
        <v>886562.8</v>
      </c>
      <c r="M101" s="26">
        <v>1295.263776191639</v>
      </c>
      <c r="N101" s="26">
        <v>1104.8796441240254</v>
      </c>
      <c r="O101" s="26">
        <v>20.998808002182937</v>
      </c>
      <c r="P101" s="26">
        <v>636.61501342792735</v>
      </c>
      <c r="Q101" s="154">
        <v>1392.62</v>
      </c>
    </row>
    <row r="102" spans="1:17" x14ac:dyDescent="0.2">
      <c r="A102" s="8" t="s">
        <v>216</v>
      </c>
      <c r="B102" s="7">
        <v>2012</v>
      </c>
      <c r="C102" s="7" t="s">
        <v>217</v>
      </c>
      <c r="D102" s="2">
        <v>5155.4276236559099</v>
      </c>
      <c r="E102" s="2">
        <v>15023487.15</v>
      </c>
      <c r="F102" s="7">
        <v>51332598.43</v>
      </c>
      <c r="G102" s="7">
        <v>863124.46</v>
      </c>
      <c r="H102" s="7">
        <v>556432.13</v>
      </c>
      <c r="I102" s="155">
        <v>32881184.899999999</v>
      </c>
      <c r="J102" s="155">
        <v>60167794.359999999</v>
      </c>
      <c r="K102" s="155">
        <v>11061453.17</v>
      </c>
      <c r="L102" s="155">
        <v>27652158.100000001</v>
      </c>
      <c r="M102" s="26">
        <v>1146.866718171497</v>
      </c>
      <c r="N102" s="26">
        <v>2098.5995811017965</v>
      </c>
      <c r="O102" s="26">
        <v>385.81372702556115</v>
      </c>
      <c r="P102" s="26">
        <v>964.48287696914417</v>
      </c>
      <c r="Q102" s="154">
        <v>28670.45</v>
      </c>
    </row>
    <row r="103" spans="1:17" x14ac:dyDescent="0.2">
      <c r="A103" s="8" t="s">
        <v>218</v>
      </c>
      <c r="B103" s="7">
        <v>2012</v>
      </c>
      <c r="C103" s="7" t="s">
        <v>219</v>
      </c>
      <c r="D103" s="2">
        <v>325.27171981554847</v>
      </c>
      <c r="E103" s="2">
        <v>1421038.44</v>
      </c>
      <c r="F103" s="7">
        <v>9037891.3300000001</v>
      </c>
      <c r="G103" s="7">
        <v>222254.13</v>
      </c>
      <c r="H103" s="7">
        <v>15926.97</v>
      </c>
      <c r="I103" s="155">
        <v>2421109.21</v>
      </c>
      <c r="J103" s="155">
        <v>2606858.63</v>
      </c>
      <c r="K103" s="155">
        <v>285836.45</v>
      </c>
      <c r="L103" s="155">
        <v>2998838.64</v>
      </c>
      <c r="M103" s="26">
        <v>1127.8073776982774</v>
      </c>
      <c r="N103" s="26">
        <v>1214.3336547509248</v>
      </c>
      <c r="O103" s="26">
        <v>133.1490772054371</v>
      </c>
      <c r="P103" s="26">
        <v>1396.9268006372456</v>
      </c>
      <c r="Q103" s="154">
        <v>2146.7399999999998</v>
      </c>
    </row>
    <row r="104" spans="1:17" x14ac:dyDescent="0.2">
      <c r="A104" s="8" t="s">
        <v>220</v>
      </c>
      <c r="B104" s="7">
        <v>2012</v>
      </c>
      <c r="C104" s="7" t="s">
        <v>221</v>
      </c>
      <c r="D104" s="2">
        <v>206.2678861006894</v>
      </c>
      <c r="E104" s="2">
        <v>842849.31</v>
      </c>
      <c r="F104" s="7">
        <v>7920290.9000000004</v>
      </c>
      <c r="G104" s="7">
        <v>140627.26999999999</v>
      </c>
      <c r="H104" s="7">
        <v>36325.879999999997</v>
      </c>
      <c r="I104" s="155">
        <v>2178683.31</v>
      </c>
      <c r="J104" s="155">
        <v>2429264.2999999998</v>
      </c>
      <c r="K104" s="155">
        <v>221850.77</v>
      </c>
      <c r="L104" s="155">
        <v>1615283.94</v>
      </c>
      <c r="M104" s="26">
        <v>998.31069433689072</v>
      </c>
      <c r="N104" s="26">
        <v>1113.1312747151032</v>
      </c>
      <c r="O104" s="26">
        <v>101.65589244720189</v>
      </c>
      <c r="P104" s="26">
        <v>740.15127590646864</v>
      </c>
      <c r="Q104" s="154">
        <v>2182.37</v>
      </c>
    </row>
    <row r="105" spans="1:17" x14ac:dyDescent="0.2">
      <c r="A105" s="8" t="s">
        <v>222</v>
      </c>
      <c r="B105" s="7">
        <v>2012</v>
      </c>
      <c r="C105" s="7" t="s">
        <v>223</v>
      </c>
      <c r="D105" s="2">
        <v>66.421008579200659</v>
      </c>
      <c r="E105" s="2">
        <v>99389.18</v>
      </c>
      <c r="F105" s="7">
        <v>2000327.6799999999</v>
      </c>
      <c r="G105" s="7">
        <v>65561.13</v>
      </c>
      <c r="H105" s="7">
        <v>28728</v>
      </c>
      <c r="I105" s="155">
        <v>720416.18</v>
      </c>
      <c r="J105" s="155">
        <v>893264.13</v>
      </c>
      <c r="K105" s="155">
        <v>82740.259999999995</v>
      </c>
      <c r="L105" s="155">
        <v>567142.82999999996</v>
      </c>
      <c r="M105" s="26">
        <v>1169.2410491122148</v>
      </c>
      <c r="N105" s="26">
        <v>1449.7746129126497</v>
      </c>
      <c r="O105" s="26">
        <v>134.28808387704092</v>
      </c>
      <c r="P105" s="26">
        <v>920.47721297107796</v>
      </c>
      <c r="Q105" s="154">
        <v>616.14</v>
      </c>
    </row>
    <row r="106" spans="1:17" x14ac:dyDescent="0.2">
      <c r="A106" s="8" t="s">
        <v>224</v>
      </c>
      <c r="B106" s="7">
        <v>2012</v>
      </c>
      <c r="C106" s="7" t="s">
        <v>225</v>
      </c>
      <c r="D106" s="2">
        <v>367.95438258712426</v>
      </c>
      <c r="E106" s="2">
        <v>1529233.48</v>
      </c>
      <c r="F106" s="7">
        <v>7102900.54</v>
      </c>
      <c r="G106" s="7">
        <v>201522.9</v>
      </c>
      <c r="H106" s="7">
        <v>8740</v>
      </c>
      <c r="I106" s="155">
        <v>1820485.8</v>
      </c>
      <c r="J106" s="155">
        <v>2784540.71</v>
      </c>
      <c r="K106" s="155">
        <v>556180.88</v>
      </c>
      <c r="L106" s="155">
        <v>2049718.55</v>
      </c>
      <c r="M106" s="26">
        <v>859.84725252926012</v>
      </c>
      <c r="N106" s="26">
        <v>1315.1872313694373</v>
      </c>
      <c r="O106" s="26">
        <v>262.69394772390211</v>
      </c>
      <c r="P106" s="26">
        <v>968.11788571806437</v>
      </c>
      <c r="Q106" s="154">
        <v>2117.2199999999998</v>
      </c>
    </row>
    <row r="107" spans="1:17" x14ac:dyDescent="0.2">
      <c r="A107" s="8" t="s">
        <v>226</v>
      </c>
      <c r="B107" s="7">
        <v>2012</v>
      </c>
      <c r="C107" s="7" t="s">
        <v>227</v>
      </c>
      <c r="D107" s="2">
        <v>252.80656697684839</v>
      </c>
      <c r="E107" s="2">
        <v>1118912.3799999999</v>
      </c>
      <c r="F107" s="7">
        <v>5780835.6100000003</v>
      </c>
      <c r="G107" s="7">
        <v>218021.74</v>
      </c>
      <c r="H107" s="7">
        <v>65910.710000000006</v>
      </c>
      <c r="I107" s="155">
        <v>1388604.58</v>
      </c>
      <c r="J107" s="155">
        <v>2796198.4</v>
      </c>
      <c r="K107" s="155">
        <v>368406.78</v>
      </c>
      <c r="L107" s="155">
        <v>940845.22</v>
      </c>
      <c r="M107" s="26">
        <v>753.73423438093698</v>
      </c>
      <c r="N107" s="26">
        <v>1517.7758236986376</v>
      </c>
      <c r="O107" s="26">
        <v>199.97111219671066</v>
      </c>
      <c r="P107" s="26">
        <v>510.69056071215329</v>
      </c>
      <c r="Q107" s="154">
        <v>1842.3</v>
      </c>
    </row>
    <row r="108" spans="1:17" x14ac:dyDescent="0.2">
      <c r="A108" s="8" t="s">
        <v>228</v>
      </c>
      <c r="B108" s="7">
        <v>2012</v>
      </c>
      <c r="C108" s="7" t="s">
        <v>229</v>
      </c>
      <c r="D108" s="2">
        <v>178.70077777777774</v>
      </c>
      <c r="E108" s="2">
        <v>714432.83</v>
      </c>
      <c r="F108" s="7">
        <v>5817123.9199999999</v>
      </c>
      <c r="G108" s="7">
        <v>131938.22</v>
      </c>
      <c r="H108" s="7">
        <v>125624.98</v>
      </c>
      <c r="I108" s="155">
        <v>1729446.22</v>
      </c>
      <c r="J108" s="155">
        <v>2290679.15</v>
      </c>
      <c r="K108" s="155">
        <v>37250.44</v>
      </c>
      <c r="L108" s="155">
        <v>1634182.87</v>
      </c>
      <c r="M108" s="26">
        <v>1049.4148821912488</v>
      </c>
      <c r="N108" s="26">
        <v>1389.9667781142105</v>
      </c>
      <c r="O108" s="26">
        <v>22.603285174240447</v>
      </c>
      <c r="P108" s="26">
        <v>991.60980212498714</v>
      </c>
      <c r="Q108" s="154">
        <v>1648.01</v>
      </c>
    </row>
    <row r="109" spans="1:17" x14ac:dyDescent="0.2">
      <c r="A109" s="8" t="s">
        <v>230</v>
      </c>
      <c r="B109" s="7">
        <v>2012</v>
      </c>
      <c r="C109" s="7" t="s">
        <v>231</v>
      </c>
      <c r="D109" s="2">
        <v>279.27520221370793</v>
      </c>
      <c r="E109" s="2">
        <v>762366.38</v>
      </c>
      <c r="F109" s="7">
        <v>5466762.2300000004</v>
      </c>
      <c r="G109" s="7">
        <v>160125.34</v>
      </c>
      <c r="H109" s="7">
        <v>0</v>
      </c>
      <c r="I109" s="155">
        <v>1916632.6</v>
      </c>
      <c r="J109" s="155">
        <v>2704121.14</v>
      </c>
      <c r="K109" s="155">
        <v>320461.34999999998</v>
      </c>
      <c r="L109" s="155">
        <v>1128566.72</v>
      </c>
      <c r="M109" s="26">
        <v>1187.0928302447726</v>
      </c>
      <c r="N109" s="26">
        <v>1674.8347165791301</v>
      </c>
      <c r="O109" s="26">
        <v>198.48215612922405</v>
      </c>
      <c r="P109" s="26">
        <v>698.99336042017637</v>
      </c>
      <c r="Q109" s="154">
        <v>1614.56</v>
      </c>
    </row>
    <row r="110" spans="1:17" x14ac:dyDescent="0.2">
      <c r="A110" s="8" t="s">
        <v>232</v>
      </c>
      <c r="B110" s="7">
        <v>2012</v>
      </c>
      <c r="C110" s="7" t="s">
        <v>233</v>
      </c>
      <c r="D110" s="2">
        <v>1016.3287006694856</v>
      </c>
      <c r="E110" s="2">
        <v>8695961.4700000007</v>
      </c>
      <c r="F110" s="7">
        <v>38246678.770000003</v>
      </c>
      <c r="G110" s="7">
        <v>782313.35</v>
      </c>
      <c r="H110" s="7">
        <v>88232.04</v>
      </c>
      <c r="I110" s="155">
        <v>12795813.24</v>
      </c>
      <c r="J110" s="155">
        <v>17154392.050000001</v>
      </c>
      <c r="K110" s="155">
        <v>3152980.52</v>
      </c>
      <c r="L110" s="155">
        <v>11681831.24</v>
      </c>
      <c r="M110" s="26">
        <v>2220.2965482178893</v>
      </c>
      <c r="N110" s="26">
        <v>2976.5859145496097</v>
      </c>
      <c r="O110" s="26">
        <v>547.09705697097581</v>
      </c>
      <c r="P110" s="26">
        <v>2027.0012614716709</v>
      </c>
      <c r="Q110" s="154">
        <v>5763.11</v>
      </c>
    </row>
    <row r="111" spans="1:17" x14ac:dyDescent="0.2">
      <c r="A111" s="8" t="s">
        <v>234</v>
      </c>
      <c r="B111" s="7">
        <v>2012</v>
      </c>
      <c r="C111" s="7" t="s">
        <v>235</v>
      </c>
      <c r="D111" s="2">
        <v>9045.7159291397438</v>
      </c>
      <c r="E111" s="2">
        <v>66292349.409999996</v>
      </c>
      <c r="F111" s="7">
        <v>155439801.78999999</v>
      </c>
      <c r="G111" s="7">
        <v>3651938.63</v>
      </c>
      <c r="H111" s="7">
        <v>238455.55</v>
      </c>
      <c r="I111" s="155">
        <v>47109705.689999998</v>
      </c>
      <c r="J111" s="155">
        <v>82223608.060000002</v>
      </c>
      <c r="K111" s="155">
        <v>13541998.550000001</v>
      </c>
      <c r="L111" s="155">
        <v>43307878.609999999</v>
      </c>
      <c r="M111" s="26">
        <v>1154.5559830807845</v>
      </c>
      <c r="N111" s="26">
        <v>2015.1210296419581</v>
      </c>
      <c r="O111" s="26">
        <v>331.88480419848298</v>
      </c>
      <c r="P111" s="26">
        <v>1061.3815058141117</v>
      </c>
      <c r="Q111" s="154">
        <v>40803.31</v>
      </c>
    </row>
    <row r="112" spans="1:17" x14ac:dyDescent="0.2">
      <c r="A112" s="8" t="s">
        <v>236</v>
      </c>
      <c r="B112" s="7">
        <v>2012</v>
      </c>
      <c r="C112" s="7" t="s">
        <v>237</v>
      </c>
      <c r="D112" s="2">
        <v>181.02900481540931</v>
      </c>
      <c r="E112" s="2">
        <v>651873.02</v>
      </c>
      <c r="F112" s="7">
        <v>6127243.54</v>
      </c>
      <c r="G112" s="7">
        <v>187391.86</v>
      </c>
      <c r="H112" s="7">
        <v>269299.51</v>
      </c>
      <c r="I112" s="155">
        <v>1558968.6</v>
      </c>
      <c r="J112" s="155">
        <v>2450410.35</v>
      </c>
      <c r="K112" s="155">
        <v>702767.44</v>
      </c>
      <c r="L112" s="155">
        <v>1631317.99</v>
      </c>
      <c r="M112" s="26">
        <v>855.11025055948051</v>
      </c>
      <c r="N112" s="26">
        <v>1344.0751842994428</v>
      </c>
      <c r="O112" s="26">
        <v>385.47514151564349</v>
      </c>
      <c r="P112" s="26">
        <v>894.794632278731</v>
      </c>
      <c r="Q112" s="154">
        <v>1823.12</v>
      </c>
    </row>
    <row r="113" spans="1:17" x14ac:dyDescent="0.2">
      <c r="A113" s="8" t="s">
        <v>238</v>
      </c>
      <c r="B113" s="7">
        <v>2012</v>
      </c>
      <c r="C113" s="7" t="s">
        <v>239</v>
      </c>
      <c r="D113" s="2">
        <v>312.60382910148701</v>
      </c>
      <c r="E113" s="2">
        <v>1392377.04</v>
      </c>
      <c r="F113" s="7">
        <v>11196577.800000001</v>
      </c>
      <c r="G113" s="7">
        <v>200330.09</v>
      </c>
      <c r="H113" s="7">
        <v>3654.59</v>
      </c>
      <c r="I113" s="155">
        <v>2441465.7400000002</v>
      </c>
      <c r="J113" s="155">
        <v>4283783.5</v>
      </c>
      <c r="K113" s="155">
        <v>286822.28000000003</v>
      </c>
      <c r="L113" s="155">
        <v>3454442.15</v>
      </c>
      <c r="M113" s="26">
        <v>893.36734141272211</v>
      </c>
      <c r="N113" s="26">
        <v>1567.4978411053539</v>
      </c>
      <c r="O113" s="26">
        <v>104.95238722519834</v>
      </c>
      <c r="P113" s="26">
        <v>1264.0299427709961</v>
      </c>
      <c r="Q113" s="154">
        <v>2732.88</v>
      </c>
    </row>
    <row r="114" spans="1:17" x14ac:dyDescent="0.2">
      <c r="A114" s="8" t="s">
        <v>240</v>
      </c>
      <c r="B114" s="7">
        <v>2012</v>
      </c>
      <c r="C114" s="7" t="s">
        <v>241</v>
      </c>
      <c r="D114" s="2">
        <v>264.71822216478324</v>
      </c>
      <c r="E114" s="2">
        <v>1006352.67</v>
      </c>
      <c r="F114" s="7">
        <v>8380849.4800000004</v>
      </c>
      <c r="G114" s="7">
        <v>241250.48</v>
      </c>
      <c r="H114" s="7">
        <v>0</v>
      </c>
      <c r="I114" s="155">
        <v>1977239.87</v>
      </c>
      <c r="J114" s="155">
        <v>2355593.86</v>
      </c>
      <c r="K114" s="155">
        <v>161732.51</v>
      </c>
      <c r="L114" s="155">
        <v>1804855.62</v>
      </c>
      <c r="M114" s="26">
        <v>892.07913139990262</v>
      </c>
      <c r="N114" s="26">
        <v>1062.7825973182219</v>
      </c>
      <c r="O114" s="26">
        <v>72.969496128927474</v>
      </c>
      <c r="P114" s="26">
        <v>814.30384761148514</v>
      </c>
      <c r="Q114" s="154">
        <v>2216.44</v>
      </c>
    </row>
    <row r="115" spans="1:17" x14ac:dyDescent="0.2">
      <c r="A115" s="8" t="s">
        <v>242</v>
      </c>
      <c r="B115" s="7">
        <v>2012</v>
      </c>
      <c r="C115" s="7" t="s">
        <v>243</v>
      </c>
      <c r="D115" s="2">
        <v>108.08260123683327</v>
      </c>
      <c r="E115" s="2">
        <v>714538.92</v>
      </c>
      <c r="F115" s="7">
        <v>5484024.5800000001</v>
      </c>
      <c r="G115" s="7">
        <v>194885.38</v>
      </c>
      <c r="H115" s="7">
        <v>1207.97</v>
      </c>
      <c r="I115" s="155">
        <v>1321733.1200000001</v>
      </c>
      <c r="J115" s="155">
        <v>1275618.73</v>
      </c>
      <c r="K115" s="155">
        <v>46073.72</v>
      </c>
      <c r="L115" s="155">
        <v>1038535.95</v>
      </c>
      <c r="M115" s="26">
        <v>944.45262849507321</v>
      </c>
      <c r="N115" s="26">
        <v>911.50130406511028</v>
      </c>
      <c r="O115" s="26">
        <v>32.922263428297853</v>
      </c>
      <c r="P115" s="26">
        <v>742.0923278098137</v>
      </c>
      <c r="Q115" s="154">
        <v>1399.47</v>
      </c>
    </row>
    <row r="116" spans="1:17" x14ac:dyDescent="0.2">
      <c r="A116" s="8" t="s">
        <v>244</v>
      </c>
      <c r="B116" s="7">
        <v>2012</v>
      </c>
      <c r="C116" s="7" t="s">
        <v>245</v>
      </c>
      <c r="D116" s="2">
        <v>4.3944444444444448</v>
      </c>
      <c r="E116" s="2">
        <v>0</v>
      </c>
      <c r="F116" s="7">
        <v>68487.91</v>
      </c>
      <c r="G116" s="7">
        <v>0</v>
      </c>
      <c r="H116" s="7">
        <v>0</v>
      </c>
      <c r="I116" s="155">
        <v>147894</v>
      </c>
      <c r="J116" s="155">
        <v>31694.07</v>
      </c>
      <c r="K116" s="155">
        <v>1019.1</v>
      </c>
      <c r="L116" s="155">
        <v>3202.83</v>
      </c>
      <c r="M116" s="26">
        <v>1680.8046368905559</v>
      </c>
      <c r="N116" s="26">
        <v>360.20081827480396</v>
      </c>
      <c r="O116" s="26">
        <v>11.581997954312991</v>
      </c>
      <c r="P116" s="26">
        <v>36.399931810433003</v>
      </c>
      <c r="Q116" s="154">
        <v>87.99</v>
      </c>
    </row>
    <row r="117" spans="1:17" x14ac:dyDescent="0.2">
      <c r="A117" s="8" t="s">
        <v>246</v>
      </c>
      <c r="B117" s="7">
        <v>2012</v>
      </c>
      <c r="C117" s="7" t="s">
        <v>247</v>
      </c>
      <c r="D117" s="2">
        <v>145.25044244886917</v>
      </c>
      <c r="E117" s="2">
        <v>559019.1</v>
      </c>
      <c r="F117" s="7">
        <v>3203974.86</v>
      </c>
      <c r="G117" s="7">
        <v>115780.67</v>
      </c>
      <c r="H117" s="7">
        <v>14245.9</v>
      </c>
      <c r="I117" s="155">
        <v>1014487.88</v>
      </c>
      <c r="J117" s="155">
        <v>1491628.15</v>
      </c>
      <c r="K117" s="155">
        <v>26179.38</v>
      </c>
      <c r="L117" s="155">
        <v>1026316.89</v>
      </c>
      <c r="M117" s="26">
        <v>1101.303646449624</v>
      </c>
      <c r="N117" s="26">
        <v>1619.2756494458135</v>
      </c>
      <c r="O117" s="26">
        <v>28.419705374686544</v>
      </c>
      <c r="P117" s="26">
        <v>1114.1449352453944</v>
      </c>
      <c r="Q117" s="154">
        <v>921.17</v>
      </c>
    </row>
    <row r="118" spans="1:17" x14ac:dyDescent="0.2">
      <c r="A118" s="8" t="s">
        <v>248</v>
      </c>
      <c r="B118" s="7">
        <v>2012</v>
      </c>
      <c r="C118" s="7" t="s">
        <v>249</v>
      </c>
      <c r="D118" s="2">
        <v>76.215909090909079</v>
      </c>
      <c r="E118" s="2">
        <v>640927.25</v>
      </c>
      <c r="F118" s="7">
        <v>4233083.5999999996</v>
      </c>
      <c r="G118" s="7">
        <v>76428.31</v>
      </c>
      <c r="H118" s="7">
        <v>11275.16</v>
      </c>
      <c r="I118" s="155">
        <v>1553724.81</v>
      </c>
      <c r="J118" s="155">
        <v>1629569.45</v>
      </c>
      <c r="K118" s="155">
        <v>253737.67</v>
      </c>
      <c r="L118" s="155">
        <v>926683.79</v>
      </c>
      <c r="M118" s="26">
        <v>1590.9205320390736</v>
      </c>
      <c r="N118" s="26">
        <v>1668.5808707583296</v>
      </c>
      <c r="O118" s="26">
        <v>259.81207634494484</v>
      </c>
      <c r="P118" s="26">
        <v>948.86833159263585</v>
      </c>
      <c r="Q118" s="154">
        <v>976.62</v>
      </c>
    </row>
    <row r="119" spans="1:17" x14ac:dyDescent="0.2">
      <c r="A119" s="8" t="s">
        <v>250</v>
      </c>
      <c r="B119" s="7">
        <v>2012</v>
      </c>
      <c r="C119" s="7" t="s">
        <v>251</v>
      </c>
      <c r="D119" s="2">
        <v>120.94427191543647</v>
      </c>
      <c r="E119" s="2">
        <v>382705.64</v>
      </c>
      <c r="F119" s="7">
        <v>3346485.33</v>
      </c>
      <c r="G119" s="7">
        <v>57689.59</v>
      </c>
      <c r="H119" s="7">
        <v>68250.929999999993</v>
      </c>
      <c r="I119" s="155">
        <v>1149740.3500000001</v>
      </c>
      <c r="J119" s="155">
        <v>907939.13</v>
      </c>
      <c r="K119" s="155">
        <v>104105.34</v>
      </c>
      <c r="L119" s="155">
        <v>715031.42</v>
      </c>
      <c r="M119" s="26">
        <v>1125.9600732528988</v>
      </c>
      <c r="N119" s="26">
        <v>889.16006933563142</v>
      </c>
      <c r="O119" s="26">
        <v>101.95211140708241</v>
      </c>
      <c r="P119" s="26">
        <v>700.24230256972737</v>
      </c>
      <c r="Q119" s="154">
        <v>1021.12</v>
      </c>
    </row>
    <row r="120" spans="1:17" x14ac:dyDescent="0.2">
      <c r="A120" s="8" t="s">
        <v>252</v>
      </c>
      <c r="B120" s="7">
        <v>2012</v>
      </c>
      <c r="C120" s="7" t="s">
        <v>253</v>
      </c>
      <c r="D120" s="2">
        <v>7483.6567433466125</v>
      </c>
      <c r="E120" s="2">
        <v>59784534.840000004</v>
      </c>
      <c r="F120" s="7">
        <v>216613400.66</v>
      </c>
      <c r="G120" s="7">
        <v>4597918.0199999996</v>
      </c>
      <c r="H120" s="7">
        <v>434229.18</v>
      </c>
      <c r="I120" s="155">
        <v>79107635.409999996</v>
      </c>
      <c r="J120" s="155">
        <v>114121522.09999999</v>
      </c>
      <c r="K120" s="155">
        <v>12975659.27</v>
      </c>
      <c r="L120" s="155">
        <v>72715677.870000005</v>
      </c>
      <c r="M120" s="26">
        <v>1600.5937894861861</v>
      </c>
      <c r="N120" s="26">
        <v>2309.0337433708733</v>
      </c>
      <c r="O120" s="26">
        <v>262.53799060495595</v>
      </c>
      <c r="P120" s="26">
        <v>1471.2645851918292</v>
      </c>
      <c r="Q120" s="154">
        <v>49423.93</v>
      </c>
    </row>
    <row r="121" spans="1:17" x14ac:dyDescent="0.2">
      <c r="A121" s="8" t="s">
        <v>254</v>
      </c>
      <c r="B121" s="7">
        <v>2012</v>
      </c>
      <c r="C121" s="7" t="s">
        <v>255</v>
      </c>
      <c r="D121" s="2">
        <v>85.118765393527553</v>
      </c>
      <c r="E121" s="2">
        <v>362460.73</v>
      </c>
      <c r="F121" s="7">
        <v>3455927.26</v>
      </c>
      <c r="G121" s="7">
        <v>115820.59</v>
      </c>
      <c r="H121" s="7">
        <v>50097.78</v>
      </c>
      <c r="I121" s="155">
        <v>955922.42</v>
      </c>
      <c r="J121" s="155">
        <v>927054.35</v>
      </c>
      <c r="K121" s="155">
        <v>16134.06</v>
      </c>
      <c r="L121" s="155">
        <v>604822.13</v>
      </c>
      <c r="M121" s="26">
        <v>1064.7268575756564</v>
      </c>
      <c r="N121" s="26">
        <v>1032.572983147882</v>
      </c>
      <c r="O121" s="26">
        <v>17.970461456210113</v>
      </c>
      <c r="P121" s="26">
        <v>673.66383756028563</v>
      </c>
      <c r="Q121" s="154">
        <v>897.81</v>
      </c>
    </row>
    <row r="122" spans="1:17" x14ac:dyDescent="0.2">
      <c r="A122" s="8" t="s">
        <v>256</v>
      </c>
      <c r="B122" s="7">
        <v>2012</v>
      </c>
      <c r="C122" s="7" t="s">
        <v>257</v>
      </c>
      <c r="D122" s="2">
        <v>287.55494382022465</v>
      </c>
      <c r="E122" s="2">
        <v>1286109.3500000001</v>
      </c>
      <c r="F122" s="7">
        <v>6658339.0099999998</v>
      </c>
      <c r="G122" s="7">
        <v>52436.07</v>
      </c>
      <c r="H122" s="7">
        <v>27294.99</v>
      </c>
      <c r="I122" s="155">
        <v>2062483.45</v>
      </c>
      <c r="J122" s="155">
        <v>2324449.67</v>
      </c>
      <c r="K122" s="155">
        <v>441317.5</v>
      </c>
      <c r="L122" s="155">
        <v>1507575.28</v>
      </c>
      <c r="M122" s="26">
        <v>1127.3912912765177</v>
      </c>
      <c r="N122" s="26">
        <v>1270.586833057291</v>
      </c>
      <c r="O122" s="26">
        <v>241.23224173649714</v>
      </c>
      <c r="P122" s="26">
        <v>824.06830542846683</v>
      </c>
      <c r="Q122" s="154">
        <v>1829.43</v>
      </c>
    </row>
    <row r="123" spans="1:17" x14ac:dyDescent="0.2">
      <c r="A123" s="8" t="s">
        <v>258</v>
      </c>
      <c r="B123" s="7">
        <v>2012</v>
      </c>
      <c r="C123" s="7" t="s">
        <v>259</v>
      </c>
      <c r="D123" s="2">
        <v>87.55066705164198</v>
      </c>
      <c r="E123" s="2">
        <v>237700.09</v>
      </c>
      <c r="F123" s="7">
        <v>2034705.68</v>
      </c>
      <c r="G123" s="7">
        <v>50562.720000000001</v>
      </c>
      <c r="H123" s="7">
        <v>11602.13</v>
      </c>
      <c r="I123" s="155">
        <v>741778.72</v>
      </c>
      <c r="J123" s="155">
        <v>874683.54</v>
      </c>
      <c r="K123" s="155">
        <v>136631.54999999999</v>
      </c>
      <c r="L123" s="155">
        <v>323995.3</v>
      </c>
      <c r="M123" s="26">
        <v>1450.1177252556058</v>
      </c>
      <c r="N123" s="26">
        <v>1709.9359568353764</v>
      </c>
      <c r="O123" s="26">
        <v>267.10368893320037</v>
      </c>
      <c r="P123" s="26">
        <v>633.3847477176314</v>
      </c>
      <c r="Q123" s="154">
        <v>511.53</v>
      </c>
    </row>
    <row r="124" spans="1:17" x14ac:dyDescent="0.2">
      <c r="A124" s="8" t="s">
        <v>260</v>
      </c>
      <c r="B124" s="7">
        <v>2012</v>
      </c>
      <c r="C124" s="7" t="s">
        <v>261</v>
      </c>
      <c r="D124" s="2">
        <v>78.699962921764921</v>
      </c>
      <c r="E124" s="2">
        <v>304872.94</v>
      </c>
      <c r="F124" s="7">
        <v>1929830.32</v>
      </c>
      <c r="G124" s="7">
        <v>58440.89</v>
      </c>
      <c r="H124" s="7">
        <v>6521.45</v>
      </c>
      <c r="I124" s="155">
        <v>673483.75</v>
      </c>
      <c r="J124" s="155">
        <v>883056.98</v>
      </c>
      <c r="K124" s="155">
        <v>33799.33</v>
      </c>
      <c r="L124" s="155">
        <v>370929.97</v>
      </c>
      <c r="M124" s="26">
        <v>1398.8072984817329</v>
      </c>
      <c r="N124" s="26">
        <v>1834.0851558767938</v>
      </c>
      <c r="O124" s="26">
        <v>70.200282468274239</v>
      </c>
      <c r="P124" s="26">
        <v>770.41138596381904</v>
      </c>
      <c r="Q124" s="154">
        <v>481.47</v>
      </c>
    </row>
    <row r="125" spans="1:17" x14ac:dyDescent="0.2">
      <c r="A125" s="8" t="s">
        <v>262</v>
      </c>
      <c r="B125" s="7">
        <v>2012</v>
      </c>
      <c r="C125" s="7" t="s">
        <v>263</v>
      </c>
      <c r="D125" s="2">
        <v>315.06303017656501</v>
      </c>
      <c r="E125" s="2">
        <v>1498370.64</v>
      </c>
      <c r="F125" s="7">
        <v>14088860.220000001</v>
      </c>
      <c r="G125" s="7">
        <v>638070.67000000004</v>
      </c>
      <c r="H125" s="7">
        <v>339743.46</v>
      </c>
      <c r="I125" s="155">
        <v>3321327.62</v>
      </c>
      <c r="J125" s="155">
        <v>4455914.22</v>
      </c>
      <c r="K125" s="155">
        <v>941698.31</v>
      </c>
      <c r="L125" s="155">
        <v>3245621.15</v>
      </c>
      <c r="M125" s="26">
        <v>1059.4684423745573</v>
      </c>
      <c r="N125" s="26">
        <v>1421.3895881846311</v>
      </c>
      <c r="O125" s="26">
        <v>300.39181792082684</v>
      </c>
      <c r="P125" s="26">
        <v>1035.318877795145</v>
      </c>
      <c r="Q125" s="154">
        <v>3134.9</v>
      </c>
    </row>
    <row r="126" spans="1:17" x14ac:dyDescent="0.2">
      <c r="A126" s="8" t="s">
        <v>264</v>
      </c>
      <c r="B126" s="7">
        <v>2012</v>
      </c>
      <c r="C126" s="7" t="s">
        <v>265</v>
      </c>
      <c r="D126" s="2">
        <v>103.46410622542</v>
      </c>
      <c r="E126" s="2">
        <v>408869.74</v>
      </c>
      <c r="F126" s="7">
        <v>2140882.5699999998</v>
      </c>
      <c r="G126" s="7">
        <v>64073.38</v>
      </c>
      <c r="H126" s="7">
        <v>29485.74</v>
      </c>
      <c r="I126" s="155">
        <v>1113743.92</v>
      </c>
      <c r="J126" s="155">
        <v>1044053.48</v>
      </c>
      <c r="K126" s="155">
        <v>7179.63</v>
      </c>
      <c r="L126" s="155">
        <v>753554.95</v>
      </c>
      <c r="M126" s="26">
        <v>1856.0542612405427</v>
      </c>
      <c r="N126" s="26">
        <v>1739.9151418191516</v>
      </c>
      <c r="O126" s="26">
        <v>11.964853514648537</v>
      </c>
      <c r="P126" s="26">
        <v>1255.7993367329934</v>
      </c>
      <c r="Q126" s="154">
        <v>600.05999999999995</v>
      </c>
    </row>
    <row r="127" spans="1:17" x14ac:dyDescent="0.2">
      <c r="A127" s="8" t="s">
        <v>266</v>
      </c>
      <c r="B127" s="7">
        <v>2012</v>
      </c>
      <c r="C127" s="7" t="s">
        <v>267</v>
      </c>
      <c r="D127" s="2">
        <v>321.68284090909185</v>
      </c>
      <c r="E127" s="2">
        <v>1163512.3500000001</v>
      </c>
      <c r="F127" s="7">
        <v>6369231.3799999999</v>
      </c>
      <c r="G127" s="7">
        <v>136016.43</v>
      </c>
      <c r="H127" s="7">
        <v>41412.49</v>
      </c>
      <c r="I127" s="155">
        <v>1851457.99</v>
      </c>
      <c r="J127" s="155">
        <v>2072434.87</v>
      </c>
      <c r="K127" s="155">
        <v>223215.26</v>
      </c>
      <c r="L127" s="155">
        <v>1230780.3899999999</v>
      </c>
      <c r="M127" s="26">
        <v>1099.9566245447686</v>
      </c>
      <c r="N127" s="26">
        <v>1231.2396373595689</v>
      </c>
      <c r="O127" s="26">
        <v>132.6128409408214</v>
      </c>
      <c r="P127" s="26">
        <v>731.21024114638089</v>
      </c>
      <c r="Q127" s="154">
        <v>1683.21</v>
      </c>
    </row>
    <row r="128" spans="1:17" x14ac:dyDescent="0.2">
      <c r="A128" s="8" t="s">
        <v>268</v>
      </c>
      <c r="B128" s="7">
        <v>2012</v>
      </c>
      <c r="C128" s="7" t="s">
        <v>269</v>
      </c>
      <c r="D128" s="2">
        <v>300.94505617977535</v>
      </c>
      <c r="E128" s="2">
        <v>1221255.6799999999</v>
      </c>
      <c r="F128" s="7">
        <v>8367221.2000000002</v>
      </c>
      <c r="G128" s="7">
        <v>57761.46</v>
      </c>
      <c r="H128" s="7">
        <v>3951.62</v>
      </c>
      <c r="I128" s="155">
        <v>2198795.46</v>
      </c>
      <c r="J128" s="155">
        <v>3338591.63</v>
      </c>
      <c r="K128" s="155">
        <v>473218.05</v>
      </c>
      <c r="L128" s="155">
        <v>2001296.24</v>
      </c>
      <c r="M128" s="26">
        <v>947.99774942765623</v>
      </c>
      <c r="N128" s="26">
        <v>1439.414174294325</v>
      </c>
      <c r="O128" s="26">
        <v>204.02518312846803</v>
      </c>
      <c r="P128" s="26">
        <v>862.84712060394679</v>
      </c>
      <c r="Q128" s="154">
        <v>2319.41</v>
      </c>
    </row>
    <row r="129" spans="1:17" x14ac:dyDescent="0.2">
      <c r="A129" s="8" t="s">
        <v>270</v>
      </c>
      <c r="B129" s="7">
        <v>2012</v>
      </c>
      <c r="C129" s="7" t="s">
        <v>271</v>
      </c>
      <c r="D129" s="2">
        <v>84.477555050531194</v>
      </c>
      <c r="E129" s="2">
        <v>547455.18999999994</v>
      </c>
      <c r="F129" s="7">
        <v>2944342.76</v>
      </c>
      <c r="G129" s="7">
        <v>77910.53</v>
      </c>
      <c r="H129" s="7">
        <v>26658.15</v>
      </c>
      <c r="I129" s="155">
        <v>1080339.96</v>
      </c>
      <c r="J129" s="155">
        <v>1001609.79</v>
      </c>
      <c r="K129" s="155">
        <v>93014.03</v>
      </c>
      <c r="L129" s="155">
        <v>771382.3</v>
      </c>
      <c r="M129" s="26">
        <v>1294.3938751302971</v>
      </c>
      <c r="N129" s="26">
        <v>1200.0644477193487</v>
      </c>
      <c r="O129" s="26">
        <v>111.44343002288439</v>
      </c>
      <c r="P129" s="26">
        <v>924.22067263338249</v>
      </c>
      <c r="Q129" s="154">
        <v>834.63</v>
      </c>
    </row>
    <row r="130" spans="1:17" x14ac:dyDescent="0.2">
      <c r="A130" s="8" t="s">
        <v>272</v>
      </c>
      <c r="B130" s="7">
        <v>2012</v>
      </c>
      <c r="C130" s="7" t="s">
        <v>273</v>
      </c>
      <c r="D130" s="2">
        <v>86.206208279349724</v>
      </c>
      <c r="E130" s="2">
        <v>337005.26</v>
      </c>
      <c r="F130" s="7">
        <v>2439312.13</v>
      </c>
      <c r="G130" s="7">
        <v>71833.3</v>
      </c>
      <c r="H130" s="7">
        <v>16715.52</v>
      </c>
      <c r="I130" s="155">
        <v>1087371.58</v>
      </c>
      <c r="J130" s="155">
        <v>887328.06</v>
      </c>
      <c r="K130" s="155">
        <v>44684.03</v>
      </c>
      <c r="L130" s="155">
        <v>831017.1</v>
      </c>
      <c r="M130" s="26">
        <v>1585.968291473411</v>
      </c>
      <c r="N130" s="26">
        <v>1294.1980397304631</v>
      </c>
      <c r="O130" s="26">
        <v>65.173171727779234</v>
      </c>
      <c r="P130" s="26">
        <v>1212.0665966570402</v>
      </c>
      <c r="Q130" s="154">
        <v>685.62</v>
      </c>
    </row>
    <row r="131" spans="1:17" x14ac:dyDescent="0.2">
      <c r="A131" s="8" t="s">
        <v>274</v>
      </c>
      <c r="B131" s="7">
        <v>2012</v>
      </c>
      <c r="C131" s="7" t="s">
        <v>275</v>
      </c>
      <c r="D131" s="2">
        <v>93.741789684709303</v>
      </c>
      <c r="E131" s="2">
        <v>520919.72</v>
      </c>
      <c r="F131" s="7">
        <v>4333183.4800000004</v>
      </c>
      <c r="G131" s="7">
        <v>185083.95</v>
      </c>
      <c r="H131" s="7">
        <v>10171.120000000001</v>
      </c>
      <c r="I131" s="155">
        <v>1283396.4099999999</v>
      </c>
      <c r="J131" s="155">
        <v>1742416.06</v>
      </c>
      <c r="K131" s="155">
        <v>105744.21</v>
      </c>
      <c r="L131" s="155">
        <v>989605.61</v>
      </c>
      <c r="M131" s="26">
        <v>1039.3809454392315</v>
      </c>
      <c r="N131" s="26">
        <v>1411.1260072726095</v>
      </c>
      <c r="O131" s="26">
        <v>85.638791029908404</v>
      </c>
      <c r="P131" s="26">
        <v>801.44934684192197</v>
      </c>
      <c r="Q131" s="154">
        <v>1234.77</v>
      </c>
    </row>
    <row r="132" spans="1:17" x14ac:dyDescent="0.2">
      <c r="A132" s="8" t="s">
        <v>276</v>
      </c>
      <c r="B132" s="7">
        <v>2012</v>
      </c>
      <c r="C132" s="7" t="s">
        <v>277</v>
      </c>
      <c r="D132" s="2">
        <v>139.12439882697947</v>
      </c>
      <c r="E132" s="2">
        <v>428741.41</v>
      </c>
      <c r="F132" s="7">
        <v>4156295.87</v>
      </c>
      <c r="G132" s="7">
        <v>98159.24</v>
      </c>
      <c r="H132" s="7">
        <v>14427.66</v>
      </c>
      <c r="I132" s="155">
        <v>1152277.8899999999</v>
      </c>
      <c r="J132" s="155">
        <v>1730242.25</v>
      </c>
      <c r="K132" s="155">
        <v>119145.35</v>
      </c>
      <c r="L132" s="155">
        <v>1145974.8999999999</v>
      </c>
      <c r="M132" s="26">
        <v>951.9417489363459</v>
      </c>
      <c r="N132" s="26">
        <v>1429.4206699987608</v>
      </c>
      <c r="O132" s="26">
        <v>98.430624974183161</v>
      </c>
      <c r="P132" s="26">
        <v>946.73460283365682</v>
      </c>
      <c r="Q132" s="154">
        <v>1210.45</v>
      </c>
    </row>
    <row r="133" spans="1:17" x14ac:dyDescent="0.2">
      <c r="A133" s="8" t="s">
        <v>278</v>
      </c>
      <c r="B133" s="7">
        <v>2012</v>
      </c>
      <c r="C133" s="7" t="s">
        <v>279</v>
      </c>
      <c r="D133" s="2">
        <v>120.67708285281225</v>
      </c>
      <c r="E133" s="2">
        <v>386330.75</v>
      </c>
      <c r="F133" s="7">
        <v>3410016.88</v>
      </c>
      <c r="G133" s="7">
        <v>122601.36</v>
      </c>
      <c r="H133" s="7">
        <v>2693</v>
      </c>
      <c r="I133" s="155">
        <v>1370381.26</v>
      </c>
      <c r="J133" s="155">
        <v>939280.37</v>
      </c>
      <c r="K133" s="155">
        <v>67744.09</v>
      </c>
      <c r="L133" s="155">
        <v>614170.39</v>
      </c>
      <c r="M133" s="26">
        <v>1562.3111896482928</v>
      </c>
      <c r="N133" s="26">
        <v>1070.8320925725361</v>
      </c>
      <c r="O133" s="26">
        <v>77.232046970301539</v>
      </c>
      <c r="P133" s="26">
        <v>700.18855383913819</v>
      </c>
      <c r="Q133" s="154">
        <v>877.15</v>
      </c>
    </row>
    <row r="134" spans="1:17" x14ac:dyDescent="0.2">
      <c r="A134" s="8" t="s">
        <v>280</v>
      </c>
      <c r="B134" s="7">
        <v>2012</v>
      </c>
      <c r="C134" s="7" t="s">
        <v>281</v>
      </c>
      <c r="D134" s="2">
        <v>252.6835627557009</v>
      </c>
      <c r="E134" s="2">
        <v>1270520.3600000001</v>
      </c>
      <c r="F134" s="7">
        <v>8566849.5800000001</v>
      </c>
      <c r="G134" s="7">
        <v>197593.81</v>
      </c>
      <c r="H134" s="7">
        <v>21124.639999999999</v>
      </c>
      <c r="I134" s="155">
        <v>3173222.09</v>
      </c>
      <c r="J134" s="155">
        <v>3508480.29</v>
      </c>
      <c r="K134" s="155">
        <v>492838.02</v>
      </c>
      <c r="L134" s="155">
        <v>1649507.4</v>
      </c>
      <c r="M134" s="26">
        <v>1531.1305302368671</v>
      </c>
      <c r="N134" s="26">
        <v>1692.8979864606004</v>
      </c>
      <c r="O134" s="26">
        <v>237.80224562961106</v>
      </c>
      <c r="P134" s="26">
        <v>795.91376473483331</v>
      </c>
      <c r="Q134" s="154">
        <v>2072.4699999999998</v>
      </c>
    </row>
    <row r="135" spans="1:17" x14ac:dyDescent="0.2">
      <c r="A135" s="8" t="s">
        <v>282</v>
      </c>
      <c r="B135" s="7">
        <v>2012</v>
      </c>
      <c r="C135" s="7" t="s">
        <v>283</v>
      </c>
      <c r="D135" s="2">
        <v>162.75987787356306</v>
      </c>
      <c r="E135" s="2">
        <v>757898.97</v>
      </c>
      <c r="F135" s="7">
        <v>3772999.95</v>
      </c>
      <c r="G135" s="7">
        <v>96497.87</v>
      </c>
      <c r="H135" s="7">
        <v>237.8</v>
      </c>
      <c r="I135" s="155">
        <v>1255846.73</v>
      </c>
      <c r="J135" s="155">
        <v>1496470.64</v>
      </c>
      <c r="K135" s="155">
        <v>10106.15</v>
      </c>
      <c r="L135" s="155">
        <v>852734.33</v>
      </c>
      <c r="M135" s="26">
        <v>1153.2215447341114</v>
      </c>
      <c r="N135" s="26">
        <v>1374.1821687986114</v>
      </c>
      <c r="O135" s="26">
        <v>9.2802964214547412</v>
      </c>
      <c r="P135" s="26">
        <v>783.05065243941624</v>
      </c>
      <c r="Q135" s="154">
        <v>1088.99</v>
      </c>
    </row>
    <row r="136" spans="1:17" x14ac:dyDescent="0.2">
      <c r="A136" s="8" t="s">
        <v>284</v>
      </c>
      <c r="B136" s="7">
        <v>2012</v>
      </c>
      <c r="C136" s="7" t="s">
        <v>285</v>
      </c>
      <c r="D136" s="2">
        <v>700.91918180694609</v>
      </c>
      <c r="E136" s="2">
        <v>2721918.32</v>
      </c>
      <c r="F136" s="7">
        <v>17981990.129999999</v>
      </c>
      <c r="G136" s="7">
        <v>261544.47</v>
      </c>
      <c r="H136" s="7">
        <v>199978.43</v>
      </c>
      <c r="I136" s="155">
        <v>4342522.25</v>
      </c>
      <c r="J136" s="155">
        <v>5720638.79</v>
      </c>
      <c r="K136" s="155">
        <v>395713.77</v>
      </c>
      <c r="L136" s="155">
        <v>4330236.3899999997</v>
      </c>
      <c r="M136" s="26">
        <v>945.40563517652924</v>
      </c>
      <c r="N136" s="26">
        <v>1245.4338371842405</v>
      </c>
      <c r="O136" s="26">
        <v>86.150399822349556</v>
      </c>
      <c r="P136" s="26">
        <v>942.73089441337254</v>
      </c>
      <c r="Q136" s="154">
        <v>4593.29</v>
      </c>
    </row>
    <row r="137" spans="1:17" x14ac:dyDescent="0.2">
      <c r="A137" s="8" t="s">
        <v>286</v>
      </c>
      <c r="B137" s="7">
        <v>2012</v>
      </c>
      <c r="C137" s="7" t="s">
        <v>287</v>
      </c>
      <c r="D137" s="2">
        <v>87.406602914389794</v>
      </c>
      <c r="E137" s="2">
        <v>5756.31</v>
      </c>
      <c r="F137" s="7">
        <v>6017930.9299999997</v>
      </c>
      <c r="G137" s="7">
        <v>43238.19</v>
      </c>
      <c r="H137" s="7">
        <v>1951.88</v>
      </c>
      <c r="I137" s="155">
        <v>2274564.2799999998</v>
      </c>
      <c r="J137" s="155">
        <v>2289148.61</v>
      </c>
      <c r="K137" s="155">
        <v>114659.34</v>
      </c>
      <c r="L137" s="155">
        <v>1992855.76</v>
      </c>
      <c r="M137" s="26">
        <v>2545.4227106391072</v>
      </c>
      <c r="N137" s="26">
        <v>2561.7437639185755</v>
      </c>
      <c r="O137" s="26">
        <v>128.31314137356057</v>
      </c>
      <c r="P137" s="26">
        <v>2230.1679293635784</v>
      </c>
      <c r="Q137" s="154">
        <v>893.59</v>
      </c>
    </row>
    <row r="138" spans="1:17" x14ac:dyDescent="0.2">
      <c r="A138" s="8" t="s">
        <v>288</v>
      </c>
      <c r="B138" s="7">
        <v>2012</v>
      </c>
      <c r="C138" s="7" t="s">
        <v>289</v>
      </c>
      <c r="D138" s="2">
        <v>63.560936815316673</v>
      </c>
      <c r="E138" s="2">
        <v>328592.42</v>
      </c>
      <c r="F138" s="7">
        <v>3005027.57</v>
      </c>
      <c r="G138" s="7">
        <v>72354.960000000006</v>
      </c>
      <c r="H138" s="7">
        <v>0</v>
      </c>
      <c r="I138" s="155">
        <v>981913.11</v>
      </c>
      <c r="J138" s="155">
        <v>1171644.73</v>
      </c>
      <c r="K138" s="155">
        <v>100853.12</v>
      </c>
      <c r="L138" s="155">
        <v>957758.9</v>
      </c>
      <c r="M138" s="26">
        <v>1078.6816399169495</v>
      </c>
      <c r="N138" s="26">
        <v>1287.1115029276384</v>
      </c>
      <c r="O138" s="26">
        <v>110.79229696030936</v>
      </c>
      <c r="P138" s="26">
        <v>1052.1470080963211</v>
      </c>
      <c r="Q138" s="154">
        <v>910.29</v>
      </c>
    </row>
    <row r="139" spans="1:17" x14ac:dyDescent="0.2">
      <c r="A139" s="8" t="s">
        <v>290</v>
      </c>
      <c r="B139" s="7">
        <v>2012</v>
      </c>
      <c r="C139" s="7" t="s">
        <v>291</v>
      </c>
      <c r="D139" s="2">
        <v>70.984310187716417</v>
      </c>
      <c r="E139" s="2">
        <v>403359.63</v>
      </c>
      <c r="F139" s="7">
        <v>3609845.33</v>
      </c>
      <c r="G139" s="7">
        <v>176521.21</v>
      </c>
      <c r="H139" s="7">
        <v>68732.639999999999</v>
      </c>
      <c r="I139" s="155">
        <v>1322263.58</v>
      </c>
      <c r="J139" s="155">
        <v>1279730.6200000001</v>
      </c>
      <c r="K139" s="155">
        <v>295498.69</v>
      </c>
      <c r="L139" s="155">
        <v>933909.95</v>
      </c>
      <c r="M139" s="26">
        <v>2328.8718671292954</v>
      </c>
      <c r="N139" s="26">
        <v>2253.9595610898782</v>
      </c>
      <c r="O139" s="26">
        <v>520.45492012610737</v>
      </c>
      <c r="P139" s="26">
        <v>1644.8737164696972</v>
      </c>
      <c r="Q139" s="154">
        <v>567.77</v>
      </c>
    </row>
    <row r="140" spans="1:17" x14ac:dyDescent="0.2">
      <c r="A140" s="8" t="s">
        <v>292</v>
      </c>
      <c r="B140" s="7">
        <v>2012</v>
      </c>
      <c r="C140" s="7" t="s">
        <v>293</v>
      </c>
      <c r="D140" s="2">
        <v>112.97312866568912</v>
      </c>
      <c r="E140" s="2">
        <v>328281.86</v>
      </c>
      <c r="F140" s="7">
        <v>2037748.89</v>
      </c>
      <c r="G140" s="7">
        <v>60203.91</v>
      </c>
      <c r="H140" s="7">
        <v>4490.71</v>
      </c>
      <c r="I140" s="155">
        <v>875490.1</v>
      </c>
      <c r="J140" s="155">
        <v>933329.05</v>
      </c>
      <c r="K140" s="155">
        <v>83081.009999999995</v>
      </c>
      <c r="L140" s="155">
        <v>495523.99</v>
      </c>
      <c r="M140" s="26">
        <v>1287.3907800896993</v>
      </c>
      <c r="N140" s="26">
        <v>1372.4418057495775</v>
      </c>
      <c r="O140" s="26">
        <v>122.16897286964193</v>
      </c>
      <c r="P140" s="26">
        <v>728.65817219322116</v>
      </c>
      <c r="Q140" s="154">
        <v>680.05</v>
      </c>
    </row>
    <row r="141" spans="1:17" x14ac:dyDescent="0.2">
      <c r="A141" s="8" t="s">
        <v>294</v>
      </c>
      <c r="B141" s="7">
        <v>2012</v>
      </c>
      <c r="C141" s="7" t="s">
        <v>295</v>
      </c>
      <c r="D141" s="2">
        <v>193.5961849710983</v>
      </c>
      <c r="E141" s="2">
        <v>0</v>
      </c>
      <c r="F141" s="7">
        <v>3780575.05</v>
      </c>
      <c r="G141" s="7">
        <v>181482</v>
      </c>
      <c r="H141" s="7">
        <v>292808.21999999997</v>
      </c>
      <c r="I141" s="155">
        <v>1507824.87</v>
      </c>
      <c r="J141" s="155">
        <v>1803468.92</v>
      </c>
      <c r="K141" s="155">
        <v>74772.479999999996</v>
      </c>
      <c r="L141" s="155">
        <v>915774.23</v>
      </c>
      <c r="M141" s="26">
        <v>1269.5441318862665</v>
      </c>
      <c r="N141" s="26">
        <v>1518.4677146393417</v>
      </c>
      <c r="O141" s="26">
        <v>62.956225951216219</v>
      </c>
      <c r="P141" s="26">
        <v>771.05493015854302</v>
      </c>
      <c r="Q141" s="154">
        <v>1187.69</v>
      </c>
    </row>
    <row r="142" spans="1:17" x14ac:dyDescent="0.2">
      <c r="A142" s="8" t="s">
        <v>296</v>
      </c>
      <c r="B142" s="7">
        <v>2012</v>
      </c>
      <c r="C142" s="7" t="s">
        <v>297</v>
      </c>
      <c r="D142" s="2">
        <v>2415.2850994173123</v>
      </c>
      <c r="E142" s="2">
        <v>14090317.93</v>
      </c>
      <c r="F142" s="7">
        <v>49100053.509999998</v>
      </c>
      <c r="G142" s="7">
        <v>1407422.87</v>
      </c>
      <c r="H142" s="7">
        <v>107831.24</v>
      </c>
      <c r="I142" s="155">
        <v>20881593.289999999</v>
      </c>
      <c r="J142" s="155">
        <v>36666875.780000001</v>
      </c>
      <c r="K142" s="155">
        <v>3542991.58</v>
      </c>
      <c r="L142" s="155">
        <v>12283226.470000001</v>
      </c>
      <c r="M142" s="26">
        <v>1498.6265998843103</v>
      </c>
      <c r="N142" s="26">
        <v>2631.5020417947126</v>
      </c>
      <c r="O142" s="26">
        <v>254.27281104535584</v>
      </c>
      <c r="P142" s="26">
        <v>881.54048710260361</v>
      </c>
      <c r="Q142" s="154">
        <v>13933.82</v>
      </c>
    </row>
    <row r="143" spans="1:17" x14ac:dyDescent="0.2">
      <c r="A143" s="8" t="s">
        <v>298</v>
      </c>
      <c r="B143" s="7">
        <v>2012</v>
      </c>
      <c r="C143" s="7" t="s">
        <v>299</v>
      </c>
      <c r="D143" s="2">
        <v>133.25851727167159</v>
      </c>
      <c r="E143" s="2">
        <v>702241.6</v>
      </c>
      <c r="F143" s="7">
        <v>4348434.63</v>
      </c>
      <c r="G143" s="7">
        <v>159910.13</v>
      </c>
      <c r="H143" s="7">
        <v>7348</v>
      </c>
      <c r="I143" s="155">
        <v>1977740.05</v>
      </c>
      <c r="J143" s="155">
        <v>1887280.94</v>
      </c>
      <c r="K143" s="155">
        <v>78532.19</v>
      </c>
      <c r="L143" s="155">
        <v>1484480.98</v>
      </c>
      <c r="M143" s="26">
        <v>1575.7001553599171</v>
      </c>
      <c r="N143" s="26">
        <v>1503.62979723539</v>
      </c>
      <c r="O143" s="26">
        <v>62.567971955543157</v>
      </c>
      <c r="P143" s="26">
        <v>1182.7120105166712</v>
      </c>
      <c r="Q143" s="154">
        <v>1255.1500000000001</v>
      </c>
    </row>
    <row r="144" spans="1:17" x14ac:dyDescent="0.2">
      <c r="A144" s="8" t="s">
        <v>300</v>
      </c>
      <c r="B144" s="7">
        <v>2012</v>
      </c>
      <c r="C144" s="7" t="s">
        <v>301</v>
      </c>
      <c r="D144" s="2">
        <v>356.85073835125445</v>
      </c>
      <c r="E144" s="2">
        <v>1582609.18</v>
      </c>
      <c r="F144" s="7">
        <v>7550861.4800000004</v>
      </c>
      <c r="G144" s="7">
        <v>222476.53</v>
      </c>
      <c r="H144" s="7">
        <v>12837.96</v>
      </c>
      <c r="I144" s="155">
        <v>2087714.66</v>
      </c>
      <c r="J144" s="155">
        <v>2838808.84</v>
      </c>
      <c r="K144" s="155">
        <v>440804.95</v>
      </c>
      <c r="L144" s="155">
        <v>2426981.15</v>
      </c>
      <c r="M144" s="26">
        <v>859.67603737301783</v>
      </c>
      <c r="N144" s="26">
        <v>1168.9604816161484</v>
      </c>
      <c r="O144" s="26">
        <v>181.5140066461052</v>
      </c>
      <c r="P144" s="26">
        <v>999.37868799130331</v>
      </c>
      <c r="Q144" s="154">
        <v>2428.4899999999998</v>
      </c>
    </row>
    <row r="145" spans="1:17" x14ac:dyDescent="0.2">
      <c r="A145" s="8" t="s">
        <v>302</v>
      </c>
      <c r="B145" s="7">
        <v>2012</v>
      </c>
      <c r="C145" s="7" t="s">
        <v>303</v>
      </c>
      <c r="D145" s="2">
        <v>597.85434911304765</v>
      </c>
      <c r="E145" s="2">
        <v>2880470.93</v>
      </c>
      <c r="F145" s="7">
        <v>18866765.899999999</v>
      </c>
      <c r="G145" s="7">
        <v>460077.84</v>
      </c>
      <c r="H145" s="7">
        <v>43669.82</v>
      </c>
      <c r="I145" s="155">
        <v>3644678.85</v>
      </c>
      <c r="J145" s="155">
        <v>6972873.9100000001</v>
      </c>
      <c r="K145" s="155">
        <v>560312.48</v>
      </c>
      <c r="L145" s="155">
        <v>4956038.58</v>
      </c>
      <c r="M145" s="26">
        <v>739.04591816043467</v>
      </c>
      <c r="N145" s="26">
        <v>1413.9171688701435</v>
      </c>
      <c r="O145" s="26">
        <v>113.61677346094572</v>
      </c>
      <c r="P145" s="26">
        <v>1004.9555073404168</v>
      </c>
      <c r="Q145" s="154">
        <v>4931.6000000000004</v>
      </c>
    </row>
    <row r="146" spans="1:17" x14ac:dyDescent="0.2">
      <c r="A146" s="8" t="s">
        <v>304</v>
      </c>
      <c r="B146" s="7">
        <v>2012</v>
      </c>
      <c r="C146" s="7" t="s">
        <v>305</v>
      </c>
      <c r="D146" s="2">
        <v>121.31676052709484</v>
      </c>
      <c r="E146" s="2">
        <v>517965.86</v>
      </c>
      <c r="F146" s="7">
        <v>3463973.24</v>
      </c>
      <c r="G146" s="7">
        <v>105821.99</v>
      </c>
      <c r="H146" s="7">
        <v>12827</v>
      </c>
      <c r="I146" s="155">
        <v>1219832.25</v>
      </c>
      <c r="J146" s="155">
        <v>961908.14</v>
      </c>
      <c r="K146" s="155">
        <v>7355.45</v>
      </c>
      <c r="L146" s="155">
        <v>721805.97</v>
      </c>
      <c r="M146" s="26">
        <v>1111.2417100900047</v>
      </c>
      <c r="N146" s="26">
        <v>876.27823124293991</v>
      </c>
      <c r="O146" s="26">
        <v>6.70066137084138</v>
      </c>
      <c r="P146" s="26">
        <v>657.55016762015805</v>
      </c>
      <c r="Q146" s="154">
        <v>1097.72</v>
      </c>
    </row>
    <row r="147" spans="1:17" x14ac:dyDescent="0.2">
      <c r="A147" s="8" t="s">
        <v>306</v>
      </c>
      <c r="B147" s="7">
        <v>2012</v>
      </c>
      <c r="C147" s="7" t="s">
        <v>307</v>
      </c>
      <c r="D147" s="2">
        <v>317.13418922369772</v>
      </c>
      <c r="E147" s="2">
        <v>1668265.31</v>
      </c>
      <c r="F147" s="7">
        <v>9523946.8300000001</v>
      </c>
      <c r="G147" s="7">
        <v>146731.91</v>
      </c>
      <c r="H147" s="7">
        <v>28252.05</v>
      </c>
      <c r="I147" s="155">
        <v>2628758.5699999998</v>
      </c>
      <c r="J147" s="155">
        <v>2639062.0099999998</v>
      </c>
      <c r="K147" s="155">
        <v>438630.27</v>
      </c>
      <c r="L147" s="155">
        <v>2307264.5699999998</v>
      </c>
      <c r="M147" s="26">
        <v>992.97359256013522</v>
      </c>
      <c r="N147" s="26">
        <v>996.86556040734911</v>
      </c>
      <c r="O147" s="26">
        <v>165.68591729118819</v>
      </c>
      <c r="P147" s="26">
        <v>871.53412078447957</v>
      </c>
      <c r="Q147" s="154">
        <v>2647.36</v>
      </c>
    </row>
    <row r="148" spans="1:17" x14ac:dyDescent="0.2">
      <c r="A148" s="8" t="s">
        <v>308</v>
      </c>
      <c r="B148" s="7">
        <v>2012</v>
      </c>
      <c r="C148" s="7" t="s">
        <v>309</v>
      </c>
      <c r="D148" s="2">
        <v>1155.424129830061</v>
      </c>
      <c r="E148" s="2">
        <v>11182119.220000001</v>
      </c>
      <c r="F148" s="7">
        <v>75519520.730000004</v>
      </c>
      <c r="G148" s="7">
        <v>1458845.14</v>
      </c>
      <c r="H148" s="7">
        <v>70766.45</v>
      </c>
      <c r="I148" s="155">
        <v>14988285.130000001</v>
      </c>
      <c r="J148" s="155">
        <v>20447212.809999999</v>
      </c>
      <c r="K148" s="155">
        <v>9853981.1799999997</v>
      </c>
      <c r="L148" s="155">
        <v>18910563.41</v>
      </c>
      <c r="M148" s="26">
        <v>1083.8064927364364</v>
      </c>
      <c r="N148" s="26">
        <v>1478.5428626177752</v>
      </c>
      <c r="O148" s="26">
        <v>712.54374263339434</v>
      </c>
      <c r="P148" s="26">
        <v>1367.4273759337061</v>
      </c>
      <c r="Q148" s="154">
        <v>13829.3</v>
      </c>
    </row>
    <row r="149" spans="1:17" x14ac:dyDescent="0.2">
      <c r="A149" s="8" t="s">
        <v>310</v>
      </c>
      <c r="B149" s="7">
        <v>2012</v>
      </c>
      <c r="C149" s="7" t="s">
        <v>311</v>
      </c>
      <c r="D149" s="2">
        <v>530.93567422943966</v>
      </c>
      <c r="E149" s="2">
        <v>3801144.7</v>
      </c>
      <c r="F149" s="7">
        <v>13547662.26</v>
      </c>
      <c r="G149" s="7">
        <v>1323363.83</v>
      </c>
      <c r="H149" s="7">
        <v>25518.03</v>
      </c>
      <c r="I149" s="155">
        <v>8199454.71</v>
      </c>
      <c r="J149" s="155">
        <v>6075508.1799999997</v>
      </c>
      <c r="K149" s="155">
        <v>1071603.51</v>
      </c>
      <c r="L149" s="155">
        <v>2988445.29</v>
      </c>
      <c r="M149" s="26">
        <v>2752.2983924837117</v>
      </c>
      <c r="N149" s="26">
        <v>2039.3565168354519</v>
      </c>
      <c r="O149" s="26">
        <v>359.70350739981137</v>
      </c>
      <c r="P149" s="26">
        <v>1003.1268491136674</v>
      </c>
      <c r="Q149" s="154">
        <v>2979.13</v>
      </c>
    </row>
    <row r="150" spans="1:17" x14ac:dyDescent="0.2">
      <c r="A150" s="8" t="s">
        <v>312</v>
      </c>
      <c r="B150" s="7">
        <v>2012</v>
      </c>
      <c r="C150" s="7" t="s">
        <v>313</v>
      </c>
      <c r="D150" s="2">
        <v>220.82059777656281</v>
      </c>
      <c r="E150" s="2">
        <v>718114.51</v>
      </c>
      <c r="F150" s="7">
        <v>3973241.05</v>
      </c>
      <c r="G150" s="7">
        <v>145216.99</v>
      </c>
      <c r="H150" s="7">
        <v>14498.14</v>
      </c>
      <c r="I150" s="155">
        <v>1255432.1499999999</v>
      </c>
      <c r="J150" s="155">
        <v>1859570.12</v>
      </c>
      <c r="K150" s="155">
        <v>770261.05</v>
      </c>
      <c r="L150" s="155">
        <v>834490.76</v>
      </c>
      <c r="M150" s="26">
        <v>878.79108071595067</v>
      </c>
      <c r="N150" s="26">
        <v>1301.6821621318925</v>
      </c>
      <c r="O150" s="26">
        <v>539.1757257155657</v>
      </c>
      <c r="P150" s="26">
        <v>584.13593823280303</v>
      </c>
      <c r="Q150" s="154">
        <v>1428.59</v>
      </c>
    </row>
    <row r="151" spans="1:17" x14ac:dyDescent="0.2">
      <c r="A151" s="8" t="s">
        <v>314</v>
      </c>
      <c r="B151" s="7">
        <v>2012</v>
      </c>
      <c r="C151" s="7" t="s">
        <v>315</v>
      </c>
      <c r="D151" s="2">
        <v>151.84594944338011</v>
      </c>
      <c r="E151" s="2">
        <v>460217.59</v>
      </c>
      <c r="F151" s="7">
        <v>2960382.81</v>
      </c>
      <c r="G151" s="7">
        <v>87163.82</v>
      </c>
      <c r="H151" s="7">
        <v>51739.839999999997</v>
      </c>
      <c r="I151" s="155">
        <v>1187046.1000000001</v>
      </c>
      <c r="J151" s="155">
        <v>2009503.4</v>
      </c>
      <c r="K151" s="155">
        <v>158807.85</v>
      </c>
      <c r="L151" s="155">
        <v>924731.13</v>
      </c>
      <c r="M151" s="26">
        <v>1036.9388343408227</v>
      </c>
      <c r="N151" s="26">
        <v>1755.3927460777804</v>
      </c>
      <c r="O151" s="26">
        <v>138.72589014291205</v>
      </c>
      <c r="P151" s="26">
        <v>807.79476047381115</v>
      </c>
      <c r="Q151" s="154">
        <v>1144.76</v>
      </c>
    </row>
    <row r="152" spans="1:17" x14ac:dyDescent="0.2">
      <c r="A152" s="8" t="s">
        <v>316</v>
      </c>
      <c r="B152" s="7">
        <v>2012</v>
      </c>
      <c r="C152" s="7" t="s">
        <v>317</v>
      </c>
      <c r="D152" s="2">
        <v>165.44822869710933</v>
      </c>
      <c r="E152" s="2">
        <v>671807.23</v>
      </c>
      <c r="F152" s="7">
        <v>6856802.3399999999</v>
      </c>
      <c r="G152" s="7">
        <v>116670.32</v>
      </c>
      <c r="H152" s="7">
        <v>18222.55</v>
      </c>
      <c r="I152" s="155">
        <v>2092716.51</v>
      </c>
      <c r="J152" s="155">
        <v>2635962.09</v>
      </c>
      <c r="K152" s="155">
        <v>267502.95</v>
      </c>
      <c r="L152" s="155">
        <v>1139059.1499999999</v>
      </c>
      <c r="M152" s="26">
        <v>1135.2605051590012</v>
      </c>
      <c r="N152" s="26">
        <v>1429.9613156267289</v>
      </c>
      <c r="O152" s="26">
        <v>145.11546723952739</v>
      </c>
      <c r="P152" s="26">
        <v>617.91879590751762</v>
      </c>
      <c r="Q152" s="154">
        <v>1843.38</v>
      </c>
    </row>
    <row r="153" spans="1:17" x14ac:dyDescent="0.2">
      <c r="A153" s="8" t="s">
        <v>318</v>
      </c>
      <c r="B153" s="7">
        <v>2012</v>
      </c>
      <c r="C153" s="7" t="s">
        <v>319</v>
      </c>
      <c r="D153" s="2">
        <v>98.345806451612916</v>
      </c>
      <c r="E153" s="2">
        <v>421251.47</v>
      </c>
      <c r="F153" s="7">
        <v>3283027.16</v>
      </c>
      <c r="G153" s="7">
        <v>96578.72</v>
      </c>
      <c r="H153" s="7">
        <v>0</v>
      </c>
      <c r="I153" s="155">
        <v>1077500.17</v>
      </c>
      <c r="J153" s="155">
        <v>1553747.6</v>
      </c>
      <c r="K153" s="155">
        <v>71161.850000000006</v>
      </c>
      <c r="L153" s="155">
        <v>671143.26</v>
      </c>
      <c r="M153" s="26">
        <v>938.22939814008555</v>
      </c>
      <c r="N153" s="26">
        <v>1352.9201351398419</v>
      </c>
      <c r="O153" s="26">
        <v>61.963924976489849</v>
      </c>
      <c r="P153" s="26">
        <v>584.39558009125426</v>
      </c>
      <c r="Q153" s="154">
        <v>1148.44</v>
      </c>
    </row>
    <row r="154" spans="1:17" x14ac:dyDescent="0.2">
      <c r="A154" s="8" t="s">
        <v>320</v>
      </c>
      <c r="B154" s="7">
        <v>2012</v>
      </c>
      <c r="C154" s="7" t="s">
        <v>321</v>
      </c>
      <c r="D154" s="2">
        <v>397.06408303180348</v>
      </c>
      <c r="E154" s="2">
        <v>2463196.66</v>
      </c>
      <c r="F154" s="7">
        <v>7678216.1900000004</v>
      </c>
      <c r="G154" s="7">
        <v>463084.85</v>
      </c>
      <c r="H154" s="7">
        <v>296285.88</v>
      </c>
      <c r="I154" s="155">
        <v>2036356.89</v>
      </c>
      <c r="J154" s="155">
        <v>4031413.63</v>
      </c>
      <c r="K154" s="155">
        <v>212050.94</v>
      </c>
      <c r="L154" s="155">
        <v>1589010.3</v>
      </c>
      <c r="M154" s="26">
        <v>930.11939160024667</v>
      </c>
      <c r="N154" s="26">
        <v>1841.3746682805399</v>
      </c>
      <c r="O154" s="26">
        <v>96.85566035581337</v>
      </c>
      <c r="P154" s="26">
        <v>725.79089684152837</v>
      </c>
      <c r="Q154" s="154">
        <v>2189.35</v>
      </c>
    </row>
    <row r="155" spans="1:17" x14ac:dyDescent="0.2">
      <c r="A155" s="8" t="s">
        <v>322</v>
      </c>
      <c r="B155" s="7">
        <v>2012</v>
      </c>
      <c r="C155" s="7" t="s">
        <v>323</v>
      </c>
      <c r="D155" s="2">
        <v>234.17877641824253</v>
      </c>
      <c r="E155" s="2">
        <v>897922.28</v>
      </c>
      <c r="F155" s="7">
        <v>7011209.9699999997</v>
      </c>
      <c r="G155" s="7">
        <v>121048.2</v>
      </c>
      <c r="H155" s="7">
        <v>66598.94</v>
      </c>
      <c r="I155" s="155">
        <v>2236660.0699999998</v>
      </c>
      <c r="J155" s="155">
        <v>2684239.0499999998</v>
      </c>
      <c r="K155" s="155">
        <v>1027426</v>
      </c>
      <c r="L155" s="155">
        <v>894587.33</v>
      </c>
      <c r="M155" s="26">
        <v>1028.7751575364518</v>
      </c>
      <c r="N155" s="26">
        <v>1234.6437836346074</v>
      </c>
      <c r="O155" s="26">
        <v>472.57531852260706</v>
      </c>
      <c r="P155" s="26">
        <v>411.47478496849271</v>
      </c>
      <c r="Q155" s="154">
        <v>2174.1</v>
      </c>
    </row>
    <row r="156" spans="1:17" x14ac:dyDescent="0.2">
      <c r="A156" s="8" t="s">
        <v>324</v>
      </c>
      <c r="B156" s="7">
        <v>2012</v>
      </c>
      <c r="C156" s="7" t="s">
        <v>325</v>
      </c>
      <c r="D156" s="2">
        <v>127.44346637506834</v>
      </c>
      <c r="E156" s="2">
        <v>557333.31000000006</v>
      </c>
      <c r="F156" s="7">
        <v>3690721.83</v>
      </c>
      <c r="G156" s="7">
        <v>49446.96</v>
      </c>
      <c r="H156" s="7">
        <v>4350.05</v>
      </c>
      <c r="I156" s="155">
        <v>924024.49</v>
      </c>
      <c r="J156" s="155">
        <v>1631198.38</v>
      </c>
      <c r="K156" s="155">
        <v>17741.810000000001</v>
      </c>
      <c r="L156" s="155">
        <v>1029324.18</v>
      </c>
      <c r="M156" s="26">
        <v>757.4654190131896</v>
      </c>
      <c r="N156" s="26">
        <v>1337.1684168244676</v>
      </c>
      <c r="O156" s="26">
        <v>14.543778537409111</v>
      </c>
      <c r="P156" s="26">
        <v>843.78442318569705</v>
      </c>
      <c r="Q156" s="154">
        <v>1219.8900000000001</v>
      </c>
    </row>
    <row r="157" spans="1:17" x14ac:dyDescent="0.2">
      <c r="A157" s="8" t="s">
        <v>326</v>
      </c>
      <c r="B157" s="7">
        <v>2012</v>
      </c>
      <c r="C157" s="7" t="s">
        <v>327</v>
      </c>
      <c r="D157" s="2">
        <v>150.19046837980682</v>
      </c>
      <c r="E157" s="2">
        <v>499180.79999999999</v>
      </c>
      <c r="F157" s="7">
        <v>3805628.46</v>
      </c>
      <c r="G157" s="7">
        <v>114981.24</v>
      </c>
      <c r="H157" s="7">
        <v>10674.39</v>
      </c>
      <c r="I157" s="155">
        <v>1480779.84</v>
      </c>
      <c r="J157" s="155">
        <v>1897083.29</v>
      </c>
      <c r="K157" s="155">
        <v>287867.64</v>
      </c>
      <c r="L157" s="155">
        <v>1017441.93</v>
      </c>
      <c r="M157" s="26">
        <v>1129.736742120803</v>
      </c>
      <c r="N157" s="26">
        <v>1447.3486454113356</v>
      </c>
      <c r="O157" s="26">
        <v>219.62390423657047</v>
      </c>
      <c r="P157" s="26">
        <v>776.2406674143416</v>
      </c>
      <c r="Q157" s="154">
        <v>1310.73</v>
      </c>
    </row>
    <row r="158" spans="1:17" x14ac:dyDescent="0.2">
      <c r="A158" s="8" t="s">
        <v>328</v>
      </c>
      <c r="B158" s="7">
        <v>2012</v>
      </c>
      <c r="C158" s="7" t="s">
        <v>329</v>
      </c>
      <c r="D158" s="2">
        <v>95.271910112359535</v>
      </c>
      <c r="E158" s="2">
        <v>458022.52</v>
      </c>
      <c r="F158" s="7">
        <v>2872320.2</v>
      </c>
      <c r="G158" s="7">
        <v>39920.74</v>
      </c>
      <c r="H158" s="7">
        <v>18952.28</v>
      </c>
      <c r="I158" s="155">
        <v>799349.48</v>
      </c>
      <c r="J158" s="155">
        <v>1368002.29</v>
      </c>
      <c r="K158" s="155">
        <v>84426.97</v>
      </c>
      <c r="L158" s="155">
        <v>477866.76</v>
      </c>
      <c r="M158" s="26">
        <v>598.44538110817462</v>
      </c>
      <c r="N158" s="26">
        <v>1024.1761235597548</v>
      </c>
      <c r="O158" s="26">
        <v>63.207560024256765</v>
      </c>
      <c r="P158" s="26">
        <v>357.76235859580299</v>
      </c>
      <c r="Q158" s="154">
        <v>1335.71</v>
      </c>
    </row>
    <row r="159" spans="1:17" x14ac:dyDescent="0.2">
      <c r="A159" s="8" t="s">
        <v>330</v>
      </c>
      <c r="B159" s="7">
        <v>2012</v>
      </c>
      <c r="C159" s="7" t="s">
        <v>331</v>
      </c>
      <c r="D159" s="2">
        <v>121.94867644258233</v>
      </c>
      <c r="E159" s="2">
        <v>382634.09</v>
      </c>
      <c r="F159" s="7">
        <v>2512416.8199999998</v>
      </c>
      <c r="G159" s="7">
        <v>80212.97</v>
      </c>
      <c r="H159" s="7">
        <v>8813.8700000000008</v>
      </c>
      <c r="I159" s="155">
        <v>863643.6</v>
      </c>
      <c r="J159" s="155">
        <v>1249490.51</v>
      </c>
      <c r="K159" s="155">
        <v>361794.23</v>
      </c>
      <c r="L159" s="155">
        <v>448126.13</v>
      </c>
      <c r="M159" s="26">
        <v>1085.1566210562025</v>
      </c>
      <c r="N159" s="26">
        <v>1569.968097804918</v>
      </c>
      <c r="O159" s="26">
        <v>454.58960634274439</v>
      </c>
      <c r="P159" s="26">
        <v>563.06448289293473</v>
      </c>
      <c r="Q159" s="154">
        <v>795.87</v>
      </c>
    </row>
    <row r="160" spans="1:17" x14ac:dyDescent="0.2">
      <c r="A160" s="8" t="s">
        <v>332</v>
      </c>
      <c r="B160" s="7">
        <v>2012</v>
      </c>
      <c r="C160" s="7" t="s">
        <v>333</v>
      </c>
      <c r="D160" s="2">
        <v>120.27215946843852</v>
      </c>
      <c r="E160" s="2">
        <v>152154.54</v>
      </c>
      <c r="F160" s="7">
        <v>6627574.2199999997</v>
      </c>
      <c r="G160" s="7">
        <v>173115.91</v>
      </c>
      <c r="H160" s="7">
        <v>171462.52</v>
      </c>
      <c r="I160" s="155">
        <v>1640751.37</v>
      </c>
      <c r="J160" s="155">
        <v>2054667.63</v>
      </c>
      <c r="K160" s="155">
        <v>60573.56</v>
      </c>
      <c r="L160" s="155">
        <v>1166614.8600000001</v>
      </c>
      <c r="M160" s="26">
        <v>1026.6823748052389</v>
      </c>
      <c r="N160" s="26">
        <v>1285.6859853201595</v>
      </c>
      <c r="O160" s="26">
        <v>37.90324821195037</v>
      </c>
      <c r="P160" s="26">
        <v>729.99659597900029</v>
      </c>
      <c r="Q160" s="154">
        <v>1598.11</v>
      </c>
    </row>
    <row r="161" spans="1:17" x14ac:dyDescent="0.2">
      <c r="A161" s="8" t="s">
        <v>334</v>
      </c>
      <c r="B161" s="7">
        <v>2012</v>
      </c>
      <c r="C161" s="7" t="s">
        <v>335</v>
      </c>
      <c r="D161" s="2">
        <v>234.81049756724889</v>
      </c>
      <c r="E161" s="2">
        <v>943703.67</v>
      </c>
      <c r="F161" s="7">
        <v>7550404.0499999998</v>
      </c>
      <c r="G161" s="7">
        <v>239985.91</v>
      </c>
      <c r="H161" s="7">
        <v>119651.7</v>
      </c>
      <c r="I161" s="155">
        <v>2325137.67</v>
      </c>
      <c r="J161" s="155">
        <v>3217295.03</v>
      </c>
      <c r="K161" s="155">
        <v>506571.57</v>
      </c>
      <c r="L161" s="155">
        <v>1730894.2</v>
      </c>
      <c r="M161" s="26">
        <v>1078.9902502181055</v>
      </c>
      <c r="N161" s="26">
        <v>1492.9997540511943</v>
      </c>
      <c r="O161" s="26">
        <v>235.07674066786703</v>
      </c>
      <c r="P161" s="26">
        <v>803.22898297848644</v>
      </c>
      <c r="Q161" s="154">
        <v>2154.92</v>
      </c>
    </row>
    <row r="162" spans="1:17" x14ac:dyDescent="0.2">
      <c r="A162" s="8" t="s">
        <v>336</v>
      </c>
      <c r="B162" s="7">
        <v>2012</v>
      </c>
      <c r="C162" s="7" t="s">
        <v>337</v>
      </c>
      <c r="D162" s="2">
        <v>59.448167741935478</v>
      </c>
      <c r="E162" s="2">
        <v>267345.03000000003</v>
      </c>
      <c r="F162" s="7">
        <v>2405021.12</v>
      </c>
      <c r="G162" s="7">
        <v>78083.25</v>
      </c>
      <c r="H162" s="7">
        <v>0</v>
      </c>
      <c r="I162" s="155">
        <v>795894.26</v>
      </c>
      <c r="J162" s="155">
        <v>887609.13</v>
      </c>
      <c r="K162" s="155">
        <v>199101.3</v>
      </c>
      <c r="L162" s="155">
        <v>498924.27</v>
      </c>
      <c r="M162" s="26">
        <v>1300.5658212955095</v>
      </c>
      <c r="N162" s="26">
        <v>1450.4365154585266</v>
      </c>
      <c r="O162" s="26">
        <v>325.35018628668536</v>
      </c>
      <c r="P162" s="26">
        <v>815.28902215831101</v>
      </c>
      <c r="Q162" s="154">
        <v>611.96</v>
      </c>
    </row>
    <row r="163" spans="1:17" x14ac:dyDescent="0.2">
      <c r="A163" s="8" t="s">
        <v>338</v>
      </c>
      <c r="B163" s="7">
        <v>2012</v>
      </c>
      <c r="C163" s="7" t="s">
        <v>339</v>
      </c>
      <c r="D163" s="2">
        <v>504.26084745762705</v>
      </c>
      <c r="E163" s="2">
        <v>2417789.75</v>
      </c>
      <c r="F163" s="7">
        <v>12124160.789999999</v>
      </c>
      <c r="G163" s="7">
        <v>248173.38</v>
      </c>
      <c r="H163" s="7">
        <v>1882.39</v>
      </c>
      <c r="I163" s="155">
        <v>2521919.98</v>
      </c>
      <c r="J163" s="155">
        <v>3634336.07</v>
      </c>
      <c r="K163" s="155">
        <v>2043309.73</v>
      </c>
      <c r="L163" s="155">
        <v>3406368.2</v>
      </c>
      <c r="M163" s="26">
        <v>719.54736694941607</v>
      </c>
      <c r="N163" s="26">
        <v>1036.9389078624886</v>
      </c>
      <c r="O163" s="26">
        <v>582.99158884637666</v>
      </c>
      <c r="P163" s="26">
        <v>971.89573365060619</v>
      </c>
      <c r="Q163" s="154">
        <v>3504.87</v>
      </c>
    </row>
    <row r="164" spans="1:17" x14ac:dyDescent="0.2">
      <c r="A164" s="8" t="s">
        <v>340</v>
      </c>
      <c r="B164" s="7">
        <v>2012</v>
      </c>
      <c r="C164" s="7" t="s">
        <v>341</v>
      </c>
      <c r="D164" s="2">
        <v>242.02962436005765</v>
      </c>
      <c r="E164" s="2">
        <v>1370628.75</v>
      </c>
      <c r="F164" s="7">
        <v>6905537.7000000002</v>
      </c>
      <c r="G164" s="7">
        <v>287337.34999999998</v>
      </c>
      <c r="H164" s="7">
        <v>8188.74</v>
      </c>
      <c r="I164" s="155">
        <v>2486250.6800000002</v>
      </c>
      <c r="J164" s="155">
        <v>3285844.39</v>
      </c>
      <c r="K164" s="155">
        <v>41914.5</v>
      </c>
      <c r="L164" s="155">
        <v>1001835.64</v>
      </c>
      <c r="M164" s="26">
        <v>1296.9216500438176</v>
      </c>
      <c r="N164" s="26">
        <v>1714.0197335475525</v>
      </c>
      <c r="O164" s="26">
        <v>21.864176021366273</v>
      </c>
      <c r="P164" s="26">
        <v>522.59506322246796</v>
      </c>
      <c r="Q164" s="154">
        <v>1917.04</v>
      </c>
    </row>
    <row r="165" spans="1:17" x14ac:dyDescent="0.2">
      <c r="A165" s="8" t="s">
        <v>342</v>
      </c>
      <c r="B165" s="7">
        <v>2012</v>
      </c>
      <c r="C165" s="7" t="s">
        <v>343</v>
      </c>
      <c r="D165" s="2">
        <v>87.527762446391961</v>
      </c>
      <c r="E165" s="2">
        <v>86279.74</v>
      </c>
      <c r="F165" s="7">
        <v>2008120.98</v>
      </c>
      <c r="G165" s="7">
        <v>38287.47</v>
      </c>
      <c r="H165" s="7">
        <v>2650</v>
      </c>
      <c r="I165" s="155">
        <v>704164.82</v>
      </c>
      <c r="J165" s="155">
        <v>919771.03</v>
      </c>
      <c r="K165" s="155">
        <v>10896.34</v>
      </c>
      <c r="L165" s="155">
        <v>641732.42000000004</v>
      </c>
      <c r="M165" s="26">
        <v>1154.236104053633</v>
      </c>
      <c r="N165" s="26">
        <v>1507.6483518284786</v>
      </c>
      <c r="O165" s="26">
        <v>17.860802858688345</v>
      </c>
      <c r="P165" s="26">
        <v>1051.8996508597374</v>
      </c>
      <c r="Q165" s="154">
        <v>610.07000000000005</v>
      </c>
    </row>
    <row r="166" spans="1:17" x14ac:dyDescent="0.2">
      <c r="A166" s="8" t="s">
        <v>344</v>
      </c>
      <c r="B166" s="7">
        <v>2012</v>
      </c>
      <c r="C166" s="7" t="s">
        <v>345</v>
      </c>
      <c r="D166" s="2">
        <v>215.91646912675168</v>
      </c>
      <c r="E166" s="2">
        <v>945145.6</v>
      </c>
      <c r="F166" s="7">
        <v>4057639.34</v>
      </c>
      <c r="G166" s="7">
        <v>56694.080000000002</v>
      </c>
      <c r="H166" s="7">
        <v>36910.39</v>
      </c>
      <c r="I166" s="155">
        <v>1373410.55</v>
      </c>
      <c r="J166" s="155">
        <v>1677727.38</v>
      </c>
      <c r="K166" s="155">
        <v>65247.59</v>
      </c>
      <c r="L166" s="155">
        <v>963140.58</v>
      </c>
      <c r="M166" s="26">
        <v>1194.8726749143045</v>
      </c>
      <c r="N166" s="26">
        <v>1459.6295348958604</v>
      </c>
      <c r="O166" s="26">
        <v>56.765664422056332</v>
      </c>
      <c r="P166" s="26">
        <v>837.93615910633184</v>
      </c>
      <c r="Q166" s="154">
        <v>1149.42</v>
      </c>
    </row>
    <row r="167" spans="1:17" x14ac:dyDescent="0.2">
      <c r="A167" s="8" t="s">
        <v>346</v>
      </c>
      <c r="B167" s="7">
        <v>2012</v>
      </c>
      <c r="C167" s="7" t="s">
        <v>347</v>
      </c>
      <c r="D167" s="2">
        <v>174.90533934443681</v>
      </c>
      <c r="E167" s="2">
        <v>609851.57999999996</v>
      </c>
      <c r="F167" s="7">
        <v>9024540.6099999994</v>
      </c>
      <c r="G167" s="7">
        <v>237492.7</v>
      </c>
      <c r="H167" s="7">
        <v>4888.97</v>
      </c>
      <c r="I167" s="155">
        <v>2051770.93</v>
      </c>
      <c r="J167" s="155">
        <v>3069935.48</v>
      </c>
      <c r="K167" s="155">
        <v>42074.22</v>
      </c>
      <c r="L167" s="155">
        <v>1717727.39</v>
      </c>
      <c r="M167" s="26">
        <v>826.15438168406126</v>
      </c>
      <c r="N167" s="26">
        <v>1236.1227129235924</v>
      </c>
      <c r="O167" s="26">
        <v>16.941365481252415</v>
      </c>
      <c r="P167" s="26">
        <v>691.65031487566034</v>
      </c>
      <c r="Q167" s="154">
        <v>2483.52</v>
      </c>
    </row>
    <row r="168" spans="1:17" x14ac:dyDescent="0.2">
      <c r="A168" s="8" t="s">
        <v>348</v>
      </c>
      <c r="B168" s="7">
        <v>2012</v>
      </c>
      <c r="C168" s="7" t="s">
        <v>349</v>
      </c>
      <c r="D168" s="2">
        <v>151.8185736273509</v>
      </c>
      <c r="E168" s="2">
        <v>633269.27</v>
      </c>
      <c r="F168" s="7">
        <v>4372731.82</v>
      </c>
      <c r="G168" s="7">
        <v>182388.2</v>
      </c>
      <c r="H168" s="7">
        <v>59372.5</v>
      </c>
      <c r="I168" s="155">
        <v>1087173.1100000001</v>
      </c>
      <c r="J168" s="155">
        <v>1872635.79</v>
      </c>
      <c r="K168" s="155">
        <v>427188.41</v>
      </c>
      <c r="L168" s="155">
        <v>1187388.42</v>
      </c>
      <c r="M168" s="26">
        <v>869.82895021082209</v>
      </c>
      <c r="N168" s="26">
        <v>1498.2644515029565</v>
      </c>
      <c r="O168" s="26">
        <v>341.78627377247233</v>
      </c>
      <c r="P168" s="26">
        <v>950.0095369918472</v>
      </c>
      <c r="Q168" s="154">
        <v>1249.8699999999999</v>
      </c>
    </row>
    <row r="169" spans="1:17" x14ac:dyDescent="0.2">
      <c r="A169" s="8" t="s">
        <v>350</v>
      </c>
      <c r="B169" s="7">
        <v>2012</v>
      </c>
      <c r="C169" s="7" t="s">
        <v>351</v>
      </c>
      <c r="D169" s="2">
        <v>885.02090909090907</v>
      </c>
      <c r="E169" s="2">
        <v>5393665.0199999996</v>
      </c>
      <c r="F169" s="7">
        <v>26954009.280000001</v>
      </c>
      <c r="G169" s="7">
        <v>509067.07</v>
      </c>
      <c r="H169" s="7">
        <v>77217.2</v>
      </c>
      <c r="I169" s="155">
        <v>7964433.0099999998</v>
      </c>
      <c r="J169" s="155">
        <v>9788197.8399999999</v>
      </c>
      <c r="K169" s="155">
        <v>611129.49</v>
      </c>
      <c r="L169" s="155">
        <v>5977740.6100000003</v>
      </c>
      <c r="M169" s="26">
        <v>1213.2636770371407</v>
      </c>
      <c r="N169" s="26">
        <v>1491.0872987461287</v>
      </c>
      <c r="O169" s="26">
        <v>93.096547017504832</v>
      </c>
      <c r="P169" s="26">
        <v>910.62044765228575</v>
      </c>
      <c r="Q169" s="154">
        <v>6564.47</v>
      </c>
    </row>
    <row r="170" spans="1:17" x14ac:dyDescent="0.2">
      <c r="A170" s="8" t="s">
        <v>352</v>
      </c>
      <c r="B170" s="7">
        <v>2012</v>
      </c>
      <c r="C170" s="7" t="s">
        <v>353</v>
      </c>
      <c r="D170" s="2">
        <v>1132.6756272401433</v>
      </c>
      <c r="E170" s="2">
        <v>5296043.79</v>
      </c>
      <c r="F170" s="7">
        <v>22035433.199999999</v>
      </c>
      <c r="G170" s="7">
        <v>415908.34</v>
      </c>
      <c r="H170" s="7">
        <v>22028.17</v>
      </c>
      <c r="I170" s="155">
        <v>8358659.9000000004</v>
      </c>
      <c r="J170" s="155">
        <v>10645242.6</v>
      </c>
      <c r="K170" s="155">
        <v>3177257.73</v>
      </c>
      <c r="L170" s="155">
        <v>5966677.8200000003</v>
      </c>
      <c r="M170" s="26">
        <v>1498.2281686959921</v>
      </c>
      <c r="N170" s="26">
        <v>1908.0812614379201</v>
      </c>
      <c r="O170" s="26">
        <v>569.50002599018114</v>
      </c>
      <c r="P170" s="26">
        <v>1069.4830140723388</v>
      </c>
      <c r="Q170" s="154">
        <v>5579.03</v>
      </c>
    </row>
    <row r="171" spans="1:17" x14ac:dyDescent="0.2">
      <c r="A171" s="8" t="s">
        <v>354</v>
      </c>
      <c r="B171" s="7">
        <v>2012</v>
      </c>
      <c r="C171" s="7" t="s">
        <v>355</v>
      </c>
      <c r="D171" s="2">
        <v>193.30562211981567</v>
      </c>
      <c r="E171" s="2">
        <v>497566.1</v>
      </c>
      <c r="F171" s="7">
        <v>4767757.91</v>
      </c>
      <c r="G171" s="7">
        <v>134431.20000000001</v>
      </c>
      <c r="H171" s="7">
        <v>28117.33</v>
      </c>
      <c r="I171" s="155">
        <v>1377956.64</v>
      </c>
      <c r="J171" s="155">
        <v>2017285.67</v>
      </c>
      <c r="K171" s="155">
        <v>302348.24</v>
      </c>
      <c r="L171" s="155">
        <v>1429879.54</v>
      </c>
      <c r="M171" s="26">
        <v>1094.4241702208774</v>
      </c>
      <c r="N171" s="26">
        <v>1602.2029513847522</v>
      </c>
      <c r="O171" s="26">
        <v>240.1361639940591</v>
      </c>
      <c r="P171" s="26">
        <v>1135.6632593898671</v>
      </c>
      <c r="Q171" s="154">
        <v>1259.07</v>
      </c>
    </row>
    <row r="172" spans="1:17" x14ac:dyDescent="0.2">
      <c r="A172" s="8" t="s">
        <v>356</v>
      </c>
      <c r="B172" s="7">
        <v>2012</v>
      </c>
      <c r="C172" s="7" t="s">
        <v>357</v>
      </c>
      <c r="D172" s="2">
        <v>105.29465027240711</v>
      </c>
      <c r="E172" s="2">
        <v>645639.42000000004</v>
      </c>
      <c r="F172" s="7">
        <v>3863603.32</v>
      </c>
      <c r="G172" s="7">
        <v>78238.05</v>
      </c>
      <c r="H172" s="7">
        <v>33666.639999999999</v>
      </c>
      <c r="I172" s="155">
        <v>1227643.6000000001</v>
      </c>
      <c r="J172" s="155">
        <v>1568515.28</v>
      </c>
      <c r="K172" s="155">
        <v>65078.93</v>
      </c>
      <c r="L172" s="155">
        <v>985622.77</v>
      </c>
      <c r="M172" s="26">
        <v>1240.5201996726016</v>
      </c>
      <c r="N172" s="26">
        <v>1584.9672399506881</v>
      </c>
      <c r="O172" s="26">
        <v>65.761534730502618</v>
      </c>
      <c r="P172" s="26">
        <v>995.96084355611242</v>
      </c>
      <c r="Q172" s="154">
        <v>989.62</v>
      </c>
    </row>
    <row r="173" spans="1:17" x14ac:dyDescent="0.2">
      <c r="A173" s="8" t="s">
        <v>358</v>
      </c>
      <c r="B173" s="7">
        <v>2012</v>
      </c>
      <c r="C173" s="7" t="s">
        <v>359</v>
      </c>
      <c r="D173" s="2">
        <v>455.7356712914883</v>
      </c>
      <c r="E173" s="2">
        <v>2705776.59</v>
      </c>
      <c r="F173" s="7">
        <v>16083137.189999999</v>
      </c>
      <c r="G173" s="7">
        <v>152257.01</v>
      </c>
      <c r="H173" s="7">
        <v>48769.66</v>
      </c>
      <c r="I173" s="155">
        <v>4490434.3099999996</v>
      </c>
      <c r="J173" s="155">
        <v>6330730.0499999998</v>
      </c>
      <c r="K173" s="155">
        <v>943942.31</v>
      </c>
      <c r="L173" s="155">
        <v>3741618.4</v>
      </c>
      <c r="M173" s="26">
        <v>1043.3965220381674</v>
      </c>
      <c r="N173" s="26">
        <v>1471.0073146872319</v>
      </c>
      <c r="O173" s="26">
        <v>219.33426819435505</v>
      </c>
      <c r="P173" s="26">
        <v>869.40178963535766</v>
      </c>
      <c r="Q173" s="154">
        <v>4303.67</v>
      </c>
    </row>
    <row r="174" spans="1:17" x14ac:dyDescent="0.2">
      <c r="A174" s="8" t="s">
        <v>360</v>
      </c>
      <c r="B174" s="7">
        <v>2012</v>
      </c>
      <c r="C174" s="7" t="s">
        <v>361</v>
      </c>
      <c r="D174" s="2">
        <v>1122.5473335464785</v>
      </c>
      <c r="E174" s="2">
        <v>4173545.11</v>
      </c>
      <c r="F174" s="7">
        <v>30606142.399999999</v>
      </c>
      <c r="G174" s="7">
        <v>225917.55</v>
      </c>
      <c r="H174" s="7">
        <v>137665.9</v>
      </c>
      <c r="I174" s="155">
        <v>7510598.1500000004</v>
      </c>
      <c r="J174" s="155">
        <v>10756437.109999999</v>
      </c>
      <c r="K174" s="155">
        <v>3225206.05</v>
      </c>
      <c r="L174" s="155">
        <v>6435165.1500000004</v>
      </c>
      <c r="M174" s="26">
        <v>788.69806401071958</v>
      </c>
      <c r="N174" s="26">
        <v>1129.5480006888743</v>
      </c>
      <c r="O174" s="26">
        <v>338.68324690899084</v>
      </c>
      <c r="P174" s="26">
        <v>675.76539098876583</v>
      </c>
      <c r="Q174" s="154">
        <v>9522.7800000000007</v>
      </c>
    </row>
    <row r="175" spans="1:17" x14ac:dyDescent="0.2">
      <c r="A175" s="8" t="s">
        <v>362</v>
      </c>
      <c r="B175" s="7">
        <v>2012</v>
      </c>
      <c r="C175" s="7" t="s">
        <v>363</v>
      </c>
      <c r="D175" s="2">
        <v>66.517241379310349</v>
      </c>
      <c r="E175" s="2">
        <v>262712.68</v>
      </c>
      <c r="F175" s="7">
        <v>2981283.51</v>
      </c>
      <c r="G175" s="7">
        <v>51875.86</v>
      </c>
      <c r="H175" s="7">
        <v>31664.54</v>
      </c>
      <c r="I175" s="155">
        <v>949224.94</v>
      </c>
      <c r="J175" s="155">
        <v>970718.9</v>
      </c>
      <c r="K175" s="155">
        <v>157634.43</v>
      </c>
      <c r="L175" s="155">
        <v>510694.47</v>
      </c>
      <c r="M175" s="26">
        <v>1045.3098185181921</v>
      </c>
      <c r="N175" s="26">
        <v>1068.979495198661</v>
      </c>
      <c r="O175" s="26">
        <v>173.59090608756935</v>
      </c>
      <c r="P175" s="26">
        <v>562.38929389481098</v>
      </c>
      <c r="Q175" s="154">
        <v>908.08</v>
      </c>
    </row>
    <row r="176" spans="1:17" x14ac:dyDescent="0.2">
      <c r="A176" s="8" t="s">
        <v>364</v>
      </c>
      <c r="B176" s="7">
        <v>2012</v>
      </c>
      <c r="C176" s="7" t="s">
        <v>365</v>
      </c>
      <c r="D176" s="2">
        <v>186.79188315741686</v>
      </c>
      <c r="E176" s="2">
        <v>839915</v>
      </c>
      <c r="F176" s="7">
        <v>5718937.7000000002</v>
      </c>
      <c r="G176" s="7">
        <v>215466.6</v>
      </c>
      <c r="H176" s="7">
        <v>7220.16</v>
      </c>
      <c r="I176" s="155">
        <v>2043265.66</v>
      </c>
      <c r="J176" s="155">
        <v>2794592</v>
      </c>
      <c r="K176" s="155">
        <v>476785.8</v>
      </c>
      <c r="L176" s="155">
        <v>1676262.39</v>
      </c>
      <c r="M176" s="26">
        <v>1006.5100169946553</v>
      </c>
      <c r="N176" s="26">
        <v>1376.6123987093915</v>
      </c>
      <c r="O176" s="26">
        <v>234.86406738750276</v>
      </c>
      <c r="P176" s="26">
        <v>825.72468165808721</v>
      </c>
      <c r="Q176" s="154">
        <v>2030.05</v>
      </c>
    </row>
    <row r="177" spans="1:17" x14ac:dyDescent="0.2">
      <c r="A177" s="8" t="s">
        <v>366</v>
      </c>
      <c r="B177" s="7">
        <v>2012</v>
      </c>
      <c r="C177" s="7" t="s">
        <v>367</v>
      </c>
      <c r="D177" s="2">
        <v>283.29853107344633</v>
      </c>
      <c r="E177" s="2">
        <v>978121.86</v>
      </c>
      <c r="F177" s="7">
        <v>4271276.6399999997</v>
      </c>
      <c r="G177" s="7">
        <v>199657.43</v>
      </c>
      <c r="H177" s="7">
        <v>25709.82</v>
      </c>
      <c r="I177" s="155">
        <v>1721361.37</v>
      </c>
      <c r="J177" s="155">
        <v>2887899.31</v>
      </c>
      <c r="K177" s="155">
        <v>191338.67</v>
      </c>
      <c r="L177" s="155">
        <v>917829.16</v>
      </c>
      <c r="M177" s="26">
        <v>963.21491242795605</v>
      </c>
      <c r="N177" s="26">
        <v>1615.969621173969</v>
      </c>
      <c r="O177" s="26">
        <v>107.0665715404846</v>
      </c>
      <c r="P177" s="26">
        <v>513.58578702926536</v>
      </c>
      <c r="Q177" s="154">
        <v>1787.1</v>
      </c>
    </row>
    <row r="178" spans="1:17" x14ac:dyDescent="0.2">
      <c r="A178" s="8" t="s">
        <v>368</v>
      </c>
      <c r="B178" s="7">
        <v>2012</v>
      </c>
      <c r="C178" s="7" t="s">
        <v>369</v>
      </c>
      <c r="D178" s="2">
        <v>57.526971428571422</v>
      </c>
      <c r="E178" s="2">
        <v>191845.29</v>
      </c>
      <c r="F178" s="7">
        <v>1460943.34</v>
      </c>
      <c r="G178" s="7">
        <v>78344.3</v>
      </c>
      <c r="H178" s="7">
        <v>70277.789999999994</v>
      </c>
      <c r="I178" s="155">
        <v>786758.13</v>
      </c>
      <c r="J178" s="155">
        <v>1134759.1599999999</v>
      </c>
      <c r="K178" s="155">
        <v>140302.76999999999</v>
      </c>
      <c r="L178" s="155">
        <v>596354.69999999995</v>
      </c>
      <c r="M178" s="26">
        <v>1270.3990473114809</v>
      </c>
      <c r="N178" s="26">
        <v>1832.3254642338125</v>
      </c>
      <c r="O178" s="26">
        <v>226.55057322783787</v>
      </c>
      <c r="P178" s="26">
        <v>962.94962053931863</v>
      </c>
      <c r="Q178" s="154">
        <v>619.29999999999995</v>
      </c>
    </row>
    <row r="179" spans="1:17" x14ac:dyDescent="0.2">
      <c r="A179" s="8" t="s">
        <v>370</v>
      </c>
      <c r="B179" s="7">
        <v>2012</v>
      </c>
      <c r="C179" s="7" t="s">
        <v>371</v>
      </c>
      <c r="D179" s="2">
        <v>269.86654766219647</v>
      </c>
      <c r="E179" s="2">
        <v>1078581.8899999999</v>
      </c>
      <c r="F179" s="7">
        <v>5782110.6100000003</v>
      </c>
      <c r="G179" s="7">
        <v>178989.91</v>
      </c>
      <c r="H179" s="7">
        <v>3963.39</v>
      </c>
      <c r="I179" s="155">
        <v>1563477.49</v>
      </c>
      <c r="J179" s="155">
        <v>2333179.1800000002</v>
      </c>
      <c r="K179" s="155">
        <v>209502.84</v>
      </c>
      <c r="L179" s="155">
        <v>1599926.31</v>
      </c>
      <c r="M179" s="26">
        <v>930.28143277898425</v>
      </c>
      <c r="N179" s="26">
        <v>1388.2600065450868</v>
      </c>
      <c r="O179" s="26">
        <v>124.65584148989973</v>
      </c>
      <c r="P179" s="26">
        <v>951.96876803617647</v>
      </c>
      <c r="Q179" s="154">
        <v>1680.65</v>
      </c>
    </row>
    <row r="180" spans="1:17" x14ac:dyDescent="0.2">
      <c r="A180" s="8" t="s">
        <v>372</v>
      </c>
      <c r="B180" s="7">
        <v>2012</v>
      </c>
      <c r="C180" s="7" t="s">
        <v>373</v>
      </c>
      <c r="D180" s="2">
        <v>61.99680723253438</v>
      </c>
      <c r="E180" s="2">
        <v>191310.1</v>
      </c>
      <c r="F180" s="7">
        <v>2195052.0299999998</v>
      </c>
      <c r="G180" s="7">
        <v>32662.1</v>
      </c>
      <c r="H180" s="7">
        <v>647.47</v>
      </c>
      <c r="I180" s="155">
        <v>749141.16</v>
      </c>
      <c r="J180" s="155">
        <v>634926.44999999995</v>
      </c>
      <c r="K180" s="155">
        <v>19373.669999999998</v>
      </c>
      <c r="L180" s="155">
        <v>473152</v>
      </c>
      <c r="M180" s="26">
        <v>1466.1731284861532</v>
      </c>
      <c r="N180" s="26">
        <v>1242.6391036304922</v>
      </c>
      <c r="O180" s="26">
        <v>37.916958606517269</v>
      </c>
      <c r="P180" s="26">
        <v>926.02407280555826</v>
      </c>
      <c r="Q180" s="154">
        <v>510.95</v>
      </c>
    </row>
    <row r="181" spans="1:17" x14ac:dyDescent="0.2">
      <c r="A181" s="8" t="s">
        <v>374</v>
      </c>
      <c r="B181" s="7">
        <v>2012</v>
      </c>
      <c r="C181" s="7" t="s">
        <v>375</v>
      </c>
      <c r="D181" s="2">
        <v>195.69155555555557</v>
      </c>
      <c r="E181" s="2">
        <v>1246864.82</v>
      </c>
      <c r="F181" s="7">
        <v>8019591.0800000001</v>
      </c>
      <c r="G181" s="7">
        <v>158862.01999999999</v>
      </c>
      <c r="H181" s="7">
        <v>25759.78</v>
      </c>
      <c r="I181" s="155">
        <v>2734414.49</v>
      </c>
      <c r="J181" s="155">
        <v>2269086.4900000002</v>
      </c>
      <c r="K181" s="155">
        <v>759168.93</v>
      </c>
      <c r="L181" s="155">
        <v>2210196.2999999998</v>
      </c>
      <c r="M181" s="26">
        <v>1553.8564861117427</v>
      </c>
      <c r="N181" s="26">
        <v>1289.4295187980181</v>
      </c>
      <c r="O181" s="26">
        <v>431.40481088330228</v>
      </c>
      <c r="P181" s="26">
        <v>1255.9646201754783</v>
      </c>
      <c r="Q181" s="154">
        <v>1759.76</v>
      </c>
    </row>
    <row r="182" spans="1:17" x14ac:dyDescent="0.2">
      <c r="A182" s="8" t="s">
        <v>376</v>
      </c>
      <c r="B182" s="7">
        <v>2012</v>
      </c>
      <c r="C182" s="7" t="s">
        <v>377</v>
      </c>
      <c r="D182" s="2">
        <v>53.668595505617958</v>
      </c>
      <c r="E182" s="2">
        <v>225686.96</v>
      </c>
      <c r="F182" s="7">
        <v>1705220.7</v>
      </c>
      <c r="G182" s="7">
        <v>30887.41</v>
      </c>
      <c r="H182" s="7">
        <v>3121.52</v>
      </c>
      <c r="I182" s="155">
        <v>556441.9</v>
      </c>
      <c r="J182" s="155">
        <v>447223.24</v>
      </c>
      <c r="K182" s="155">
        <v>50929.74</v>
      </c>
      <c r="L182" s="155">
        <v>488809.51</v>
      </c>
      <c r="M182" s="26">
        <v>1317.4899964484432</v>
      </c>
      <c r="N182" s="26">
        <v>1058.8924825381791</v>
      </c>
      <c r="O182" s="26">
        <v>120.58657511542559</v>
      </c>
      <c r="P182" s="26">
        <v>1157.3564815910975</v>
      </c>
      <c r="Q182" s="154">
        <v>422.35</v>
      </c>
    </row>
    <row r="183" spans="1:17" x14ac:dyDescent="0.2">
      <c r="A183" s="8" t="s">
        <v>378</v>
      </c>
      <c r="B183" s="7">
        <v>2012</v>
      </c>
      <c r="C183" s="7" t="s">
        <v>379</v>
      </c>
      <c r="D183" s="2">
        <v>100.60769470952128</v>
      </c>
      <c r="E183" s="2">
        <v>253818.29</v>
      </c>
      <c r="F183" s="7">
        <v>2626152.77</v>
      </c>
      <c r="G183" s="7">
        <v>34038.519999999997</v>
      </c>
      <c r="H183" s="7">
        <v>603.04</v>
      </c>
      <c r="I183" s="155">
        <v>996299.73</v>
      </c>
      <c r="J183" s="155">
        <v>1292374.95</v>
      </c>
      <c r="K183" s="155">
        <v>163136.23000000001</v>
      </c>
      <c r="L183" s="155">
        <v>811781.26</v>
      </c>
      <c r="M183" s="26">
        <v>1073.934451498852</v>
      </c>
      <c r="N183" s="26">
        <v>1393.0807579954942</v>
      </c>
      <c r="O183" s="26">
        <v>175.84830388806847</v>
      </c>
      <c r="P183" s="26">
        <v>875.03773808625533</v>
      </c>
      <c r="Q183" s="154">
        <v>927.71</v>
      </c>
    </row>
    <row r="184" spans="1:17" x14ac:dyDescent="0.2">
      <c r="A184" s="8" t="s">
        <v>380</v>
      </c>
      <c r="B184" s="7">
        <v>2012</v>
      </c>
      <c r="C184" s="7" t="s">
        <v>381</v>
      </c>
      <c r="D184" s="2">
        <v>156.52166795069337</v>
      </c>
      <c r="E184" s="2">
        <v>743731.4</v>
      </c>
      <c r="F184" s="7">
        <v>3619133.21</v>
      </c>
      <c r="G184" s="7">
        <v>80238.289999999994</v>
      </c>
      <c r="H184" s="7">
        <v>8872.85</v>
      </c>
      <c r="I184" s="155">
        <v>1166537.99</v>
      </c>
      <c r="J184" s="155">
        <v>1819122.93</v>
      </c>
      <c r="K184" s="155">
        <v>21450.76</v>
      </c>
      <c r="L184" s="155">
        <v>643092.25</v>
      </c>
      <c r="M184" s="26">
        <v>1145.9903824428006</v>
      </c>
      <c r="N184" s="26">
        <v>1787.0805752851375</v>
      </c>
      <c r="O184" s="26">
        <v>21.072922499582486</v>
      </c>
      <c r="P184" s="26">
        <v>631.76470877172301</v>
      </c>
      <c r="Q184" s="154">
        <v>1017.93</v>
      </c>
    </row>
    <row r="185" spans="1:17" x14ac:dyDescent="0.2">
      <c r="A185" s="8" t="s">
        <v>382</v>
      </c>
      <c r="B185" s="7">
        <v>2012</v>
      </c>
      <c r="C185" s="7" t="s">
        <v>383</v>
      </c>
      <c r="D185" s="2">
        <v>133.26863799283154</v>
      </c>
      <c r="E185" s="2">
        <v>556662.89</v>
      </c>
      <c r="F185" s="7">
        <v>3338721.16</v>
      </c>
      <c r="G185" s="7">
        <v>41566.19</v>
      </c>
      <c r="H185" s="7">
        <v>6500.75</v>
      </c>
      <c r="I185" s="155">
        <v>1029016.21</v>
      </c>
      <c r="J185" s="155">
        <v>1392793.06</v>
      </c>
      <c r="K185" s="155">
        <v>76774.45</v>
      </c>
      <c r="L185" s="155">
        <v>440262.32</v>
      </c>
      <c r="M185" s="26">
        <v>1022.7264423793669</v>
      </c>
      <c r="N185" s="26">
        <v>1384.2797396014512</v>
      </c>
      <c r="O185" s="26">
        <v>76.305173184912789</v>
      </c>
      <c r="P185" s="26">
        <v>437.57125677085924</v>
      </c>
      <c r="Q185" s="154">
        <v>1006.15</v>
      </c>
    </row>
    <row r="186" spans="1:17" x14ac:dyDescent="0.2">
      <c r="A186" s="8" t="s">
        <v>384</v>
      </c>
      <c r="B186" s="7">
        <v>2012</v>
      </c>
      <c r="C186" s="7" t="s">
        <v>385</v>
      </c>
      <c r="D186" s="2">
        <v>272.13468999947099</v>
      </c>
      <c r="E186" s="2">
        <v>855446.87</v>
      </c>
      <c r="F186" s="7">
        <v>6966837.29</v>
      </c>
      <c r="G186" s="7">
        <v>114644.68</v>
      </c>
      <c r="H186" s="7">
        <v>34249.78</v>
      </c>
      <c r="I186" s="155">
        <v>2667425.5099999998</v>
      </c>
      <c r="J186" s="155">
        <v>3018643.26</v>
      </c>
      <c r="K186" s="155">
        <v>175284.09</v>
      </c>
      <c r="L186" s="155">
        <v>1554492.95</v>
      </c>
      <c r="M186" s="26">
        <v>1079.8681491737309</v>
      </c>
      <c r="N186" s="26">
        <v>1222.0535111370205</v>
      </c>
      <c r="O186" s="26">
        <v>70.961196531370689</v>
      </c>
      <c r="P186" s="26">
        <v>629.31370286704396</v>
      </c>
      <c r="Q186" s="154">
        <v>2470.14</v>
      </c>
    </row>
    <row r="187" spans="1:17" x14ac:dyDescent="0.2">
      <c r="A187" s="8" t="s">
        <v>386</v>
      </c>
      <c r="B187" s="7">
        <v>2012</v>
      </c>
      <c r="C187" s="7" t="s">
        <v>387</v>
      </c>
      <c r="D187" s="2">
        <v>839.40334208641684</v>
      </c>
      <c r="E187" s="2">
        <v>4138216.57</v>
      </c>
      <c r="F187" s="7">
        <v>19347203.710000001</v>
      </c>
      <c r="G187" s="7">
        <v>873745.21</v>
      </c>
      <c r="H187" s="7">
        <v>309981.53000000003</v>
      </c>
      <c r="I187" s="155">
        <v>5423913.0099999998</v>
      </c>
      <c r="J187" s="155">
        <v>7264290.3799999999</v>
      </c>
      <c r="K187" s="155">
        <v>2153816.48</v>
      </c>
      <c r="L187" s="155">
        <v>4217508.58</v>
      </c>
      <c r="M187" s="26">
        <v>970.60803735039792</v>
      </c>
      <c r="N187" s="26">
        <v>1299.9431619710244</v>
      </c>
      <c r="O187" s="26">
        <v>385.42498425241939</v>
      </c>
      <c r="P187" s="26">
        <v>754.72223057321196</v>
      </c>
      <c r="Q187" s="154">
        <v>5588.16</v>
      </c>
    </row>
    <row r="188" spans="1:17" x14ac:dyDescent="0.2">
      <c r="A188" s="8" t="s">
        <v>388</v>
      </c>
      <c r="B188" s="7">
        <v>2012</v>
      </c>
      <c r="C188" s="7" t="s">
        <v>389</v>
      </c>
      <c r="D188" s="2">
        <v>195.97848858281986</v>
      </c>
      <c r="E188" s="2">
        <v>919640.37</v>
      </c>
      <c r="F188" s="7">
        <v>6151951.1500000004</v>
      </c>
      <c r="G188" s="7">
        <v>191194.63</v>
      </c>
      <c r="H188" s="7">
        <v>125906.95</v>
      </c>
      <c r="I188" s="155">
        <v>2112477.94</v>
      </c>
      <c r="J188" s="155">
        <v>2730293.61</v>
      </c>
      <c r="K188" s="155">
        <v>872010.05</v>
      </c>
      <c r="L188" s="155">
        <v>1785476.89</v>
      </c>
      <c r="M188" s="26">
        <v>1517.9009563774061</v>
      </c>
      <c r="N188" s="26">
        <v>1961.8265371377656</v>
      </c>
      <c r="O188" s="26">
        <v>626.57453779882303</v>
      </c>
      <c r="P188" s="26">
        <v>1282.9374582348332</v>
      </c>
      <c r="Q188" s="154">
        <v>1391.71</v>
      </c>
    </row>
    <row r="189" spans="1:17" x14ac:dyDescent="0.2">
      <c r="A189" s="8" t="s">
        <v>390</v>
      </c>
      <c r="B189" s="7">
        <v>2012</v>
      </c>
      <c r="C189" s="7" t="s">
        <v>391</v>
      </c>
      <c r="D189" s="2">
        <v>166.39811324451426</v>
      </c>
      <c r="E189" s="2">
        <v>998715.86</v>
      </c>
      <c r="F189" s="7">
        <v>6947579.6500000004</v>
      </c>
      <c r="G189" s="7">
        <v>155950.24</v>
      </c>
      <c r="H189" s="7">
        <v>55923.5</v>
      </c>
      <c r="I189" s="155">
        <v>2179358.37</v>
      </c>
      <c r="J189" s="155">
        <v>2181712.06</v>
      </c>
      <c r="K189" s="155">
        <v>242249.92</v>
      </c>
      <c r="L189" s="155">
        <v>1414405.78</v>
      </c>
      <c r="M189" s="26">
        <v>1153.313243193184</v>
      </c>
      <c r="N189" s="26">
        <v>1154.5588124785013</v>
      </c>
      <c r="O189" s="26">
        <v>128.19830127272246</v>
      </c>
      <c r="P189" s="26">
        <v>748.50145794194691</v>
      </c>
      <c r="Q189" s="154">
        <v>1889.65</v>
      </c>
    </row>
    <row r="190" spans="1:17" x14ac:dyDescent="0.2">
      <c r="A190" s="8" t="s">
        <v>392</v>
      </c>
      <c r="B190" s="7">
        <v>2012</v>
      </c>
      <c r="C190" s="7" t="s">
        <v>393</v>
      </c>
      <c r="D190" s="2">
        <v>665.67003228901717</v>
      </c>
      <c r="E190" s="2">
        <v>4949714.67</v>
      </c>
      <c r="F190" s="7">
        <v>30707632.199999999</v>
      </c>
      <c r="G190" s="7">
        <v>1393755.2</v>
      </c>
      <c r="H190" s="7">
        <v>300572.86</v>
      </c>
      <c r="I190" s="155">
        <v>6328423.5700000003</v>
      </c>
      <c r="J190" s="155">
        <v>9109177.3699999992</v>
      </c>
      <c r="K190" s="155">
        <v>2354795.67</v>
      </c>
      <c r="L190" s="155">
        <v>9777860.0600000005</v>
      </c>
      <c r="M190" s="26">
        <v>871.37522529903333</v>
      </c>
      <c r="N190" s="26">
        <v>1254.2636243093009</v>
      </c>
      <c r="O190" s="26">
        <v>324.23724246375593</v>
      </c>
      <c r="P190" s="26">
        <v>1346.3360848845521</v>
      </c>
      <c r="Q190" s="154">
        <v>7262.57</v>
      </c>
    </row>
    <row r="191" spans="1:17" x14ac:dyDescent="0.2">
      <c r="A191" s="8" t="s">
        <v>394</v>
      </c>
      <c r="B191" s="7">
        <v>2012</v>
      </c>
      <c r="C191" s="7" t="s">
        <v>395</v>
      </c>
      <c r="D191" s="2">
        <v>133.85681003584233</v>
      </c>
      <c r="E191" s="2">
        <v>0</v>
      </c>
      <c r="F191" s="7">
        <v>3571620.24</v>
      </c>
      <c r="G191" s="7">
        <v>69896.75</v>
      </c>
      <c r="H191" s="7">
        <v>11646.88</v>
      </c>
      <c r="I191" s="155">
        <v>1412959.02</v>
      </c>
      <c r="J191" s="155">
        <v>1657952.3</v>
      </c>
      <c r="K191" s="155">
        <v>46888.24</v>
      </c>
      <c r="L191" s="155">
        <v>756026.37</v>
      </c>
      <c r="M191" s="26">
        <v>1387.0625619680566</v>
      </c>
      <c r="N191" s="26">
        <v>1627.5656493270637</v>
      </c>
      <c r="O191" s="26">
        <v>46.028880795547131</v>
      </c>
      <c r="P191" s="26">
        <v>742.17005507180932</v>
      </c>
      <c r="Q191" s="154">
        <v>1018.67</v>
      </c>
    </row>
    <row r="192" spans="1:17" x14ac:dyDescent="0.2">
      <c r="A192" s="8" t="s">
        <v>396</v>
      </c>
      <c r="B192" s="7">
        <v>2012</v>
      </c>
      <c r="C192" s="7" t="s">
        <v>397</v>
      </c>
      <c r="D192" s="2">
        <v>78.346392937399656</v>
      </c>
      <c r="E192" s="2">
        <v>295930.18</v>
      </c>
      <c r="F192" s="7">
        <v>2867043.52</v>
      </c>
      <c r="G192" s="7">
        <v>115019.78</v>
      </c>
      <c r="H192" s="7">
        <v>34432.94</v>
      </c>
      <c r="I192" s="155">
        <v>809357.93</v>
      </c>
      <c r="J192" s="155">
        <v>993631.78</v>
      </c>
      <c r="K192" s="155">
        <v>146334.10999999999</v>
      </c>
      <c r="L192" s="155">
        <v>706325.15</v>
      </c>
      <c r="M192" s="26">
        <v>968.42109482500757</v>
      </c>
      <c r="N192" s="26">
        <v>1188.9102961411907</v>
      </c>
      <c r="O192" s="26">
        <v>175.09316183069097</v>
      </c>
      <c r="P192" s="26">
        <v>845.13927609931204</v>
      </c>
      <c r="Q192" s="154">
        <v>835.75</v>
      </c>
    </row>
    <row r="193" spans="1:17" x14ac:dyDescent="0.2">
      <c r="A193" s="8" t="s">
        <v>398</v>
      </c>
      <c r="B193" s="7">
        <v>2012</v>
      </c>
      <c r="C193" s="7" t="s">
        <v>399</v>
      </c>
      <c r="D193" s="2">
        <v>88.297742658195233</v>
      </c>
      <c r="E193" s="2">
        <v>516742.44</v>
      </c>
      <c r="F193" s="7">
        <v>3463650.61</v>
      </c>
      <c r="G193" s="7">
        <v>121469.63</v>
      </c>
      <c r="H193" s="7">
        <v>91578.68</v>
      </c>
      <c r="I193" s="155">
        <v>1017318.66</v>
      </c>
      <c r="J193" s="155">
        <v>1059394.01</v>
      </c>
      <c r="K193" s="155">
        <v>98056.07</v>
      </c>
      <c r="L193" s="155">
        <v>619796.61</v>
      </c>
      <c r="M193" s="26">
        <v>1048.6307749396994</v>
      </c>
      <c r="N193" s="26">
        <v>1092.001164780341</v>
      </c>
      <c r="O193" s="26">
        <v>101.07414393798834</v>
      </c>
      <c r="P193" s="26">
        <v>638.87336879213308</v>
      </c>
      <c r="Q193" s="154">
        <v>970.14</v>
      </c>
    </row>
    <row r="194" spans="1:17" x14ac:dyDescent="0.2">
      <c r="A194" s="8" t="s">
        <v>400</v>
      </c>
      <c r="B194" s="7">
        <v>2012</v>
      </c>
      <c r="C194" s="7" t="s">
        <v>401</v>
      </c>
      <c r="D194" s="2">
        <v>197.0925355152587</v>
      </c>
      <c r="E194" s="2">
        <v>889490.84</v>
      </c>
      <c r="F194" s="7">
        <v>6911433.6399999997</v>
      </c>
      <c r="G194" s="7">
        <v>292485.81</v>
      </c>
      <c r="H194" s="7">
        <v>115920.55</v>
      </c>
      <c r="I194" s="155">
        <v>2643481.06</v>
      </c>
      <c r="J194" s="155">
        <v>2945765.5</v>
      </c>
      <c r="K194" s="155">
        <v>826500.91</v>
      </c>
      <c r="L194" s="155">
        <v>2302433.44</v>
      </c>
      <c r="M194" s="26">
        <v>1482.4366644235083</v>
      </c>
      <c r="N194" s="26">
        <v>1651.9546321220278</v>
      </c>
      <c r="O194" s="26">
        <v>463.49310789591743</v>
      </c>
      <c r="P194" s="26">
        <v>1291.180708838044</v>
      </c>
      <c r="Q194" s="154">
        <v>1783.2</v>
      </c>
    </row>
    <row r="195" spans="1:17" x14ac:dyDescent="0.2">
      <c r="A195" s="8" t="s">
        <v>402</v>
      </c>
      <c r="B195" s="7">
        <v>2012</v>
      </c>
      <c r="C195" s="7" t="s">
        <v>403</v>
      </c>
      <c r="D195" s="2">
        <v>446.2122010485985</v>
      </c>
      <c r="E195" s="2">
        <v>1792949.11</v>
      </c>
      <c r="F195" s="7">
        <v>11228038.9</v>
      </c>
      <c r="G195" s="7">
        <v>389120.23</v>
      </c>
      <c r="H195" s="7">
        <v>74218.66</v>
      </c>
      <c r="I195" s="155">
        <v>3197891.54</v>
      </c>
      <c r="J195" s="155">
        <v>3400133.52</v>
      </c>
      <c r="K195" s="155">
        <v>1133103.27</v>
      </c>
      <c r="L195" s="155">
        <v>2068660.26</v>
      </c>
      <c r="M195" s="26">
        <v>1093.8310148209209</v>
      </c>
      <c r="N195" s="26">
        <v>1163.0073916478825</v>
      </c>
      <c r="O195" s="26">
        <v>387.57521454933521</v>
      </c>
      <c r="P195" s="26">
        <v>707.58020502331055</v>
      </c>
      <c r="Q195" s="154">
        <v>2923.57</v>
      </c>
    </row>
    <row r="196" spans="1:17" x14ac:dyDescent="0.2">
      <c r="A196" s="8" t="s">
        <v>404</v>
      </c>
      <c r="B196" s="7">
        <v>2012</v>
      </c>
      <c r="C196" s="7" t="s">
        <v>405</v>
      </c>
      <c r="D196" s="2">
        <v>259.47494695102353</v>
      </c>
      <c r="E196" s="2">
        <v>649119.99</v>
      </c>
      <c r="F196" s="7">
        <v>7553959.6399999997</v>
      </c>
      <c r="G196" s="7">
        <v>133409.01999999999</v>
      </c>
      <c r="H196" s="7">
        <v>54847.31</v>
      </c>
      <c r="I196" s="155">
        <v>2207771.7999999998</v>
      </c>
      <c r="J196" s="155">
        <v>3601280.95</v>
      </c>
      <c r="K196" s="155">
        <v>164431.75</v>
      </c>
      <c r="L196" s="155">
        <v>1694929.7</v>
      </c>
      <c r="M196" s="26">
        <v>1031.466628044963</v>
      </c>
      <c r="N196" s="26">
        <v>1682.5113529120454</v>
      </c>
      <c r="O196" s="26">
        <v>76.822189103073228</v>
      </c>
      <c r="P196" s="26">
        <v>791.86781099036637</v>
      </c>
      <c r="Q196" s="154">
        <v>2140.42</v>
      </c>
    </row>
    <row r="197" spans="1:17" x14ac:dyDescent="0.2">
      <c r="A197" s="8" t="s">
        <v>406</v>
      </c>
      <c r="B197" s="7">
        <v>2012</v>
      </c>
      <c r="C197" s="7" t="s">
        <v>407</v>
      </c>
      <c r="D197" s="2">
        <v>76.460206090253664</v>
      </c>
      <c r="E197" s="2">
        <v>398597.69</v>
      </c>
      <c r="F197" s="7">
        <v>2386259.23</v>
      </c>
      <c r="G197" s="7">
        <v>93097.34</v>
      </c>
      <c r="H197" s="7">
        <v>3717.18</v>
      </c>
      <c r="I197" s="155">
        <v>819444.4</v>
      </c>
      <c r="J197" s="155">
        <v>931176.05</v>
      </c>
      <c r="K197" s="155">
        <v>235788.17</v>
      </c>
      <c r="L197" s="155">
        <v>530658.43999999994</v>
      </c>
      <c r="M197" s="26">
        <v>1047.8694645848518</v>
      </c>
      <c r="N197" s="26">
        <v>1190.7469853326684</v>
      </c>
      <c r="O197" s="26">
        <v>301.51554327949771</v>
      </c>
      <c r="P197" s="26">
        <v>678.5826779708699</v>
      </c>
      <c r="Q197" s="154">
        <v>782.01</v>
      </c>
    </row>
    <row r="198" spans="1:17" x14ac:dyDescent="0.2">
      <c r="A198" s="8" t="s">
        <v>408</v>
      </c>
      <c r="B198" s="7">
        <v>2012</v>
      </c>
      <c r="C198" s="7" t="s">
        <v>409</v>
      </c>
      <c r="D198" s="2">
        <v>111.36898059991326</v>
      </c>
      <c r="E198" s="2">
        <v>342512.89</v>
      </c>
      <c r="F198" s="7">
        <v>3684155.78</v>
      </c>
      <c r="G198" s="7">
        <v>51227.01</v>
      </c>
      <c r="H198" s="7">
        <v>-1693.64</v>
      </c>
      <c r="I198" s="155">
        <v>1037514.85</v>
      </c>
      <c r="J198" s="155">
        <v>1187656.28</v>
      </c>
      <c r="K198" s="155">
        <v>213225.36</v>
      </c>
      <c r="L198" s="155">
        <v>855799.53</v>
      </c>
      <c r="M198" s="26">
        <v>1238.2766419611635</v>
      </c>
      <c r="N198" s="26">
        <v>1417.4708248296276</v>
      </c>
      <c r="O198" s="26">
        <v>254.48501557520854</v>
      </c>
      <c r="P198" s="26">
        <v>1021.3989401697161</v>
      </c>
      <c r="Q198" s="154">
        <v>837.87</v>
      </c>
    </row>
    <row r="199" spans="1:17" x14ac:dyDescent="0.2">
      <c r="A199" s="8" t="s">
        <v>410</v>
      </c>
      <c r="B199" s="7">
        <v>2012</v>
      </c>
      <c r="C199" s="7" t="s">
        <v>411</v>
      </c>
      <c r="D199" s="2">
        <v>520.42558696170545</v>
      </c>
      <c r="E199" s="2">
        <v>2234264.7999999998</v>
      </c>
      <c r="F199" s="7">
        <v>14125214.91</v>
      </c>
      <c r="G199" s="7">
        <v>351903.2</v>
      </c>
      <c r="H199" s="7">
        <v>6848.2</v>
      </c>
      <c r="I199" s="155">
        <v>3739490.64</v>
      </c>
      <c r="J199" s="155">
        <v>4882933.49</v>
      </c>
      <c r="K199" s="155">
        <v>350390.68</v>
      </c>
      <c r="L199" s="155">
        <v>3311718.2</v>
      </c>
      <c r="M199" s="26">
        <v>885.71335453966242</v>
      </c>
      <c r="N199" s="26">
        <v>1156.5423791037917</v>
      </c>
      <c r="O199" s="26">
        <v>82.991437727527881</v>
      </c>
      <c r="P199" s="26">
        <v>784.39373663255185</v>
      </c>
      <c r="Q199" s="154">
        <v>4222.01</v>
      </c>
    </row>
    <row r="200" spans="1:17" x14ac:dyDescent="0.2">
      <c r="A200" s="8" t="s">
        <v>412</v>
      </c>
      <c r="B200" s="7">
        <v>2012</v>
      </c>
      <c r="C200" s="7" t="s">
        <v>413</v>
      </c>
      <c r="D200" s="2">
        <v>147.47121863799285</v>
      </c>
      <c r="E200" s="2">
        <v>380770.55</v>
      </c>
      <c r="F200" s="7">
        <v>2282150.25</v>
      </c>
      <c r="G200" s="7">
        <v>102864.1</v>
      </c>
      <c r="H200" s="7">
        <v>19452.2</v>
      </c>
      <c r="I200" s="155">
        <v>1186246.07</v>
      </c>
      <c r="J200" s="155">
        <v>1811736.05</v>
      </c>
      <c r="K200" s="155">
        <v>174184.36</v>
      </c>
      <c r="L200" s="155">
        <v>205553.06</v>
      </c>
      <c r="M200" s="26">
        <v>1603.5336253159767</v>
      </c>
      <c r="N200" s="26">
        <v>2449.0531516552442</v>
      </c>
      <c r="O200" s="26">
        <v>235.45745299214619</v>
      </c>
      <c r="P200" s="26">
        <v>277.86076753585576</v>
      </c>
      <c r="Q200" s="154">
        <v>739.77</v>
      </c>
    </row>
    <row r="201" spans="1:17" x14ac:dyDescent="0.2">
      <c r="A201" s="8" t="s">
        <v>414</v>
      </c>
      <c r="B201" s="7">
        <v>2012</v>
      </c>
      <c r="C201" s="7" t="s">
        <v>415</v>
      </c>
      <c r="D201" s="2">
        <v>945.23783894297867</v>
      </c>
      <c r="E201" s="2">
        <v>6170436.1100000003</v>
      </c>
      <c r="F201" s="7">
        <v>34827057.909999996</v>
      </c>
      <c r="G201" s="7">
        <v>579430.31999999995</v>
      </c>
      <c r="H201" s="7">
        <v>693516.74</v>
      </c>
      <c r="I201" s="155">
        <v>8282657.2000000002</v>
      </c>
      <c r="J201" s="155">
        <v>8782647.5700000003</v>
      </c>
      <c r="K201" s="155">
        <v>232960.43</v>
      </c>
      <c r="L201" s="155">
        <v>6780518.8200000003</v>
      </c>
      <c r="M201" s="26">
        <v>1194.512945058495</v>
      </c>
      <c r="N201" s="26">
        <v>1266.6208392943674</v>
      </c>
      <c r="O201" s="26">
        <v>33.597219177608046</v>
      </c>
      <c r="P201" s="26">
        <v>977.87670177908024</v>
      </c>
      <c r="Q201" s="154">
        <v>6933.92</v>
      </c>
    </row>
    <row r="202" spans="1:17" x14ac:dyDescent="0.2">
      <c r="A202" s="8" t="s">
        <v>416</v>
      </c>
      <c r="B202" s="7">
        <v>2012</v>
      </c>
      <c r="C202" s="7" t="s">
        <v>417</v>
      </c>
      <c r="D202" s="2">
        <v>312.70836948225622</v>
      </c>
      <c r="E202" s="2">
        <v>1309287.07</v>
      </c>
      <c r="F202" s="7">
        <v>6109821.5300000003</v>
      </c>
      <c r="G202" s="7">
        <v>179887.46</v>
      </c>
      <c r="H202" s="7">
        <v>338.41</v>
      </c>
      <c r="I202" s="155">
        <v>1851493.93</v>
      </c>
      <c r="J202" s="155">
        <v>2082051.46</v>
      </c>
      <c r="K202" s="155">
        <v>179627.94</v>
      </c>
      <c r="L202" s="155">
        <v>1799058.24</v>
      </c>
      <c r="M202" s="26">
        <v>997.38944913108594</v>
      </c>
      <c r="N202" s="26">
        <v>1121.5895040779169</v>
      </c>
      <c r="O202" s="26">
        <v>96.764568990594398</v>
      </c>
      <c r="P202" s="26">
        <v>969.14263550858141</v>
      </c>
      <c r="Q202" s="154">
        <v>1856.34</v>
      </c>
    </row>
    <row r="203" spans="1:17" x14ac:dyDescent="0.2">
      <c r="A203" s="8" t="s">
        <v>418</v>
      </c>
      <c r="B203" s="7">
        <v>2012</v>
      </c>
      <c r="C203" s="7" t="s">
        <v>419</v>
      </c>
      <c r="D203" s="2">
        <v>340.20117977528088</v>
      </c>
      <c r="E203" s="2">
        <v>1664044.63</v>
      </c>
      <c r="F203" s="7">
        <v>7945048.0800000001</v>
      </c>
      <c r="G203" s="7">
        <v>212114.05</v>
      </c>
      <c r="H203" s="7">
        <v>59077.88</v>
      </c>
      <c r="I203" s="155">
        <v>2476424.96</v>
      </c>
      <c r="J203" s="155">
        <v>3635675.94</v>
      </c>
      <c r="K203" s="155">
        <v>58027.25</v>
      </c>
      <c r="L203" s="155">
        <v>1402311.89</v>
      </c>
      <c r="M203" s="26">
        <v>1052.1055323777073</v>
      </c>
      <c r="N203" s="26">
        <v>1544.6116204573068</v>
      </c>
      <c r="O203" s="26">
        <v>24.652792529463245</v>
      </c>
      <c r="P203" s="26">
        <v>595.77016118753659</v>
      </c>
      <c r="Q203" s="154">
        <v>2353.7800000000002</v>
      </c>
    </row>
    <row r="204" spans="1:17" x14ac:dyDescent="0.2">
      <c r="A204" s="8" t="s">
        <v>420</v>
      </c>
      <c r="B204" s="7">
        <v>2012</v>
      </c>
      <c r="C204" s="7" t="s">
        <v>421</v>
      </c>
      <c r="D204" s="2">
        <v>480.09830011439743</v>
      </c>
      <c r="E204" s="2">
        <v>1755428.02</v>
      </c>
      <c r="F204" s="7">
        <v>6862674.5099999998</v>
      </c>
      <c r="G204" s="7">
        <v>234399.79</v>
      </c>
      <c r="H204" s="7">
        <v>9998.4599999999991</v>
      </c>
      <c r="I204" s="155">
        <v>2331325.19</v>
      </c>
      <c r="J204" s="155">
        <v>3406161.15</v>
      </c>
      <c r="K204" s="155">
        <v>150616.85999999999</v>
      </c>
      <c r="L204" s="155">
        <v>1767369.1</v>
      </c>
      <c r="M204" s="26">
        <v>917.46168528094574</v>
      </c>
      <c r="N204" s="26">
        <v>1340.4489268258128</v>
      </c>
      <c r="O204" s="26">
        <v>59.27324030129158</v>
      </c>
      <c r="P204" s="26">
        <v>695.5243481066957</v>
      </c>
      <c r="Q204" s="154">
        <v>2541.06</v>
      </c>
    </row>
    <row r="205" spans="1:17" x14ac:dyDescent="0.2">
      <c r="A205" s="8" t="s">
        <v>422</v>
      </c>
      <c r="B205" s="7">
        <v>2012</v>
      </c>
      <c r="C205" s="7" t="s">
        <v>423</v>
      </c>
      <c r="D205" s="2">
        <v>106.65502801863393</v>
      </c>
      <c r="E205" s="2">
        <v>627246.49</v>
      </c>
      <c r="F205" s="7">
        <v>4395432.76</v>
      </c>
      <c r="G205" s="7">
        <v>238385.16</v>
      </c>
      <c r="H205" s="7">
        <v>839.84</v>
      </c>
      <c r="I205" s="155">
        <v>1463272.43</v>
      </c>
      <c r="J205" s="155">
        <v>1656156.98</v>
      </c>
      <c r="K205" s="155">
        <v>305476.17</v>
      </c>
      <c r="L205" s="155">
        <v>759459.89</v>
      </c>
      <c r="M205" s="26">
        <v>1222.8993364311025</v>
      </c>
      <c r="N205" s="26">
        <v>1384.0985658888815</v>
      </c>
      <c r="O205" s="26">
        <v>255.29532158855386</v>
      </c>
      <c r="P205" s="26">
        <v>634.7027228053754</v>
      </c>
      <c r="Q205" s="154">
        <v>1196.56</v>
      </c>
    </row>
    <row r="206" spans="1:17" x14ac:dyDescent="0.2">
      <c r="A206" s="8" t="s">
        <v>424</v>
      </c>
      <c r="B206" s="7">
        <v>2012</v>
      </c>
      <c r="C206" s="7" t="s">
        <v>425</v>
      </c>
      <c r="D206" s="2">
        <v>491.79163602998926</v>
      </c>
      <c r="E206" s="2">
        <v>2041899.02</v>
      </c>
      <c r="F206" s="7">
        <v>13260155.32</v>
      </c>
      <c r="G206" s="7">
        <v>177059.36</v>
      </c>
      <c r="H206" s="7">
        <v>10535.9</v>
      </c>
      <c r="I206" s="155">
        <v>5466595.9199999999</v>
      </c>
      <c r="J206" s="155">
        <v>3940877.95</v>
      </c>
      <c r="K206" s="155">
        <v>789494.97</v>
      </c>
      <c r="L206" s="155">
        <v>3267358.34</v>
      </c>
      <c r="M206" s="26">
        <v>1498.2680856545369</v>
      </c>
      <c r="N206" s="26">
        <v>1080.1039162859281</v>
      </c>
      <c r="O206" s="26">
        <v>216.38239493944269</v>
      </c>
      <c r="P206" s="26">
        <v>895.50769745190632</v>
      </c>
      <c r="Q206" s="154">
        <v>3648.61</v>
      </c>
    </row>
    <row r="207" spans="1:17" x14ac:dyDescent="0.2">
      <c r="A207" s="8" t="s">
        <v>426</v>
      </c>
      <c r="B207" s="7">
        <v>2012</v>
      </c>
      <c r="C207" s="7" t="s">
        <v>427</v>
      </c>
      <c r="D207" s="2">
        <v>319.59758280872308</v>
      </c>
      <c r="E207" s="2">
        <v>867649.36</v>
      </c>
      <c r="F207" s="7">
        <v>8639291.7300000004</v>
      </c>
      <c r="G207" s="7">
        <v>233900.89</v>
      </c>
      <c r="H207" s="7">
        <v>34726.839999999997</v>
      </c>
      <c r="I207" s="155">
        <v>2242707.37</v>
      </c>
      <c r="J207" s="155">
        <v>3211470.21</v>
      </c>
      <c r="K207" s="155">
        <v>34509.75</v>
      </c>
      <c r="L207" s="155">
        <v>2060047.1</v>
      </c>
      <c r="M207" s="26">
        <v>855.88411045894804</v>
      </c>
      <c r="N207" s="26">
        <v>1225.5929421372798</v>
      </c>
      <c r="O207" s="26">
        <v>13.169951227703274</v>
      </c>
      <c r="P207" s="26">
        <v>786.17549630963924</v>
      </c>
      <c r="Q207" s="154">
        <v>2620.34</v>
      </c>
    </row>
    <row r="208" spans="1:17" x14ac:dyDescent="0.2">
      <c r="A208" s="8" t="s">
        <v>428</v>
      </c>
      <c r="B208" s="7">
        <v>2012</v>
      </c>
      <c r="C208" s="7" t="s">
        <v>429</v>
      </c>
      <c r="D208" s="2">
        <v>108.02168940904144</v>
      </c>
      <c r="E208" s="2">
        <v>329012.12</v>
      </c>
      <c r="F208" s="7">
        <v>6077454.29</v>
      </c>
      <c r="G208" s="7">
        <v>120062.39999999999</v>
      </c>
      <c r="H208" s="7">
        <v>1461.66</v>
      </c>
      <c r="I208" s="155">
        <v>1482420.55</v>
      </c>
      <c r="J208" s="155">
        <v>1153902.1299999999</v>
      </c>
      <c r="K208" s="155">
        <v>19456.2</v>
      </c>
      <c r="L208" s="155">
        <v>663333.85</v>
      </c>
      <c r="M208" s="26">
        <v>1040.0907540974406</v>
      </c>
      <c r="N208" s="26">
        <v>809.59680203188134</v>
      </c>
      <c r="O208" s="26">
        <v>13.650791423439605</v>
      </c>
      <c r="P208" s="26">
        <v>465.40599040188596</v>
      </c>
      <c r="Q208" s="154">
        <v>1425.28</v>
      </c>
    </row>
    <row r="209" spans="1:17" x14ac:dyDescent="0.2">
      <c r="A209" s="8" t="s">
        <v>430</v>
      </c>
      <c r="B209" s="7">
        <v>2012</v>
      </c>
      <c r="C209" s="7" t="s">
        <v>431</v>
      </c>
      <c r="D209" s="2">
        <v>132.22084928011662</v>
      </c>
      <c r="E209" s="2">
        <v>338566.74</v>
      </c>
      <c r="F209" s="7">
        <v>2757376.36</v>
      </c>
      <c r="G209" s="7">
        <v>64983.72</v>
      </c>
      <c r="H209" s="7">
        <v>4988.5</v>
      </c>
      <c r="I209" s="155">
        <v>1099403.6299999999</v>
      </c>
      <c r="J209" s="155">
        <v>1077609.67</v>
      </c>
      <c r="K209" s="155">
        <v>125543.89</v>
      </c>
      <c r="L209" s="155">
        <v>979688.78</v>
      </c>
      <c r="M209" s="26">
        <v>1068.8765166835187</v>
      </c>
      <c r="N209" s="26">
        <v>1047.6877090301002</v>
      </c>
      <c r="O209" s="26">
        <v>122.05791592128801</v>
      </c>
      <c r="P209" s="26">
        <v>952.48578595317736</v>
      </c>
      <c r="Q209" s="154">
        <v>1028.56</v>
      </c>
    </row>
    <row r="210" spans="1:17" x14ac:dyDescent="0.2">
      <c r="A210" s="8" t="s">
        <v>432</v>
      </c>
      <c r="B210" s="7">
        <v>2012</v>
      </c>
      <c r="C210" s="7" t="s">
        <v>433</v>
      </c>
      <c r="D210" s="2">
        <v>94.173671257423905</v>
      </c>
      <c r="E210" s="2">
        <v>208427.54</v>
      </c>
      <c r="F210" s="7">
        <v>4166050.19</v>
      </c>
      <c r="G210" s="7">
        <v>104975.85</v>
      </c>
      <c r="H210" s="7">
        <v>5805.81</v>
      </c>
      <c r="I210" s="155">
        <v>1105558.1599999999</v>
      </c>
      <c r="J210" s="155">
        <v>1257491.56</v>
      </c>
      <c r="K210" s="155">
        <v>127402.98</v>
      </c>
      <c r="L210" s="155">
        <v>673783.16</v>
      </c>
      <c r="M210" s="26">
        <v>1095.2301397818571</v>
      </c>
      <c r="N210" s="26">
        <v>1245.7441922669229</v>
      </c>
      <c r="O210" s="26">
        <v>126.21279335862813</v>
      </c>
      <c r="P210" s="26">
        <v>667.48874117075979</v>
      </c>
      <c r="Q210" s="154">
        <v>1009.43</v>
      </c>
    </row>
    <row r="211" spans="1:17" x14ac:dyDescent="0.2">
      <c r="A211" s="8" t="s">
        <v>434</v>
      </c>
      <c r="B211" s="7">
        <v>2012</v>
      </c>
      <c r="C211" s="7" t="s">
        <v>435</v>
      </c>
      <c r="D211" s="2">
        <v>195.99378531073447</v>
      </c>
      <c r="E211" s="2">
        <v>972504.79</v>
      </c>
      <c r="F211" s="7">
        <v>5864487.9900000002</v>
      </c>
      <c r="G211" s="7">
        <v>208718.73</v>
      </c>
      <c r="H211" s="7">
        <v>29753.21</v>
      </c>
      <c r="I211" s="155">
        <v>2111727.17</v>
      </c>
      <c r="J211" s="155">
        <v>1951997.78</v>
      </c>
      <c r="K211" s="155">
        <v>19194.41</v>
      </c>
      <c r="L211" s="155">
        <v>1095611.23</v>
      </c>
      <c r="M211" s="26">
        <v>1225.8312116515449</v>
      </c>
      <c r="N211" s="26">
        <v>1133.1102984286204</v>
      </c>
      <c r="O211" s="26">
        <v>11.142114948133441</v>
      </c>
      <c r="P211" s="26">
        <v>635.98861664025446</v>
      </c>
      <c r="Q211" s="154">
        <v>1722.69</v>
      </c>
    </row>
    <row r="212" spans="1:17" x14ac:dyDescent="0.2">
      <c r="A212" s="8" t="s">
        <v>436</v>
      </c>
      <c r="B212" s="7">
        <v>2012</v>
      </c>
      <c r="C212" s="7" t="s">
        <v>437</v>
      </c>
      <c r="D212" s="2">
        <v>443.73735178018535</v>
      </c>
      <c r="E212" s="2">
        <v>1338922.1100000001</v>
      </c>
      <c r="F212" s="7">
        <v>8582776.7200000007</v>
      </c>
      <c r="G212" s="7">
        <v>213329.97</v>
      </c>
      <c r="H212" s="7">
        <v>20000</v>
      </c>
      <c r="I212" s="155">
        <v>2007203</v>
      </c>
      <c r="J212" s="155">
        <v>3807730.24</v>
      </c>
      <c r="K212" s="155">
        <v>177249.33</v>
      </c>
      <c r="L212" s="155">
        <v>3064601.6</v>
      </c>
      <c r="M212" s="26">
        <v>767.60220276109987</v>
      </c>
      <c r="N212" s="26">
        <v>1456.1666755898887</v>
      </c>
      <c r="O212" s="26">
        <v>67.784362690733857</v>
      </c>
      <c r="P212" s="26">
        <v>1171.9765956633141</v>
      </c>
      <c r="Q212" s="154">
        <v>2614.9</v>
      </c>
    </row>
    <row r="213" spans="1:17" x14ac:dyDescent="0.2">
      <c r="A213" s="8" t="s">
        <v>438</v>
      </c>
      <c r="B213" s="7">
        <v>2012</v>
      </c>
      <c r="C213" s="7" t="s">
        <v>439</v>
      </c>
      <c r="D213" s="2">
        <v>281.73858967287958</v>
      </c>
      <c r="E213" s="2">
        <v>1352628.71</v>
      </c>
      <c r="F213" s="7">
        <v>5628119.29</v>
      </c>
      <c r="G213" s="7">
        <v>117898.43</v>
      </c>
      <c r="H213" s="7">
        <v>0</v>
      </c>
      <c r="I213" s="155">
        <v>1802818.58</v>
      </c>
      <c r="J213" s="155">
        <v>2769954.1</v>
      </c>
      <c r="K213" s="155">
        <v>503985.95</v>
      </c>
      <c r="L213" s="155">
        <v>1198649.77</v>
      </c>
      <c r="M213" s="26">
        <v>809.64785082657068</v>
      </c>
      <c r="N213" s="26">
        <v>1243.9895000157185</v>
      </c>
      <c r="O213" s="26">
        <v>226.34065667566367</v>
      </c>
      <c r="P213" s="26">
        <v>538.31495910934268</v>
      </c>
      <c r="Q213" s="154">
        <v>2226.67</v>
      </c>
    </row>
    <row r="214" spans="1:17" x14ac:dyDescent="0.2">
      <c r="A214" s="8" t="s">
        <v>440</v>
      </c>
      <c r="B214" s="7">
        <v>2012</v>
      </c>
      <c r="C214" s="7" t="s">
        <v>441</v>
      </c>
      <c r="D214" s="2">
        <v>151.01820495608658</v>
      </c>
      <c r="E214" s="2">
        <v>466011.23</v>
      </c>
      <c r="F214" s="7">
        <v>4281231.5</v>
      </c>
      <c r="G214" s="7">
        <v>84116.11</v>
      </c>
      <c r="H214" s="7">
        <v>1404.42</v>
      </c>
      <c r="I214" s="155">
        <v>1502730.23</v>
      </c>
      <c r="J214" s="155">
        <v>2009075.75</v>
      </c>
      <c r="K214" s="155">
        <v>117555.27</v>
      </c>
      <c r="L214" s="155">
        <v>910956.14</v>
      </c>
      <c r="M214" s="26">
        <v>1040.3332917956066</v>
      </c>
      <c r="N214" s="26">
        <v>1390.8739883832825</v>
      </c>
      <c r="O214" s="26">
        <v>81.382977839622839</v>
      </c>
      <c r="P214" s="26">
        <v>630.65078540918125</v>
      </c>
      <c r="Q214" s="154">
        <v>1444.47</v>
      </c>
    </row>
    <row r="215" spans="1:17" x14ac:dyDescent="0.2">
      <c r="A215" s="8" t="s">
        <v>442</v>
      </c>
      <c r="B215" s="7">
        <v>2012</v>
      </c>
      <c r="C215" s="7" t="s">
        <v>443</v>
      </c>
      <c r="D215" s="2">
        <v>95.350856010091903</v>
      </c>
      <c r="E215" s="2">
        <v>1090275.1599999999</v>
      </c>
      <c r="F215" s="7">
        <v>6735776.7400000002</v>
      </c>
      <c r="G215" s="7">
        <v>93301.07</v>
      </c>
      <c r="H215" s="7">
        <v>23562.29</v>
      </c>
      <c r="I215" s="155">
        <v>1626864.66</v>
      </c>
      <c r="J215" s="155">
        <v>1304310.79</v>
      </c>
      <c r="K215" s="155">
        <v>210546.32</v>
      </c>
      <c r="L215" s="155">
        <v>2825126.38</v>
      </c>
      <c r="M215" s="26">
        <v>1496.311483099563</v>
      </c>
      <c r="N215" s="26">
        <v>1199.6420234536674</v>
      </c>
      <c r="O215" s="26">
        <v>193.65032881122099</v>
      </c>
      <c r="P215" s="26">
        <v>2598.4146976316392</v>
      </c>
      <c r="Q215" s="154">
        <v>1087.25</v>
      </c>
    </row>
    <row r="216" spans="1:17" x14ac:dyDescent="0.2">
      <c r="A216" s="8" t="s">
        <v>444</v>
      </c>
      <c r="B216" s="7">
        <v>2012</v>
      </c>
      <c r="C216" s="7" t="s">
        <v>445</v>
      </c>
      <c r="D216" s="2">
        <v>264.38125896546364</v>
      </c>
      <c r="E216" s="2">
        <v>1165897.99</v>
      </c>
      <c r="F216" s="7">
        <v>10807861.65</v>
      </c>
      <c r="G216" s="7">
        <v>330365.78999999998</v>
      </c>
      <c r="H216" s="7">
        <v>27503.3</v>
      </c>
      <c r="I216" s="155">
        <v>2634290.83</v>
      </c>
      <c r="J216" s="155">
        <v>3266074.11</v>
      </c>
      <c r="K216" s="155">
        <v>960168.44</v>
      </c>
      <c r="L216" s="155">
        <v>2576488.21</v>
      </c>
      <c r="M216" s="26">
        <v>1060.9776631264374</v>
      </c>
      <c r="N216" s="26">
        <v>1315.4324637821248</v>
      </c>
      <c r="O216" s="26">
        <v>386.71404693723844</v>
      </c>
      <c r="P216" s="26">
        <v>1037.6972842131549</v>
      </c>
      <c r="Q216" s="154">
        <v>2482.89</v>
      </c>
    </row>
    <row r="217" spans="1:17" x14ac:dyDescent="0.2">
      <c r="A217" s="8" t="s">
        <v>446</v>
      </c>
      <c r="B217" s="7">
        <v>2012</v>
      </c>
      <c r="C217" s="7" t="s">
        <v>447</v>
      </c>
      <c r="D217" s="2">
        <v>71.86633333333333</v>
      </c>
      <c r="E217" s="2">
        <v>169901.27</v>
      </c>
      <c r="F217" s="7">
        <v>1786371.33</v>
      </c>
      <c r="G217" s="7">
        <v>60144.17</v>
      </c>
      <c r="H217" s="7">
        <v>10125.81</v>
      </c>
      <c r="I217" s="155">
        <v>723423.46</v>
      </c>
      <c r="J217" s="155">
        <v>957465.38</v>
      </c>
      <c r="K217" s="155">
        <v>32863.43</v>
      </c>
      <c r="L217" s="155">
        <v>552397.37</v>
      </c>
      <c r="M217" s="26">
        <v>1229.6219128720275</v>
      </c>
      <c r="N217" s="26">
        <v>1627.4291299100844</v>
      </c>
      <c r="O217" s="26">
        <v>55.85883772712593</v>
      </c>
      <c r="P217" s="26">
        <v>938.92436217768932</v>
      </c>
      <c r="Q217" s="154">
        <v>588.33000000000004</v>
      </c>
    </row>
    <row r="218" spans="1:17" x14ac:dyDescent="0.2">
      <c r="A218" s="8" t="s">
        <v>448</v>
      </c>
      <c r="B218" s="7">
        <v>2012</v>
      </c>
      <c r="C218" s="7" t="s">
        <v>449</v>
      </c>
      <c r="D218" s="2">
        <v>487.18217619220218</v>
      </c>
      <c r="E218" s="2">
        <v>2912430.15</v>
      </c>
      <c r="F218" s="7">
        <v>14418606.939999999</v>
      </c>
      <c r="G218" s="7">
        <v>293765</v>
      </c>
      <c r="H218" s="7">
        <v>3819.77</v>
      </c>
      <c r="I218" s="155">
        <v>3930453.65</v>
      </c>
      <c r="J218" s="155">
        <v>4855184.5599999996</v>
      </c>
      <c r="K218" s="155">
        <v>636953.30000000005</v>
      </c>
      <c r="L218" s="155">
        <v>3461299.19</v>
      </c>
      <c r="M218" s="26">
        <v>965.19170227395512</v>
      </c>
      <c r="N218" s="26">
        <v>1192.2755660331025</v>
      </c>
      <c r="O218" s="26">
        <v>156.4150336427484</v>
      </c>
      <c r="P218" s="26">
        <v>849.98261136486417</v>
      </c>
      <c r="Q218" s="154">
        <v>4072.2</v>
      </c>
    </row>
    <row r="219" spans="1:17" x14ac:dyDescent="0.2">
      <c r="A219" s="8" t="s">
        <v>450</v>
      </c>
      <c r="B219" s="7">
        <v>2012</v>
      </c>
      <c r="C219" s="7" t="s">
        <v>451</v>
      </c>
      <c r="D219" s="2">
        <v>116.38816432577046</v>
      </c>
      <c r="E219" s="2">
        <v>448517.5</v>
      </c>
      <c r="F219" s="7">
        <v>4295427.16</v>
      </c>
      <c r="G219" s="7">
        <v>95638.15</v>
      </c>
      <c r="H219" s="7">
        <v>79304.58</v>
      </c>
      <c r="I219" s="155">
        <v>1322190.82</v>
      </c>
      <c r="J219" s="155">
        <v>1497552.65</v>
      </c>
      <c r="K219" s="155">
        <v>259665.07</v>
      </c>
      <c r="L219" s="155">
        <v>932422.1</v>
      </c>
      <c r="M219" s="26">
        <v>1120.4911992271252</v>
      </c>
      <c r="N219" s="26">
        <v>1269.1016601554225</v>
      </c>
      <c r="O219" s="26">
        <v>220.05327920949824</v>
      </c>
      <c r="P219" s="26">
        <v>790.18152388539079</v>
      </c>
      <c r="Q219" s="154">
        <v>1180.01</v>
      </c>
    </row>
    <row r="220" spans="1:17" x14ac:dyDescent="0.2">
      <c r="A220" s="8" t="s">
        <v>452</v>
      </c>
      <c r="B220" s="7">
        <v>2012</v>
      </c>
      <c r="C220" s="7" t="s">
        <v>453</v>
      </c>
      <c r="D220" s="2">
        <v>149.60137731061977</v>
      </c>
      <c r="E220" s="2">
        <v>636530.44999999995</v>
      </c>
      <c r="F220" s="7">
        <v>4538412.1500000004</v>
      </c>
      <c r="G220" s="7">
        <v>148393.19</v>
      </c>
      <c r="H220" s="7">
        <v>22378.43</v>
      </c>
      <c r="I220" s="155">
        <v>1619010.98</v>
      </c>
      <c r="J220" s="155">
        <v>1842776.76</v>
      </c>
      <c r="K220" s="155">
        <v>56367.62</v>
      </c>
      <c r="L220" s="155">
        <v>1105643.94</v>
      </c>
      <c r="M220" s="26">
        <v>1190.0292396801128</v>
      </c>
      <c r="N220" s="26">
        <v>1354.5048512289779</v>
      </c>
      <c r="O220" s="26">
        <v>41.432156297777254</v>
      </c>
      <c r="P220" s="26">
        <v>812.68665471010229</v>
      </c>
      <c r="Q220" s="154">
        <v>1360.48</v>
      </c>
    </row>
    <row r="221" spans="1:17" x14ac:dyDescent="0.2">
      <c r="A221" s="8" t="s">
        <v>454</v>
      </c>
      <c r="B221" s="7">
        <v>2012</v>
      </c>
      <c r="C221" s="7" t="s">
        <v>455</v>
      </c>
      <c r="D221" s="2">
        <v>175.44090445426727</v>
      </c>
      <c r="E221" s="2">
        <v>732913.38</v>
      </c>
      <c r="F221" s="7">
        <v>6698908.6799999997</v>
      </c>
      <c r="G221" s="7">
        <v>374690.89</v>
      </c>
      <c r="H221" s="7">
        <v>2512.8000000000002</v>
      </c>
      <c r="I221" s="155">
        <v>2106914.4500000002</v>
      </c>
      <c r="J221" s="155">
        <v>2903198.64</v>
      </c>
      <c r="K221" s="155">
        <v>340976.72</v>
      </c>
      <c r="L221" s="155">
        <v>1155403.79</v>
      </c>
      <c r="M221" s="26">
        <v>1020.0456303770013</v>
      </c>
      <c r="N221" s="26">
        <v>1405.5601957869969</v>
      </c>
      <c r="O221" s="26">
        <v>165.08112766338576</v>
      </c>
      <c r="P221" s="26">
        <v>559.37942203136265</v>
      </c>
      <c r="Q221" s="154">
        <v>2065.5100000000002</v>
      </c>
    </row>
    <row r="222" spans="1:17" x14ac:dyDescent="0.2">
      <c r="A222" s="8" t="s">
        <v>456</v>
      </c>
      <c r="B222" s="7">
        <v>2012</v>
      </c>
      <c r="C222" s="7" t="s">
        <v>457</v>
      </c>
      <c r="D222" s="2">
        <v>150.98110625556032</v>
      </c>
      <c r="E222" s="2">
        <v>504816.83</v>
      </c>
      <c r="F222" s="7">
        <v>6355109.0999999996</v>
      </c>
      <c r="G222" s="7">
        <v>211206.2</v>
      </c>
      <c r="H222" s="7">
        <v>29808.89</v>
      </c>
      <c r="I222" s="155">
        <v>2177118.25</v>
      </c>
      <c r="J222" s="155">
        <v>2239803.9900000002</v>
      </c>
      <c r="K222" s="155">
        <v>166288.43</v>
      </c>
      <c r="L222" s="155">
        <v>892187.68</v>
      </c>
      <c r="M222" s="26">
        <v>1206.0327444756508</v>
      </c>
      <c r="N222" s="26">
        <v>1240.7580310105861</v>
      </c>
      <c r="O222" s="26">
        <v>92.116857505304139</v>
      </c>
      <c r="P222" s="26">
        <v>494.23477861056176</v>
      </c>
      <c r="Q222" s="154">
        <v>1805.19</v>
      </c>
    </row>
    <row r="223" spans="1:17" x14ac:dyDescent="0.2">
      <c r="A223" s="8" t="s">
        <v>458</v>
      </c>
      <c r="B223" s="7">
        <v>2012</v>
      </c>
      <c r="C223" s="7" t="s">
        <v>459</v>
      </c>
      <c r="D223" s="2">
        <v>381.47669445451248</v>
      </c>
      <c r="E223" s="2">
        <v>2579792.84</v>
      </c>
      <c r="F223" s="7">
        <v>8777936.2799999993</v>
      </c>
      <c r="G223" s="7">
        <v>192192.08</v>
      </c>
      <c r="H223" s="7">
        <v>46011.26</v>
      </c>
      <c r="I223" s="155">
        <v>2993093.58</v>
      </c>
      <c r="J223" s="155">
        <v>2939689.47</v>
      </c>
      <c r="K223" s="155">
        <v>461847.01</v>
      </c>
      <c r="L223" s="155">
        <v>1853609.14</v>
      </c>
      <c r="M223" s="26">
        <v>1094.4189595849164</v>
      </c>
      <c r="N223" s="26">
        <v>1074.8918486070638</v>
      </c>
      <c r="O223" s="26">
        <v>168.87347844687318</v>
      </c>
      <c r="P223" s="26">
        <v>677.76864713862085</v>
      </c>
      <c r="Q223" s="154">
        <v>2734.87</v>
      </c>
    </row>
    <row r="224" spans="1:17" x14ac:dyDescent="0.2">
      <c r="A224" s="8" t="s">
        <v>460</v>
      </c>
      <c r="B224" s="7">
        <v>2012</v>
      </c>
      <c r="C224" s="7" t="s">
        <v>461</v>
      </c>
      <c r="D224" s="2">
        <v>719.67861722120142</v>
      </c>
      <c r="E224" s="2">
        <v>5718952.6900000004</v>
      </c>
      <c r="F224" s="7">
        <v>20559397.699999999</v>
      </c>
      <c r="G224" s="7">
        <v>341607.21</v>
      </c>
      <c r="H224" s="7">
        <v>-2144.59</v>
      </c>
      <c r="I224" s="155">
        <v>6552071.9000000004</v>
      </c>
      <c r="J224" s="155">
        <v>9221273.6099999994</v>
      </c>
      <c r="K224" s="155">
        <v>2691642.53</v>
      </c>
      <c r="L224" s="155">
        <v>4793905.45</v>
      </c>
      <c r="M224" s="26">
        <v>1165.6333881274641</v>
      </c>
      <c r="N224" s="26">
        <v>1640.4924373425558</v>
      </c>
      <c r="O224" s="26">
        <v>478.85133889813983</v>
      </c>
      <c r="P224" s="26">
        <v>852.85026436389001</v>
      </c>
      <c r="Q224" s="154">
        <v>5621.04</v>
      </c>
    </row>
    <row r="225" spans="1:17" x14ac:dyDescent="0.2">
      <c r="A225" s="8" t="s">
        <v>462</v>
      </c>
      <c r="B225" s="7">
        <v>2012</v>
      </c>
      <c r="C225" s="7" t="s">
        <v>463</v>
      </c>
      <c r="D225" s="2">
        <v>1181.0490550942104</v>
      </c>
      <c r="E225" s="2">
        <v>6369868.3099999996</v>
      </c>
      <c r="F225" s="7">
        <v>31188527.329999998</v>
      </c>
      <c r="G225" s="7">
        <v>485525.94</v>
      </c>
      <c r="H225" s="7">
        <v>109266.53</v>
      </c>
      <c r="I225" s="155">
        <v>6118133.8200000003</v>
      </c>
      <c r="J225" s="155">
        <v>10587992.220000001</v>
      </c>
      <c r="K225" s="155">
        <v>815376.51</v>
      </c>
      <c r="L225" s="155">
        <v>8080027.0199999996</v>
      </c>
      <c r="M225" s="26">
        <v>643.39371931905657</v>
      </c>
      <c r="N225" s="26">
        <v>1113.4518948045886</v>
      </c>
      <c r="O225" s="26">
        <v>85.74642870663655</v>
      </c>
      <c r="P225" s="26">
        <v>849.70986080789464</v>
      </c>
      <c r="Q225" s="154">
        <v>9509.16</v>
      </c>
    </row>
    <row r="226" spans="1:17" x14ac:dyDescent="0.2">
      <c r="A226" s="8" t="s">
        <v>464</v>
      </c>
      <c r="B226" s="7">
        <v>2012</v>
      </c>
      <c r="C226" s="7" t="s">
        <v>465</v>
      </c>
      <c r="D226" s="2">
        <v>279.14999999999992</v>
      </c>
      <c r="E226" s="2">
        <v>0</v>
      </c>
      <c r="F226" s="7">
        <v>9295680.9600000009</v>
      </c>
      <c r="G226" s="7">
        <v>151815.93</v>
      </c>
      <c r="H226" s="7">
        <v>20444.310000000001</v>
      </c>
      <c r="I226" s="155">
        <v>3329662.49</v>
      </c>
      <c r="J226" s="155">
        <v>3437036.86</v>
      </c>
      <c r="K226" s="155">
        <v>112877.42</v>
      </c>
      <c r="L226" s="155">
        <v>1706141.75</v>
      </c>
      <c r="M226" s="26">
        <v>1129.4457319244925</v>
      </c>
      <c r="N226" s="26">
        <v>1165.8678991197571</v>
      </c>
      <c r="O226" s="26">
        <v>38.28884177676769</v>
      </c>
      <c r="P226" s="26">
        <v>578.73568969318694</v>
      </c>
      <c r="Q226" s="154">
        <v>2948.05</v>
      </c>
    </row>
    <row r="227" spans="1:17" x14ac:dyDescent="0.2">
      <c r="A227" s="8" t="s">
        <v>466</v>
      </c>
      <c r="B227" s="7">
        <v>2012</v>
      </c>
      <c r="C227" s="7" t="s">
        <v>467</v>
      </c>
      <c r="D227" s="2">
        <v>35.257072561118484</v>
      </c>
      <c r="E227" s="2">
        <v>81695.62</v>
      </c>
      <c r="F227" s="7">
        <v>1821111.93</v>
      </c>
      <c r="G227" s="7">
        <v>26261.89</v>
      </c>
      <c r="H227" s="7">
        <v>46111.16</v>
      </c>
      <c r="I227" s="155">
        <v>688398.75</v>
      </c>
      <c r="J227" s="155">
        <v>593384.61</v>
      </c>
      <c r="K227" s="155">
        <v>14853.01</v>
      </c>
      <c r="L227" s="155">
        <v>400308.38</v>
      </c>
      <c r="M227" s="26">
        <v>1406.0144809133799</v>
      </c>
      <c r="N227" s="26">
        <v>1211.953616143461</v>
      </c>
      <c r="O227" s="26">
        <v>30.33641061252834</v>
      </c>
      <c r="P227" s="26">
        <v>817.60662568166504</v>
      </c>
      <c r="Q227" s="154">
        <v>489.61</v>
      </c>
    </row>
    <row r="228" spans="1:17" x14ac:dyDescent="0.2">
      <c r="A228" s="8" t="s">
        <v>468</v>
      </c>
      <c r="B228" s="7">
        <v>2012</v>
      </c>
      <c r="C228" s="7" t="s">
        <v>469</v>
      </c>
      <c r="D228" s="2">
        <v>103.8684239519003</v>
      </c>
      <c r="E228" s="2">
        <v>332319.90999999997</v>
      </c>
      <c r="F228" s="7">
        <v>2734787.85</v>
      </c>
      <c r="G228" s="7">
        <v>71132.320000000007</v>
      </c>
      <c r="H228" s="7">
        <v>0</v>
      </c>
      <c r="I228" s="155">
        <v>812295.36</v>
      </c>
      <c r="J228" s="155">
        <v>1061475.01</v>
      </c>
      <c r="K228" s="155">
        <v>108036.87</v>
      </c>
      <c r="L228" s="155">
        <v>856029.99</v>
      </c>
      <c r="M228" s="26">
        <v>876.73541284403666</v>
      </c>
      <c r="N228" s="26">
        <v>1145.682687533729</v>
      </c>
      <c r="O228" s="26">
        <v>116.60752293577981</v>
      </c>
      <c r="P228" s="26">
        <v>923.93954668105778</v>
      </c>
      <c r="Q228" s="154">
        <v>926.5</v>
      </c>
    </row>
    <row r="229" spans="1:17" x14ac:dyDescent="0.2">
      <c r="A229" s="8" t="s">
        <v>470</v>
      </c>
      <c r="B229" s="7">
        <v>2012</v>
      </c>
      <c r="C229" s="7" t="s">
        <v>471</v>
      </c>
      <c r="D229" s="2">
        <v>218.41121187800962</v>
      </c>
      <c r="E229" s="2">
        <v>821253.24</v>
      </c>
      <c r="F229" s="7">
        <v>4314800.24</v>
      </c>
      <c r="G229" s="7">
        <v>261873.27</v>
      </c>
      <c r="H229" s="7">
        <v>5609.19</v>
      </c>
      <c r="I229" s="155">
        <v>2014969.02</v>
      </c>
      <c r="J229" s="155">
        <v>2265642.65</v>
      </c>
      <c r="K229" s="155">
        <v>145562.4</v>
      </c>
      <c r="L229" s="155">
        <v>908691.68</v>
      </c>
      <c r="M229" s="26">
        <v>1307.0041059370683</v>
      </c>
      <c r="N229" s="26">
        <v>1469.6028657235333</v>
      </c>
      <c r="O229" s="26">
        <v>94.41864990562182</v>
      </c>
      <c r="P229" s="26">
        <v>589.42035584787925</v>
      </c>
      <c r="Q229" s="154">
        <v>1541.67</v>
      </c>
    </row>
    <row r="230" spans="1:17" x14ac:dyDescent="0.2">
      <c r="A230" s="8" t="s">
        <v>472</v>
      </c>
      <c r="B230" s="7">
        <v>2012</v>
      </c>
      <c r="C230" s="7" t="s">
        <v>473</v>
      </c>
      <c r="D230" s="2">
        <v>115.91732609365081</v>
      </c>
      <c r="E230" s="2">
        <v>354349.68</v>
      </c>
      <c r="F230" s="7">
        <v>6048516.1799999997</v>
      </c>
      <c r="G230" s="7">
        <v>85082.74</v>
      </c>
      <c r="H230" s="7">
        <v>75805.86</v>
      </c>
      <c r="I230" s="155">
        <v>2073561.98</v>
      </c>
      <c r="J230" s="155">
        <v>1950929.51</v>
      </c>
      <c r="K230" s="155">
        <v>17421.490000000002</v>
      </c>
      <c r="L230" s="155">
        <v>1281010.81</v>
      </c>
      <c r="M230" s="26">
        <v>1308.1006958244225</v>
      </c>
      <c r="N230" s="26">
        <v>1230.7383498299866</v>
      </c>
      <c r="O230" s="26">
        <v>10.99029757060757</v>
      </c>
      <c r="P230" s="26">
        <v>808.12203738400297</v>
      </c>
      <c r="Q230" s="154">
        <v>1585.17</v>
      </c>
    </row>
    <row r="231" spans="1:17" x14ac:dyDescent="0.2">
      <c r="A231" s="8" t="s">
        <v>474</v>
      </c>
      <c r="B231" s="7">
        <v>2012</v>
      </c>
      <c r="C231" s="7" t="s">
        <v>475</v>
      </c>
      <c r="D231" s="2">
        <v>131.37637257405515</v>
      </c>
      <c r="E231" s="2">
        <v>561335.35</v>
      </c>
      <c r="F231" s="7">
        <v>3540119.01</v>
      </c>
      <c r="G231" s="7">
        <v>80439.759999999995</v>
      </c>
      <c r="H231" s="7">
        <v>0</v>
      </c>
      <c r="I231" s="155">
        <v>1150923.26</v>
      </c>
      <c r="J231" s="155">
        <v>860693.39</v>
      </c>
      <c r="K231" s="155">
        <v>119270.9</v>
      </c>
      <c r="L231" s="155">
        <v>1047314.68</v>
      </c>
      <c r="M231" s="26">
        <v>1253.1011257975306</v>
      </c>
      <c r="N231" s="26">
        <v>937.10492563639139</v>
      </c>
      <c r="O231" s="26">
        <v>129.85965638133396</v>
      </c>
      <c r="P231" s="26">
        <v>1140.2942751997909</v>
      </c>
      <c r="Q231" s="154">
        <v>918.46</v>
      </c>
    </row>
    <row r="232" spans="1:17" x14ac:dyDescent="0.2">
      <c r="A232" s="8" t="s">
        <v>476</v>
      </c>
      <c r="B232" s="7">
        <v>2012</v>
      </c>
      <c r="C232" s="7" t="s">
        <v>477</v>
      </c>
      <c r="D232" s="2">
        <v>371.91772727272729</v>
      </c>
      <c r="E232" s="2">
        <v>1602171.37</v>
      </c>
      <c r="F232" s="7">
        <v>10926293.289999999</v>
      </c>
      <c r="G232" s="7">
        <v>247594.58</v>
      </c>
      <c r="H232" s="7">
        <v>96699.9</v>
      </c>
      <c r="I232" s="155">
        <v>2887137.84</v>
      </c>
      <c r="J232" s="155">
        <v>4078064.66</v>
      </c>
      <c r="K232" s="155">
        <v>561466.06000000006</v>
      </c>
      <c r="L232" s="155">
        <v>3045755.35</v>
      </c>
      <c r="M232" s="26">
        <v>881.98084601355754</v>
      </c>
      <c r="N232" s="26">
        <v>1245.792587071212</v>
      </c>
      <c r="O232" s="26">
        <v>171.52014834411193</v>
      </c>
      <c r="P232" s="26">
        <v>930.43631070393201</v>
      </c>
      <c r="Q232" s="154">
        <v>3273.47</v>
      </c>
    </row>
    <row r="233" spans="1:17" x14ac:dyDescent="0.2">
      <c r="A233" s="8" t="s">
        <v>478</v>
      </c>
      <c r="B233" s="7">
        <v>2012</v>
      </c>
      <c r="C233" s="7" t="s">
        <v>479</v>
      </c>
      <c r="D233" s="2">
        <v>212.40617511520776</v>
      </c>
      <c r="E233" s="2">
        <v>772440.36</v>
      </c>
      <c r="F233" s="7">
        <v>5590350.0899999999</v>
      </c>
      <c r="G233" s="7">
        <v>159427.94</v>
      </c>
      <c r="H233" s="7">
        <v>57678.43</v>
      </c>
      <c r="I233" s="155">
        <v>1620697.62</v>
      </c>
      <c r="J233" s="155">
        <v>2815955.52</v>
      </c>
      <c r="K233" s="155">
        <v>457919.74</v>
      </c>
      <c r="L233" s="155">
        <v>769304.68</v>
      </c>
      <c r="M233" s="26">
        <v>855.50221701399892</v>
      </c>
      <c r="N233" s="26">
        <v>1486.4316209539495</v>
      </c>
      <c r="O233" s="26">
        <v>241.71773188910706</v>
      </c>
      <c r="P233" s="26">
        <v>406.08553451151795</v>
      </c>
      <c r="Q233" s="154">
        <v>1894.44</v>
      </c>
    </row>
    <row r="234" spans="1:17" x14ac:dyDescent="0.2">
      <c r="A234" s="8" t="s">
        <v>480</v>
      </c>
      <c r="B234" s="7">
        <v>2012</v>
      </c>
      <c r="C234" s="7" t="s">
        <v>481</v>
      </c>
      <c r="D234" s="2">
        <v>1355.3473234047094</v>
      </c>
      <c r="E234" s="2">
        <v>6161616.1799999997</v>
      </c>
      <c r="F234" s="7">
        <v>72680856.620000005</v>
      </c>
      <c r="G234" s="7">
        <v>1826953.07</v>
      </c>
      <c r="H234" s="7">
        <v>0</v>
      </c>
      <c r="I234" s="155">
        <v>12436275.550000001</v>
      </c>
      <c r="J234" s="155">
        <v>21469747.390000001</v>
      </c>
      <c r="K234" s="155">
        <v>4700784.5999999996</v>
      </c>
      <c r="L234" s="155">
        <v>20386574.640000001</v>
      </c>
      <c r="M234" s="26">
        <v>832.92314652585787</v>
      </c>
      <c r="N234" s="26">
        <v>1437.9425318534475</v>
      </c>
      <c r="O234" s="26">
        <v>314.83640615958336</v>
      </c>
      <c r="P234" s="26">
        <v>1365.3967241046744</v>
      </c>
      <c r="Q234" s="154">
        <v>14930.88</v>
      </c>
    </row>
    <row r="235" spans="1:17" x14ac:dyDescent="0.2">
      <c r="A235" s="8" t="s">
        <v>482</v>
      </c>
      <c r="B235" s="7">
        <v>2012</v>
      </c>
      <c r="C235" s="7" t="s">
        <v>483</v>
      </c>
      <c r="D235" s="2">
        <v>300.6071378744744</v>
      </c>
      <c r="E235" s="2">
        <v>1264789.8500000001</v>
      </c>
      <c r="F235" s="7">
        <v>8064028.9900000002</v>
      </c>
      <c r="G235" s="7">
        <v>311785.57</v>
      </c>
      <c r="H235" s="7">
        <v>103701.21</v>
      </c>
      <c r="I235" s="155">
        <v>2315679.0699999998</v>
      </c>
      <c r="J235" s="155">
        <v>3218908.64</v>
      </c>
      <c r="K235" s="155">
        <v>523935.31</v>
      </c>
      <c r="L235" s="155">
        <v>2279572.89</v>
      </c>
      <c r="M235" s="26">
        <v>890.71773874043663</v>
      </c>
      <c r="N235" s="26">
        <v>1238.1417883752149</v>
      </c>
      <c r="O235" s="26">
        <v>201.52985818085307</v>
      </c>
      <c r="P235" s="26">
        <v>876.82962470045663</v>
      </c>
      <c r="Q235" s="154">
        <v>2599.79</v>
      </c>
    </row>
    <row r="236" spans="1:17" x14ac:dyDescent="0.2">
      <c r="A236" s="8" t="s">
        <v>484</v>
      </c>
      <c r="B236" s="7">
        <v>2012</v>
      </c>
      <c r="C236" s="7" t="s">
        <v>485</v>
      </c>
      <c r="D236" s="2">
        <v>85.935070677781795</v>
      </c>
      <c r="E236" s="2">
        <v>435930.53</v>
      </c>
      <c r="F236" s="7">
        <v>4170589.26</v>
      </c>
      <c r="G236" s="7">
        <v>86298.75</v>
      </c>
      <c r="H236" s="7">
        <v>5478.46</v>
      </c>
      <c r="I236" s="155">
        <v>1227614.9099999999</v>
      </c>
      <c r="J236" s="155">
        <v>1566135.54</v>
      </c>
      <c r="K236" s="155">
        <v>24106.51</v>
      </c>
      <c r="L236" s="155">
        <v>1002590.99</v>
      </c>
      <c r="M236" s="26">
        <v>1226.9891455357767</v>
      </c>
      <c r="N236" s="26">
        <v>1565.3372180188105</v>
      </c>
      <c r="O236" s="26">
        <v>24.094221946807128</v>
      </c>
      <c r="P236" s="26">
        <v>1002.0799292360896</v>
      </c>
      <c r="Q236" s="154">
        <v>1000.51</v>
      </c>
    </row>
    <row r="237" spans="1:17" x14ac:dyDescent="0.2">
      <c r="A237" s="8" t="s">
        <v>486</v>
      </c>
      <c r="B237" s="7">
        <v>2012</v>
      </c>
      <c r="C237" s="7" t="s">
        <v>487</v>
      </c>
      <c r="D237" s="2">
        <v>55.219444444444449</v>
      </c>
      <c r="E237" s="2">
        <v>0</v>
      </c>
      <c r="F237" s="7">
        <v>2101002.9</v>
      </c>
      <c r="G237" s="7">
        <v>73776.91</v>
      </c>
      <c r="H237" s="7">
        <v>4607.34</v>
      </c>
      <c r="I237" s="155">
        <v>659155.65</v>
      </c>
      <c r="J237" s="155">
        <v>385744.91</v>
      </c>
      <c r="K237" s="155">
        <v>29472.15</v>
      </c>
      <c r="L237" s="155">
        <v>518232.71</v>
      </c>
      <c r="M237" s="26">
        <v>1415.9555980409007</v>
      </c>
      <c r="N237" s="26">
        <v>828.63230366042274</v>
      </c>
      <c r="O237" s="26">
        <v>63.310169273070983</v>
      </c>
      <c r="P237" s="26">
        <v>1113.2340393538409</v>
      </c>
      <c r="Q237" s="154">
        <v>465.52</v>
      </c>
    </row>
    <row r="238" spans="1:17" x14ac:dyDescent="0.2">
      <c r="A238" s="8" t="s">
        <v>488</v>
      </c>
      <c r="B238" s="7">
        <v>2012</v>
      </c>
      <c r="C238" s="7" t="s">
        <v>489</v>
      </c>
      <c r="D238" s="2">
        <v>92.364764577318823</v>
      </c>
      <c r="E238" s="2">
        <v>294274.14</v>
      </c>
      <c r="F238" s="7">
        <v>2931338.88</v>
      </c>
      <c r="G238" s="7">
        <v>105537.38</v>
      </c>
      <c r="H238" s="7">
        <v>6998.29</v>
      </c>
      <c r="I238" s="155">
        <v>892724.67</v>
      </c>
      <c r="J238" s="155">
        <v>753010.2</v>
      </c>
      <c r="K238" s="155">
        <v>81497.56</v>
      </c>
      <c r="L238" s="155">
        <v>583937.91</v>
      </c>
      <c r="M238" s="26">
        <v>1025.8726859034027</v>
      </c>
      <c r="N238" s="26">
        <v>865.32009514944662</v>
      </c>
      <c r="O238" s="26">
        <v>93.652750485514986</v>
      </c>
      <c r="P238" s="26">
        <v>671.03102699348437</v>
      </c>
      <c r="Q238" s="154">
        <v>870.21</v>
      </c>
    </row>
    <row r="239" spans="1:17" x14ac:dyDescent="0.2">
      <c r="A239" s="8" t="s">
        <v>490</v>
      </c>
      <c r="B239" s="7">
        <v>2012</v>
      </c>
      <c r="C239" s="7" t="s">
        <v>491</v>
      </c>
      <c r="D239" s="2">
        <v>282.45225988700565</v>
      </c>
      <c r="E239" s="2">
        <v>1587816.94</v>
      </c>
      <c r="F239" s="7">
        <v>12048115.470000001</v>
      </c>
      <c r="G239" s="7">
        <v>431032.83</v>
      </c>
      <c r="H239" s="7">
        <v>29722.400000000001</v>
      </c>
      <c r="I239" s="155">
        <v>3360372.39</v>
      </c>
      <c r="J239" s="155">
        <v>4551170.8899999997</v>
      </c>
      <c r="K239" s="155">
        <v>219978.36</v>
      </c>
      <c r="L239" s="155">
        <v>2500057.8199999998</v>
      </c>
      <c r="M239" s="26">
        <v>1170.1479550796553</v>
      </c>
      <c r="N239" s="26">
        <v>1584.8074832419256</v>
      </c>
      <c r="O239" s="26">
        <v>76.600804387568544</v>
      </c>
      <c r="P239" s="26">
        <v>870.56945068338121</v>
      </c>
      <c r="Q239" s="154">
        <v>2871.75</v>
      </c>
    </row>
    <row r="240" spans="1:17" x14ac:dyDescent="0.2">
      <c r="A240" s="8" t="s">
        <v>492</v>
      </c>
      <c r="B240" s="7">
        <v>2012</v>
      </c>
      <c r="C240" s="7" t="s">
        <v>493</v>
      </c>
      <c r="D240" s="2">
        <v>184.99392960253635</v>
      </c>
      <c r="E240" s="2">
        <v>613191.75</v>
      </c>
      <c r="F240" s="7">
        <v>7651942.9199999999</v>
      </c>
      <c r="G240" s="7">
        <v>222809.04</v>
      </c>
      <c r="H240" s="7">
        <v>130810.45</v>
      </c>
      <c r="I240" s="155">
        <v>1961526.2</v>
      </c>
      <c r="J240" s="155">
        <v>2718446.68</v>
      </c>
      <c r="K240" s="155">
        <v>30311.91</v>
      </c>
      <c r="L240" s="155">
        <v>2059749.07</v>
      </c>
      <c r="M240" s="26">
        <v>939.19435772700285</v>
      </c>
      <c r="N240" s="26">
        <v>1301.6139084136137</v>
      </c>
      <c r="O240" s="26">
        <v>14.51358378181679</v>
      </c>
      <c r="P240" s="26">
        <v>986.22424970792713</v>
      </c>
      <c r="Q240" s="154">
        <v>2088.52</v>
      </c>
    </row>
    <row r="241" spans="1:17" x14ac:dyDescent="0.2">
      <c r="A241" s="8" t="s">
        <v>494</v>
      </c>
      <c r="B241" s="7">
        <v>2012</v>
      </c>
      <c r="C241" s="7" t="s">
        <v>495</v>
      </c>
      <c r="D241" s="2">
        <v>849.4002717651324</v>
      </c>
      <c r="E241" s="2">
        <v>5932866.8300000001</v>
      </c>
      <c r="F241" s="7">
        <v>27964920.07</v>
      </c>
      <c r="G241" s="7">
        <v>681645.71</v>
      </c>
      <c r="H241" s="7">
        <v>18828.330000000002</v>
      </c>
      <c r="I241" s="155">
        <v>5770460.7000000002</v>
      </c>
      <c r="J241" s="155">
        <v>8027535.7599999998</v>
      </c>
      <c r="K241" s="155">
        <v>1884956.64</v>
      </c>
      <c r="L241" s="155">
        <v>5539782.1299999999</v>
      </c>
      <c r="M241" s="26">
        <v>950.519400084008</v>
      </c>
      <c r="N241" s="26">
        <v>1322.3083686798388</v>
      </c>
      <c r="O241" s="26">
        <v>310.49303474801712</v>
      </c>
      <c r="P241" s="26">
        <v>912.52166171129238</v>
      </c>
      <c r="Q241" s="154">
        <v>6070.85</v>
      </c>
    </row>
    <row r="242" spans="1:17" x14ac:dyDescent="0.2">
      <c r="A242" s="8" t="s">
        <v>496</v>
      </c>
      <c r="B242" s="7">
        <v>2012</v>
      </c>
      <c r="C242" s="7" t="s">
        <v>497</v>
      </c>
      <c r="D242" s="2">
        <v>695.37837980444829</v>
      </c>
      <c r="E242" s="2">
        <v>5371957.9900000002</v>
      </c>
      <c r="F242" s="7">
        <v>23715042.829999998</v>
      </c>
      <c r="G242" s="7">
        <v>649300.51</v>
      </c>
      <c r="H242" s="7">
        <v>151307.32</v>
      </c>
      <c r="I242" s="155">
        <v>6199523.3600000003</v>
      </c>
      <c r="J242" s="155">
        <v>8146242.1399999997</v>
      </c>
      <c r="K242" s="155">
        <v>2281052.11</v>
      </c>
      <c r="L242" s="155">
        <v>6965542.04</v>
      </c>
      <c r="M242" s="26">
        <v>1377.6749192775985</v>
      </c>
      <c r="N242" s="26">
        <v>1810.2800539556754</v>
      </c>
      <c r="O242" s="26">
        <v>506.90159533687853</v>
      </c>
      <c r="P242" s="26">
        <v>1547.9016708926022</v>
      </c>
      <c r="Q242" s="154">
        <v>4499.99</v>
      </c>
    </row>
    <row r="243" spans="1:17" x14ac:dyDescent="0.2">
      <c r="A243" s="8" t="s">
        <v>498</v>
      </c>
      <c r="B243" s="7">
        <v>2012</v>
      </c>
      <c r="C243" s="7" t="s">
        <v>499</v>
      </c>
      <c r="D243" s="2">
        <v>180.73626523297492</v>
      </c>
      <c r="E243" s="2">
        <v>502367.06</v>
      </c>
      <c r="F243" s="7">
        <v>5683467.3499999996</v>
      </c>
      <c r="G243" s="7">
        <v>87152.88</v>
      </c>
      <c r="H243" s="7">
        <v>44300.84</v>
      </c>
      <c r="I243" s="155">
        <v>966793.07</v>
      </c>
      <c r="J243" s="155">
        <v>1805414.53</v>
      </c>
      <c r="K243" s="155">
        <v>56443.3</v>
      </c>
      <c r="L243" s="155">
        <v>581149.36</v>
      </c>
      <c r="M243" s="26">
        <v>756.85627612769883</v>
      </c>
      <c r="N243" s="26">
        <v>1413.3730996257964</v>
      </c>
      <c r="O243" s="26">
        <v>44.186772925832564</v>
      </c>
      <c r="P243" s="26">
        <v>454.95417182044491</v>
      </c>
      <c r="Q243" s="154">
        <v>1277.3800000000001</v>
      </c>
    </row>
    <row r="244" spans="1:17" x14ac:dyDescent="0.2">
      <c r="A244" s="8" t="s">
        <v>500</v>
      </c>
      <c r="B244" s="7">
        <v>2012</v>
      </c>
      <c r="C244" s="7" t="s">
        <v>501</v>
      </c>
      <c r="D244" s="2">
        <v>138.38038819026787</v>
      </c>
      <c r="E244" s="2">
        <v>639396.19999999995</v>
      </c>
      <c r="F244" s="7">
        <v>5967024.21</v>
      </c>
      <c r="G244" s="7">
        <v>333554.90999999997</v>
      </c>
      <c r="H244" s="7">
        <v>51750.239999999998</v>
      </c>
      <c r="I244" s="155">
        <v>2105026.27</v>
      </c>
      <c r="J244" s="155">
        <v>2215291.0099999998</v>
      </c>
      <c r="K244" s="155">
        <v>95783.67</v>
      </c>
      <c r="L244" s="155">
        <v>1688201.83</v>
      </c>
      <c r="M244" s="26">
        <v>1426.3531687683374</v>
      </c>
      <c r="N244" s="26">
        <v>1501.0678949187225</v>
      </c>
      <c r="O244" s="26">
        <v>64.902440015991218</v>
      </c>
      <c r="P244" s="26">
        <v>1143.9154294929565</v>
      </c>
      <c r="Q244" s="154">
        <v>1475.81</v>
      </c>
    </row>
    <row r="245" spans="1:17" x14ac:dyDescent="0.2">
      <c r="A245" s="8" t="s">
        <v>502</v>
      </c>
      <c r="B245" s="7">
        <v>2012</v>
      </c>
      <c r="C245" s="7" t="s">
        <v>503</v>
      </c>
      <c r="D245" s="2">
        <v>72.136379928315407</v>
      </c>
      <c r="E245" s="2">
        <v>0</v>
      </c>
      <c r="F245" s="7">
        <v>6890617.9000000004</v>
      </c>
      <c r="G245" s="7">
        <v>173131.51999999999</v>
      </c>
      <c r="H245" s="7">
        <v>19514.41</v>
      </c>
      <c r="I245" s="155">
        <v>2032783.83</v>
      </c>
      <c r="J245" s="155">
        <v>2601552.34</v>
      </c>
      <c r="K245" s="155">
        <v>836422.2</v>
      </c>
      <c r="L245" s="155">
        <v>2465034.58</v>
      </c>
      <c r="M245" s="26">
        <v>1888.9760809567615</v>
      </c>
      <c r="N245" s="26">
        <v>2417.5074944476964</v>
      </c>
      <c r="O245" s="26">
        <v>777.25014635778189</v>
      </c>
      <c r="P245" s="26">
        <v>2290.6475797533753</v>
      </c>
      <c r="Q245" s="154">
        <v>1076.1300000000001</v>
      </c>
    </row>
    <row r="246" spans="1:17" x14ac:dyDescent="0.2">
      <c r="A246" s="8" t="s">
        <v>504</v>
      </c>
      <c r="B246" s="7">
        <v>2012</v>
      </c>
      <c r="C246" s="7" t="s">
        <v>505</v>
      </c>
      <c r="D246" s="2">
        <v>298.53921348314606</v>
      </c>
      <c r="E246" s="2">
        <v>848286.36</v>
      </c>
      <c r="F246" s="7">
        <v>6902933.8200000003</v>
      </c>
      <c r="G246" s="7">
        <v>155821.94</v>
      </c>
      <c r="H246" s="7">
        <v>31567</v>
      </c>
      <c r="I246" s="155">
        <v>2235135.54</v>
      </c>
      <c r="J246" s="155">
        <v>3091485.27</v>
      </c>
      <c r="K246" s="155">
        <v>175235.41</v>
      </c>
      <c r="L246" s="155">
        <v>1381292.28</v>
      </c>
      <c r="M246" s="26">
        <v>1013.9152173321357</v>
      </c>
      <c r="N246" s="26">
        <v>1402.377575460657</v>
      </c>
      <c r="O246" s="26">
        <v>79.491308529072882</v>
      </c>
      <c r="P246" s="26">
        <v>626.58985874091616</v>
      </c>
      <c r="Q246" s="154">
        <v>2204.46</v>
      </c>
    </row>
    <row r="247" spans="1:17" x14ac:dyDescent="0.2">
      <c r="A247" s="8" t="s">
        <v>506</v>
      </c>
      <c r="B247" s="7">
        <v>2012</v>
      </c>
      <c r="C247" s="7" t="s">
        <v>507</v>
      </c>
      <c r="D247" s="2">
        <v>137.06117138223115</v>
      </c>
      <c r="E247" s="2">
        <v>1389750.08</v>
      </c>
      <c r="F247" s="7">
        <v>13249427.189999999</v>
      </c>
      <c r="G247" s="7">
        <v>131205.37</v>
      </c>
      <c r="H247" s="7">
        <v>25026.83</v>
      </c>
      <c r="I247" s="155">
        <v>3332466.72</v>
      </c>
      <c r="J247" s="155">
        <v>4964952.99</v>
      </c>
      <c r="K247" s="155">
        <v>614305.67000000004</v>
      </c>
      <c r="L247" s="155">
        <v>4660945.24</v>
      </c>
      <c r="M247" s="26">
        <v>1654.8808771825279</v>
      </c>
      <c r="N247" s="26">
        <v>2465.5627346403671</v>
      </c>
      <c r="O247" s="26">
        <v>305.06012255924361</v>
      </c>
      <c r="P247" s="26">
        <v>2314.594501718213</v>
      </c>
      <c r="Q247" s="154">
        <v>2013.72</v>
      </c>
    </row>
    <row r="248" spans="1:17" x14ac:dyDescent="0.2">
      <c r="A248" s="8" t="s">
        <v>508</v>
      </c>
      <c r="B248" s="7">
        <v>2012</v>
      </c>
      <c r="C248" s="7" t="s">
        <v>509</v>
      </c>
      <c r="D248" s="2">
        <v>206.37342305738954</v>
      </c>
      <c r="E248" s="2">
        <v>783625.27</v>
      </c>
      <c r="F248" s="7">
        <v>6662445.0199999996</v>
      </c>
      <c r="G248" s="7">
        <v>54646.63</v>
      </c>
      <c r="H248" s="7">
        <v>5625.96</v>
      </c>
      <c r="I248" s="155">
        <v>2057420.47</v>
      </c>
      <c r="J248" s="155">
        <v>2419390.06</v>
      </c>
      <c r="K248" s="155">
        <v>234889.69</v>
      </c>
      <c r="L248" s="155">
        <v>1243316.81</v>
      </c>
      <c r="M248" s="26">
        <v>1169.4008514363013</v>
      </c>
      <c r="N248" s="26">
        <v>1375.1378667485137</v>
      </c>
      <c r="O248" s="26">
        <v>133.50708204026418</v>
      </c>
      <c r="P248" s="26">
        <v>706.67894940263045</v>
      </c>
      <c r="Q248" s="154">
        <v>1759.38</v>
      </c>
    </row>
    <row r="249" spans="1:17" x14ac:dyDescent="0.2">
      <c r="A249" s="8" t="s">
        <v>510</v>
      </c>
      <c r="B249" s="7">
        <v>2012</v>
      </c>
      <c r="C249" s="7" t="s">
        <v>511</v>
      </c>
      <c r="D249" s="2">
        <v>200.06716704011905</v>
      </c>
      <c r="E249" s="2">
        <v>625919.63</v>
      </c>
      <c r="F249" s="7">
        <v>5516426.9400000004</v>
      </c>
      <c r="G249" s="7">
        <v>202470.64</v>
      </c>
      <c r="H249" s="7">
        <v>306915.65999999997</v>
      </c>
      <c r="I249" s="155">
        <v>1711594.1</v>
      </c>
      <c r="J249" s="155">
        <v>2782134.48</v>
      </c>
      <c r="K249" s="155">
        <v>234180.27</v>
      </c>
      <c r="L249" s="155">
        <v>1125438.4099999999</v>
      </c>
      <c r="M249" s="26">
        <v>895.03540202476586</v>
      </c>
      <c r="N249" s="26">
        <v>1454.847766064257</v>
      </c>
      <c r="O249" s="26">
        <v>122.45872552710843</v>
      </c>
      <c r="P249" s="26">
        <v>588.51991821452475</v>
      </c>
      <c r="Q249" s="154">
        <v>1912.32</v>
      </c>
    </row>
    <row r="250" spans="1:17" x14ac:dyDescent="0.2">
      <c r="A250" s="8" t="s">
        <v>512</v>
      </c>
      <c r="B250" s="7">
        <v>2012</v>
      </c>
      <c r="C250" s="7" t="s">
        <v>513</v>
      </c>
      <c r="D250" s="2">
        <v>171.35740030111862</v>
      </c>
      <c r="E250" s="2">
        <v>756240.4</v>
      </c>
      <c r="F250" s="7">
        <v>4455049.46</v>
      </c>
      <c r="G250" s="7">
        <v>273497.99</v>
      </c>
      <c r="H250" s="7">
        <v>0</v>
      </c>
      <c r="I250" s="155">
        <v>1611016.99</v>
      </c>
      <c r="J250" s="155">
        <v>2146661.5699999998</v>
      </c>
      <c r="K250" s="155">
        <v>1136.3599999999999</v>
      </c>
      <c r="L250" s="155">
        <v>1199723.76</v>
      </c>
      <c r="M250" s="26">
        <v>1077.8340447453636</v>
      </c>
      <c r="N250" s="26">
        <v>1436.2014411111406</v>
      </c>
      <c r="O250" s="26">
        <v>0.76026975673722796</v>
      </c>
      <c r="P250" s="26">
        <v>802.66261674739746</v>
      </c>
      <c r="Q250" s="154">
        <v>1494.68</v>
      </c>
    </row>
    <row r="251" spans="1:17" x14ac:dyDescent="0.2">
      <c r="A251" s="8" t="s">
        <v>514</v>
      </c>
      <c r="B251" s="7">
        <v>2012</v>
      </c>
      <c r="C251" s="7" t="s">
        <v>515</v>
      </c>
      <c r="D251" s="2">
        <v>58.541040754142081</v>
      </c>
      <c r="E251" s="2">
        <v>250619.19</v>
      </c>
      <c r="F251" s="7">
        <v>1917629.04</v>
      </c>
      <c r="G251" s="7">
        <v>89950.44</v>
      </c>
      <c r="H251" s="7">
        <v>1024.02</v>
      </c>
      <c r="I251" s="155">
        <v>686746.22</v>
      </c>
      <c r="J251" s="155">
        <v>712101.67</v>
      </c>
      <c r="K251" s="155">
        <v>91160.44</v>
      </c>
      <c r="L251" s="155">
        <v>399921.77</v>
      </c>
      <c r="M251" s="26">
        <v>1267.7377563641062</v>
      </c>
      <c r="N251" s="26">
        <v>1314.5440733972052</v>
      </c>
      <c r="O251" s="26">
        <v>168.28273430433256</v>
      </c>
      <c r="P251" s="26">
        <v>738.25805320189772</v>
      </c>
      <c r="Q251" s="154">
        <v>541.71</v>
      </c>
    </row>
    <row r="252" spans="1:17" x14ac:dyDescent="0.2">
      <c r="A252" s="8" t="s">
        <v>516</v>
      </c>
      <c r="B252" s="7">
        <v>2012</v>
      </c>
      <c r="C252" s="7" t="s">
        <v>517</v>
      </c>
      <c r="D252" s="2">
        <v>373.56692353632758</v>
      </c>
      <c r="E252" s="2">
        <v>977685.02</v>
      </c>
      <c r="F252" s="7">
        <v>8034290.04</v>
      </c>
      <c r="G252" s="7">
        <v>218745.87</v>
      </c>
      <c r="H252" s="7">
        <v>0</v>
      </c>
      <c r="I252" s="155">
        <v>2288409.11</v>
      </c>
      <c r="J252" s="155">
        <v>2985628.72</v>
      </c>
      <c r="K252" s="155">
        <v>351288.36</v>
      </c>
      <c r="L252" s="155">
        <v>1663150.79</v>
      </c>
      <c r="M252" s="26">
        <v>914.10583437190417</v>
      </c>
      <c r="N252" s="26">
        <v>1192.6104560125268</v>
      </c>
      <c r="O252" s="26">
        <v>140.32226056945643</v>
      </c>
      <c r="P252" s="26">
        <v>664.34617566228872</v>
      </c>
      <c r="Q252" s="154">
        <v>2503.44</v>
      </c>
    </row>
    <row r="253" spans="1:17" x14ac:dyDescent="0.2">
      <c r="A253" s="8" t="s">
        <v>518</v>
      </c>
      <c r="B253" s="7">
        <v>2012</v>
      </c>
      <c r="C253" s="7" t="s">
        <v>519</v>
      </c>
      <c r="D253" s="2">
        <v>516.53370689655173</v>
      </c>
      <c r="E253" s="2">
        <v>1911554.13</v>
      </c>
      <c r="F253" s="7">
        <v>21075084.550000001</v>
      </c>
      <c r="G253" s="7">
        <v>570191.62</v>
      </c>
      <c r="H253" s="7">
        <v>2696</v>
      </c>
      <c r="I253" s="155">
        <v>4600138.33</v>
      </c>
      <c r="J253" s="155">
        <v>8134402.5599999996</v>
      </c>
      <c r="K253" s="155">
        <v>1137889.47</v>
      </c>
      <c r="L253" s="155">
        <v>5148830.59</v>
      </c>
      <c r="M253" s="26">
        <v>795.23467015176425</v>
      </c>
      <c r="N253" s="26">
        <v>1406.2096555873063</v>
      </c>
      <c r="O253" s="26">
        <v>196.70911882004552</v>
      </c>
      <c r="P253" s="26">
        <v>890.08814565495106</v>
      </c>
      <c r="Q253" s="154">
        <v>5784.63</v>
      </c>
    </row>
    <row r="254" spans="1:17" x14ac:dyDescent="0.2">
      <c r="A254" s="8" t="s">
        <v>520</v>
      </c>
      <c r="B254" s="7">
        <v>2012</v>
      </c>
      <c r="C254" s="7" t="s">
        <v>521</v>
      </c>
      <c r="D254" s="2">
        <v>119.575117796303</v>
      </c>
      <c r="E254" s="2">
        <v>459064.98</v>
      </c>
      <c r="F254" s="7">
        <v>3183285.28</v>
      </c>
      <c r="G254" s="7">
        <v>103319</v>
      </c>
      <c r="H254" s="7">
        <v>4594.6000000000004</v>
      </c>
      <c r="I254" s="155">
        <v>989895.71</v>
      </c>
      <c r="J254" s="155">
        <v>1258460.24</v>
      </c>
      <c r="K254" s="155">
        <v>83922.53</v>
      </c>
      <c r="L254" s="155">
        <v>610001.43999999994</v>
      </c>
      <c r="M254" s="26">
        <v>1156.3121554060367</v>
      </c>
      <c r="N254" s="26">
        <v>1470.0264461265301</v>
      </c>
      <c r="O254" s="26">
        <v>98.031176992804404</v>
      </c>
      <c r="P254" s="26">
        <v>712.55191103635161</v>
      </c>
      <c r="Q254" s="154">
        <v>856.08</v>
      </c>
    </row>
    <row r="255" spans="1:17" x14ac:dyDescent="0.2">
      <c r="A255" s="8" t="s">
        <v>522</v>
      </c>
      <c r="B255" s="7">
        <v>2012</v>
      </c>
      <c r="C255" s="7" t="s">
        <v>523</v>
      </c>
      <c r="D255" s="2">
        <v>157.88383782944135</v>
      </c>
      <c r="E255" s="2">
        <v>440377.68</v>
      </c>
      <c r="F255" s="7">
        <v>5385214.5899999999</v>
      </c>
      <c r="G255" s="7">
        <v>228352.24</v>
      </c>
      <c r="H255" s="7">
        <v>42418.14</v>
      </c>
      <c r="I255" s="155">
        <v>1376453.09</v>
      </c>
      <c r="J255" s="155">
        <v>2150648.39</v>
      </c>
      <c r="K255" s="155">
        <v>182841.11</v>
      </c>
      <c r="L255" s="155">
        <v>1407505.72</v>
      </c>
      <c r="M255" s="26">
        <v>895.95915484706666</v>
      </c>
      <c r="N255" s="26">
        <v>1399.8974086923695</v>
      </c>
      <c r="O255" s="26">
        <v>119.01471076424373</v>
      </c>
      <c r="P255" s="26">
        <v>916.17189462926922</v>
      </c>
      <c r="Q255" s="154">
        <v>1536.29</v>
      </c>
    </row>
    <row r="256" spans="1:17" x14ac:dyDescent="0.2">
      <c r="A256" s="8" t="s">
        <v>524</v>
      </c>
      <c r="B256" s="7">
        <v>2012</v>
      </c>
      <c r="C256" s="7" t="s">
        <v>525</v>
      </c>
      <c r="D256" s="2">
        <v>208.28917309875604</v>
      </c>
      <c r="E256" s="2">
        <v>970776.34</v>
      </c>
      <c r="F256" s="7">
        <v>6508781.3600000003</v>
      </c>
      <c r="G256" s="7">
        <v>79187.61</v>
      </c>
      <c r="H256" s="7">
        <v>3000</v>
      </c>
      <c r="I256" s="155">
        <v>1823151.72</v>
      </c>
      <c r="J256" s="155">
        <v>2877734.19</v>
      </c>
      <c r="K256" s="155">
        <v>68157.08</v>
      </c>
      <c r="L256" s="155">
        <v>1948163.76</v>
      </c>
      <c r="M256" s="26">
        <v>927.13786913340414</v>
      </c>
      <c r="N256" s="26">
        <v>1463.4307806532649</v>
      </c>
      <c r="O256" s="26">
        <v>34.660313359743292</v>
      </c>
      <c r="P256" s="26">
        <v>990.710963522729</v>
      </c>
      <c r="Q256" s="154">
        <v>1966.43</v>
      </c>
    </row>
    <row r="257" spans="1:17" x14ac:dyDescent="0.2">
      <c r="A257" s="8" t="s">
        <v>526</v>
      </c>
      <c r="B257" s="7">
        <v>2012</v>
      </c>
      <c r="C257" s="7" t="s">
        <v>527</v>
      </c>
      <c r="D257" s="2">
        <v>153.58302464661108</v>
      </c>
      <c r="E257" s="2">
        <v>937219.43</v>
      </c>
      <c r="F257" s="7">
        <v>4774901.46</v>
      </c>
      <c r="G257" s="7">
        <v>94846.88</v>
      </c>
      <c r="H257" s="7">
        <v>59448</v>
      </c>
      <c r="I257" s="155">
        <v>1401774.09</v>
      </c>
      <c r="J257" s="155">
        <v>1742493.1</v>
      </c>
      <c r="K257" s="155">
        <v>278055.67</v>
      </c>
      <c r="L257" s="155">
        <v>809662.36</v>
      </c>
      <c r="M257" s="26">
        <v>1107.4302135425307</v>
      </c>
      <c r="N257" s="26">
        <v>1376.6052030747599</v>
      </c>
      <c r="O257" s="26">
        <v>219.66966874442048</v>
      </c>
      <c r="P257" s="26">
        <v>639.64983133063151</v>
      </c>
      <c r="Q257" s="154">
        <v>1265.79</v>
      </c>
    </row>
    <row r="258" spans="1:17" x14ac:dyDescent="0.2">
      <c r="A258" s="8" t="s">
        <v>528</v>
      </c>
      <c r="B258" s="7">
        <v>2012</v>
      </c>
      <c r="C258" s="7" t="s">
        <v>529</v>
      </c>
      <c r="D258" s="2">
        <v>71.036518213394785</v>
      </c>
      <c r="E258" s="2">
        <v>304983.28999999998</v>
      </c>
      <c r="F258" s="7">
        <v>1292111.04</v>
      </c>
      <c r="G258" s="7">
        <v>68462.429999999993</v>
      </c>
      <c r="H258" s="7">
        <v>0</v>
      </c>
      <c r="I258" s="155">
        <v>979772.04</v>
      </c>
      <c r="J258" s="155">
        <v>856566.42</v>
      </c>
      <c r="K258" s="155">
        <v>133530.42000000001</v>
      </c>
      <c r="L258" s="155">
        <v>290661.15999999997</v>
      </c>
      <c r="M258" s="26">
        <v>2382.656161085577</v>
      </c>
      <c r="N258" s="26">
        <v>2083.0388852411179</v>
      </c>
      <c r="O258" s="26">
        <v>324.72561464944926</v>
      </c>
      <c r="P258" s="26">
        <v>706.8436078889132</v>
      </c>
      <c r="Q258" s="154">
        <v>411.21</v>
      </c>
    </row>
    <row r="259" spans="1:17" x14ac:dyDescent="0.2">
      <c r="A259" s="8" t="s">
        <v>530</v>
      </c>
      <c r="B259" s="7">
        <v>2012</v>
      </c>
      <c r="C259" s="7" t="s">
        <v>531</v>
      </c>
      <c r="D259" s="2">
        <v>38.04479262672811</v>
      </c>
      <c r="E259" s="2">
        <v>164439.35</v>
      </c>
      <c r="F259" s="7">
        <v>1540645.64</v>
      </c>
      <c r="G259" s="7">
        <v>41476.58</v>
      </c>
      <c r="H259" s="7">
        <v>1063.21</v>
      </c>
      <c r="I259" s="155">
        <v>519091.78</v>
      </c>
      <c r="J259" s="155">
        <v>533047.14</v>
      </c>
      <c r="K259" s="155">
        <v>10700.22</v>
      </c>
      <c r="L259" s="155">
        <v>270079.53999999998</v>
      </c>
      <c r="M259" s="26">
        <v>1308.2609506527549</v>
      </c>
      <c r="N259" s="26">
        <v>1343.4324814758809</v>
      </c>
      <c r="O259" s="26">
        <v>26.967639497958565</v>
      </c>
      <c r="P259" s="26">
        <v>680.67831039870964</v>
      </c>
      <c r="Q259" s="154">
        <v>396.78</v>
      </c>
    </row>
    <row r="260" spans="1:17" x14ac:dyDescent="0.2">
      <c r="A260" s="8" t="s">
        <v>532</v>
      </c>
      <c r="B260" s="7">
        <v>2012</v>
      </c>
      <c r="C260" s="7" t="s">
        <v>533</v>
      </c>
      <c r="D260" s="2">
        <v>132.41716470971662</v>
      </c>
      <c r="E260" s="2">
        <v>765811.76</v>
      </c>
      <c r="F260" s="7">
        <v>4880791.17</v>
      </c>
      <c r="G260" s="7">
        <v>80400.710000000006</v>
      </c>
      <c r="H260" s="7">
        <v>72683.199999999997</v>
      </c>
      <c r="I260" s="155">
        <v>1515935.67</v>
      </c>
      <c r="J260" s="155">
        <v>1902401.99</v>
      </c>
      <c r="K260" s="155">
        <v>99539.12</v>
      </c>
      <c r="L260" s="155">
        <v>896815.81</v>
      </c>
      <c r="M260" s="26">
        <v>996.02864032378864</v>
      </c>
      <c r="N260" s="26">
        <v>1249.9520295930301</v>
      </c>
      <c r="O260" s="26">
        <v>65.401069659259647</v>
      </c>
      <c r="P260" s="26">
        <v>589.24283499126136</v>
      </c>
      <c r="Q260" s="154">
        <v>1521.98</v>
      </c>
    </row>
    <row r="261" spans="1:17" x14ac:dyDescent="0.2">
      <c r="A261" s="8" t="s">
        <v>534</v>
      </c>
      <c r="B261" s="7">
        <v>2012</v>
      </c>
      <c r="C261" s="7" t="s">
        <v>535</v>
      </c>
      <c r="D261" s="2">
        <v>205.84902269170581</v>
      </c>
      <c r="E261" s="2">
        <v>694483.01</v>
      </c>
      <c r="F261" s="7">
        <v>7027921.4400000004</v>
      </c>
      <c r="G261" s="7">
        <v>224257.96</v>
      </c>
      <c r="H261" s="7">
        <v>57175.32</v>
      </c>
      <c r="I261" s="155">
        <v>2421018.15</v>
      </c>
      <c r="J261" s="155">
        <v>2901821.24</v>
      </c>
      <c r="K261" s="155">
        <v>403504.14</v>
      </c>
      <c r="L261" s="155">
        <v>1442767.74</v>
      </c>
      <c r="M261" s="26">
        <v>1146.4348322268418</v>
      </c>
      <c r="N261" s="26">
        <v>1374.111526768887</v>
      </c>
      <c r="O261" s="26">
        <v>191.07300002841203</v>
      </c>
      <c r="P261" s="26">
        <v>683.19983142183366</v>
      </c>
      <c r="Q261" s="154">
        <v>2111.7800000000002</v>
      </c>
    </row>
    <row r="262" spans="1:17" x14ac:dyDescent="0.2">
      <c r="A262" s="8" t="s">
        <v>536</v>
      </c>
      <c r="B262" s="7">
        <v>2012</v>
      </c>
      <c r="C262" s="7" t="s">
        <v>537</v>
      </c>
      <c r="D262" s="2">
        <v>106.89700931954202</v>
      </c>
      <c r="E262" s="2">
        <v>288871.84000000003</v>
      </c>
      <c r="F262" s="7">
        <v>3121783.53</v>
      </c>
      <c r="G262" s="7">
        <v>66600.91</v>
      </c>
      <c r="H262" s="7">
        <v>29626.880000000001</v>
      </c>
      <c r="I262" s="155">
        <v>1160048.6299999999</v>
      </c>
      <c r="J262" s="155">
        <v>1476564.19</v>
      </c>
      <c r="K262" s="155">
        <v>4374.68</v>
      </c>
      <c r="L262" s="155">
        <v>487468.69</v>
      </c>
      <c r="M262" s="26">
        <v>1214.5452765592117</v>
      </c>
      <c r="N262" s="26">
        <v>1545.9300723461727</v>
      </c>
      <c r="O262" s="26">
        <v>4.5801932721200256</v>
      </c>
      <c r="P262" s="26">
        <v>510.36894454158073</v>
      </c>
      <c r="Q262" s="154">
        <v>955.13</v>
      </c>
    </row>
    <row r="263" spans="1:17" x14ac:dyDescent="0.2">
      <c r="A263" s="8" t="s">
        <v>538</v>
      </c>
      <c r="B263" s="7">
        <v>2012</v>
      </c>
      <c r="C263" s="7" t="s">
        <v>539</v>
      </c>
      <c r="D263" s="2">
        <v>51.486092513694459</v>
      </c>
      <c r="E263" s="2">
        <v>202491.19</v>
      </c>
      <c r="F263" s="7">
        <v>2515069.4300000002</v>
      </c>
      <c r="G263" s="7">
        <v>77547.360000000001</v>
      </c>
      <c r="H263" s="7">
        <v>79568.639999999999</v>
      </c>
      <c r="I263" s="155">
        <v>837763.39</v>
      </c>
      <c r="J263" s="155">
        <v>418663.71</v>
      </c>
      <c r="K263" s="155">
        <v>18135.75</v>
      </c>
      <c r="L263" s="155">
        <v>550591.56000000006</v>
      </c>
      <c r="M263" s="26">
        <v>1376.6776054162422</v>
      </c>
      <c r="N263" s="26">
        <v>687.98059289446883</v>
      </c>
      <c r="O263" s="26">
        <v>29.80206724290926</v>
      </c>
      <c r="P263" s="26">
        <v>904.7746409438987</v>
      </c>
      <c r="Q263" s="154">
        <v>608.54</v>
      </c>
    </row>
    <row r="264" spans="1:17" x14ac:dyDescent="0.2">
      <c r="A264" s="8" t="s">
        <v>540</v>
      </c>
      <c r="B264" s="7">
        <v>2012</v>
      </c>
      <c r="C264" s="7" t="s">
        <v>541</v>
      </c>
      <c r="D264" s="2">
        <v>0</v>
      </c>
      <c r="E264" s="2">
        <v>0</v>
      </c>
      <c r="F264" s="7">
        <v>232670.44</v>
      </c>
      <c r="G264" s="7">
        <v>4200.34</v>
      </c>
      <c r="H264" s="7">
        <v>0</v>
      </c>
      <c r="I264" s="155">
        <v>152859.87</v>
      </c>
      <c r="J264" s="155">
        <v>135525.51999999999</v>
      </c>
      <c r="K264" s="155">
        <v>75393.8</v>
      </c>
      <c r="L264" s="155">
        <v>20589.89</v>
      </c>
      <c r="M264" s="26">
        <v>23301.809451219513</v>
      </c>
      <c r="N264" s="26">
        <v>20659.378048780487</v>
      </c>
      <c r="O264" s="26">
        <v>11492.957317073171</v>
      </c>
      <c r="P264" s="26">
        <v>3138.7027439024391</v>
      </c>
      <c r="Q264" s="154">
        <v>6.56</v>
      </c>
    </row>
    <row r="265" spans="1:17" x14ac:dyDescent="0.2">
      <c r="A265" s="8" t="s">
        <v>542</v>
      </c>
      <c r="B265" s="7">
        <v>2012</v>
      </c>
      <c r="C265" s="7" t="s">
        <v>543</v>
      </c>
      <c r="D265" s="2">
        <v>198.85033333333331</v>
      </c>
      <c r="E265" s="2">
        <v>1936985.07</v>
      </c>
      <c r="F265" s="7">
        <v>13214860.710000001</v>
      </c>
      <c r="G265" s="7">
        <v>369291.78</v>
      </c>
      <c r="H265" s="7">
        <v>231048.07</v>
      </c>
      <c r="I265" s="155">
        <v>3408295.46</v>
      </c>
      <c r="J265" s="155">
        <v>5596065.9900000002</v>
      </c>
      <c r="K265" s="155">
        <v>847808.72</v>
      </c>
      <c r="L265" s="155">
        <v>3361316.67</v>
      </c>
      <c r="M265" s="26">
        <v>1146.562782999509</v>
      </c>
      <c r="N265" s="26">
        <v>1882.5366141652819</v>
      </c>
      <c r="O265" s="26">
        <v>285.20588571697692</v>
      </c>
      <c r="P265" s="26">
        <v>1130.7589500171566</v>
      </c>
      <c r="Q265" s="154">
        <v>2972.62</v>
      </c>
    </row>
    <row r="266" spans="1:17" x14ac:dyDescent="0.2">
      <c r="A266" s="8" t="s">
        <v>544</v>
      </c>
      <c r="B266" s="7">
        <v>2012</v>
      </c>
      <c r="C266" s="7" t="s">
        <v>545</v>
      </c>
      <c r="D266" s="2">
        <v>432.45062012375558</v>
      </c>
      <c r="E266" s="2">
        <v>3211000.32</v>
      </c>
      <c r="F266" s="7">
        <v>18545698.289999999</v>
      </c>
      <c r="G266" s="7">
        <v>210358.14</v>
      </c>
      <c r="H266" s="7">
        <v>199406.2</v>
      </c>
      <c r="I266" s="155">
        <v>4847635.42</v>
      </c>
      <c r="J266" s="155">
        <v>5131735.55</v>
      </c>
      <c r="K266" s="155">
        <v>1453491.88</v>
      </c>
      <c r="L266" s="155">
        <v>3772163.55</v>
      </c>
      <c r="M266" s="26">
        <v>1467.0865549321179</v>
      </c>
      <c r="N266" s="26">
        <v>1553.0665111099004</v>
      </c>
      <c r="O266" s="26">
        <v>439.88423429149032</v>
      </c>
      <c r="P266" s="26">
        <v>1141.6061538740896</v>
      </c>
      <c r="Q266" s="154">
        <v>3304.26</v>
      </c>
    </row>
    <row r="267" spans="1:17" x14ac:dyDescent="0.2">
      <c r="A267" s="8" t="s">
        <v>546</v>
      </c>
      <c r="B267" s="7">
        <v>2012</v>
      </c>
      <c r="C267" s="7" t="s">
        <v>547</v>
      </c>
      <c r="D267" s="2">
        <v>229.83569106460874</v>
      </c>
      <c r="E267" s="2">
        <v>905748.29</v>
      </c>
      <c r="F267" s="7">
        <v>6875623.6799999997</v>
      </c>
      <c r="G267" s="7">
        <v>105136.38</v>
      </c>
      <c r="H267" s="7">
        <v>107991.06</v>
      </c>
      <c r="I267" s="155">
        <v>2031068.43</v>
      </c>
      <c r="J267" s="155">
        <v>2199671.4700000002</v>
      </c>
      <c r="K267" s="155">
        <v>27194.55</v>
      </c>
      <c r="L267" s="155">
        <v>1152922.2</v>
      </c>
      <c r="M267" s="26">
        <v>1082.8495577580277</v>
      </c>
      <c r="N267" s="26">
        <v>1172.7390585764022</v>
      </c>
      <c r="O267" s="26">
        <v>14.498579174375022</v>
      </c>
      <c r="P267" s="26">
        <v>614.67219713489044</v>
      </c>
      <c r="Q267" s="154">
        <v>1875.67</v>
      </c>
    </row>
    <row r="268" spans="1:17" x14ac:dyDescent="0.2">
      <c r="A268" s="8" t="s">
        <v>548</v>
      </c>
      <c r="B268" s="7">
        <v>2012</v>
      </c>
      <c r="C268" s="7" t="s">
        <v>549</v>
      </c>
      <c r="D268" s="2">
        <v>867.30999315827376</v>
      </c>
      <c r="E268" s="2">
        <v>5836223.1500000004</v>
      </c>
      <c r="F268" s="7">
        <v>32035680.300000001</v>
      </c>
      <c r="G268" s="7">
        <v>823254.43</v>
      </c>
      <c r="H268" s="7">
        <v>2666</v>
      </c>
      <c r="I268" s="155">
        <v>7791468.6699999999</v>
      </c>
      <c r="J268" s="155">
        <v>11781916.18</v>
      </c>
      <c r="K268" s="155">
        <v>3540693.24</v>
      </c>
      <c r="L268" s="155">
        <v>9604548.8900000006</v>
      </c>
      <c r="M268" s="26">
        <v>1093.1620338802322</v>
      </c>
      <c r="N268" s="26">
        <v>1653.0315399875972</v>
      </c>
      <c r="O268" s="26">
        <v>496.76788645604466</v>
      </c>
      <c r="P268" s="26">
        <v>1347.5416052843511</v>
      </c>
      <c r="Q268" s="154">
        <v>7127.46</v>
      </c>
    </row>
    <row r="269" spans="1:17" x14ac:dyDescent="0.2">
      <c r="A269" s="8" t="s">
        <v>550</v>
      </c>
      <c r="B269" s="7">
        <v>2012</v>
      </c>
      <c r="C269" s="7" t="s">
        <v>551</v>
      </c>
      <c r="D269" s="2">
        <v>139.72151685393257</v>
      </c>
      <c r="E269" s="2">
        <v>787099.93</v>
      </c>
      <c r="F269" s="7">
        <v>5404600.8399999999</v>
      </c>
      <c r="G269" s="7">
        <v>207886.6</v>
      </c>
      <c r="H269" s="7">
        <v>14257.72</v>
      </c>
      <c r="I269" s="155">
        <v>1716337.41</v>
      </c>
      <c r="J269" s="155">
        <v>1947705.25</v>
      </c>
      <c r="K269" s="155">
        <v>281669.11</v>
      </c>
      <c r="L269" s="155">
        <v>1293932.21</v>
      </c>
      <c r="M269" s="26">
        <v>1036.6672565730264</v>
      </c>
      <c r="N269" s="26">
        <v>1176.413359265053</v>
      </c>
      <c r="O269" s="26">
        <v>170.12805397341191</v>
      </c>
      <c r="P269" s="26">
        <v>781.53464844198277</v>
      </c>
      <c r="Q269" s="154">
        <v>1655.63</v>
      </c>
    </row>
    <row r="270" spans="1:17" x14ac:dyDescent="0.2">
      <c r="A270" s="8" t="s">
        <v>552</v>
      </c>
      <c r="B270" s="7">
        <v>2012</v>
      </c>
      <c r="C270" s="7" t="s">
        <v>553</v>
      </c>
      <c r="D270" s="2">
        <v>436.35236306978038</v>
      </c>
      <c r="E270" s="2">
        <v>2700137.73</v>
      </c>
      <c r="F270" s="7">
        <v>16471144.93</v>
      </c>
      <c r="G270" s="7">
        <v>522803.07</v>
      </c>
      <c r="H270" s="7">
        <v>16859.11</v>
      </c>
      <c r="I270" s="155">
        <v>4771603.47</v>
      </c>
      <c r="J270" s="155">
        <v>6944914.4500000002</v>
      </c>
      <c r="K270" s="155">
        <v>492907.42</v>
      </c>
      <c r="L270" s="155">
        <v>3389418.61</v>
      </c>
      <c r="M270" s="26">
        <v>1200.8021456181675</v>
      </c>
      <c r="N270" s="26">
        <v>1747.7286671297136</v>
      </c>
      <c r="O270" s="26">
        <v>124.04305832377041</v>
      </c>
      <c r="P270" s="26">
        <v>852.96717652151153</v>
      </c>
      <c r="Q270" s="154">
        <v>3973.68</v>
      </c>
    </row>
    <row r="271" spans="1:17" x14ac:dyDescent="0.2">
      <c r="A271" s="8" t="s">
        <v>554</v>
      </c>
      <c r="B271" s="7">
        <v>2012</v>
      </c>
      <c r="C271" s="7" t="s">
        <v>555</v>
      </c>
      <c r="D271" s="2">
        <v>101.47919075144513</v>
      </c>
      <c r="E271" s="2">
        <v>644718.79</v>
      </c>
      <c r="F271" s="7">
        <v>5786771.5099999998</v>
      </c>
      <c r="G271" s="7">
        <v>137613.09</v>
      </c>
      <c r="H271" s="7">
        <v>13011.33</v>
      </c>
      <c r="I271" s="155">
        <v>1746614.13</v>
      </c>
      <c r="J271" s="155">
        <v>2246494.02</v>
      </c>
      <c r="K271" s="155">
        <v>64513.23</v>
      </c>
      <c r="L271" s="155">
        <v>1758322.97</v>
      </c>
      <c r="M271" s="26">
        <v>1488.9384430463915</v>
      </c>
      <c r="N271" s="26">
        <v>1915.0717098869625</v>
      </c>
      <c r="O271" s="26">
        <v>54.995677970436297</v>
      </c>
      <c r="P271" s="26">
        <v>1498.9198932705915</v>
      </c>
      <c r="Q271" s="154">
        <v>1173.06</v>
      </c>
    </row>
    <row r="272" spans="1:17" x14ac:dyDescent="0.2">
      <c r="A272" s="8" t="s">
        <v>556</v>
      </c>
      <c r="B272" s="7">
        <v>2012</v>
      </c>
      <c r="C272" s="7" t="s">
        <v>557</v>
      </c>
      <c r="D272" s="2">
        <v>210.66203389830514</v>
      </c>
      <c r="E272" s="2">
        <v>553253.43999999994</v>
      </c>
      <c r="F272" s="7">
        <v>5516073.2199999997</v>
      </c>
      <c r="G272" s="7">
        <v>147820.19</v>
      </c>
      <c r="H272" s="7">
        <v>17917.46</v>
      </c>
      <c r="I272" s="155">
        <v>1435503.88</v>
      </c>
      <c r="J272" s="155">
        <v>1797194.03</v>
      </c>
      <c r="K272" s="155">
        <v>1100</v>
      </c>
      <c r="L272" s="155">
        <v>1094612.07</v>
      </c>
      <c r="M272" s="26">
        <v>952.63317583351011</v>
      </c>
      <c r="N272" s="26">
        <v>1192.6590239435125</v>
      </c>
      <c r="O272" s="26">
        <v>0.72998513484816308</v>
      </c>
      <c r="P272" s="26">
        <v>726.40958138670635</v>
      </c>
      <c r="Q272" s="154">
        <v>1506.88</v>
      </c>
    </row>
    <row r="273" spans="1:17" x14ac:dyDescent="0.2">
      <c r="A273" s="8" t="s">
        <v>558</v>
      </c>
      <c r="B273" s="7">
        <v>2012</v>
      </c>
      <c r="C273" s="7" t="s">
        <v>559</v>
      </c>
      <c r="D273" s="2">
        <v>353.83028866566565</v>
      </c>
      <c r="E273" s="2">
        <v>1665823.01</v>
      </c>
      <c r="F273" s="7">
        <v>12395843.15</v>
      </c>
      <c r="G273" s="7">
        <v>257809.83</v>
      </c>
      <c r="H273" s="7">
        <v>181593.97</v>
      </c>
      <c r="I273" s="155">
        <v>4428832.53</v>
      </c>
      <c r="J273" s="155">
        <v>5366828.84</v>
      </c>
      <c r="K273" s="155">
        <v>124973.35</v>
      </c>
      <c r="L273" s="155">
        <v>2902828.14</v>
      </c>
      <c r="M273" s="26">
        <v>1262.444637329183</v>
      </c>
      <c r="N273" s="26">
        <v>1529.8217402954272</v>
      </c>
      <c r="O273" s="26">
        <v>35.623820600090077</v>
      </c>
      <c r="P273" s="26">
        <v>827.4550445535242</v>
      </c>
      <c r="Q273" s="154">
        <v>3508.14</v>
      </c>
    </row>
    <row r="274" spans="1:17" x14ac:dyDescent="0.2">
      <c r="A274" s="8" t="s">
        <v>560</v>
      </c>
      <c r="B274" s="7">
        <v>2012</v>
      </c>
      <c r="C274" s="7" t="s">
        <v>561</v>
      </c>
      <c r="D274" s="2">
        <v>173.29488315642308</v>
      </c>
      <c r="E274" s="2">
        <v>0</v>
      </c>
      <c r="F274" s="7">
        <v>5964428.3099999996</v>
      </c>
      <c r="G274" s="7">
        <v>67315.08</v>
      </c>
      <c r="H274" s="7">
        <v>4347.75</v>
      </c>
      <c r="I274" s="155">
        <v>1828742.69</v>
      </c>
      <c r="J274" s="155">
        <v>2309083.5699999998</v>
      </c>
      <c r="K274" s="155">
        <v>142751.67000000001</v>
      </c>
      <c r="L274" s="155">
        <v>1259142.32</v>
      </c>
      <c r="M274" s="26">
        <v>1097.2368361053111</v>
      </c>
      <c r="N274" s="26">
        <v>1385.4390584875318</v>
      </c>
      <c r="O274" s="26">
        <v>85.650316797465621</v>
      </c>
      <c r="P274" s="26">
        <v>755.47934816521467</v>
      </c>
      <c r="Q274" s="154">
        <v>1666.68</v>
      </c>
    </row>
    <row r="275" spans="1:17" x14ac:dyDescent="0.2">
      <c r="A275" s="8" t="s">
        <v>562</v>
      </c>
      <c r="B275" s="7">
        <v>2012</v>
      </c>
      <c r="C275" s="7" t="s">
        <v>563</v>
      </c>
      <c r="D275" s="2">
        <v>155.87803914461762</v>
      </c>
      <c r="E275" s="2">
        <v>834626.38</v>
      </c>
      <c r="F275" s="7">
        <v>6447634.79</v>
      </c>
      <c r="G275" s="7">
        <v>271030.98</v>
      </c>
      <c r="H275" s="7">
        <v>15802</v>
      </c>
      <c r="I275" s="155">
        <v>1565449.6</v>
      </c>
      <c r="J275" s="155">
        <v>2393077.56</v>
      </c>
      <c r="K275" s="155">
        <v>35008.089999999997</v>
      </c>
      <c r="L275" s="155">
        <v>1755752.65</v>
      </c>
      <c r="M275" s="26">
        <v>843.63981267413612</v>
      </c>
      <c r="N275" s="26">
        <v>1289.6585775952663</v>
      </c>
      <c r="O275" s="26">
        <v>18.8662851168631</v>
      </c>
      <c r="P275" s="26">
        <v>946.19643886850008</v>
      </c>
      <c r="Q275" s="154">
        <v>1855.59</v>
      </c>
    </row>
    <row r="276" spans="1:17" x14ac:dyDescent="0.2">
      <c r="A276" s="8" t="s">
        <v>564</v>
      </c>
      <c r="B276" s="7">
        <v>2012</v>
      </c>
      <c r="C276" s="7" t="s">
        <v>565</v>
      </c>
      <c r="D276" s="2">
        <v>695.38725199296391</v>
      </c>
      <c r="E276" s="2">
        <v>5915101.04</v>
      </c>
      <c r="F276" s="7">
        <v>24096893.850000001</v>
      </c>
      <c r="G276" s="7">
        <v>551871.99</v>
      </c>
      <c r="H276" s="7">
        <v>76288.38</v>
      </c>
      <c r="I276" s="155">
        <v>5173901.74</v>
      </c>
      <c r="J276" s="155">
        <v>8020540.46</v>
      </c>
      <c r="K276" s="155">
        <v>648307.73</v>
      </c>
      <c r="L276" s="155">
        <v>7434401.1799999997</v>
      </c>
      <c r="M276" s="26">
        <v>922.99133006753993</v>
      </c>
      <c r="N276" s="26">
        <v>1430.8136642417021</v>
      </c>
      <c r="O276" s="26">
        <v>115.65399655343425</v>
      </c>
      <c r="P276" s="26">
        <v>1326.2501257675387</v>
      </c>
      <c r="Q276" s="154">
        <v>5605.58</v>
      </c>
    </row>
    <row r="277" spans="1:17" x14ac:dyDescent="0.2">
      <c r="A277" s="8" t="s">
        <v>566</v>
      </c>
      <c r="B277" s="7">
        <v>2012</v>
      </c>
      <c r="C277" s="7" t="s">
        <v>567</v>
      </c>
      <c r="D277" s="2">
        <v>275.93878692891343</v>
      </c>
      <c r="E277" s="2">
        <v>759838.39</v>
      </c>
      <c r="F277" s="7">
        <v>8095854.9500000002</v>
      </c>
      <c r="G277" s="7">
        <v>156501.99</v>
      </c>
      <c r="H277" s="7">
        <v>46821.440000000002</v>
      </c>
      <c r="I277" s="155">
        <v>2748547.45</v>
      </c>
      <c r="J277" s="155">
        <v>3205290.68</v>
      </c>
      <c r="K277" s="155">
        <v>47363.62</v>
      </c>
      <c r="L277" s="155">
        <v>1678572.95</v>
      </c>
      <c r="M277" s="26">
        <v>1328.6415315972911</v>
      </c>
      <c r="N277" s="26">
        <v>1549.4301611164553</v>
      </c>
      <c r="O277" s="26">
        <v>22.895465246121944</v>
      </c>
      <c r="P277" s="26">
        <v>811.41831303868628</v>
      </c>
      <c r="Q277" s="154">
        <v>2068.69</v>
      </c>
    </row>
    <row r="278" spans="1:17" x14ac:dyDescent="0.2">
      <c r="A278" s="8" t="s">
        <v>568</v>
      </c>
      <c r="B278" s="7">
        <v>2012</v>
      </c>
      <c r="C278" s="7" t="s">
        <v>569</v>
      </c>
      <c r="D278" s="2">
        <v>1507.3992257238151</v>
      </c>
      <c r="E278" s="2">
        <v>7423243.2199999997</v>
      </c>
      <c r="F278" s="7">
        <v>63769679.100000001</v>
      </c>
      <c r="G278" s="7">
        <v>996704.53</v>
      </c>
      <c r="H278" s="7">
        <v>1102582.96</v>
      </c>
      <c r="I278" s="155">
        <v>17074591.93</v>
      </c>
      <c r="J278" s="155">
        <v>12359630.539999999</v>
      </c>
      <c r="K278" s="155">
        <v>5744739.6399999997</v>
      </c>
      <c r="L278" s="155">
        <v>12790463.560000001</v>
      </c>
      <c r="M278" s="26">
        <v>1019.9095845717891</v>
      </c>
      <c r="N278" s="26">
        <v>738.27273302877677</v>
      </c>
      <c r="O278" s="26">
        <v>343.14817266063289</v>
      </c>
      <c r="P278" s="26">
        <v>764.00750480250031</v>
      </c>
      <c r="Q278" s="154">
        <v>16741.28</v>
      </c>
    </row>
    <row r="279" spans="1:17" x14ac:dyDescent="0.2">
      <c r="A279" s="8" t="s">
        <v>570</v>
      </c>
      <c r="B279" s="7">
        <v>2012</v>
      </c>
      <c r="C279" s="7" t="s">
        <v>571</v>
      </c>
      <c r="D279" s="2">
        <v>139.43433288146593</v>
      </c>
      <c r="E279" s="2">
        <v>468629.5</v>
      </c>
      <c r="F279" s="7">
        <v>3361705.59</v>
      </c>
      <c r="G279" s="7">
        <v>107069.61</v>
      </c>
      <c r="H279" s="7">
        <v>0</v>
      </c>
      <c r="I279" s="155">
        <v>1075738.56</v>
      </c>
      <c r="J279" s="155">
        <v>2145684.86</v>
      </c>
      <c r="K279" s="155">
        <v>396182.56</v>
      </c>
      <c r="L279" s="155">
        <v>854394.84</v>
      </c>
      <c r="M279" s="26">
        <v>1045.5229468364273</v>
      </c>
      <c r="N279" s="26">
        <v>2085.4163281174065</v>
      </c>
      <c r="O279" s="26">
        <v>385.0544853727281</v>
      </c>
      <c r="P279" s="26">
        <v>830.39638448828839</v>
      </c>
      <c r="Q279" s="154">
        <v>1028.9000000000001</v>
      </c>
    </row>
    <row r="280" spans="1:17" x14ac:dyDescent="0.2">
      <c r="A280" s="8" t="s">
        <v>572</v>
      </c>
      <c r="B280" s="7">
        <v>2012</v>
      </c>
      <c r="C280" s="7" t="s">
        <v>573</v>
      </c>
      <c r="D280" s="2">
        <v>655.80560906697474</v>
      </c>
      <c r="E280" s="2">
        <v>4261776.2300000004</v>
      </c>
      <c r="F280" s="7">
        <v>19934438.129999999</v>
      </c>
      <c r="G280" s="7">
        <v>1446515.26</v>
      </c>
      <c r="H280" s="7">
        <v>0</v>
      </c>
      <c r="I280" s="155">
        <v>6041609.54</v>
      </c>
      <c r="J280" s="155">
        <v>6629375.8799999999</v>
      </c>
      <c r="K280" s="155">
        <v>1894388.07</v>
      </c>
      <c r="L280" s="155">
        <v>5322164.58</v>
      </c>
      <c r="M280" s="26">
        <v>1024.3505906249418</v>
      </c>
      <c r="N280" s="26">
        <v>1124.0059545709639</v>
      </c>
      <c r="O280" s="26">
        <v>321.19214681611874</v>
      </c>
      <c r="P280" s="26">
        <v>902.36921052765433</v>
      </c>
      <c r="Q280" s="154">
        <v>5897.99</v>
      </c>
    </row>
    <row r="281" spans="1:17" x14ac:dyDescent="0.2">
      <c r="A281" s="8" t="s">
        <v>574</v>
      </c>
      <c r="B281" s="7">
        <v>2012</v>
      </c>
      <c r="C281" s="7" t="s">
        <v>575</v>
      </c>
      <c r="D281" s="2">
        <v>545.20059591858308</v>
      </c>
      <c r="E281" s="2">
        <v>2248691.2799999998</v>
      </c>
      <c r="F281" s="7">
        <v>16597565.550000001</v>
      </c>
      <c r="G281" s="7">
        <v>542404.02</v>
      </c>
      <c r="H281" s="7">
        <v>65089.52</v>
      </c>
      <c r="I281" s="155">
        <v>4890369.42</v>
      </c>
      <c r="J281" s="155">
        <v>7892249.4699999997</v>
      </c>
      <c r="K281" s="155">
        <v>1528217.39</v>
      </c>
      <c r="L281" s="155">
        <v>3591685.81</v>
      </c>
      <c r="M281" s="26">
        <v>898.62137638549962</v>
      </c>
      <c r="N281" s="26">
        <v>1450.2266541469437</v>
      </c>
      <c r="O281" s="26">
        <v>280.81494391850174</v>
      </c>
      <c r="P281" s="26">
        <v>659.98401530297247</v>
      </c>
      <c r="Q281" s="154">
        <v>5442.08</v>
      </c>
    </row>
    <row r="282" spans="1:17" x14ac:dyDescent="0.2">
      <c r="A282" s="8" t="s">
        <v>576</v>
      </c>
      <c r="B282" s="7">
        <v>2012</v>
      </c>
      <c r="C282" s="7" t="s">
        <v>577</v>
      </c>
      <c r="D282" s="2">
        <v>63.704888888888874</v>
      </c>
      <c r="E282" s="2">
        <v>224172.64</v>
      </c>
      <c r="F282" s="7">
        <v>2188943.94</v>
      </c>
      <c r="G282" s="7">
        <v>41251.19</v>
      </c>
      <c r="H282" s="7">
        <v>210</v>
      </c>
      <c r="I282" s="155">
        <v>737733.56</v>
      </c>
      <c r="J282" s="155">
        <v>1205623.58</v>
      </c>
      <c r="K282" s="155">
        <v>41940.199999999997</v>
      </c>
      <c r="L282" s="155">
        <v>291901.33</v>
      </c>
      <c r="M282" s="26">
        <v>1348.8875155415785</v>
      </c>
      <c r="N282" s="26">
        <v>2204.3874424047394</v>
      </c>
      <c r="O282" s="26">
        <v>76.684341402764574</v>
      </c>
      <c r="P282" s="26">
        <v>533.71851459079949</v>
      </c>
      <c r="Q282" s="154">
        <v>546.91999999999996</v>
      </c>
    </row>
    <row r="283" spans="1:17" x14ac:dyDescent="0.2">
      <c r="A283" s="8" t="s">
        <v>578</v>
      </c>
      <c r="B283" s="7">
        <v>2012</v>
      </c>
      <c r="C283" s="7" t="s">
        <v>579</v>
      </c>
      <c r="D283" s="2">
        <v>136.38239454818466</v>
      </c>
      <c r="E283" s="2">
        <v>356415.1</v>
      </c>
      <c r="F283" s="7">
        <v>2194104.58</v>
      </c>
      <c r="G283" s="7">
        <v>48056.47</v>
      </c>
      <c r="H283" s="7">
        <v>3479.5</v>
      </c>
      <c r="I283" s="155">
        <v>855801.64</v>
      </c>
      <c r="J283" s="155">
        <v>968660.02</v>
      </c>
      <c r="K283" s="155">
        <v>254770.05</v>
      </c>
      <c r="L283" s="155">
        <v>523604.98</v>
      </c>
      <c r="M283" s="26">
        <v>1138.2611425151292</v>
      </c>
      <c r="N283" s="26">
        <v>1288.368717164328</v>
      </c>
      <c r="O283" s="26">
        <v>338.85755137327919</v>
      </c>
      <c r="P283" s="26">
        <v>696.42213207421685</v>
      </c>
      <c r="Q283" s="154">
        <v>751.85</v>
      </c>
    </row>
    <row r="284" spans="1:17" x14ac:dyDescent="0.2">
      <c r="A284" s="8" t="s">
        <v>580</v>
      </c>
      <c r="B284" s="7">
        <v>2012</v>
      </c>
      <c r="C284" s="7" t="s">
        <v>581</v>
      </c>
      <c r="D284" s="2">
        <v>92.329263744507557</v>
      </c>
      <c r="E284" s="2">
        <v>388111.01</v>
      </c>
      <c r="F284" s="7">
        <v>2347370.13</v>
      </c>
      <c r="G284" s="7">
        <v>70665.210000000006</v>
      </c>
      <c r="H284" s="7">
        <v>7021.07</v>
      </c>
      <c r="I284" s="155">
        <v>760102.65</v>
      </c>
      <c r="J284" s="155">
        <v>789312.93</v>
      </c>
      <c r="K284" s="155">
        <v>13047.99</v>
      </c>
      <c r="L284" s="155">
        <v>359415.31</v>
      </c>
      <c r="M284" s="26">
        <v>1217.8985275031646</v>
      </c>
      <c r="N284" s="26">
        <v>1264.7016231113105</v>
      </c>
      <c r="O284" s="26">
        <v>20.906554934226339</v>
      </c>
      <c r="P284" s="26">
        <v>575.88455560718467</v>
      </c>
      <c r="Q284" s="154">
        <v>624.11</v>
      </c>
    </row>
    <row r="285" spans="1:17" x14ac:dyDescent="0.2">
      <c r="A285" s="8" t="s">
        <v>582</v>
      </c>
      <c r="B285" s="7">
        <v>2012</v>
      </c>
      <c r="C285" s="7" t="s">
        <v>583</v>
      </c>
      <c r="D285" s="2">
        <v>316.42147437587192</v>
      </c>
      <c r="E285" s="2">
        <v>1537793.48</v>
      </c>
      <c r="F285" s="7">
        <v>8820587.8599999994</v>
      </c>
      <c r="G285" s="7">
        <v>195778.81</v>
      </c>
      <c r="H285" s="7">
        <v>5593</v>
      </c>
      <c r="I285" s="155">
        <v>1902984.25</v>
      </c>
      <c r="J285" s="155">
        <v>2937056.55</v>
      </c>
      <c r="K285" s="155">
        <v>742373.8</v>
      </c>
      <c r="L285" s="155">
        <v>2297968.9300000002</v>
      </c>
      <c r="M285" s="26">
        <v>778.5459317263161</v>
      </c>
      <c r="N285" s="26">
        <v>1201.6039692670233</v>
      </c>
      <c r="O285" s="26">
        <v>303.7188047195902</v>
      </c>
      <c r="P285" s="26">
        <v>940.14144451535833</v>
      </c>
      <c r="Q285" s="154">
        <v>2444.2800000000002</v>
      </c>
    </row>
    <row r="286" spans="1:17" x14ac:dyDescent="0.2">
      <c r="A286" s="8" t="s">
        <v>584</v>
      </c>
      <c r="B286" s="7">
        <v>2012</v>
      </c>
      <c r="C286" s="7" t="s">
        <v>585</v>
      </c>
      <c r="D286" s="2">
        <v>156.90511679644027</v>
      </c>
      <c r="E286" s="2">
        <v>142420.14000000001</v>
      </c>
      <c r="F286" s="7">
        <v>4256329.63</v>
      </c>
      <c r="G286" s="7">
        <v>124607.91</v>
      </c>
      <c r="H286" s="7">
        <v>34907.53</v>
      </c>
      <c r="I286" s="155">
        <v>1252530.82</v>
      </c>
      <c r="J286" s="155">
        <v>1294914.99</v>
      </c>
      <c r="K286" s="155">
        <v>358371.35</v>
      </c>
      <c r="L286" s="155">
        <v>1049749.7</v>
      </c>
      <c r="M286" s="26">
        <v>1133.67620650954</v>
      </c>
      <c r="N286" s="26">
        <v>1172.0384761594439</v>
      </c>
      <c r="O286" s="26">
        <v>324.36493066869411</v>
      </c>
      <c r="P286" s="26">
        <v>950.13730494913295</v>
      </c>
      <c r="Q286" s="154">
        <v>1104.8399999999999</v>
      </c>
    </row>
    <row r="287" spans="1:17" x14ac:dyDescent="0.2">
      <c r="A287" s="8" t="s">
        <v>586</v>
      </c>
      <c r="B287" s="7">
        <v>2012</v>
      </c>
      <c r="C287" s="7" t="s">
        <v>587</v>
      </c>
      <c r="D287" s="2">
        <v>129.26046511627905</v>
      </c>
      <c r="E287" s="2">
        <v>412284.23</v>
      </c>
      <c r="F287" s="7">
        <v>6793361.5700000003</v>
      </c>
      <c r="G287" s="7">
        <v>63110.720000000001</v>
      </c>
      <c r="H287" s="7">
        <v>1006.8</v>
      </c>
      <c r="I287" s="155">
        <v>1851957.3</v>
      </c>
      <c r="J287" s="155">
        <v>1889939.81</v>
      </c>
      <c r="K287" s="155">
        <v>70093.490000000005</v>
      </c>
      <c r="L287" s="155">
        <v>971115.71</v>
      </c>
      <c r="M287" s="26">
        <v>1408.3325475285171</v>
      </c>
      <c r="N287" s="26">
        <v>1437.2165855513308</v>
      </c>
      <c r="O287" s="26">
        <v>53.303034220532325</v>
      </c>
      <c r="P287" s="26">
        <v>738.49103422053224</v>
      </c>
      <c r="Q287" s="154">
        <v>1315</v>
      </c>
    </row>
    <row r="288" spans="1:17" x14ac:dyDescent="0.2">
      <c r="A288" s="8" t="s">
        <v>588</v>
      </c>
      <c r="B288" s="7">
        <v>2012</v>
      </c>
      <c r="C288" s="7" t="s">
        <v>589</v>
      </c>
      <c r="D288" s="2">
        <v>156.78136934992381</v>
      </c>
      <c r="E288" s="2">
        <v>735173.54</v>
      </c>
      <c r="F288" s="7">
        <v>4181660</v>
      </c>
      <c r="G288" s="7">
        <v>118839.1</v>
      </c>
      <c r="H288" s="7">
        <v>8213.2000000000007</v>
      </c>
      <c r="I288" s="155">
        <v>1354479.38</v>
      </c>
      <c r="J288" s="155">
        <v>2367846.09</v>
      </c>
      <c r="K288" s="155">
        <v>288448.78999999998</v>
      </c>
      <c r="L288" s="155">
        <v>1490503.18</v>
      </c>
      <c r="M288" s="26">
        <v>975.18224558119437</v>
      </c>
      <c r="N288" s="26">
        <v>1704.7741747363114</v>
      </c>
      <c r="O288" s="26">
        <v>207.67399114438962</v>
      </c>
      <c r="P288" s="26">
        <v>1073.1150725368084</v>
      </c>
      <c r="Q288" s="154">
        <v>1388.95</v>
      </c>
    </row>
    <row r="289" spans="1:17" x14ac:dyDescent="0.2">
      <c r="A289" s="8" t="s">
        <v>590</v>
      </c>
      <c r="B289" s="7">
        <v>2012</v>
      </c>
      <c r="C289" s="7" t="s">
        <v>591</v>
      </c>
      <c r="D289" s="2">
        <v>118.0961438635521</v>
      </c>
      <c r="E289" s="2">
        <v>745833.09</v>
      </c>
      <c r="F289" s="7">
        <v>4478425.93</v>
      </c>
      <c r="G289" s="7">
        <v>203393.79</v>
      </c>
      <c r="H289" s="7">
        <v>27593.77</v>
      </c>
      <c r="I289" s="155">
        <v>1280642.3700000001</v>
      </c>
      <c r="J289" s="155">
        <v>1558201.93</v>
      </c>
      <c r="K289" s="155">
        <v>102067.79</v>
      </c>
      <c r="L289" s="155">
        <v>1259005.3400000001</v>
      </c>
      <c r="M289" s="26">
        <v>1010.0181159991798</v>
      </c>
      <c r="N289" s="26">
        <v>1228.9240263734875</v>
      </c>
      <c r="O289" s="26">
        <v>80.498911620423669</v>
      </c>
      <c r="P289" s="26">
        <v>992.95340473523981</v>
      </c>
      <c r="Q289" s="154">
        <v>1267.94</v>
      </c>
    </row>
    <row r="290" spans="1:17" x14ac:dyDescent="0.2">
      <c r="A290" s="8" t="s">
        <v>592</v>
      </c>
      <c r="B290" s="7">
        <v>2012</v>
      </c>
      <c r="C290" s="7" t="s">
        <v>593</v>
      </c>
      <c r="D290" s="2">
        <v>291.68025581668149</v>
      </c>
      <c r="E290" s="2">
        <v>1167502.2</v>
      </c>
      <c r="F290" s="7">
        <v>11385782.76</v>
      </c>
      <c r="G290" s="7">
        <v>248683.17</v>
      </c>
      <c r="H290" s="7">
        <v>0</v>
      </c>
      <c r="I290" s="155">
        <v>3116504.61</v>
      </c>
      <c r="J290" s="155">
        <v>5171229.82</v>
      </c>
      <c r="K290" s="155">
        <v>555157.85</v>
      </c>
      <c r="L290" s="155">
        <v>2284704.66</v>
      </c>
      <c r="M290" s="26">
        <v>894.52425387057326</v>
      </c>
      <c r="N290" s="26">
        <v>1484.2880326523116</v>
      </c>
      <c r="O290" s="26">
        <v>159.34587741605864</v>
      </c>
      <c r="P290" s="26">
        <v>655.77433280328819</v>
      </c>
      <c r="Q290" s="154">
        <v>3483.98</v>
      </c>
    </row>
    <row r="291" spans="1:17" x14ac:dyDescent="0.2">
      <c r="A291" s="8" t="s">
        <v>594</v>
      </c>
      <c r="B291" s="7">
        <v>2012</v>
      </c>
      <c r="C291" s="7" t="s">
        <v>595</v>
      </c>
      <c r="D291" s="2">
        <v>151.21689017760053</v>
      </c>
      <c r="E291" s="2">
        <v>557705.09</v>
      </c>
      <c r="F291" s="7">
        <v>6190797.4500000002</v>
      </c>
      <c r="G291" s="7">
        <v>285547.33</v>
      </c>
      <c r="H291" s="7">
        <v>73762.81</v>
      </c>
      <c r="I291" s="155">
        <v>2494782.96</v>
      </c>
      <c r="J291" s="155">
        <v>3326533.22</v>
      </c>
      <c r="K291" s="155">
        <v>143010.51</v>
      </c>
      <c r="L291" s="155">
        <v>1348635.72</v>
      </c>
      <c r="M291" s="26">
        <v>1242.1743477394941</v>
      </c>
      <c r="N291" s="26">
        <v>1656.3101075482971</v>
      </c>
      <c r="O291" s="26">
        <v>71.206189006174071</v>
      </c>
      <c r="P291" s="26">
        <v>671.49757020513835</v>
      </c>
      <c r="Q291" s="154">
        <v>2008.4</v>
      </c>
    </row>
    <row r="292" spans="1:17" x14ac:dyDescent="0.2">
      <c r="A292" s="8" t="s">
        <v>596</v>
      </c>
      <c r="B292" s="7">
        <v>2012</v>
      </c>
      <c r="C292" s="7" t="s">
        <v>597</v>
      </c>
      <c r="D292" s="2">
        <v>559.16477272727275</v>
      </c>
      <c r="E292" s="2">
        <v>3122685.1</v>
      </c>
      <c r="F292" s="7">
        <v>12851755.890000001</v>
      </c>
      <c r="G292" s="7">
        <v>309341.65999999997</v>
      </c>
      <c r="H292" s="7">
        <v>114233.03</v>
      </c>
      <c r="I292" s="155">
        <v>5116707.49</v>
      </c>
      <c r="J292" s="155">
        <v>5160692.0199999996</v>
      </c>
      <c r="K292" s="155">
        <v>373522.19</v>
      </c>
      <c r="L292" s="155">
        <v>3616885.57</v>
      </c>
      <c r="M292" s="26">
        <v>1362.7582424021286</v>
      </c>
      <c r="N292" s="26">
        <v>1374.4728617961098</v>
      </c>
      <c r="O292" s="26">
        <v>99.482029046494091</v>
      </c>
      <c r="P292" s="26">
        <v>963.30318510015525</v>
      </c>
      <c r="Q292" s="154">
        <v>3754.67</v>
      </c>
    </row>
    <row r="293" spans="1:17" x14ac:dyDescent="0.2">
      <c r="A293" s="8" t="s">
        <v>598</v>
      </c>
      <c r="B293" s="7">
        <v>2012</v>
      </c>
      <c r="C293" s="7" t="s">
        <v>599</v>
      </c>
      <c r="D293" s="2">
        <v>118.12015224139256</v>
      </c>
      <c r="E293" s="2">
        <v>531735.46</v>
      </c>
      <c r="F293" s="7">
        <v>3151331.52</v>
      </c>
      <c r="G293" s="7">
        <v>154375.60999999999</v>
      </c>
      <c r="H293" s="7">
        <v>34660.26</v>
      </c>
      <c r="I293" s="155">
        <v>861095.38</v>
      </c>
      <c r="J293" s="155">
        <v>931400.38</v>
      </c>
      <c r="K293" s="155">
        <v>19650.53</v>
      </c>
      <c r="L293" s="155">
        <v>542793.48</v>
      </c>
      <c r="M293" s="26">
        <v>968.85098674587641</v>
      </c>
      <c r="N293" s="26">
        <v>1047.9538018407254</v>
      </c>
      <c r="O293" s="26">
        <v>22.109554670447128</v>
      </c>
      <c r="P293" s="26">
        <v>610.71747789104165</v>
      </c>
      <c r="Q293" s="154">
        <v>888.78</v>
      </c>
    </row>
    <row r="294" spans="1:17" x14ac:dyDescent="0.2">
      <c r="A294" s="8" t="s">
        <v>600</v>
      </c>
      <c r="B294" s="7">
        <v>2012</v>
      </c>
      <c r="C294" s="7" t="s">
        <v>601</v>
      </c>
      <c r="D294" s="2">
        <v>123.69128307357737</v>
      </c>
      <c r="E294" s="2">
        <v>467634.24</v>
      </c>
      <c r="F294" s="7">
        <v>3514376.43</v>
      </c>
      <c r="G294" s="7">
        <v>83154.3</v>
      </c>
      <c r="H294" s="7">
        <v>0</v>
      </c>
      <c r="I294" s="155">
        <v>1137935.3500000001</v>
      </c>
      <c r="J294" s="155">
        <v>1101041.79</v>
      </c>
      <c r="K294" s="155">
        <v>197678.38</v>
      </c>
      <c r="L294" s="155">
        <v>783555.55</v>
      </c>
      <c r="M294" s="26">
        <v>1196.3532806964056</v>
      </c>
      <c r="N294" s="26">
        <v>1157.565724318471</v>
      </c>
      <c r="O294" s="26">
        <v>207.82655045890851</v>
      </c>
      <c r="P294" s="26">
        <v>823.78076474237002</v>
      </c>
      <c r="Q294" s="154">
        <v>951.17</v>
      </c>
    </row>
    <row r="295" spans="1:17" x14ac:dyDescent="0.2">
      <c r="A295" s="8" t="s">
        <v>602</v>
      </c>
      <c r="B295" s="7">
        <v>2012</v>
      </c>
      <c r="C295" s="7" t="s">
        <v>603</v>
      </c>
      <c r="D295" s="2">
        <v>354.91315206729689</v>
      </c>
      <c r="E295" s="2">
        <v>1336610.28</v>
      </c>
      <c r="F295" s="7">
        <v>12409086.810000001</v>
      </c>
      <c r="G295" s="7">
        <v>107747.77</v>
      </c>
      <c r="H295" s="7">
        <v>32063.48</v>
      </c>
      <c r="I295" s="155">
        <v>2726280.33</v>
      </c>
      <c r="J295" s="155">
        <v>4766659.25</v>
      </c>
      <c r="K295" s="155">
        <v>54887.360000000001</v>
      </c>
      <c r="L295" s="155">
        <v>1798337.39</v>
      </c>
      <c r="M295" s="26">
        <v>756.00438415271606</v>
      </c>
      <c r="N295" s="26">
        <v>1321.8065842708468</v>
      </c>
      <c r="O295" s="26">
        <v>15.220402809629052</v>
      </c>
      <c r="P295" s="26">
        <v>498.68347582060744</v>
      </c>
      <c r="Q295" s="154">
        <v>3606.17</v>
      </c>
    </row>
    <row r="296" spans="1:17" x14ac:dyDescent="0.2">
      <c r="A296" s="8" t="s">
        <v>604</v>
      </c>
      <c r="B296" s="7">
        <v>2012</v>
      </c>
      <c r="C296" s="7" t="s">
        <v>605</v>
      </c>
      <c r="D296" s="2">
        <v>79.454014236799395</v>
      </c>
      <c r="E296" s="2">
        <v>127759.38</v>
      </c>
      <c r="F296" s="7">
        <v>2610237.11</v>
      </c>
      <c r="G296" s="7">
        <v>73510.02</v>
      </c>
      <c r="H296" s="7">
        <v>5809.2</v>
      </c>
      <c r="I296" s="155">
        <v>1218054.1399999999</v>
      </c>
      <c r="J296" s="155">
        <v>1008858.12</v>
      </c>
      <c r="K296" s="155">
        <v>130359.1</v>
      </c>
      <c r="L296" s="155">
        <v>548058.53</v>
      </c>
      <c r="M296" s="26">
        <v>2053.9849246231156</v>
      </c>
      <c r="N296" s="26">
        <v>1701.2210718019628</v>
      </c>
      <c r="O296" s="26">
        <v>219.82243431924726</v>
      </c>
      <c r="P296" s="26">
        <v>924.1822029611144</v>
      </c>
      <c r="Q296" s="154">
        <v>593.02</v>
      </c>
    </row>
    <row r="297" spans="1:17" x14ac:dyDescent="0.2">
      <c r="A297" s="8" t="s">
        <v>606</v>
      </c>
      <c r="B297" s="7">
        <v>2012</v>
      </c>
      <c r="C297" s="7" t="s">
        <v>607</v>
      </c>
      <c r="D297" s="2">
        <v>335.01893548387102</v>
      </c>
      <c r="E297" s="2">
        <v>1283247.71</v>
      </c>
      <c r="F297" s="7">
        <v>7533726.21</v>
      </c>
      <c r="G297" s="7">
        <v>107979.98</v>
      </c>
      <c r="H297" s="7">
        <v>0</v>
      </c>
      <c r="I297" s="155">
        <v>2060042.81</v>
      </c>
      <c r="J297" s="155">
        <v>3315691.38</v>
      </c>
      <c r="K297" s="155">
        <v>261788.44</v>
      </c>
      <c r="L297" s="155">
        <v>1507978.8</v>
      </c>
      <c r="M297" s="26">
        <v>1002.1661955934792</v>
      </c>
      <c r="N297" s="26">
        <v>1613.01202087965</v>
      </c>
      <c r="O297" s="26">
        <v>127.35440433160308</v>
      </c>
      <c r="P297" s="26">
        <v>733.5990153678506</v>
      </c>
      <c r="Q297" s="154">
        <v>2055.59</v>
      </c>
    </row>
    <row r="298" spans="1:17" x14ac:dyDescent="0.2">
      <c r="A298" s="8" t="s">
        <v>608</v>
      </c>
      <c r="B298" s="7">
        <v>2012</v>
      </c>
      <c r="C298" s="7" t="s">
        <v>609</v>
      </c>
      <c r="D298" s="2">
        <v>636.68561754776238</v>
      </c>
      <c r="E298" s="2">
        <v>2465988.4500000002</v>
      </c>
      <c r="F298" s="7">
        <v>13164156.550000001</v>
      </c>
      <c r="G298" s="7">
        <v>140204.78</v>
      </c>
      <c r="H298" s="7">
        <v>28725.8</v>
      </c>
      <c r="I298" s="155">
        <v>3784174.08</v>
      </c>
      <c r="J298" s="155">
        <v>6168845.9800000004</v>
      </c>
      <c r="K298" s="155">
        <v>660208.06000000006</v>
      </c>
      <c r="L298" s="155">
        <v>3341831.28</v>
      </c>
      <c r="M298" s="26">
        <v>954.43298594646944</v>
      </c>
      <c r="N298" s="26">
        <v>1555.8877483076242</v>
      </c>
      <c r="O298" s="26">
        <v>166.51568789661121</v>
      </c>
      <c r="P298" s="26">
        <v>842.86661756842636</v>
      </c>
      <c r="Q298" s="154">
        <v>3964.84</v>
      </c>
    </row>
    <row r="299" spans="1:17" x14ac:dyDescent="0.2">
      <c r="A299" s="8" t="s">
        <v>610</v>
      </c>
      <c r="B299" s="7">
        <v>2012</v>
      </c>
      <c r="C299" s="7" t="s">
        <v>611</v>
      </c>
      <c r="D299" s="2">
        <v>206.01435028248588</v>
      </c>
      <c r="E299" s="2">
        <v>1309801.52</v>
      </c>
      <c r="F299" s="7">
        <v>6786334.5700000003</v>
      </c>
      <c r="G299" s="7">
        <v>124749.73</v>
      </c>
      <c r="H299" s="7">
        <v>4221.4399999999996</v>
      </c>
      <c r="I299" s="155">
        <v>2413266.61</v>
      </c>
      <c r="J299" s="155">
        <v>2671114.15</v>
      </c>
      <c r="K299" s="155">
        <v>448049.41</v>
      </c>
      <c r="L299" s="155">
        <v>1344272.56</v>
      </c>
      <c r="M299" s="26">
        <v>1194.1425736793142</v>
      </c>
      <c r="N299" s="26">
        <v>1321.7317607822179</v>
      </c>
      <c r="O299" s="26">
        <v>221.70566375710069</v>
      </c>
      <c r="P299" s="26">
        <v>665.17851275656631</v>
      </c>
      <c r="Q299" s="154">
        <v>2020.92</v>
      </c>
    </row>
    <row r="300" spans="1:17" x14ac:dyDescent="0.2">
      <c r="A300" s="8" t="s">
        <v>612</v>
      </c>
      <c r="B300" s="7">
        <v>2012</v>
      </c>
      <c r="C300" s="7" t="s">
        <v>613</v>
      </c>
      <c r="D300" s="2">
        <v>1211.6904880416173</v>
      </c>
      <c r="E300" s="2">
        <v>6313447.4400000004</v>
      </c>
      <c r="F300" s="7">
        <v>30864280.640000001</v>
      </c>
      <c r="G300" s="7">
        <v>687460.92</v>
      </c>
      <c r="H300" s="7">
        <v>103279.74</v>
      </c>
      <c r="I300" s="155">
        <v>8167639.7400000002</v>
      </c>
      <c r="J300" s="155">
        <v>10392212.449999999</v>
      </c>
      <c r="K300" s="155">
        <v>1162283.2</v>
      </c>
      <c r="L300" s="155">
        <v>4914232.88</v>
      </c>
      <c r="M300" s="26">
        <v>1124.2852104824124</v>
      </c>
      <c r="N300" s="26">
        <v>1430.5002587842098</v>
      </c>
      <c r="O300" s="26">
        <v>159.98964863160967</v>
      </c>
      <c r="P300" s="26">
        <v>676.44993213797056</v>
      </c>
      <c r="Q300" s="154">
        <v>7264.74</v>
      </c>
    </row>
    <row r="301" spans="1:17" x14ac:dyDescent="0.2">
      <c r="A301" s="8" t="s">
        <v>614</v>
      </c>
      <c r="B301" s="7">
        <v>2012</v>
      </c>
      <c r="C301" s="7" t="s">
        <v>615</v>
      </c>
      <c r="D301" s="2">
        <v>54.756397245378764</v>
      </c>
      <c r="E301" s="2">
        <v>10550.09</v>
      </c>
      <c r="F301" s="7">
        <v>2358011.7400000002</v>
      </c>
      <c r="G301" s="7">
        <v>41777.769999999997</v>
      </c>
      <c r="H301" s="7">
        <v>4114</v>
      </c>
      <c r="I301" s="155">
        <v>891871.14</v>
      </c>
      <c r="J301" s="155">
        <v>1303856.83</v>
      </c>
      <c r="K301" s="155">
        <v>12432.25</v>
      </c>
      <c r="L301" s="155">
        <v>405647.09</v>
      </c>
      <c r="M301" s="26">
        <v>1683.506314060819</v>
      </c>
      <c r="N301" s="26">
        <v>2461.1752836136438</v>
      </c>
      <c r="O301" s="26">
        <v>23.467259376710651</v>
      </c>
      <c r="P301" s="26">
        <v>765.70415463314271</v>
      </c>
      <c r="Q301" s="154">
        <v>529.77</v>
      </c>
    </row>
    <row r="302" spans="1:17" x14ac:dyDescent="0.2">
      <c r="A302" s="8" t="s">
        <v>616</v>
      </c>
      <c r="B302" s="7">
        <v>2012</v>
      </c>
      <c r="C302" s="7" t="s">
        <v>617</v>
      </c>
      <c r="D302" s="2">
        <v>169.55854320030991</v>
      </c>
      <c r="E302" s="2">
        <v>666346.30000000005</v>
      </c>
      <c r="F302" s="7">
        <v>4134207.26</v>
      </c>
      <c r="G302" s="7">
        <v>183756.67</v>
      </c>
      <c r="H302" s="7">
        <v>162643.66</v>
      </c>
      <c r="I302" s="155">
        <v>1539229.6</v>
      </c>
      <c r="J302" s="155">
        <v>1611466.57</v>
      </c>
      <c r="K302" s="155">
        <v>387961.99</v>
      </c>
      <c r="L302" s="155">
        <v>1379644</v>
      </c>
      <c r="M302" s="26">
        <v>1339.8819617333172</v>
      </c>
      <c r="N302" s="26">
        <v>1402.7634272880796</v>
      </c>
      <c r="O302" s="26">
        <v>337.71652535733563</v>
      </c>
      <c r="P302" s="26">
        <v>1200.9645014711259</v>
      </c>
      <c r="Q302" s="154">
        <v>1148.78</v>
      </c>
    </row>
    <row r="303" spans="1:17" x14ac:dyDescent="0.2">
      <c r="A303" s="8" t="s">
        <v>618</v>
      </c>
      <c r="B303" s="7">
        <v>2012</v>
      </c>
      <c r="C303" s="7" t="s">
        <v>619</v>
      </c>
      <c r="D303" s="2">
        <v>307.50920454545439</v>
      </c>
      <c r="E303" s="2">
        <v>993715.82</v>
      </c>
      <c r="F303" s="7">
        <v>11151213.09</v>
      </c>
      <c r="G303" s="7">
        <v>194529.22</v>
      </c>
      <c r="H303" s="7">
        <v>71467.73</v>
      </c>
      <c r="I303" s="155">
        <v>2410659.36</v>
      </c>
      <c r="J303" s="155">
        <v>3690996.67</v>
      </c>
      <c r="K303" s="155">
        <v>298320.63</v>
      </c>
      <c r="L303" s="155">
        <v>2394446.96</v>
      </c>
      <c r="M303" s="26">
        <v>771.91984476166681</v>
      </c>
      <c r="N303" s="26">
        <v>1181.8980415890155</v>
      </c>
      <c r="O303" s="26">
        <v>95.525572057100035</v>
      </c>
      <c r="P303" s="26">
        <v>766.72845459727046</v>
      </c>
      <c r="Q303" s="154">
        <v>3122.94</v>
      </c>
    </row>
    <row r="304" spans="1:17" x14ac:dyDescent="0.2">
      <c r="A304" s="8" t="s">
        <v>620</v>
      </c>
      <c r="B304" s="7">
        <v>2012</v>
      </c>
      <c r="C304" s="7" t="s">
        <v>621</v>
      </c>
      <c r="D304" s="2">
        <v>450.82347990628944</v>
      </c>
      <c r="E304" s="2">
        <v>2123850.7599999998</v>
      </c>
      <c r="F304" s="7">
        <v>19126243.82</v>
      </c>
      <c r="G304" s="7">
        <v>468493.44</v>
      </c>
      <c r="H304" s="7">
        <v>0</v>
      </c>
      <c r="I304" s="155">
        <v>4817725.6100000003</v>
      </c>
      <c r="J304" s="155">
        <v>5525126.6699999999</v>
      </c>
      <c r="K304" s="155">
        <v>479947.67</v>
      </c>
      <c r="L304" s="155">
        <v>3571209.86</v>
      </c>
      <c r="M304" s="26">
        <v>1067.1717695061227</v>
      </c>
      <c r="N304" s="26">
        <v>1223.8677920823661</v>
      </c>
      <c r="O304" s="26">
        <v>106.31294634154986</v>
      </c>
      <c r="P304" s="26">
        <v>791.05674629193174</v>
      </c>
      <c r="Q304" s="154">
        <v>4514.4799999999996</v>
      </c>
    </row>
    <row r="305" spans="1:17" x14ac:dyDescent="0.2">
      <c r="A305" s="8" t="s">
        <v>622</v>
      </c>
      <c r="B305" s="7">
        <v>2012</v>
      </c>
      <c r="C305" s="7" t="s">
        <v>623</v>
      </c>
      <c r="D305" s="2">
        <v>70.447317868793021</v>
      </c>
      <c r="E305" s="2">
        <v>137810.68</v>
      </c>
      <c r="F305" s="7">
        <v>2350048.6800000002</v>
      </c>
      <c r="G305" s="7">
        <v>61674.33</v>
      </c>
      <c r="H305" s="7">
        <v>0</v>
      </c>
      <c r="I305" s="155">
        <v>479979.17</v>
      </c>
      <c r="J305" s="155">
        <v>553869.74</v>
      </c>
      <c r="K305" s="155">
        <v>232348.5</v>
      </c>
      <c r="L305" s="155">
        <v>424493.51</v>
      </c>
      <c r="M305" s="26">
        <v>795.60272837275602</v>
      </c>
      <c r="N305" s="26">
        <v>918.08208324354791</v>
      </c>
      <c r="O305" s="26">
        <v>385.13567272787549</v>
      </c>
      <c r="P305" s="26">
        <v>703.63094034378162</v>
      </c>
      <c r="Q305" s="154">
        <v>603.29</v>
      </c>
    </row>
    <row r="306" spans="1:17" x14ac:dyDescent="0.2">
      <c r="A306" s="8" t="s">
        <v>624</v>
      </c>
      <c r="B306" s="7">
        <v>2012</v>
      </c>
      <c r="C306" s="7" t="s">
        <v>625</v>
      </c>
      <c r="D306" s="2">
        <v>41.470073732718902</v>
      </c>
      <c r="E306" s="2">
        <v>261661.49</v>
      </c>
      <c r="F306" s="7">
        <v>2241024.7999999998</v>
      </c>
      <c r="G306" s="7">
        <v>34198.199999999997</v>
      </c>
      <c r="H306" s="7">
        <v>1403.97</v>
      </c>
      <c r="I306" s="155">
        <v>682155.21</v>
      </c>
      <c r="J306" s="155">
        <v>827742.48</v>
      </c>
      <c r="K306" s="155">
        <v>80234.94</v>
      </c>
      <c r="L306" s="155">
        <v>389528.89</v>
      </c>
      <c r="M306" s="26">
        <v>1183.6807391983343</v>
      </c>
      <c r="N306" s="26">
        <v>1436.3048412285268</v>
      </c>
      <c r="O306" s="26">
        <v>139.22425819885478</v>
      </c>
      <c r="P306" s="26">
        <v>675.9133958007983</v>
      </c>
      <c r="Q306" s="154">
        <v>576.29999999999995</v>
      </c>
    </row>
    <row r="307" spans="1:17" x14ac:dyDescent="0.2">
      <c r="A307" s="8" t="s">
        <v>626</v>
      </c>
      <c r="B307" s="7">
        <v>2012</v>
      </c>
      <c r="C307" s="7" t="s">
        <v>627</v>
      </c>
      <c r="D307" s="2">
        <v>169.25475937950938</v>
      </c>
      <c r="E307" s="2">
        <v>586366.87</v>
      </c>
      <c r="F307" s="7">
        <v>4393884.6900000004</v>
      </c>
      <c r="G307" s="7">
        <v>100554.86</v>
      </c>
      <c r="H307" s="7">
        <v>12825.63</v>
      </c>
      <c r="I307" s="155">
        <v>1106097.3799999999</v>
      </c>
      <c r="J307" s="155">
        <v>1967785.27</v>
      </c>
      <c r="K307" s="155">
        <v>359717.98</v>
      </c>
      <c r="L307" s="155">
        <v>797136.26</v>
      </c>
      <c r="M307" s="26">
        <v>873.8533698855241</v>
      </c>
      <c r="N307" s="26">
        <v>1554.6151907534545</v>
      </c>
      <c r="O307" s="26">
        <v>284.18905488358865</v>
      </c>
      <c r="P307" s="26">
        <v>629.76390655490331</v>
      </c>
      <c r="Q307" s="154">
        <v>1265.77</v>
      </c>
    </row>
    <row r="308" spans="1:17" x14ac:dyDescent="0.2">
      <c r="A308" s="8" t="s">
        <v>628</v>
      </c>
      <c r="B308" s="7">
        <v>2012</v>
      </c>
      <c r="C308" s="7" t="s">
        <v>629</v>
      </c>
      <c r="D308" s="2">
        <v>395.95035842293913</v>
      </c>
      <c r="E308" s="2">
        <v>2104714.5499999998</v>
      </c>
      <c r="F308" s="7">
        <v>13214146.720000001</v>
      </c>
      <c r="G308" s="7">
        <v>466980.33</v>
      </c>
      <c r="H308" s="7">
        <v>222334</v>
      </c>
      <c r="I308" s="155">
        <v>3548871.77</v>
      </c>
      <c r="J308" s="155">
        <v>5229785.79</v>
      </c>
      <c r="K308" s="155">
        <v>1456396.73</v>
      </c>
      <c r="L308" s="155">
        <v>4117215.21</v>
      </c>
      <c r="M308" s="26">
        <v>1005.5027752199352</v>
      </c>
      <c r="N308" s="26">
        <v>1481.7565881369619</v>
      </c>
      <c r="O308" s="26">
        <v>412.64126988624292</v>
      </c>
      <c r="P308" s="26">
        <v>1166.5316720735525</v>
      </c>
      <c r="Q308" s="154">
        <v>3529.45</v>
      </c>
    </row>
    <row r="309" spans="1:17" x14ac:dyDescent="0.2">
      <c r="A309" s="8" t="s">
        <v>630</v>
      </c>
      <c r="B309" s="7">
        <v>2012</v>
      </c>
      <c r="C309" s="7" t="s">
        <v>631</v>
      </c>
      <c r="D309" s="2">
        <v>136.65168539325842</v>
      </c>
      <c r="E309" s="2">
        <v>805844.7</v>
      </c>
      <c r="F309" s="7">
        <v>7223952.5300000003</v>
      </c>
      <c r="G309" s="7">
        <v>104156.98</v>
      </c>
      <c r="H309" s="7">
        <v>8527.92</v>
      </c>
      <c r="I309" s="155">
        <v>1695391.3</v>
      </c>
      <c r="J309" s="155">
        <v>2270292.7000000002</v>
      </c>
      <c r="K309" s="155">
        <v>775552.64</v>
      </c>
      <c r="L309" s="155">
        <v>1608984.79</v>
      </c>
      <c r="M309" s="26">
        <v>1226.482507668268</v>
      </c>
      <c r="N309" s="26">
        <v>1642.3785375311074</v>
      </c>
      <c r="O309" s="26">
        <v>561.05144973667461</v>
      </c>
      <c r="P309" s="26">
        <v>1163.9741810868686</v>
      </c>
      <c r="Q309" s="154">
        <v>1382.32</v>
      </c>
    </row>
    <row r="310" spans="1:17" x14ac:dyDescent="0.2">
      <c r="A310" s="8" t="s">
        <v>632</v>
      </c>
      <c r="B310" s="7">
        <v>2012</v>
      </c>
      <c r="C310" s="7" t="s">
        <v>633</v>
      </c>
      <c r="D310" s="2">
        <v>140.57244577227777</v>
      </c>
      <c r="E310" s="2">
        <v>747334.82</v>
      </c>
      <c r="F310" s="7">
        <v>4971821.8099999996</v>
      </c>
      <c r="G310" s="7">
        <v>110363.85</v>
      </c>
      <c r="H310" s="7">
        <v>10424.11</v>
      </c>
      <c r="I310" s="155">
        <v>1671543.96</v>
      </c>
      <c r="J310" s="155">
        <v>2324976.11</v>
      </c>
      <c r="K310" s="155">
        <v>434785.9</v>
      </c>
      <c r="L310" s="155">
        <v>1162341.76</v>
      </c>
      <c r="M310" s="26">
        <v>1098.4064555556286</v>
      </c>
      <c r="N310" s="26">
        <v>1527.7903718647119</v>
      </c>
      <c r="O310" s="26">
        <v>285.70689779798789</v>
      </c>
      <c r="P310" s="26">
        <v>763.79905243167593</v>
      </c>
      <c r="Q310" s="154">
        <v>1521.79</v>
      </c>
    </row>
    <row r="311" spans="1:17" x14ac:dyDescent="0.2">
      <c r="A311" s="8" t="s">
        <v>634</v>
      </c>
      <c r="B311" s="7">
        <v>2012</v>
      </c>
      <c r="C311" s="7" t="s">
        <v>635</v>
      </c>
      <c r="D311" s="2">
        <v>230.4132040594418</v>
      </c>
      <c r="E311" s="2">
        <v>1717012.38</v>
      </c>
      <c r="F311" s="7">
        <v>11218065.67</v>
      </c>
      <c r="G311" s="7">
        <v>211250.3</v>
      </c>
      <c r="H311" s="7">
        <v>0</v>
      </c>
      <c r="I311" s="155">
        <v>3105492.83</v>
      </c>
      <c r="J311" s="155">
        <v>2738871.9</v>
      </c>
      <c r="K311" s="155">
        <v>15382.29</v>
      </c>
      <c r="L311" s="155">
        <v>2639692.11</v>
      </c>
      <c r="M311" s="26">
        <v>1002.4380168757303</v>
      </c>
      <c r="N311" s="26">
        <v>884.09455961057984</v>
      </c>
      <c r="O311" s="26">
        <v>4.965328573180888</v>
      </c>
      <c r="P311" s="26">
        <v>852.07980464437651</v>
      </c>
      <c r="Q311" s="154">
        <v>3097.94</v>
      </c>
    </row>
    <row r="312" spans="1:17" x14ac:dyDescent="0.2">
      <c r="A312" s="8" t="s">
        <v>636</v>
      </c>
      <c r="B312" s="7">
        <v>2012</v>
      </c>
      <c r="C312" s="7" t="s">
        <v>637</v>
      </c>
      <c r="D312" s="2">
        <v>360.04261000857713</v>
      </c>
      <c r="E312" s="2">
        <v>2261350.94</v>
      </c>
      <c r="F312" s="7">
        <v>10361968.75</v>
      </c>
      <c r="G312" s="7">
        <v>278470.58</v>
      </c>
      <c r="H312" s="7">
        <v>311492.28999999998</v>
      </c>
      <c r="I312" s="155">
        <v>3201594.79</v>
      </c>
      <c r="J312" s="155">
        <v>4193434</v>
      </c>
      <c r="K312" s="155">
        <v>506063.54</v>
      </c>
      <c r="L312" s="155">
        <v>2383506.14</v>
      </c>
      <c r="M312" s="26">
        <v>1053.0834350258699</v>
      </c>
      <c r="N312" s="26">
        <v>1379.3237967114114</v>
      </c>
      <c r="O312" s="26">
        <v>166.45677107831366</v>
      </c>
      <c r="P312" s="26">
        <v>783.99391489403695</v>
      </c>
      <c r="Q312" s="154">
        <v>3040.21</v>
      </c>
    </row>
    <row r="313" spans="1:17" x14ac:dyDescent="0.2">
      <c r="A313" s="8" t="s">
        <v>638</v>
      </c>
      <c r="B313" s="7">
        <v>2012</v>
      </c>
      <c r="C313" s="7" t="s">
        <v>639</v>
      </c>
      <c r="D313" s="2">
        <v>140.65830949948926</v>
      </c>
      <c r="E313" s="2">
        <v>533197.49</v>
      </c>
      <c r="F313" s="7">
        <v>4964845.63</v>
      </c>
      <c r="G313" s="7">
        <v>100427</v>
      </c>
      <c r="H313" s="7">
        <v>22869.99</v>
      </c>
      <c r="I313" s="155">
        <v>2240634.2999999998</v>
      </c>
      <c r="J313" s="155">
        <v>1939462.2</v>
      </c>
      <c r="K313" s="155">
        <v>86364.62</v>
      </c>
      <c r="L313" s="155">
        <v>1208875.19</v>
      </c>
      <c r="M313" s="26">
        <v>1743.6028667922119</v>
      </c>
      <c r="N313" s="26">
        <v>1509.2386347719173</v>
      </c>
      <c r="O313" s="26">
        <v>67.206682956437831</v>
      </c>
      <c r="P313" s="26">
        <v>940.71497828895144</v>
      </c>
      <c r="Q313" s="154">
        <v>1285.06</v>
      </c>
    </row>
    <row r="314" spans="1:17" x14ac:dyDescent="0.2">
      <c r="A314" s="8" t="s">
        <v>640</v>
      </c>
      <c r="B314" s="7">
        <v>2012</v>
      </c>
      <c r="C314" s="7" t="s">
        <v>641</v>
      </c>
      <c r="D314" s="2">
        <v>129.51579532814239</v>
      </c>
      <c r="E314" s="2">
        <v>622298.51</v>
      </c>
      <c r="F314" s="7">
        <v>3203565.88</v>
      </c>
      <c r="G314" s="7">
        <v>38625.449999999997</v>
      </c>
      <c r="H314" s="7">
        <v>18802.48</v>
      </c>
      <c r="I314" s="155">
        <v>1177789.26</v>
      </c>
      <c r="J314" s="155">
        <v>1360963.96</v>
      </c>
      <c r="K314" s="155">
        <v>417641.63</v>
      </c>
      <c r="L314" s="155">
        <v>684384.96</v>
      </c>
      <c r="M314" s="26">
        <v>1416.0716338234763</v>
      </c>
      <c r="N314" s="26">
        <v>1636.3050028254361</v>
      </c>
      <c r="O314" s="26">
        <v>502.13606579058109</v>
      </c>
      <c r="P314" s="26">
        <v>822.84510598391296</v>
      </c>
      <c r="Q314" s="154">
        <v>831.73</v>
      </c>
    </row>
    <row r="315" spans="1:17" x14ac:dyDescent="0.2">
      <c r="A315" s="8" t="s">
        <v>642</v>
      </c>
      <c r="B315" s="7">
        <v>2012</v>
      </c>
      <c r="C315" s="7" t="s">
        <v>643</v>
      </c>
      <c r="D315" s="2">
        <v>163.68183154121863</v>
      </c>
      <c r="E315" s="2">
        <v>358730.04</v>
      </c>
      <c r="F315" s="7">
        <v>5490166.0899999999</v>
      </c>
      <c r="G315" s="7">
        <v>107509.11</v>
      </c>
      <c r="H315" s="7">
        <v>32437.35</v>
      </c>
      <c r="I315" s="155">
        <v>1563052.5</v>
      </c>
      <c r="J315" s="155">
        <v>2146264.14</v>
      </c>
      <c r="K315" s="155">
        <v>180792.58</v>
      </c>
      <c r="L315" s="155">
        <v>1599235.76</v>
      </c>
      <c r="M315" s="26">
        <v>1108.8152462295873</v>
      </c>
      <c r="N315" s="26">
        <v>1522.540286310174</v>
      </c>
      <c r="O315" s="26">
        <v>128.25261410552898</v>
      </c>
      <c r="P315" s="26">
        <v>1134.4833222195423</v>
      </c>
      <c r="Q315" s="154">
        <v>1409.66</v>
      </c>
    </row>
    <row r="316" spans="1:17" x14ac:dyDescent="0.2">
      <c r="A316" s="8" t="s">
        <v>644</v>
      </c>
      <c r="B316" s="7">
        <v>2012</v>
      </c>
      <c r="C316" s="7" t="s">
        <v>645</v>
      </c>
      <c r="D316" s="2">
        <v>717.07221930995206</v>
      </c>
      <c r="E316" s="2">
        <v>4670038.95</v>
      </c>
      <c r="F316" s="7">
        <v>15141022.210000001</v>
      </c>
      <c r="G316" s="7">
        <v>177596.73</v>
      </c>
      <c r="H316" s="7">
        <v>46330.080000000002</v>
      </c>
      <c r="I316" s="155">
        <v>5078367.32</v>
      </c>
      <c r="J316" s="155">
        <v>6100586.0300000003</v>
      </c>
      <c r="K316" s="155">
        <v>1412682.23</v>
      </c>
      <c r="L316" s="155">
        <v>4269658.43</v>
      </c>
      <c r="M316" s="26">
        <v>1462.7476582752463</v>
      </c>
      <c r="N316" s="26">
        <v>1757.1824500259231</v>
      </c>
      <c r="O316" s="26">
        <v>406.90196151852064</v>
      </c>
      <c r="P316" s="26">
        <v>1229.8111728786218</v>
      </c>
      <c r="Q316" s="154">
        <v>3471.8</v>
      </c>
    </row>
    <row r="317" spans="1:17" x14ac:dyDescent="0.2">
      <c r="A317" s="8" t="s">
        <v>646</v>
      </c>
      <c r="B317" s="7">
        <v>2012</v>
      </c>
      <c r="C317" s="7" t="s">
        <v>647</v>
      </c>
      <c r="D317" s="2">
        <v>515.55439068100418</v>
      </c>
      <c r="E317" s="2">
        <v>2497855.6</v>
      </c>
      <c r="F317" s="7">
        <v>13827155.93</v>
      </c>
      <c r="G317" s="7">
        <v>249594.54</v>
      </c>
      <c r="H317" s="7">
        <v>123626.78</v>
      </c>
      <c r="I317" s="155">
        <v>5138508.21</v>
      </c>
      <c r="J317" s="155">
        <v>5317594.75</v>
      </c>
      <c r="K317" s="155">
        <v>1443882.24</v>
      </c>
      <c r="L317" s="155">
        <v>2429408.27</v>
      </c>
      <c r="M317" s="26">
        <v>1417.5312374998966</v>
      </c>
      <c r="N317" s="26">
        <v>1466.9348298054881</v>
      </c>
      <c r="O317" s="26">
        <v>398.31563847424945</v>
      </c>
      <c r="P317" s="26">
        <v>670.18713810045324</v>
      </c>
      <c r="Q317" s="154">
        <v>3624.97</v>
      </c>
    </row>
    <row r="318" spans="1:17" x14ac:dyDescent="0.2">
      <c r="A318" s="8" t="s">
        <v>648</v>
      </c>
      <c r="B318" s="7">
        <v>2012</v>
      </c>
      <c r="C318" s="7" t="s">
        <v>649</v>
      </c>
      <c r="D318" s="2">
        <v>93.545161290322596</v>
      </c>
      <c r="E318" s="2">
        <v>333820.59999999998</v>
      </c>
      <c r="F318" s="7">
        <v>3159558.92</v>
      </c>
      <c r="G318" s="7">
        <v>42285.440000000002</v>
      </c>
      <c r="H318" s="7">
        <v>1830.93</v>
      </c>
      <c r="I318" s="155">
        <v>1062600.3899999999</v>
      </c>
      <c r="J318" s="155">
        <v>1153159.1000000001</v>
      </c>
      <c r="K318" s="155">
        <v>93337.95</v>
      </c>
      <c r="L318" s="155">
        <v>619917.31000000006</v>
      </c>
      <c r="M318" s="26">
        <v>1145.2286360941962</v>
      </c>
      <c r="N318" s="26">
        <v>1242.8292288624239</v>
      </c>
      <c r="O318" s="26">
        <v>100.59594762084389</v>
      </c>
      <c r="P318" s="26">
        <v>668.12233658457728</v>
      </c>
      <c r="Q318" s="154">
        <v>927.85</v>
      </c>
    </row>
    <row r="319" spans="1:17" x14ac:dyDescent="0.2">
      <c r="A319" s="8" t="s">
        <v>650</v>
      </c>
      <c r="B319" s="7">
        <v>2012</v>
      </c>
      <c r="C319" s="7" t="s">
        <v>651</v>
      </c>
      <c r="D319" s="2">
        <v>86.966292134831463</v>
      </c>
      <c r="E319" s="2">
        <v>140699.16</v>
      </c>
      <c r="F319" s="7">
        <v>3950148.35</v>
      </c>
      <c r="G319" s="7">
        <v>95668.54</v>
      </c>
      <c r="H319" s="7">
        <v>29377.19</v>
      </c>
      <c r="I319" s="155">
        <v>1099866.71</v>
      </c>
      <c r="J319" s="155">
        <v>1516921.94</v>
      </c>
      <c r="K319" s="155">
        <v>16241.42</v>
      </c>
      <c r="L319" s="155">
        <v>499273.39</v>
      </c>
      <c r="M319" s="26">
        <v>1245.8279076616373</v>
      </c>
      <c r="N319" s="26">
        <v>1718.2297358524759</v>
      </c>
      <c r="O319" s="26">
        <v>18.396787639889446</v>
      </c>
      <c r="P319" s="26">
        <v>565.53100222010778</v>
      </c>
      <c r="Q319" s="154">
        <v>882.84</v>
      </c>
    </row>
    <row r="320" spans="1:17" x14ac:dyDescent="0.2">
      <c r="A320" s="8" t="s">
        <v>652</v>
      </c>
      <c r="B320" s="7">
        <v>2012</v>
      </c>
      <c r="C320" s="7" t="s">
        <v>653</v>
      </c>
      <c r="D320" s="2">
        <v>121.86282737450416</v>
      </c>
      <c r="E320" s="2">
        <v>397128.42</v>
      </c>
      <c r="F320" s="7">
        <v>4244778.8099999996</v>
      </c>
      <c r="G320" s="7">
        <v>226923.7</v>
      </c>
      <c r="H320" s="7">
        <v>0</v>
      </c>
      <c r="I320" s="155">
        <v>1659999.8</v>
      </c>
      <c r="J320" s="155">
        <v>2226683.27</v>
      </c>
      <c r="K320" s="155">
        <v>303707.46000000002</v>
      </c>
      <c r="L320" s="155">
        <v>1299360.8500000001</v>
      </c>
      <c r="M320" s="26">
        <v>1379.3789470185468</v>
      </c>
      <c r="N320" s="26">
        <v>1850.2652978129361</v>
      </c>
      <c r="O320" s="26">
        <v>252.36610051186599</v>
      </c>
      <c r="P320" s="26">
        <v>1079.7055524164064</v>
      </c>
      <c r="Q320" s="154">
        <v>1203.44</v>
      </c>
    </row>
    <row r="321" spans="1:17" x14ac:dyDescent="0.2">
      <c r="A321" s="8" t="s">
        <v>654</v>
      </c>
      <c r="B321" s="7">
        <v>2012</v>
      </c>
      <c r="C321" s="7" t="s">
        <v>655</v>
      </c>
      <c r="D321" s="2">
        <v>151.31252522470896</v>
      </c>
      <c r="E321" s="2">
        <v>906879.31</v>
      </c>
      <c r="F321" s="7">
        <v>8888336.0099999998</v>
      </c>
      <c r="G321" s="7">
        <v>138611.87</v>
      </c>
      <c r="H321" s="7">
        <v>5582.05</v>
      </c>
      <c r="I321" s="155">
        <v>2334010.98</v>
      </c>
      <c r="J321" s="155">
        <v>2782022.82</v>
      </c>
      <c r="K321" s="155">
        <v>143838.35</v>
      </c>
      <c r="L321" s="155">
        <v>2035922.13</v>
      </c>
      <c r="M321" s="26">
        <v>1453.8501183505668</v>
      </c>
      <c r="N321" s="26">
        <v>1732.9156721066399</v>
      </c>
      <c r="O321" s="26">
        <v>89.596580291516133</v>
      </c>
      <c r="P321" s="26">
        <v>1268.1712532702129</v>
      </c>
      <c r="Q321" s="154">
        <v>1605.4</v>
      </c>
    </row>
    <row r="322" spans="1:17" x14ac:dyDescent="0.2">
      <c r="A322" s="8" t="s">
        <v>656</v>
      </c>
      <c r="B322" s="7">
        <v>2012</v>
      </c>
      <c r="C322" s="7" t="s">
        <v>657</v>
      </c>
      <c r="D322" s="2">
        <v>358.21075268817208</v>
      </c>
      <c r="E322" s="2">
        <v>1642823.69</v>
      </c>
      <c r="F322" s="7">
        <v>9159992.0399999991</v>
      </c>
      <c r="G322" s="7">
        <v>354357.2</v>
      </c>
      <c r="H322" s="7">
        <v>8234.9699999999993</v>
      </c>
      <c r="I322" s="155">
        <v>2242500.4500000002</v>
      </c>
      <c r="J322" s="155">
        <v>3340234.03</v>
      </c>
      <c r="K322" s="155">
        <v>58824.63</v>
      </c>
      <c r="L322" s="155">
        <v>2534516.4</v>
      </c>
      <c r="M322" s="26">
        <v>780.17111575753995</v>
      </c>
      <c r="N322" s="26">
        <v>1162.0751782129648</v>
      </c>
      <c r="O322" s="26">
        <v>20.465225423310152</v>
      </c>
      <c r="P322" s="26">
        <v>881.76414309918346</v>
      </c>
      <c r="Q322" s="154">
        <v>2874.37</v>
      </c>
    </row>
    <row r="323" spans="1:17" x14ac:dyDescent="0.2">
      <c r="A323" s="8" t="s">
        <v>658</v>
      </c>
      <c r="B323" s="7">
        <v>2012</v>
      </c>
      <c r="C323" s="7" t="s">
        <v>659</v>
      </c>
      <c r="D323" s="2">
        <v>669.06216759800873</v>
      </c>
      <c r="E323" s="2">
        <v>3797148.91</v>
      </c>
      <c r="F323" s="7">
        <v>16605818.390000001</v>
      </c>
      <c r="G323" s="7">
        <v>548515.03</v>
      </c>
      <c r="H323" s="7">
        <v>95105.77</v>
      </c>
      <c r="I323" s="155">
        <v>4442559.43</v>
      </c>
      <c r="J323" s="155">
        <v>5087448.6399999997</v>
      </c>
      <c r="K323" s="155">
        <v>411791.46</v>
      </c>
      <c r="L323" s="155">
        <v>4057455.97</v>
      </c>
      <c r="M323" s="26">
        <v>1050.0196008915295</v>
      </c>
      <c r="N323" s="26">
        <v>1202.4421675612689</v>
      </c>
      <c r="O323" s="26">
        <v>97.328828413611191</v>
      </c>
      <c r="P323" s="26">
        <v>958.99860550753613</v>
      </c>
      <c r="Q323" s="154">
        <v>4230.93</v>
      </c>
    </row>
    <row r="324" spans="1:17" x14ac:dyDescent="0.2">
      <c r="A324" s="8" t="s">
        <v>660</v>
      </c>
      <c r="B324" s="7">
        <v>2012</v>
      </c>
      <c r="C324" s="7" t="s">
        <v>661</v>
      </c>
      <c r="D324" s="2">
        <v>72.801087712663346</v>
      </c>
      <c r="E324" s="2">
        <v>398134.22</v>
      </c>
      <c r="F324" s="7">
        <v>3432213.02</v>
      </c>
      <c r="G324" s="7">
        <v>121130.01</v>
      </c>
      <c r="H324" s="7">
        <v>59962.68</v>
      </c>
      <c r="I324" s="155">
        <v>789223.46</v>
      </c>
      <c r="J324" s="155">
        <v>937513.94</v>
      </c>
      <c r="K324" s="155">
        <v>227585.33</v>
      </c>
      <c r="L324" s="155">
        <v>503222.43</v>
      </c>
      <c r="M324" s="26">
        <v>939.58529471290638</v>
      </c>
      <c r="N324" s="26">
        <v>1116.1278855197208</v>
      </c>
      <c r="O324" s="26">
        <v>270.94459325928307</v>
      </c>
      <c r="P324" s="26">
        <v>599.09571770420371</v>
      </c>
      <c r="Q324" s="154">
        <v>839.97</v>
      </c>
    </row>
    <row r="325" spans="1:17" x14ac:dyDescent="0.2">
      <c r="A325" s="8" t="s">
        <v>662</v>
      </c>
      <c r="B325" s="7">
        <v>2012</v>
      </c>
      <c r="C325" s="7" t="s">
        <v>663</v>
      </c>
      <c r="D325" s="2">
        <v>304.28614870812402</v>
      </c>
      <c r="E325" s="2">
        <v>1543450.88</v>
      </c>
      <c r="F325" s="7">
        <v>7736616.1500000004</v>
      </c>
      <c r="G325" s="7">
        <v>524245.34</v>
      </c>
      <c r="H325" s="7">
        <v>97768.9</v>
      </c>
      <c r="I325" s="155">
        <v>2208826.9700000002</v>
      </c>
      <c r="J325" s="155">
        <v>3607736.5</v>
      </c>
      <c r="K325" s="155">
        <v>716858.98</v>
      </c>
      <c r="L325" s="155">
        <v>2115187.91</v>
      </c>
      <c r="M325" s="26">
        <v>948.87812683915934</v>
      </c>
      <c r="N325" s="26">
        <v>1549.8281661461533</v>
      </c>
      <c r="O325" s="26">
        <v>307.95160299506409</v>
      </c>
      <c r="P325" s="26">
        <v>908.65222546319967</v>
      </c>
      <c r="Q325" s="154">
        <v>2327.83</v>
      </c>
    </row>
    <row r="326" spans="1:17" x14ac:dyDescent="0.2">
      <c r="A326" s="8" t="s">
        <v>664</v>
      </c>
      <c r="B326" s="7">
        <v>2012</v>
      </c>
      <c r="C326" s="7" t="s">
        <v>665</v>
      </c>
      <c r="D326" s="2">
        <v>283.39674033149174</v>
      </c>
      <c r="E326" s="2">
        <v>548172.39</v>
      </c>
      <c r="F326" s="7">
        <v>4400830.9000000004</v>
      </c>
      <c r="G326" s="7">
        <v>144798.14000000001</v>
      </c>
      <c r="H326" s="7">
        <v>50648.98</v>
      </c>
      <c r="I326" s="155">
        <v>1449622.64</v>
      </c>
      <c r="J326" s="155">
        <v>1665116.66</v>
      </c>
      <c r="K326" s="155">
        <v>148345.85</v>
      </c>
      <c r="L326" s="155">
        <v>965487.17</v>
      </c>
      <c r="M326" s="26">
        <v>990.93749316416915</v>
      </c>
      <c r="N326" s="26">
        <v>1138.2455567100512</v>
      </c>
      <c r="O326" s="26">
        <v>101.40671141857158</v>
      </c>
      <c r="P326" s="26">
        <v>659.99068276276932</v>
      </c>
      <c r="Q326" s="154">
        <v>1462.88</v>
      </c>
    </row>
    <row r="327" spans="1:17" x14ac:dyDescent="0.2">
      <c r="A327" s="8" t="s">
        <v>666</v>
      </c>
      <c r="B327" s="7">
        <v>2012</v>
      </c>
      <c r="C327" s="7" t="s">
        <v>667</v>
      </c>
      <c r="D327" s="2">
        <v>673.86364695340512</v>
      </c>
      <c r="E327" s="2">
        <v>2970933.86</v>
      </c>
      <c r="F327" s="7">
        <v>19963368.18</v>
      </c>
      <c r="G327" s="7">
        <v>390430.94</v>
      </c>
      <c r="H327" s="7">
        <v>2282.9</v>
      </c>
      <c r="I327" s="155">
        <v>5345015.33</v>
      </c>
      <c r="J327" s="155">
        <v>6778034.6399999997</v>
      </c>
      <c r="K327" s="155">
        <v>2055151.88</v>
      </c>
      <c r="L327" s="155">
        <v>5519884.2699999996</v>
      </c>
      <c r="M327" s="26">
        <v>1041.8280238265093</v>
      </c>
      <c r="N327" s="26">
        <v>1321.1461517770474</v>
      </c>
      <c r="O327" s="26">
        <v>400.58160540462569</v>
      </c>
      <c r="P327" s="26">
        <v>1075.9127459350307</v>
      </c>
      <c r="Q327" s="154">
        <v>5130.42</v>
      </c>
    </row>
    <row r="328" spans="1:17" x14ac:dyDescent="0.2">
      <c r="A328" s="8" t="s">
        <v>668</v>
      </c>
      <c r="B328" s="7">
        <v>2012</v>
      </c>
      <c r="C328" s="7" t="s">
        <v>669</v>
      </c>
      <c r="D328" s="2">
        <v>862.54481958036331</v>
      </c>
      <c r="E328" s="2">
        <v>5934360.3099999996</v>
      </c>
      <c r="F328" s="7">
        <v>43369844.5</v>
      </c>
      <c r="G328" s="7">
        <v>988527.08</v>
      </c>
      <c r="H328" s="7">
        <v>153680.44</v>
      </c>
      <c r="I328" s="155">
        <v>8379932</v>
      </c>
      <c r="J328" s="155">
        <v>15587833.57</v>
      </c>
      <c r="K328" s="155">
        <v>7184307.0899999999</v>
      </c>
      <c r="L328" s="155">
        <v>8791761.9800000004</v>
      </c>
      <c r="M328" s="26">
        <v>798.43475029655701</v>
      </c>
      <c r="N328" s="26">
        <v>1485.1991643998113</v>
      </c>
      <c r="O328" s="26">
        <v>684.5163466073393</v>
      </c>
      <c r="P328" s="26">
        <v>837.67365667979936</v>
      </c>
      <c r="Q328" s="154">
        <v>10495.45</v>
      </c>
    </row>
    <row r="329" spans="1:17" x14ac:dyDescent="0.2">
      <c r="A329" s="8" t="s">
        <v>670</v>
      </c>
      <c r="B329" s="7">
        <v>2012</v>
      </c>
      <c r="C329" s="7" t="s">
        <v>671</v>
      </c>
      <c r="D329" s="2">
        <v>697.603629178147</v>
      </c>
      <c r="E329" s="2">
        <v>2828985.46</v>
      </c>
      <c r="F329" s="7">
        <v>13741166.539999999</v>
      </c>
      <c r="G329" s="7">
        <v>285801.46000000002</v>
      </c>
      <c r="H329" s="7">
        <v>110844.1</v>
      </c>
      <c r="I329" s="155">
        <v>4701883.49</v>
      </c>
      <c r="J329" s="155">
        <v>5778847.6200000001</v>
      </c>
      <c r="K329" s="155">
        <v>449488.55</v>
      </c>
      <c r="L329" s="155">
        <v>4506902.66</v>
      </c>
      <c r="M329" s="26">
        <v>1173.7161668305882</v>
      </c>
      <c r="N329" s="26">
        <v>1442.5552848491504</v>
      </c>
      <c r="O329" s="26">
        <v>112.20439193405858</v>
      </c>
      <c r="P329" s="26">
        <v>1125.0437246316758</v>
      </c>
      <c r="Q329" s="154">
        <v>4005.98</v>
      </c>
    </row>
    <row r="330" spans="1:17" x14ac:dyDescent="0.2">
      <c r="A330" s="8" t="s">
        <v>672</v>
      </c>
      <c r="B330" s="7">
        <v>2012</v>
      </c>
      <c r="C330" s="7" t="s">
        <v>673</v>
      </c>
      <c r="D330" s="2">
        <v>84.45691634773101</v>
      </c>
      <c r="E330" s="2">
        <v>373335.29</v>
      </c>
      <c r="F330" s="7">
        <v>3210442.61</v>
      </c>
      <c r="G330" s="7">
        <v>58051.77</v>
      </c>
      <c r="H330" s="7">
        <v>7679.22</v>
      </c>
      <c r="I330" s="155">
        <v>1128905.1000000001</v>
      </c>
      <c r="J330" s="155">
        <v>1363224.64</v>
      </c>
      <c r="K330" s="155">
        <v>77315.17</v>
      </c>
      <c r="L330" s="155">
        <v>638373.68000000005</v>
      </c>
      <c r="M330" s="26">
        <v>1359.9463926467577</v>
      </c>
      <c r="N330" s="26">
        <v>1642.2216814639023</v>
      </c>
      <c r="O330" s="26">
        <v>93.138463577116283</v>
      </c>
      <c r="P330" s="26">
        <v>769.0229969522112</v>
      </c>
      <c r="Q330" s="154">
        <v>830.11</v>
      </c>
    </row>
    <row r="331" spans="1:17" x14ac:dyDescent="0.2">
      <c r="A331" s="8" t="s">
        <v>674</v>
      </c>
      <c r="B331" s="7">
        <v>2012</v>
      </c>
      <c r="C331" s="7" t="s">
        <v>675</v>
      </c>
      <c r="D331" s="2">
        <v>415.06134676129795</v>
      </c>
      <c r="E331" s="2">
        <v>2187778.2000000002</v>
      </c>
      <c r="F331" s="7">
        <v>13757337.57</v>
      </c>
      <c r="G331" s="7">
        <v>193713.16</v>
      </c>
      <c r="H331" s="7">
        <v>119.7</v>
      </c>
      <c r="I331" s="155">
        <v>3325693.93</v>
      </c>
      <c r="J331" s="155">
        <v>4054632.81</v>
      </c>
      <c r="K331" s="155">
        <v>431149.74</v>
      </c>
      <c r="L331" s="155">
        <v>2258942.41</v>
      </c>
      <c r="M331" s="26">
        <v>1255.2251498407236</v>
      </c>
      <c r="N331" s="26">
        <v>1530.3504121563476</v>
      </c>
      <c r="O331" s="26">
        <v>162.72994700846959</v>
      </c>
      <c r="P331" s="26">
        <v>852.59840044084126</v>
      </c>
      <c r="Q331" s="154">
        <v>2649.48</v>
      </c>
    </row>
    <row r="332" spans="1:17" x14ac:dyDescent="0.2">
      <c r="A332" s="8" t="s">
        <v>676</v>
      </c>
      <c r="B332" s="7">
        <v>2012</v>
      </c>
      <c r="C332" s="7" t="s">
        <v>677</v>
      </c>
      <c r="D332" s="2">
        <v>758.72222293322022</v>
      </c>
      <c r="E332" s="2">
        <v>4511052.97</v>
      </c>
      <c r="F332" s="7">
        <v>22283424.170000002</v>
      </c>
      <c r="G332" s="7">
        <v>300665.75</v>
      </c>
      <c r="H332" s="7">
        <v>325866.23999999999</v>
      </c>
      <c r="I332" s="155">
        <v>6276248.54</v>
      </c>
      <c r="J332" s="155">
        <v>9656061.1199999992</v>
      </c>
      <c r="K332" s="155">
        <v>823277.89</v>
      </c>
      <c r="L332" s="155">
        <v>8266207.0599999996</v>
      </c>
      <c r="M332" s="26">
        <v>1499.4071746993422</v>
      </c>
      <c r="N332" s="26">
        <v>2306.8505382457915</v>
      </c>
      <c r="O332" s="26">
        <v>196.68258310199676</v>
      </c>
      <c r="P332" s="26">
        <v>1974.8118791539055</v>
      </c>
      <c r="Q332" s="154">
        <v>4185.82</v>
      </c>
    </row>
    <row r="333" spans="1:17" x14ac:dyDescent="0.2">
      <c r="A333" s="8" t="s">
        <v>678</v>
      </c>
      <c r="B333" s="7">
        <v>2012</v>
      </c>
      <c r="C333" s="7" t="s">
        <v>679</v>
      </c>
      <c r="D333" s="2">
        <v>347.97716579696691</v>
      </c>
      <c r="E333" s="2">
        <v>886768.46</v>
      </c>
      <c r="F333" s="7">
        <v>7219898.4500000002</v>
      </c>
      <c r="G333" s="7">
        <v>210742.29</v>
      </c>
      <c r="H333" s="7">
        <v>80174.34</v>
      </c>
      <c r="I333" s="155">
        <v>2164034.6800000002</v>
      </c>
      <c r="J333" s="155">
        <v>2750814.97</v>
      </c>
      <c r="K333" s="155">
        <v>166322.67000000001</v>
      </c>
      <c r="L333" s="155">
        <v>2103990.5299999998</v>
      </c>
      <c r="M333" s="26">
        <v>936.56017865334854</v>
      </c>
      <c r="N333" s="26">
        <v>1190.5094606642374</v>
      </c>
      <c r="O333" s="26">
        <v>71.981836044005519</v>
      </c>
      <c r="P333" s="26">
        <v>910.57401476659936</v>
      </c>
      <c r="Q333" s="154">
        <v>2310.62</v>
      </c>
    </row>
    <row r="334" spans="1:17" x14ac:dyDescent="0.2">
      <c r="A334" s="8" t="s">
        <v>680</v>
      </c>
      <c r="B334" s="7">
        <v>2012</v>
      </c>
      <c r="C334" s="7" t="s">
        <v>681</v>
      </c>
      <c r="D334" s="2">
        <v>80.520655848546326</v>
      </c>
      <c r="E334" s="2">
        <v>354864.78</v>
      </c>
      <c r="F334" s="7">
        <v>2711598.49</v>
      </c>
      <c r="G334" s="7">
        <v>55604.66</v>
      </c>
      <c r="H334" s="7">
        <v>0</v>
      </c>
      <c r="I334" s="155">
        <v>809262.72</v>
      </c>
      <c r="J334" s="155">
        <v>965596.62</v>
      </c>
      <c r="K334" s="155">
        <v>18905.259999999998</v>
      </c>
      <c r="L334" s="155">
        <v>549036.56000000006</v>
      </c>
      <c r="M334" s="26">
        <v>1143.3494207403221</v>
      </c>
      <c r="N334" s="26">
        <v>1364.2224074597345</v>
      </c>
      <c r="O334" s="26">
        <v>26.709889799378356</v>
      </c>
      <c r="P334" s="26">
        <v>775.69448996891788</v>
      </c>
      <c r="Q334" s="154">
        <v>707.8</v>
      </c>
    </row>
    <row r="335" spans="1:17" x14ac:dyDescent="0.2">
      <c r="A335" s="8" t="s">
        <v>682</v>
      </c>
      <c r="B335" s="7">
        <v>2012</v>
      </c>
      <c r="C335" s="7" t="s">
        <v>683</v>
      </c>
      <c r="D335" s="2">
        <v>77.103107344632789</v>
      </c>
      <c r="E335" s="2">
        <v>244700.32</v>
      </c>
      <c r="F335" s="7">
        <v>2821636.68</v>
      </c>
      <c r="G335" s="7">
        <v>66944.42</v>
      </c>
      <c r="H335" s="7">
        <v>0</v>
      </c>
      <c r="I335" s="155">
        <v>659268.78</v>
      </c>
      <c r="J335" s="155">
        <v>625263.77</v>
      </c>
      <c r="K335" s="155">
        <v>46441.41</v>
      </c>
      <c r="L335" s="155">
        <v>266336.53999999998</v>
      </c>
      <c r="M335" s="26">
        <v>746.10832833489894</v>
      </c>
      <c r="N335" s="26">
        <v>707.62414413598765</v>
      </c>
      <c r="O335" s="26">
        <v>52.558719344507196</v>
      </c>
      <c r="P335" s="26">
        <v>301.41865755254014</v>
      </c>
      <c r="Q335" s="154">
        <v>883.61</v>
      </c>
    </row>
    <row r="336" spans="1:17" x14ac:dyDescent="0.2">
      <c r="A336" s="8" t="s">
        <v>684</v>
      </c>
      <c r="B336" s="7">
        <v>2012</v>
      </c>
      <c r="C336" s="7" t="s">
        <v>685</v>
      </c>
      <c r="D336" s="2">
        <v>113.20548749546936</v>
      </c>
      <c r="E336" s="2">
        <v>524786.25</v>
      </c>
      <c r="F336" s="7">
        <v>3241981.77</v>
      </c>
      <c r="G336" s="7">
        <v>91128.1</v>
      </c>
      <c r="H336" s="7">
        <v>14948.59</v>
      </c>
      <c r="I336" s="155">
        <v>1206954.8899999999</v>
      </c>
      <c r="J336" s="155">
        <v>1958730.23</v>
      </c>
      <c r="K336" s="155">
        <v>119938.31</v>
      </c>
      <c r="L336" s="155">
        <v>570352.4</v>
      </c>
      <c r="M336" s="26">
        <v>1340.0931438405596</v>
      </c>
      <c r="N336" s="26">
        <v>2174.7962360517404</v>
      </c>
      <c r="O336" s="26">
        <v>133.16861155831899</v>
      </c>
      <c r="P336" s="26">
        <v>633.26752900682845</v>
      </c>
      <c r="Q336" s="154">
        <v>900.65</v>
      </c>
    </row>
    <row r="337" spans="1:17" x14ac:dyDescent="0.2">
      <c r="A337" s="8" t="s">
        <v>686</v>
      </c>
      <c r="B337" s="7">
        <v>2012</v>
      </c>
      <c r="C337" s="7" t="s">
        <v>687</v>
      </c>
      <c r="D337" s="2">
        <v>752.20178774394583</v>
      </c>
      <c r="E337" s="2">
        <v>5458125.2000000002</v>
      </c>
      <c r="F337" s="7">
        <v>28747559.75</v>
      </c>
      <c r="G337" s="7">
        <v>467508.08</v>
      </c>
      <c r="H337" s="7">
        <v>447795.6</v>
      </c>
      <c r="I337" s="155">
        <v>6336376.7199999997</v>
      </c>
      <c r="J337" s="155">
        <v>8750096.0600000005</v>
      </c>
      <c r="K337" s="155">
        <v>2422817.63</v>
      </c>
      <c r="L337" s="155">
        <v>5467232.3700000001</v>
      </c>
      <c r="M337" s="26">
        <v>896.91304169350212</v>
      </c>
      <c r="N337" s="26">
        <v>1238.5746017141685</v>
      </c>
      <c r="O337" s="26">
        <v>342.94942141507363</v>
      </c>
      <c r="P337" s="26">
        <v>773.88580750638744</v>
      </c>
      <c r="Q337" s="154">
        <v>7064.65</v>
      </c>
    </row>
    <row r="338" spans="1:17" x14ac:dyDescent="0.2">
      <c r="A338" s="8" t="s">
        <v>688</v>
      </c>
      <c r="B338" s="7">
        <v>2012</v>
      </c>
      <c r="C338" s="7" t="s">
        <v>689</v>
      </c>
      <c r="D338" s="2">
        <v>193.11207903415919</v>
      </c>
      <c r="E338" s="2">
        <v>1563776.13</v>
      </c>
      <c r="F338" s="7">
        <v>6207970.8099999996</v>
      </c>
      <c r="G338" s="7">
        <v>242884.31</v>
      </c>
      <c r="H338" s="7">
        <v>118366.93</v>
      </c>
      <c r="I338" s="155">
        <v>1340356.6599999999</v>
      </c>
      <c r="J338" s="155">
        <v>3473336.76</v>
      </c>
      <c r="K338" s="155">
        <v>98035.75</v>
      </c>
      <c r="L338" s="155">
        <v>1024202.83</v>
      </c>
      <c r="M338" s="26">
        <v>765.93559852796625</v>
      </c>
      <c r="N338" s="26">
        <v>1984.8092299252553</v>
      </c>
      <c r="O338" s="26">
        <v>56.021709067635832</v>
      </c>
      <c r="P338" s="26">
        <v>585.27213764886051</v>
      </c>
      <c r="Q338" s="154">
        <v>1749.96</v>
      </c>
    </row>
    <row r="339" spans="1:17" x14ac:dyDescent="0.2">
      <c r="A339" s="8" t="s">
        <v>690</v>
      </c>
      <c r="B339" s="7">
        <v>2012</v>
      </c>
      <c r="C339" s="7" t="s">
        <v>691</v>
      </c>
      <c r="D339" s="2">
        <v>917.22279551299107</v>
      </c>
      <c r="E339" s="2">
        <v>5628338.1600000001</v>
      </c>
      <c r="F339" s="7">
        <v>39389104.219999999</v>
      </c>
      <c r="G339" s="7">
        <v>483736.26</v>
      </c>
      <c r="H339" s="7">
        <v>155570.59</v>
      </c>
      <c r="I339" s="155">
        <v>10642566.140000001</v>
      </c>
      <c r="J339" s="155">
        <v>14811589.93</v>
      </c>
      <c r="K339" s="155">
        <v>4831438.37</v>
      </c>
      <c r="L339" s="155">
        <v>9088574.7400000002</v>
      </c>
      <c r="M339" s="26">
        <v>1324.4814598638254</v>
      </c>
      <c r="N339" s="26">
        <v>1843.3219954027679</v>
      </c>
      <c r="O339" s="26">
        <v>601.27890786495038</v>
      </c>
      <c r="P339" s="26">
        <v>1131.0851707534407</v>
      </c>
      <c r="Q339" s="154">
        <v>8035.27</v>
      </c>
    </row>
    <row r="340" spans="1:17" x14ac:dyDescent="0.2">
      <c r="A340" s="8" t="s">
        <v>692</v>
      </c>
      <c r="B340" s="7">
        <v>2012</v>
      </c>
      <c r="C340" s="7" t="s">
        <v>693</v>
      </c>
      <c r="D340" s="2">
        <v>84.405213845596222</v>
      </c>
      <c r="E340" s="2">
        <v>427331.88</v>
      </c>
      <c r="F340" s="7">
        <v>4830770.2300000004</v>
      </c>
      <c r="G340" s="7">
        <v>54911.62</v>
      </c>
      <c r="H340" s="7">
        <v>10852.92</v>
      </c>
      <c r="I340" s="155">
        <v>1313014.53</v>
      </c>
      <c r="J340" s="155">
        <v>1731300.9</v>
      </c>
      <c r="K340" s="155">
        <v>178426.75</v>
      </c>
      <c r="L340" s="155">
        <v>1033626.41</v>
      </c>
      <c r="M340" s="26">
        <v>1126.8479759013396</v>
      </c>
      <c r="N340" s="26">
        <v>1485.8273615914727</v>
      </c>
      <c r="O340" s="26">
        <v>153.12840603839652</v>
      </c>
      <c r="P340" s="26">
        <v>887.07306837394117</v>
      </c>
      <c r="Q340" s="154">
        <v>1165.21</v>
      </c>
    </row>
    <row r="341" spans="1:17" x14ac:dyDescent="0.2">
      <c r="A341" s="8" t="s">
        <v>694</v>
      </c>
      <c r="B341" s="7">
        <v>2012</v>
      </c>
      <c r="C341" s="7" t="s">
        <v>695</v>
      </c>
      <c r="D341" s="2">
        <v>280.96834055487813</v>
      </c>
      <c r="E341" s="2">
        <v>1464972.52</v>
      </c>
      <c r="F341" s="7">
        <v>7674133.6900000004</v>
      </c>
      <c r="G341" s="7">
        <v>284536.39</v>
      </c>
      <c r="H341" s="7">
        <v>111167.95</v>
      </c>
      <c r="I341" s="155">
        <v>3293044.97</v>
      </c>
      <c r="J341" s="155">
        <v>4016371.99</v>
      </c>
      <c r="K341" s="155">
        <v>532019.18000000005</v>
      </c>
      <c r="L341" s="155">
        <v>1997367.02</v>
      </c>
      <c r="M341" s="26">
        <v>1330.4103369007075</v>
      </c>
      <c r="N341" s="26">
        <v>1622.6388831654688</v>
      </c>
      <c r="O341" s="26">
        <v>214.93900719534909</v>
      </c>
      <c r="P341" s="26">
        <v>806.94850941940274</v>
      </c>
      <c r="Q341" s="154">
        <v>2475.21</v>
      </c>
    </row>
    <row r="342" spans="1:17" x14ac:dyDescent="0.2">
      <c r="A342" s="8" t="s">
        <v>696</v>
      </c>
      <c r="B342" s="7">
        <v>2012</v>
      </c>
      <c r="C342" s="7" t="s">
        <v>697</v>
      </c>
      <c r="D342" s="2">
        <v>708.21679474083965</v>
      </c>
      <c r="E342" s="2">
        <v>3133127.8</v>
      </c>
      <c r="F342" s="7">
        <v>18770187.850000001</v>
      </c>
      <c r="G342" s="7">
        <v>230109.41</v>
      </c>
      <c r="H342" s="7">
        <v>0</v>
      </c>
      <c r="I342" s="155">
        <v>4444521.6500000004</v>
      </c>
      <c r="J342" s="155">
        <v>6161101.7599999998</v>
      </c>
      <c r="K342" s="155">
        <v>353029.69</v>
      </c>
      <c r="L342" s="155">
        <v>4909423.38</v>
      </c>
      <c r="M342" s="26">
        <v>838.50830391792488</v>
      </c>
      <c r="N342" s="26">
        <v>1162.3601804354673</v>
      </c>
      <c r="O342" s="26">
        <v>66.602966506996495</v>
      </c>
      <c r="P342" s="26">
        <v>926.21717155518991</v>
      </c>
      <c r="Q342" s="154">
        <v>5300.51</v>
      </c>
    </row>
    <row r="343" spans="1:17" x14ac:dyDescent="0.2">
      <c r="A343" s="8" t="s">
        <v>698</v>
      </c>
      <c r="B343" s="7">
        <v>2012</v>
      </c>
      <c r="C343" s="7" t="s">
        <v>699</v>
      </c>
      <c r="D343" s="2">
        <v>0</v>
      </c>
      <c r="E343" s="2">
        <v>0</v>
      </c>
      <c r="F343" s="7">
        <v>0</v>
      </c>
      <c r="G343" s="7">
        <v>0</v>
      </c>
      <c r="H343" s="7">
        <v>0</v>
      </c>
      <c r="I343" s="155">
        <v>25460.87</v>
      </c>
      <c r="J343" s="155">
        <v>4894.71</v>
      </c>
      <c r="K343" s="155">
        <v>0</v>
      </c>
      <c r="L343" s="155">
        <v>0</v>
      </c>
      <c r="M343" s="26" t="e">
        <v>#DIV/0!</v>
      </c>
      <c r="N343" s="26" t="e">
        <v>#DIV/0!</v>
      </c>
      <c r="O343" s="26" t="e">
        <v>#DIV/0!</v>
      </c>
      <c r="P343" s="26" t="e">
        <v>#DIV/0!</v>
      </c>
      <c r="Q343" s="154">
        <v>0</v>
      </c>
    </row>
    <row r="344" spans="1:17" x14ac:dyDescent="0.2">
      <c r="A344" s="8" t="s">
        <v>700</v>
      </c>
      <c r="B344" s="7">
        <v>2012</v>
      </c>
      <c r="C344" s="7" t="s">
        <v>701</v>
      </c>
      <c r="D344" s="2">
        <v>926.01769654546729</v>
      </c>
      <c r="E344" s="2">
        <v>5166091.6900000004</v>
      </c>
      <c r="F344" s="7">
        <v>25555136.710000001</v>
      </c>
      <c r="G344" s="7">
        <v>360564.6</v>
      </c>
      <c r="H344" s="7">
        <v>0</v>
      </c>
      <c r="I344" s="155">
        <v>8948248.4000000004</v>
      </c>
      <c r="J344" s="155">
        <v>8979936.75</v>
      </c>
      <c r="K344" s="155">
        <v>2070418.61</v>
      </c>
      <c r="L344" s="155">
        <v>4055163.72</v>
      </c>
      <c r="M344" s="26">
        <v>1439.9493424821542</v>
      </c>
      <c r="N344" s="26">
        <v>1445.0486218837902</v>
      </c>
      <c r="O344" s="26">
        <v>333.17111716884341</v>
      </c>
      <c r="P344" s="26">
        <v>652.55568143051175</v>
      </c>
      <c r="Q344" s="154">
        <v>6214.28</v>
      </c>
    </row>
    <row r="345" spans="1:17" x14ac:dyDescent="0.2">
      <c r="A345" s="8" t="s">
        <v>702</v>
      </c>
      <c r="B345" s="7">
        <v>2012</v>
      </c>
      <c r="C345" s="7" t="s">
        <v>703</v>
      </c>
      <c r="D345" s="2">
        <v>322.95415730337083</v>
      </c>
      <c r="E345" s="2">
        <v>889340.72</v>
      </c>
      <c r="F345" s="7">
        <v>10693018.65</v>
      </c>
      <c r="G345" s="7">
        <v>169087.67</v>
      </c>
      <c r="H345" s="7">
        <v>65634.84</v>
      </c>
      <c r="I345" s="155">
        <v>3541990.52</v>
      </c>
      <c r="J345" s="155">
        <v>4108237.62</v>
      </c>
      <c r="K345" s="155">
        <v>55322.71</v>
      </c>
      <c r="L345" s="155">
        <v>2467159.27</v>
      </c>
      <c r="M345" s="26">
        <v>1115.1450196142632</v>
      </c>
      <c r="N345" s="26">
        <v>1293.4198144988129</v>
      </c>
      <c r="O345" s="26">
        <v>17.417563423649195</v>
      </c>
      <c r="P345" s="26">
        <v>776.74978433755416</v>
      </c>
      <c r="Q345" s="154">
        <v>3176.26</v>
      </c>
    </row>
    <row r="346" spans="1:17" x14ac:dyDescent="0.2">
      <c r="A346" s="8" t="s">
        <v>704</v>
      </c>
      <c r="B346" s="7">
        <v>2012</v>
      </c>
      <c r="C346" s="7" t="s">
        <v>705</v>
      </c>
      <c r="D346" s="2">
        <v>719.43353541854071</v>
      </c>
      <c r="E346" s="2">
        <v>3234837.76</v>
      </c>
      <c r="F346" s="7">
        <v>22764052.329999998</v>
      </c>
      <c r="G346" s="7">
        <v>1121087.6200000001</v>
      </c>
      <c r="H346" s="7">
        <v>782253.75</v>
      </c>
      <c r="I346" s="155">
        <v>5171503.8</v>
      </c>
      <c r="J346" s="155">
        <v>9949618.2200000007</v>
      </c>
      <c r="K346" s="155">
        <v>2871000.1</v>
      </c>
      <c r="L346" s="155">
        <v>3487259.56</v>
      </c>
      <c r="M346" s="26">
        <v>833.0788858997696</v>
      </c>
      <c r="N346" s="26">
        <v>1602.7865747378257</v>
      </c>
      <c r="O346" s="26">
        <v>462.49014933067002</v>
      </c>
      <c r="P346" s="26">
        <v>561.76354527441731</v>
      </c>
      <c r="Q346" s="154">
        <v>6207.7</v>
      </c>
    </row>
    <row r="347" spans="1:17" x14ac:dyDescent="0.2">
      <c r="A347" s="8" t="s">
        <v>706</v>
      </c>
      <c r="B347" s="7">
        <v>2012</v>
      </c>
      <c r="C347" s="7" t="s">
        <v>707</v>
      </c>
      <c r="D347" s="2">
        <v>68.591184587813615</v>
      </c>
      <c r="E347" s="2">
        <v>202695.4</v>
      </c>
      <c r="F347" s="7">
        <v>2319669.2599999998</v>
      </c>
      <c r="G347" s="7">
        <v>36917.910000000003</v>
      </c>
      <c r="H347" s="7">
        <v>8807.25</v>
      </c>
      <c r="I347" s="155">
        <v>872263.69</v>
      </c>
      <c r="J347" s="155">
        <v>889623.29</v>
      </c>
      <c r="K347" s="155">
        <v>36130.54</v>
      </c>
      <c r="L347" s="155">
        <v>473791.94</v>
      </c>
      <c r="M347" s="26">
        <v>1426.9695715477612</v>
      </c>
      <c r="N347" s="26">
        <v>1455.3688059286405</v>
      </c>
      <c r="O347" s="26">
        <v>59.107333911364869</v>
      </c>
      <c r="P347" s="26">
        <v>775.09437728008902</v>
      </c>
      <c r="Q347" s="154">
        <v>611.27</v>
      </c>
    </row>
    <row r="348" spans="1:17" x14ac:dyDescent="0.2">
      <c r="A348" s="8" t="s">
        <v>708</v>
      </c>
      <c r="B348" s="7">
        <v>2012</v>
      </c>
      <c r="C348" s="7" t="s">
        <v>709</v>
      </c>
      <c r="D348" s="2">
        <v>34.733953917050698</v>
      </c>
      <c r="E348" s="2">
        <v>136956.96</v>
      </c>
      <c r="F348" s="7">
        <v>1943276.29</v>
      </c>
      <c r="G348" s="7">
        <v>76396.789999999994</v>
      </c>
      <c r="H348" s="7">
        <v>0</v>
      </c>
      <c r="I348" s="155">
        <v>555199.41</v>
      </c>
      <c r="J348" s="155">
        <v>729907.15</v>
      </c>
      <c r="K348" s="155">
        <v>19898.599999999999</v>
      </c>
      <c r="L348" s="155">
        <v>314172.52</v>
      </c>
      <c r="M348" s="26">
        <v>1195.5455759167942</v>
      </c>
      <c r="N348" s="26">
        <v>1571.7546674131659</v>
      </c>
      <c r="O348" s="26">
        <v>42.848898555093776</v>
      </c>
      <c r="P348" s="26">
        <v>676.52731540300181</v>
      </c>
      <c r="Q348" s="154">
        <v>464.39</v>
      </c>
    </row>
    <row r="349" spans="1:17" x14ac:dyDescent="0.2">
      <c r="A349" s="8" t="s">
        <v>710</v>
      </c>
      <c r="B349" s="7">
        <v>2012</v>
      </c>
      <c r="C349" s="7" t="s">
        <v>711</v>
      </c>
      <c r="D349" s="2">
        <v>210.60353803137781</v>
      </c>
      <c r="E349" s="2">
        <v>805332.34</v>
      </c>
      <c r="F349" s="7">
        <v>5579370.6200000001</v>
      </c>
      <c r="G349" s="7">
        <v>100054.31</v>
      </c>
      <c r="H349" s="7">
        <v>52644.19</v>
      </c>
      <c r="I349" s="155">
        <v>1902121.87</v>
      </c>
      <c r="J349" s="155">
        <v>1537068.26</v>
      </c>
      <c r="K349" s="155">
        <v>247532.91</v>
      </c>
      <c r="L349" s="155">
        <v>818053.21</v>
      </c>
      <c r="M349" s="26">
        <v>1200.6222826773046</v>
      </c>
      <c r="N349" s="26">
        <v>970.19987628449519</v>
      </c>
      <c r="O349" s="26">
        <v>156.24315777514076</v>
      </c>
      <c r="P349" s="26">
        <v>516.35645845431361</v>
      </c>
      <c r="Q349" s="154">
        <v>1584.28</v>
      </c>
    </row>
    <row r="350" spans="1:17" x14ac:dyDescent="0.2">
      <c r="A350" s="8" t="s">
        <v>712</v>
      </c>
      <c r="B350" s="7">
        <v>2012</v>
      </c>
      <c r="C350" s="7" t="s">
        <v>713</v>
      </c>
      <c r="D350" s="2">
        <v>286.40657339982607</v>
      </c>
      <c r="E350" s="2">
        <v>825543.65</v>
      </c>
      <c r="F350" s="7">
        <v>6156114.1600000001</v>
      </c>
      <c r="G350" s="7">
        <v>199018.18</v>
      </c>
      <c r="H350" s="7">
        <v>8391.39</v>
      </c>
      <c r="I350" s="155">
        <v>2085459.44</v>
      </c>
      <c r="J350" s="155">
        <v>2238579.12</v>
      </c>
      <c r="K350" s="155">
        <v>43987.13</v>
      </c>
      <c r="L350" s="155">
        <v>2218332.21</v>
      </c>
      <c r="M350" s="26">
        <v>953.51852664691467</v>
      </c>
      <c r="N350" s="26">
        <v>1023.528256337101</v>
      </c>
      <c r="O350" s="26">
        <v>20.111896009363914</v>
      </c>
      <c r="P350" s="26">
        <v>1014.2709179194558</v>
      </c>
      <c r="Q350" s="154">
        <v>2187.12</v>
      </c>
    </row>
    <row r="351" spans="1:17" x14ac:dyDescent="0.2">
      <c r="A351" s="8" t="s">
        <v>714</v>
      </c>
      <c r="B351" s="7">
        <v>2012</v>
      </c>
      <c r="C351" s="7" t="s">
        <v>715</v>
      </c>
      <c r="D351" s="2">
        <v>166.42266450294898</v>
      </c>
      <c r="E351" s="2">
        <v>577029.80000000005</v>
      </c>
      <c r="F351" s="7">
        <v>5181701.45</v>
      </c>
      <c r="G351" s="7">
        <v>60383.98</v>
      </c>
      <c r="H351" s="7">
        <v>14004.1</v>
      </c>
      <c r="I351" s="155">
        <v>1293812.48</v>
      </c>
      <c r="J351" s="155">
        <v>2208183.9900000002</v>
      </c>
      <c r="K351" s="155">
        <v>173067.71</v>
      </c>
      <c r="L351" s="155">
        <v>767254.04</v>
      </c>
      <c r="M351" s="26">
        <v>867.32349687946203</v>
      </c>
      <c r="N351" s="26">
        <v>1480.2839588933655</v>
      </c>
      <c r="O351" s="26">
        <v>116.01811990105448</v>
      </c>
      <c r="P351" s="26">
        <v>514.33841244729274</v>
      </c>
      <c r="Q351" s="154">
        <v>1491.73</v>
      </c>
    </row>
    <row r="352" spans="1:17" x14ac:dyDescent="0.2">
      <c r="A352" s="8" t="s">
        <v>716</v>
      </c>
      <c r="B352" s="7">
        <v>2012</v>
      </c>
      <c r="C352" s="7" t="s">
        <v>717</v>
      </c>
      <c r="D352" s="2">
        <v>74.154704301075256</v>
      </c>
      <c r="E352" s="2">
        <v>327502.95</v>
      </c>
      <c r="F352" s="7">
        <v>3597057.34</v>
      </c>
      <c r="G352" s="7">
        <v>49105.11</v>
      </c>
      <c r="H352" s="7">
        <v>71875.17</v>
      </c>
      <c r="I352" s="155">
        <v>798342.26</v>
      </c>
      <c r="J352" s="155">
        <v>1109236.94</v>
      </c>
      <c r="K352" s="155">
        <v>52042.76</v>
      </c>
      <c r="L352" s="155">
        <v>517737.23</v>
      </c>
      <c r="M352" s="26">
        <v>990.14282702253536</v>
      </c>
      <c r="N352" s="26">
        <v>1375.7295017921592</v>
      </c>
      <c r="O352" s="26">
        <v>64.54595740986494</v>
      </c>
      <c r="P352" s="26">
        <v>642.12284661846229</v>
      </c>
      <c r="Q352" s="154">
        <v>806.29</v>
      </c>
    </row>
    <row r="353" spans="1:17" x14ac:dyDescent="0.2">
      <c r="A353" s="8" t="s">
        <v>718</v>
      </c>
      <c r="B353" s="7">
        <v>2012</v>
      </c>
      <c r="C353" s="7" t="s">
        <v>719</v>
      </c>
      <c r="D353" s="2">
        <v>111.81619318181819</v>
      </c>
      <c r="E353" s="2">
        <v>524861.96</v>
      </c>
      <c r="F353" s="7">
        <v>2430119.9700000002</v>
      </c>
      <c r="G353" s="7">
        <v>130218.58</v>
      </c>
      <c r="H353" s="7">
        <v>1769.95</v>
      </c>
      <c r="I353" s="155">
        <v>766512.72</v>
      </c>
      <c r="J353" s="155">
        <v>1005687.84</v>
      </c>
      <c r="K353" s="155">
        <v>109887.47</v>
      </c>
      <c r="L353" s="155">
        <v>716191.78</v>
      </c>
      <c r="M353" s="26">
        <v>1111.2745302713988</v>
      </c>
      <c r="N353" s="26">
        <v>1458.0257480862908</v>
      </c>
      <c r="O353" s="26">
        <v>159.31261598237069</v>
      </c>
      <c r="P353" s="26">
        <v>1038.3202563210393</v>
      </c>
      <c r="Q353" s="154">
        <v>689.76</v>
      </c>
    </row>
    <row r="354" spans="1:17" x14ac:dyDescent="0.2">
      <c r="A354" s="8" t="s">
        <v>720</v>
      </c>
      <c r="B354" s="7">
        <v>2012</v>
      </c>
      <c r="C354" s="7" t="s">
        <v>721</v>
      </c>
      <c r="D354" s="2">
        <v>90.290778767919434</v>
      </c>
      <c r="E354" s="2">
        <v>286008.18</v>
      </c>
      <c r="F354" s="7">
        <v>4137211.72</v>
      </c>
      <c r="G354" s="7">
        <v>73741.740000000005</v>
      </c>
      <c r="H354" s="7">
        <v>2033.46</v>
      </c>
      <c r="I354" s="155">
        <v>1197162.78</v>
      </c>
      <c r="J354" s="155">
        <v>1057600.01</v>
      </c>
      <c r="K354" s="155">
        <v>28493.91</v>
      </c>
      <c r="L354" s="155">
        <v>819119.36</v>
      </c>
      <c r="M354" s="26">
        <v>1320.2205361770643</v>
      </c>
      <c r="N354" s="26">
        <v>1166.3119465366844</v>
      </c>
      <c r="O354" s="26">
        <v>31.422832188268508</v>
      </c>
      <c r="P354" s="26">
        <v>903.31759282744633</v>
      </c>
      <c r="Q354" s="154">
        <v>906.79</v>
      </c>
    </row>
    <row r="355" spans="1:17" x14ac:dyDescent="0.2">
      <c r="A355" s="8" t="s">
        <v>722</v>
      </c>
      <c r="B355" s="7">
        <v>2012</v>
      </c>
      <c r="C355" s="7" t="s">
        <v>723</v>
      </c>
      <c r="D355" s="2">
        <v>88.062500000000014</v>
      </c>
      <c r="E355" s="2">
        <v>337266.85</v>
      </c>
      <c r="F355" s="7">
        <v>2958036.88</v>
      </c>
      <c r="G355" s="7">
        <v>164645.07</v>
      </c>
      <c r="H355" s="7">
        <v>11835.91</v>
      </c>
      <c r="I355" s="155">
        <v>887861.2</v>
      </c>
      <c r="J355" s="155">
        <v>1625351.64</v>
      </c>
      <c r="K355" s="155">
        <v>186968.3</v>
      </c>
      <c r="L355" s="155">
        <v>940735.69</v>
      </c>
      <c r="M355" s="26">
        <v>956.59236114852126</v>
      </c>
      <c r="N355" s="26">
        <v>1751.1734525669342</v>
      </c>
      <c r="O355" s="26">
        <v>201.4419005548672</v>
      </c>
      <c r="P355" s="26">
        <v>1013.5599741421106</v>
      </c>
      <c r="Q355" s="154">
        <v>928.15</v>
      </c>
    </row>
    <row r="356" spans="1:17" x14ac:dyDescent="0.2">
      <c r="A356" s="8" t="s">
        <v>724</v>
      </c>
      <c r="B356" s="7">
        <v>2012</v>
      </c>
      <c r="C356" s="7" t="s">
        <v>725</v>
      </c>
      <c r="D356" s="2">
        <v>237.33750894507193</v>
      </c>
      <c r="E356" s="2">
        <v>1270090.6000000001</v>
      </c>
      <c r="F356" s="7">
        <v>8207207.8300000001</v>
      </c>
      <c r="G356" s="7">
        <v>40952.720000000001</v>
      </c>
      <c r="H356" s="7">
        <v>30782.31</v>
      </c>
      <c r="I356" s="155">
        <v>2467440.9300000002</v>
      </c>
      <c r="J356" s="155">
        <v>3250145.14</v>
      </c>
      <c r="K356" s="155">
        <v>396990.51</v>
      </c>
      <c r="L356" s="155">
        <v>1912610.29</v>
      </c>
      <c r="M356" s="26">
        <v>1054.9623667637213</v>
      </c>
      <c r="N356" s="26">
        <v>1389.6100885462763</v>
      </c>
      <c r="O356" s="26">
        <v>169.73457922347782</v>
      </c>
      <c r="P356" s="26">
        <v>817.74272838825266</v>
      </c>
      <c r="Q356" s="154">
        <v>2338.89</v>
      </c>
    </row>
    <row r="357" spans="1:17" x14ac:dyDescent="0.2">
      <c r="A357" s="8" t="s">
        <v>726</v>
      </c>
      <c r="B357" s="7">
        <v>2012</v>
      </c>
      <c r="C357" s="7" t="s">
        <v>727</v>
      </c>
      <c r="D357" s="2">
        <v>69.014672043010776</v>
      </c>
      <c r="E357" s="2">
        <v>230911.44</v>
      </c>
      <c r="F357" s="7">
        <v>2541292.91</v>
      </c>
      <c r="G357" s="7">
        <v>110843.19</v>
      </c>
      <c r="H357" s="7">
        <v>8202.99</v>
      </c>
      <c r="I357" s="155">
        <v>770552.82</v>
      </c>
      <c r="J357" s="155">
        <v>858165.22</v>
      </c>
      <c r="K357" s="155">
        <v>92660.76</v>
      </c>
      <c r="L357" s="155">
        <v>554843.09</v>
      </c>
      <c r="M357" s="26">
        <v>1157.9598761721566</v>
      </c>
      <c r="N357" s="26">
        <v>1289.6207321471506</v>
      </c>
      <c r="O357" s="26">
        <v>139.24735513344552</v>
      </c>
      <c r="P357" s="26">
        <v>833.7988248377012</v>
      </c>
      <c r="Q357" s="154">
        <v>665.44</v>
      </c>
    </row>
    <row r="358" spans="1:17" x14ac:dyDescent="0.2">
      <c r="A358" s="8" t="s">
        <v>728</v>
      </c>
      <c r="B358" s="7">
        <v>2012</v>
      </c>
      <c r="C358" s="7" t="s">
        <v>729</v>
      </c>
      <c r="D358" s="2">
        <v>115.09000000000002</v>
      </c>
      <c r="E358" s="2">
        <v>407385.91</v>
      </c>
      <c r="F358" s="7">
        <v>3543962.15</v>
      </c>
      <c r="G358" s="7">
        <v>119622.27</v>
      </c>
      <c r="H358" s="7">
        <v>4579.42</v>
      </c>
      <c r="I358" s="155">
        <v>1267139.3999999999</v>
      </c>
      <c r="J358" s="155">
        <v>1221177.97</v>
      </c>
      <c r="K358" s="155">
        <v>215163.78</v>
      </c>
      <c r="L358" s="155">
        <v>952565.29</v>
      </c>
      <c r="M358" s="26">
        <v>1414.8023179214631</v>
      </c>
      <c r="N358" s="26">
        <v>1363.4848877326574</v>
      </c>
      <c r="O358" s="26">
        <v>240.23735247814389</v>
      </c>
      <c r="P358" s="26">
        <v>1063.570101492804</v>
      </c>
      <c r="Q358" s="154">
        <v>895.63</v>
      </c>
    </row>
    <row r="359" spans="1:17" x14ac:dyDescent="0.2">
      <c r="A359" s="8" t="s">
        <v>730</v>
      </c>
      <c r="B359" s="7">
        <v>2012</v>
      </c>
      <c r="C359" s="7" t="s">
        <v>731</v>
      </c>
      <c r="D359" s="2">
        <v>236.62911111111106</v>
      </c>
      <c r="E359" s="2">
        <v>1087227.81</v>
      </c>
      <c r="F359" s="7">
        <v>6150356.6900000004</v>
      </c>
      <c r="G359" s="7">
        <v>312466.02</v>
      </c>
      <c r="H359" s="7">
        <v>70835</v>
      </c>
      <c r="I359" s="155">
        <v>2522598.7999999998</v>
      </c>
      <c r="J359" s="155">
        <v>3654564.99</v>
      </c>
      <c r="K359" s="155">
        <v>200577.81</v>
      </c>
      <c r="L359" s="155">
        <v>910605.97</v>
      </c>
      <c r="M359" s="26">
        <v>1233.9127074579701</v>
      </c>
      <c r="N359" s="26">
        <v>1787.606567240106</v>
      </c>
      <c r="O359" s="26">
        <v>98.111324160262953</v>
      </c>
      <c r="P359" s="26">
        <v>445.4169556689281</v>
      </c>
      <c r="Q359" s="154">
        <v>2044.39</v>
      </c>
    </row>
    <row r="360" spans="1:17" x14ac:dyDescent="0.2">
      <c r="A360" s="8" t="s">
        <v>732</v>
      </c>
      <c r="B360" s="7">
        <v>2012</v>
      </c>
      <c r="C360" s="7" t="s">
        <v>733</v>
      </c>
      <c r="D360" s="2">
        <v>176.55915814583901</v>
      </c>
      <c r="E360" s="2">
        <v>761811.62</v>
      </c>
      <c r="F360" s="7">
        <v>3784508.25</v>
      </c>
      <c r="G360" s="7">
        <v>128372.29</v>
      </c>
      <c r="H360" s="7">
        <v>25583.25</v>
      </c>
      <c r="I360" s="155">
        <v>1247932.8899999999</v>
      </c>
      <c r="J360" s="155">
        <v>1880275.45</v>
      </c>
      <c r="K360" s="155">
        <v>541444.32999999996</v>
      </c>
      <c r="L360" s="155">
        <v>1108233.6299999999</v>
      </c>
      <c r="M360" s="26">
        <v>968.95970215310058</v>
      </c>
      <c r="N360" s="26">
        <v>1459.9432025529734</v>
      </c>
      <c r="O360" s="26">
        <v>420.40540876303464</v>
      </c>
      <c r="P360" s="26">
        <v>860.48996436086361</v>
      </c>
      <c r="Q360" s="154">
        <v>1287.9100000000001</v>
      </c>
    </row>
    <row r="361" spans="1:17" x14ac:dyDescent="0.2">
      <c r="A361" s="8" t="s">
        <v>734</v>
      </c>
      <c r="B361" s="7">
        <v>2012</v>
      </c>
      <c r="C361" s="7" t="s">
        <v>735</v>
      </c>
      <c r="D361" s="2">
        <v>570.42463586114866</v>
      </c>
      <c r="E361" s="2">
        <v>1415687.47</v>
      </c>
      <c r="F361" s="7">
        <v>14108802.880000001</v>
      </c>
      <c r="G361" s="7">
        <v>188781.86</v>
      </c>
      <c r="H361" s="7">
        <v>46061.599999999999</v>
      </c>
      <c r="I361" s="155">
        <v>4759735.37</v>
      </c>
      <c r="J361" s="155">
        <v>3987646.01</v>
      </c>
      <c r="K361" s="155">
        <v>435192.22</v>
      </c>
      <c r="L361" s="155">
        <v>2652336.31</v>
      </c>
      <c r="M361" s="26">
        <v>1236.1696789156424</v>
      </c>
      <c r="N361" s="26">
        <v>1035.6473006630497</v>
      </c>
      <c r="O361" s="26">
        <v>113.02549092429598</v>
      </c>
      <c r="P361" s="26">
        <v>688.84874259490596</v>
      </c>
      <c r="Q361" s="154">
        <v>3850.39</v>
      </c>
    </row>
    <row r="362" spans="1:17" x14ac:dyDescent="0.2">
      <c r="A362" s="8" t="s">
        <v>736</v>
      </c>
      <c r="B362" s="7">
        <v>2012</v>
      </c>
      <c r="C362" s="7" t="s">
        <v>737</v>
      </c>
      <c r="D362" s="2">
        <v>657.00466862430687</v>
      </c>
      <c r="E362" s="2">
        <v>2632357.67</v>
      </c>
      <c r="F362" s="7">
        <v>10617231.689999999</v>
      </c>
      <c r="G362" s="7">
        <v>227299.57</v>
      </c>
      <c r="H362" s="7">
        <v>3541.43</v>
      </c>
      <c r="I362" s="155">
        <v>3016886.61</v>
      </c>
      <c r="J362" s="155">
        <v>5575132.2000000002</v>
      </c>
      <c r="K362" s="155">
        <v>1194771.5</v>
      </c>
      <c r="L362" s="155">
        <v>2921338.03</v>
      </c>
      <c r="M362" s="26">
        <v>907.96238300177572</v>
      </c>
      <c r="N362" s="26">
        <v>1677.8921359135645</v>
      </c>
      <c r="O362" s="26">
        <v>359.57850543232917</v>
      </c>
      <c r="P362" s="26">
        <v>879.20607638366391</v>
      </c>
      <c r="Q362" s="154">
        <v>3322.7</v>
      </c>
    </row>
    <row r="363" spans="1:17" x14ac:dyDescent="0.2">
      <c r="A363" s="8" t="s">
        <v>738</v>
      </c>
      <c r="B363" s="7">
        <v>2012</v>
      </c>
      <c r="C363" s="7" t="s">
        <v>739</v>
      </c>
      <c r="D363" s="2">
        <v>272.13942724636718</v>
      </c>
      <c r="E363" s="2">
        <v>1750351.38</v>
      </c>
      <c r="F363" s="7">
        <v>7381364.0899999999</v>
      </c>
      <c r="G363" s="7">
        <v>133905.76999999999</v>
      </c>
      <c r="H363" s="7">
        <v>27127.15</v>
      </c>
      <c r="I363" s="155">
        <v>2200555.2999999998</v>
      </c>
      <c r="J363" s="155">
        <v>2497774.5299999998</v>
      </c>
      <c r="K363" s="155">
        <v>226497.32</v>
      </c>
      <c r="L363" s="155">
        <v>2033580.46</v>
      </c>
      <c r="M363" s="26">
        <v>1188.5706183868683</v>
      </c>
      <c r="N363" s="26">
        <v>1349.1055724494038</v>
      </c>
      <c r="O363" s="26">
        <v>122.33642103671217</v>
      </c>
      <c r="P363" s="26">
        <v>1098.383660197793</v>
      </c>
      <c r="Q363" s="154">
        <v>1851.43</v>
      </c>
    </row>
    <row r="364" spans="1:17" x14ac:dyDescent="0.2">
      <c r="A364" s="8" t="s">
        <v>740</v>
      </c>
      <c r="B364" s="7">
        <v>2012</v>
      </c>
      <c r="C364" s="7" t="s">
        <v>741</v>
      </c>
      <c r="D364" s="2">
        <v>108.56173336191191</v>
      </c>
      <c r="E364" s="2">
        <v>386313.96</v>
      </c>
      <c r="F364" s="7">
        <v>3603309.03</v>
      </c>
      <c r="G364" s="7">
        <v>119959.62</v>
      </c>
      <c r="H364" s="7">
        <v>243.2</v>
      </c>
      <c r="I364" s="155">
        <v>1250075.23</v>
      </c>
      <c r="J364" s="155">
        <v>1840513.74</v>
      </c>
      <c r="K364" s="155">
        <v>123720.57</v>
      </c>
      <c r="L364" s="155">
        <v>784038.78</v>
      </c>
      <c r="M364" s="26">
        <v>1150.5100870653635</v>
      </c>
      <c r="N364" s="26">
        <v>1693.9217516152189</v>
      </c>
      <c r="O364" s="26">
        <v>113.86655806505054</v>
      </c>
      <c r="P364" s="26">
        <v>721.59219172787016</v>
      </c>
      <c r="Q364" s="154">
        <v>1086.54</v>
      </c>
    </row>
    <row r="365" spans="1:17" x14ac:dyDescent="0.2">
      <c r="A365" s="8" t="s">
        <v>742</v>
      </c>
      <c r="B365" s="7">
        <v>2012</v>
      </c>
      <c r="C365" s="7" t="s">
        <v>743</v>
      </c>
      <c r="D365" s="2">
        <v>210.98333333333338</v>
      </c>
      <c r="E365" s="2">
        <v>740728.34</v>
      </c>
      <c r="F365" s="7">
        <v>4137888.29</v>
      </c>
      <c r="G365" s="7">
        <v>147498.97</v>
      </c>
      <c r="H365" s="7">
        <v>611.11</v>
      </c>
      <c r="I365" s="155">
        <v>1576556.47</v>
      </c>
      <c r="J365" s="155">
        <v>2195426.62</v>
      </c>
      <c r="K365" s="155">
        <v>8797.98</v>
      </c>
      <c r="L365" s="155">
        <v>758826.03</v>
      </c>
      <c r="M365" s="26">
        <v>1278.9250356934258</v>
      </c>
      <c r="N365" s="26">
        <v>1780.961305081446</v>
      </c>
      <c r="O365" s="26">
        <v>7.1370465312479716</v>
      </c>
      <c r="P365" s="26">
        <v>615.57047017976504</v>
      </c>
      <c r="Q365" s="154">
        <v>1232.72</v>
      </c>
    </row>
    <row r="366" spans="1:17" x14ac:dyDescent="0.2">
      <c r="A366" s="8" t="s">
        <v>744</v>
      </c>
      <c r="B366" s="7">
        <v>2012</v>
      </c>
      <c r="C366" s="7" t="s">
        <v>745</v>
      </c>
      <c r="D366" s="2">
        <v>389.34807720188473</v>
      </c>
      <c r="E366" s="2">
        <v>2011383.21</v>
      </c>
      <c r="F366" s="7">
        <v>22151259.789999999</v>
      </c>
      <c r="G366" s="7">
        <v>192199.54</v>
      </c>
      <c r="H366" s="7">
        <v>10454.209999999999</v>
      </c>
      <c r="I366" s="155">
        <v>5532368.6799999997</v>
      </c>
      <c r="J366" s="155">
        <v>7358004.6699999999</v>
      </c>
      <c r="K366" s="155">
        <v>1901457.04</v>
      </c>
      <c r="L366" s="155">
        <v>6360333.0599999996</v>
      </c>
      <c r="M366" s="26">
        <v>1286.5016277858392</v>
      </c>
      <c r="N366" s="26">
        <v>1711.03654379209</v>
      </c>
      <c r="O366" s="26">
        <v>442.16640622093246</v>
      </c>
      <c r="P366" s="26">
        <v>1479.0371553744837</v>
      </c>
      <c r="Q366" s="154">
        <v>4300.32</v>
      </c>
    </row>
    <row r="367" spans="1:17" x14ac:dyDescent="0.2">
      <c r="A367" s="8" t="s">
        <v>746</v>
      </c>
      <c r="B367" s="7">
        <v>2012</v>
      </c>
      <c r="C367" s="7" t="s">
        <v>747</v>
      </c>
      <c r="D367" s="2">
        <v>71.865995546611657</v>
      </c>
      <c r="E367" s="2">
        <v>147713.76999999999</v>
      </c>
      <c r="F367" s="7">
        <v>1337174.47</v>
      </c>
      <c r="G367" s="7">
        <v>48811.54</v>
      </c>
      <c r="H367" s="7">
        <v>1099</v>
      </c>
      <c r="I367" s="155">
        <v>769882.86</v>
      </c>
      <c r="J367" s="155">
        <v>535105.73</v>
      </c>
      <c r="K367" s="155">
        <v>30043.16</v>
      </c>
      <c r="L367" s="155">
        <v>365583.94</v>
      </c>
      <c r="M367" s="26">
        <v>1731.1631138694008</v>
      </c>
      <c r="N367" s="26">
        <v>1203.2418825328295</v>
      </c>
      <c r="O367" s="26">
        <v>67.555225760028776</v>
      </c>
      <c r="P367" s="26">
        <v>822.05419140133108</v>
      </c>
      <c r="Q367" s="154">
        <v>444.72</v>
      </c>
    </row>
    <row r="368" spans="1:17" x14ac:dyDescent="0.2">
      <c r="A368" s="8" t="s">
        <v>748</v>
      </c>
      <c r="B368" s="7">
        <v>2012</v>
      </c>
      <c r="C368" s="7" t="s">
        <v>749</v>
      </c>
      <c r="D368" s="2">
        <v>80.609861437131514</v>
      </c>
      <c r="E368" s="2">
        <v>195977.5</v>
      </c>
      <c r="F368" s="7">
        <v>3531469.75</v>
      </c>
      <c r="G368" s="7">
        <v>71988.800000000003</v>
      </c>
      <c r="H368" s="7">
        <v>28553.38</v>
      </c>
      <c r="I368" s="155">
        <v>1101539.8999999999</v>
      </c>
      <c r="J368" s="155">
        <v>1207417.3</v>
      </c>
      <c r="K368" s="155">
        <v>38100.800000000003</v>
      </c>
      <c r="L368" s="155">
        <v>874568.34</v>
      </c>
      <c r="M368" s="26">
        <v>1259.9827280526165</v>
      </c>
      <c r="N368" s="26">
        <v>1381.0892765227338</v>
      </c>
      <c r="O368" s="26">
        <v>43.581126680011444</v>
      </c>
      <c r="P368" s="26">
        <v>1000.364129253646</v>
      </c>
      <c r="Q368" s="154">
        <v>874.25</v>
      </c>
    </row>
    <row r="369" spans="1:17" x14ac:dyDescent="0.2">
      <c r="A369" s="8" t="s">
        <v>750</v>
      </c>
      <c r="B369" s="7">
        <v>2012</v>
      </c>
      <c r="C369" s="7" t="s">
        <v>751</v>
      </c>
      <c r="D369" s="2">
        <v>30.170967741935481</v>
      </c>
      <c r="E369" s="2">
        <v>68116.81</v>
      </c>
      <c r="F369" s="7">
        <v>1943671.73</v>
      </c>
      <c r="G369" s="7">
        <v>71263.48</v>
      </c>
      <c r="H369" s="7">
        <v>22272.03</v>
      </c>
      <c r="I369" s="155">
        <v>610158.94999999995</v>
      </c>
      <c r="J369" s="155">
        <v>467789.18</v>
      </c>
      <c r="K369" s="155">
        <v>11622.97</v>
      </c>
      <c r="L369" s="155">
        <v>288503.96000000002</v>
      </c>
      <c r="M369" s="26">
        <v>1415.977698359286</v>
      </c>
      <c r="N369" s="26">
        <v>1085.5844143788725</v>
      </c>
      <c r="O369" s="26">
        <v>26.973080225569142</v>
      </c>
      <c r="P369" s="26">
        <v>669.52254531108588</v>
      </c>
      <c r="Q369" s="154">
        <v>430.91</v>
      </c>
    </row>
    <row r="370" spans="1:17" x14ac:dyDescent="0.2">
      <c r="A370" s="8" t="s">
        <v>752</v>
      </c>
      <c r="B370" s="7">
        <v>2012</v>
      </c>
      <c r="C370" s="7" t="s">
        <v>753</v>
      </c>
      <c r="D370" s="2">
        <v>165.0221840056204</v>
      </c>
      <c r="E370" s="2">
        <v>475671.22</v>
      </c>
      <c r="F370" s="7">
        <v>2711697.97</v>
      </c>
      <c r="G370" s="7">
        <v>110939.02</v>
      </c>
      <c r="H370" s="7">
        <v>10232.299999999999</v>
      </c>
      <c r="I370" s="155">
        <v>1151539.75</v>
      </c>
      <c r="J370" s="155">
        <v>1719947.31</v>
      </c>
      <c r="K370" s="155">
        <v>139868.26</v>
      </c>
      <c r="L370" s="155">
        <v>1033557.03</v>
      </c>
      <c r="M370" s="26">
        <v>1018.3227657805841</v>
      </c>
      <c r="N370" s="26">
        <v>1520.9735501671355</v>
      </c>
      <c r="O370" s="26">
        <v>123.68746573283106</v>
      </c>
      <c r="P370" s="26">
        <v>913.98899029023198</v>
      </c>
      <c r="Q370" s="154">
        <v>1130.82</v>
      </c>
    </row>
    <row r="371" spans="1:17" x14ac:dyDescent="0.2">
      <c r="A371" s="8" t="s">
        <v>754</v>
      </c>
      <c r="B371" s="7">
        <v>2012</v>
      </c>
      <c r="C371" s="7" t="s">
        <v>755</v>
      </c>
      <c r="D371" s="2">
        <v>232.47592765243343</v>
      </c>
      <c r="E371" s="2">
        <v>1432602.11</v>
      </c>
      <c r="F371" s="7">
        <v>5803417.4299999997</v>
      </c>
      <c r="G371" s="7">
        <v>181836.87</v>
      </c>
      <c r="H371" s="7">
        <v>219261.51</v>
      </c>
      <c r="I371" s="155">
        <v>2188188.17</v>
      </c>
      <c r="J371" s="155">
        <v>2837959.69</v>
      </c>
      <c r="K371" s="155">
        <v>47451.81</v>
      </c>
      <c r="L371" s="155">
        <v>1354597.25</v>
      </c>
      <c r="M371" s="26">
        <v>1186.3635067364255</v>
      </c>
      <c r="N371" s="26">
        <v>1538.6482094933449</v>
      </c>
      <c r="O371" s="26">
        <v>25.726807449375151</v>
      </c>
      <c r="P371" s="26">
        <v>734.41798368077207</v>
      </c>
      <c r="Q371" s="154">
        <v>1844.45</v>
      </c>
    </row>
    <row r="372" spans="1:17" x14ac:dyDescent="0.2">
      <c r="A372" s="8" t="s">
        <v>756</v>
      </c>
      <c r="B372" s="7">
        <v>2012</v>
      </c>
      <c r="C372" s="7" t="s">
        <v>757</v>
      </c>
      <c r="D372" s="2">
        <v>133.33934239915911</v>
      </c>
      <c r="E372" s="2">
        <v>326634.53000000003</v>
      </c>
      <c r="F372" s="7">
        <v>3617131.67</v>
      </c>
      <c r="G372" s="7">
        <v>138203.59</v>
      </c>
      <c r="H372" s="7">
        <v>30555.19</v>
      </c>
      <c r="I372" s="155">
        <v>1133887.73</v>
      </c>
      <c r="J372" s="155">
        <v>1385413.86</v>
      </c>
      <c r="K372" s="155">
        <v>267769.40999999997</v>
      </c>
      <c r="L372" s="155">
        <v>911160.21</v>
      </c>
      <c r="M372" s="26">
        <v>1075.5499032478372</v>
      </c>
      <c r="N372" s="26">
        <v>1314.1351684625893</v>
      </c>
      <c r="O372" s="26">
        <v>253.99283844285929</v>
      </c>
      <c r="P372" s="26">
        <v>864.28157724996197</v>
      </c>
      <c r="Q372" s="154">
        <v>1054.24</v>
      </c>
    </row>
    <row r="373" spans="1:17" x14ac:dyDescent="0.2">
      <c r="A373" s="8" t="s">
        <v>758</v>
      </c>
      <c r="B373" s="7">
        <v>2012</v>
      </c>
      <c r="C373" s="7" t="s">
        <v>759</v>
      </c>
      <c r="D373" s="2">
        <v>104.89950786516853</v>
      </c>
      <c r="E373" s="2">
        <v>179042.21</v>
      </c>
      <c r="F373" s="7">
        <v>2399683.69</v>
      </c>
      <c r="G373" s="7">
        <v>106447.26</v>
      </c>
      <c r="H373" s="7">
        <v>9044.1200000000008</v>
      </c>
      <c r="I373" s="155">
        <v>961176.04</v>
      </c>
      <c r="J373" s="155">
        <v>1211487.27</v>
      </c>
      <c r="K373" s="155">
        <v>207520.78</v>
      </c>
      <c r="L373" s="155">
        <v>440953.64</v>
      </c>
      <c r="M373" s="26">
        <v>1310.0931481456241</v>
      </c>
      <c r="N373" s="26">
        <v>1651.2700124033968</v>
      </c>
      <c r="O373" s="26">
        <v>282.85302656507696</v>
      </c>
      <c r="P373" s="26">
        <v>601.02449330080287</v>
      </c>
      <c r="Q373" s="154">
        <v>733.67</v>
      </c>
    </row>
    <row r="374" spans="1:17" x14ac:dyDescent="0.2">
      <c r="A374" s="8" t="s">
        <v>760</v>
      </c>
      <c r="B374" s="7">
        <v>2012</v>
      </c>
      <c r="C374" s="7" t="s">
        <v>761</v>
      </c>
      <c r="D374" s="2">
        <v>443.47856535263122</v>
      </c>
      <c r="E374" s="2">
        <v>2125174.96</v>
      </c>
      <c r="F374" s="7">
        <v>10524895.220000001</v>
      </c>
      <c r="G374" s="7">
        <v>264884.84000000003</v>
      </c>
      <c r="H374" s="7">
        <v>21487.06</v>
      </c>
      <c r="I374" s="155">
        <v>2993684.76</v>
      </c>
      <c r="J374" s="155">
        <v>3122701.46</v>
      </c>
      <c r="K374" s="155">
        <v>161595.01</v>
      </c>
      <c r="L374" s="155">
        <v>2301950.36</v>
      </c>
      <c r="M374" s="26">
        <v>1009.599544047322</v>
      </c>
      <c r="N374" s="26">
        <v>1053.1095365605252</v>
      </c>
      <c r="O374" s="26">
        <v>54.496802935363995</v>
      </c>
      <c r="P374" s="26">
        <v>776.31688711124298</v>
      </c>
      <c r="Q374" s="154">
        <v>2965.22</v>
      </c>
    </row>
    <row r="375" spans="1:17" x14ac:dyDescent="0.2">
      <c r="A375" s="8" t="s">
        <v>762</v>
      </c>
      <c r="B375" s="7">
        <v>2012</v>
      </c>
      <c r="C375" s="7" t="s">
        <v>763</v>
      </c>
      <c r="D375" s="2">
        <v>328.2485402318448</v>
      </c>
      <c r="E375" s="2">
        <v>1479362.8</v>
      </c>
      <c r="F375" s="7">
        <v>10323066.33</v>
      </c>
      <c r="G375" s="7">
        <v>314548.82</v>
      </c>
      <c r="H375" s="7">
        <v>287717.96000000002</v>
      </c>
      <c r="I375" s="155">
        <v>2762343.54</v>
      </c>
      <c r="J375" s="155">
        <v>4470925.37</v>
      </c>
      <c r="K375" s="155">
        <v>279429.40000000002</v>
      </c>
      <c r="L375" s="155">
        <v>2215116.89</v>
      </c>
      <c r="M375" s="26">
        <v>1173.7272209663986</v>
      </c>
      <c r="N375" s="26">
        <v>1899.708249060965</v>
      </c>
      <c r="O375" s="26">
        <v>118.73030575998098</v>
      </c>
      <c r="P375" s="26">
        <v>941.2091413566294</v>
      </c>
      <c r="Q375" s="154">
        <v>2353.48</v>
      </c>
    </row>
    <row r="376" spans="1:17" x14ac:dyDescent="0.2">
      <c r="A376" s="8" t="s">
        <v>764</v>
      </c>
      <c r="B376" s="7">
        <v>2012</v>
      </c>
      <c r="C376" s="7" t="s">
        <v>765</v>
      </c>
      <c r="D376" s="2">
        <v>33.645129553867129</v>
      </c>
      <c r="E376" s="2">
        <v>164341.1</v>
      </c>
      <c r="F376" s="7">
        <v>1397747.24</v>
      </c>
      <c r="G376" s="7">
        <v>57535.15</v>
      </c>
      <c r="H376" s="7">
        <v>0</v>
      </c>
      <c r="I376" s="155">
        <v>616474.43000000005</v>
      </c>
      <c r="J376" s="155">
        <v>472038.62</v>
      </c>
      <c r="K376" s="155">
        <v>11225.26</v>
      </c>
      <c r="L376" s="155">
        <v>286640.78999999998</v>
      </c>
      <c r="M376" s="26">
        <v>1623.9678354100261</v>
      </c>
      <c r="N376" s="26">
        <v>1243.4831010774215</v>
      </c>
      <c r="O376" s="26">
        <v>29.570506572534971</v>
      </c>
      <c r="P376" s="26">
        <v>755.09283211717286</v>
      </c>
      <c r="Q376" s="154">
        <v>379.61</v>
      </c>
    </row>
    <row r="377" spans="1:17" x14ac:dyDescent="0.2">
      <c r="A377" s="8" t="s">
        <v>766</v>
      </c>
      <c r="B377" s="7">
        <v>2012</v>
      </c>
      <c r="C377" s="7" t="s">
        <v>767</v>
      </c>
      <c r="D377" s="2">
        <v>893.91834476655401</v>
      </c>
      <c r="E377" s="2">
        <v>4518137.75</v>
      </c>
      <c r="F377" s="7">
        <v>20880327.670000002</v>
      </c>
      <c r="G377" s="7">
        <v>1170378.69</v>
      </c>
      <c r="H377" s="7">
        <v>0</v>
      </c>
      <c r="I377" s="155">
        <v>5091771.28</v>
      </c>
      <c r="J377" s="155">
        <v>8226201.1799999997</v>
      </c>
      <c r="K377" s="155">
        <v>1542999.9</v>
      </c>
      <c r="L377" s="155">
        <v>4486982.58</v>
      </c>
      <c r="M377" s="26">
        <v>781.63584142456921</v>
      </c>
      <c r="N377" s="26">
        <v>1262.8009640403729</v>
      </c>
      <c r="O377" s="26">
        <v>236.86531834056106</v>
      </c>
      <c r="P377" s="26">
        <v>688.7949618144836</v>
      </c>
      <c r="Q377" s="154">
        <v>6514.25</v>
      </c>
    </row>
    <row r="378" spans="1:17" x14ac:dyDescent="0.2">
      <c r="A378" s="8" t="s">
        <v>768</v>
      </c>
      <c r="B378" s="7">
        <v>2012</v>
      </c>
      <c r="C378" s="7" t="s">
        <v>769</v>
      </c>
      <c r="D378" s="2">
        <v>80.387640449438209</v>
      </c>
      <c r="E378" s="2">
        <v>308569.40000000002</v>
      </c>
      <c r="F378" s="7">
        <v>3035018.12</v>
      </c>
      <c r="G378" s="7">
        <v>48962.59</v>
      </c>
      <c r="H378" s="7">
        <v>15072.01</v>
      </c>
      <c r="I378" s="155">
        <v>1044337.64</v>
      </c>
      <c r="J378" s="155">
        <v>1460097.99</v>
      </c>
      <c r="K378" s="155">
        <v>75881.990000000005</v>
      </c>
      <c r="L378" s="155">
        <v>831092.21</v>
      </c>
      <c r="M378" s="26">
        <v>1811.262340004856</v>
      </c>
      <c r="N378" s="26">
        <v>2532.3424156231572</v>
      </c>
      <c r="O378" s="26">
        <v>131.60704498942039</v>
      </c>
      <c r="P378" s="26">
        <v>1441.416993305352</v>
      </c>
      <c r="Q378" s="154">
        <v>576.58000000000004</v>
      </c>
    </row>
    <row r="379" spans="1:17" x14ac:dyDescent="0.2">
      <c r="A379" s="8" t="s">
        <v>770</v>
      </c>
      <c r="B379" s="7">
        <v>2012</v>
      </c>
      <c r="C379" s="7" t="s">
        <v>771</v>
      </c>
      <c r="D379" s="2">
        <v>191.37758747357981</v>
      </c>
      <c r="E379" s="2">
        <v>652984.68000000005</v>
      </c>
      <c r="F379" s="7">
        <v>3968702.7</v>
      </c>
      <c r="G379" s="7">
        <v>72768.479999999996</v>
      </c>
      <c r="H379" s="7">
        <v>8396.2000000000007</v>
      </c>
      <c r="I379" s="155">
        <v>1063280.23</v>
      </c>
      <c r="J379" s="155">
        <v>1789041.75</v>
      </c>
      <c r="K379" s="155">
        <v>145288.38</v>
      </c>
      <c r="L379" s="155">
        <v>766149.26</v>
      </c>
      <c r="M379" s="26">
        <v>939.81653216896336</v>
      </c>
      <c r="N379" s="26">
        <v>1581.3056294580908</v>
      </c>
      <c r="O379" s="26">
        <v>128.41809487612366</v>
      </c>
      <c r="P379" s="26">
        <v>677.18718014442675</v>
      </c>
      <c r="Q379" s="154">
        <v>1131.3699999999999</v>
      </c>
    </row>
    <row r="380" spans="1:17" x14ac:dyDescent="0.2">
      <c r="A380" s="8" t="s">
        <v>772</v>
      </c>
      <c r="B380" s="7">
        <v>2012</v>
      </c>
      <c r="C380" s="7" t="s">
        <v>773</v>
      </c>
      <c r="D380" s="2">
        <v>175.54628571428566</v>
      </c>
      <c r="E380" s="2">
        <v>766294.16</v>
      </c>
      <c r="F380" s="7">
        <v>4549546.33</v>
      </c>
      <c r="G380" s="7">
        <v>259176.82</v>
      </c>
      <c r="H380" s="7">
        <v>2135</v>
      </c>
      <c r="I380" s="155">
        <v>1285138.3</v>
      </c>
      <c r="J380" s="155">
        <v>1567757.01</v>
      </c>
      <c r="K380" s="155">
        <v>104956.13</v>
      </c>
      <c r="L380" s="155">
        <v>657676.49</v>
      </c>
      <c r="M380" s="26">
        <v>953.06267288624542</v>
      </c>
      <c r="N380" s="26">
        <v>1162.6536119783748</v>
      </c>
      <c r="O380" s="26">
        <v>77.835801635976651</v>
      </c>
      <c r="P380" s="26">
        <v>487.73498809726863</v>
      </c>
      <c r="Q380" s="154">
        <v>1348.43</v>
      </c>
    </row>
    <row r="381" spans="1:17" x14ac:dyDescent="0.2">
      <c r="A381" s="8" t="s">
        <v>774</v>
      </c>
      <c r="B381" s="7">
        <v>2012</v>
      </c>
      <c r="C381" s="7" t="s">
        <v>775</v>
      </c>
      <c r="D381" s="2">
        <v>47.251981003725504</v>
      </c>
      <c r="E381" s="2">
        <v>200994.77</v>
      </c>
      <c r="F381" s="7">
        <v>1732705.3</v>
      </c>
      <c r="G381" s="7">
        <v>41993.05</v>
      </c>
      <c r="H381" s="7">
        <v>764.16</v>
      </c>
      <c r="I381" s="155">
        <v>829124.3</v>
      </c>
      <c r="J381" s="155">
        <v>802297.42</v>
      </c>
      <c r="K381" s="155">
        <v>58917.01</v>
      </c>
      <c r="L381" s="155">
        <v>523837.67</v>
      </c>
      <c r="M381" s="26">
        <v>1441.779783330725</v>
      </c>
      <c r="N381" s="26">
        <v>1395.1300189542142</v>
      </c>
      <c r="O381" s="26">
        <v>102.45189281304884</v>
      </c>
      <c r="P381" s="26">
        <v>910.91114125236913</v>
      </c>
      <c r="Q381" s="154">
        <v>575.07000000000005</v>
      </c>
    </row>
    <row r="382" spans="1:17" x14ac:dyDescent="0.2">
      <c r="A382" s="8" t="s">
        <v>776</v>
      </c>
      <c r="B382" s="7">
        <v>2012</v>
      </c>
      <c r="C382" s="7" t="s">
        <v>777</v>
      </c>
      <c r="D382" s="2">
        <v>330.03266504427063</v>
      </c>
      <c r="E382" s="2">
        <v>1494376.82</v>
      </c>
      <c r="F382" s="7">
        <v>8852945.0500000007</v>
      </c>
      <c r="G382" s="7">
        <v>155172.84</v>
      </c>
      <c r="H382" s="7">
        <v>27515.35</v>
      </c>
      <c r="I382" s="155">
        <v>2895181.48</v>
      </c>
      <c r="J382" s="155">
        <v>2105312.61</v>
      </c>
      <c r="K382" s="155">
        <v>502272.53</v>
      </c>
      <c r="L382" s="155">
        <v>1784093.29</v>
      </c>
      <c r="M382" s="26">
        <v>1094.7935261864247</v>
      </c>
      <c r="N382" s="26">
        <v>796.10989222915475</v>
      </c>
      <c r="O382" s="26">
        <v>189.93100018907168</v>
      </c>
      <c r="P382" s="26">
        <v>674.64295329930042</v>
      </c>
      <c r="Q382" s="154">
        <v>2644.5</v>
      </c>
    </row>
    <row r="383" spans="1:17" x14ac:dyDescent="0.2">
      <c r="A383" s="8" t="s">
        <v>778</v>
      </c>
      <c r="B383" s="7">
        <v>2012</v>
      </c>
      <c r="C383" s="7" t="s">
        <v>779</v>
      </c>
      <c r="D383" s="2">
        <v>97.933004003616119</v>
      </c>
      <c r="E383" s="2">
        <v>581187.15</v>
      </c>
      <c r="F383" s="7">
        <v>3255350.19</v>
      </c>
      <c r="G383" s="7">
        <v>122825.56</v>
      </c>
      <c r="H383" s="7">
        <v>27243.84</v>
      </c>
      <c r="I383" s="155">
        <v>1493989.58</v>
      </c>
      <c r="J383" s="155">
        <v>1884486.56</v>
      </c>
      <c r="K383" s="155">
        <v>32247.51</v>
      </c>
      <c r="L383" s="155">
        <v>650230.25</v>
      </c>
      <c r="M383" s="26">
        <v>1517.0487205523966</v>
      </c>
      <c r="N383" s="26">
        <v>1913.5728675873274</v>
      </c>
      <c r="O383" s="26">
        <v>32.745237611697803</v>
      </c>
      <c r="P383" s="26">
        <v>660.26629772542651</v>
      </c>
      <c r="Q383" s="154">
        <v>984.8</v>
      </c>
    </row>
    <row r="384" spans="1:17" x14ac:dyDescent="0.2">
      <c r="A384" s="8" t="s">
        <v>780</v>
      </c>
      <c r="B384" s="7">
        <v>2012</v>
      </c>
      <c r="C384" s="7" t="s">
        <v>781</v>
      </c>
      <c r="D384" s="2">
        <v>357.2382432832153</v>
      </c>
      <c r="E384" s="2">
        <v>2444777.29</v>
      </c>
      <c r="F384" s="7">
        <v>16457046.65</v>
      </c>
      <c r="G384" s="7">
        <v>346263.23</v>
      </c>
      <c r="H384" s="7">
        <v>34496.49</v>
      </c>
      <c r="I384" s="155">
        <v>4681771.5199999996</v>
      </c>
      <c r="J384" s="155">
        <v>5961702.2199999997</v>
      </c>
      <c r="K384" s="155">
        <v>455600.23</v>
      </c>
      <c r="L384" s="155">
        <v>3664736.51</v>
      </c>
      <c r="M384" s="26">
        <v>1218.5798297236588</v>
      </c>
      <c r="N384" s="26">
        <v>1551.722471948131</v>
      </c>
      <c r="O384" s="26">
        <v>118.58443931400134</v>
      </c>
      <c r="P384" s="26">
        <v>953.86414592437768</v>
      </c>
      <c r="Q384" s="154">
        <v>3841.99</v>
      </c>
    </row>
    <row r="385" spans="1:17" x14ac:dyDescent="0.2">
      <c r="A385" s="8" t="s">
        <v>782</v>
      </c>
      <c r="B385" s="7">
        <v>2012</v>
      </c>
      <c r="C385" s="7" t="s">
        <v>783</v>
      </c>
      <c r="D385" s="2">
        <v>124.28200306018368</v>
      </c>
      <c r="E385" s="2">
        <v>318114.2</v>
      </c>
      <c r="F385" s="7">
        <v>2545729.11</v>
      </c>
      <c r="G385" s="7">
        <v>21656.32</v>
      </c>
      <c r="H385" s="7">
        <v>0</v>
      </c>
      <c r="I385" s="155">
        <v>1092320.42</v>
      </c>
      <c r="J385" s="155">
        <v>899133.21</v>
      </c>
      <c r="K385" s="155">
        <v>38005.269999999997</v>
      </c>
      <c r="L385" s="155">
        <v>-624575.96</v>
      </c>
      <c r="M385" s="26">
        <v>1551.9442202773355</v>
      </c>
      <c r="N385" s="26">
        <v>1277.4681887929073</v>
      </c>
      <c r="O385" s="26">
        <v>53.997030575130708</v>
      </c>
      <c r="P385" s="26">
        <v>-887.38343941804942</v>
      </c>
      <c r="Q385" s="154">
        <v>703.84</v>
      </c>
    </row>
    <row r="386" spans="1:17" x14ac:dyDescent="0.2">
      <c r="A386" s="8" t="s">
        <v>784</v>
      </c>
      <c r="B386" s="7">
        <v>2012</v>
      </c>
      <c r="C386" s="7" t="s">
        <v>785</v>
      </c>
      <c r="D386" s="2">
        <v>0</v>
      </c>
      <c r="E386" s="2">
        <v>0</v>
      </c>
      <c r="F386" s="7">
        <v>22.41</v>
      </c>
      <c r="G386" s="7">
        <v>0</v>
      </c>
      <c r="H386" s="7">
        <v>0</v>
      </c>
      <c r="I386" s="155">
        <v>11251.29</v>
      </c>
      <c r="J386" s="155">
        <v>20775.2</v>
      </c>
      <c r="K386" s="155">
        <v>0</v>
      </c>
      <c r="L386" s="155">
        <v>0</v>
      </c>
      <c r="M386" s="26" t="e">
        <v>#DIV/0!</v>
      </c>
      <c r="N386" s="26" t="e">
        <v>#DIV/0!</v>
      </c>
      <c r="O386" s="26" t="e">
        <v>#DIV/0!</v>
      </c>
      <c r="P386" s="26" t="e">
        <v>#DIV/0!</v>
      </c>
      <c r="Q386" s="154">
        <v>0</v>
      </c>
    </row>
    <row r="387" spans="1:17" x14ac:dyDescent="0.2">
      <c r="A387" s="8" t="s">
        <v>786</v>
      </c>
      <c r="B387" s="7">
        <v>2012</v>
      </c>
      <c r="C387" s="7" t="s">
        <v>787</v>
      </c>
      <c r="D387" s="2">
        <v>470.95473550534257</v>
      </c>
      <c r="E387" s="2">
        <v>2003182.7</v>
      </c>
      <c r="F387" s="7">
        <v>17644274.5</v>
      </c>
      <c r="G387" s="7">
        <v>197029</v>
      </c>
      <c r="H387" s="7">
        <v>224079.43</v>
      </c>
      <c r="I387" s="155">
        <v>4007099.53</v>
      </c>
      <c r="J387" s="155">
        <v>6845804.2599999998</v>
      </c>
      <c r="K387" s="155">
        <v>758539.7</v>
      </c>
      <c r="L387" s="155">
        <v>4626003.46</v>
      </c>
      <c r="M387" s="26">
        <v>889.76858819637039</v>
      </c>
      <c r="N387" s="26">
        <v>1520.0974035922932</v>
      </c>
      <c r="O387" s="26">
        <v>168.43225203340489</v>
      </c>
      <c r="P387" s="26">
        <v>1027.1949914844579</v>
      </c>
      <c r="Q387" s="154">
        <v>4503.53</v>
      </c>
    </row>
    <row r="388" spans="1:17" x14ac:dyDescent="0.2">
      <c r="A388" s="8" t="s">
        <v>788</v>
      </c>
      <c r="B388" s="7">
        <v>2012</v>
      </c>
      <c r="C388" s="7" t="s">
        <v>789</v>
      </c>
      <c r="D388" s="2">
        <v>80.050852272727298</v>
      </c>
      <c r="E388" s="2">
        <v>303305.27</v>
      </c>
      <c r="F388" s="7">
        <v>2565879.79</v>
      </c>
      <c r="G388" s="7">
        <v>105833.98</v>
      </c>
      <c r="H388" s="7">
        <v>1705.58</v>
      </c>
      <c r="I388" s="155">
        <v>831007.24</v>
      </c>
      <c r="J388" s="155">
        <v>863427.7</v>
      </c>
      <c r="K388" s="155">
        <v>129788.23</v>
      </c>
      <c r="L388" s="155">
        <v>719397.91</v>
      </c>
      <c r="M388" s="26">
        <v>1333.3021643910345</v>
      </c>
      <c r="N388" s="26">
        <v>1385.3188826672229</v>
      </c>
      <c r="O388" s="26">
        <v>208.23756959263241</v>
      </c>
      <c r="P388" s="26">
        <v>1154.231568982945</v>
      </c>
      <c r="Q388" s="154">
        <v>623.27</v>
      </c>
    </row>
    <row r="389" spans="1:17" x14ac:dyDescent="0.2">
      <c r="A389" s="8" t="s">
        <v>790</v>
      </c>
      <c r="B389" s="7">
        <v>2012</v>
      </c>
      <c r="C389" s="7" t="s">
        <v>791</v>
      </c>
      <c r="D389" s="2">
        <v>271.12521679697619</v>
      </c>
      <c r="E389" s="2">
        <v>0</v>
      </c>
      <c r="F389" s="7">
        <v>4427251.67</v>
      </c>
      <c r="G389" s="7">
        <v>115102.77</v>
      </c>
      <c r="H389" s="7">
        <v>0</v>
      </c>
      <c r="I389" s="155">
        <v>1340104.29</v>
      </c>
      <c r="J389" s="155">
        <v>1214568.3</v>
      </c>
      <c r="K389" s="155">
        <v>332430.95</v>
      </c>
      <c r="L389" s="155">
        <v>1537586.16</v>
      </c>
      <c r="M389" s="26">
        <v>822.4425194240896</v>
      </c>
      <c r="N389" s="26">
        <v>745.39916043745632</v>
      </c>
      <c r="O389" s="26">
        <v>204.01796344711616</v>
      </c>
      <c r="P389" s="26">
        <v>943.64016643959189</v>
      </c>
      <c r="Q389" s="154">
        <v>1629.42</v>
      </c>
    </row>
    <row r="390" spans="1:17" x14ac:dyDescent="0.2">
      <c r="A390" s="8" t="s">
        <v>792</v>
      </c>
      <c r="B390" s="7">
        <v>2012</v>
      </c>
      <c r="C390" s="7" t="s">
        <v>793</v>
      </c>
      <c r="D390" s="2">
        <v>258.34258684662069</v>
      </c>
      <c r="E390" s="2">
        <v>914661.15</v>
      </c>
      <c r="F390" s="7">
        <v>5167378.67</v>
      </c>
      <c r="G390" s="7">
        <v>129727.18</v>
      </c>
      <c r="H390" s="7">
        <v>24018.26</v>
      </c>
      <c r="I390" s="155">
        <v>2156751.39</v>
      </c>
      <c r="J390" s="155">
        <v>2651318.27</v>
      </c>
      <c r="K390" s="155">
        <v>787595.3</v>
      </c>
      <c r="L390" s="155">
        <v>904625.61</v>
      </c>
      <c r="M390" s="26">
        <v>1240.995782314491</v>
      </c>
      <c r="N390" s="26">
        <v>1525.569801832075</v>
      </c>
      <c r="O390" s="26">
        <v>453.18271266801696</v>
      </c>
      <c r="P390" s="26">
        <v>520.52200906831149</v>
      </c>
      <c r="Q390" s="154">
        <v>1737.92</v>
      </c>
    </row>
    <row r="391" spans="1:17" x14ac:dyDescent="0.2">
      <c r="A391" s="8" t="s">
        <v>794</v>
      </c>
      <c r="B391" s="7">
        <v>2012</v>
      </c>
      <c r="C391" s="7" t="s">
        <v>795</v>
      </c>
      <c r="D391" s="2">
        <v>537.98139458030403</v>
      </c>
      <c r="E391" s="2">
        <v>4170436.43</v>
      </c>
      <c r="F391" s="7">
        <v>20044900.109999999</v>
      </c>
      <c r="G391" s="7">
        <v>270572.51</v>
      </c>
      <c r="H391" s="7">
        <v>17658.419999999998</v>
      </c>
      <c r="I391" s="155">
        <v>5559998.9199999999</v>
      </c>
      <c r="J391" s="155">
        <v>7617504.8700000001</v>
      </c>
      <c r="K391" s="155">
        <v>137948.16</v>
      </c>
      <c r="L391" s="155">
        <v>5666500.96</v>
      </c>
      <c r="M391" s="26">
        <v>1416.2751751876692</v>
      </c>
      <c r="N391" s="26">
        <v>1940.3750251541728</v>
      </c>
      <c r="O391" s="26">
        <v>35.138955471382829</v>
      </c>
      <c r="P391" s="26">
        <v>1443.4039925721956</v>
      </c>
      <c r="Q391" s="154">
        <v>3925.79</v>
      </c>
    </row>
    <row r="392" spans="1:17" x14ac:dyDescent="0.2">
      <c r="A392" s="8" t="s">
        <v>796</v>
      </c>
      <c r="B392" s="7">
        <v>2012</v>
      </c>
      <c r="C392" s="7" t="s">
        <v>797</v>
      </c>
      <c r="D392" s="2">
        <v>470.49370786516857</v>
      </c>
      <c r="E392" s="2">
        <v>2129025.63</v>
      </c>
      <c r="F392" s="7">
        <v>12822289.199999999</v>
      </c>
      <c r="G392" s="7">
        <v>178888.83</v>
      </c>
      <c r="H392" s="7">
        <v>19137.45</v>
      </c>
      <c r="I392" s="155">
        <v>3273744.65</v>
      </c>
      <c r="J392" s="155">
        <v>4595617.95</v>
      </c>
      <c r="K392" s="155">
        <v>1613657.48</v>
      </c>
      <c r="L392" s="155">
        <v>2830737.5</v>
      </c>
      <c r="M392" s="26">
        <v>865.2802732955372</v>
      </c>
      <c r="N392" s="26">
        <v>1214.6633231574358</v>
      </c>
      <c r="O392" s="26">
        <v>426.50424348147857</v>
      </c>
      <c r="P392" s="26">
        <v>748.18948314369163</v>
      </c>
      <c r="Q392" s="154">
        <v>3783.45</v>
      </c>
    </row>
    <row r="393" spans="1:17" x14ac:dyDescent="0.2">
      <c r="A393" s="8" t="s">
        <v>798</v>
      </c>
      <c r="B393" s="7">
        <v>2012</v>
      </c>
      <c r="C393" s="7" t="s">
        <v>799</v>
      </c>
      <c r="D393" s="2">
        <v>415.47638070362854</v>
      </c>
      <c r="E393" s="2">
        <v>2430673.94</v>
      </c>
      <c r="F393" s="7">
        <v>21070386.48</v>
      </c>
      <c r="G393" s="7">
        <v>495468.96</v>
      </c>
      <c r="H393" s="7">
        <v>29822.15</v>
      </c>
      <c r="I393" s="155">
        <v>5111093.6399999997</v>
      </c>
      <c r="J393" s="155">
        <v>6826615.1600000001</v>
      </c>
      <c r="K393" s="155">
        <v>570209.52</v>
      </c>
      <c r="L393" s="155">
        <v>4967966.07</v>
      </c>
      <c r="M393" s="26">
        <v>1116.3346714834245</v>
      </c>
      <c r="N393" s="26">
        <v>1491.0286777650126</v>
      </c>
      <c r="O393" s="26">
        <v>124.54177168742328</v>
      </c>
      <c r="P393" s="26">
        <v>1085.0735989830641</v>
      </c>
      <c r="Q393" s="154">
        <v>4578.46</v>
      </c>
    </row>
    <row r="394" spans="1:17" x14ac:dyDescent="0.2">
      <c r="A394" s="8" t="s">
        <v>800</v>
      </c>
      <c r="B394" s="7">
        <v>2012</v>
      </c>
      <c r="C394" s="7" t="s">
        <v>801</v>
      </c>
      <c r="D394" s="2">
        <v>195.38032837575199</v>
      </c>
      <c r="E394" s="2">
        <v>806574.05</v>
      </c>
      <c r="F394" s="7">
        <v>5193455.79</v>
      </c>
      <c r="G394" s="7">
        <v>220489.85</v>
      </c>
      <c r="H394" s="7">
        <v>565627.85</v>
      </c>
      <c r="I394" s="155">
        <v>1563698.84</v>
      </c>
      <c r="J394" s="155">
        <v>2804682.44</v>
      </c>
      <c r="K394" s="155">
        <v>447546.48</v>
      </c>
      <c r="L394" s="155">
        <v>1173740.8999999999</v>
      </c>
      <c r="M394" s="26">
        <v>1049.5961498446111</v>
      </c>
      <c r="N394" s="26">
        <v>1882.5772682422592</v>
      </c>
      <c r="O394" s="26">
        <v>300.40507178767763</v>
      </c>
      <c r="P394" s="26">
        <v>787.84603405803421</v>
      </c>
      <c r="Q394" s="154">
        <v>1489.81</v>
      </c>
    </row>
    <row r="395" spans="1:17" x14ac:dyDescent="0.2">
      <c r="A395" s="8" t="s">
        <v>802</v>
      </c>
      <c r="B395" s="7">
        <v>2012</v>
      </c>
      <c r="C395" s="7" t="s">
        <v>803</v>
      </c>
      <c r="D395" s="2">
        <v>271.03491430642572</v>
      </c>
      <c r="E395" s="2">
        <v>1419964.78</v>
      </c>
      <c r="F395" s="7">
        <v>12142873.310000001</v>
      </c>
      <c r="G395" s="7">
        <v>364072.06</v>
      </c>
      <c r="H395" s="7">
        <v>114447.13</v>
      </c>
      <c r="I395" s="155">
        <v>3558371.01</v>
      </c>
      <c r="J395" s="155">
        <v>4836895.75</v>
      </c>
      <c r="K395" s="155">
        <v>388251.58</v>
      </c>
      <c r="L395" s="155">
        <v>3409456.89</v>
      </c>
      <c r="M395" s="26">
        <v>1003.4208090822956</v>
      </c>
      <c r="N395" s="26">
        <v>1363.9504799449558</v>
      </c>
      <c r="O395" s="26">
        <v>109.48260129038081</v>
      </c>
      <c r="P395" s="26">
        <v>961.42869348944248</v>
      </c>
      <c r="Q395" s="154">
        <v>3546.24</v>
      </c>
    </row>
    <row r="396" spans="1:17" x14ac:dyDescent="0.2">
      <c r="A396" s="8" t="s">
        <v>804</v>
      </c>
      <c r="B396" s="7">
        <v>2012</v>
      </c>
      <c r="C396" s="7" t="s">
        <v>805</v>
      </c>
      <c r="D396" s="2">
        <v>108.140733982059</v>
      </c>
      <c r="E396" s="2">
        <v>398038.21</v>
      </c>
      <c r="F396" s="7">
        <v>3994677.04</v>
      </c>
      <c r="G396" s="7">
        <v>90776.45</v>
      </c>
      <c r="H396" s="7">
        <v>1774.8</v>
      </c>
      <c r="I396" s="155">
        <v>1280139.47</v>
      </c>
      <c r="J396" s="155">
        <v>1403601.9</v>
      </c>
      <c r="K396" s="155">
        <v>70246.460000000006</v>
      </c>
      <c r="L396" s="155">
        <v>1118419.6399999999</v>
      </c>
      <c r="M396" s="26">
        <v>1136.7700333889818</v>
      </c>
      <c r="N396" s="26">
        <v>1246.4052676446561</v>
      </c>
      <c r="O396" s="26">
        <v>62.379195822825288</v>
      </c>
      <c r="P396" s="26">
        <v>993.16204312151456</v>
      </c>
      <c r="Q396" s="154">
        <v>1126.1199999999999</v>
      </c>
    </row>
    <row r="397" spans="1:17" x14ac:dyDescent="0.2">
      <c r="A397" s="8" t="s">
        <v>806</v>
      </c>
      <c r="B397" s="7">
        <v>2012</v>
      </c>
      <c r="C397" s="7" t="s">
        <v>807</v>
      </c>
      <c r="D397" s="2">
        <v>253.54606741573028</v>
      </c>
      <c r="E397" s="2">
        <v>974205.21</v>
      </c>
      <c r="F397" s="7">
        <v>7223732.9699999997</v>
      </c>
      <c r="G397" s="7">
        <v>134236.67000000001</v>
      </c>
      <c r="H397" s="7">
        <v>0</v>
      </c>
      <c r="I397" s="155">
        <v>3006767.13</v>
      </c>
      <c r="J397" s="155">
        <v>3243196.86</v>
      </c>
      <c r="K397" s="155">
        <v>234820.84</v>
      </c>
      <c r="L397" s="155">
        <v>1588558.7</v>
      </c>
      <c r="M397" s="26">
        <v>1371.4813465003308</v>
      </c>
      <c r="N397" s="26">
        <v>1479.3244053184937</v>
      </c>
      <c r="O397" s="26">
        <v>107.10919333135676</v>
      </c>
      <c r="P397" s="26">
        <v>724.59173945765963</v>
      </c>
      <c r="Q397" s="154">
        <v>2192.35</v>
      </c>
    </row>
    <row r="398" spans="1:17" x14ac:dyDescent="0.2">
      <c r="A398" s="8" t="s">
        <v>808</v>
      </c>
      <c r="B398" s="7">
        <v>2012</v>
      </c>
      <c r="C398" s="7" t="s">
        <v>809</v>
      </c>
      <c r="D398" s="2">
        <v>652.30445049620175</v>
      </c>
      <c r="E398" s="2">
        <v>3818094.38</v>
      </c>
      <c r="F398" s="7">
        <v>19585066.620000001</v>
      </c>
      <c r="G398" s="7">
        <v>680268.58</v>
      </c>
      <c r="H398" s="7">
        <v>428513.74</v>
      </c>
      <c r="I398" s="155">
        <v>4897490.51</v>
      </c>
      <c r="J398" s="155">
        <v>6297778.7000000002</v>
      </c>
      <c r="K398" s="155">
        <v>197000.86</v>
      </c>
      <c r="L398" s="155">
        <v>4692951.24</v>
      </c>
      <c r="M398" s="26">
        <v>938.32262841968725</v>
      </c>
      <c r="N398" s="26">
        <v>1206.6073943223469</v>
      </c>
      <c r="O398" s="26">
        <v>37.743894424848783</v>
      </c>
      <c r="P398" s="26">
        <v>899.13443090310977</v>
      </c>
      <c r="Q398" s="154">
        <v>5219.41</v>
      </c>
    </row>
    <row r="399" spans="1:17" x14ac:dyDescent="0.2">
      <c r="A399" s="8" t="s">
        <v>810</v>
      </c>
      <c r="B399" s="7">
        <v>2012</v>
      </c>
      <c r="C399" s="7" t="s">
        <v>811</v>
      </c>
      <c r="D399" s="2">
        <v>106.79074175323491</v>
      </c>
      <c r="E399" s="2">
        <v>609827.43000000005</v>
      </c>
      <c r="F399" s="7">
        <v>4451055.91</v>
      </c>
      <c r="G399" s="7">
        <v>9089.26</v>
      </c>
      <c r="H399" s="7">
        <v>3766.47</v>
      </c>
      <c r="I399" s="155">
        <v>1477449.22</v>
      </c>
      <c r="J399" s="155">
        <v>1679347.1</v>
      </c>
      <c r="K399" s="155">
        <v>288918.73</v>
      </c>
      <c r="L399" s="155">
        <v>926256.19</v>
      </c>
      <c r="M399" s="26">
        <v>1305.8362235067436</v>
      </c>
      <c r="N399" s="26">
        <v>1484.2826713333686</v>
      </c>
      <c r="O399" s="26">
        <v>255.35939792473172</v>
      </c>
      <c r="P399" s="26">
        <v>818.66697601244448</v>
      </c>
      <c r="Q399" s="154">
        <v>1131.42</v>
      </c>
    </row>
    <row r="400" spans="1:17" x14ac:dyDescent="0.2">
      <c r="A400" s="8" t="s">
        <v>812</v>
      </c>
      <c r="B400" s="7">
        <v>2012</v>
      </c>
      <c r="C400" s="7" t="s">
        <v>813</v>
      </c>
      <c r="D400" s="2">
        <v>105.99840000000002</v>
      </c>
      <c r="E400" s="2">
        <v>394776.86</v>
      </c>
      <c r="F400" s="7">
        <v>3867535.12</v>
      </c>
      <c r="G400" s="7">
        <v>140592.13</v>
      </c>
      <c r="H400" s="7">
        <v>54849.91</v>
      </c>
      <c r="I400" s="155">
        <v>1272874.27</v>
      </c>
      <c r="J400" s="155">
        <v>2521636.64</v>
      </c>
      <c r="K400" s="155">
        <v>181245.88</v>
      </c>
      <c r="L400" s="155">
        <v>722175.56</v>
      </c>
      <c r="M400" s="26">
        <v>998.41106753470854</v>
      </c>
      <c r="N400" s="26">
        <v>1977.9093575966742</v>
      </c>
      <c r="O400" s="26">
        <v>142.16478155149423</v>
      </c>
      <c r="P400" s="26">
        <v>566.45663189269749</v>
      </c>
      <c r="Q400" s="154">
        <v>1274.9000000000001</v>
      </c>
    </row>
    <row r="401" spans="1:17" x14ac:dyDescent="0.2">
      <c r="A401" s="8" t="s">
        <v>814</v>
      </c>
      <c r="B401" s="7">
        <v>2012</v>
      </c>
      <c r="C401" s="7" t="s">
        <v>815</v>
      </c>
      <c r="D401" s="2">
        <v>205.67977528089887</v>
      </c>
      <c r="E401" s="2">
        <v>426479.25</v>
      </c>
      <c r="F401" s="7">
        <v>7061079.0300000003</v>
      </c>
      <c r="G401" s="7">
        <v>277060.15999999997</v>
      </c>
      <c r="H401" s="7">
        <v>62768.95</v>
      </c>
      <c r="I401" s="155">
        <v>2769506.57</v>
      </c>
      <c r="J401" s="155">
        <v>2780838.19</v>
      </c>
      <c r="K401" s="155">
        <v>243721.83</v>
      </c>
      <c r="L401" s="155">
        <v>2127853.9700000002</v>
      </c>
      <c r="M401" s="26">
        <v>1612.7004268303335</v>
      </c>
      <c r="N401" s="26">
        <v>1619.2988976946503</v>
      </c>
      <c r="O401" s="26">
        <v>141.92069573926665</v>
      </c>
      <c r="P401" s="26">
        <v>1239.0622368704546</v>
      </c>
      <c r="Q401" s="154">
        <v>1717.31</v>
      </c>
    </row>
    <row r="402" spans="1:17" x14ac:dyDescent="0.2">
      <c r="A402" s="8" t="s">
        <v>816</v>
      </c>
      <c r="B402" s="7">
        <v>2012</v>
      </c>
      <c r="C402" s="7" t="s">
        <v>817</v>
      </c>
      <c r="D402" s="2">
        <v>1130.4859468863756</v>
      </c>
      <c r="E402" s="2">
        <v>5098430.68</v>
      </c>
      <c r="F402" s="7">
        <v>31236831.399999999</v>
      </c>
      <c r="G402" s="7">
        <v>467697.86</v>
      </c>
      <c r="H402" s="7">
        <v>115690.81</v>
      </c>
      <c r="I402" s="155">
        <v>9071456.8800000008</v>
      </c>
      <c r="J402" s="155">
        <v>11577905.65</v>
      </c>
      <c r="K402" s="155">
        <v>4052699.3</v>
      </c>
      <c r="L402" s="155">
        <v>8397689.3699999992</v>
      </c>
      <c r="M402" s="26">
        <v>1017.6274668174354</v>
      </c>
      <c r="N402" s="26">
        <v>1298.7985230505524</v>
      </c>
      <c r="O402" s="26">
        <v>454.62798059751054</v>
      </c>
      <c r="P402" s="26">
        <v>942.04486376975467</v>
      </c>
      <c r="Q402" s="154">
        <v>8914.32</v>
      </c>
    </row>
    <row r="403" spans="1:17" x14ac:dyDescent="0.2">
      <c r="A403" s="8" t="s">
        <v>818</v>
      </c>
      <c r="B403" s="7">
        <v>2012</v>
      </c>
      <c r="C403" s="7" t="s">
        <v>819</v>
      </c>
      <c r="D403" s="2">
        <v>224.52694746543779</v>
      </c>
      <c r="E403" s="2">
        <v>394542.29</v>
      </c>
      <c r="F403" s="7">
        <v>6119945.0599999996</v>
      </c>
      <c r="G403" s="7">
        <v>196173.15</v>
      </c>
      <c r="H403" s="7">
        <v>43888.34</v>
      </c>
      <c r="I403" s="155">
        <v>1526193.93</v>
      </c>
      <c r="J403" s="155">
        <v>3510783.4</v>
      </c>
      <c r="K403" s="155">
        <v>173597.65</v>
      </c>
      <c r="L403" s="155">
        <v>1182290.77</v>
      </c>
      <c r="M403" s="26">
        <v>914.15680648813122</v>
      </c>
      <c r="N403" s="26">
        <v>2102.8825224167572</v>
      </c>
      <c r="O403" s="26">
        <v>103.98119807608219</v>
      </c>
      <c r="P403" s="26">
        <v>708.16633024060957</v>
      </c>
      <c r="Q403" s="154">
        <v>1669.51</v>
      </c>
    </row>
    <row r="404" spans="1:17" x14ac:dyDescent="0.2">
      <c r="A404" s="8" t="s">
        <v>820</v>
      </c>
      <c r="B404" s="7">
        <v>2012</v>
      </c>
      <c r="C404" s="7" t="s">
        <v>821</v>
      </c>
      <c r="D404" s="2">
        <v>303.82224372759856</v>
      </c>
      <c r="E404" s="2">
        <v>629453.06999999995</v>
      </c>
      <c r="F404" s="7">
        <v>7421528.9199999999</v>
      </c>
      <c r="G404" s="7">
        <v>137482.35999999999</v>
      </c>
      <c r="H404" s="7">
        <v>-14287.81</v>
      </c>
      <c r="I404" s="155">
        <v>2478749.7999999998</v>
      </c>
      <c r="J404" s="155">
        <v>2195910.0099999998</v>
      </c>
      <c r="K404" s="155">
        <v>72954.240000000005</v>
      </c>
      <c r="L404" s="155">
        <v>836094.97</v>
      </c>
      <c r="M404" s="26">
        <v>1207.455805774355</v>
      </c>
      <c r="N404" s="26">
        <v>1069.6780653426665</v>
      </c>
      <c r="O404" s="26">
        <v>35.537681392392116</v>
      </c>
      <c r="P404" s="26">
        <v>407.28101146200197</v>
      </c>
      <c r="Q404" s="154">
        <v>2052.87</v>
      </c>
    </row>
    <row r="405" spans="1:17" x14ac:dyDescent="0.2">
      <c r="A405" s="8" t="s">
        <v>822</v>
      </c>
      <c r="B405" s="7">
        <v>2012</v>
      </c>
      <c r="C405" s="7" t="s">
        <v>823</v>
      </c>
      <c r="D405" s="2">
        <v>182.01727618702429</v>
      </c>
      <c r="E405" s="2">
        <v>919324.34</v>
      </c>
      <c r="F405" s="7">
        <v>5937868.2400000002</v>
      </c>
      <c r="G405" s="7">
        <v>182620.75</v>
      </c>
      <c r="H405" s="7">
        <v>16411.37</v>
      </c>
      <c r="I405" s="155">
        <v>1708489.98</v>
      </c>
      <c r="J405" s="155">
        <v>2383245.4700000002</v>
      </c>
      <c r="K405" s="155">
        <v>200939.37</v>
      </c>
      <c r="L405" s="155">
        <v>1309613.78</v>
      </c>
      <c r="M405" s="26">
        <v>978.48857707396701</v>
      </c>
      <c r="N405" s="26">
        <v>1364.9354084934569</v>
      </c>
      <c r="O405" s="26">
        <v>115.08225423097849</v>
      </c>
      <c r="P405" s="26">
        <v>750.04368717963405</v>
      </c>
      <c r="Q405" s="154">
        <v>1746.05</v>
      </c>
    </row>
    <row r="406" spans="1:17" x14ac:dyDescent="0.2">
      <c r="A406" s="8" t="s">
        <v>824</v>
      </c>
      <c r="B406" s="7">
        <v>2012</v>
      </c>
      <c r="C406" s="7" t="s">
        <v>825</v>
      </c>
      <c r="D406" s="2">
        <v>168.04134560664568</v>
      </c>
      <c r="E406" s="2">
        <v>774443.51</v>
      </c>
      <c r="F406" s="7">
        <v>5070069.3</v>
      </c>
      <c r="G406" s="7">
        <v>116186.73</v>
      </c>
      <c r="H406" s="7">
        <v>37866.949999999997</v>
      </c>
      <c r="I406" s="155">
        <v>1192890.8999999999</v>
      </c>
      <c r="J406" s="155">
        <v>1997830.85</v>
      </c>
      <c r="K406" s="155">
        <v>348964.36</v>
      </c>
      <c r="L406" s="155">
        <v>1063349.73</v>
      </c>
      <c r="M406" s="26">
        <v>850.30964651540739</v>
      </c>
      <c r="N406" s="26">
        <v>1424.0823229191169</v>
      </c>
      <c r="O406" s="26">
        <v>248.74677273342883</v>
      </c>
      <c r="P406" s="26">
        <v>757.97085302482731</v>
      </c>
      <c r="Q406" s="154">
        <v>1402.89</v>
      </c>
    </row>
    <row r="407" spans="1:17" x14ac:dyDescent="0.2">
      <c r="A407" s="8" t="s">
        <v>826</v>
      </c>
      <c r="B407" s="7">
        <v>2012</v>
      </c>
      <c r="C407" s="7" t="s">
        <v>827</v>
      </c>
      <c r="D407" s="2">
        <v>122.68552789434385</v>
      </c>
      <c r="E407" s="2">
        <v>0</v>
      </c>
      <c r="F407" s="7">
        <v>3564453.15</v>
      </c>
      <c r="G407" s="7">
        <v>410737.55</v>
      </c>
      <c r="H407" s="7">
        <v>54075</v>
      </c>
      <c r="I407" s="155">
        <v>1092927.48</v>
      </c>
      <c r="J407" s="155">
        <v>1259593.58</v>
      </c>
      <c r="K407" s="155">
        <v>276296.71999999997</v>
      </c>
      <c r="L407" s="155">
        <v>1105142.3999999999</v>
      </c>
      <c r="M407" s="26">
        <v>1074.6582890855457</v>
      </c>
      <c r="N407" s="26">
        <v>1238.5384267453294</v>
      </c>
      <c r="O407" s="26">
        <v>271.67819075712879</v>
      </c>
      <c r="P407" s="26">
        <v>1086.6690265486725</v>
      </c>
      <c r="Q407" s="154">
        <v>1017</v>
      </c>
    </row>
    <row r="408" spans="1:17" x14ac:dyDescent="0.2">
      <c r="A408" s="8" t="s">
        <v>828</v>
      </c>
      <c r="B408" s="7">
        <v>2012</v>
      </c>
      <c r="C408" s="7" t="s">
        <v>829</v>
      </c>
      <c r="D408" s="2">
        <v>311.46474213809586</v>
      </c>
      <c r="E408" s="2">
        <v>1277436.82</v>
      </c>
      <c r="F408" s="7">
        <v>8850727.0700000003</v>
      </c>
      <c r="G408" s="7">
        <v>194534.04</v>
      </c>
      <c r="H408" s="7">
        <v>22708.9</v>
      </c>
      <c r="I408" s="155">
        <v>2287126.9900000002</v>
      </c>
      <c r="J408" s="155">
        <v>3401067.41</v>
      </c>
      <c r="K408" s="155">
        <v>1010469.85</v>
      </c>
      <c r="L408" s="155">
        <v>1116669.8400000001</v>
      </c>
      <c r="M408" s="26">
        <v>928.35652675117615</v>
      </c>
      <c r="N408" s="26">
        <v>1380.5106326842911</v>
      </c>
      <c r="O408" s="26">
        <v>410.15487309376812</v>
      </c>
      <c r="P408" s="26">
        <v>453.26199145163844</v>
      </c>
      <c r="Q408" s="154">
        <v>2463.63</v>
      </c>
    </row>
    <row r="409" spans="1:17" x14ac:dyDescent="0.2">
      <c r="A409" s="8" t="s">
        <v>830</v>
      </c>
      <c r="B409" s="7">
        <v>2012</v>
      </c>
      <c r="C409" s="7" t="s">
        <v>831</v>
      </c>
      <c r="D409" s="2">
        <v>294.93798106060609</v>
      </c>
      <c r="E409" s="2">
        <v>1506600.53</v>
      </c>
      <c r="F409" s="7">
        <v>9797506.25</v>
      </c>
      <c r="G409" s="7">
        <v>488092.01</v>
      </c>
      <c r="H409" s="7">
        <v>1163</v>
      </c>
      <c r="I409" s="155">
        <v>2440343.85</v>
      </c>
      <c r="J409" s="155">
        <v>3199065.91</v>
      </c>
      <c r="K409" s="155">
        <v>243312.58</v>
      </c>
      <c r="L409" s="155">
        <v>2909440.22</v>
      </c>
      <c r="M409" s="26">
        <v>822.57857215087483</v>
      </c>
      <c r="N409" s="26">
        <v>1078.3247075875554</v>
      </c>
      <c r="O409" s="26">
        <v>82.014554892641655</v>
      </c>
      <c r="P409" s="26">
        <v>980.69916742508519</v>
      </c>
      <c r="Q409" s="154">
        <v>2966.7</v>
      </c>
    </row>
    <row r="410" spans="1:17" x14ac:dyDescent="0.2">
      <c r="A410" s="8" t="s">
        <v>832</v>
      </c>
      <c r="B410" s="7">
        <v>2012</v>
      </c>
      <c r="C410" s="7" t="s">
        <v>833</v>
      </c>
      <c r="D410" s="2">
        <v>167.90214170477327</v>
      </c>
      <c r="E410" s="2">
        <v>670518.62</v>
      </c>
      <c r="F410" s="7">
        <v>4389912.96</v>
      </c>
      <c r="G410" s="7">
        <v>74737.19</v>
      </c>
      <c r="H410" s="7">
        <v>93531.47</v>
      </c>
      <c r="I410" s="155">
        <v>1263363.48</v>
      </c>
      <c r="J410" s="155">
        <v>1582124.66</v>
      </c>
      <c r="K410" s="155">
        <v>86203.7</v>
      </c>
      <c r="L410" s="155">
        <v>923630.15</v>
      </c>
      <c r="M410" s="26">
        <v>933.74289916556415</v>
      </c>
      <c r="N410" s="26">
        <v>1169.3370041610926</v>
      </c>
      <c r="O410" s="26">
        <v>63.712537231801683</v>
      </c>
      <c r="P410" s="26">
        <v>682.64842831908118</v>
      </c>
      <c r="Q410" s="154">
        <v>1353.01</v>
      </c>
    </row>
    <row r="411" spans="1:17" x14ac:dyDescent="0.2">
      <c r="A411" s="8" t="s">
        <v>834</v>
      </c>
      <c r="B411" s="7">
        <v>2012</v>
      </c>
      <c r="C411" s="7" t="s">
        <v>835</v>
      </c>
      <c r="D411" s="2">
        <v>280.84385995894525</v>
      </c>
      <c r="E411" s="2">
        <v>1577178.53</v>
      </c>
      <c r="F411" s="7">
        <v>9958542.6199999992</v>
      </c>
      <c r="G411" s="7">
        <v>253070.83</v>
      </c>
      <c r="H411" s="7">
        <v>19164.13</v>
      </c>
      <c r="I411" s="155">
        <v>2233209.9</v>
      </c>
      <c r="J411" s="155">
        <v>2536898.5600000001</v>
      </c>
      <c r="K411" s="155">
        <v>990237.23</v>
      </c>
      <c r="L411" s="155">
        <v>2135053.59</v>
      </c>
      <c r="M411" s="26">
        <v>1086.107063652634</v>
      </c>
      <c r="N411" s="26">
        <v>1233.8040619407052</v>
      </c>
      <c r="O411" s="26">
        <v>481.59541572640262</v>
      </c>
      <c r="P411" s="26">
        <v>1038.3693827328614</v>
      </c>
      <c r="Q411" s="154">
        <v>2056.16</v>
      </c>
    </row>
    <row r="412" spans="1:17" x14ac:dyDescent="0.2">
      <c r="A412" s="8" t="s">
        <v>836</v>
      </c>
      <c r="B412" s="7">
        <v>2012</v>
      </c>
      <c r="C412" s="7" t="s">
        <v>837</v>
      </c>
      <c r="D412" s="2">
        <v>179.26717514124286</v>
      </c>
      <c r="E412" s="2">
        <v>484797.06</v>
      </c>
      <c r="F412" s="7">
        <v>3440470.48</v>
      </c>
      <c r="G412" s="7">
        <v>165693.78</v>
      </c>
      <c r="H412" s="7">
        <v>66689.600000000006</v>
      </c>
      <c r="I412" s="155">
        <v>1427879.84</v>
      </c>
      <c r="J412" s="155">
        <v>2208786.35</v>
      </c>
      <c r="K412" s="155">
        <v>197175.67</v>
      </c>
      <c r="L412" s="155">
        <v>810118.91</v>
      </c>
      <c r="M412" s="26">
        <v>1074.6604449528857</v>
      </c>
      <c r="N412" s="26">
        <v>1662.3915088659421</v>
      </c>
      <c r="O412" s="26">
        <v>148.39966733901315</v>
      </c>
      <c r="P412" s="26">
        <v>609.71709516211581</v>
      </c>
      <c r="Q412" s="154">
        <v>1328.68</v>
      </c>
    </row>
    <row r="413" spans="1:17" x14ac:dyDescent="0.2">
      <c r="A413" s="8" t="s">
        <v>838</v>
      </c>
      <c r="B413" s="7">
        <v>2012</v>
      </c>
      <c r="C413" s="7" t="s">
        <v>839</v>
      </c>
      <c r="D413" s="2">
        <v>962.84921258464806</v>
      </c>
      <c r="E413" s="2">
        <v>6125372.5099999998</v>
      </c>
      <c r="F413" s="7">
        <v>29381921.390000001</v>
      </c>
      <c r="G413" s="7">
        <v>478158.64</v>
      </c>
      <c r="H413" s="7">
        <v>0</v>
      </c>
      <c r="I413" s="155">
        <v>6979413.4699999997</v>
      </c>
      <c r="J413" s="155">
        <v>7298687.6699999999</v>
      </c>
      <c r="K413" s="155">
        <v>1928031.13</v>
      </c>
      <c r="L413" s="155">
        <v>5981770.8200000003</v>
      </c>
      <c r="M413" s="26">
        <v>905.00575984730301</v>
      </c>
      <c r="N413" s="26">
        <v>946.40536902830775</v>
      </c>
      <c r="O413" s="26">
        <v>250.00371239145176</v>
      </c>
      <c r="P413" s="26">
        <v>775.64355077340406</v>
      </c>
      <c r="Q413" s="154">
        <v>7712.01</v>
      </c>
    </row>
    <row r="414" spans="1:17" x14ac:dyDescent="0.2">
      <c r="A414" s="8" t="s">
        <v>840</v>
      </c>
      <c r="B414" s="7">
        <v>2012</v>
      </c>
      <c r="C414" s="7" t="s">
        <v>841</v>
      </c>
      <c r="D414" s="2">
        <v>183.15158192090396</v>
      </c>
      <c r="E414" s="2">
        <v>1069877.74</v>
      </c>
      <c r="F414" s="7">
        <v>11548839.52</v>
      </c>
      <c r="G414" s="7">
        <v>501164.98</v>
      </c>
      <c r="H414" s="7">
        <v>92543.16</v>
      </c>
      <c r="I414" s="155">
        <v>3255742.97</v>
      </c>
      <c r="J414" s="155">
        <v>2278788.85</v>
      </c>
      <c r="K414" s="155">
        <v>142422.57</v>
      </c>
      <c r="L414" s="155">
        <v>2260434.12</v>
      </c>
      <c r="M414" s="26">
        <v>1583.9717090827712</v>
      </c>
      <c r="N414" s="26">
        <v>1108.6676997027387</v>
      </c>
      <c r="O414" s="26">
        <v>69.290888038026111</v>
      </c>
      <c r="P414" s="26">
        <v>1099.7378261483</v>
      </c>
      <c r="Q414" s="154">
        <v>2055.4299999999998</v>
      </c>
    </row>
    <row r="415" spans="1:17" x14ac:dyDescent="0.2">
      <c r="A415" s="8" t="s">
        <v>842</v>
      </c>
      <c r="B415" s="7">
        <v>2012</v>
      </c>
      <c r="C415" s="7" t="s">
        <v>843</v>
      </c>
      <c r="D415" s="2">
        <v>132.55589740315531</v>
      </c>
      <c r="E415" s="2">
        <v>384561.26</v>
      </c>
      <c r="F415" s="7">
        <v>4384228.96</v>
      </c>
      <c r="G415" s="7">
        <v>121656.73</v>
      </c>
      <c r="H415" s="7">
        <v>1344.58</v>
      </c>
      <c r="I415" s="155">
        <v>1729357.1</v>
      </c>
      <c r="J415" s="155">
        <v>1557602.74</v>
      </c>
      <c r="K415" s="155">
        <v>174789.48</v>
      </c>
      <c r="L415" s="155">
        <v>1276009.06</v>
      </c>
      <c r="M415" s="26">
        <v>1580.4040210189628</v>
      </c>
      <c r="N415" s="26">
        <v>1423.4432168151702</v>
      </c>
      <c r="O415" s="26">
        <v>159.73450308430432</v>
      </c>
      <c r="P415" s="26">
        <v>1166.1037788439571</v>
      </c>
      <c r="Q415" s="154">
        <v>1094.25</v>
      </c>
    </row>
    <row r="416" spans="1:17" x14ac:dyDescent="0.2">
      <c r="A416" s="8" t="s">
        <v>844</v>
      </c>
      <c r="B416" s="7">
        <v>2012</v>
      </c>
      <c r="C416" s="7" t="s">
        <v>845</v>
      </c>
      <c r="D416" s="2">
        <v>67.392965190450155</v>
      </c>
      <c r="E416" s="2">
        <v>103177.23</v>
      </c>
      <c r="F416" s="7">
        <v>1721248.86</v>
      </c>
      <c r="G416" s="7">
        <v>27628.799999999999</v>
      </c>
      <c r="H416" s="7">
        <v>683.6</v>
      </c>
      <c r="I416" s="155">
        <v>694520.29</v>
      </c>
      <c r="J416" s="155">
        <v>665643.35</v>
      </c>
      <c r="K416" s="155">
        <v>80751.14</v>
      </c>
      <c r="L416" s="155">
        <v>327724.90000000002</v>
      </c>
      <c r="M416" s="26">
        <v>1511.370944225622</v>
      </c>
      <c r="N416" s="26">
        <v>1448.5307814506127</v>
      </c>
      <c r="O416" s="26">
        <v>175.72550214349445</v>
      </c>
      <c r="P416" s="26">
        <v>713.17411268034743</v>
      </c>
      <c r="Q416" s="154">
        <v>459.53</v>
      </c>
    </row>
    <row r="417" spans="1:17" x14ac:dyDescent="0.2">
      <c r="A417" s="8" t="s">
        <v>846</v>
      </c>
      <c r="B417" s="7">
        <v>2012</v>
      </c>
      <c r="C417" s="7" t="s">
        <v>847</v>
      </c>
      <c r="D417" s="2">
        <v>1409.6914566348034</v>
      </c>
      <c r="E417" s="2">
        <v>7717031.1600000001</v>
      </c>
      <c r="F417" s="7">
        <v>70528356.159999996</v>
      </c>
      <c r="G417" s="7">
        <v>1454309.02</v>
      </c>
      <c r="H417" s="7">
        <v>50904.37</v>
      </c>
      <c r="I417" s="155">
        <v>14101334.859999999</v>
      </c>
      <c r="J417" s="155">
        <v>21308412.280000001</v>
      </c>
      <c r="K417" s="155">
        <v>3620131.21</v>
      </c>
      <c r="L417" s="155">
        <v>14914494.789999999</v>
      </c>
      <c r="M417" s="26">
        <v>841.68682305836455</v>
      </c>
      <c r="N417" s="26">
        <v>1271.8661044810508</v>
      </c>
      <c r="O417" s="26">
        <v>216.08002132071439</v>
      </c>
      <c r="P417" s="26">
        <v>890.22307901676402</v>
      </c>
      <c r="Q417" s="154">
        <v>16753.66</v>
      </c>
    </row>
    <row r="418" spans="1:17" x14ac:dyDescent="0.2">
      <c r="A418" s="8" t="s">
        <v>848</v>
      </c>
      <c r="B418" s="7">
        <v>2012</v>
      </c>
      <c r="C418" s="7" t="s">
        <v>849</v>
      </c>
      <c r="D418" s="2">
        <v>378.64359318996418</v>
      </c>
      <c r="E418" s="2">
        <v>2237253.75</v>
      </c>
      <c r="F418" s="7">
        <v>14357504.359999999</v>
      </c>
      <c r="G418" s="7">
        <v>289249.15999999997</v>
      </c>
      <c r="H418" s="7">
        <v>109634.97</v>
      </c>
      <c r="I418" s="155">
        <v>4236095.99</v>
      </c>
      <c r="J418" s="155">
        <v>5161876.6500000004</v>
      </c>
      <c r="K418" s="155">
        <v>75367.62</v>
      </c>
      <c r="L418" s="155">
        <v>3459691.38</v>
      </c>
      <c r="M418" s="26">
        <v>1121.6603135599728</v>
      </c>
      <c r="N418" s="26">
        <v>1366.7943775270546</v>
      </c>
      <c r="O418" s="26">
        <v>19.956315551165986</v>
      </c>
      <c r="P418" s="26">
        <v>916.07898576243895</v>
      </c>
      <c r="Q418" s="154">
        <v>3776.63</v>
      </c>
    </row>
    <row r="419" spans="1:17" x14ac:dyDescent="0.2">
      <c r="A419" s="8" t="s">
        <v>850</v>
      </c>
      <c r="B419" s="7">
        <v>2012</v>
      </c>
      <c r="C419" s="7" t="s">
        <v>851</v>
      </c>
      <c r="D419" s="2">
        <v>155.63227415150328</v>
      </c>
      <c r="E419" s="2">
        <v>815261.78</v>
      </c>
      <c r="F419" s="7">
        <v>6528073.6900000004</v>
      </c>
      <c r="G419" s="7">
        <v>88145.69</v>
      </c>
      <c r="H419" s="7">
        <v>24626.39</v>
      </c>
      <c r="I419" s="155">
        <v>1993372.38</v>
      </c>
      <c r="J419" s="155">
        <v>2562566.11</v>
      </c>
      <c r="K419" s="155">
        <v>343594.38</v>
      </c>
      <c r="L419" s="155">
        <v>1752301.74</v>
      </c>
      <c r="M419" s="26">
        <v>1065.8890356388524</v>
      </c>
      <c r="N419" s="26">
        <v>1370.2462957516775</v>
      </c>
      <c r="O419" s="26">
        <v>183.72557281501483</v>
      </c>
      <c r="P419" s="26">
        <v>936.98459481859743</v>
      </c>
      <c r="Q419" s="154">
        <v>1870.15</v>
      </c>
    </row>
    <row r="420" spans="1:17" x14ac:dyDescent="0.2">
      <c r="A420" s="8" t="s">
        <v>852</v>
      </c>
      <c r="B420" s="7">
        <v>2012</v>
      </c>
      <c r="C420" s="7" t="s">
        <v>853</v>
      </c>
      <c r="D420" s="2">
        <v>246.64132768361583</v>
      </c>
      <c r="E420" s="2">
        <v>2507168.1</v>
      </c>
      <c r="F420" s="7">
        <v>16974508.100000001</v>
      </c>
      <c r="G420" s="7">
        <v>263089.38</v>
      </c>
      <c r="H420" s="7">
        <v>277440.21999999997</v>
      </c>
      <c r="I420" s="155">
        <v>5183290.5</v>
      </c>
      <c r="J420" s="155">
        <v>7578147.7400000002</v>
      </c>
      <c r="K420" s="155">
        <v>2006760.17</v>
      </c>
      <c r="L420" s="155">
        <v>5657770.4500000002</v>
      </c>
      <c r="M420" s="26">
        <v>2498.6095243604391</v>
      </c>
      <c r="N420" s="26">
        <v>3653.0524615926001</v>
      </c>
      <c r="O420" s="26">
        <v>967.36041976986894</v>
      </c>
      <c r="P420" s="26">
        <v>2727.3329814362228</v>
      </c>
      <c r="Q420" s="154">
        <v>2074.4699999999998</v>
      </c>
    </row>
    <row r="421" spans="1:17" x14ac:dyDescent="0.2">
      <c r="A421" s="8" t="s">
        <v>854</v>
      </c>
      <c r="B421" s="7">
        <v>2012</v>
      </c>
      <c r="C421" s="7" t="s">
        <v>855</v>
      </c>
      <c r="D421" s="2">
        <v>448.34111677003426</v>
      </c>
      <c r="E421" s="2">
        <v>3163575.19</v>
      </c>
      <c r="F421" s="7">
        <v>13547086.68</v>
      </c>
      <c r="G421" s="7">
        <v>479854.35</v>
      </c>
      <c r="H421" s="7">
        <v>103278.21</v>
      </c>
      <c r="I421" s="155">
        <v>3547795.65</v>
      </c>
      <c r="J421" s="155">
        <v>5828963.25</v>
      </c>
      <c r="K421" s="155">
        <v>624067.98</v>
      </c>
      <c r="L421" s="155">
        <v>3679622.51</v>
      </c>
      <c r="M421" s="26">
        <v>880.59541656945134</v>
      </c>
      <c r="N421" s="26">
        <v>1446.8021350952874</v>
      </c>
      <c r="O421" s="26">
        <v>154.89939585887819</v>
      </c>
      <c r="P421" s="26">
        <v>913.31605218349603</v>
      </c>
      <c r="Q421" s="154">
        <v>4028.86</v>
      </c>
    </row>
    <row r="422" spans="1:17" x14ac:dyDescent="0.2">
      <c r="A422" s="8" t="s">
        <v>856</v>
      </c>
      <c r="B422" s="7">
        <v>2012</v>
      </c>
      <c r="C422" s="7" t="s">
        <v>857</v>
      </c>
      <c r="D422" s="2">
        <v>241.24000420752117</v>
      </c>
      <c r="E422" s="2">
        <v>937912.56</v>
      </c>
      <c r="F422" s="7">
        <v>6150123.3899999997</v>
      </c>
      <c r="G422" s="7">
        <v>226649.23</v>
      </c>
      <c r="H422" s="7">
        <v>54951.62</v>
      </c>
      <c r="I422" s="155">
        <v>1752796.84</v>
      </c>
      <c r="J422" s="155">
        <v>1679303.52</v>
      </c>
      <c r="K422" s="155">
        <v>104684.95</v>
      </c>
      <c r="L422" s="155">
        <v>1639256.77</v>
      </c>
      <c r="M422" s="26">
        <v>1064.6885986758186</v>
      </c>
      <c r="N422" s="26">
        <v>1020.0470874081274</v>
      </c>
      <c r="O422" s="26">
        <v>63.588015550021261</v>
      </c>
      <c r="P422" s="26">
        <v>995.72178217821784</v>
      </c>
      <c r="Q422" s="154">
        <v>1646.3</v>
      </c>
    </row>
    <row r="423" spans="1:17" x14ac:dyDescent="0.2">
      <c r="A423" s="8" t="s">
        <v>858</v>
      </c>
      <c r="B423" s="7">
        <v>2012</v>
      </c>
      <c r="C423" s="7" t="s">
        <v>859</v>
      </c>
      <c r="D423" s="2">
        <v>84.533523719774252</v>
      </c>
      <c r="E423" s="2">
        <v>377744.04</v>
      </c>
      <c r="F423" s="7">
        <v>2771461.23</v>
      </c>
      <c r="G423" s="7">
        <v>70369.440000000002</v>
      </c>
      <c r="H423" s="7">
        <v>1859.27</v>
      </c>
      <c r="I423" s="155">
        <v>1024228.8</v>
      </c>
      <c r="J423" s="155">
        <v>1194195.1399999999</v>
      </c>
      <c r="K423" s="155">
        <v>15122.46</v>
      </c>
      <c r="L423" s="155">
        <v>821606.76</v>
      </c>
      <c r="M423" s="26">
        <v>1214.7502253427583</v>
      </c>
      <c r="N423" s="26">
        <v>1416.3327719531287</v>
      </c>
      <c r="O423" s="26">
        <v>17.935457089994781</v>
      </c>
      <c r="P423" s="26">
        <v>974.43754447554443</v>
      </c>
      <c r="Q423" s="154">
        <v>843.16</v>
      </c>
    </row>
    <row r="424" spans="1:17" x14ac:dyDescent="0.2">
      <c r="A424" s="8" t="s">
        <v>860</v>
      </c>
      <c r="B424" s="7">
        <v>2012</v>
      </c>
      <c r="C424" s="7" t="s">
        <v>861</v>
      </c>
      <c r="D424" s="2">
        <v>204.34570539693732</v>
      </c>
      <c r="E424" s="2">
        <v>720104.35</v>
      </c>
      <c r="F424" s="7">
        <v>4877143.84</v>
      </c>
      <c r="G424" s="7">
        <v>115623.01</v>
      </c>
      <c r="H424" s="7">
        <v>100685.81</v>
      </c>
      <c r="I424" s="155">
        <v>1323683.93</v>
      </c>
      <c r="J424" s="155">
        <v>1820901.88</v>
      </c>
      <c r="K424" s="155">
        <v>94875.74</v>
      </c>
      <c r="L424" s="155">
        <v>1089530.3400000001</v>
      </c>
      <c r="M424" s="26">
        <v>906.57694388702066</v>
      </c>
      <c r="N424" s="26">
        <v>1247.1161914676493</v>
      </c>
      <c r="O424" s="26">
        <v>64.979377983548972</v>
      </c>
      <c r="P424" s="26">
        <v>746.20765843201457</v>
      </c>
      <c r="Q424" s="154">
        <v>1460.09</v>
      </c>
    </row>
    <row r="425" spans="1:17" x14ac:dyDescent="0.2">
      <c r="A425" s="8" t="s">
        <v>862</v>
      </c>
      <c r="B425" s="7">
        <v>2012</v>
      </c>
      <c r="C425" s="7" t="s">
        <v>863</v>
      </c>
      <c r="D425" s="2">
        <v>55.057484595868083</v>
      </c>
      <c r="E425" s="2">
        <v>11377.5</v>
      </c>
      <c r="F425" s="7">
        <v>6814332.75</v>
      </c>
      <c r="G425" s="7">
        <v>162103.41</v>
      </c>
      <c r="H425" s="7">
        <v>6064</v>
      </c>
      <c r="I425" s="155">
        <v>1426311.44</v>
      </c>
      <c r="J425" s="155">
        <v>1092258.19</v>
      </c>
      <c r="K425" s="155">
        <v>321278.33</v>
      </c>
      <c r="L425" s="155">
        <v>1269995.8700000001</v>
      </c>
      <c r="M425" s="26">
        <v>1444.4684078871414</v>
      </c>
      <c r="N425" s="26">
        <v>1106.1626545679187</v>
      </c>
      <c r="O425" s="26">
        <v>325.36820837932817</v>
      </c>
      <c r="P425" s="26">
        <v>1286.1629381323235</v>
      </c>
      <c r="Q425" s="154">
        <v>987.43</v>
      </c>
    </row>
    <row r="426" spans="1:17" x14ac:dyDescent="0.2">
      <c r="A426" s="8" t="s">
        <v>864</v>
      </c>
      <c r="B426" s="7">
        <v>2012</v>
      </c>
      <c r="C426" s="7" t="s">
        <v>865</v>
      </c>
      <c r="D426" s="2">
        <v>131.86493459422053</v>
      </c>
      <c r="E426" s="2">
        <v>431185.77</v>
      </c>
      <c r="F426" s="7">
        <v>5150832.68</v>
      </c>
      <c r="G426" s="7">
        <v>238543.98</v>
      </c>
      <c r="H426" s="7">
        <v>34862.17</v>
      </c>
      <c r="I426" s="155">
        <v>1268860.1599999999</v>
      </c>
      <c r="J426" s="155">
        <v>1711234.52</v>
      </c>
      <c r="K426" s="155">
        <v>85158.1</v>
      </c>
      <c r="L426" s="155">
        <v>912398.61</v>
      </c>
      <c r="M426" s="26">
        <v>926.30376475569597</v>
      </c>
      <c r="N426" s="26">
        <v>1249.2495455574131</v>
      </c>
      <c r="O426" s="26">
        <v>62.167818894591228</v>
      </c>
      <c r="P426" s="26">
        <v>666.07676247070765</v>
      </c>
      <c r="Q426" s="154">
        <v>1369.81</v>
      </c>
    </row>
    <row r="427" spans="1:17" x14ac:dyDescent="0.2">
      <c r="A427" s="8" t="s">
        <v>866</v>
      </c>
      <c r="B427" s="7">
        <v>2012</v>
      </c>
      <c r="C427" s="7" t="s">
        <v>867</v>
      </c>
      <c r="D427" s="2">
        <v>48.780966670238975</v>
      </c>
      <c r="E427" s="2">
        <v>149271.74</v>
      </c>
      <c r="F427" s="7">
        <v>1952082.45</v>
      </c>
      <c r="G427" s="7">
        <v>85417.01</v>
      </c>
      <c r="H427" s="7">
        <v>3389.01</v>
      </c>
      <c r="I427" s="155">
        <v>529111.01</v>
      </c>
      <c r="J427" s="155">
        <v>601385</v>
      </c>
      <c r="K427" s="155">
        <v>9604.89</v>
      </c>
      <c r="L427" s="155">
        <v>308046.40000000002</v>
      </c>
      <c r="M427" s="26">
        <v>1139.4414032216384</v>
      </c>
      <c r="N427" s="26">
        <v>1295.0835558618312</v>
      </c>
      <c r="O427" s="26">
        <v>20.68414592126798</v>
      </c>
      <c r="P427" s="26">
        <v>663.37841330002584</v>
      </c>
      <c r="Q427" s="154">
        <v>464.36</v>
      </c>
    </row>
    <row r="428" spans="1:17" x14ac:dyDescent="0.2">
      <c r="A428" s="8" t="s">
        <v>868</v>
      </c>
      <c r="B428" s="7">
        <v>2012</v>
      </c>
      <c r="C428" s="7" t="s">
        <v>869</v>
      </c>
      <c r="D428" s="2">
        <v>342.81024514811031</v>
      </c>
      <c r="E428" s="2">
        <v>2247291.33</v>
      </c>
      <c r="F428" s="7">
        <v>9567423.8399999999</v>
      </c>
      <c r="G428" s="7">
        <v>193207.7</v>
      </c>
      <c r="H428" s="7">
        <v>1065.1199999999999</v>
      </c>
      <c r="I428" s="155">
        <v>3694170.51</v>
      </c>
      <c r="J428" s="155">
        <v>4161117.39</v>
      </c>
      <c r="K428" s="155">
        <v>945805.7</v>
      </c>
      <c r="L428" s="155">
        <v>2443192.15</v>
      </c>
      <c r="M428" s="26">
        <v>1231.0372726485073</v>
      </c>
      <c r="N428" s="26">
        <v>1386.641626067194</v>
      </c>
      <c r="O428" s="26">
        <v>315.17821557820088</v>
      </c>
      <c r="P428" s="26">
        <v>814.16398965629844</v>
      </c>
      <c r="Q428" s="154">
        <v>3000.86</v>
      </c>
    </row>
    <row r="429" spans="1:17" x14ac:dyDescent="0.2">
      <c r="A429" s="8" t="s">
        <v>870</v>
      </c>
      <c r="B429" s="7">
        <v>2012</v>
      </c>
      <c r="C429" s="7" t="s">
        <v>871</v>
      </c>
      <c r="D429" s="2">
        <v>124.11267204301076</v>
      </c>
      <c r="E429" s="2">
        <v>476887.45</v>
      </c>
      <c r="F429" s="7">
        <v>3960209.24</v>
      </c>
      <c r="G429" s="7">
        <v>113545.25</v>
      </c>
      <c r="H429" s="7">
        <v>59826.3</v>
      </c>
      <c r="I429" s="155">
        <v>1226531.56</v>
      </c>
      <c r="J429" s="155">
        <v>1504927.35</v>
      </c>
      <c r="K429" s="155">
        <v>9188.07</v>
      </c>
      <c r="L429" s="155">
        <v>598455.39</v>
      </c>
      <c r="M429" s="26">
        <v>1228.1281265645339</v>
      </c>
      <c r="N429" s="26">
        <v>1506.8863021928507</v>
      </c>
      <c r="O429" s="26">
        <v>9.2000300390507661</v>
      </c>
      <c r="P429" s="26">
        <v>599.23439471312702</v>
      </c>
      <c r="Q429" s="154">
        <v>998.7</v>
      </c>
    </row>
    <row r="430" spans="1:17" x14ac:dyDescent="0.2">
      <c r="A430" s="8" t="s">
        <v>872</v>
      </c>
      <c r="B430" s="7">
        <v>2012</v>
      </c>
      <c r="C430" s="7" t="s">
        <v>873</v>
      </c>
      <c r="D430" s="2">
        <v>41.570491494570327</v>
      </c>
      <c r="E430" s="2">
        <v>240640.01</v>
      </c>
      <c r="F430" s="7">
        <v>2296414.9900000002</v>
      </c>
      <c r="G430" s="7">
        <v>82602.789999999994</v>
      </c>
      <c r="H430" s="7">
        <v>1999.22</v>
      </c>
      <c r="I430" s="155">
        <v>730278.43</v>
      </c>
      <c r="J430" s="155">
        <v>824030.48</v>
      </c>
      <c r="K430" s="155">
        <v>59734.92</v>
      </c>
      <c r="L430" s="155">
        <v>629595.94999999995</v>
      </c>
      <c r="M430" s="26">
        <v>1420.5816912093683</v>
      </c>
      <c r="N430" s="26">
        <v>1602.9538389713462</v>
      </c>
      <c r="O430" s="26">
        <v>116.19997276635476</v>
      </c>
      <c r="P430" s="26">
        <v>1224.7280525998403</v>
      </c>
      <c r="Q430" s="154">
        <v>514.07000000000005</v>
      </c>
    </row>
    <row r="431" spans="1:17" x14ac:dyDescent="0.2">
      <c r="A431" s="8" t="s">
        <v>874</v>
      </c>
      <c r="B431" s="7">
        <v>2012</v>
      </c>
      <c r="C431" s="7" t="s">
        <v>875</v>
      </c>
      <c r="D431" s="2">
        <v>135.54706881375242</v>
      </c>
      <c r="E431" s="2">
        <v>711323.81</v>
      </c>
      <c r="F431" s="7">
        <v>3864800.15</v>
      </c>
      <c r="G431" s="7">
        <v>349739.7</v>
      </c>
      <c r="H431" s="7">
        <v>36343.839999999997</v>
      </c>
      <c r="I431" s="155">
        <v>1082054.26</v>
      </c>
      <c r="J431" s="155">
        <v>1359221.94</v>
      </c>
      <c r="K431" s="155">
        <v>14480</v>
      </c>
      <c r="L431" s="155">
        <v>1012187.84</v>
      </c>
      <c r="M431" s="26">
        <v>1033.3227586997211</v>
      </c>
      <c r="N431" s="26">
        <v>1298.0078880018334</v>
      </c>
      <c r="O431" s="26">
        <v>13.827877306237824</v>
      </c>
      <c r="P431" s="26">
        <v>966.60284961228456</v>
      </c>
      <c r="Q431" s="154">
        <v>1047.1600000000001</v>
      </c>
    </row>
    <row r="432" spans="1:17" x14ac:dyDescent="0.2">
      <c r="A432" s="8" t="s">
        <v>876</v>
      </c>
      <c r="B432" s="7">
        <v>2012</v>
      </c>
      <c r="C432" s="7" t="s">
        <v>877</v>
      </c>
      <c r="D432" s="2">
        <v>1778.210366081064</v>
      </c>
      <c r="E432" s="2">
        <v>12326626.960000001</v>
      </c>
      <c r="F432" s="7">
        <v>46630875.170000002</v>
      </c>
      <c r="G432" s="7">
        <v>1668422.47</v>
      </c>
      <c r="H432" s="7">
        <v>288445.7</v>
      </c>
      <c r="I432" s="155">
        <v>15271226.960000001</v>
      </c>
      <c r="J432" s="155">
        <v>14536561.58</v>
      </c>
      <c r="K432" s="155">
        <v>3614071.55</v>
      </c>
      <c r="L432" s="155">
        <v>14343989.57</v>
      </c>
      <c r="M432" s="26">
        <v>1354.4517669430343</v>
      </c>
      <c r="N432" s="26">
        <v>1289.292050264128</v>
      </c>
      <c r="O432" s="26">
        <v>320.54304540020075</v>
      </c>
      <c r="P432" s="26">
        <v>1272.2122504620909</v>
      </c>
      <c r="Q432" s="154">
        <v>11274.84</v>
      </c>
    </row>
    <row r="433" spans="1:17" x14ac:dyDescent="0.2">
      <c r="A433" s="8" t="s">
        <v>878</v>
      </c>
      <c r="B433" s="7">
        <v>2012</v>
      </c>
      <c r="C433" s="7" t="s">
        <v>879</v>
      </c>
      <c r="D433" s="2">
        <v>143.5212857868342</v>
      </c>
      <c r="E433" s="2">
        <v>382889.53</v>
      </c>
      <c r="F433" s="7">
        <v>3639351.81</v>
      </c>
      <c r="G433" s="7">
        <v>59545.43</v>
      </c>
      <c r="H433" s="7">
        <v>2194.81</v>
      </c>
      <c r="I433" s="155">
        <v>1276789.8400000001</v>
      </c>
      <c r="J433" s="155">
        <v>1363736.42</v>
      </c>
      <c r="K433" s="155">
        <v>294561.71000000002</v>
      </c>
      <c r="L433" s="155">
        <v>1181999.2</v>
      </c>
      <c r="M433" s="26">
        <v>1300.1006445569053</v>
      </c>
      <c r="N433" s="26">
        <v>1388.6346390786805</v>
      </c>
      <c r="O433" s="26">
        <v>299.93962752145978</v>
      </c>
      <c r="P433" s="26">
        <v>1203.5793782520593</v>
      </c>
      <c r="Q433" s="154">
        <v>982.07</v>
      </c>
    </row>
    <row r="434" spans="1:17" x14ac:dyDescent="0.2">
      <c r="A434" s="8" t="s">
        <v>880</v>
      </c>
      <c r="B434" s="7">
        <v>2012</v>
      </c>
      <c r="C434" s="7" t="s">
        <v>881</v>
      </c>
      <c r="D434" s="2">
        <v>215.99324483575467</v>
      </c>
      <c r="E434" s="2">
        <v>900369.79</v>
      </c>
      <c r="F434" s="7">
        <v>5566818.5899999999</v>
      </c>
      <c r="G434" s="7">
        <v>143181.07</v>
      </c>
      <c r="H434" s="7">
        <v>18600.759999999998</v>
      </c>
      <c r="I434" s="155">
        <v>1531777.89</v>
      </c>
      <c r="J434" s="155">
        <v>2064806.76</v>
      </c>
      <c r="K434" s="155">
        <v>382462.28</v>
      </c>
      <c r="L434" s="155">
        <v>1131705</v>
      </c>
      <c r="M434" s="26">
        <v>1041.1192227176336</v>
      </c>
      <c r="N434" s="26">
        <v>1403.4084334728943</v>
      </c>
      <c r="O434" s="26">
        <v>259.95206894676744</v>
      </c>
      <c r="P434" s="26">
        <v>769.1975694633245</v>
      </c>
      <c r="Q434" s="154">
        <v>1471.28</v>
      </c>
    </row>
    <row r="435" spans="1:17" x14ac:dyDescent="0.2">
      <c r="A435" s="8" t="s">
        <v>882</v>
      </c>
      <c r="B435" s="7">
        <v>2012</v>
      </c>
      <c r="C435" s="7" t="s">
        <v>883</v>
      </c>
      <c r="D435" s="2">
        <v>269.1546107742268</v>
      </c>
      <c r="E435" s="2">
        <v>1676565.91</v>
      </c>
      <c r="F435" s="7">
        <v>10123585.029999999</v>
      </c>
      <c r="G435" s="7">
        <v>296179.64</v>
      </c>
      <c r="H435" s="7">
        <v>0</v>
      </c>
      <c r="I435" s="155">
        <v>2205432.35</v>
      </c>
      <c r="J435" s="155">
        <v>2932975.86</v>
      </c>
      <c r="K435" s="155">
        <v>1246262.56</v>
      </c>
      <c r="L435" s="155">
        <v>2167913.25</v>
      </c>
      <c r="M435" s="26">
        <v>921.69523152791703</v>
      </c>
      <c r="N435" s="26">
        <v>1225.750526579739</v>
      </c>
      <c r="O435" s="26">
        <v>520.8385824139084</v>
      </c>
      <c r="P435" s="26">
        <v>906.0152331995987</v>
      </c>
      <c r="Q435" s="154">
        <v>2392.8000000000002</v>
      </c>
    </row>
    <row r="436" spans="1:17" x14ac:dyDescent="0.2">
      <c r="A436" s="8" t="s">
        <v>884</v>
      </c>
      <c r="B436" s="7">
        <v>2012</v>
      </c>
      <c r="C436" s="7" t="s">
        <v>885</v>
      </c>
      <c r="D436" s="2">
        <v>93.437290322580637</v>
      </c>
      <c r="E436" s="2">
        <v>534580.16</v>
      </c>
      <c r="F436" s="7">
        <v>2877504.09</v>
      </c>
      <c r="G436" s="7">
        <v>110438.98</v>
      </c>
      <c r="H436" s="7">
        <v>939.77</v>
      </c>
      <c r="I436" s="155">
        <v>858200.95</v>
      </c>
      <c r="J436" s="155">
        <v>1119653.1200000001</v>
      </c>
      <c r="K436" s="155">
        <v>18283.849999999999</v>
      </c>
      <c r="L436" s="155">
        <v>724437.31</v>
      </c>
      <c r="M436" s="26">
        <v>1011.9100931493927</v>
      </c>
      <c r="N436" s="26">
        <v>1320.1899775969816</v>
      </c>
      <c r="O436" s="26">
        <v>21.558601580002357</v>
      </c>
      <c r="P436" s="26">
        <v>854.18855087843417</v>
      </c>
      <c r="Q436" s="154">
        <v>848.1</v>
      </c>
    </row>
    <row r="437" spans="1:17" x14ac:dyDescent="0.2">
      <c r="A437" s="8" t="s">
        <v>886</v>
      </c>
      <c r="B437" s="7">
        <v>2012</v>
      </c>
      <c r="C437" s="7" t="s">
        <v>887</v>
      </c>
      <c r="D437" s="2">
        <v>152.72544802867381</v>
      </c>
      <c r="E437" s="2">
        <v>0</v>
      </c>
      <c r="F437" s="7">
        <v>8835756.8100000005</v>
      </c>
      <c r="G437" s="7">
        <v>303494.52</v>
      </c>
      <c r="H437" s="7">
        <v>72193.5</v>
      </c>
      <c r="I437" s="155">
        <v>2317416</v>
      </c>
      <c r="J437" s="155">
        <v>4644018.07</v>
      </c>
      <c r="K437" s="155">
        <v>371075.92</v>
      </c>
      <c r="L437" s="155">
        <v>3516904.57</v>
      </c>
      <c r="M437" s="26">
        <v>1303.7795505946688</v>
      </c>
      <c r="N437" s="26">
        <v>2612.7271893600982</v>
      </c>
      <c r="O437" s="26">
        <v>208.76752219459226</v>
      </c>
      <c r="P437" s="26">
        <v>1978.6124976089475</v>
      </c>
      <c r="Q437" s="154">
        <v>1777.46</v>
      </c>
    </row>
    <row r="438" spans="1:17" x14ac:dyDescent="0.2">
      <c r="A438" s="8" t="s">
        <v>888</v>
      </c>
      <c r="B438" s="7">
        <v>2012</v>
      </c>
      <c r="C438" s="7" t="s">
        <v>889</v>
      </c>
      <c r="D438" s="2">
        <v>463.18337177605753</v>
      </c>
      <c r="E438" s="2">
        <v>2199862.2000000002</v>
      </c>
      <c r="F438" s="7">
        <v>16847966.09</v>
      </c>
      <c r="G438" s="7">
        <v>855227.45</v>
      </c>
      <c r="H438" s="7">
        <v>142388.95000000001</v>
      </c>
      <c r="I438" s="155">
        <v>4670955.97</v>
      </c>
      <c r="J438" s="155">
        <v>6638191.7199999997</v>
      </c>
      <c r="K438" s="155">
        <v>246255.97</v>
      </c>
      <c r="L438" s="155">
        <v>4602565.3899999997</v>
      </c>
      <c r="M438" s="26">
        <v>981.73257571140027</v>
      </c>
      <c r="N438" s="26">
        <v>1395.2024162072523</v>
      </c>
      <c r="O438" s="26">
        <v>51.757607921191628</v>
      </c>
      <c r="P438" s="26">
        <v>967.3583746508416</v>
      </c>
      <c r="Q438" s="154">
        <v>4757.87</v>
      </c>
    </row>
    <row r="439" spans="1:17" x14ac:dyDescent="0.2">
      <c r="A439" s="8" t="s">
        <v>890</v>
      </c>
      <c r="B439" s="7">
        <v>2012</v>
      </c>
      <c r="C439" s="7" t="s">
        <v>891</v>
      </c>
      <c r="D439" s="2">
        <v>363.77549056539954</v>
      </c>
      <c r="E439" s="2">
        <v>1151875.52</v>
      </c>
      <c r="F439" s="7">
        <v>20153799.579999998</v>
      </c>
      <c r="G439" s="7">
        <v>359854.27</v>
      </c>
      <c r="H439" s="7">
        <v>5099.9399999999996</v>
      </c>
      <c r="I439" s="155">
        <v>4361872.4000000004</v>
      </c>
      <c r="J439" s="155">
        <v>5180969.4800000004</v>
      </c>
      <c r="K439" s="155">
        <v>362535.27</v>
      </c>
      <c r="L439" s="155">
        <v>3229074.91</v>
      </c>
      <c r="M439" s="26">
        <v>953.46891845219636</v>
      </c>
      <c r="N439" s="26">
        <v>1132.5167069603958</v>
      </c>
      <c r="O439" s="26">
        <v>79.247185632407536</v>
      </c>
      <c r="P439" s="26">
        <v>705.84883731097295</v>
      </c>
      <c r="Q439" s="154">
        <v>4574.74</v>
      </c>
    </row>
    <row r="440" spans="1:17" x14ac:dyDescent="0.2">
      <c r="A440" s="8" t="s">
        <v>892</v>
      </c>
      <c r="B440" s="7">
        <v>2012</v>
      </c>
      <c r="C440" s="7" t="s">
        <v>893</v>
      </c>
      <c r="D440" s="2">
        <v>47.674103442061629</v>
      </c>
      <c r="E440" s="2">
        <v>73025.95</v>
      </c>
      <c r="F440" s="7">
        <v>1832752.45</v>
      </c>
      <c r="G440" s="7">
        <v>60559.61</v>
      </c>
      <c r="H440" s="7">
        <v>290</v>
      </c>
      <c r="I440" s="155">
        <v>690464.86</v>
      </c>
      <c r="J440" s="155">
        <v>650436.09</v>
      </c>
      <c r="K440" s="155">
        <v>34983.980000000003</v>
      </c>
      <c r="L440" s="155">
        <v>428913.24</v>
      </c>
      <c r="M440" s="26">
        <v>1316.0986981301107</v>
      </c>
      <c r="N440" s="26">
        <v>1239.7996492766331</v>
      </c>
      <c r="O440" s="26">
        <v>66.683148123439381</v>
      </c>
      <c r="P440" s="26">
        <v>817.55378075977353</v>
      </c>
      <c r="Q440" s="154">
        <v>524.63</v>
      </c>
    </row>
    <row r="441" spans="1:17" x14ac:dyDescent="0.2">
      <c r="A441" s="8" t="s">
        <v>894</v>
      </c>
      <c r="B441" s="7">
        <v>2012</v>
      </c>
      <c r="C441" s="7" t="s">
        <v>895</v>
      </c>
      <c r="D441" s="2">
        <v>1137.3557190261781</v>
      </c>
      <c r="E441" s="2">
        <v>5901087.75</v>
      </c>
      <c r="F441" s="7">
        <v>39040984.479999997</v>
      </c>
      <c r="G441" s="7">
        <v>427308.19</v>
      </c>
      <c r="H441" s="7">
        <v>55938.58</v>
      </c>
      <c r="I441" s="155">
        <v>10116387.02</v>
      </c>
      <c r="J441" s="155">
        <v>14838246.289999999</v>
      </c>
      <c r="K441" s="155">
        <v>2745431.97</v>
      </c>
      <c r="L441" s="155">
        <v>7210722.1399999997</v>
      </c>
      <c r="M441" s="26">
        <v>1028.7509452228367</v>
      </c>
      <c r="N441" s="26">
        <v>1508.9240720138787</v>
      </c>
      <c r="O441" s="26">
        <v>279.18719683210526</v>
      </c>
      <c r="P441" s="26">
        <v>733.26941749053753</v>
      </c>
      <c r="Q441" s="154">
        <v>9833.66</v>
      </c>
    </row>
    <row r="442" spans="1:17" x14ac:dyDescent="0.2">
      <c r="A442" s="8" t="s">
        <v>896</v>
      </c>
      <c r="B442" s="7">
        <v>2012</v>
      </c>
      <c r="C442" s="7" t="s">
        <v>897</v>
      </c>
      <c r="D442" s="2">
        <v>189.08085683247771</v>
      </c>
      <c r="E442" s="2">
        <v>599975.54</v>
      </c>
      <c r="F442" s="7">
        <v>4557508.68</v>
      </c>
      <c r="G442" s="7">
        <v>149187.25</v>
      </c>
      <c r="H442" s="7">
        <v>3505.83</v>
      </c>
      <c r="I442" s="155">
        <v>1462944.48</v>
      </c>
      <c r="J442" s="155">
        <v>1988452</v>
      </c>
      <c r="K442" s="155">
        <v>320620.71000000002</v>
      </c>
      <c r="L442" s="155">
        <v>1139687.83</v>
      </c>
      <c r="M442" s="26">
        <v>1134.751617256946</v>
      </c>
      <c r="N442" s="26">
        <v>1542.3682536727633</v>
      </c>
      <c r="O442" s="26">
        <v>248.69355889607669</v>
      </c>
      <c r="P442" s="26">
        <v>884.01345774964716</v>
      </c>
      <c r="Q442" s="154">
        <v>1289.22</v>
      </c>
    </row>
    <row r="443" spans="1:17" x14ac:dyDescent="0.2">
      <c r="A443" s="8" t="s">
        <v>898</v>
      </c>
      <c r="B443" s="7">
        <v>2012</v>
      </c>
      <c r="C443" s="7" t="s">
        <v>899</v>
      </c>
      <c r="D443" s="2">
        <v>481.08560151540615</v>
      </c>
      <c r="E443" s="2">
        <v>1365920.34</v>
      </c>
      <c r="F443" s="7">
        <v>11504143.99</v>
      </c>
      <c r="G443" s="7">
        <v>308264.84000000003</v>
      </c>
      <c r="H443" s="7">
        <v>2893.76</v>
      </c>
      <c r="I443" s="155">
        <v>3190031.36</v>
      </c>
      <c r="J443" s="155">
        <v>4097033.62</v>
      </c>
      <c r="K443" s="155">
        <v>1298803.25</v>
      </c>
      <c r="L443" s="155">
        <v>2234202.44</v>
      </c>
      <c r="M443" s="26">
        <v>929.5802826012839</v>
      </c>
      <c r="N443" s="26">
        <v>1193.8822038121159</v>
      </c>
      <c r="O443" s="26">
        <v>378.47336152158266</v>
      </c>
      <c r="P443" s="26">
        <v>651.05019392777319</v>
      </c>
      <c r="Q443" s="154">
        <v>3431.69</v>
      </c>
    </row>
    <row r="444" spans="1:17" x14ac:dyDescent="0.2">
      <c r="A444" s="8" t="s">
        <v>900</v>
      </c>
      <c r="B444" s="7">
        <v>2012</v>
      </c>
      <c r="C444" s="7" t="s">
        <v>901</v>
      </c>
      <c r="D444" s="2">
        <v>802.68301957435631</v>
      </c>
      <c r="E444" s="2">
        <v>2506267.09</v>
      </c>
      <c r="F444" s="7">
        <v>21245229.140000001</v>
      </c>
      <c r="G444" s="7">
        <v>754475.08</v>
      </c>
      <c r="H444" s="7">
        <v>238948.65</v>
      </c>
      <c r="I444" s="155">
        <v>4544113.04</v>
      </c>
      <c r="J444" s="155">
        <v>8913045.3699999992</v>
      </c>
      <c r="K444" s="155">
        <v>1632512.06</v>
      </c>
      <c r="L444" s="155">
        <v>4197394.0999999996</v>
      </c>
      <c r="M444" s="26">
        <v>767.72542334509785</v>
      </c>
      <c r="N444" s="26">
        <v>1505.8541611406113</v>
      </c>
      <c r="O444" s="26">
        <v>275.81202345694237</v>
      </c>
      <c r="P444" s="26">
        <v>709.14744725820367</v>
      </c>
      <c r="Q444" s="154">
        <v>5918.93</v>
      </c>
    </row>
    <row r="445" spans="1:17" x14ac:dyDescent="0.2">
      <c r="A445" s="8" t="s">
        <v>902</v>
      </c>
      <c r="B445" s="7">
        <v>2012</v>
      </c>
      <c r="C445" s="7" t="s">
        <v>903</v>
      </c>
      <c r="D445" s="2">
        <v>81.596174338528442</v>
      </c>
      <c r="E445" s="2">
        <v>324943.77</v>
      </c>
      <c r="F445" s="7">
        <v>4683564.5599999996</v>
      </c>
      <c r="G445" s="7">
        <v>70584.31</v>
      </c>
      <c r="H445" s="7">
        <v>3267</v>
      </c>
      <c r="I445" s="155">
        <v>1108574.19</v>
      </c>
      <c r="J445" s="155">
        <v>1373401.53</v>
      </c>
      <c r="K445" s="155">
        <v>16245.66</v>
      </c>
      <c r="L445" s="155">
        <v>697351.05</v>
      </c>
      <c r="M445" s="26">
        <v>848.34451119188827</v>
      </c>
      <c r="N445" s="26">
        <v>1051.0055710732734</v>
      </c>
      <c r="O445" s="26">
        <v>12.43211019705376</v>
      </c>
      <c r="P445" s="26">
        <v>533.65299406925578</v>
      </c>
      <c r="Q445" s="154">
        <v>1306.75</v>
      </c>
    </row>
    <row r="446" spans="1:17" x14ac:dyDescent="0.2">
      <c r="A446" s="8" t="s">
        <v>904</v>
      </c>
      <c r="B446" s="7">
        <v>2012</v>
      </c>
      <c r="C446" s="7" t="s">
        <v>905</v>
      </c>
      <c r="D446" s="2">
        <v>106.28843218399143</v>
      </c>
      <c r="E446" s="2">
        <v>614629.19999999995</v>
      </c>
      <c r="F446" s="7">
        <v>3061332.7</v>
      </c>
      <c r="G446" s="7">
        <v>27229.29</v>
      </c>
      <c r="H446" s="7">
        <v>7577.51</v>
      </c>
      <c r="I446" s="155">
        <v>919953.98</v>
      </c>
      <c r="J446" s="155">
        <v>1371323.05</v>
      </c>
      <c r="K446" s="155">
        <v>97099.01</v>
      </c>
      <c r="L446" s="155">
        <v>805952.96</v>
      </c>
      <c r="M446" s="26">
        <v>1106.6183659721887</v>
      </c>
      <c r="N446" s="26">
        <v>1649.573028436703</v>
      </c>
      <c r="O446" s="26">
        <v>116.80100322378865</v>
      </c>
      <c r="P446" s="26">
        <v>969.48582976471141</v>
      </c>
      <c r="Q446" s="154">
        <v>831.32</v>
      </c>
    </row>
    <row r="447" spans="1:17" x14ac:dyDescent="0.2">
      <c r="A447" s="8" t="s">
        <v>906</v>
      </c>
      <c r="B447" s="7">
        <v>2012</v>
      </c>
      <c r="C447" s="7" t="s">
        <v>907</v>
      </c>
      <c r="D447" s="2">
        <v>152.73203046594983</v>
      </c>
      <c r="E447" s="2">
        <v>685754.96</v>
      </c>
      <c r="F447" s="7">
        <v>9070071.5600000005</v>
      </c>
      <c r="G447" s="7">
        <v>196472.61</v>
      </c>
      <c r="H447" s="7">
        <v>2226.0100000000002</v>
      </c>
      <c r="I447" s="155">
        <v>1981889.17</v>
      </c>
      <c r="J447" s="155">
        <v>2384849.25</v>
      </c>
      <c r="K447" s="155">
        <v>266020.42</v>
      </c>
      <c r="L447" s="155">
        <v>1812454.66</v>
      </c>
      <c r="M447" s="26">
        <v>887.87952924521539</v>
      </c>
      <c r="N447" s="26">
        <v>1068.4042586552937</v>
      </c>
      <c r="O447" s="26">
        <v>119.17623288653144</v>
      </c>
      <c r="P447" s="26">
        <v>811.97345172389078</v>
      </c>
      <c r="Q447" s="154">
        <v>2232.16</v>
      </c>
    </row>
    <row r="448" spans="1:17" x14ac:dyDescent="0.2">
      <c r="A448" s="8" t="s">
        <v>908</v>
      </c>
      <c r="B448" s="7">
        <v>2012</v>
      </c>
      <c r="C448" s="7" t="s">
        <v>909</v>
      </c>
      <c r="D448" s="2">
        <v>285.8574645264847</v>
      </c>
      <c r="E448" s="2">
        <v>1138991.1399999999</v>
      </c>
      <c r="F448" s="7">
        <v>7237085.1699999999</v>
      </c>
      <c r="G448" s="7">
        <v>234502.82</v>
      </c>
      <c r="H448" s="7">
        <v>71920.52</v>
      </c>
      <c r="I448" s="155">
        <v>2046183.95</v>
      </c>
      <c r="J448" s="155">
        <v>2793047.09</v>
      </c>
      <c r="K448" s="155">
        <v>225202.41</v>
      </c>
      <c r="L448" s="155">
        <v>2272049.86</v>
      </c>
      <c r="M448" s="26">
        <v>1122.3282377849448</v>
      </c>
      <c r="N448" s="26">
        <v>1531.981334605849</v>
      </c>
      <c r="O448" s="26">
        <v>123.52311919963141</v>
      </c>
      <c r="P448" s="26">
        <v>1246.215285548169</v>
      </c>
      <c r="Q448" s="154">
        <v>1823.16</v>
      </c>
    </row>
    <row r="449" spans="1:17" x14ac:dyDescent="0.2">
      <c r="A449" s="8" t="s">
        <v>910</v>
      </c>
      <c r="B449" s="7">
        <v>2012</v>
      </c>
      <c r="C449" s="7" t="s">
        <v>911</v>
      </c>
      <c r="D449" s="2">
        <v>395.42134831460675</v>
      </c>
      <c r="E449" s="2">
        <v>2131649.27</v>
      </c>
      <c r="F449" s="7">
        <v>5345350.82</v>
      </c>
      <c r="G449" s="7">
        <v>71813.36</v>
      </c>
      <c r="H449" s="7">
        <v>26971.24</v>
      </c>
      <c r="I449" s="155">
        <v>1998662.14</v>
      </c>
      <c r="J449" s="155">
        <v>2951557.25</v>
      </c>
      <c r="K449" s="155">
        <v>293060.55</v>
      </c>
      <c r="L449" s="155">
        <v>2291172.2000000002</v>
      </c>
      <c r="M449" s="26">
        <v>1044.1730830516533</v>
      </c>
      <c r="N449" s="26">
        <v>1541.9998066986745</v>
      </c>
      <c r="O449" s="26">
        <v>153.10538579287501</v>
      </c>
      <c r="P449" s="26">
        <v>1196.9908730428242</v>
      </c>
      <c r="Q449" s="154">
        <v>1914.11</v>
      </c>
    </row>
    <row r="450" spans="1:17" x14ac:dyDescent="0.2">
      <c r="A450" s="8" t="s">
        <v>912</v>
      </c>
      <c r="B450" s="7">
        <v>2012</v>
      </c>
      <c r="C450" s="7" t="s">
        <v>913</v>
      </c>
      <c r="D450" s="2">
        <v>140.85384918549656</v>
      </c>
      <c r="E450" s="2">
        <v>586701.68000000005</v>
      </c>
      <c r="F450" s="7">
        <v>4337987.8899999997</v>
      </c>
      <c r="G450" s="7">
        <v>168358.16</v>
      </c>
      <c r="H450" s="7">
        <v>20706.439999999999</v>
      </c>
      <c r="I450" s="155">
        <v>1572071.17</v>
      </c>
      <c r="J450" s="155">
        <v>2798376.84</v>
      </c>
      <c r="K450" s="155">
        <v>123457.33</v>
      </c>
      <c r="L450" s="155">
        <v>1209926.31</v>
      </c>
      <c r="M450" s="26">
        <v>1136.1604790159502</v>
      </c>
      <c r="N450" s="26">
        <v>2022.4308108147172</v>
      </c>
      <c r="O450" s="26">
        <v>89.224547760665473</v>
      </c>
      <c r="P450" s="26">
        <v>874.4327115569464</v>
      </c>
      <c r="Q450" s="154">
        <v>1383.67</v>
      </c>
    </row>
    <row r="451" spans="1:17" x14ac:dyDescent="0.2">
      <c r="A451" s="8" t="s">
        <v>914</v>
      </c>
      <c r="B451" s="7">
        <v>2012</v>
      </c>
      <c r="C451" s="7" t="s">
        <v>915</v>
      </c>
      <c r="D451" s="2">
        <v>818.32226563344739</v>
      </c>
      <c r="E451" s="2">
        <v>4805369.6100000003</v>
      </c>
      <c r="F451" s="7">
        <v>24651367.420000002</v>
      </c>
      <c r="G451" s="7">
        <v>378909.04</v>
      </c>
      <c r="H451" s="7">
        <v>10354.68</v>
      </c>
      <c r="I451" s="155">
        <v>9387045.5600000005</v>
      </c>
      <c r="J451" s="155">
        <v>12173961.189999999</v>
      </c>
      <c r="K451" s="155">
        <v>2591440.15</v>
      </c>
      <c r="L451" s="155">
        <v>6834381.21</v>
      </c>
      <c r="M451" s="26">
        <v>1807.630942362907</v>
      </c>
      <c r="N451" s="26">
        <v>2344.2976597387642</v>
      </c>
      <c r="O451" s="26">
        <v>499.02467932855893</v>
      </c>
      <c r="P451" s="26">
        <v>1316.0731849158772</v>
      </c>
      <c r="Q451" s="154">
        <v>5193.01</v>
      </c>
    </row>
    <row r="452" spans="1:17" x14ac:dyDescent="0.2">
      <c r="A452" s="8" t="s">
        <v>916</v>
      </c>
      <c r="B452" s="7">
        <v>2012</v>
      </c>
      <c r="C452" s="7" t="s">
        <v>917</v>
      </c>
      <c r="D452" s="2">
        <v>5.5536723163841772</v>
      </c>
      <c r="E452" s="2">
        <v>94279</v>
      </c>
      <c r="F452" s="7">
        <v>1261650.28</v>
      </c>
      <c r="G452" s="7">
        <v>25953.759999999998</v>
      </c>
      <c r="H452" s="7">
        <v>21701.99</v>
      </c>
      <c r="I452" s="155">
        <v>365163.52000000002</v>
      </c>
      <c r="J452" s="155">
        <v>219442.81</v>
      </c>
      <c r="K452" s="155">
        <v>16249.42</v>
      </c>
      <c r="L452" s="155">
        <v>163667.94</v>
      </c>
      <c r="M452" s="26">
        <v>5117.2017937219734</v>
      </c>
      <c r="N452" s="26">
        <v>3075.151485426009</v>
      </c>
      <c r="O452" s="26">
        <v>227.71048206278027</v>
      </c>
      <c r="P452" s="26">
        <v>2293.552970852018</v>
      </c>
      <c r="Q452" s="154">
        <v>71.36</v>
      </c>
    </row>
    <row r="453" spans="1:17" x14ac:dyDescent="0.2">
      <c r="A453" s="8" t="s">
        <v>918</v>
      </c>
      <c r="B453" s="7">
        <v>2012</v>
      </c>
      <c r="C453" s="7" t="s">
        <v>919</v>
      </c>
      <c r="D453" s="2">
        <v>198.07168390307868</v>
      </c>
      <c r="E453" s="2">
        <v>773237.45</v>
      </c>
      <c r="F453" s="7">
        <v>3982600.18</v>
      </c>
      <c r="G453" s="7">
        <v>109503.06</v>
      </c>
      <c r="H453" s="7">
        <v>6867.04</v>
      </c>
      <c r="I453" s="155">
        <v>1392784.11</v>
      </c>
      <c r="J453" s="155">
        <v>2216169.75</v>
      </c>
      <c r="K453" s="155">
        <v>32660.93</v>
      </c>
      <c r="L453" s="155">
        <v>968315.36</v>
      </c>
      <c r="M453" s="26">
        <v>1072.9735990632175</v>
      </c>
      <c r="N453" s="26">
        <v>1707.2937691632128</v>
      </c>
      <c r="O453" s="26">
        <v>25.161340770072265</v>
      </c>
      <c r="P453" s="26">
        <v>745.97118777252206</v>
      </c>
      <c r="Q453" s="154">
        <v>1298.06</v>
      </c>
    </row>
    <row r="454" spans="1:17" x14ac:dyDescent="0.2">
      <c r="A454" s="8" t="s">
        <v>920</v>
      </c>
      <c r="B454" s="7">
        <v>2012</v>
      </c>
      <c r="C454" s="7" t="s">
        <v>921</v>
      </c>
      <c r="D454" s="2">
        <v>408.28750842995299</v>
      </c>
      <c r="E454" s="2">
        <v>1709952.6</v>
      </c>
      <c r="F454" s="7">
        <v>10440516.6</v>
      </c>
      <c r="G454" s="7">
        <v>241166.09</v>
      </c>
      <c r="H454" s="7">
        <v>83133.919999999998</v>
      </c>
      <c r="I454" s="155">
        <v>3484790.84</v>
      </c>
      <c r="J454" s="155">
        <v>3972309.8</v>
      </c>
      <c r="K454" s="155">
        <v>242601.74</v>
      </c>
      <c r="L454" s="155">
        <v>2232722.88</v>
      </c>
      <c r="M454" s="26">
        <v>1259.0199070762249</v>
      </c>
      <c r="N454" s="26">
        <v>1435.1556075813082</v>
      </c>
      <c r="O454" s="26">
        <v>87.64957042624988</v>
      </c>
      <c r="P454" s="26">
        <v>806.66033686674893</v>
      </c>
      <c r="Q454" s="154">
        <v>2767.86</v>
      </c>
    </row>
    <row r="455" spans="1:17" x14ac:dyDescent="0.2">
      <c r="A455" s="8" t="s">
        <v>922</v>
      </c>
      <c r="B455" s="7">
        <v>2012</v>
      </c>
      <c r="C455" s="7" t="s">
        <v>923</v>
      </c>
      <c r="D455" s="2">
        <v>233.5067007150156</v>
      </c>
      <c r="E455" s="2">
        <v>1001345.28</v>
      </c>
      <c r="F455" s="7">
        <v>6417222.9299999997</v>
      </c>
      <c r="G455" s="7">
        <v>184347.3</v>
      </c>
      <c r="H455" s="7">
        <v>8134.22</v>
      </c>
      <c r="I455" s="155">
        <v>1746547.6</v>
      </c>
      <c r="J455" s="155">
        <v>1304435.8799999999</v>
      </c>
      <c r="K455" s="155">
        <v>114117.83</v>
      </c>
      <c r="L455" s="155">
        <v>1447709.96</v>
      </c>
      <c r="M455" s="26">
        <v>1087.1146963444314</v>
      </c>
      <c r="N455" s="26">
        <v>811.92829533359475</v>
      </c>
      <c r="O455" s="26">
        <v>71.031084470835751</v>
      </c>
      <c r="P455" s="26">
        <v>901.10728935198154</v>
      </c>
      <c r="Q455" s="154">
        <v>1606.59</v>
      </c>
    </row>
    <row r="456" spans="1:17" x14ac:dyDescent="0.2">
      <c r="A456" s="8" t="s">
        <v>924</v>
      </c>
      <c r="B456" s="7">
        <v>2012</v>
      </c>
      <c r="C456" s="7" t="s">
        <v>925</v>
      </c>
      <c r="D456" s="2">
        <v>198.9447807176513</v>
      </c>
      <c r="E456" s="2">
        <v>236238.85</v>
      </c>
      <c r="F456" s="7">
        <v>13807087.68</v>
      </c>
      <c r="G456" s="7">
        <v>174943.26</v>
      </c>
      <c r="H456" s="7">
        <v>29623.75</v>
      </c>
      <c r="I456" s="155">
        <v>4128295.53</v>
      </c>
      <c r="J456" s="155">
        <v>5239941.5</v>
      </c>
      <c r="K456" s="155">
        <v>146602.79999999999</v>
      </c>
      <c r="L456" s="155">
        <v>2970913.69</v>
      </c>
      <c r="M456" s="26">
        <v>1588.7042019911255</v>
      </c>
      <c r="N456" s="26">
        <v>2016.5022147137033</v>
      </c>
      <c r="O456" s="26">
        <v>56.41758994508433</v>
      </c>
      <c r="P456" s="26">
        <v>1143.305518889526</v>
      </c>
      <c r="Q456" s="154">
        <v>2598.5300000000002</v>
      </c>
    </row>
    <row r="457" spans="1:17" x14ac:dyDescent="0.2">
      <c r="A457" s="8" t="s">
        <v>926</v>
      </c>
      <c r="B457" s="7">
        <v>2012</v>
      </c>
      <c r="C457" s="7" t="s">
        <v>927</v>
      </c>
      <c r="D457" s="2">
        <v>537.5046989247312</v>
      </c>
      <c r="E457" s="2">
        <v>2463027.06</v>
      </c>
      <c r="F457" s="7">
        <v>21365401.649999999</v>
      </c>
      <c r="G457" s="7">
        <v>376539.64</v>
      </c>
      <c r="H457" s="7">
        <v>22561.87</v>
      </c>
      <c r="I457" s="155">
        <v>7361869.6799999997</v>
      </c>
      <c r="J457" s="155">
        <v>8199817.7800000003</v>
      </c>
      <c r="K457" s="155">
        <v>1058538.3</v>
      </c>
      <c r="L457" s="155">
        <v>4383818.08</v>
      </c>
      <c r="M457" s="26">
        <v>1317.9167309644306</v>
      </c>
      <c r="N457" s="26">
        <v>1467.9256103215366</v>
      </c>
      <c r="O457" s="26">
        <v>189.4987817736874</v>
      </c>
      <c r="P457" s="26">
        <v>784.78802862160512</v>
      </c>
      <c r="Q457" s="154">
        <v>5585.99</v>
      </c>
    </row>
    <row r="458" spans="1:17" x14ac:dyDescent="0.2">
      <c r="A458" s="8" t="s">
        <v>928</v>
      </c>
      <c r="B458" s="7">
        <v>2012</v>
      </c>
      <c r="C458" s="7" t="s">
        <v>929</v>
      </c>
      <c r="D458" s="2">
        <v>137.55164537708438</v>
      </c>
      <c r="E458" s="2">
        <v>0</v>
      </c>
      <c r="F458" s="7">
        <v>4190630.65</v>
      </c>
      <c r="G458" s="7">
        <v>190211.15</v>
      </c>
      <c r="H458" s="7">
        <v>589.05999999999995</v>
      </c>
      <c r="I458" s="155">
        <v>2053736.67</v>
      </c>
      <c r="J458" s="155">
        <v>1961100.04</v>
      </c>
      <c r="K458" s="155">
        <v>23898.6</v>
      </c>
      <c r="L458" s="155">
        <v>948656.07</v>
      </c>
      <c r="M458" s="26">
        <v>2452.8965208355726</v>
      </c>
      <c r="N458" s="26">
        <v>2342.2552342732929</v>
      </c>
      <c r="O458" s="26">
        <v>28.543480597656668</v>
      </c>
      <c r="P458" s="26">
        <v>1133.0348274750081</v>
      </c>
      <c r="Q458" s="154">
        <v>837.27</v>
      </c>
    </row>
    <row r="459" spans="1:17" x14ac:dyDescent="0.2">
      <c r="A459" s="8" t="s">
        <v>930</v>
      </c>
      <c r="B459" s="7">
        <v>2012</v>
      </c>
      <c r="C459" s="7" t="s">
        <v>931</v>
      </c>
      <c r="D459" s="2">
        <v>92.068512544802871</v>
      </c>
      <c r="E459" s="2">
        <v>278934.88</v>
      </c>
      <c r="F459" s="7">
        <v>2666516.81</v>
      </c>
      <c r="G459" s="7">
        <v>71001.440000000002</v>
      </c>
      <c r="H459" s="7">
        <v>14809.53</v>
      </c>
      <c r="I459" s="155">
        <v>1014153.82</v>
      </c>
      <c r="J459" s="155">
        <v>1202075.6100000001</v>
      </c>
      <c r="K459" s="155">
        <v>78426.880000000005</v>
      </c>
      <c r="L459" s="155">
        <v>480675.16</v>
      </c>
      <c r="M459" s="26">
        <v>1265.1935178023402</v>
      </c>
      <c r="N459" s="26">
        <v>1499.6327378427607</v>
      </c>
      <c r="O459" s="26">
        <v>97.840365278574822</v>
      </c>
      <c r="P459" s="26">
        <v>599.65962224606392</v>
      </c>
      <c r="Q459" s="154">
        <v>801.58</v>
      </c>
    </row>
    <row r="460" spans="1:17" x14ac:dyDescent="0.2">
      <c r="A460" s="8" t="s">
        <v>932</v>
      </c>
      <c r="B460" s="7">
        <v>2012</v>
      </c>
      <c r="C460" s="7" t="s">
        <v>933</v>
      </c>
      <c r="D460" s="2">
        <v>51.635186950146633</v>
      </c>
      <c r="E460" s="2">
        <v>138055.62</v>
      </c>
      <c r="F460" s="7">
        <v>1756015.65</v>
      </c>
      <c r="G460" s="7">
        <v>52878.19</v>
      </c>
      <c r="H460" s="7">
        <v>53953.64</v>
      </c>
      <c r="I460" s="155">
        <v>914057.23</v>
      </c>
      <c r="J460" s="155">
        <v>888598.46</v>
      </c>
      <c r="K460" s="155">
        <v>29639.35</v>
      </c>
      <c r="L460" s="155">
        <v>213990.1</v>
      </c>
      <c r="M460" s="26">
        <v>1754.6978998694619</v>
      </c>
      <c r="N460" s="26">
        <v>1705.8251938877372</v>
      </c>
      <c r="O460" s="26">
        <v>56.898084158795982</v>
      </c>
      <c r="P460" s="26">
        <v>410.79263610535213</v>
      </c>
      <c r="Q460" s="154">
        <v>520.91999999999996</v>
      </c>
    </row>
    <row r="461" spans="1:17" x14ac:dyDescent="0.2">
      <c r="A461" s="8" t="s">
        <v>934</v>
      </c>
      <c r="B461" s="7">
        <v>2012</v>
      </c>
      <c r="C461" s="7" t="s">
        <v>935</v>
      </c>
      <c r="D461" s="2">
        <v>115.7829684668358</v>
      </c>
      <c r="E461" s="2">
        <v>341375.96</v>
      </c>
      <c r="F461" s="7">
        <v>3737359.01</v>
      </c>
      <c r="G461" s="7">
        <v>75444.41</v>
      </c>
      <c r="H461" s="7">
        <v>32148.720000000001</v>
      </c>
      <c r="I461" s="155">
        <v>1204879.6599999999</v>
      </c>
      <c r="J461" s="155">
        <v>2335626.0699999998</v>
      </c>
      <c r="K461" s="155">
        <v>193409.91</v>
      </c>
      <c r="L461" s="155">
        <v>986571.61</v>
      </c>
      <c r="M461" s="26">
        <v>932.87265210052806</v>
      </c>
      <c r="N461" s="26">
        <v>1808.3479691540592</v>
      </c>
      <c r="O461" s="26">
        <v>149.7467520401369</v>
      </c>
      <c r="P461" s="26">
        <v>763.84862726273252</v>
      </c>
      <c r="Q461" s="154">
        <v>1291.58</v>
      </c>
    </row>
    <row r="462" spans="1:17" x14ac:dyDescent="0.2">
      <c r="A462" s="8" t="s">
        <v>936</v>
      </c>
      <c r="B462" s="7">
        <v>2012</v>
      </c>
      <c r="C462" s="7" t="s">
        <v>937</v>
      </c>
      <c r="D462" s="2">
        <v>153.15131409122966</v>
      </c>
      <c r="E462" s="2">
        <v>624440.39</v>
      </c>
      <c r="F462" s="7">
        <v>3451627.25</v>
      </c>
      <c r="G462" s="7">
        <v>103870.18</v>
      </c>
      <c r="H462" s="7">
        <v>7366.42</v>
      </c>
      <c r="I462" s="155">
        <v>1119078.45</v>
      </c>
      <c r="J462" s="155">
        <v>1568028.03</v>
      </c>
      <c r="K462" s="155">
        <v>220987.51999999999</v>
      </c>
      <c r="L462" s="155">
        <v>512644.88</v>
      </c>
      <c r="M462" s="26">
        <v>1063.2574346793349</v>
      </c>
      <c r="N462" s="26">
        <v>1489.8128551068885</v>
      </c>
      <c r="O462" s="26">
        <v>209.96438954869359</v>
      </c>
      <c r="P462" s="26">
        <v>487.07352019002377</v>
      </c>
      <c r="Q462" s="154">
        <v>1052.5</v>
      </c>
    </row>
    <row r="463" spans="1:17" x14ac:dyDescent="0.2">
      <c r="A463" s="8" t="s">
        <v>938</v>
      </c>
      <c r="B463" s="7">
        <v>2012</v>
      </c>
      <c r="C463" s="7" t="s">
        <v>939</v>
      </c>
      <c r="D463" s="2">
        <v>109.06067880935026</v>
      </c>
      <c r="E463" s="2">
        <v>530673.97</v>
      </c>
      <c r="F463" s="7">
        <v>3600151.86</v>
      </c>
      <c r="G463" s="7">
        <v>154416.1</v>
      </c>
      <c r="H463" s="7">
        <v>55687.97</v>
      </c>
      <c r="I463" s="155">
        <v>1035126.38</v>
      </c>
      <c r="J463" s="155">
        <v>1241090.44</v>
      </c>
      <c r="K463" s="155">
        <v>218221.46</v>
      </c>
      <c r="L463" s="155">
        <v>992230.69</v>
      </c>
      <c r="M463" s="26">
        <v>948.55203570152207</v>
      </c>
      <c r="N463" s="26">
        <v>1137.2899832305479</v>
      </c>
      <c r="O463" s="26">
        <v>199.97018153160997</v>
      </c>
      <c r="P463" s="26">
        <v>909.24399094632861</v>
      </c>
      <c r="Q463" s="154">
        <v>1091.27</v>
      </c>
    </row>
    <row r="464" spans="1:17" x14ac:dyDescent="0.2">
      <c r="A464" s="8" t="s">
        <v>940</v>
      </c>
      <c r="B464" s="7">
        <v>2012</v>
      </c>
      <c r="C464" s="7" t="s">
        <v>941</v>
      </c>
      <c r="D464" s="2">
        <v>217.60206143249033</v>
      </c>
      <c r="E464" s="2">
        <v>768093.06</v>
      </c>
      <c r="F464" s="7">
        <v>5743578.2400000002</v>
      </c>
      <c r="G464" s="7">
        <v>157531.56</v>
      </c>
      <c r="H464" s="7">
        <v>25376.73</v>
      </c>
      <c r="I464" s="155">
        <v>1909835.69</v>
      </c>
      <c r="J464" s="155">
        <v>2405863.84</v>
      </c>
      <c r="K464" s="155">
        <v>283782.39</v>
      </c>
      <c r="L464" s="155">
        <v>732428.78</v>
      </c>
      <c r="M464" s="26">
        <v>933.69039389480167</v>
      </c>
      <c r="N464" s="26">
        <v>1176.1912127775033</v>
      </c>
      <c r="O464" s="26">
        <v>138.73700909815349</v>
      </c>
      <c r="P464" s="26">
        <v>358.0735869995649</v>
      </c>
      <c r="Q464" s="154">
        <v>2045.47</v>
      </c>
    </row>
    <row r="465" spans="1:17" x14ac:dyDescent="0.2">
      <c r="A465" s="8" t="s">
        <v>942</v>
      </c>
      <c r="B465" s="7">
        <v>2012</v>
      </c>
      <c r="C465" s="7" t="s">
        <v>943</v>
      </c>
      <c r="D465" s="2">
        <v>349.10693157703997</v>
      </c>
      <c r="E465" s="2">
        <v>1380367.7</v>
      </c>
      <c r="F465" s="7">
        <v>7663167.54</v>
      </c>
      <c r="G465" s="7">
        <v>206231.31</v>
      </c>
      <c r="H465" s="7">
        <v>59263.86</v>
      </c>
      <c r="I465" s="155">
        <v>2355350.6800000002</v>
      </c>
      <c r="J465" s="155">
        <v>3337899.58</v>
      </c>
      <c r="K465" s="155">
        <v>426977.33</v>
      </c>
      <c r="L465" s="155">
        <v>1189661.4099999999</v>
      </c>
      <c r="M465" s="26">
        <v>1112.4837899112038</v>
      </c>
      <c r="N465" s="26">
        <v>1576.563187228415</v>
      </c>
      <c r="O465" s="26">
        <v>201.67075854902706</v>
      </c>
      <c r="P465" s="26">
        <v>561.90317872662013</v>
      </c>
      <c r="Q465" s="154">
        <v>2117.1999999999998</v>
      </c>
    </row>
    <row r="466" spans="1:17" x14ac:dyDescent="0.2">
      <c r="A466" s="8" t="s">
        <v>944</v>
      </c>
      <c r="B466" s="7">
        <v>2012</v>
      </c>
      <c r="C466" s="7" t="s">
        <v>945</v>
      </c>
      <c r="D466" s="2">
        <v>120.32418380146797</v>
      </c>
      <c r="E466" s="2">
        <v>0</v>
      </c>
      <c r="F466" s="7">
        <v>0</v>
      </c>
      <c r="G466" s="7">
        <v>0</v>
      </c>
      <c r="H466" s="7">
        <v>0</v>
      </c>
      <c r="I466" s="155">
        <v>0</v>
      </c>
      <c r="J466" s="155">
        <v>0</v>
      </c>
      <c r="K466" s="155">
        <v>0</v>
      </c>
      <c r="L466" s="155">
        <v>0</v>
      </c>
      <c r="M466" s="26">
        <v>0</v>
      </c>
      <c r="N466" s="26">
        <v>0</v>
      </c>
      <c r="O466" s="26">
        <v>0</v>
      </c>
      <c r="P466" s="26">
        <v>0</v>
      </c>
      <c r="Q466" s="154" t="e">
        <v>#N/A</v>
      </c>
    </row>
    <row r="467" spans="1:17" x14ac:dyDescent="0.2">
      <c r="A467" s="8" t="s">
        <v>946</v>
      </c>
      <c r="B467" s="7">
        <v>2012</v>
      </c>
      <c r="C467" s="7" t="s">
        <v>947</v>
      </c>
      <c r="D467" s="2">
        <v>455.46953213724771</v>
      </c>
      <c r="E467" s="2">
        <v>1909725.18</v>
      </c>
      <c r="F467" s="7">
        <v>15775472.300000001</v>
      </c>
      <c r="G467" s="7">
        <v>488518.41</v>
      </c>
      <c r="H467" s="7">
        <v>65211.25</v>
      </c>
      <c r="I467" s="155">
        <v>5131859.99</v>
      </c>
      <c r="J467" s="155">
        <v>6712987.3399999999</v>
      </c>
      <c r="K467" s="155">
        <v>829638.47</v>
      </c>
      <c r="L467" s="155">
        <v>2298586.9700000002</v>
      </c>
      <c r="M467" s="26">
        <v>1102.8004826495442</v>
      </c>
      <c r="N467" s="26">
        <v>1442.5735879384893</v>
      </c>
      <c r="O467" s="26">
        <v>178.28345023509289</v>
      </c>
      <c r="P467" s="26">
        <v>493.95011260390083</v>
      </c>
      <c r="Q467" s="154">
        <v>4653.4799999999996</v>
      </c>
    </row>
    <row r="468" spans="1:17" x14ac:dyDescent="0.2">
      <c r="A468" s="8" t="s">
        <v>948</v>
      </c>
      <c r="B468" s="7">
        <v>2012</v>
      </c>
      <c r="C468" s="7" t="s">
        <v>949</v>
      </c>
      <c r="D468" s="2">
        <v>83.488764044943807</v>
      </c>
      <c r="E468" s="2">
        <v>428149.31</v>
      </c>
      <c r="F468" s="7">
        <v>2613223.3199999998</v>
      </c>
      <c r="G468" s="7">
        <v>23201.05</v>
      </c>
      <c r="H468" s="7">
        <v>0</v>
      </c>
      <c r="I468" s="155">
        <v>810585.99</v>
      </c>
      <c r="J468" s="155">
        <v>1131760.2</v>
      </c>
      <c r="K468" s="155">
        <v>164650.99</v>
      </c>
      <c r="L468" s="155">
        <v>394904.95</v>
      </c>
      <c r="M468" s="26">
        <v>1152.5465519692877</v>
      </c>
      <c r="N468" s="26">
        <v>1609.2139911844163</v>
      </c>
      <c r="O468" s="26">
        <v>234.11202900611403</v>
      </c>
      <c r="P468" s="26">
        <v>561.50284373667</v>
      </c>
      <c r="Q468" s="154">
        <v>703.3</v>
      </c>
    </row>
    <row r="469" spans="1:17" x14ac:dyDescent="0.2">
      <c r="A469" s="8" t="s">
        <v>950</v>
      </c>
      <c r="B469" s="7">
        <v>2012</v>
      </c>
      <c r="C469" s="7" t="s">
        <v>951</v>
      </c>
      <c r="D469" s="2">
        <v>221.96377142857139</v>
      </c>
      <c r="E469" s="2">
        <v>1078962.92</v>
      </c>
      <c r="F469" s="7">
        <v>5202220.17</v>
      </c>
      <c r="G469" s="7">
        <v>106191.13</v>
      </c>
      <c r="H469" s="7">
        <v>0</v>
      </c>
      <c r="I469" s="155">
        <v>1830954.12</v>
      </c>
      <c r="J469" s="155">
        <v>3266736.69</v>
      </c>
      <c r="K469" s="155">
        <v>0</v>
      </c>
      <c r="L469" s="155">
        <v>1169832.1200000001</v>
      </c>
      <c r="M469" s="26">
        <v>1245.1065745450589</v>
      </c>
      <c r="N469" s="26">
        <v>2221.4840260588089</v>
      </c>
      <c r="O469" s="26">
        <v>0</v>
      </c>
      <c r="P469" s="26">
        <v>795.522753855779</v>
      </c>
      <c r="Q469" s="154">
        <v>1470.52</v>
      </c>
    </row>
    <row r="470" spans="1:17" x14ac:dyDescent="0.2">
      <c r="A470" s="8" t="s">
        <v>952</v>
      </c>
      <c r="B470" s="7">
        <v>2012</v>
      </c>
      <c r="C470" s="7" t="s">
        <v>953</v>
      </c>
      <c r="D470" s="2">
        <v>210.93250896057347</v>
      </c>
      <c r="E470" s="2">
        <v>2181071.56</v>
      </c>
      <c r="F470" s="7">
        <v>13188326.710000001</v>
      </c>
      <c r="G470" s="7">
        <v>200758.13</v>
      </c>
      <c r="H470" s="7">
        <v>297882.23</v>
      </c>
      <c r="I470" s="155">
        <v>3847525.58</v>
      </c>
      <c r="J470" s="155">
        <v>5116716.74</v>
      </c>
      <c r="K470" s="155">
        <v>937025.7</v>
      </c>
      <c r="L470" s="155">
        <v>3157144.5</v>
      </c>
      <c r="M470" s="26">
        <v>1522.9220831139839</v>
      </c>
      <c r="N470" s="26">
        <v>2025.2915164205338</v>
      </c>
      <c r="O470" s="26">
        <v>370.89217506263827</v>
      </c>
      <c r="P470" s="26">
        <v>1249.6564294789841</v>
      </c>
      <c r="Q470" s="154">
        <v>2526.41</v>
      </c>
    </row>
    <row r="471" spans="1:17" x14ac:dyDescent="0.2">
      <c r="A471" s="8" t="s">
        <v>954</v>
      </c>
      <c r="B471" s="7">
        <v>2012</v>
      </c>
      <c r="C471" s="7" t="s">
        <v>955</v>
      </c>
      <c r="D471" s="2">
        <v>251.07009294696556</v>
      </c>
      <c r="E471" s="2">
        <v>893988.96</v>
      </c>
      <c r="F471" s="7">
        <v>6172058.8600000003</v>
      </c>
      <c r="G471" s="7">
        <v>225011.07</v>
      </c>
      <c r="H471" s="7">
        <v>132089.13</v>
      </c>
      <c r="I471" s="155">
        <v>2025417.25</v>
      </c>
      <c r="J471" s="155">
        <v>2504866.67</v>
      </c>
      <c r="K471" s="155">
        <v>287634.08</v>
      </c>
      <c r="L471" s="155">
        <v>606262.1</v>
      </c>
      <c r="M471" s="26">
        <v>1100.8240892217555</v>
      </c>
      <c r="N471" s="26">
        <v>1361.407172089939</v>
      </c>
      <c r="O471" s="26">
        <v>156.33051616655163</v>
      </c>
      <c r="P471" s="26">
        <v>329.50638889945702</v>
      </c>
      <c r="Q471" s="154">
        <v>1839.91</v>
      </c>
    </row>
    <row r="472" spans="1:17" x14ac:dyDescent="0.2">
      <c r="A472" s="8" t="s">
        <v>956</v>
      </c>
      <c r="B472" s="7">
        <v>2012</v>
      </c>
      <c r="C472" s="7" t="s">
        <v>957</v>
      </c>
      <c r="D472" s="2">
        <v>153.2369746802672</v>
      </c>
      <c r="E472" s="2">
        <v>313396.12</v>
      </c>
      <c r="F472" s="7">
        <v>4330834.62</v>
      </c>
      <c r="G472" s="7">
        <v>103130.75</v>
      </c>
      <c r="H472" s="7">
        <v>4241.0600000000004</v>
      </c>
      <c r="I472" s="155">
        <v>1203070.57</v>
      </c>
      <c r="J472" s="155">
        <v>1622851.98</v>
      </c>
      <c r="K472" s="155">
        <v>230111.94</v>
      </c>
      <c r="L472" s="155">
        <v>936649.59</v>
      </c>
      <c r="M472" s="26">
        <v>968.43752616157394</v>
      </c>
      <c r="N472" s="26">
        <v>1306.3495991241909</v>
      </c>
      <c r="O472" s="26">
        <v>185.23355443217309</v>
      </c>
      <c r="P472" s="26">
        <v>753.9762291914866</v>
      </c>
      <c r="Q472" s="154">
        <v>1242.28</v>
      </c>
    </row>
    <row r="473" spans="1:17" x14ac:dyDescent="0.2">
      <c r="A473" s="8" t="s">
        <v>958</v>
      </c>
      <c r="B473" s="7">
        <v>2012</v>
      </c>
      <c r="C473" s="7" t="s">
        <v>959</v>
      </c>
      <c r="D473" s="2">
        <v>240.3287680930197</v>
      </c>
      <c r="E473" s="2">
        <v>1120800.3999999999</v>
      </c>
      <c r="F473" s="7">
        <v>10311554.74</v>
      </c>
      <c r="G473" s="7">
        <v>160630.41</v>
      </c>
      <c r="H473" s="7">
        <v>121656.22</v>
      </c>
      <c r="I473" s="155">
        <v>1876924.12</v>
      </c>
      <c r="J473" s="155">
        <v>3318140.05</v>
      </c>
      <c r="K473" s="155">
        <v>169006</v>
      </c>
      <c r="L473" s="155">
        <v>2058223.2</v>
      </c>
      <c r="M473" s="26">
        <v>676.86908166393198</v>
      </c>
      <c r="N473" s="26">
        <v>1196.6101263996827</v>
      </c>
      <c r="O473" s="26">
        <v>60.94808777655566</v>
      </c>
      <c r="P473" s="26">
        <v>742.25038316594248</v>
      </c>
      <c r="Q473" s="154">
        <v>2772.95</v>
      </c>
    </row>
    <row r="474" spans="1:17" x14ac:dyDescent="0.2">
      <c r="A474" s="8" t="s">
        <v>960</v>
      </c>
      <c r="B474" s="7">
        <v>2012</v>
      </c>
      <c r="C474" s="7" t="s">
        <v>961</v>
      </c>
      <c r="D474" s="2">
        <v>176.63234038360474</v>
      </c>
      <c r="E474" s="2">
        <v>1439834.82</v>
      </c>
      <c r="F474" s="7">
        <v>9886223.0700000003</v>
      </c>
      <c r="G474" s="7">
        <v>296645.03999999998</v>
      </c>
      <c r="H474" s="7">
        <v>0</v>
      </c>
      <c r="I474" s="155">
        <v>2896222.05</v>
      </c>
      <c r="J474" s="155">
        <v>3076971.52</v>
      </c>
      <c r="K474" s="155">
        <v>720802.87</v>
      </c>
      <c r="L474" s="155">
        <v>2476864.9</v>
      </c>
      <c r="M474" s="26">
        <v>1837.5644303733218</v>
      </c>
      <c r="N474" s="26">
        <v>1952.2444483922545</v>
      </c>
      <c r="O474" s="26">
        <v>457.32740527371016</v>
      </c>
      <c r="P474" s="26">
        <v>1571.495127274573</v>
      </c>
      <c r="Q474" s="154">
        <v>1576.12</v>
      </c>
    </row>
    <row r="475" spans="1:17" x14ac:dyDescent="0.2">
      <c r="A475" s="8" t="s">
        <v>962</v>
      </c>
      <c r="B475" s="7">
        <v>2012</v>
      </c>
      <c r="C475" s="7" t="s">
        <v>963</v>
      </c>
      <c r="D475" s="2">
        <v>30.258225029772689</v>
      </c>
      <c r="E475" s="2">
        <v>125145.51</v>
      </c>
      <c r="F475" s="7">
        <v>1667420.11</v>
      </c>
      <c r="G475" s="7">
        <v>65319.44</v>
      </c>
      <c r="H475" s="7">
        <v>23487.759999999998</v>
      </c>
      <c r="I475" s="155">
        <v>587242.64</v>
      </c>
      <c r="J475" s="155">
        <v>546403.97</v>
      </c>
      <c r="K475" s="155">
        <v>7557.37</v>
      </c>
      <c r="L475" s="155">
        <v>242402.34</v>
      </c>
      <c r="M475" s="26">
        <v>1260.2314262414695</v>
      </c>
      <c r="N475" s="26">
        <v>1172.5910339499549</v>
      </c>
      <c r="O475" s="26">
        <v>16.218228250139489</v>
      </c>
      <c r="P475" s="26">
        <v>520.19902141722821</v>
      </c>
      <c r="Q475" s="154">
        <v>465.98</v>
      </c>
    </row>
    <row r="476" spans="1:17" x14ac:dyDescent="0.2">
      <c r="A476" s="8" t="s">
        <v>964</v>
      </c>
      <c r="B476" s="7">
        <v>2012</v>
      </c>
      <c r="C476" s="7" t="s">
        <v>965</v>
      </c>
      <c r="D476" s="2">
        <v>212.48912413667412</v>
      </c>
      <c r="E476" s="2">
        <v>857747.7</v>
      </c>
      <c r="F476" s="7">
        <v>7288746.0099999998</v>
      </c>
      <c r="G476" s="7">
        <v>293699.65000000002</v>
      </c>
      <c r="H476" s="7">
        <v>0</v>
      </c>
      <c r="I476" s="155">
        <v>2369600.46</v>
      </c>
      <c r="J476" s="155">
        <v>2253248.91</v>
      </c>
      <c r="K476" s="155">
        <v>89561.03</v>
      </c>
      <c r="L476" s="155">
        <v>1802876.37</v>
      </c>
      <c r="M476" s="26">
        <v>1130.6694309912918</v>
      </c>
      <c r="N476" s="26">
        <v>1075.1515734224026</v>
      </c>
      <c r="O476" s="26">
        <v>42.734596206608614</v>
      </c>
      <c r="P476" s="26">
        <v>860.25354646308006</v>
      </c>
      <c r="Q476" s="154">
        <v>2095.75</v>
      </c>
    </row>
    <row r="477" spans="1:17" x14ac:dyDescent="0.2">
      <c r="A477" s="8" t="s">
        <v>966</v>
      </c>
      <c r="B477" s="7">
        <v>2012</v>
      </c>
      <c r="C477" s="7" t="s">
        <v>967</v>
      </c>
      <c r="D477" s="2">
        <v>476.51660811965223</v>
      </c>
      <c r="E477" s="2">
        <v>3230694.17</v>
      </c>
      <c r="F477" s="7">
        <v>13485953.48</v>
      </c>
      <c r="G477" s="7">
        <v>188609.31</v>
      </c>
      <c r="H477" s="7">
        <v>14048.02</v>
      </c>
      <c r="I477" s="155">
        <v>3697169.12</v>
      </c>
      <c r="J477" s="155">
        <v>4638212.7</v>
      </c>
      <c r="K477" s="155">
        <v>1500267.54</v>
      </c>
      <c r="L477" s="155">
        <v>2879354.65</v>
      </c>
      <c r="M477" s="26">
        <v>1141.8240306366683</v>
      </c>
      <c r="N477" s="26">
        <v>1432.4534659275159</v>
      </c>
      <c r="O477" s="26">
        <v>463.33869886811101</v>
      </c>
      <c r="P477" s="26">
        <v>889.25235102456804</v>
      </c>
      <c r="Q477" s="154">
        <v>3237.95</v>
      </c>
    </row>
    <row r="478" spans="1:17" x14ac:dyDescent="0.2">
      <c r="A478" s="8" t="s">
        <v>968</v>
      </c>
      <c r="B478" s="7">
        <v>2012</v>
      </c>
      <c r="C478" s="7" t="s">
        <v>969</v>
      </c>
      <c r="D478" s="2">
        <v>239.39916712228904</v>
      </c>
      <c r="E478" s="2">
        <v>700434.43</v>
      </c>
      <c r="F478" s="7">
        <v>4299069.07</v>
      </c>
      <c r="G478" s="7">
        <v>155650.82999999999</v>
      </c>
      <c r="H478" s="7">
        <v>0</v>
      </c>
      <c r="I478" s="155">
        <v>1459964.02</v>
      </c>
      <c r="J478" s="155">
        <v>1780218.41</v>
      </c>
      <c r="K478" s="155">
        <v>48864.25</v>
      </c>
      <c r="L478" s="155">
        <v>1418087.09</v>
      </c>
      <c r="M478" s="26">
        <v>1025.9977511823861</v>
      </c>
      <c r="N478" s="26">
        <v>1251.0582865415292</v>
      </c>
      <c r="O478" s="26">
        <v>34.339620652578759</v>
      </c>
      <c r="P478" s="26">
        <v>996.56850812033986</v>
      </c>
      <c r="Q478" s="154">
        <v>1422.97</v>
      </c>
    </row>
    <row r="479" spans="1:17" x14ac:dyDescent="0.2">
      <c r="A479" s="8" t="s">
        <v>970</v>
      </c>
      <c r="B479" s="7">
        <v>2012</v>
      </c>
      <c r="C479" s="7" t="s">
        <v>971</v>
      </c>
      <c r="D479" s="2">
        <v>215.33314874551974</v>
      </c>
      <c r="E479" s="2">
        <v>738518.5</v>
      </c>
      <c r="F479" s="7">
        <v>5146952.66</v>
      </c>
      <c r="G479" s="7">
        <v>240616.3</v>
      </c>
      <c r="H479" s="7">
        <v>55358.92</v>
      </c>
      <c r="I479" s="155">
        <v>1416541.17</v>
      </c>
      <c r="J479" s="155">
        <v>2591119.39</v>
      </c>
      <c r="K479" s="155">
        <v>162636.29999999999</v>
      </c>
      <c r="L479" s="155">
        <v>1452919.79</v>
      </c>
      <c r="M479" s="26">
        <v>954.65192778148435</v>
      </c>
      <c r="N479" s="26">
        <v>1746.2373654663945</v>
      </c>
      <c r="O479" s="26">
        <v>109.60574998483654</v>
      </c>
      <c r="P479" s="26">
        <v>979.16863117742605</v>
      </c>
      <c r="Q479" s="154">
        <v>1483.83</v>
      </c>
    </row>
    <row r="480" spans="1:17" x14ac:dyDescent="0.2">
      <c r="A480" s="8" t="s">
        <v>972</v>
      </c>
      <c r="B480" s="7">
        <v>2012</v>
      </c>
      <c r="C480" s="7" t="s">
        <v>973</v>
      </c>
      <c r="D480" s="2">
        <v>133.31587531714388</v>
      </c>
      <c r="E480" s="2">
        <v>422317.63</v>
      </c>
      <c r="F480" s="7">
        <v>2232129.4700000002</v>
      </c>
      <c r="G480" s="7">
        <v>66477.66</v>
      </c>
      <c r="H480" s="7">
        <v>0</v>
      </c>
      <c r="I480" s="155">
        <v>932094.22</v>
      </c>
      <c r="J480" s="155">
        <v>790195.21</v>
      </c>
      <c r="K480" s="155">
        <v>82796.149999999994</v>
      </c>
      <c r="L480" s="155">
        <v>435549.09</v>
      </c>
      <c r="M480" s="26">
        <v>1515.5510715098696</v>
      </c>
      <c r="N480" s="26">
        <v>1284.8284771226952</v>
      </c>
      <c r="O480" s="26">
        <v>134.62350817859581</v>
      </c>
      <c r="P480" s="26">
        <v>708.18687197164331</v>
      </c>
      <c r="Q480" s="154">
        <v>615.02</v>
      </c>
    </row>
    <row r="481" spans="1:17" x14ac:dyDescent="0.2">
      <c r="A481" s="8" t="s">
        <v>974</v>
      </c>
      <c r="B481" s="7">
        <v>2012</v>
      </c>
      <c r="C481" s="7" t="s">
        <v>975</v>
      </c>
      <c r="D481" s="2">
        <v>162.25768279569894</v>
      </c>
      <c r="E481" s="2">
        <v>201670.3</v>
      </c>
      <c r="F481" s="7">
        <v>3681488.96</v>
      </c>
      <c r="G481" s="7">
        <v>97086.98</v>
      </c>
      <c r="H481" s="7">
        <v>12223.89</v>
      </c>
      <c r="I481" s="155">
        <v>870744.63</v>
      </c>
      <c r="J481" s="155">
        <v>1552807.59</v>
      </c>
      <c r="K481" s="155">
        <v>14412.9</v>
      </c>
      <c r="L481" s="155">
        <v>694167.81</v>
      </c>
      <c r="M481" s="26">
        <v>776.90256872384657</v>
      </c>
      <c r="N481" s="26">
        <v>1385.4581054434821</v>
      </c>
      <c r="O481" s="26">
        <v>12.859590110547025</v>
      </c>
      <c r="P481" s="26">
        <v>619.35582044807688</v>
      </c>
      <c r="Q481" s="154">
        <v>1120.79</v>
      </c>
    </row>
    <row r="482" spans="1:17" x14ac:dyDescent="0.2">
      <c r="A482" s="8" t="s">
        <v>976</v>
      </c>
      <c r="B482" s="7">
        <v>2012</v>
      </c>
      <c r="C482" s="7" t="s">
        <v>977</v>
      </c>
      <c r="D482" s="2">
        <v>108.39354838709677</v>
      </c>
      <c r="E482" s="2">
        <v>160440.89000000001</v>
      </c>
      <c r="F482" s="7">
        <v>2511464.54</v>
      </c>
      <c r="G482" s="7">
        <v>51885.84</v>
      </c>
      <c r="H482" s="7">
        <v>9968.61</v>
      </c>
      <c r="I482" s="155">
        <v>925597.33</v>
      </c>
      <c r="J482" s="155">
        <v>805504.46</v>
      </c>
      <c r="K482" s="155">
        <v>72143.839999999997</v>
      </c>
      <c r="L482" s="155">
        <v>405026.88</v>
      </c>
      <c r="M482" s="26">
        <v>1148.4550282275575</v>
      </c>
      <c r="N482" s="26">
        <v>999.44718655003396</v>
      </c>
      <c r="O482" s="26">
        <v>89.51403933246479</v>
      </c>
      <c r="P482" s="26">
        <v>502.54591475898008</v>
      </c>
      <c r="Q482" s="154">
        <v>805.95</v>
      </c>
    </row>
    <row r="483" spans="1:17" x14ac:dyDescent="0.2">
      <c r="A483" s="8" t="s">
        <v>978</v>
      </c>
      <c r="B483" s="7">
        <v>2012</v>
      </c>
      <c r="C483" s="7" t="s">
        <v>979</v>
      </c>
      <c r="D483" s="2">
        <v>730.92411099029437</v>
      </c>
      <c r="E483" s="2">
        <v>4538181.32</v>
      </c>
      <c r="F483" s="7">
        <v>32913117.329999998</v>
      </c>
      <c r="G483" s="7">
        <v>844164.95</v>
      </c>
      <c r="H483" s="7">
        <v>153728.29</v>
      </c>
      <c r="I483" s="155">
        <v>10596832.119999999</v>
      </c>
      <c r="J483" s="155">
        <v>16501456.439999999</v>
      </c>
      <c r="K483" s="155">
        <v>2409451.62</v>
      </c>
      <c r="L483" s="155">
        <v>10351980.220000001</v>
      </c>
      <c r="M483" s="26">
        <v>1985.6265344018946</v>
      </c>
      <c r="N483" s="26">
        <v>3092.0306552465254</v>
      </c>
      <c r="O483" s="26">
        <v>451.4812555159769</v>
      </c>
      <c r="P483" s="26">
        <v>1939.7463671846454</v>
      </c>
      <c r="Q483" s="154">
        <v>5336.77</v>
      </c>
    </row>
    <row r="484" spans="1:17" x14ac:dyDescent="0.2">
      <c r="A484" s="8" t="s">
        <v>980</v>
      </c>
      <c r="B484" s="7">
        <v>2012</v>
      </c>
      <c r="C484" s="7" t="s">
        <v>981</v>
      </c>
      <c r="D484" s="2">
        <v>155.63780671422711</v>
      </c>
      <c r="E484" s="2">
        <v>560569.82999999996</v>
      </c>
      <c r="F484" s="7">
        <v>9053153.6199999992</v>
      </c>
      <c r="G484" s="7">
        <v>128845.98</v>
      </c>
      <c r="H484" s="7">
        <v>995</v>
      </c>
      <c r="I484" s="155">
        <v>2297492.81</v>
      </c>
      <c r="J484" s="155">
        <v>3893708.38</v>
      </c>
      <c r="K484" s="155">
        <v>25865.98</v>
      </c>
      <c r="L484" s="155">
        <v>2432305.58</v>
      </c>
      <c r="M484" s="26">
        <v>909.28235135809018</v>
      </c>
      <c r="N484" s="26">
        <v>1541.0191038939965</v>
      </c>
      <c r="O484" s="26">
        <v>10.237019681720497</v>
      </c>
      <c r="P484" s="26">
        <v>962.63741387021071</v>
      </c>
      <c r="Q484" s="154">
        <v>2526.71</v>
      </c>
    </row>
    <row r="485" spans="1:17" x14ac:dyDescent="0.2">
      <c r="A485" s="8" t="s">
        <v>982</v>
      </c>
      <c r="B485" s="7">
        <v>2012</v>
      </c>
      <c r="C485" s="7" t="s">
        <v>983</v>
      </c>
      <c r="D485" s="2">
        <v>222.35016169079512</v>
      </c>
      <c r="E485" s="2">
        <v>1525981.6</v>
      </c>
      <c r="F485" s="7">
        <v>7771443.9500000002</v>
      </c>
      <c r="G485" s="7">
        <v>163420.32999999999</v>
      </c>
      <c r="H485" s="7">
        <v>-3585.4</v>
      </c>
      <c r="I485" s="155">
        <v>2391950.16</v>
      </c>
      <c r="J485" s="155">
        <v>2514700.7200000002</v>
      </c>
      <c r="K485" s="155">
        <v>253967.82</v>
      </c>
      <c r="L485" s="155">
        <v>2071955.05</v>
      </c>
      <c r="M485" s="26">
        <v>1330.1174220096759</v>
      </c>
      <c r="N485" s="26">
        <v>1398.3766446087973</v>
      </c>
      <c r="O485" s="26">
        <v>141.22661402435634</v>
      </c>
      <c r="P485" s="26">
        <v>1152.1743035088696</v>
      </c>
      <c r="Q485" s="154">
        <v>1798.3</v>
      </c>
    </row>
    <row r="486" spans="1:17" x14ac:dyDescent="0.2">
      <c r="A486" s="8" t="s">
        <v>984</v>
      </c>
      <c r="B486" s="7">
        <v>2012</v>
      </c>
      <c r="C486" s="7" t="s">
        <v>985</v>
      </c>
      <c r="D486" s="2">
        <v>236.3493606388663</v>
      </c>
      <c r="E486" s="2">
        <v>1375813.68</v>
      </c>
      <c r="F486" s="7">
        <v>7291463.7999999998</v>
      </c>
      <c r="G486" s="7">
        <v>94385.31</v>
      </c>
      <c r="H486" s="7">
        <v>73692.91</v>
      </c>
      <c r="I486" s="155">
        <v>2192168.7200000002</v>
      </c>
      <c r="J486" s="155">
        <v>2666110.77</v>
      </c>
      <c r="K486" s="155">
        <v>65047.42</v>
      </c>
      <c r="L486" s="155">
        <v>2012012.72</v>
      </c>
      <c r="M486" s="26">
        <v>1077.6723282714818</v>
      </c>
      <c r="N486" s="26">
        <v>1310.662712555981</v>
      </c>
      <c r="O486" s="26">
        <v>31.977376522119584</v>
      </c>
      <c r="P486" s="26">
        <v>989.10745906192687</v>
      </c>
      <c r="Q486" s="154">
        <v>2034.17</v>
      </c>
    </row>
    <row r="487" spans="1:17" x14ac:dyDescent="0.2">
      <c r="A487" s="8" t="s">
        <v>986</v>
      </c>
      <c r="B487" s="7">
        <v>2012</v>
      </c>
      <c r="C487" s="7" t="s">
        <v>987</v>
      </c>
      <c r="D487" s="2">
        <v>557.08788888888887</v>
      </c>
      <c r="E487" s="2">
        <v>2008544.72</v>
      </c>
      <c r="F487" s="7">
        <v>11029354.890000001</v>
      </c>
      <c r="G487" s="7">
        <v>234401.99</v>
      </c>
      <c r="H487" s="7">
        <v>168241.93</v>
      </c>
      <c r="I487" s="155">
        <v>2979945.29</v>
      </c>
      <c r="J487" s="155">
        <v>3927965.49</v>
      </c>
      <c r="K487" s="155">
        <v>580419.80000000005</v>
      </c>
      <c r="L487" s="155">
        <v>2606292.23</v>
      </c>
      <c r="M487" s="26">
        <v>871.71136170835166</v>
      </c>
      <c r="N487" s="26">
        <v>1149.0318824045635</v>
      </c>
      <c r="O487" s="26">
        <v>169.78786017259034</v>
      </c>
      <c r="P487" s="26">
        <v>762.40814099751356</v>
      </c>
      <c r="Q487" s="154">
        <v>3418.5</v>
      </c>
    </row>
    <row r="488" spans="1:17" x14ac:dyDescent="0.2">
      <c r="A488" s="8" t="s">
        <v>988</v>
      </c>
      <c r="B488" s="7">
        <v>2012</v>
      </c>
      <c r="C488" s="7" t="s">
        <v>989</v>
      </c>
      <c r="D488" s="2">
        <v>429.36570316359717</v>
      </c>
      <c r="E488" s="2">
        <v>3594095.15</v>
      </c>
      <c r="F488" s="7">
        <v>27418478.699999999</v>
      </c>
      <c r="G488" s="7">
        <v>499832.4</v>
      </c>
      <c r="H488" s="7">
        <v>256851.7</v>
      </c>
      <c r="I488" s="155">
        <v>6652076.6500000004</v>
      </c>
      <c r="J488" s="155">
        <v>10406012.57</v>
      </c>
      <c r="K488" s="155">
        <v>845224.7</v>
      </c>
      <c r="L488" s="155">
        <v>5050017.57</v>
      </c>
      <c r="M488" s="26">
        <v>1355.4587865401152</v>
      </c>
      <c r="N488" s="26">
        <v>2120.3786295597461</v>
      </c>
      <c r="O488" s="26">
        <v>172.22700616592155</v>
      </c>
      <c r="P488" s="26">
        <v>1029.0156063427894</v>
      </c>
      <c r="Q488" s="154">
        <v>4907.62</v>
      </c>
    </row>
    <row r="489" spans="1:17" x14ac:dyDescent="0.2">
      <c r="A489" s="8" t="s">
        <v>990</v>
      </c>
      <c r="B489" s="7">
        <v>2012</v>
      </c>
      <c r="C489" s="7" t="s">
        <v>991</v>
      </c>
      <c r="D489" s="2">
        <v>84.290842696629213</v>
      </c>
      <c r="E489" s="2">
        <v>183793.7</v>
      </c>
      <c r="F489" s="7">
        <v>3242464.15</v>
      </c>
      <c r="G489" s="7">
        <v>137899.73000000001</v>
      </c>
      <c r="H489" s="7">
        <v>37818.9</v>
      </c>
      <c r="I489" s="155">
        <v>930850.32</v>
      </c>
      <c r="J489" s="155">
        <v>1307948.32</v>
      </c>
      <c r="K489" s="155">
        <v>93972.6</v>
      </c>
      <c r="L489" s="155">
        <v>763363.71</v>
      </c>
      <c r="M489" s="26">
        <v>1134.0769005847953</v>
      </c>
      <c r="N489" s="26">
        <v>1593.5042884990255</v>
      </c>
      <c r="O489" s="26">
        <v>114.48903508771932</v>
      </c>
      <c r="P489" s="26">
        <v>930.02401315789473</v>
      </c>
      <c r="Q489" s="154">
        <v>820.8</v>
      </c>
    </row>
    <row r="490" spans="1:17" x14ac:dyDescent="0.2">
      <c r="A490" s="8" t="s">
        <v>992</v>
      </c>
      <c r="B490" s="7">
        <v>2012</v>
      </c>
      <c r="C490" s="7" t="s">
        <v>993</v>
      </c>
      <c r="D490" s="2">
        <v>584.17036267547473</v>
      </c>
      <c r="E490" s="2">
        <v>3110152.99</v>
      </c>
      <c r="F490" s="7">
        <v>21444403.120000001</v>
      </c>
      <c r="G490" s="7">
        <v>609760.43000000005</v>
      </c>
      <c r="H490" s="7">
        <v>2049.9699999999998</v>
      </c>
      <c r="I490" s="155">
        <v>6499367.7999999998</v>
      </c>
      <c r="J490" s="155">
        <v>9425930.75</v>
      </c>
      <c r="K490" s="155">
        <v>408521.04</v>
      </c>
      <c r="L490" s="155">
        <v>5885743.25</v>
      </c>
      <c r="M490" s="26">
        <v>1641.0265745919125</v>
      </c>
      <c r="N490" s="26">
        <v>2379.9549936246226</v>
      </c>
      <c r="O490" s="26">
        <v>103.14755273888727</v>
      </c>
      <c r="P490" s="26">
        <v>1486.0923987829972</v>
      </c>
      <c r="Q490" s="154">
        <v>3960.55</v>
      </c>
    </row>
    <row r="491" spans="1:17" x14ac:dyDescent="0.2">
      <c r="A491" s="8" t="s">
        <v>994</v>
      </c>
      <c r="B491" s="7">
        <v>2012</v>
      </c>
      <c r="C491" s="7" t="s">
        <v>995</v>
      </c>
      <c r="D491" s="2">
        <v>251.17769662921341</v>
      </c>
      <c r="E491" s="2">
        <v>814064.8</v>
      </c>
      <c r="F491" s="7">
        <v>4887341.37</v>
      </c>
      <c r="G491" s="7">
        <v>245712.25</v>
      </c>
      <c r="H491" s="7">
        <v>1575.98</v>
      </c>
      <c r="I491" s="155">
        <v>1751402.18</v>
      </c>
      <c r="J491" s="155">
        <v>2696534.92</v>
      </c>
      <c r="K491" s="155">
        <v>257528.34</v>
      </c>
      <c r="L491" s="155">
        <v>1200857.6399999999</v>
      </c>
      <c r="M491" s="26">
        <v>962.45696041149188</v>
      </c>
      <c r="N491" s="26">
        <v>1481.8405688787286</v>
      </c>
      <c r="O491" s="26">
        <v>141.52086035214208</v>
      </c>
      <c r="P491" s="26">
        <v>659.91341525069788</v>
      </c>
      <c r="Q491" s="154">
        <v>1819.72</v>
      </c>
    </row>
    <row r="492" spans="1:17" x14ac:dyDescent="0.2">
      <c r="A492" s="8" t="s">
        <v>996</v>
      </c>
      <c r="B492" s="7">
        <v>2012</v>
      </c>
      <c r="C492" s="7" t="s">
        <v>997</v>
      </c>
      <c r="D492" s="2">
        <v>138.4114270092947</v>
      </c>
      <c r="E492" s="2">
        <v>646823.55000000005</v>
      </c>
      <c r="F492" s="7">
        <v>4994571.55</v>
      </c>
      <c r="G492" s="7">
        <v>136661.9</v>
      </c>
      <c r="H492" s="7">
        <v>15871.27</v>
      </c>
      <c r="I492" s="155">
        <v>1369470.68</v>
      </c>
      <c r="J492" s="155">
        <v>1341002.52</v>
      </c>
      <c r="K492" s="155">
        <v>299110.28999999998</v>
      </c>
      <c r="L492" s="155">
        <v>817814.87</v>
      </c>
      <c r="M492" s="26">
        <v>1116.7683400202238</v>
      </c>
      <c r="N492" s="26">
        <v>1093.5532831001076</v>
      </c>
      <c r="O492" s="26">
        <v>243.91679714257754</v>
      </c>
      <c r="P492" s="26">
        <v>666.90712561568319</v>
      </c>
      <c r="Q492" s="154">
        <v>1226.28</v>
      </c>
    </row>
    <row r="493" spans="1:17" x14ac:dyDescent="0.2">
      <c r="A493" s="8" t="s">
        <v>998</v>
      </c>
      <c r="B493" s="7">
        <v>2012</v>
      </c>
      <c r="C493" s="7" t="s">
        <v>999</v>
      </c>
      <c r="D493" s="2">
        <v>303.51574630945862</v>
      </c>
      <c r="E493" s="2">
        <v>991046.06</v>
      </c>
      <c r="F493" s="7">
        <v>6498568.2699999996</v>
      </c>
      <c r="G493" s="7">
        <v>114742.49</v>
      </c>
      <c r="H493" s="7">
        <v>91998.86</v>
      </c>
      <c r="I493" s="155">
        <v>1754556.03</v>
      </c>
      <c r="J493" s="155">
        <v>2978438.69</v>
      </c>
      <c r="K493" s="155">
        <v>231115.07</v>
      </c>
      <c r="L493" s="155">
        <v>1352768.95</v>
      </c>
      <c r="M493" s="26">
        <v>955.57287882666253</v>
      </c>
      <c r="N493" s="26">
        <v>1622.1284386181806</v>
      </c>
      <c r="O493" s="26">
        <v>125.87075533867427</v>
      </c>
      <c r="P493" s="26">
        <v>736.75009394759627</v>
      </c>
      <c r="Q493" s="154">
        <v>1836.13</v>
      </c>
    </row>
    <row r="494" spans="1:17" x14ac:dyDescent="0.2">
      <c r="A494" s="8" t="s">
        <v>1000</v>
      </c>
      <c r="B494" s="7">
        <v>2012</v>
      </c>
      <c r="C494" s="7" t="s">
        <v>1001</v>
      </c>
      <c r="D494" s="2">
        <v>201.76958525345623</v>
      </c>
      <c r="E494" s="2">
        <v>1075884.6200000001</v>
      </c>
      <c r="F494" s="7">
        <v>6361541.1299999999</v>
      </c>
      <c r="G494" s="7">
        <v>56856.39</v>
      </c>
      <c r="H494" s="7">
        <v>10435.58</v>
      </c>
      <c r="I494" s="155">
        <v>2199801.41</v>
      </c>
      <c r="J494" s="155">
        <v>2317451.5299999998</v>
      </c>
      <c r="K494" s="155">
        <v>44228.52</v>
      </c>
      <c r="L494" s="155">
        <v>1231184.8600000001</v>
      </c>
      <c r="M494" s="26">
        <v>1413.608761309891</v>
      </c>
      <c r="N494" s="26">
        <v>1489.211604205223</v>
      </c>
      <c r="O494" s="26">
        <v>28.421576187538552</v>
      </c>
      <c r="P494" s="26">
        <v>791.16855593255195</v>
      </c>
      <c r="Q494" s="154">
        <v>1556.16</v>
      </c>
    </row>
    <row r="495" spans="1:17" x14ac:dyDescent="0.2">
      <c r="A495" s="8" t="s">
        <v>1002</v>
      </c>
      <c r="B495" s="7">
        <v>2012</v>
      </c>
      <c r="C495" s="7" t="s">
        <v>1003</v>
      </c>
      <c r="D495" s="2">
        <v>86.135005436752436</v>
      </c>
      <c r="E495" s="2">
        <v>168609.48</v>
      </c>
      <c r="F495" s="7">
        <v>2971472.52</v>
      </c>
      <c r="G495" s="7">
        <v>93097.41</v>
      </c>
      <c r="H495" s="7">
        <v>8840.93</v>
      </c>
      <c r="I495" s="155">
        <v>906096.62</v>
      </c>
      <c r="J495" s="155">
        <v>1004925.37</v>
      </c>
      <c r="K495" s="155">
        <v>121402.09</v>
      </c>
      <c r="L495" s="155">
        <v>731810.72</v>
      </c>
      <c r="M495" s="26">
        <v>1170.561602955805</v>
      </c>
      <c r="N495" s="26">
        <v>1298.2357797098452</v>
      </c>
      <c r="O495" s="26">
        <v>156.83606133812185</v>
      </c>
      <c r="P495" s="26">
        <v>945.40638443551609</v>
      </c>
      <c r="Q495" s="154">
        <v>774.07</v>
      </c>
    </row>
    <row r="496" spans="1:17" x14ac:dyDescent="0.2">
      <c r="A496" s="8" t="s">
        <v>1004</v>
      </c>
      <c r="B496" s="7">
        <v>2012</v>
      </c>
      <c r="C496" s="7" t="s">
        <v>1005</v>
      </c>
      <c r="D496" s="2">
        <v>173.62901243618973</v>
      </c>
      <c r="E496" s="2">
        <v>420221.5</v>
      </c>
      <c r="F496" s="7">
        <v>3578382.76</v>
      </c>
      <c r="G496" s="7">
        <v>163027.79999999999</v>
      </c>
      <c r="H496" s="7">
        <v>108964.3</v>
      </c>
      <c r="I496" s="155">
        <v>864415.39</v>
      </c>
      <c r="J496" s="155">
        <v>2219615.08</v>
      </c>
      <c r="K496" s="155">
        <v>133645.49</v>
      </c>
      <c r="L496" s="155">
        <v>810627.11</v>
      </c>
      <c r="M496" s="26">
        <v>643.08008600038681</v>
      </c>
      <c r="N496" s="26">
        <v>1651.2781621509023</v>
      </c>
      <c r="O496" s="26">
        <v>99.425292743531358</v>
      </c>
      <c r="P496" s="26">
        <v>603.0644035769019</v>
      </c>
      <c r="Q496" s="154">
        <v>1344.18</v>
      </c>
    </row>
    <row r="497" spans="1:17" x14ac:dyDescent="0.2">
      <c r="A497" s="8" t="s">
        <v>1006</v>
      </c>
      <c r="B497" s="7">
        <v>2012</v>
      </c>
      <c r="C497" s="7" t="s">
        <v>1007</v>
      </c>
      <c r="D497" s="2">
        <v>142.82485875706215</v>
      </c>
      <c r="E497" s="2">
        <v>509841.52</v>
      </c>
      <c r="F497" s="7">
        <v>3305815.13</v>
      </c>
      <c r="G497" s="7">
        <v>155756.46</v>
      </c>
      <c r="H497" s="7">
        <v>59105.04</v>
      </c>
      <c r="I497" s="155">
        <v>897012.77</v>
      </c>
      <c r="J497" s="155">
        <v>1790379.2</v>
      </c>
      <c r="K497" s="155">
        <v>41204.6</v>
      </c>
      <c r="L497" s="155">
        <v>654707.88</v>
      </c>
      <c r="M497" s="26">
        <v>1018.0947824803932</v>
      </c>
      <c r="N497" s="26">
        <v>2032.0510288626328</v>
      </c>
      <c r="O497" s="26">
        <v>46.766545223421517</v>
      </c>
      <c r="P497" s="26">
        <v>743.08270625489456</v>
      </c>
      <c r="Q497" s="154">
        <v>881.07</v>
      </c>
    </row>
    <row r="498" spans="1:17" x14ac:dyDescent="0.2">
      <c r="A498" s="8" t="s">
        <v>1008</v>
      </c>
      <c r="B498" s="7">
        <v>2012</v>
      </c>
      <c r="C498" s="7" t="s">
        <v>1009</v>
      </c>
      <c r="D498" s="2">
        <v>70.822222222222209</v>
      </c>
      <c r="E498" s="2">
        <v>492414.9</v>
      </c>
      <c r="F498" s="7">
        <v>2116137.37</v>
      </c>
      <c r="G498" s="7">
        <v>94529.63</v>
      </c>
      <c r="H498" s="7">
        <v>6200</v>
      </c>
      <c r="I498" s="155">
        <v>761940.97</v>
      </c>
      <c r="J498" s="155">
        <v>1239893.48</v>
      </c>
      <c r="K498" s="155">
        <v>222037.91</v>
      </c>
      <c r="L498" s="155">
        <v>338370.39</v>
      </c>
      <c r="M498" s="26">
        <v>1080.6753609621876</v>
      </c>
      <c r="N498" s="26">
        <v>1758.5644909653081</v>
      </c>
      <c r="O498" s="26">
        <v>314.9205883187247</v>
      </c>
      <c r="P498" s="26">
        <v>479.91715598672459</v>
      </c>
      <c r="Q498" s="154">
        <v>705.06</v>
      </c>
    </row>
    <row r="499" spans="1:17" x14ac:dyDescent="0.2">
      <c r="A499" s="8" t="s">
        <v>1010</v>
      </c>
      <c r="B499" s="7">
        <v>2012</v>
      </c>
      <c r="C499" s="7" t="s">
        <v>1011</v>
      </c>
      <c r="D499" s="2">
        <v>166.7073863636364</v>
      </c>
      <c r="E499" s="2">
        <v>528562.34</v>
      </c>
      <c r="F499" s="7">
        <v>2627222.37</v>
      </c>
      <c r="G499" s="7">
        <v>16777.41</v>
      </c>
      <c r="H499" s="7">
        <v>12365.97</v>
      </c>
      <c r="I499" s="155">
        <v>1036825.51</v>
      </c>
      <c r="J499" s="155">
        <v>1479215.39</v>
      </c>
      <c r="K499" s="155">
        <v>70268.289999999994</v>
      </c>
      <c r="L499" s="155">
        <v>517954.15</v>
      </c>
      <c r="M499" s="26">
        <v>1488.5369253739916</v>
      </c>
      <c r="N499" s="26">
        <v>2123.6617997530652</v>
      </c>
      <c r="O499" s="26">
        <v>100.88191632928475</v>
      </c>
      <c r="P499" s="26">
        <v>743.61005828810983</v>
      </c>
      <c r="Q499" s="154">
        <v>696.54</v>
      </c>
    </row>
    <row r="500" spans="1:17" x14ac:dyDescent="0.2">
      <c r="A500" s="8" t="s">
        <v>1012</v>
      </c>
      <c r="B500" s="7">
        <v>2012</v>
      </c>
      <c r="C500" s="7" t="s">
        <v>1013</v>
      </c>
      <c r="D500" s="2">
        <v>88.89892179267423</v>
      </c>
      <c r="E500" s="2">
        <v>95900.74</v>
      </c>
      <c r="F500" s="7">
        <v>2112939.31</v>
      </c>
      <c r="G500" s="7">
        <v>29568.35</v>
      </c>
      <c r="H500" s="7">
        <v>41126.519999999997</v>
      </c>
      <c r="I500" s="155">
        <v>753004.84</v>
      </c>
      <c r="J500" s="155">
        <v>658943.71</v>
      </c>
      <c r="K500" s="155">
        <v>5734.76</v>
      </c>
      <c r="L500" s="155">
        <v>233222.38</v>
      </c>
      <c r="M500" s="26">
        <v>1252.1281718713624</v>
      </c>
      <c r="N500" s="26">
        <v>1095.719362133759</v>
      </c>
      <c r="O500" s="26">
        <v>9.5360005321094814</v>
      </c>
      <c r="P500" s="26">
        <v>387.8119990688084</v>
      </c>
      <c r="Q500" s="154">
        <v>601.38</v>
      </c>
    </row>
    <row r="501" spans="1:17" x14ac:dyDescent="0.2">
      <c r="A501" s="8" t="s">
        <v>1014</v>
      </c>
      <c r="B501" s="7">
        <v>2012</v>
      </c>
      <c r="C501" s="7" t="s">
        <v>1015</v>
      </c>
      <c r="D501" s="2">
        <v>493.30085616350692</v>
      </c>
      <c r="E501" s="2">
        <v>2331655.86</v>
      </c>
      <c r="F501" s="7">
        <v>13959102.34</v>
      </c>
      <c r="G501" s="7">
        <v>302436.53000000003</v>
      </c>
      <c r="H501" s="7">
        <v>0</v>
      </c>
      <c r="I501" s="155">
        <v>4098324.07</v>
      </c>
      <c r="J501" s="155">
        <v>4747135.7699999996</v>
      </c>
      <c r="K501" s="155">
        <v>761075.37</v>
      </c>
      <c r="L501" s="155">
        <v>2944374.58</v>
      </c>
      <c r="M501" s="26">
        <v>1094.3221693528576</v>
      </c>
      <c r="N501" s="26">
        <v>1267.5659184850524</v>
      </c>
      <c r="O501" s="26">
        <v>203.22005671440931</v>
      </c>
      <c r="P501" s="26">
        <v>786.19804650367951</v>
      </c>
      <c r="Q501" s="154">
        <v>3745.08</v>
      </c>
    </row>
    <row r="502" spans="1:17" x14ac:dyDescent="0.2">
      <c r="A502" s="8" t="s">
        <v>1016</v>
      </c>
      <c r="B502" s="7">
        <v>2012</v>
      </c>
      <c r="C502" s="7" t="s">
        <v>1017</v>
      </c>
      <c r="D502" s="2">
        <v>415.58267459792916</v>
      </c>
      <c r="E502" s="2">
        <v>1710321.35</v>
      </c>
      <c r="F502" s="7">
        <v>12886381.23</v>
      </c>
      <c r="G502" s="7">
        <v>261351.21</v>
      </c>
      <c r="H502" s="7">
        <v>34318.6</v>
      </c>
      <c r="I502" s="155">
        <v>3609983.16</v>
      </c>
      <c r="J502" s="155">
        <v>4409634.0199999996</v>
      </c>
      <c r="K502" s="155">
        <v>373173.18</v>
      </c>
      <c r="L502" s="155">
        <v>2546116.0699999998</v>
      </c>
      <c r="M502" s="26">
        <v>1089.6549188640975</v>
      </c>
      <c r="N502" s="26">
        <v>1331.0254334492415</v>
      </c>
      <c r="O502" s="26">
        <v>112.6404121993625</v>
      </c>
      <c r="P502" s="26">
        <v>768.53208912875493</v>
      </c>
      <c r="Q502" s="154">
        <v>3312.96</v>
      </c>
    </row>
    <row r="503" spans="1:17" x14ac:dyDescent="0.2">
      <c r="A503" s="8" t="s">
        <v>1018</v>
      </c>
      <c r="B503" s="7">
        <v>2012</v>
      </c>
      <c r="C503" s="7" t="s">
        <v>1019</v>
      </c>
      <c r="D503" s="2">
        <v>2566.6749974129593</v>
      </c>
      <c r="E503" s="2">
        <v>14860349.359999999</v>
      </c>
      <c r="F503" s="7">
        <v>76620904.390000001</v>
      </c>
      <c r="G503" s="7">
        <v>1048446.07</v>
      </c>
      <c r="H503" s="7">
        <v>142585.23000000001</v>
      </c>
      <c r="I503" s="155">
        <v>19723431.73</v>
      </c>
      <c r="J503" s="155">
        <v>25633841.260000002</v>
      </c>
      <c r="K503" s="155">
        <v>4367655.8099999996</v>
      </c>
      <c r="L503" s="155">
        <v>16665896.359999999</v>
      </c>
      <c r="M503" s="26">
        <v>1017.8700970627275</v>
      </c>
      <c r="N503" s="26">
        <v>1322.8894874171449</v>
      </c>
      <c r="O503" s="26">
        <v>225.40226792780777</v>
      </c>
      <c r="P503" s="26">
        <v>860.07941101792005</v>
      </c>
      <c r="Q503" s="154">
        <v>19377.16</v>
      </c>
    </row>
    <row r="504" spans="1:17" x14ac:dyDescent="0.2">
      <c r="A504" s="8" t="s">
        <v>1020</v>
      </c>
      <c r="B504" s="7">
        <v>2012</v>
      </c>
      <c r="C504" s="7" t="s">
        <v>1021</v>
      </c>
      <c r="D504" s="2">
        <v>87.369354838709654</v>
      </c>
      <c r="E504" s="2">
        <v>226856.88</v>
      </c>
      <c r="F504" s="7">
        <v>3524649.72</v>
      </c>
      <c r="G504" s="7">
        <v>66566.080000000002</v>
      </c>
      <c r="H504" s="7">
        <v>9238.6</v>
      </c>
      <c r="I504" s="155">
        <v>1009254.13</v>
      </c>
      <c r="J504" s="155">
        <v>1381163.23</v>
      </c>
      <c r="K504" s="155">
        <v>44669.07</v>
      </c>
      <c r="L504" s="155">
        <v>769807.41</v>
      </c>
      <c r="M504" s="26">
        <v>1069.8050985796058</v>
      </c>
      <c r="N504" s="26">
        <v>1464.0271676913292</v>
      </c>
      <c r="O504" s="26">
        <v>47.349024803900782</v>
      </c>
      <c r="P504" s="26">
        <v>815.99259062963756</v>
      </c>
      <c r="Q504" s="154">
        <v>943.4</v>
      </c>
    </row>
    <row r="505" spans="1:17" x14ac:dyDescent="0.2">
      <c r="A505" s="8" t="s">
        <v>1022</v>
      </c>
      <c r="B505" s="7">
        <v>2012</v>
      </c>
      <c r="C505" s="7" t="s">
        <v>1023</v>
      </c>
      <c r="D505" s="2">
        <v>564.54886518925082</v>
      </c>
      <c r="E505" s="2">
        <v>2396813.64</v>
      </c>
      <c r="F505" s="7">
        <v>18901809.93</v>
      </c>
      <c r="G505" s="7">
        <v>290782.07</v>
      </c>
      <c r="H505" s="7">
        <v>58784.55</v>
      </c>
      <c r="I505" s="155">
        <v>4386946.1399999997</v>
      </c>
      <c r="J505" s="155">
        <v>6812773.3399999999</v>
      </c>
      <c r="K505" s="155">
        <v>1513622.51</v>
      </c>
      <c r="L505" s="155">
        <v>4472077.3899999997</v>
      </c>
      <c r="M505" s="26">
        <v>793.2851377009456</v>
      </c>
      <c r="N505" s="26">
        <v>1231.9439684634997</v>
      </c>
      <c r="O505" s="26">
        <v>273.70617348691701</v>
      </c>
      <c r="P505" s="26">
        <v>808.67929874685797</v>
      </c>
      <c r="Q505" s="154">
        <v>5530.1</v>
      </c>
    </row>
    <row r="506" spans="1:17" x14ac:dyDescent="0.2">
      <c r="A506" s="8" t="s">
        <v>1024</v>
      </c>
      <c r="B506" s="7">
        <v>2012</v>
      </c>
      <c r="C506" s="7" t="s">
        <v>1025</v>
      </c>
      <c r="D506" s="2">
        <v>1069.5506741573031</v>
      </c>
      <c r="E506" s="2">
        <v>5721008.4400000004</v>
      </c>
      <c r="F506" s="7">
        <v>24226035.469999999</v>
      </c>
      <c r="G506" s="7">
        <v>795847.85</v>
      </c>
      <c r="H506" s="7">
        <v>80023.649999999994</v>
      </c>
      <c r="I506" s="155">
        <v>10473723.460000001</v>
      </c>
      <c r="J506" s="155">
        <v>8857867.6300000008</v>
      </c>
      <c r="K506" s="155">
        <v>1361633.17</v>
      </c>
      <c r="L506" s="155">
        <v>7867768.7400000002</v>
      </c>
      <c r="M506" s="26">
        <v>1452.5997367665559</v>
      </c>
      <c r="N506" s="26">
        <v>1228.4968413373592</v>
      </c>
      <c r="O506" s="26">
        <v>188.84477825564156</v>
      </c>
      <c r="P506" s="26">
        <v>1091.1801179696354</v>
      </c>
      <c r="Q506" s="154">
        <v>7210.33</v>
      </c>
    </row>
    <row r="507" spans="1:17" x14ac:dyDescent="0.2">
      <c r="A507" s="8" t="s">
        <v>1026</v>
      </c>
      <c r="B507" s="7">
        <v>2012</v>
      </c>
      <c r="C507" s="7" t="s">
        <v>1027</v>
      </c>
      <c r="D507" s="2">
        <v>590.81630664411261</v>
      </c>
      <c r="E507" s="2">
        <v>2825312.82</v>
      </c>
      <c r="F507" s="7">
        <v>14983174.039999999</v>
      </c>
      <c r="G507" s="7">
        <v>326826.98</v>
      </c>
      <c r="H507" s="7">
        <v>6118</v>
      </c>
      <c r="I507" s="155">
        <v>3412533.37</v>
      </c>
      <c r="J507" s="155">
        <v>4680232.32</v>
      </c>
      <c r="K507" s="155">
        <v>73741.570000000007</v>
      </c>
      <c r="L507" s="155">
        <v>2200896.4</v>
      </c>
      <c r="M507" s="26">
        <v>847.42592886906687</v>
      </c>
      <c r="N507" s="26">
        <v>1162.2304578662706</v>
      </c>
      <c r="O507" s="26">
        <v>18.312060770709273</v>
      </c>
      <c r="P507" s="26">
        <v>546.54313200593992</v>
      </c>
      <c r="Q507" s="154">
        <v>4026.94</v>
      </c>
    </row>
    <row r="508" spans="1:17" x14ac:dyDescent="0.2">
      <c r="A508" s="8" t="s">
        <v>1028</v>
      </c>
      <c r="B508" s="7">
        <v>2012</v>
      </c>
      <c r="C508" s="7" t="s">
        <v>1029</v>
      </c>
      <c r="D508" s="2">
        <v>96.180898876404498</v>
      </c>
      <c r="E508" s="2">
        <v>360185.63</v>
      </c>
      <c r="F508" s="7">
        <v>3839713.44</v>
      </c>
      <c r="G508" s="7">
        <v>166735.21</v>
      </c>
      <c r="H508" s="7">
        <v>13689.55</v>
      </c>
      <c r="I508" s="155">
        <v>1574667.61</v>
      </c>
      <c r="J508" s="155">
        <v>1362739.86</v>
      </c>
      <c r="K508" s="155">
        <v>210218.86</v>
      </c>
      <c r="L508" s="155">
        <v>596612.74</v>
      </c>
      <c r="M508" s="26">
        <v>1452.3238489633293</v>
      </c>
      <c r="N508" s="26">
        <v>1256.861820261197</v>
      </c>
      <c r="O508" s="26">
        <v>193.88591086844241</v>
      </c>
      <c r="P508" s="26">
        <v>550.25892791263925</v>
      </c>
      <c r="Q508" s="154">
        <v>1084.24</v>
      </c>
    </row>
    <row r="509" spans="1:17" x14ac:dyDescent="0.2">
      <c r="A509" s="8" t="s">
        <v>1030</v>
      </c>
      <c r="B509" s="7">
        <v>2012</v>
      </c>
      <c r="C509" s="7" t="s">
        <v>1031</v>
      </c>
      <c r="D509" s="2">
        <v>416.22777777777776</v>
      </c>
      <c r="E509" s="2">
        <v>1014390.62</v>
      </c>
      <c r="F509" s="7">
        <v>7620811.7000000002</v>
      </c>
      <c r="G509" s="7">
        <v>150123.04999999999</v>
      </c>
      <c r="H509" s="7">
        <v>249.98</v>
      </c>
      <c r="I509" s="155">
        <v>2322415.19</v>
      </c>
      <c r="J509" s="155">
        <v>3188791.91</v>
      </c>
      <c r="K509" s="155">
        <v>845567.09</v>
      </c>
      <c r="L509" s="155">
        <v>1643501.04</v>
      </c>
      <c r="M509" s="26">
        <v>1004.2833068829972</v>
      </c>
      <c r="N509" s="26">
        <v>1378.9310792169547</v>
      </c>
      <c r="O509" s="26">
        <v>365.64905232842233</v>
      </c>
      <c r="P509" s="26">
        <v>710.70007913479287</v>
      </c>
      <c r="Q509" s="154">
        <v>2312.5100000000002</v>
      </c>
    </row>
    <row r="510" spans="1:17" x14ac:dyDescent="0.2">
      <c r="A510" s="8" t="s">
        <v>1032</v>
      </c>
      <c r="B510" s="7">
        <v>2012</v>
      </c>
      <c r="C510" s="7" t="s">
        <v>1033</v>
      </c>
      <c r="D510" s="2">
        <v>169.19280420387582</v>
      </c>
      <c r="E510" s="2">
        <v>917148.15</v>
      </c>
      <c r="F510" s="7">
        <v>4242271.3499999996</v>
      </c>
      <c r="G510" s="7">
        <v>412175.6</v>
      </c>
      <c r="H510" s="7">
        <v>179057.38</v>
      </c>
      <c r="I510" s="155">
        <v>1548389.58</v>
      </c>
      <c r="J510" s="155">
        <v>1461070.36</v>
      </c>
      <c r="K510" s="155">
        <v>141124.17000000001</v>
      </c>
      <c r="L510" s="155">
        <v>981062.8</v>
      </c>
      <c r="M510" s="26">
        <v>1469.5762079667434</v>
      </c>
      <c r="N510" s="26">
        <v>1386.7015555745375</v>
      </c>
      <c r="O510" s="26">
        <v>133.94091853876597</v>
      </c>
      <c r="P510" s="26">
        <v>931.12648652752864</v>
      </c>
      <c r="Q510" s="154">
        <v>1053.6300000000001</v>
      </c>
    </row>
    <row r="511" spans="1:17" x14ac:dyDescent="0.2">
      <c r="A511" s="8" t="s">
        <v>1034</v>
      </c>
      <c r="B511" s="7">
        <v>2012</v>
      </c>
      <c r="C511" s="7" t="s">
        <v>1035</v>
      </c>
      <c r="D511" s="2">
        <v>184.07474174902109</v>
      </c>
      <c r="E511" s="2">
        <v>1023149.49</v>
      </c>
      <c r="F511" s="7">
        <v>5897619.3899999997</v>
      </c>
      <c r="G511" s="7">
        <v>111374.37</v>
      </c>
      <c r="H511" s="7">
        <v>14270.79</v>
      </c>
      <c r="I511" s="155">
        <v>1361270.7</v>
      </c>
      <c r="J511" s="155">
        <v>1744377.17</v>
      </c>
      <c r="K511" s="155">
        <v>107089.83</v>
      </c>
      <c r="L511" s="155">
        <v>1408617.04</v>
      </c>
      <c r="M511" s="26">
        <v>787.8544640066674</v>
      </c>
      <c r="N511" s="26">
        <v>1009.5826937991226</v>
      </c>
      <c r="O511" s="26">
        <v>61.979737472653404</v>
      </c>
      <c r="P511" s="26">
        <v>815.25682073364123</v>
      </c>
      <c r="Q511" s="154">
        <v>1727.82</v>
      </c>
    </row>
    <row r="512" spans="1:17" x14ac:dyDescent="0.2">
      <c r="A512" s="8" t="s">
        <v>1036</v>
      </c>
      <c r="B512" s="7">
        <v>2012</v>
      </c>
      <c r="C512" s="7" t="s">
        <v>1037</v>
      </c>
      <c r="D512" s="2">
        <v>92.65935663024905</v>
      </c>
      <c r="E512" s="2">
        <v>572707.85</v>
      </c>
      <c r="F512" s="7">
        <v>3840596.36</v>
      </c>
      <c r="G512" s="7">
        <v>150601.87</v>
      </c>
      <c r="H512" s="7">
        <v>10190.1</v>
      </c>
      <c r="I512" s="155">
        <v>1036382.4</v>
      </c>
      <c r="J512" s="155">
        <v>825474.71</v>
      </c>
      <c r="K512" s="155">
        <v>24841.11</v>
      </c>
      <c r="L512" s="155">
        <v>749278.4</v>
      </c>
      <c r="M512" s="26">
        <v>1121.2376666089665</v>
      </c>
      <c r="N512" s="26">
        <v>893.06161286134659</v>
      </c>
      <c r="O512" s="26">
        <v>26.875010818764064</v>
      </c>
      <c r="P512" s="26">
        <v>810.62662281460962</v>
      </c>
      <c r="Q512" s="154">
        <v>924.32</v>
      </c>
    </row>
    <row r="513" spans="1:17" x14ac:dyDescent="0.2">
      <c r="A513" s="8" t="s">
        <v>1038</v>
      </c>
      <c r="B513" s="7">
        <v>2012</v>
      </c>
      <c r="C513" s="7" t="s">
        <v>1039</v>
      </c>
      <c r="D513" s="2">
        <v>308.5920862612121</v>
      </c>
      <c r="E513" s="2">
        <v>1129672.45</v>
      </c>
      <c r="F513" s="7">
        <v>8305203.25</v>
      </c>
      <c r="G513" s="7">
        <v>129470.9</v>
      </c>
      <c r="H513" s="7">
        <v>30512.55</v>
      </c>
      <c r="I513" s="155">
        <v>1513050.86</v>
      </c>
      <c r="J513" s="155">
        <v>2339867.7799999998</v>
      </c>
      <c r="K513" s="155">
        <v>502978.81</v>
      </c>
      <c r="L513" s="155">
        <v>2071892.63</v>
      </c>
      <c r="M513" s="26">
        <v>711.49826246020586</v>
      </c>
      <c r="N513" s="26">
        <v>1100.3013209064361</v>
      </c>
      <c r="O513" s="26">
        <v>236.52116318766838</v>
      </c>
      <c r="P513" s="26">
        <v>974.28846922509001</v>
      </c>
      <c r="Q513" s="154">
        <v>2126.5700000000002</v>
      </c>
    </row>
    <row r="514" spans="1:17" x14ac:dyDescent="0.2">
      <c r="A514" s="8" t="s">
        <v>1040</v>
      </c>
      <c r="B514" s="7">
        <v>2012</v>
      </c>
      <c r="C514" s="7" t="s">
        <v>1041</v>
      </c>
      <c r="D514" s="2">
        <v>341.05009310986964</v>
      </c>
      <c r="E514" s="2">
        <v>1677420.12</v>
      </c>
      <c r="F514" s="7">
        <v>6700607.6500000004</v>
      </c>
      <c r="G514" s="7">
        <v>301260.28000000003</v>
      </c>
      <c r="H514" s="7">
        <v>64694.91</v>
      </c>
      <c r="I514" s="155">
        <v>2272374.52</v>
      </c>
      <c r="J514" s="155">
        <v>3118775.43</v>
      </c>
      <c r="K514" s="155">
        <v>175048.52</v>
      </c>
      <c r="L514" s="155">
        <v>1071296.95</v>
      </c>
      <c r="M514" s="26">
        <v>1003.2204248856553</v>
      </c>
      <c r="N514" s="26">
        <v>1376.8941626785811</v>
      </c>
      <c r="O514" s="26">
        <v>77.281385204937578</v>
      </c>
      <c r="P514" s="26">
        <v>472.96208080950782</v>
      </c>
      <c r="Q514" s="154">
        <v>2265.08</v>
      </c>
    </row>
    <row r="515" spans="1:17" x14ac:dyDescent="0.2">
      <c r="A515" s="8" t="s">
        <v>1042</v>
      </c>
      <c r="B515" s="7">
        <v>2012</v>
      </c>
      <c r="C515" s="7" t="s">
        <v>1043</v>
      </c>
      <c r="D515" s="2">
        <v>550.15519816025301</v>
      </c>
      <c r="E515" s="2">
        <v>3008304.3</v>
      </c>
      <c r="F515" s="7">
        <v>21031157.539999999</v>
      </c>
      <c r="G515" s="7">
        <v>337371.68</v>
      </c>
      <c r="H515" s="7">
        <v>257620.72</v>
      </c>
      <c r="I515" s="155">
        <v>5498207.3700000001</v>
      </c>
      <c r="J515" s="155">
        <v>7887555.0199999996</v>
      </c>
      <c r="K515" s="155">
        <v>657888.6</v>
      </c>
      <c r="L515" s="155">
        <v>4949203.68</v>
      </c>
      <c r="M515" s="26">
        <v>1059.072637546157</v>
      </c>
      <c r="N515" s="26">
        <v>1519.3122297280377</v>
      </c>
      <c r="O515" s="26">
        <v>126.72345146806433</v>
      </c>
      <c r="P515" s="26">
        <v>953.32275456368347</v>
      </c>
      <c r="Q515" s="154">
        <v>5191.53</v>
      </c>
    </row>
    <row r="516" spans="1:17" x14ac:dyDescent="0.2">
      <c r="A516" s="8" t="s">
        <v>1044</v>
      </c>
      <c r="B516" s="7">
        <v>2012</v>
      </c>
      <c r="C516" s="7" t="s">
        <v>1045</v>
      </c>
      <c r="D516" s="2">
        <v>54.287169264226165</v>
      </c>
      <c r="E516" s="2">
        <v>295457.96999999997</v>
      </c>
      <c r="F516" s="7">
        <v>2120295.2200000002</v>
      </c>
      <c r="G516" s="7">
        <v>114977.16</v>
      </c>
      <c r="H516" s="7">
        <v>2000</v>
      </c>
      <c r="I516" s="155">
        <v>825546.96</v>
      </c>
      <c r="J516" s="155">
        <v>783216.42</v>
      </c>
      <c r="K516" s="155">
        <v>111899.18</v>
      </c>
      <c r="L516" s="155">
        <v>405901.37</v>
      </c>
      <c r="M516" s="26">
        <v>1301.1804684298456</v>
      </c>
      <c r="N516" s="26">
        <v>1234.461463291618</v>
      </c>
      <c r="O516" s="26">
        <v>176.36916432872047</v>
      </c>
      <c r="P516" s="26">
        <v>639.75880276140333</v>
      </c>
      <c r="Q516" s="154">
        <v>634.46</v>
      </c>
    </row>
    <row r="517" spans="1:17" x14ac:dyDescent="0.2">
      <c r="A517" s="8" t="s">
        <v>1046</v>
      </c>
      <c r="B517" s="7">
        <v>2012</v>
      </c>
      <c r="C517" s="7" t="s">
        <v>1047</v>
      </c>
      <c r="D517" s="2">
        <v>256.84939393939419</v>
      </c>
      <c r="E517" s="2">
        <v>1128810.94</v>
      </c>
      <c r="F517" s="7">
        <v>8940023.4700000007</v>
      </c>
      <c r="G517" s="7">
        <v>152987.1</v>
      </c>
      <c r="H517" s="7">
        <v>18381.259999999998</v>
      </c>
      <c r="I517" s="155">
        <v>2342442.09</v>
      </c>
      <c r="J517" s="155">
        <v>3045449.78</v>
      </c>
      <c r="K517" s="155">
        <v>784152.13</v>
      </c>
      <c r="L517" s="155">
        <v>2127171.81</v>
      </c>
      <c r="M517" s="26">
        <v>1136.94223656749</v>
      </c>
      <c r="N517" s="26">
        <v>1478.1584138232295</v>
      </c>
      <c r="O517" s="26">
        <v>380.60094646410715</v>
      </c>
      <c r="P517" s="26">
        <v>1032.4573168955976</v>
      </c>
      <c r="Q517" s="154">
        <v>2060.3000000000002</v>
      </c>
    </row>
    <row r="518" spans="1:17" x14ac:dyDescent="0.2">
      <c r="A518" s="8" t="s">
        <v>1048</v>
      </c>
      <c r="B518" s="7">
        <v>2012</v>
      </c>
      <c r="C518" s="7" t="s">
        <v>1049</v>
      </c>
      <c r="D518" s="2">
        <v>506.42127777777762</v>
      </c>
      <c r="E518" s="2">
        <v>0</v>
      </c>
      <c r="F518" s="7">
        <v>33636468.240000002</v>
      </c>
      <c r="G518" s="7">
        <v>97231.17</v>
      </c>
      <c r="H518" s="7">
        <v>39168.269999999997</v>
      </c>
      <c r="I518" s="155">
        <v>9195056.0700000003</v>
      </c>
      <c r="J518" s="155">
        <v>10165059.869999999</v>
      </c>
      <c r="K518" s="155">
        <v>1007204.13</v>
      </c>
      <c r="L518" s="155">
        <v>5050552.99</v>
      </c>
      <c r="M518" s="26">
        <v>1466.3266898534639</v>
      </c>
      <c r="N518" s="26">
        <v>1621.0122567897924</v>
      </c>
      <c r="O518" s="26">
        <v>160.61786754821148</v>
      </c>
      <c r="P518" s="26">
        <v>805.40679593226389</v>
      </c>
      <c r="Q518" s="154">
        <v>6270.81</v>
      </c>
    </row>
    <row r="519" spans="1:17" x14ac:dyDescent="0.2">
      <c r="A519" s="8" t="s">
        <v>1050</v>
      </c>
      <c r="B519" s="7">
        <v>2012</v>
      </c>
      <c r="C519" s="7" t="s">
        <v>1051</v>
      </c>
      <c r="D519" s="2">
        <v>259.11743488253319</v>
      </c>
      <c r="E519" s="2">
        <v>1007464.49</v>
      </c>
      <c r="F519" s="7">
        <v>7186820.4100000001</v>
      </c>
      <c r="G519" s="7">
        <v>138467.57</v>
      </c>
      <c r="H519" s="7">
        <v>39054.769999999997</v>
      </c>
      <c r="I519" s="155">
        <v>2149755.2200000002</v>
      </c>
      <c r="J519" s="155">
        <v>1933764.01</v>
      </c>
      <c r="K519" s="155">
        <v>4736.7</v>
      </c>
      <c r="L519" s="155">
        <v>1075102.2</v>
      </c>
      <c r="M519" s="26">
        <v>1099.6134137421293</v>
      </c>
      <c r="N519" s="26">
        <v>989.13254152152672</v>
      </c>
      <c r="O519" s="26">
        <v>2.4228520570227263</v>
      </c>
      <c r="P519" s="26">
        <v>549.92158607884357</v>
      </c>
      <c r="Q519" s="154">
        <v>1955.01</v>
      </c>
    </row>
    <row r="520" spans="1:17" x14ac:dyDescent="0.2">
      <c r="A520" s="8" t="s">
        <v>1052</v>
      </c>
      <c r="B520" s="7">
        <v>2012</v>
      </c>
      <c r="C520" s="7" t="s">
        <v>1053</v>
      </c>
      <c r="D520" s="2">
        <v>44.909300873907618</v>
      </c>
      <c r="E520" s="2">
        <v>99682.91</v>
      </c>
      <c r="F520" s="7">
        <v>1577869.64</v>
      </c>
      <c r="G520" s="7">
        <v>25641.89</v>
      </c>
      <c r="H520" s="7">
        <v>0</v>
      </c>
      <c r="I520" s="155">
        <v>655710.01</v>
      </c>
      <c r="J520" s="155">
        <v>445635.57</v>
      </c>
      <c r="K520" s="155">
        <v>87303.43</v>
      </c>
      <c r="L520" s="155">
        <v>244230.95</v>
      </c>
      <c r="M520" s="26">
        <v>1544.5915622349949</v>
      </c>
      <c r="N520" s="26">
        <v>1049.7398709130312</v>
      </c>
      <c r="O520" s="26">
        <v>205.65210119664562</v>
      </c>
      <c r="P520" s="26">
        <v>575.31082163384531</v>
      </c>
      <c r="Q520" s="154">
        <v>424.52</v>
      </c>
    </row>
    <row r="521" spans="1:17" x14ac:dyDescent="0.2">
      <c r="A521" s="8" t="s">
        <v>1054</v>
      </c>
      <c r="B521" s="7">
        <v>2012</v>
      </c>
      <c r="C521" s="7" t="s">
        <v>1055</v>
      </c>
      <c r="D521" s="2">
        <v>161.24099788380101</v>
      </c>
      <c r="E521" s="2">
        <v>621727.35</v>
      </c>
      <c r="F521" s="7">
        <v>4700430.45</v>
      </c>
      <c r="G521" s="7">
        <v>138987.29</v>
      </c>
      <c r="H521" s="7">
        <v>5620.42</v>
      </c>
      <c r="I521" s="155">
        <v>1778747</v>
      </c>
      <c r="J521" s="155">
        <v>2003676.62</v>
      </c>
      <c r="K521" s="155">
        <v>281614.09999999998</v>
      </c>
      <c r="L521" s="155">
        <v>1472074.93</v>
      </c>
      <c r="M521" s="26">
        <v>1376.7391640866872</v>
      </c>
      <c r="N521" s="26">
        <v>1550.8332972136225</v>
      </c>
      <c r="O521" s="26">
        <v>217.96756965944272</v>
      </c>
      <c r="P521" s="26">
        <v>1139.3768808049535</v>
      </c>
      <c r="Q521" s="154">
        <v>1292</v>
      </c>
    </row>
    <row r="522" spans="1:17" x14ac:dyDescent="0.2">
      <c r="A522" s="8" t="s">
        <v>1056</v>
      </c>
      <c r="B522" s="7">
        <v>2012</v>
      </c>
      <c r="C522" s="7" t="s">
        <v>1057</v>
      </c>
      <c r="D522" s="2">
        <v>394.44852479598245</v>
      </c>
      <c r="E522" s="2">
        <v>1249812.08</v>
      </c>
      <c r="F522" s="7">
        <v>8890108.1799999997</v>
      </c>
      <c r="G522" s="7">
        <v>380372.62</v>
      </c>
      <c r="H522" s="7">
        <v>60599.13</v>
      </c>
      <c r="I522" s="155">
        <v>2822296.44</v>
      </c>
      <c r="J522" s="155">
        <v>4959358</v>
      </c>
      <c r="K522" s="155">
        <v>70305.679999999993</v>
      </c>
      <c r="L522" s="155">
        <v>1747123.59</v>
      </c>
      <c r="M522" s="26" t="e">
        <v>#DIV/0!</v>
      </c>
      <c r="N522" s="26" t="e">
        <v>#DIV/0!</v>
      </c>
      <c r="O522" s="26" t="e">
        <v>#DIV/0!</v>
      </c>
      <c r="P522" s="26" t="e">
        <v>#DIV/0!</v>
      </c>
      <c r="Q522" s="154">
        <v>0</v>
      </c>
    </row>
    <row r="523" spans="1:17" x14ac:dyDescent="0.2">
      <c r="A523" s="8" t="s">
        <v>1058</v>
      </c>
      <c r="B523" s="7">
        <v>2012</v>
      </c>
      <c r="C523" s="7" t="s">
        <v>1059</v>
      </c>
      <c r="D523" s="2">
        <v>509.48073836276092</v>
      </c>
      <c r="E523" s="2">
        <v>4673815.96</v>
      </c>
      <c r="F523" s="7">
        <v>30438766.600000001</v>
      </c>
      <c r="G523" s="7">
        <v>703881.36</v>
      </c>
      <c r="H523" s="7">
        <v>170784.43</v>
      </c>
      <c r="I523" s="155">
        <v>8754565.6099999994</v>
      </c>
      <c r="J523" s="155">
        <v>11467001.619999999</v>
      </c>
      <c r="K523" s="155">
        <v>3016032.18</v>
      </c>
      <c r="L523" s="155">
        <v>6455161.5700000003</v>
      </c>
      <c r="M523" s="26">
        <v>1682.6998360463529</v>
      </c>
      <c r="N523" s="26">
        <v>2204.0524459462317</v>
      </c>
      <c r="O523" s="26">
        <v>579.70630193226975</v>
      </c>
      <c r="P523" s="26">
        <v>1240.7353830422342</v>
      </c>
      <c r="Q523" s="154">
        <v>5202.6899999999996</v>
      </c>
    </row>
    <row r="524" spans="1:17" x14ac:dyDescent="0.2">
      <c r="A524" s="8" t="s">
        <v>1060</v>
      </c>
      <c r="B524" s="7">
        <v>2012</v>
      </c>
      <c r="C524" s="7" t="s">
        <v>1061</v>
      </c>
      <c r="D524" s="2">
        <v>976.1444444444445</v>
      </c>
      <c r="E524" s="2">
        <v>5635260.46</v>
      </c>
      <c r="F524" s="7">
        <v>31272535.800000001</v>
      </c>
      <c r="G524" s="7">
        <v>872527.97</v>
      </c>
      <c r="H524" s="7">
        <v>5499</v>
      </c>
      <c r="I524" s="155">
        <v>9962722.1600000001</v>
      </c>
      <c r="J524" s="155">
        <v>12736836.970000001</v>
      </c>
      <c r="K524" s="155">
        <v>1388480.39</v>
      </c>
      <c r="L524" s="155">
        <v>7748326.6500000004</v>
      </c>
      <c r="M524" s="26">
        <v>1344.7273905244219</v>
      </c>
      <c r="N524" s="26">
        <v>1719.1660338546556</v>
      </c>
      <c r="O524" s="26">
        <v>187.41139034625368</v>
      </c>
      <c r="P524" s="26">
        <v>1045.8373634887491</v>
      </c>
      <c r="Q524" s="154">
        <v>7408.73</v>
      </c>
    </row>
    <row r="525" spans="1:17" x14ac:dyDescent="0.2">
      <c r="A525" s="8" t="s">
        <v>1062</v>
      </c>
      <c r="B525" s="7">
        <v>2012</v>
      </c>
      <c r="C525" s="7" t="s">
        <v>1063</v>
      </c>
      <c r="D525" s="2">
        <v>127.51986803519065</v>
      </c>
      <c r="E525" s="2">
        <v>514779</v>
      </c>
      <c r="F525" s="7">
        <v>2826576.11</v>
      </c>
      <c r="G525" s="7">
        <v>98397.59</v>
      </c>
      <c r="H525" s="7">
        <v>1551.68</v>
      </c>
      <c r="I525" s="155">
        <v>1059287.81</v>
      </c>
      <c r="J525" s="155">
        <v>1809330.51</v>
      </c>
      <c r="K525" s="155">
        <v>16025.33</v>
      </c>
      <c r="L525" s="155">
        <v>684541.37</v>
      </c>
      <c r="M525" s="26">
        <v>1340.1581564231676</v>
      </c>
      <c r="N525" s="26">
        <v>2289.074808329749</v>
      </c>
      <c r="O525" s="26">
        <v>20.274449027099518</v>
      </c>
      <c r="P525" s="26">
        <v>866.0476329040257</v>
      </c>
      <c r="Q525" s="154">
        <v>790.42</v>
      </c>
    </row>
    <row r="526" spans="1:17" x14ac:dyDescent="0.2">
      <c r="A526" s="8" t="s">
        <v>1064</v>
      </c>
      <c r="B526" s="7">
        <v>2012</v>
      </c>
      <c r="C526" s="7" t="s">
        <v>1065</v>
      </c>
      <c r="D526" s="2">
        <v>268.53708658511846</v>
      </c>
      <c r="E526" s="2">
        <v>1279079.3500000001</v>
      </c>
      <c r="F526" s="7">
        <v>12767862.48</v>
      </c>
      <c r="G526" s="7">
        <v>147877.29</v>
      </c>
      <c r="H526" s="7">
        <v>65580.58</v>
      </c>
      <c r="I526" s="155">
        <v>3672400.86</v>
      </c>
      <c r="J526" s="155">
        <v>4913441.9800000004</v>
      </c>
      <c r="K526" s="155">
        <v>899756</v>
      </c>
      <c r="L526" s="155">
        <v>3215151.71</v>
      </c>
      <c r="M526" s="26">
        <v>1201.0415936265404</v>
      </c>
      <c r="N526" s="26">
        <v>1606.9183106145838</v>
      </c>
      <c r="O526" s="26">
        <v>294.26100834619712</v>
      </c>
      <c r="P526" s="26">
        <v>1051.5003891839565</v>
      </c>
      <c r="Q526" s="154">
        <v>3057.68</v>
      </c>
    </row>
    <row r="527" spans="1:17" x14ac:dyDescent="0.2">
      <c r="A527" s="8" t="s">
        <v>1066</v>
      </c>
      <c r="B527" s="7">
        <v>2012</v>
      </c>
      <c r="C527" s="7" t="s">
        <v>1067</v>
      </c>
      <c r="D527" s="2">
        <v>271.23233424643047</v>
      </c>
      <c r="E527" s="2">
        <v>1685373.46</v>
      </c>
      <c r="F527" s="7">
        <v>10109323.15</v>
      </c>
      <c r="G527" s="7">
        <v>82213.7</v>
      </c>
      <c r="H527" s="7">
        <v>365840.85</v>
      </c>
      <c r="I527" s="155">
        <v>2714064.31</v>
      </c>
      <c r="J527" s="155">
        <v>3533364.76</v>
      </c>
      <c r="K527" s="155">
        <v>63985.07</v>
      </c>
      <c r="L527" s="155">
        <v>2282266.04</v>
      </c>
      <c r="M527" s="26">
        <v>1076.9669100432523</v>
      </c>
      <c r="N527" s="26">
        <v>1402.0732351890797</v>
      </c>
      <c r="O527" s="26">
        <v>25.38989325820404</v>
      </c>
      <c r="P527" s="26">
        <v>905.62518947660817</v>
      </c>
      <c r="Q527" s="154">
        <v>2520.1</v>
      </c>
    </row>
    <row r="528" spans="1:17" x14ac:dyDescent="0.2">
      <c r="A528" s="8" t="s">
        <v>1068</v>
      </c>
      <c r="B528" s="7">
        <v>2012</v>
      </c>
      <c r="C528" s="7" t="s">
        <v>1069</v>
      </c>
      <c r="D528" s="2">
        <v>375.90328347822862</v>
      </c>
      <c r="E528" s="2">
        <v>2219762.4700000002</v>
      </c>
      <c r="F528" s="7">
        <v>12527957.85</v>
      </c>
      <c r="G528" s="7">
        <v>275897.56</v>
      </c>
      <c r="H528" s="7">
        <v>0</v>
      </c>
      <c r="I528" s="155">
        <v>4086788.08</v>
      </c>
      <c r="J528" s="155">
        <v>4949636.03</v>
      </c>
      <c r="K528" s="155">
        <v>539955.99</v>
      </c>
      <c r="L528" s="155">
        <v>2287609.64</v>
      </c>
      <c r="M528" s="26">
        <v>1141.6246941169898</v>
      </c>
      <c r="N528" s="26">
        <v>1382.6571400636908</v>
      </c>
      <c r="O528" s="26">
        <v>150.83412201798981</v>
      </c>
      <c r="P528" s="26">
        <v>639.03280630202801</v>
      </c>
      <c r="Q528" s="154">
        <v>3579.8</v>
      </c>
    </row>
    <row r="529" spans="1:17" x14ac:dyDescent="0.2">
      <c r="A529" s="8" t="s">
        <v>1070</v>
      </c>
      <c r="B529" s="7">
        <v>2012</v>
      </c>
      <c r="C529" s="7" t="s">
        <v>1071</v>
      </c>
      <c r="D529" s="2">
        <v>408.72071704006959</v>
      </c>
      <c r="E529" s="2">
        <v>1977485.96</v>
      </c>
      <c r="F529" s="7">
        <v>11067311.32</v>
      </c>
      <c r="G529" s="7">
        <v>305151.21999999997</v>
      </c>
      <c r="H529" s="7">
        <v>65283.66</v>
      </c>
      <c r="I529" s="155">
        <v>3045270.37</v>
      </c>
      <c r="J529" s="155">
        <v>4321447.67</v>
      </c>
      <c r="K529" s="155">
        <v>237258.23999999999</v>
      </c>
      <c r="L529" s="155">
        <v>2252329.2200000002</v>
      </c>
      <c r="M529" s="26">
        <v>986.51409828630665</v>
      </c>
      <c r="N529" s="26">
        <v>1399.9312157828242</v>
      </c>
      <c r="O529" s="26">
        <v>76.859710389063451</v>
      </c>
      <c r="P529" s="26">
        <v>729.64113511937546</v>
      </c>
      <c r="Q529" s="154">
        <v>3086.9</v>
      </c>
    </row>
    <row r="530" spans="1:17" x14ac:dyDescent="0.2">
      <c r="A530" s="8" t="s">
        <v>1072</v>
      </c>
      <c r="B530" s="7">
        <v>2012</v>
      </c>
      <c r="C530" s="7" t="s">
        <v>1073</v>
      </c>
      <c r="D530" s="2">
        <v>240.88213770714168</v>
      </c>
      <c r="E530" s="2">
        <v>832565.88</v>
      </c>
      <c r="F530" s="7">
        <v>7757463.25</v>
      </c>
      <c r="G530" s="7">
        <v>62427.25</v>
      </c>
      <c r="H530" s="7">
        <v>15965.32</v>
      </c>
      <c r="I530" s="155">
        <v>2330986.42</v>
      </c>
      <c r="J530" s="155">
        <v>2812399.41</v>
      </c>
      <c r="K530" s="155">
        <v>121546.24000000001</v>
      </c>
      <c r="L530" s="155">
        <v>2092668.9</v>
      </c>
      <c r="M530" s="26">
        <v>1271.6159162943445</v>
      </c>
      <c r="N530" s="26">
        <v>1534.2396772662555</v>
      </c>
      <c r="O530" s="26">
        <v>66.306749804974118</v>
      </c>
      <c r="P530" s="26">
        <v>1141.6072860579677</v>
      </c>
      <c r="Q530" s="154">
        <v>1833.09</v>
      </c>
    </row>
    <row r="531" spans="1:17" x14ac:dyDescent="0.2">
      <c r="A531" s="8" t="s">
        <v>1074</v>
      </c>
      <c r="B531" s="7">
        <v>2012</v>
      </c>
      <c r="C531" s="7" t="s">
        <v>1075</v>
      </c>
      <c r="D531" s="2">
        <v>412.01622203632104</v>
      </c>
      <c r="E531" s="2">
        <v>1376040.03</v>
      </c>
      <c r="F531" s="7">
        <v>8160962.0899999999</v>
      </c>
      <c r="G531" s="7">
        <v>98470.75</v>
      </c>
      <c r="H531" s="7">
        <v>5170.18</v>
      </c>
      <c r="I531" s="155">
        <v>2666765.4</v>
      </c>
      <c r="J531" s="155">
        <v>2989950.65</v>
      </c>
      <c r="K531" s="155">
        <v>116083.6</v>
      </c>
      <c r="L531" s="155">
        <v>1910232.22</v>
      </c>
      <c r="M531" s="26">
        <v>965.84840604695296</v>
      </c>
      <c r="N531" s="26">
        <v>1082.899556691995</v>
      </c>
      <c r="O531" s="26">
        <v>42.043128363744358</v>
      </c>
      <c r="P531" s="26">
        <v>691.84741367445838</v>
      </c>
      <c r="Q531" s="154">
        <v>2761.06</v>
      </c>
    </row>
    <row r="532" spans="1:17" x14ac:dyDescent="0.2">
      <c r="A532" s="8" t="s">
        <v>1076</v>
      </c>
      <c r="B532" s="7">
        <v>2012</v>
      </c>
      <c r="C532" s="7" t="s">
        <v>1077</v>
      </c>
      <c r="D532" s="2">
        <v>303.25790297339591</v>
      </c>
      <c r="E532" s="2">
        <v>521862.27</v>
      </c>
      <c r="F532" s="7">
        <v>9972023.2200000007</v>
      </c>
      <c r="G532" s="7">
        <v>145915.01</v>
      </c>
      <c r="H532" s="7">
        <v>23052.21</v>
      </c>
      <c r="I532" s="155">
        <v>2600734.98</v>
      </c>
      <c r="J532" s="155">
        <v>3064986.75</v>
      </c>
      <c r="K532" s="155">
        <v>221171.98</v>
      </c>
      <c r="L532" s="155">
        <v>2390517.7400000002</v>
      </c>
      <c r="M532" s="26">
        <v>1042.0947316963714</v>
      </c>
      <c r="N532" s="26">
        <v>1228.1168859789718</v>
      </c>
      <c r="O532" s="26">
        <v>88.621930696243112</v>
      </c>
      <c r="P532" s="26">
        <v>957.86228202333643</v>
      </c>
      <c r="Q532" s="154">
        <v>2495.6799999999998</v>
      </c>
    </row>
    <row r="533" spans="1:17" x14ac:dyDescent="0.2">
      <c r="A533" s="8" t="s">
        <v>1078</v>
      </c>
      <c r="B533" s="7">
        <v>2012</v>
      </c>
      <c r="C533" s="7" t="s">
        <v>1079</v>
      </c>
      <c r="D533" s="2">
        <v>3646.62199239966</v>
      </c>
      <c r="E533" s="2">
        <v>24154044.140000001</v>
      </c>
      <c r="F533" s="7">
        <v>74674248.969999999</v>
      </c>
      <c r="G533" s="7">
        <v>3317045.2</v>
      </c>
      <c r="H533" s="7">
        <v>687881.26</v>
      </c>
      <c r="I533" s="155">
        <v>27516084.59</v>
      </c>
      <c r="J533" s="155">
        <v>38061255.030000001</v>
      </c>
      <c r="K533" s="155">
        <v>2167063.92</v>
      </c>
      <c r="L533" s="155">
        <v>25422077.699999999</v>
      </c>
      <c r="M533" s="26">
        <v>1271.4458604435815</v>
      </c>
      <c r="N533" s="26">
        <v>1758.7104369045314</v>
      </c>
      <c r="O533" s="26">
        <v>100.1343211236523</v>
      </c>
      <c r="P533" s="26">
        <v>1174.6873124269634</v>
      </c>
      <c r="Q533" s="154">
        <v>21641.57</v>
      </c>
    </row>
    <row r="534" spans="1:17" x14ac:dyDescent="0.2">
      <c r="A534" s="8" t="s">
        <v>1080</v>
      </c>
      <c r="B534" s="7">
        <v>2012</v>
      </c>
      <c r="C534" s="7" t="s">
        <v>1081</v>
      </c>
      <c r="D534" s="2">
        <v>104.01117318435755</v>
      </c>
      <c r="E534" s="2">
        <v>448057.74</v>
      </c>
      <c r="F534" s="7">
        <v>2717554.33</v>
      </c>
      <c r="G534" s="7">
        <v>62422.63</v>
      </c>
      <c r="H534" s="7">
        <v>6828</v>
      </c>
      <c r="I534" s="155">
        <v>1239185.79</v>
      </c>
      <c r="J534" s="155">
        <v>967873.13</v>
      </c>
      <c r="K534" s="155">
        <v>38737.74</v>
      </c>
      <c r="L534" s="155">
        <v>656574.03</v>
      </c>
      <c r="M534" s="26">
        <v>1585.5489603992069</v>
      </c>
      <c r="N534" s="26">
        <v>1238.4020600089566</v>
      </c>
      <c r="O534" s="26">
        <v>49.565274134732263</v>
      </c>
      <c r="P534" s="26">
        <v>840.09216300940443</v>
      </c>
      <c r="Q534" s="154">
        <v>781.55</v>
      </c>
    </row>
    <row r="535" spans="1:17" x14ac:dyDescent="0.2">
      <c r="A535" s="8" t="s">
        <v>1082</v>
      </c>
      <c r="B535" s="7">
        <v>2012</v>
      </c>
      <c r="C535" s="7" t="s">
        <v>1083</v>
      </c>
      <c r="D535" s="2">
        <v>104.94356650960493</v>
      </c>
      <c r="E535" s="2">
        <v>458525.81</v>
      </c>
      <c r="F535" s="7">
        <v>3724487.83</v>
      </c>
      <c r="G535" s="7">
        <v>81725.75</v>
      </c>
      <c r="H535" s="7">
        <v>33375.97</v>
      </c>
      <c r="I535" s="155">
        <v>1154209.8400000001</v>
      </c>
      <c r="J535" s="155">
        <v>1544208.67</v>
      </c>
      <c r="K535" s="155">
        <v>35133.620000000003</v>
      </c>
      <c r="L535" s="155">
        <v>661806.88</v>
      </c>
      <c r="M535" s="26">
        <v>1130.4367550414779</v>
      </c>
      <c r="N535" s="26">
        <v>1512.4028383103337</v>
      </c>
      <c r="O535" s="26">
        <v>34.409978159309723</v>
      </c>
      <c r="P535" s="26">
        <v>648.17574410154452</v>
      </c>
      <c r="Q535" s="154">
        <v>1021.03</v>
      </c>
    </row>
    <row r="536" spans="1:17" x14ac:dyDescent="0.2">
      <c r="A536" s="8" t="s">
        <v>1084</v>
      </c>
      <c r="B536" s="7">
        <v>2012</v>
      </c>
      <c r="C536" s="7" t="s">
        <v>1085</v>
      </c>
      <c r="D536" s="2">
        <v>75.339534180278278</v>
      </c>
      <c r="E536" s="2">
        <v>427808.49</v>
      </c>
      <c r="F536" s="7">
        <v>4432184.6100000003</v>
      </c>
      <c r="G536" s="7">
        <v>190119.85</v>
      </c>
      <c r="H536" s="7">
        <v>17303.59</v>
      </c>
      <c r="I536" s="155">
        <v>1279815.48</v>
      </c>
      <c r="J536" s="155">
        <v>1290436.05</v>
      </c>
      <c r="K536" s="155">
        <v>323227.38</v>
      </c>
      <c r="L536" s="155">
        <v>914920.08</v>
      </c>
      <c r="M536" s="26">
        <v>1215.6648460727415</v>
      </c>
      <c r="N536" s="26">
        <v>1225.7530609724822</v>
      </c>
      <c r="O536" s="26">
        <v>307.02563712871756</v>
      </c>
      <c r="P536" s="26">
        <v>869.05979463700521</v>
      </c>
      <c r="Q536" s="154">
        <v>1052.77</v>
      </c>
    </row>
    <row r="537" spans="1:17" x14ac:dyDescent="0.2">
      <c r="A537" s="8" t="s">
        <v>1086</v>
      </c>
      <c r="B537" s="7">
        <v>2012</v>
      </c>
      <c r="C537" s="7" t="s">
        <v>1087</v>
      </c>
      <c r="D537" s="2">
        <v>174.25645161290322</v>
      </c>
      <c r="E537" s="2">
        <v>708967.14</v>
      </c>
      <c r="F537" s="7">
        <v>2787153.94</v>
      </c>
      <c r="G537" s="7">
        <v>53787.55</v>
      </c>
      <c r="H537" s="7">
        <v>22500.89</v>
      </c>
      <c r="I537" s="155">
        <v>697583.04</v>
      </c>
      <c r="J537" s="155">
        <v>1469585.21</v>
      </c>
      <c r="K537" s="155">
        <v>55834.29</v>
      </c>
      <c r="L537" s="155">
        <v>474429.5</v>
      </c>
      <c r="M537" s="26">
        <v>829.74479017984584</v>
      </c>
      <c r="N537" s="26">
        <v>1748.0079098867636</v>
      </c>
      <c r="O537" s="26">
        <v>66.412467884670278</v>
      </c>
      <c r="P537" s="26">
        <v>564.31332667237609</v>
      </c>
      <c r="Q537" s="154">
        <v>840.72</v>
      </c>
    </row>
    <row r="538" spans="1:17" x14ac:dyDescent="0.2">
      <c r="A538" s="8" t="s">
        <v>1088</v>
      </c>
      <c r="B538" s="7">
        <v>2012</v>
      </c>
      <c r="C538" s="7" t="s">
        <v>1089</v>
      </c>
      <c r="D538" s="2">
        <v>364.11686583577728</v>
      </c>
      <c r="E538" s="2">
        <v>1334651.8</v>
      </c>
      <c r="F538" s="7">
        <v>9554542.5700000003</v>
      </c>
      <c r="G538" s="7">
        <v>217956.31</v>
      </c>
      <c r="H538" s="7">
        <v>131167.63</v>
      </c>
      <c r="I538" s="155">
        <v>3539735.6</v>
      </c>
      <c r="J538" s="155">
        <v>3800782.77</v>
      </c>
      <c r="K538" s="155">
        <v>791540.04</v>
      </c>
      <c r="L538" s="155">
        <v>1035266.26</v>
      </c>
      <c r="M538" s="26">
        <v>1167.7555315828888</v>
      </c>
      <c r="N538" s="26">
        <v>1253.8747538128086</v>
      </c>
      <c r="O538" s="26">
        <v>261.12833404261636</v>
      </c>
      <c r="P538" s="26">
        <v>341.53339073577393</v>
      </c>
      <c r="Q538" s="154">
        <v>3031.23</v>
      </c>
    </row>
    <row r="539" spans="1:17" x14ac:dyDescent="0.2">
      <c r="A539" s="8" t="s">
        <v>1090</v>
      </c>
      <c r="B539" s="7">
        <v>2012</v>
      </c>
      <c r="C539" s="7" t="s">
        <v>1091</v>
      </c>
      <c r="D539" s="2">
        <v>64.647334179050375</v>
      </c>
      <c r="E539" s="2">
        <v>384088.53</v>
      </c>
      <c r="F539" s="7">
        <v>2666792.9300000002</v>
      </c>
      <c r="G539" s="7">
        <v>74347.070000000007</v>
      </c>
      <c r="H539" s="7">
        <v>53331.88</v>
      </c>
      <c r="I539" s="155">
        <v>688645.66</v>
      </c>
      <c r="J539" s="155">
        <v>1023700.4</v>
      </c>
      <c r="K539" s="155">
        <v>126005.61</v>
      </c>
      <c r="L539" s="155">
        <v>521024.92</v>
      </c>
      <c r="M539" s="26">
        <v>911.60633819597058</v>
      </c>
      <c r="N539" s="26">
        <v>1355.1407164226523</v>
      </c>
      <c r="O539" s="26">
        <v>166.8020571337799</v>
      </c>
      <c r="P539" s="26">
        <v>689.71554896613804</v>
      </c>
      <c r="Q539" s="154">
        <v>755.42</v>
      </c>
    </row>
    <row r="540" spans="1:17" x14ac:dyDescent="0.2">
      <c r="A540" s="8" t="s">
        <v>1092</v>
      </c>
      <c r="B540" s="7">
        <v>2012</v>
      </c>
      <c r="C540" s="7" t="s">
        <v>1093</v>
      </c>
      <c r="D540" s="2">
        <v>181.20844642195033</v>
      </c>
      <c r="E540" s="2">
        <v>1184751.93</v>
      </c>
      <c r="F540" s="7">
        <v>7522325.6399999997</v>
      </c>
      <c r="G540" s="7">
        <v>156405.53</v>
      </c>
      <c r="H540" s="7">
        <v>0</v>
      </c>
      <c r="I540" s="155">
        <v>1787335.31</v>
      </c>
      <c r="J540" s="155">
        <v>2450001.9300000002</v>
      </c>
      <c r="K540" s="155">
        <v>171107.5</v>
      </c>
      <c r="L540" s="155">
        <v>1074797.1100000001</v>
      </c>
      <c r="M540" s="26">
        <v>985.44728818512124</v>
      </c>
      <c r="N540" s="26">
        <v>1350.8085161517977</v>
      </c>
      <c r="O540" s="26">
        <v>94.34011677592585</v>
      </c>
      <c r="P540" s="26">
        <v>592.58936556157755</v>
      </c>
      <c r="Q540" s="154">
        <v>1813.73</v>
      </c>
    </row>
    <row r="541" spans="1:17" x14ac:dyDescent="0.2">
      <c r="A541" s="8" t="s">
        <v>1094</v>
      </c>
      <c r="B541" s="7">
        <v>2012</v>
      </c>
      <c r="C541" s="7" t="s">
        <v>1095</v>
      </c>
      <c r="D541" s="2">
        <v>322.93633547351538</v>
      </c>
      <c r="E541" s="2">
        <v>1206514.6599999999</v>
      </c>
      <c r="F541" s="7">
        <v>7756606.8499999996</v>
      </c>
      <c r="G541" s="7">
        <v>109349.74</v>
      </c>
      <c r="H541" s="7">
        <v>28787.53</v>
      </c>
      <c r="I541" s="155">
        <v>4205968.3099999996</v>
      </c>
      <c r="J541" s="155">
        <v>4713846.45</v>
      </c>
      <c r="K541" s="155">
        <v>638922.65</v>
      </c>
      <c r="L541" s="155">
        <v>2563568.5299999998</v>
      </c>
      <c r="M541" s="26">
        <v>1609.0100305660649</v>
      </c>
      <c r="N541" s="26">
        <v>1803.3008481222337</v>
      </c>
      <c r="O541" s="26">
        <v>244.42241996013786</v>
      </c>
      <c r="P541" s="26">
        <v>980.70341352940488</v>
      </c>
      <c r="Q541" s="154">
        <v>2614.0100000000002</v>
      </c>
    </row>
    <row r="542" spans="1:17" x14ac:dyDescent="0.2">
      <c r="A542" s="8" t="s">
        <v>1096</v>
      </c>
      <c r="B542" s="7">
        <v>2012</v>
      </c>
      <c r="C542" s="7" t="s">
        <v>1097</v>
      </c>
      <c r="D542" s="2">
        <v>419.23976110391953</v>
      </c>
      <c r="E542" s="2">
        <v>2253171.85</v>
      </c>
      <c r="F542" s="7">
        <v>18439791.629999999</v>
      </c>
      <c r="G542" s="7">
        <v>386389.69</v>
      </c>
      <c r="H542" s="7">
        <v>114781.16</v>
      </c>
      <c r="I542" s="155">
        <v>4531826.07</v>
      </c>
      <c r="J542" s="155">
        <v>5661492.1500000004</v>
      </c>
      <c r="K542" s="155">
        <v>247693.23</v>
      </c>
      <c r="L542" s="155">
        <v>3077894.72</v>
      </c>
      <c r="M542" s="26">
        <v>1020.6424686442186</v>
      </c>
      <c r="N542" s="26">
        <v>1275.0620246522094</v>
      </c>
      <c r="O542" s="26">
        <v>55.784627615609317</v>
      </c>
      <c r="P542" s="26">
        <v>693.19299035847735</v>
      </c>
      <c r="Q542" s="154">
        <v>4440.17</v>
      </c>
    </row>
    <row r="543" spans="1:17" x14ac:dyDescent="0.2">
      <c r="A543" s="8" t="s">
        <v>1098</v>
      </c>
      <c r="B543" s="7">
        <v>2012</v>
      </c>
      <c r="C543" s="7" t="s">
        <v>1099</v>
      </c>
      <c r="D543" s="2">
        <v>168.01113693839116</v>
      </c>
      <c r="E543" s="2">
        <v>522181.97</v>
      </c>
      <c r="F543" s="7">
        <v>4930736.09</v>
      </c>
      <c r="G543" s="7">
        <v>172051.42</v>
      </c>
      <c r="H543" s="7">
        <v>2817.63</v>
      </c>
      <c r="I543" s="155">
        <v>1679774.73</v>
      </c>
      <c r="J543" s="155">
        <v>1838706.05</v>
      </c>
      <c r="K543" s="155">
        <v>161008.44</v>
      </c>
      <c r="L543" s="155">
        <v>954948.5</v>
      </c>
      <c r="M543" s="26">
        <v>1136.4418713212908</v>
      </c>
      <c r="N543" s="26">
        <v>1243.9659359989175</v>
      </c>
      <c r="O543" s="26">
        <v>108.92932819159734</v>
      </c>
      <c r="P543" s="26">
        <v>646.0648805899466</v>
      </c>
      <c r="Q543" s="154">
        <v>1478.1</v>
      </c>
    </row>
    <row r="544" spans="1:17" x14ac:dyDescent="0.2">
      <c r="A544" s="8" t="s">
        <v>1100</v>
      </c>
      <c r="B544" s="7">
        <v>2012</v>
      </c>
      <c r="C544" s="7" t="s">
        <v>1101</v>
      </c>
      <c r="D544" s="2">
        <v>172.93951483469817</v>
      </c>
      <c r="E544" s="2">
        <v>670225.6</v>
      </c>
      <c r="F544" s="7">
        <v>4108335.36</v>
      </c>
      <c r="G544" s="7">
        <v>79745.070000000007</v>
      </c>
      <c r="H544" s="7">
        <v>18422.29</v>
      </c>
      <c r="I544" s="155">
        <v>1343835.05</v>
      </c>
      <c r="J544" s="155">
        <v>1767184.14</v>
      </c>
      <c r="K544" s="155">
        <v>134718.48000000001</v>
      </c>
      <c r="L544" s="155">
        <v>1275060.7</v>
      </c>
      <c r="M544" s="26">
        <v>924.73561976589758</v>
      </c>
      <c r="N544" s="26">
        <v>1216.0555872860768</v>
      </c>
      <c r="O544" s="26">
        <v>92.70406892328019</v>
      </c>
      <c r="P544" s="26">
        <v>877.40980312549459</v>
      </c>
      <c r="Q544" s="154">
        <v>1453.21</v>
      </c>
    </row>
    <row r="545" spans="1:17" x14ac:dyDescent="0.2">
      <c r="A545" s="8" t="s">
        <v>1102</v>
      </c>
      <c r="B545" s="7">
        <v>2012</v>
      </c>
      <c r="C545" s="7" t="s">
        <v>1103</v>
      </c>
      <c r="D545" s="2">
        <v>94.610535059286477</v>
      </c>
      <c r="E545" s="2">
        <v>285975.76</v>
      </c>
      <c r="F545" s="7">
        <v>3616474.98</v>
      </c>
      <c r="G545" s="7">
        <v>91497.5</v>
      </c>
      <c r="H545" s="7">
        <v>31606.31</v>
      </c>
      <c r="I545" s="155">
        <v>1221396.3400000001</v>
      </c>
      <c r="J545" s="155">
        <v>1468065.82</v>
      </c>
      <c r="K545" s="155">
        <v>93883.69</v>
      </c>
      <c r="L545" s="155">
        <v>828546.58</v>
      </c>
      <c r="M545" s="26">
        <v>1359.2365149845871</v>
      </c>
      <c r="N545" s="26">
        <v>1633.7437763607429</v>
      </c>
      <c r="O545" s="26">
        <v>104.47889471282788</v>
      </c>
      <c r="P545" s="26">
        <v>922.0518590235813</v>
      </c>
      <c r="Q545" s="154">
        <v>898.59</v>
      </c>
    </row>
    <row r="546" spans="1:17" x14ac:dyDescent="0.2">
      <c r="A546" s="8" t="s">
        <v>1104</v>
      </c>
      <c r="B546" s="7">
        <v>2012</v>
      </c>
      <c r="C546" s="7" t="s">
        <v>1105</v>
      </c>
      <c r="D546" s="2">
        <v>366.18531113667376</v>
      </c>
      <c r="E546" s="2">
        <v>2301102.2599999998</v>
      </c>
      <c r="F546" s="7">
        <v>18460214.030000001</v>
      </c>
      <c r="G546" s="7">
        <v>598855.9</v>
      </c>
      <c r="H546" s="7">
        <v>1561.75</v>
      </c>
      <c r="I546" s="155">
        <v>5049921.05</v>
      </c>
      <c r="J546" s="155">
        <v>5987232.7300000004</v>
      </c>
      <c r="K546" s="155">
        <v>1405078.62</v>
      </c>
      <c r="L546" s="155">
        <v>3383569.03</v>
      </c>
      <c r="M546" s="26">
        <v>1177.8049221353822</v>
      </c>
      <c r="N546" s="26">
        <v>1396.4163220658791</v>
      </c>
      <c r="O546" s="26">
        <v>327.70977966540494</v>
      </c>
      <c r="P546" s="26">
        <v>789.15773503406353</v>
      </c>
      <c r="Q546" s="154">
        <v>4287.57</v>
      </c>
    </row>
    <row r="547" spans="1:17" x14ac:dyDescent="0.2">
      <c r="A547" s="8" t="s">
        <v>1106</v>
      </c>
      <c r="B547" s="7">
        <v>2012</v>
      </c>
      <c r="C547" s="7" t="s">
        <v>1107</v>
      </c>
      <c r="D547" s="2">
        <v>392.00948957811988</v>
      </c>
      <c r="E547" s="2">
        <v>1009163.98</v>
      </c>
      <c r="F547" s="7">
        <v>5216560.54</v>
      </c>
      <c r="G547" s="7">
        <v>70326.52</v>
      </c>
      <c r="H547" s="7">
        <v>0</v>
      </c>
      <c r="I547" s="155">
        <v>1137626.01</v>
      </c>
      <c r="J547" s="155">
        <v>1870711.51</v>
      </c>
      <c r="K547" s="155">
        <v>324535.84000000003</v>
      </c>
      <c r="L547" s="155">
        <v>781742.43</v>
      </c>
      <c r="M547" s="26">
        <v>236.11653836494699</v>
      </c>
      <c r="N547" s="26">
        <v>388.2698902257543</v>
      </c>
      <c r="O547" s="26">
        <v>67.358058309655121</v>
      </c>
      <c r="P547" s="26">
        <v>162.25219434337816</v>
      </c>
      <c r="Q547" s="154">
        <v>4818.07</v>
      </c>
    </row>
    <row r="548" spans="1:17" x14ac:dyDescent="0.2">
      <c r="A548" s="8" t="s">
        <v>1108</v>
      </c>
      <c r="B548" s="7">
        <v>2012</v>
      </c>
      <c r="C548" s="7" t="s">
        <v>1109</v>
      </c>
      <c r="D548" s="2">
        <v>226.22384761904755</v>
      </c>
      <c r="E548" s="2">
        <v>519702.23</v>
      </c>
      <c r="F548" s="7">
        <v>5953561.7699999996</v>
      </c>
      <c r="G548" s="7">
        <v>378085.8</v>
      </c>
      <c r="H548" s="7">
        <v>675</v>
      </c>
      <c r="I548" s="155">
        <v>2191891.9300000002</v>
      </c>
      <c r="J548" s="155">
        <v>2396686.9500000002</v>
      </c>
      <c r="K548" s="155">
        <v>267435.46000000002</v>
      </c>
      <c r="L548" s="155">
        <v>1114984.17</v>
      </c>
      <c r="M548" s="26">
        <v>973.87120895721341</v>
      </c>
      <c r="N548" s="26">
        <v>1064.8629093171014</v>
      </c>
      <c r="O548" s="26">
        <v>118.82323721508865</v>
      </c>
      <c r="P548" s="26">
        <v>495.39439729861823</v>
      </c>
      <c r="Q548" s="154">
        <v>2250.6999999999998</v>
      </c>
    </row>
    <row r="549" spans="1:17" x14ac:dyDescent="0.2">
      <c r="A549" s="8" t="s">
        <v>1110</v>
      </c>
      <c r="B549" s="7">
        <v>2012</v>
      </c>
      <c r="C549" s="7" t="s">
        <v>1111</v>
      </c>
      <c r="D549" s="2">
        <v>156.45117995841412</v>
      </c>
      <c r="E549" s="2">
        <v>811330.13</v>
      </c>
      <c r="F549" s="7">
        <v>4174467.29</v>
      </c>
      <c r="G549" s="7">
        <v>110411.72</v>
      </c>
      <c r="H549" s="7">
        <v>22869.48</v>
      </c>
      <c r="I549" s="155">
        <v>1312547.6299999999</v>
      </c>
      <c r="J549" s="155">
        <v>1610679.4</v>
      </c>
      <c r="K549" s="155">
        <v>56711.76</v>
      </c>
      <c r="L549" s="155">
        <v>1141577.3999999999</v>
      </c>
      <c r="M549" s="26">
        <v>1007.0105569237613</v>
      </c>
      <c r="N549" s="26">
        <v>1235.7427056720446</v>
      </c>
      <c r="O549" s="26">
        <v>43.510299905632145</v>
      </c>
      <c r="P549" s="26">
        <v>875.8390682901005</v>
      </c>
      <c r="Q549" s="154">
        <v>1303.4100000000001</v>
      </c>
    </row>
    <row r="550" spans="1:17" x14ac:dyDescent="0.2">
      <c r="A550" s="8" t="s">
        <v>1112</v>
      </c>
      <c r="B550" s="7">
        <v>2012</v>
      </c>
      <c r="C550" s="7" t="s">
        <v>1113</v>
      </c>
      <c r="D550" s="2">
        <v>476.63949334254829</v>
      </c>
      <c r="E550" s="2">
        <v>4408349.59</v>
      </c>
      <c r="F550" s="7">
        <v>37195024.57</v>
      </c>
      <c r="G550" s="7">
        <v>630884.23</v>
      </c>
      <c r="H550" s="7">
        <v>175794.46</v>
      </c>
      <c r="I550" s="155">
        <v>6973262.25</v>
      </c>
      <c r="J550" s="155">
        <v>8525884.1300000008</v>
      </c>
      <c r="K550" s="155">
        <v>4253997.08</v>
      </c>
      <c r="L550" s="155">
        <v>8001963.6200000001</v>
      </c>
      <c r="M550" s="26">
        <v>1248.833638978334</v>
      </c>
      <c r="N550" s="26">
        <v>1526.8909330888175</v>
      </c>
      <c r="O550" s="26">
        <v>761.84351931115259</v>
      </c>
      <c r="P550" s="26">
        <v>1433.0626023045156</v>
      </c>
      <c r="Q550" s="154">
        <v>5583.82</v>
      </c>
    </row>
    <row r="551" spans="1:17" x14ac:dyDescent="0.2">
      <c r="A551" s="8" t="s">
        <v>1114</v>
      </c>
      <c r="B551" s="7">
        <v>2012</v>
      </c>
      <c r="C551" s="7" t="s">
        <v>1115</v>
      </c>
      <c r="D551" s="2">
        <v>60.543037332366794</v>
      </c>
      <c r="E551" s="2">
        <v>351078.58</v>
      </c>
      <c r="F551" s="7">
        <v>2096466.26</v>
      </c>
      <c r="G551" s="7">
        <v>42192.04</v>
      </c>
      <c r="H551" s="7">
        <v>1003.08</v>
      </c>
      <c r="I551" s="155">
        <v>1088468.7</v>
      </c>
      <c r="J551" s="155">
        <v>1092324.57</v>
      </c>
      <c r="K551" s="155">
        <v>84287.15</v>
      </c>
      <c r="L551" s="155">
        <v>258858.09</v>
      </c>
      <c r="M551" s="26">
        <v>1816.051621729845</v>
      </c>
      <c r="N551" s="26">
        <v>1822.4849339295249</v>
      </c>
      <c r="O551" s="26">
        <v>140.62858715963694</v>
      </c>
      <c r="P551" s="26">
        <v>431.89083355579282</v>
      </c>
      <c r="Q551" s="154">
        <v>599.36</v>
      </c>
    </row>
    <row r="552" spans="1:17" x14ac:dyDescent="0.2">
      <c r="A552" s="8" t="s">
        <v>1116</v>
      </c>
      <c r="B552" s="7">
        <v>2012</v>
      </c>
      <c r="C552" s="7" t="s">
        <v>1117</v>
      </c>
      <c r="D552" s="2">
        <v>361.35835555555633</v>
      </c>
      <c r="E552" s="2">
        <v>1620214.62</v>
      </c>
      <c r="F552" s="7">
        <v>8551852.8499999996</v>
      </c>
      <c r="G552" s="7">
        <v>646582.02</v>
      </c>
      <c r="H552" s="7">
        <v>10769.7</v>
      </c>
      <c r="I552" s="155">
        <v>2593472.4900000002</v>
      </c>
      <c r="J552" s="155">
        <v>2194247.6800000002</v>
      </c>
      <c r="K552" s="155">
        <v>308740.69</v>
      </c>
      <c r="L552" s="155">
        <v>1693269.07</v>
      </c>
      <c r="M552" s="26">
        <v>1192.1161331543724</v>
      </c>
      <c r="N552" s="26">
        <v>1008.6083694932706</v>
      </c>
      <c r="O552" s="26">
        <v>141.91581323085975</v>
      </c>
      <c r="P552" s="26">
        <v>778.3284318231963</v>
      </c>
      <c r="Q552" s="154">
        <v>2175.52</v>
      </c>
    </row>
    <row r="553" spans="1:17" x14ac:dyDescent="0.2">
      <c r="A553" s="8" t="s">
        <v>1118</v>
      </c>
      <c r="B553" s="7">
        <v>2012</v>
      </c>
      <c r="C553" s="7" t="s">
        <v>1119</v>
      </c>
      <c r="D553" s="2">
        <v>213.09344632768352</v>
      </c>
      <c r="E553" s="2">
        <v>878806.67</v>
      </c>
      <c r="F553" s="7">
        <v>5839079.4800000004</v>
      </c>
      <c r="G553" s="7">
        <v>81405.19</v>
      </c>
      <c r="H553" s="7">
        <v>29402.05</v>
      </c>
      <c r="I553" s="155">
        <v>2434684.2400000002</v>
      </c>
      <c r="J553" s="155">
        <v>1837416</v>
      </c>
      <c r="K553" s="155">
        <v>174122.96</v>
      </c>
      <c r="L553" s="155">
        <v>1776874.32</v>
      </c>
      <c r="M553" s="26">
        <v>1429.9969693054072</v>
      </c>
      <c r="N553" s="26">
        <v>1079.1951039011383</v>
      </c>
      <c r="O553" s="26">
        <v>102.27006073136064</v>
      </c>
      <c r="P553" s="26">
        <v>1043.6363166488507</v>
      </c>
      <c r="Q553" s="154">
        <v>1702.58</v>
      </c>
    </row>
    <row r="554" spans="1:17" x14ac:dyDescent="0.2">
      <c r="A554" s="8" t="s">
        <v>1120</v>
      </c>
      <c r="B554" s="7">
        <v>2012</v>
      </c>
      <c r="C554" s="7" t="s">
        <v>1121</v>
      </c>
      <c r="D554" s="2">
        <v>134.76426926604609</v>
      </c>
      <c r="E554" s="2">
        <v>345045.93</v>
      </c>
      <c r="F554" s="7">
        <v>4129257.49</v>
      </c>
      <c r="G554" s="7">
        <v>74030.69</v>
      </c>
      <c r="H554" s="7">
        <v>9739.41</v>
      </c>
      <c r="I554" s="155">
        <v>1182140.76</v>
      </c>
      <c r="J554" s="155">
        <v>1755458.79</v>
      </c>
      <c r="K554" s="155">
        <v>327705.77</v>
      </c>
      <c r="L554" s="155">
        <v>828756.44</v>
      </c>
      <c r="M554" s="26">
        <v>1120.5125687203792</v>
      </c>
      <c r="N554" s="26">
        <v>1663.9419810426541</v>
      </c>
      <c r="O554" s="26">
        <v>310.62158293838866</v>
      </c>
      <c r="P554" s="26">
        <v>785.55112796208527</v>
      </c>
      <c r="Q554" s="154">
        <v>1055</v>
      </c>
    </row>
    <row r="555" spans="1:17" x14ac:dyDescent="0.2">
      <c r="A555" s="8" t="s">
        <v>1122</v>
      </c>
      <c r="B555" s="7">
        <v>2012</v>
      </c>
      <c r="C555" s="7" t="s">
        <v>1123</v>
      </c>
      <c r="D555" s="2">
        <v>187.32741935483875</v>
      </c>
      <c r="E555" s="2">
        <v>668458.34</v>
      </c>
      <c r="F555" s="7">
        <v>7641062.6100000003</v>
      </c>
      <c r="G555" s="7">
        <v>284613.59999999998</v>
      </c>
      <c r="H555" s="7">
        <v>5071.3999999999996</v>
      </c>
      <c r="I555" s="155">
        <v>1714165.25</v>
      </c>
      <c r="J555" s="155">
        <v>2573926.34</v>
      </c>
      <c r="K555" s="155">
        <v>1149543.28</v>
      </c>
      <c r="L555" s="155">
        <v>2314307.83</v>
      </c>
      <c r="M555" s="26">
        <v>894.90581945945382</v>
      </c>
      <c r="N555" s="26">
        <v>1343.7570622353783</v>
      </c>
      <c r="O555" s="26">
        <v>600.13640516426779</v>
      </c>
      <c r="P555" s="26">
        <v>1208.2193038784214</v>
      </c>
      <c r="Q555" s="154">
        <v>1915.47</v>
      </c>
    </row>
    <row r="556" spans="1:17" x14ac:dyDescent="0.2">
      <c r="A556" s="8" t="s">
        <v>1124</v>
      </c>
      <c r="B556" s="7">
        <v>2012</v>
      </c>
      <c r="C556" s="7" t="s">
        <v>1125</v>
      </c>
      <c r="D556" s="2">
        <v>69.409931263031211</v>
      </c>
      <c r="E556" s="2">
        <v>268473.89</v>
      </c>
      <c r="F556" s="7">
        <v>3220965.14</v>
      </c>
      <c r="G556" s="7">
        <v>117062.09</v>
      </c>
      <c r="H556" s="7">
        <v>24988.42</v>
      </c>
      <c r="I556" s="155">
        <v>1286130.68</v>
      </c>
      <c r="J556" s="155">
        <v>1739545.67</v>
      </c>
      <c r="K556" s="155">
        <v>38739.58</v>
      </c>
      <c r="L556" s="155">
        <v>771559.79</v>
      </c>
      <c r="M556" s="26">
        <v>1289.121441744848</v>
      </c>
      <c r="N556" s="26">
        <v>1743.5908006575255</v>
      </c>
      <c r="O556" s="26">
        <v>38.829664822387947</v>
      </c>
      <c r="P556" s="26">
        <v>773.35397121321478</v>
      </c>
      <c r="Q556" s="154">
        <v>997.68</v>
      </c>
    </row>
    <row r="557" spans="1:17" x14ac:dyDescent="0.2">
      <c r="A557" s="8" t="s">
        <v>1126</v>
      </c>
      <c r="B557" s="7">
        <v>2012</v>
      </c>
      <c r="C557" s="7" t="s">
        <v>1127</v>
      </c>
      <c r="D557" s="2">
        <v>263.29839080459766</v>
      </c>
      <c r="E557" s="2">
        <v>1486888.64</v>
      </c>
      <c r="F557" s="7">
        <v>7676986.8499999996</v>
      </c>
      <c r="G557" s="7">
        <v>256186.1</v>
      </c>
      <c r="H557" s="7">
        <v>74572.75</v>
      </c>
      <c r="I557" s="155">
        <v>1894406.6</v>
      </c>
      <c r="J557" s="155">
        <v>2296543.81</v>
      </c>
      <c r="K557" s="155">
        <v>611730.68000000005</v>
      </c>
      <c r="L557" s="155">
        <v>2178519.7599999998</v>
      </c>
      <c r="M557" s="26">
        <v>932.76411155315714</v>
      </c>
      <c r="N557" s="26">
        <v>1130.7676222082168</v>
      </c>
      <c r="O557" s="26">
        <v>301.20272186552177</v>
      </c>
      <c r="P557" s="26">
        <v>1072.6551778469293</v>
      </c>
      <c r="Q557" s="154">
        <v>2030.96</v>
      </c>
    </row>
    <row r="558" spans="1:17" x14ac:dyDescent="0.2">
      <c r="A558" s="8" t="s">
        <v>1128</v>
      </c>
      <c r="B558" s="7">
        <v>2012</v>
      </c>
      <c r="C558" s="7" t="s">
        <v>1129</v>
      </c>
      <c r="D558" s="2">
        <v>437.13991052658827</v>
      </c>
      <c r="E558" s="2">
        <v>3053235.64</v>
      </c>
      <c r="F558" s="7">
        <v>14122674.619999999</v>
      </c>
      <c r="G558" s="7">
        <v>248969.21</v>
      </c>
      <c r="H558" s="7">
        <v>7452.86</v>
      </c>
      <c r="I558" s="155">
        <v>3588120.02</v>
      </c>
      <c r="J558" s="155">
        <v>3801812.1</v>
      </c>
      <c r="K558" s="155">
        <v>980040.22</v>
      </c>
      <c r="L558" s="155">
        <v>5429499.54</v>
      </c>
      <c r="M558" s="26">
        <v>1090.2097155462109</v>
      </c>
      <c r="N558" s="26">
        <v>1155.1376389302447</v>
      </c>
      <c r="O558" s="26">
        <v>297.77414454214545</v>
      </c>
      <c r="P558" s="26">
        <v>1649.6920716330117</v>
      </c>
      <c r="Q558" s="154">
        <v>3291.22</v>
      </c>
    </row>
    <row r="559" spans="1:17" x14ac:dyDescent="0.2">
      <c r="A559" s="8" t="s">
        <v>1130</v>
      </c>
      <c r="B559" s="7">
        <v>2012</v>
      </c>
      <c r="C559" s="7" t="s">
        <v>1131</v>
      </c>
      <c r="D559" s="2">
        <v>28.024259547645531</v>
      </c>
      <c r="E559" s="2">
        <v>111302.12</v>
      </c>
      <c r="F559" s="7">
        <v>866451.72</v>
      </c>
      <c r="G559" s="7">
        <v>25718.17</v>
      </c>
      <c r="H559" s="7">
        <v>0</v>
      </c>
      <c r="I559" s="155">
        <v>497823.85</v>
      </c>
      <c r="J559" s="155">
        <v>363948.61</v>
      </c>
      <c r="K559" s="155">
        <v>17688.689999999999</v>
      </c>
      <c r="L559" s="155">
        <v>161099.65</v>
      </c>
      <c r="M559" s="26">
        <v>2151.6352595409949</v>
      </c>
      <c r="N559" s="26">
        <v>1573.015559493452</v>
      </c>
      <c r="O559" s="26">
        <v>76.451960063966794</v>
      </c>
      <c r="P559" s="26">
        <v>696.28581925055107</v>
      </c>
      <c r="Q559" s="154">
        <v>231.37</v>
      </c>
    </row>
    <row r="560" spans="1:17" x14ac:dyDescent="0.2">
      <c r="A560" s="8" t="s">
        <v>1132</v>
      </c>
      <c r="B560" s="7">
        <v>2012</v>
      </c>
      <c r="C560" s="7" t="s">
        <v>1133</v>
      </c>
      <c r="D560" s="2">
        <v>292.08766666666668</v>
      </c>
      <c r="E560" s="2">
        <v>1362269.43</v>
      </c>
      <c r="F560" s="7">
        <v>7992600.5899999999</v>
      </c>
      <c r="G560" s="7">
        <v>140159.09</v>
      </c>
      <c r="H560" s="7">
        <v>791330.61</v>
      </c>
      <c r="I560" s="155">
        <v>2418341.37</v>
      </c>
      <c r="J560" s="155">
        <v>3158071.53</v>
      </c>
      <c r="K560" s="155">
        <v>391189.79</v>
      </c>
      <c r="L560" s="155">
        <v>2839395.53</v>
      </c>
      <c r="M560" s="26">
        <v>1134.2266585371574</v>
      </c>
      <c r="N560" s="26">
        <v>1481.1676148488614</v>
      </c>
      <c r="O560" s="26">
        <v>183.47198367844663</v>
      </c>
      <c r="P560" s="26">
        <v>1331.7053349905025</v>
      </c>
      <c r="Q560" s="154">
        <v>2132.15</v>
      </c>
    </row>
    <row r="561" spans="1:17" x14ac:dyDescent="0.2">
      <c r="A561" s="8" t="s">
        <v>1134</v>
      </c>
      <c r="B561" s="7">
        <v>2012</v>
      </c>
      <c r="C561" s="7" t="s">
        <v>1135</v>
      </c>
      <c r="D561" s="2">
        <v>78.095900996728318</v>
      </c>
      <c r="E561" s="2">
        <v>485106.55</v>
      </c>
      <c r="F561" s="7">
        <v>4977732.47</v>
      </c>
      <c r="G561" s="7">
        <v>98997.95</v>
      </c>
      <c r="H561" s="7">
        <v>1617.18</v>
      </c>
      <c r="I561" s="155">
        <v>1491173.57</v>
      </c>
      <c r="J561" s="155">
        <v>1191248.27</v>
      </c>
      <c r="K561" s="155">
        <v>98885.53</v>
      </c>
      <c r="L561" s="155">
        <v>1033922.54</v>
      </c>
      <c r="M561" s="26">
        <v>1097.0077245072869</v>
      </c>
      <c r="N561" s="26">
        <v>876.36247066526403</v>
      </c>
      <c r="O561" s="26">
        <v>72.746856861201636</v>
      </c>
      <c r="P561" s="26">
        <v>760.6230661144258</v>
      </c>
      <c r="Q561" s="154">
        <v>1359.31</v>
      </c>
    </row>
    <row r="562" spans="1:17" x14ac:dyDescent="0.2">
      <c r="A562" s="8" t="s">
        <v>1136</v>
      </c>
      <c r="B562" s="7">
        <v>2012</v>
      </c>
      <c r="C562" s="7" t="s">
        <v>1137</v>
      </c>
      <c r="D562" s="2">
        <v>383.00197739321311</v>
      </c>
      <c r="E562" s="2">
        <v>1572160.3</v>
      </c>
      <c r="F562" s="7">
        <v>8082797.7999999998</v>
      </c>
      <c r="G562" s="7">
        <v>311403.93</v>
      </c>
      <c r="H562" s="7">
        <v>20364.650000000001</v>
      </c>
      <c r="I562" s="155">
        <v>2640560.2599999998</v>
      </c>
      <c r="J562" s="155">
        <v>4518081.5199999996</v>
      </c>
      <c r="K562" s="155">
        <v>503092.6</v>
      </c>
      <c r="L562" s="155">
        <v>1403924.75</v>
      </c>
      <c r="M562" s="26">
        <v>1154.4341237780457</v>
      </c>
      <c r="N562" s="26">
        <v>1975.2730356924258</v>
      </c>
      <c r="O562" s="26">
        <v>219.9484986796775</v>
      </c>
      <c r="P562" s="26">
        <v>613.78589353479174</v>
      </c>
      <c r="Q562" s="154">
        <v>2287.3200000000002</v>
      </c>
    </row>
    <row r="563" spans="1:17" x14ac:dyDescent="0.2">
      <c r="A563" s="8" t="s">
        <v>1138</v>
      </c>
      <c r="B563" s="7">
        <v>2012</v>
      </c>
      <c r="C563" s="7" t="s">
        <v>1139</v>
      </c>
      <c r="D563" s="2">
        <v>382.62138441307417</v>
      </c>
      <c r="E563" s="2">
        <v>1677475.54</v>
      </c>
      <c r="F563" s="7">
        <v>15989214.630000001</v>
      </c>
      <c r="G563" s="7">
        <v>299878.46999999997</v>
      </c>
      <c r="H563" s="7">
        <v>61928.63</v>
      </c>
      <c r="I563" s="155">
        <v>4349993.07</v>
      </c>
      <c r="J563" s="155">
        <v>5105758.16</v>
      </c>
      <c r="K563" s="155">
        <v>743961.09</v>
      </c>
      <c r="L563" s="155">
        <v>3466630.02</v>
      </c>
      <c r="M563" s="26">
        <v>917.81880961875652</v>
      </c>
      <c r="N563" s="26">
        <v>1077.2800786582523</v>
      </c>
      <c r="O563" s="26">
        <v>156.9707057088421</v>
      </c>
      <c r="P563" s="26">
        <v>731.43524303247818</v>
      </c>
      <c r="Q563" s="154">
        <v>4739.49</v>
      </c>
    </row>
    <row r="564" spans="1:17" x14ac:dyDescent="0.2">
      <c r="A564" s="8" t="s">
        <v>1140</v>
      </c>
      <c r="B564" s="7">
        <v>2012</v>
      </c>
      <c r="C564" s="7" t="s">
        <v>1141</v>
      </c>
      <c r="D564" s="2">
        <v>75.111969139957552</v>
      </c>
      <c r="E564" s="2">
        <v>322797.33</v>
      </c>
      <c r="F564" s="7">
        <v>2704437.48</v>
      </c>
      <c r="G564" s="7">
        <v>45417.11</v>
      </c>
      <c r="H564" s="7">
        <v>58603.19</v>
      </c>
      <c r="I564" s="155">
        <v>1071046.83</v>
      </c>
      <c r="J564" s="155">
        <v>1025760.22</v>
      </c>
      <c r="K564" s="155">
        <v>101191.37</v>
      </c>
      <c r="L564" s="155">
        <v>530279.79</v>
      </c>
      <c r="M564" s="26">
        <v>1751.6507155123068</v>
      </c>
      <c r="N564" s="26">
        <v>1677.5864257093792</v>
      </c>
      <c r="O564" s="26">
        <v>165.49410417859184</v>
      </c>
      <c r="P564" s="26">
        <v>867.24963611088401</v>
      </c>
      <c r="Q564" s="154">
        <v>611.45000000000005</v>
      </c>
    </row>
    <row r="565" spans="1:17" x14ac:dyDescent="0.2">
      <c r="A565" s="8" t="s">
        <v>1142</v>
      </c>
      <c r="B565" s="7">
        <v>2012</v>
      </c>
      <c r="C565" s="7" t="s">
        <v>1143</v>
      </c>
      <c r="D565" s="2">
        <v>400.02482061945699</v>
      </c>
      <c r="E565" s="2">
        <v>630229.32999999996</v>
      </c>
      <c r="F565" s="7">
        <v>10422270.9</v>
      </c>
      <c r="G565" s="7">
        <v>225956.84</v>
      </c>
      <c r="H565" s="7">
        <v>15029.87</v>
      </c>
      <c r="I565" s="155">
        <v>2560933.04</v>
      </c>
      <c r="J565" s="155">
        <v>3290592.7</v>
      </c>
      <c r="K565" s="155">
        <v>988921.77</v>
      </c>
      <c r="L565" s="155">
        <v>1715016.91</v>
      </c>
      <c r="M565" s="26">
        <v>846.12511481302829</v>
      </c>
      <c r="N565" s="26">
        <v>1087.2026259969737</v>
      </c>
      <c r="O565" s="26">
        <v>326.73698730613944</v>
      </c>
      <c r="P565" s="26">
        <v>566.6367910502006</v>
      </c>
      <c r="Q565" s="154">
        <v>3026.66</v>
      </c>
    </row>
    <row r="566" spans="1:17" x14ac:dyDescent="0.2">
      <c r="A566" s="8" t="s">
        <v>1144</v>
      </c>
      <c r="B566" s="7">
        <v>2012</v>
      </c>
      <c r="C566" s="7" t="s">
        <v>1145</v>
      </c>
      <c r="D566" s="2">
        <v>815.40586061711315</v>
      </c>
      <c r="E566" s="2">
        <v>6276129.2699999996</v>
      </c>
      <c r="F566" s="7">
        <v>17725727.780000001</v>
      </c>
      <c r="G566" s="7">
        <v>805156.57</v>
      </c>
      <c r="H566" s="7">
        <v>155130.99</v>
      </c>
      <c r="I566" s="155">
        <v>7036002.8799999999</v>
      </c>
      <c r="J566" s="155">
        <v>10653393.02</v>
      </c>
      <c r="K566" s="155">
        <v>1681654.51</v>
      </c>
      <c r="L566" s="155">
        <v>5392011.1100000003</v>
      </c>
      <c r="M566" s="26">
        <v>1301.2935029674879</v>
      </c>
      <c r="N566" s="26">
        <v>1970.321979385714</v>
      </c>
      <c r="O566" s="26">
        <v>311.01836162110476</v>
      </c>
      <c r="P566" s="26">
        <v>997.24078358698932</v>
      </c>
      <c r="Q566" s="154">
        <v>5406.93</v>
      </c>
    </row>
    <row r="567" spans="1:17" x14ac:dyDescent="0.2">
      <c r="A567" s="8" t="s">
        <v>1146</v>
      </c>
      <c r="B567" s="7">
        <v>2012</v>
      </c>
      <c r="C567" s="7" t="s">
        <v>1147</v>
      </c>
      <c r="D567" s="2">
        <v>195.0623772445575</v>
      </c>
      <c r="E567" s="2">
        <v>645730.62</v>
      </c>
      <c r="F567" s="7">
        <v>8067681.8399999999</v>
      </c>
      <c r="G567" s="7">
        <v>247593.52</v>
      </c>
      <c r="H567" s="7">
        <v>7191.35</v>
      </c>
      <c r="I567" s="155">
        <v>1946792.81</v>
      </c>
      <c r="J567" s="155">
        <v>3264233.55</v>
      </c>
      <c r="K567" s="155">
        <v>303658.31</v>
      </c>
      <c r="L567" s="155">
        <v>1174837.23</v>
      </c>
      <c r="M567" s="26">
        <v>838.88895065239512</v>
      </c>
      <c r="N567" s="26">
        <v>1406.5849449299344</v>
      </c>
      <c r="O567" s="26">
        <v>130.8488503369702</v>
      </c>
      <c r="P567" s="26">
        <v>506.24697502456178</v>
      </c>
      <c r="Q567" s="154">
        <v>2320.6799999999998</v>
      </c>
    </row>
    <row r="568" spans="1:17" x14ac:dyDescent="0.2">
      <c r="A568" s="8" t="s">
        <v>1148</v>
      </c>
      <c r="B568" s="7">
        <v>2012</v>
      </c>
      <c r="C568" s="7" t="s">
        <v>1149</v>
      </c>
      <c r="D568" s="2">
        <v>332.05821113438685</v>
      </c>
      <c r="E568" s="2">
        <v>1652739.94</v>
      </c>
      <c r="F568" s="7">
        <v>9513303.9499999993</v>
      </c>
      <c r="G568" s="7">
        <v>326815.81</v>
      </c>
      <c r="H568" s="7">
        <v>51908.78</v>
      </c>
      <c r="I568" s="155">
        <v>4771231.93</v>
      </c>
      <c r="J568" s="155">
        <v>4586337.97</v>
      </c>
      <c r="K568" s="155">
        <v>1063180.6000000001</v>
      </c>
      <c r="L568" s="155">
        <v>1930958.77</v>
      </c>
      <c r="M568" s="26">
        <v>2885.2731412330295</v>
      </c>
      <c r="N568" s="26">
        <v>2773.4635321863752</v>
      </c>
      <c r="O568" s="26">
        <v>642.9296404922444</v>
      </c>
      <c r="P568" s="26">
        <v>1167.6949596347474</v>
      </c>
      <c r="Q568" s="154">
        <v>1653.65</v>
      </c>
    </row>
    <row r="569" spans="1:17" x14ac:dyDescent="0.2">
      <c r="A569" s="8" t="s">
        <v>1150</v>
      </c>
      <c r="B569" s="7">
        <v>2012</v>
      </c>
      <c r="C569" s="7" t="s">
        <v>1151</v>
      </c>
      <c r="D569" s="2">
        <v>365.04168539325838</v>
      </c>
      <c r="E569" s="2">
        <v>1375301.57</v>
      </c>
      <c r="F569" s="7">
        <v>7479593.4199999999</v>
      </c>
      <c r="G569" s="7">
        <v>205617.34</v>
      </c>
      <c r="H569" s="7">
        <v>10445.09</v>
      </c>
      <c r="I569" s="155">
        <v>1771067.56</v>
      </c>
      <c r="J569" s="155">
        <v>1828350.02</v>
      </c>
      <c r="K569" s="155">
        <v>111287.45</v>
      </c>
      <c r="L569" s="155">
        <v>1041114.98</v>
      </c>
      <c r="M569" s="26">
        <v>777.59230428120452</v>
      </c>
      <c r="N569" s="26">
        <v>802.74233303916787</v>
      </c>
      <c r="O569" s="26">
        <v>48.861074889248911</v>
      </c>
      <c r="P569" s="26">
        <v>457.10452531798404</v>
      </c>
      <c r="Q569" s="154">
        <v>2277.63</v>
      </c>
    </row>
    <row r="570" spans="1:17" x14ac:dyDescent="0.2">
      <c r="A570" s="8" t="s">
        <v>1152</v>
      </c>
      <c r="B570" s="7">
        <v>2012</v>
      </c>
      <c r="C570" s="7" t="s">
        <v>1153</v>
      </c>
      <c r="D570" s="2">
        <v>812.30647186151566</v>
      </c>
      <c r="E570" s="2">
        <v>3752109.45</v>
      </c>
      <c r="F570" s="7">
        <v>28307129.620000001</v>
      </c>
      <c r="G570" s="7">
        <v>708575.83</v>
      </c>
      <c r="H570" s="7">
        <v>564115.32999999996</v>
      </c>
      <c r="I570" s="155">
        <v>8596246.5500000007</v>
      </c>
      <c r="J570" s="155">
        <v>11365899.289999999</v>
      </c>
      <c r="K570" s="155">
        <v>2457392.7799999998</v>
      </c>
      <c r="L570" s="155">
        <v>4714040.51</v>
      </c>
      <c r="M570" s="26">
        <v>1291.2414924857489</v>
      </c>
      <c r="N570" s="26">
        <v>1707.2708044492176</v>
      </c>
      <c r="O570" s="26">
        <v>369.12476886448809</v>
      </c>
      <c r="P570" s="26">
        <v>708.09564015711953</v>
      </c>
      <c r="Q570" s="154">
        <v>6657.35</v>
      </c>
    </row>
    <row r="571" spans="1:17" x14ac:dyDescent="0.2">
      <c r="A571" s="8" t="s">
        <v>1154</v>
      </c>
      <c r="B571" s="7">
        <v>2012</v>
      </c>
      <c r="C571" s="7" t="s">
        <v>1155</v>
      </c>
      <c r="D571" s="2">
        <v>205.23728448275858</v>
      </c>
      <c r="E571" s="2">
        <v>707663.23</v>
      </c>
      <c r="F571" s="7">
        <v>4518646.3899999997</v>
      </c>
      <c r="G571" s="7">
        <v>226118.07</v>
      </c>
      <c r="H571" s="7">
        <v>12450</v>
      </c>
      <c r="I571" s="155">
        <v>1477429.5</v>
      </c>
      <c r="J571" s="155">
        <v>2461000.12</v>
      </c>
      <c r="K571" s="155">
        <v>229182.27</v>
      </c>
      <c r="L571" s="155">
        <v>1253102.6499999999</v>
      </c>
      <c r="M571" s="26">
        <v>985.72186305318155</v>
      </c>
      <c r="N571" s="26">
        <v>1641.9474656899049</v>
      </c>
      <c r="O571" s="26">
        <v>152.90744780929126</v>
      </c>
      <c r="P571" s="26">
        <v>836.05388869985256</v>
      </c>
      <c r="Q571" s="154">
        <v>1498.83</v>
      </c>
    </row>
    <row r="572" spans="1:17" x14ac:dyDescent="0.2">
      <c r="A572" s="8" t="s">
        <v>1156</v>
      </c>
      <c r="B572" s="7">
        <v>2012</v>
      </c>
      <c r="C572" s="7" t="s">
        <v>1157</v>
      </c>
      <c r="D572" s="2">
        <v>181.53430902060495</v>
      </c>
      <c r="E572" s="2">
        <v>525115.43000000005</v>
      </c>
      <c r="F572" s="7">
        <v>3779990.85</v>
      </c>
      <c r="G572" s="7">
        <v>55580.1</v>
      </c>
      <c r="H572" s="7">
        <v>21360.41</v>
      </c>
      <c r="I572" s="155">
        <v>1124077.32</v>
      </c>
      <c r="J572" s="155">
        <v>1464442.07</v>
      </c>
      <c r="K572" s="155">
        <v>1971.22</v>
      </c>
      <c r="L572" s="155">
        <v>906221</v>
      </c>
      <c r="M572" s="26">
        <v>899.21869350271197</v>
      </c>
      <c r="N572" s="26">
        <v>1171.4974241236421</v>
      </c>
      <c r="O572" s="26">
        <v>1.5769003087851785</v>
      </c>
      <c r="P572" s="26">
        <v>724.94200278386643</v>
      </c>
      <c r="Q572" s="154">
        <v>1250.06</v>
      </c>
    </row>
    <row r="573" spans="1:17" x14ac:dyDescent="0.2">
      <c r="A573" s="8" t="s">
        <v>1158</v>
      </c>
      <c r="B573" s="7">
        <v>2012</v>
      </c>
      <c r="C573" s="7" t="s">
        <v>1159</v>
      </c>
      <c r="D573" s="2">
        <v>163.15644987798223</v>
      </c>
      <c r="E573" s="2">
        <v>1083002.3700000001</v>
      </c>
      <c r="F573" s="7">
        <v>7135560.04</v>
      </c>
      <c r="G573" s="7">
        <v>137081.87</v>
      </c>
      <c r="H573" s="7">
        <v>8902.86</v>
      </c>
      <c r="I573" s="155">
        <v>1864609.78</v>
      </c>
      <c r="J573" s="155">
        <v>1996113.38</v>
      </c>
      <c r="K573" s="155">
        <v>335845.09</v>
      </c>
      <c r="L573" s="155">
        <v>1553605.15</v>
      </c>
      <c r="M573" s="26">
        <v>872.66683827246015</v>
      </c>
      <c r="N573" s="26">
        <v>934.21260085740494</v>
      </c>
      <c r="O573" s="26">
        <v>157.18080854409646</v>
      </c>
      <c r="P573" s="26">
        <v>727.11175749293295</v>
      </c>
      <c r="Q573" s="154">
        <v>2136.6799999999998</v>
      </c>
    </row>
    <row r="574" spans="1:17" x14ac:dyDescent="0.2">
      <c r="A574" s="8" t="s">
        <v>1160</v>
      </c>
      <c r="B574" s="7">
        <v>2012</v>
      </c>
      <c r="C574" s="7" t="s">
        <v>1161</v>
      </c>
      <c r="D574" s="2">
        <v>292.15573537452138</v>
      </c>
      <c r="E574" s="2">
        <v>734840.17</v>
      </c>
      <c r="F574" s="7">
        <v>5471373.6699999999</v>
      </c>
      <c r="G574" s="7">
        <v>210243.19</v>
      </c>
      <c r="H574" s="7">
        <v>37552.230000000003</v>
      </c>
      <c r="I574" s="155">
        <v>1626492.73</v>
      </c>
      <c r="J574" s="155">
        <v>2843012.92</v>
      </c>
      <c r="K574" s="155">
        <v>584962.84</v>
      </c>
      <c r="L574" s="155">
        <v>1117013.03</v>
      </c>
      <c r="M574" s="26">
        <v>820.4913032073207</v>
      </c>
      <c r="N574" s="26">
        <v>1434.1701827133591</v>
      </c>
      <c r="O574" s="26">
        <v>295.08703855040005</v>
      </c>
      <c r="P574" s="26">
        <v>563.48206160396307</v>
      </c>
      <c r="Q574" s="154">
        <v>1982.34</v>
      </c>
    </row>
    <row r="575" spans="1:17" x14ac:dyDescent="0.2">
      <c r="A575" s="8" t="s">
        <v>1162</v>
      </c>
      <c r="B575" s="7">
        <v>2012</v>
      </c>
      <c r="C575" s="7" t="s">
        <v>1163</v>
      </c>
      <c r="D575" s="2">
        <v>121.09832367835141</v>
      </c>
      <c r="E575" s="2">
        <v>626139.36</v>
      </c>
      <c r="F575" s="7">
        <v>5363313.08</v>
      </c>
      <c r="G575" s="7">
        <v>169620.49</v>
      </c>
      <c r="H575" s="7">
        <v>126.69</v>
      </c>
      <c r="I575" s="155">
        <v>1379388.42</v>
      </c>
      <c r="J575" s="155">
        <v>1470838.26</v>
      </c>
      <c r="K575" s="155">
        <v>722846.47</v>
      </c>
      <c r="L575" s="155">
        <v>967914.6</v>
      </c>
      <c r="M575" s="26">
        <v>935.46398562273237</v>
      </c>
      <c r="N575" s="26">
        <v>997.48279814180603</v>
      </c>
      <c r="O575" s="26">
        <v>490.21496049642263</v>
      </c>
      <c r="P575" s="26">
        <v>656.41354989657862</v>
      </c>
      <c r="Q575" s="154">
        <v>1474.55</v>
      </c>
    </row>
    <row r="576" spans="1:17" x14ac:dyDescent="0.2">
      <c r="A576" s="8" t="s">
        <v>1164</v>
      </c>
      <c r="B576" s="7">
        <v>2012</v>
      </c>
      <c r="C576" s="7" t="s">
        <v>1165</v>
      </c>
      <c r="D576" s="2">
        <v>146.08223557929608</v>
      </c>
      <c r="E576" s="2">
        <v>116676.1</v>
      </c>
      <c r="F576" s="7">
        <v>3123526.62</v>
      </c>
      <c r="G576" s="7">
        <v>87175.95</v>
      </c>
      <c r="H576" s="7">
        <v>6900.25</v>
      </c>
      <c r="I576" s="155">
        <v>1027315.8</v>
      </c>
      <c r="J576" s="155">
        <v>1296556.75</v>
      </c>
      <c r="K576" s="155">
        <v>264548.31</v>
      </c>
      <c r="L576" s="155">
        <v>990968.97</v>
      </c>
      <c r="M576" s="26">
        <v>1031.2137881190902</v>
      </c>
      <c r="N576" s="26">
        <v>1301.4763305294011</v>
      </c>
      <c r="O576" s="26">
        <v>265.55209692638169</v>
      </c>
      <c r="P576" s="26">
        <v>994.72904579309784</v>
      </c>
      <c r="Q576" s="154">
        <v>996.22</v>
      </c>
    </row>
    <row r="577" spans="1:17" x14ac:dyDescent="0.2">
      <c r="A577" s="8" t="s">
        <v>1166</v>
      </c>
      <c r="B577" s="7">
        <v>2012</v>
      </c>
      <c r="C577" s="7" t="s">
        <v>1167</v>
      </c>
      <c r="D577" s="2">
        <v>71.144836887187864</v>
      </c>
      <c r="E577" s="2">
        <v>245128.45</v>
      </c>
      <c r="F577" s="7">
        <v>1946175.83</v>
      </c>
      <c r="G577" s="7">
        <v>67103.3</v>
      </c>
      <c r="H577" s="7">
        <v>23487.62</v>
      </c>
      <c r="I577" s="155">
        <v>741042.98</v>
      </c>
      <c r="J577" s="155">
        <v>828630.97</v>
      </c>
      <c r="K577" s="155">
        <v>8694.17</v>
      </c>
      <c r="L577" s="155">
        <v>618725.4</v>
      </c>
      <c r="M577" s="26">
        <v>1298.5945500744765</v>
      </c>
      <c r="N577" s="26">
        <v>1452.0826601244196</v>
      </c>
      <c r="O577" s="26">
        <v>15.23555594497503</v>
      </c>
      <c r="P577" s="26">
        <v>1084.2467361780427</v>
      </c>
      <c r="Q577" s="154">
        <v>570.65</v>
      </c>
    </row>
    <row r="578" spans="1:17" x14ac:dyDescent="0.2">
      <c r="A578" s="8" t="s">
        <v>1168</v>
      </c>
      <c r="B578" s="7">
        <v>2012</v>
      </c>
      <c r="C578" s="7" t="s">
        <v>1169</v>
      </c>
      <c r="D578" s="2">
        <v>108.56267244777261</v>
      </c>
      <c r="E578" s="2">
        <v>419560.33</v>
      </c>
      <c r="F578" s="7">
        <v>3463567.63</v>
      </c>
      <c r="G578" s="7">
        <v>88926.86</v>
      </c>
      <c r="H578" s="7">
        <v>5200.76</v>
      </c>
      <c r="I578" s="155">
        <v>1083562.8700000001</v>
      </c>
      <c r="J578" s="155">
        <v>1424555.62</v>
      </c>
      <c r="K578" s="155">
        <v>8255.17</v>
      </c>
      <c r="L578" s="155">
        <v>810025.52</v>
      </c>
      <c r="M578" s="26">
        <v>1127.4194880865675</v>
      </c>
      <c r="N578" s="26">
        <v>1482.2137342628239</v>
      </c>
      <c r="O578" s="26">
        <v>8.589293517844137</v>
      </c>
      <c r="P578" s="26">
        <v>842.81086255332434</v>
      </c>
      <c r="Q578" s="154">
        <v>961.1</v>
      </c>
    </row>
    <row r="579" spans="1:17" x14ac:dyDescent="0.2">
      <c r="A579" s="8" t="s">
        <v>1170</v>
      </c>
      <c r="B579" s="7">
        <v>2012</v>
      </c>
      <c r="C579" s="7" t="s">
        <v>1171</v>
      </c>
      <c r="D579" s="2">
        <v>169.45155555555561</v>
      </c>
      <c r="E579" s="2">
        <v>697974.17</v>
      </c>
      <c r="F579" s="7">
        <v>5065914.0999999996</v>
      </c>
      <c r="G579" s="7">
        <v>170100.34</v>
      </c>
      <c r="H579" s="7">
        <v>15957.35</v>
      </c>
      <c r="I579" s="155">
        <v>1788857.35</v>
      </c>
      <c r="J579" s="155">
        <v>1489006.47</v>
      </c>
      <c r="K579" s="155">
        <v>287940.74</v>
      </c>
      <c r="L579" s="155">
        <v>1013864.26</v>
      </c>
      <c r="M579" s="26">
        <v>1339.9078318577444</v>
      </c>
      <c r="N579" s="26">
        <v>1115.3105253696463</v>
      </c>
      <c r="O579" s="26">
        <v>215.67625425074527</v>
      </c>
      <c r="P579" s="26">
        <v>759.41475289500102</v>
      </c>
      <c r="Q579" s="154">
        <v>1335.06</v>
      </c>
    </row>
    <row r="580" spans="1:17" x14ac:dyDescent="0.2">
      <c r="A580" s="8" t="s">
        <v>1172</v>
      </c>
      <c r="B580" s="7">
        <v>2012</v>
      </c>
      <c r="C580" s="7" t="s">
        <v>1173</v>
      </c>
      <c r="D580" s="2">
        <v>259.33048924731185</v>
      </c>
      <c r="E580" s="2">
        <v>1095701.69</v>
      </c>
      <c r="F580" s="7">
        <v>5144664.58</v>
      </c>
      <c r="G580" s="7">
        <v>131300.04</v>
      </c>
      <c r="H580" s="7">
        <v>24936.29</v>
      </c>
      <c r="I580" s="155">
        <v>1879819.85</v>
      </c>
      <c r="J580" s="155">
        <v>2516143.5499999998</v>
      </c>
      <c r="K580" s="155">
        <v>385611.99</v>
      </c>
      <c r="L580" s="155">
        <v>845432.16</v>
      </c>
      <c r="M580" s="26">
        <v>1260.4735610449525</v>
      </c>
      <c r="N580" s="26">
        <v>1687.1470000536424</v>
      </c>
      <c r="O580" s="26">
        <v>258.56398857418731</v>
      </c>
      <c r="P580" s="26">
        <v>566.88670743482464</v>
      </c>
      <c r="Q580" s="154">
        <v>1491.36</v>
      </c>
    </row>
    <row r="581" spans="1:17" x14ac:dyDescent="0.2">
      <c r="A581" s="8" t="s">
        <v>1174</v>
      </c>
      <c r="B581" s="7">
        <v>2012</v>
      </c>
      <c r="C581" s="7" t="s">
        <v>1175</v>
      </c>
      <c r="D581" s="2">
        <v>110.87352301558536</v>
      </c>
      <c r="E581" s="2">
        <v>631787.28</v>
      </c>
      <c r="F581" s="7">
        <v>3044263.62</v>
      </c>
      <c r="G581" s="7">
        <v>105491.9</v>
      </c>
      <c r="H581" s="7">
        <v>0</v>
      </c>
      <c r="I581" s="155">
        <v>1105043.6000000001</v>
      </c>
      <c r="J581" s="155">
        <v>1043948.53</v>
      </c>
      <c r="K581" s="155">
        <v>76751.97</v>
      </c>
      <c r="L581" s="155">
        <v>634137.76</v>
      </c>
      <c r="M581" s="26">
        <v>1357.3806657658765</v>
      </c>
      <c r="N581" s="26">
        <v>1282.334516644147</v>
      </c>
      <c r="O581" s="26">
        <v>94.278307333251448</v>
      </c>
      <c r="P581" s="26">
        <v>778.94332391598084</v>
      </c>
      <c r="Q581" s="154">
        <v>814.1</v>
      </c>
    </row>
    <row r="582" spans="1:17" x14ac:dyDescent="0.2">
      <c r="A582" s="8" t="s">
        <v>1176</v>
      </c>
      <c r="B582" s="7">
        <v>2012</v>
      </c>
      <c r="C582" s="7" t="s">
        <v>1177</v>
      </c>
      <c r="D582" s="2">
        <v>249.4015820949619</v>
      </c>
      <c r="E582" s="2">
        <v>1126292.3</v>
      </c>
      <c r="F582" s="7">
        <v>7261306.7199999997</v>
      </c>
      <c r="G582" s="7">
        <v>314168.84999999998</v>
      </c>
      <c r="H582" s="7">
        <v>172401.4</v>
      </c>
      <c r="I582" s="155">
        <v>2194386.7799999998</v>
      </c>
      <c r="J582" s="155">
        <v>3423343.17</v>
      </c>
      <c r="K582" s="155">
        <v>249600.88</v>
      </c>
      <c r="L582" s="155">
        <v>1524770.01</v>
      </c>
      <c r="M582" s="26">
        <v>987.82176426101978</v>
      </c>
      <c r="N582" s="26">
        <v>1541.046875</v>
      </c>
      <c r="O582" s="26">
        <v>112.35994670123884</v>
      </c>
      <c r="P582" s="26">
        <v>686.38811311581674</v>
      </c>
      <c r="Q582" s="154">
        <v>2221.44</v>
      </c>
    </row>
    <row r="583" spans="1:17" x14ac:dyDescent="0.2">
      <c r="A583" s="8" t="s">
        <v>1178</v>
      </c>
      <c r="B583" s="7">
        <v>2012</v>
      </c>
      <c r="C583" s="7" t="s">
        <v>1179</v>
      </c>
      <c r="D583" s="2">
        <v>503.48511994827396</v>
      </c>
      <c r="E583" s="2">
        <v>1921512.15</v>
      </c>
      <c r="F583" s="7">
        <v>13838394.529999999</v>
      </c>
      <c r="G583" s="7">
        <v>360880.6</v>
      </c>
      <c r="H583" s="7">
        <v>250482.72</v>
      </c>
      <c r="I583" s="155">
        <v>4354257.38</v>
      </c>
      <c r="J583" s="155">
        <v>5462556.2999999998</v>
      </c>
      <c r="K583" s="155">
        <v>800942.77</v>
      </c>
      <c r="L583" s="155">
        <v>4777840.45</v>
      </c>
      <c r="M583" s="26">
        <v>1166.7950351170075</v>
      </c>
      <c r="N583" s="26">
        <v>1463.7819985476217</v>
      </c>
      <c r="O583" s="26">
        <v>214.6258169628143</v>
      </c>
      <c r="P583" s="26">
        <v>1280.3011005383448</v>
      </c>
      <c r="Q583" s="154">
        <v>3731.81</v>
      </c>
    </row>
    <row r="584" spans="1:17" x14ac:dyDescent="0.2">
      <c r="A584" s="8" t="s">
        <v>1180</v>
      </c>
      <c r="B584" s="7">
        <v>2012</v>
      </c>
      <c r="C584" s="7" t="s">
        <v>1181</v>
      </c>
      <c r="D584" s="2">
        <v>1007.8852299532415</v>
      </c>
      <c r="E584" s="2">
        <v>3416219.62</v>
      </c>
      <c r="F584" s="7">
        <v>28834089.5</v>
      </c>
      <c r="G584" s="7">
        <v>71857.98</v>
      </c>
      <c r="H584" s="7">
        <v>-2204.3000000000002</v>
      </c>
      <c r="I584" s="155">
        <v>6680833.1500000004</v>
      </c>
      <c r="J584" s="155">
        <v>9738798.4199999999</v>
      </c>
      <c r="K584" s="155">
        <v>1493642.94</v>
      </c>
      <c r="L584" s="155">
        <v>4018936.99</v>
      </c>
      <c r="M584" s="26">
        <v>797.05854667102528</v>
      </c>
      <c r="N584" s="26">
        <v>1161.8898931740687</v>
      </c>
      <c r="O584" s="26">
        <v>178.19946169465965</v>
      </c>
      <c r="P584" s="26">
        <v>479.48032894846727</v>
      </c>
      <c r="Q584" s="154">
        <v>8381.86</v>
      </c>
    </row>
    <row r="585" spans="1:17" x14ac:dyDescent="0.2">
      <c r="A585" s="8" t="s">
        <v>1182</v>
      </c>
      <c r="B585" s="7">
        <v>2012</v>
      </c>
      <c r="C585" s="7" t="s">
        <v>1183</v>
      </c>
      <c r="D585" s="2">
        <v>217.95244444444441</v>
      </c>
      <c r="E585" s="2">
        <v>1284339.29</v>
      </c>
      <c r="F585" s="7">
        <v>9850690.0600000005</v>
      </c>
      <c r="G585" s="7">
        <v>126105.33</v>
      </c>
      <c r="H585" s="7">
        <v>47874.54</v>
      </c>
      <c r="I585" s="155">
        <v>2577143.06</v>
      </c>
      <c r="J585" s="155">
        <v>4320499.9800000004</v>
      </c>
      <c r="K585" s="155">
        <v>185913.38</v>
      </c>
      <c r="L585" s="155">
        <v>2815038.72</v>
      </c>
      <c r="M585" s="26">
        <v>1199.0281106934156</v>
      </c>
      <c r="N585" s="26">
        <v>2010.1332396620389</v>
      </c>
      <c r="O585" s="26">
        <v>86.497087505117804</v>
      </c>
      <c r="P585" s="26">
        <v>1309.7102021066737</v>
      </c>
      <c r="Q585" s="154">
        <v>2149.36</v>
      </c>
    </row>
    <row r="586" spans="1:17" x14ac:dyDescent="0.2">
      <c r="A586" s="8" t="s">
        <v>1184</v>
      </c>
      <c r="B586" s="7">
        <v>2012</v>
      </c>
      <c r="C586" s="7" t="s">
        <v>1185</v>
      </c>
      <c r="D586" s="2">
        <v>345.33636060634313</v>
      </c>
      <c r="E586" s="2">
        <v>1673336.57</v>
      </c>
      <c r="F586" s="7">
        <v>8890235.0600000005</v>
      </c>
      <c r="G586" s="7">
        <v>245425.32</v>
      </c>
      <c r="H586" s="7">
        <v>28410.52</v>
      </c>
      <c r="I586" s="155">
        <v>2522029.85</v>
      </c>
      <c r="J586" s="155">
        <v>3895447.76</v>
      </c>
      <c r="K586" s="155">
        <v>474625.76</v>
      </c>
      <c r="L586" s="155">
        <v>1387339.21</v>
      </c>
      <c r="M586" s="26">
        <v>1023.941702597582</v>
      </c>
      <c r="N586" s="26">
        <v>1581.5480581065829</v>
      </c>
      <c r="O586" s="26">
        <v>192.69760379365505</v>
      </c>
      <c r="P586" s="26">
        <v>563.25838997019969</v>
      </c>
      <c r="Q586" s="154">
        <v>2463.06</v>
      </c>
    </row>
    <row r="587" spans="1:17" x14ac:dyDescent="0.2">
      <c r="A587" s="8" t="s">
        <v>1186</v>
      </c>
      <c r="B587" s="7">
        <v>2012</v>
      </c>
      <c r="C587" s="7" t="s">
        <v>1187</v>
      </c>
      <c r="D587" s="2">
        <v>136.80691137069982</v>
      </c>
      <c r="E587" s="2">
        <v>489420.88</v>
      </c>
      <c r="F587" s="7">
        <v>4691938.28</v>
      </c>
      <c r="G587" s="7">
        <v>18010.21</v>
      </c>
      <c r="H587" s="7">
        <v>5804.87</v>
      </c>
      <c r="I587" s="155">
        <v>1523825.99</v>
      </c>
      <c r="J587" s="155">
        <v>1688144.88</v>
      </c>
      <c r="K587" s="155">
        <v>200648.01</v>
      </c>
      <c r="L587" s="155">
        <v>1068135.52</v>
      </c>
      <c r="M587" s="26">
        <v>1244.5288299766419</v>
      </c>
      <c r="N587" s="26">
        <v>1378.7302396236585</v>
      </c>
      <c r="O587" s="26">
        <v>163.87188219728523</v>
      </c>
      <c r="P587" s="26">
        <v>872.36039920942153</v>
      </c>
      <c r="Q587" s="154">
        <v>1224.42</v>
      </c>
    </row>
    <row r="588" spans="1:17" x14ac:dyDescent="0.2">
      <c r="A588" s="8" t="s">
        <v>1188</v>
      </c>
      <c r="B588" s="7">
        <v>2012</v>
      </c>
      <c r="C588" s="7" t="s">
        <v>1189</v>
      </c>
      <c r="D588" s="2">
        <v>177.79563634707827</v>
      </c>
      <c r="E588" s="2">
        <v>391707.65</v>
      </c>
      <c r="F588" s="7">
        <v>4760565.32</v>
      </c>
      <c r="G588" s="7">
        <v>67671.28</v>
      </c>
      <c r="H588" s="7">
        <v>24690.63</v>
      </c>
      <c r="I588" s="155">
        <v>1586714.33</v>
      </c>
      <c r="J588" s="155">
        <v>2386787.16</v>
      </c>
      <c r="K588" s="155">
        <v>48415.41</v>
      </c>
      <c r="L588" s="155">
        <v>602990.92000000004</v>
      </c>
      <c r="M588" s="26">
        <v>1059.3774319325937</v>
      </c>
      <c r="N588" s="26">
        <v>1593.5498938428875</v>
      </c>
      <c r="O588" s="26">
        <v>32.324780675399595</v>
      </c>
      <c r="P588" s="26">
        <v>402.58977954038647</v>
      </c>
      <c r="Q588" s="154">
        <v>1497.78</v>
      </c>
    </row>
    <row r="589" spans="1:17" x14ac:dyDescent="0.2">
      <c r="A589" s="8" t="s">
        <v>1190</v>
      </c>
      <c r="B589" s="7">
        <v>2012</v>
      </c>
      <c r="C589" s="7" t="s">
        <v>1191</v>
      </c>
      <c r="D589" s="2">
        <v>363.76162007168466</v>
      </c>
      <c r="E589" s="2">
        <v>993757.9</v>
      </c>
      <c r="F589" s="7">
        <v>10412775.76</v>
      </c>
      <c r="G589" s="7">
        <v>165029.93</v>
      </c>
      <c r="H589" s="7">
        <v>4235</v>
      </c>
      <c r="I589" s="155">
        <v>2535573.5099999998</v>
      </c>
      <c r="J589" s="155">
        <v>4971300.88</v>
      </c>
      <c r="K589" s="155">
        <v>38871.089999999997</v>
      </c>
      <c r="L589" s="155">
        <v>1737360.72</v>
      </c>
      <c r="M589" s="26">
        <v>790.18383901970799</v>
      </c>
      <c r="N589" s="26">
        <v>1549.2517171314244</v>
      </c>
      <c r="O589" s="26">
        <v>12.113751386793981</v>
      </c>
      <c r="P589" s="26">
        <v>541.42952593460564</v>
      </c>
      <c r="Q589" s="154">
        <v>3208.84</v>
      </c>
    </row>
    <row r="590" spans="1:17" x14ac:dyDescent="0.2">
      <c r="A590" s="8" t="s">
        <v>1192</v>
      </c>
      <c r="B590" s="7">
        <v>2012</v>
      </c>
      <c r="C590" s="7" t="s">
        <v>1193</v>
      </c>
      <c r="D590" s="2">
        <v>129.13591478393943</v>
      </c>
      <c r="E590" s="2">
        <v>485261.34</v>
      </c>
      <c r="F590" s="7">
        <v>3174537.34</v>
      </c>
      <c r="G590" s="7">
        <v>57841.54</v>
      </c>
      <c r="H590" s="7">
        <v>846</v>
      </c>
      <c r="I590" s="155">
        <v>994601.88</v>
      </c>
      <c r="J590" s="155">
        <v>1604397.08</v>
      </c>
      <c r="K590" s="155">
        <v>13670.95</v>
      </c>
      <c r="L590" s="155">
        <v>582145.16</v>
      </c>
      <c r="M590" s="26">
        <v>1220.4602547426803</v>
      </c>
      <c r="N590" s="26">
        <v>1968.7303114339707</v>
      </c>
      <c r="O590" s="26">
        <v>16.775406778413135</v>
      </c>
      <c r="P590" s="26">
        <v>714.34112940829993</v>
      </c>
      <c r="Q590" s="154">
        <v>814.94</v>
      </c>
    </row>
    <row r="591" spans="1:17" x14ac:dyDescent="0.2">
      <c r="A591" s="8" t="s">
        <v>1194</v>
      </c>
      <c r="B591" s="7">
        <v>2012</v>
      </c>
      <c r="C591" s="7" t="s">
        <v>1195</v>
      </c>
      <c r="D591" s="2">
        <v>133.24390762463344</v>
      </c>
      <c r="E591" s="2">
        <v>786529.18</v>
      </c>
      <c r="F591" s="7">
        <v>4469989.34</v>
      </c>
      <c r="G591" s="7">
        <v>88632.46</v>
      </c>
      <c r="H591" s="7">
        <v>62134.080000000002</v>
      </c>
      <c r="I591" s="155">
        <v>1416224.63</v>
      </c>
      <c r="J591" s="155">
        <v>1122188.5</v>
      </c>
      <c r="K591" s="155">
        <v>347477.09</v>
      </c>
      <c r="L591" s="155">
        <v>966155.53</v>
      </c>
      <c r="M591" s="26">
        <v>1141.3618655405296</v>
      </c>
      <c r="N591" s="26">
        <v>904.39265969278381</v>
      </c>
      <c r="O591" s="26">
        <v>280.03827307748105</v>
      </c>
      <c r="P591" s="26">
        <v>778.64277655099056</v>
      </c>
      <c r="Q591" s="154">
        <v>1240.82</v>
      </c>
    </row>
    <row r="592" spans="1:17" x14ac:dyDescent="0.2">
      <c r="A592" s="8" t="s">
        <v>1196</v>
      </c>
      <c r="B592" s="7">
        <v>2012</v>
      </c>
      <c r="C592" s="7" t="s">
        <v>1197</v>
      </c>
      <c r="D592" s="2">
        <v>100.24157303370787</v>
      </c>
      <c r="E592" s="2">
        <v>244142.85</v>
      </c>
      <c r="F592" s="7">
        <v>2449890.34</v>
      </c>
      <c r="G592" s="7">
        <v>27842.65</v>
      </c>
      <c r="H592" s="7">
        <v>2199.75</v>
      </c>
      <c r="I592" s="155">
        <v>969271.75</v>
      </c>
      <c r="J592" s="155">
        <v>1063895.42</v>
      </c>
      <c r="K592" s="155">
        <v>20218.52</v>
      </c>
      <c r="L592" s="155">
        <v>640993.62</v>
      </c>
      <c r="M592" s="26">
        <v>1325.1011661448863</v>
      </c>
      <c r="N592" s="26">
        <v>1454.4621378867212</v>
      </c>
      <c r="O592" s="26">
        <v>27.64094221225751</v>
      </c>
      <c r="P592" s="26">
        <v>876.30883016391647</v>
      </c>
      <c r="Q592" s="154">
        <v>731.47</v>
      </c>
    </row>
    <row r="593" spans="1:17" x14ac:dyDescent="0.2">
      <c r="A593" s="8" t="s">
        <v>1198</v>
      </c>
      <c r="B593" s="7">
        <v>2012</v>
      </c>
      <c r="C593" s="7" t="s">
        <v>1199</v>
      </c>
      <c r="D593" s="2">
        <v>1640.4027375730996</v>
      </c>
      <c r="E593" s="2">
        <v>8319417.2999999998</v>
      </c>
      <c r="F593" s="7">
        <v>61992911.390000001</v>
      </c>
      <c r="G593" s="7">
        <v>738049.08</v>
      </c>
      <c r="H593" s="7">
        <v>78619.289999999994</v>
      </c>
      <c r="I593" s="155">
        <v>15762098.9</v>
      </c>
      <c r="J593" s="155">
        <v>22347096.09</v>
      </c>
      <c r="K593" s="155">
        <v>4971359.2300000004</v>
      </c>
      <c r="L593" s="155">
        <v>16600200.73</v>
      </c>
      <c r="M593" s="26">
        <v>1111.0272320497133</v>
      </c>
      <c r="N593" s="26">
        <v>1575.1856697981809</v>
      </c>
      <c r="O593" s="26">
        <v>350.41751227888153</v>
      </c>
      <c r="P593" s="26">
        <v>1170.1027373024242</v>
      </c>
      <c r="Q593" s="154">
        <v>14186.96</v>
      </c>
    </row>
    <row r="594" spans="1:17" x14ac:dyDescent="0.2">
      <c r="A594" s="8" t="s">
        <v>1200</v>
      </c>
      <c r="B594" s="7">
        <v>2012</v>
      </c>
      <c r="C594" s="7" t="s">
        <v>1201</v>
      </c>
      <c r="D594" s="2">
        <v>158.57758297817387</v>
      </c>
      <c r="E594" s="2">
        <v>660158.55000000005</v>
      </c>
      <c r="F594" s="7">
        <v>5372024.71</v>
      </c>
      <c r="G594" s="7">
        <v>107332.07</v>
      </c>
      <c r="H594" s="7">
        <v>2972</v>
      </c>
      <c r="I594" s="155">
        <v>2225560.62</v>
      </c>
      <c r="J594" s="155">
        <v>1351900.07</v>
      </c>
      <c r="K594" s="155">
        <v>157533.84</v>
      </c>
      <c r="L594" s="155">
        <v>526439.1</v>
      </c>
      <c r="M594" s="26">
        <v>1381.9495296345742</v>
      </c>
      <c r="N594" s="26">
        <v>839.45485423328887</v>
      </c>
      <c r="O594" s="26">
        <v>97.819764662050972</v>
      </c>
      <c r="P594" s="26">
        <v>326.88944083951691</v>
      </c>
      <c r="Q594" s="154">
        <v>1610.45</v>
      </c>
    </row>
    <row r="595" spans="1:17" x14ac:dyDescent="0.2">
      <c r="A595" s="8" t="s">
        <v>1202</v>
      </c>
      <c r="B595" s="7">
        <v>2012</v>
      </c>
      <c r="C595" s="7" t="s">
        <v>1203</v>
      </c>
      <c r="D595" s="2">
        <v>497.74163705527189</v>
      </c>
      <c r="E595" s="2">
        <v>3539221</v>
      </c>
      <c r="F595" s="7">
        <v>21237244.07</v>
      </c>
      <c r="G595" s="7">
        <v>788674.65</v>
      </c>
      <c r="H595" s="7">
        <v>163985.49</v>
      </c>
      <c r="I595" s="155">
        <v>4598816.1900000004</v>
      </c>
      <c r="J595" s="155">
        <v>8990872.8800000008</v>
      </c>
      <c r="K595" s="155">
        <v>1639405.61</v>
      </c>
      <c r="L595" s="155">
        <v>6167773.9000000004</v>
      </c>
      <c r="M595" s="26">
        <v>1173.5805436607786</v>
      </c>
      <c r="N595" s="26">
        <v>2294.3977420622568</v>
      </c>
      <c r="O595" s="26">
        <v>418.36299768796164</v>
      </c>
      <c r="P595" s="26">
        <v>1573.9658093920821</v>
      </c>
      <c r="Q595" s="154">
        <v>3918.62</v>
      </c>
    </row>
    <row r="596" spans="1:17" x14ac:dyDescent="0.2">
      <c r="A596" s="8" t="s">
        <v>1204</v>
      </c>
      <c r="B596" s="7">
        <v>2012</v>
      </c>
      <c r="C596" s="7" t="s">
        <v>1205</v>
      </c>
      <c r="D596" s="2">
        <v>140.14516129032259</v>
      </c>
      <c r="E596" s="2">
        <v>389973.19</v>
      </c>
      <c r="F596" s="7">
        <v>5131919.53</v>
      </c>
      <c r="G596" s="7">
        <v>163564.93</v>
      </c>
      <c r="H596" s="7">
        <v>0</v>
      </c>
      <c r="I596" s="155">
        <v>1247698.2</v>
      </c>
      <c r="J596" s="155">
        <v>1463149.8</v>
      </c>
      <c r="K596" s="155">
        <v>242844.92</v>
      </c>
      <c r="L596" s="155">
        <v>828960.98</v>
      </c>
      <c r="M596" s="26">
        <v>835.12817766830426</v>
      </c>
      <c r="N596" s="26">
        <v>979.3374921353128</v>
      </c>
      <c r="O596" s="26">
        <v>162.54462456995222</v>
      </c>
      <c r="P596" s="26">
        <v>554.85266596163376</v>
      </c>
      <c r="Q596" s="154">
        <v>1494.02</v>
      </c>
    </row>
    <row r="597" spans="1:17" x14ac:dyDescent="0.2">
      <c r="A597" s="8" t="s">
        <v>1206</v>
      </c>
      <c r="B597" s="7">
        <v>2012</v>
      </c>
      <c r="C597" s="7" t="s">
        <v>1207</v>
      </c>
      <c r="D597" s="2">
        <v>336.00517614411206</v>
      </c>
      <c r="E597" s="2">
        <v>1756776.8</v>
      </c>
      <c r="F597" s="7">
        <v>11601337.449999999</v>
      </c>
      <c r="G597" s="7">
        <v>319938.53999999998</v>
      </c>
      <c r="H597" s="7">
        <v>204520.28</v>
      </c>
      <c r="I597" s="155">
        <v>4102004.25</v>
      </c>
      <c r="J597" s="155">
        <v>3985411.53</v>
      </c>
      <c r="K597" s="155">
        <v>107148.28</v>
      </c>
      <c r="L597" s="155">
        <v>2510084.39</v>
      </c>
      <c r="M597" s="26">
        <v>1451.3792865533492</v>
      </c>
      <c r="N597" s="26">
        <v>1410.1262189167385</v>
      </c>
      <c r="O597" s="26">
        <v>37.911417127814651</v>
      </c>
      <c r="P597" s="26">
        <v>888.12304159531254</v>
      </c>
      <c r="Q597" s="154">
        <v>2826.28</v>
      </c>
    </row>
    <row r="598" spans="1:17" x14ac:dyDescent="0.2">
      <c r="A598" s="8" t="s">
        <v>1208</v>
      </c>
      <c r="B598" s="7">
        <v>2012</v>
      </c>
      <c r="C598" s="7" t="s">
        <v>1209</v>
      </c>
      <c r="D598" s="2">
        <v>162.79218919898514</v>
      </c>
      <c r="E598" s="2">
        <v>1018334.12</v>
      </c>
      <c r="F598" s="7">
        <v>7356427.6600000001</v>
      </c>
      <c r="G598" s="7">
        <v>159089.54999999999</v>
      </c>
      <c r="H598" s="7">
        <v>35497.89</v>
      </c>
      <c r="I598" s="155">
        <v>2381012.1</v>
      </c>
      <c r="J598" s="155">
        <v>2666505.7799999998</v>
      </c>
      <c r="K598" s="155">
        <v>756164.67</v>
      </c>
      <c r="L598" s="155">
        <v>1322239.27</v>
      </c>
      <c r="M598" s="26">
        <v>1633.7956564998115</v>
      </c>
      <c r="N598" s="26">
        <v>1829.6948433801076</v>
      </c>
      <c r="O598" s="26">
        <v>518.86277833053146</v>
      </c>
      <c r="P598" s="26">
        <v>907.29012934435798</v>
      </c>
      <c r="Q598" s="154">
        <v>1457.35</v>
      </c>
    </row>
    <row r="599" spans="1:17" x14ac:dyDescent="0.2">
      <c r="A599" s="8" t="s">
        <v>1210</v>
      </c>
      <c r="B599" s="7">
        <v>2012</v>
      </c>
      <c r="C599" s="7" t="s">
        <v>1211</v>
      </c>
      <c r="D599" s="2">
        <v>186.65970244821094</v>
      </c>
      <c r="E599" s="2">
        <v>741186.37</v>
      </c>
      <c r="F599" s="7">
        <v>6646662.7400000002</v>
      </c>
      <c r="G599" s="7">
        <v>42649</v>
      </c>
      <c r="H599" s="7">
        <v>0</v>
      </c>
      <c r="I599" s="155">
        <v>2520685.7999999998</v>
      </c>
      <c r="J599" s="155">
        <v>2144459.2000000002</v>
      </c>
      <c r="K599" s="155">
        <v>454263.65</v>
      </c>
      <c r="L599" s="155">
        <v>1315701.33</v>
      </c>
      <c r="M599" s="26">
        <v>1491.9184876535903</v>
      </c>
      <c r="N599" s="26">
        <v>1269.2412225668222</v>
      </c>
      <c r="O599" s="26">
        <v>268.86505954212936</v>
      </c>
      <c r="P599" s="26">
        <v>778.72424181443694</v>
      </c>
      <c r="Q599" s="154">
        <v>1689.56</v>
      </c>
    </row>
    <row r="600" spans="1:17" x14ac:dyDescent="0.2">
      <c r="A600" s="8" t="s">
        <v>1212</v>
      </c>
      <c r="B600" s="7">
        <v>2012</v>
      </c>
      <c r="C600" s="7" t="s">
        <v>1213</v>
      </c>
      <c r="D600" s="2">
        <v>139.79445963185711</v>
      </c>
      <c r="E600" s="2">
        <v>424390.5</v>
      </c>
      <c r="F600" s="7">
        <v>3245029.77</v>
      </c>
      <c r="G600" s="7">
        <v>52334.12</v>
      </c>
      <c r="H600" s="7">
        <v>2192.39</v>
      </c>
      <c r="I600" s="155">
        <v>932672.55</v>
      </c>
      <c r="J600" s="155">
        <v>1091959.55</v>
      </c>
      <c r="K600" s="155">
        <v>143635.44</v>
      </c>
      <c r="L600" s="155">
        <v>247068.5</v>
      </c>
      <c r="M600" s="26">
        <v>903.76122830647591</v>
      </c>
      <c r="N600" s="26">
        <v>1058.1105921569008</v>
      </c>
      <c r="O600" s="26">
        <v>139.18297657923043</v>
      </c>
      <c r="P600" s="26">
        <v>239.40978110253005</v>
      </c>
      <c r="Q600" s="154">
        <v>1031.99</v>
      </c>
    </row>
    <row r="601" spans="1:17" x14ac:dyDescent="0.2">
      <c r="A601" s="8" t="s">
        <v>1214</v>
      </c>
      <c r="B601" s="7">
        <v>2012</v>
      </c>
      <c r="C601" s="7" t="s">
        <v>1215</v>
      </c>
      <c r="D601" s="2">
        <v>1046.8277684144821</v>
      </c>
      <c r="E601" s="2">
        <v>7179496.6200000001</v>
      </c>
      <c r="F601" s="7">
        <v>35567264.460000001</v>
      </c>
      <c r="G601" s="7">
        <v>207627.56</v>
      </c>
      <c r="H601" s="7">
        <v>5849.38</v>
      </c>
      <c r="I601" s="155">
        <v>8488779.3499999996</v>
      </c>
      <c r="J601" s="155">
        <v>11583162.4</v>
      </c>
      <c r="K601" s="155">
        <v>2141030.1</v>
      </c>
      <c r="L601" s="155">
        <v>8507664.8399999999</v>
      </c>
      <c r="M601" s="26">
        <v>1050.6968334696919</v>
      </c>
      <c r="N601" s="26">
        <v>1433.7034281902024</v>
      </c>
      <c r="O601" s="26">
        <v>265.00553892159985</v>
      </c>
      <c r="P601" s="26">
        <v>1053.0343809218498</v>
      </c>
      <c r="Q601" s="154">
        <v>8079.19</v>
      </c>
    </row>
    <row r="602" spans="1:17" x14ac:dyDescent="0.2">
      <c r="A602" s="8" t="s">
        <v>1216</v>
      </c>
      <c r="B602" s="7">
        <v>2012</v>
      </c>
      <c r="C602" s="7" t="s">
        <v>1217</v>
      </c>
      <c r="D602" s="2">
        <v>292.59926358854466</v>
      </c>
      <c r="E602" s="2">
        <v>1403935.53</v>
      </c>
      <c r="F602" s="7">
        <v>10130038.609999999</v>
      </c>
      <c r="G602" s="7">
        <v>133080.74</v>
      </c>
      <c r="H602" s="7">
        <v>117123.65</v>
      </c>
      <c r="I602" s="155">
        <v>2549359.75</v>
      </c>
      <c r="J602" s="155">
        <v>3366452.01</v>
      </c>
      <c r="K602" s="155">
        <v>593649.82999999996</v>
      </c>
      <c r="L602" s="155">
        <v>2442686.92</v>
      </c>
      <c r="M602" s="26">
        <v>811.12305122494433</v>
      </c>
      <c r="N602" s="26">
        <v>1071.0951352211262</v>
      </c>
      <c r="O602" s="26">
        <v>188.87999681832642</v>
      </c>
      <c r="P602" s="26">
        <v>777.18323894368439</v>
      </c>
      <c r="Q602" s="154">
        <v>3143</v>
      </c>
    </row>
    <row r="603" spans="1:17" x14ac:dyDescent="0.2">
      <c r="A603" s="8" t="s">
        <v>1218</v>
      </c>
      <c r="B603" s="7">
        <v>2012</v>
      </c>
      <c r="C603" s="7" t="s">
        <v>1219</v>
      </c>
      <c r="D603" s="2">
        <v>157.60222932931021</v>
      </c>
      <c r="E603" s="2">
        <v>794635.41</v>
      </c>
      <c r="F603" s="7">
        <v>2163003.89</v>
      </c>
      <c r="G603" s="7">
        <v>64073.55</v>
      </c>
      <c r="H603" s="7">
        <v>21806.3</v>
      </c>
      <c r="I603" s="155">
        <v>998197</v>
      </c>
      <c r="J603" s="155">
        <v>1061220.96</v>
      </c>
      <c r="K603" s="155">
        <v>137075.60999999999</v>
      </c>
      <c r="L603" s="155">
        <v>778021.98</v>
      </c>
      <c r="M603" s="26">
        <v>1571.5183097704589</v>
      </c>
      <c r="N603" s="26">
        <v>1670.740514499827</v>
      </c>
      <c r="O603" s="26">
        <v>215.80592902799205</v>
      </c>
      <c r="P603" s="26">
        <v>1224.8842532825342</v>
      </c>
      <c r="Q603" s="154">
        <v>635.17999999999995</v>
      </c>
    </row>
    <row r="604" spans="1:17" x14ac:dyDescent="0.2">
      <c r="A604" s="8" t="s">
        <v>1220</v>
      </c>
      <c r="B604" s="7">
        <v>2012</v>
      </c>
      <c r="C604" s="7" t="s">
        <v>1221</v>
      </c>
      <c r="D604" s="2">
        <v>495.88530433086652</v>
      </c>
      <c r="E604" s="2">
        <v>3544961.49</v>
      </c>
      <c r="F604" s="7">
        <v>14601012.24</v>
      </c>
      <c r="G604" s="7">
        <v>492431.7</v>
      </c>
      <c r="H604" s="7">
        <v>128656.74</v>
      </c>
      <c r="I604" s="155">
        <v>5063841.93</v>
      </c>
      <c r="J604" s="155">
        <v>5432295.8700000001</v>
      </c>
      <c r="K604" s="155">
        <v>1889097.85</v>
      </c>
      <c r="L604" s="155">
        <v>3368650.47</v>
      </c>
      <c r="M604" s="26">
        <v>1513.3066753132648</v>
      </c>
      <c r="N604" s="26">
        <v>1623.4174992005881</v>
      </c>
      <c r="O604" s="26">
        <v>564.54850412855137</v>
      </c>
      <c r="P604" s="26">
        <v>1006.7062348149101</v>
      </c>
      <c r="Q604" s="154">
        <v>3346.21</v>
      </c>
    </row>
    <row r="605" spans="1:17" x14ac:dyDescent="0.2">
      <c r="A605" s="8" t="s">
        <v>1222</v>
      </c>
      <c r="B605" s="7">
        <v>2012</v>
      </c>
      <c r="C605" s="7" t="s">
        <v>1223</v>
      </c>
      <c r="D605" s="2">
        <v>81.347458937874649</v>
      </c>
      <c r="E605" s="2">
        <v>182896</v>
      </c>
      <c r="F605" s="7">
        <v>2468634.59</v>
      </c>
      <c r="G605" s="7">
        <v>51846.35</v>
      </c>
      <c r="H605" s="7">
        <v>14575.01</v>
      </c>
      <c r="I605" s="155">
        <v>1115700.4099999999</v>
      </c>
      <c r="J605" s="155">
        <v>999531.55</v>
      </c>
      <c r="K605" s="155">
        <v>190427.18</v>
      </c>
      <c r="L605" s="155">
        <v>509702.54</v>
      </c>
      <c r="M605" s="26">
        <v>1758.8366018223664</v>
      </c>
      <c r="N605" s="26">
        <v>1575.7031718006117</v>
      </c>
      <c r="O605" s="26">
        <v>300.19733896648484</v>
      </c>
      <c r="P605" s="26">
        <v>803.51631617113844</v>
      </c>
      <c r="Q605" s="154">
        <v>634.34</v>
      </c>
    </row>
    <row r="606" spans="1:17" x14ac:dyDescent="0.2">
      <c r="A606" s="8" t="s">
        <v>1224</v>
      </c>
      <c r="B606" s="7">
        <v>2012</v>
      </c>
      <c r="C606" s="7" t="s">
        <v>1225</v>
      </c>
      <c r="D606" s="2">
        <v>156.84753333900795</v>
      </c>
      <c r="E606" s="2">
        <v>213884.31</v>
      </c>
      <c r="F606" s="7">
        <v>4209593.62</v>
      </c>
      <c r="G606" s="7">
        <v>25780.92</v>
      </c>
      <c r="H606" s="7">
        <v>0</v>
      </c>
      <c r="I606" s="155">
        <v>1256526.0900000001</v>
      </c>
      <c r="J606" s="155">
        <v>1139679.78</v>
      </c>
      <c r="K606" s="155">
        <v>42042.83</v>
      </c>
      <c r="L606" s="155">
        <v>749569.38</v>
      </c>
      <c r="M606" s="26">
        <v>1177.8791023369613</v>
      </c>
      <c r="N606" s="26">
        <v>1068.3462977024101</v>
      </c>
      <c r="O606" s="26">
        <v>39.41133515190716</v>
      </c>
      <c r="P606" s="26">
        <v>702.6532242189038</v>
      </c>
      <c r="Q606" s="154">
        <v>1066.77</v>
      </c>
    </row>
    <row r="607" spans="1:17" x14ac:dyDescent="0.2">
      <c r="A607" s="8" t="s">
        <v>1226</v>
      </c>
      <c r="B607" s="7">
        <v>2012</v>
      </c>
      <c r="C607" s="7" t="s">
        <v>1227</v>
      </c>
      <c r="D607" s="2">
        <v>256.23544902496815</v>
      </c>
      <c r="E607" s="2">
        <v>1883304.57</v>
      </c>
      <c r="F607" s="7">
        <v>8394250.4700000007</v>
      </c>
      <c r="G607" s="7">
        <v>97121.81</v>
      </c>
      <c r="H607" s="7">
        <v>0</v>
      </c>
      <c r="I607" s="155">
        <v>2757650.61</v>
      </c>
      <c r="J607" s="155">
        <v>3124556.77</v>
      </c>
      <c r="K607" s="155">
        <v>222441.85</v>
      </c>
      <c r="L607" s="155">
        <v>1963493.37</v>
      </c>
      <c r="M607" s="26">
        <v>1377.9089955179804</v>
      </c>
      <c r="N607" s="26">
        <v>1561.2401602934049</v>
      </c>
      <c r="O607" s="26">
        <v>111.14701223686249</v>
      </c>
      <c r="P607" s="26">
        <v>981.09425731888302</v>
      </c>
      <c r="Q607" s="154">
        <v>2001.33</v>
      </c>
    </row>
    <row r="608" spans="1:17" x14ac:dyDescent="0.2">
      <c r="A608" s="8" t="s">
        <v>1228</v>
      </c>
      <c r="B608" s="7">
        <v>2012</v>
      </c>
      <c r="C608" s="7" t="s">
        <v>1229</v>
      </c>
      <c r="D608" s="2">
        <v>559.74901420217213</v>
      </c>
      <c r="E608" s="2">
        <v>2904517.93</v>
      </c>
      <c r="F608" s="7">
        <v>15456547.25</v>
      </c>
      <c r="G608" s="7">
        <v>584890.27</v>
      </c>
      <c r="H608" s="7">
        <v>640701.77</v>
      </c>
      <c r="I608" s="155">
        <v>4559869.53</v>
      </c>
      <c r="J608" s="155">
        <v>6042399.96</v>
      </c>
      <c r="K608" s="155">
        <v>921981.51</v>
      </c>
      <c r="L608" s="155">
        <v>3275230.32</v>
      </c>
      <c r="M608" s="26">
        <v>1225.9262675660634</v>
      </c>
      <c r="N608" s="26">
        <v>1624.5063112812638</v>
      </c>
      <c r="O608" s="26">
        <v>247.87580957809183</v>
      </c>
      <c r="P608" s="26">
        <v>880.54951028759001</v>
      </c>
      <c r="Q608" s="154">
        <v>3719.53</v>
      </c>
    </row>
    <row r="609" spans="1:17" x14ac:dyDescent="0.2">
      <c r="A609" s="8" t="s">
        <v>1230</v>
      </c>
      <c r="B609" s="7">
        <v>2012</v>
      </c>
      <c r="C609" s="7" t="s">
        <v>1231</v>
      </c>
      <c r="D609" s="2">
        <v>953.54631732580026</v>
      </c>
      <c r="E609" s="2">
        <v>6485113.3499999996</v>
      </c>
      <c r="F609" s="7">
        <v>50986387.060000002</v>
      </c>
      <c r="G609" s="7">
        <v>652926.18000000005</v>
      </c>
      <c r="H609" s="7">
        <v>99460.49</v>
      </c>
      <c r="I609" s="155">
        <v>12523664.050000001</v>
      </c>
      <c r="J609" s="155">
        <v>14578212.33</v>
      </c>
      <c r="K609" s="155">
        <v>1477248.2</v>
      </c>
      <c r="L609" s="155">
        <v>16051187.550000001</v>
      </c>
      <c r="M609" s="26">
        <v>1388.0465690811095</v>
      </c>
      <c r="N609" s="26">
        <v>1615.7601742752295</v>
      </c>
      <c r="O609" s="26">
        <v>163.72918400755444</v>
      </c>
      <c r="P609" s="26">
        <v>1779.01576723107</v>
      </c>
      <c r="Q609" s="154">
        <v>9022.51</v>
      </c>
    </row>
    <row r="610" spans="1:17" x14ac:dyDescent="0.2">
      <c r="A610" s="8" t="s">
        <v>1232</v>
      </c>
      <c r="B610" s="7">
        <v>2012</v>
      </c>
      <c r="C610" s="7" t="s">
        <v>1233</v>
      </c>
      <c r="D610" s="2">
        <v>161.29974254971435</v>
      </c>
      <c r="E610" s="2">
        <v>489206.49</v>
      </c>
      <c r="F610" s="7">
        <v>3893372</v>
      </c>
      <c r="G610" s="7">
        <v>121882.39</v>
      </c>
      <c r="H610" s="7">
        <v>804.96</v>
      </c>
      <c r="I610" s="155">
        <v>1309141.55</v>
      </c>
      <c r="J610" s="155">
        <v>1331032.79</v>
      </c>
      <c r="K610" s="155">
        <v>138472.9</v>
      </c>
      <c r="L610" s="155">
        <v>1110320.3799999999</v>
      </c>
      <c r="M610" s="26">
        <v>1138.4037548479105</v>
      </c>
      <c r="N610" s="26">
        <v>1157.4399467816831</v>
      </c>
      <c r="O610" s="26">
        <v>120.41331153585278</v>
      </c>
      <c r="P610" s="26">
        <v>965.51277413520222</v>
      </c>
      <c r="Q610" s="154">
        <v>1149.98</v>
      </c>
    </row>
    <row r="611" spans="1:17" x14ac:dyDescent="0.2">
      <c r="A611" s="8" t="s">
        <v>1234</v>
      </c>
      <c r="B611" s="7">
        <v>2012</v>
      </c>
      <c r="C611" s="7" t="s">
        <v>1235</v>
      </c>
      <c r="D611" s="2">
        <v>119.97069804631418</v>
      </c>
      <c r="E611" s="2">
        <v>1596264.3</v>
      </c>
      <c r="F611" s="7">
        <v>10850833.109999999</v>
      </c>
      <c r="G611" s="7">
        <v>428423.78</v>
      </c>
      <c r="H611" s="7">
        <v>81224.97</v>
      </c>
      <c r="I611" s="155">
        <v>2957767.96</v>
      </c>
      <c r="J611" s="155">
        <v>2236861.4700000002</v>
      </c>
      <c r="K611" s="155">
        <v>248409.84</v>
      </c>
      <c r="L611" s="155">
        <v>2912748.82</v>
      </c>
      <c r="M611" s="26">
        <v>1541.001760985318</v>
      </c>
      <c r="N611" s="26">
        <v>1165.4083454032032</v>
      </c>
      <c r="O611" s="26">
        <v>129.42191749419084</v>
      </c>
      <c r="P611" s="26">
        <v>1517.5467182110888</v>
      </c>
      <c r="Q611" s="154">
        <v>1919.38</v>
      </c>
    </row>
    <row r="612" spans="1:17" x14ac:dyDescent="0.2">
      <c r="A612" s="8" t="s">
        <v>1236</v>
      </c>
      <c r="B612" s="7">
        <v>2012</v>
      </c>
      <c r="C612" s="7" t="s">
        <v>1237</v>
      </c>
      <c r="D612" s="2">
        <v>599.95966637433082</v>
      </c>
      <c r="E612" s="2">
        <v>2707554.2</v>
      </c>
      <c r="F612" s="7">
        <v>15251976.92</v>
      </c>
      <c r="G612" s="7">
        <v>313508.5</v>
      </c>
      <c r="H612" s="7">
        <v>26893.040000000001</v>
      </c>
      <c r="I612" s="155">
        <v>5311999.72</v>
      </c>
      <c r="J612" s="155">
        <v>5334478.4800000004</v>
      </c>
      <c r="K612" s="155">
        <v>1258836.3899999999</v>
      </c>
      <c r="L612" s="155">
        <v>4462896.97</v>
      </c>
      <c r="M612" s="26">
        <v>1157.7272017958719</v>
      </c>
      <c r="N612" s="26">
        <v>1162.6263496284027</v>
      </c>
      <c r="O612" s="26">
        <v>274.35790815770542</v>
      </c>
      <c r="P612" s="26">
        <v>972.66895582241784</v>
      </c>
      <c r="Q612" s="154">
        <v>4588.3</v>
      </c>
    </row>
    <row r="613" spans="1:17" x14ac:dyDescent="0.2">
      <c r="A613" s="8" t="s">
        <v>1238</v>
      </c>
      <c r="B613" s="7">
        <v>2012</v>
      </c>
      <c r="C613" s="7" t="s">
        <v>1239</v>
      </c>
      <c r="D613" s="2">
        <v>91.239320377761786</v>
      </c>
      <c r="E613" s="2">
        <v>431596.96</v>
      </c>
      <c r="F613" s="7">
        <v>3179639.38</v>
      </c>
      <c r="G613" s="7">
        <v>49743.199999999997</v>
      </c>
      <c r="H613" s="7">
        <v>7939.85</v>
      </c>
      <c r="I613" s="155">
        <v>1169211.95</v>
      </c>
      <c r="J613" s="155">
        <v>908569.79</v>
      </c>
      <c r="K613" s="155">
        <v>223283.18</v>
      </c>
      <c r="L613" s="155">
        <v>505865.69</v>
      </c>
      <c r="M613" s="26">
        <v>1668.0628156475589</v>
      </c>
      <c r="N613" s="26">
        <v>1296.216209661312</v>
      </c>
      <c r="O613" s="26">
        <v>318.54820669386822</v>
      </c>
      <c r="P613" s="26">
        <v>721.69613661654341</v>
      </c>
      <c r="Q613" s="154">
        <v>700.94</v>
      </c>
    </row>
    <row r="614" spans="1:17" x14ac:dyDescent="0.2">
      <c r="A614" s="8" t="s">
        <v>1240</v>
      </c>
      <c r="B614" s="7">
        <v>2012</v>
      </c>
      <c r="C614" s="7" t="s">
        <v>1241</v>
      </c>
      <c r="D614" s="2">
        <v>990.65013787433497</v>
      </c>
      <c r="E614" s="2">
        <v>9138120.0600000005</v>
      </c>
      <c r="F614" s="7">
        <v>21631927</v>
      </c>
      <c r="G614" s="7">
        <v>993794.46</v>
      </c>
      <c r="H614" s="7">
        <v>5876</v>
      </c>
      <c r="I614" s="155">
        <v>8313343.4699999997</v>
      </c>
      <c r="J614" s="155">
        <v>16361671.01</v>
      </c>
      <c r="K614" s="155">
        <v>1204373.32</v>
      </c>
      <c r="L614" s="155">
        <v>7445657.7599999998</v>
      </c>
      <c r="M614" s="26">
        <v>1503.559066468202</v>
      </c>
      <c r="N614" s="26">
        <v>2959.1871042536686</v>
      </c>
      <c r="O614" s="26">
        <v>217.82408380372252</v>
      </c>
      <c r="P614" s="26">
        <v>1346.6286183490652</v>
      </c>
      <c r="Q614" s="154">
        <v>5529.11</v>
      </c>
    </row>
    <row r="615" spans="1:17" x14ac:dyDescent="0.2">
      <c r="A615" s="8" t="s">
        <v>1242</v>
      </c>
      <c r="B615" s="7">
        <v>2012</v>
      </c>
      <c r="C615" s="7" t="s">
        <v>1243</v>
      </c>
      <c r="D615" s="2">
        <v>207.60910980775489</v>
      </c>
      <c r="E615" s="2">
        <v>522632.33</v>
      </c>
      <c r="F615" s="7">
        <v>5540291.8600000003</v>
      </c>
      <c r="G615" s="7">
        <v>46677.32</v>
      </c>
      <c r="H615" s="7">
        <v>9942.2199999999993</v>
      </c>
      <c r="I615" s="155">
        <v>1451211.98</v>
      </c>
      <c r="J615" s="155">
        <v>2200250.21</v>
      </c>
      <c r="K615" s="155">
        <v>317298.08</v>
      </c>
      <c r="L615" s="155">
        <v>707465.12</v>
      </c>
      <c r="M615" s="26">
        <v>920.97756595355804</v>
      </c>
      <c r="N615" s="26">
        <v>1396.3370691679411</v>
      </c>
      <c r="O615" s="26">
        <v>201.3657669778452</v>
      </c>
      <c r="P615" s="26">
        <v>448.97610631262967</v>
      </c>
      <c r="Q615" s="154">
        <v>1575.73</v>
      </c>
    </row>
    <row r="616" spans="1:17" x14ac:dyDescent="0.2">
      <c r="A616" s="8" t="s">
        <v>1244</v>
      </c>
      <c r="B616" s="7">
        <v>2012</v>
      </c>
      <c r="C616" s="7" t="s">
        <v>1245</v>
      </c>
      <c r="D616" s="2">
        <v>622.0628333333334</v>
      </c>
      <c r="E616" s="2">
        <v>3171024.61</v>
      </c>
      <c r="F616" s="7">
        <v>9321143.9399999995</v>
      </c>
      <c r="G616" s="7">
        <v>181404.94</v>
      </c>
      <c r="H616" s="7">
        <v>32651</v>
      </c>
      <c r="I616" s="155">
        <v>3142088.44</v>
      </c>
      <c r="J616" s="155">
        <v>4509279.8499999996</v>
      </c>
      <c r="K616" s="155">
        <v>441765.31</v>
      </c>
      <c r="L616" s="155">
        <v>3154026.02</v>
      </c>
      <c r="M616" s="26">
        <v>925.81284492334714</v>
      </c>
      <c r="N616" s="26">
        <v>1328.6542648952375</v>
      </c>
      <c r="O616" s="26">
        <v>130.16565454775818</v>
      </c>
      <c r="P616" s="26">
        <v>929.33023952007591</v>
      </c>
      <c r="Q616" s="154">
        <v>3393.87</v>
      </c>
    </row>
  </sheetData>
  <pageMargins left="0.7" right="0.7" top="0.75" bottom="0.75" header="0.3" footer="0.3"/>
  <pageSetup orientation="portrait" horizontalDpi="4294967293" vertic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C28"/>
  <sheetViews>
    <sheetView workbookViewId="0">
      <selection activeCell="A41" sqref="A41"/>
    </sheetView>
  </sheetViews>
  <sheetFormatPr defaultRowHeight="12.75" x14ac:dyDescent="0.2"/>
  <cols>
    <col min="1" max="1" width="24.42578125" style="2" customWidth="1"/>
    <col min="2" max="2" width="9.7109375" style="2" customWidth="1"/>
    <col min="3" max="3" width="11.42578125" style="2" customWidth="1"/>
    <col min="4" max="16384" width="9.140625" style="2"/>
  </cols>
  <sheetData>
    <row r="3" spans="1:3" x14ac:dyDescent="0.2">
      <c r="A3" s="35" t="s">
        <v>1305</v>
      </c>
      <c r="B3" s="35" t="s">
        <v>1306</v>
      </c>
      <c r="C3" s="35" t="s">
        <v>1307</v>
      </c>
    </row>
    <row r="4" spans="1:3" x14ac:dyDescent="0.2">
      <c r="A4" s="2" t="s">
        <v>1336</v>
      </c>
      <c r="B4" s="2" t="s">
        <v>1325</v>
      </c>
      <c r="C4" s="2" t="s">
        <v>1363</v>
      </c>
    </row>
    <row r="5" spans="1:3" x14ac:dyDescent="0.2">
      <c r="A5" s="2" t="s">
        <v>1336</v>
      </c>
      <c r="B5" s="2" t="s">
        <v>1326</v>
      </c>
      <c r="C5" s="2" t="s">
        <v>1364</v>
      </c>
    </row>
    <row r="6" spans="1:3" x14ac:dyDescent="0.2">
      <c r="A6" s="2" t="s">
        <v>1336</v>
      </c>
      <c r="B6" s="2" t="s">
        <v>1327</v>
      </c>
      <c r="C6" s="2" t="s">
        <v>1365</v>
      </c>
    </row>
    <row r="7" spans="1:3" x14ac:dyDescent="0.2">
      <c r="A7" s="2" t="s">
        <v>1336</v>
      </c>
      <c r="B7" s="2" t="s">
        <v>1328</v>
      </c>
      <c r="C7" s="2" t="s">
        <v>1366</v>
      </c>
    </row>
    <row r="8" spans="1:3" x14ac:dyDescent="0.2">
      <c r="A8" s="2" t="s">
        <v>1336</v>
      </c>
      <c r="B8" s="2" t="s">
        <v>1329</v>
      </c>
      <c r="C8" s="2" t="s">
        <v>1367</v>
      </c>
    </row>
    <row r="9" spans="1:3" x14ac:dyDescent="0.2">
      <c r="A9" s="2" t="s">
        <v>1336</v>
      </c>
      <c r="B9" s="2" t="s">
        <v>1330</v>
      </c>
      <c r="C9" s="2" t="s">
        <v>1368</v>
      </c>
    </row>
    <row r="10" spans="1:3" x14ac:dyDescent="0.2">
      <c r="A10" s="2" t="s">
        <v>1336</v>
      </c>
      <c r="B10" s="2" t="s">
        <v>1331</v>
      </c>
      <c r="C10" s="2" t="s">
        <v>1369</v>
      </c>
    </row>
    <row r="11" spans="1:3" x14ac:dyDescent="0.2">
      <c r="A11" s="2" t="s">
        <v>1336</v>
      </c>
      <c r="B11" s="2" t="s">
        <v>1332</v>
      </c>
      <c r="C11" s="2" t="s">
        <v>1370</v>
      </c>
    </row>
    <row r="12" spans="1:3" x14ac:dyDescent="0.2">
      <c r="A12" s="2" t="s">
        <v>1336</v>
      </c>
      <c r="B12" s="2" t="s">
        <v>1333</v>
      </c>
      <c r="C12" s="2" t="s">
        <v>1371</v>
      </c>
    </row>
    <row r="13" spans="1:3" x14ac:dyDescent="0.2">
      <c r="A13" s="2" t="s">
        <v>1336</v>
      </c>
      <c r="B13" s="2" t="s">
        <v>1334</v>
      </c>
      <c r="C13" s="2" t="s">
        <v>1372</v>
      </c>
    </row>
    <row r="14" spans="1:3" x14ac:dyDescent="0.2">
      <c r="A14" s="2" t="s">
        <v>1337</v>
      </c>
      <c r="B14" s="2" t="s">
        <v>1345</v>
      </c>
      <c r="C14" s="2" t="s">
        <v>1373</v>
      </c>
    </row>
    <row r="15" spans="1:3" x14ac:dyDescent="0.2">
      <c r="A15" s="2" t="s">
        <v>1337</v>
      </c>
      <c r="B15" s="2" t="s">
        <v>1338</v>
      </c>
      <c r="C15" s="2" t="s">
        <v>1364</v>
      </c>
    </row>
    <row r="16" spans="1:3" x14ac:dyDescent="0.2">
      <c r="A16" s="2" t="s">
        <v>1337</v>
      </c>
      <c r="B16" s="2" t="s">
        <v>1339</v>
      </c>
      <c r="C16" s="2" t="s">
        <v>1365</v>
      </c>
    </row>
    <row r="17" spans="1:3" x14ac:dyDescent="0.2">
      <c r="A17" s="2" t="s">
        <v>1337</v>
      </c>
      <c r="B17" s="2" t="s">
        <v>1341</v>
      </c>
      <c r="C17" s="2" t="s">
        <v>1366</v>
      </c>
    </row>
    <row r="18" spans="1:3" x14ac:dyDescent="0.2">
      <c r="A18" s="2" t="s">
        <v>1337</v>
      </c>
      <c r="B18" s="2" t="s">
        <v>1340</v>
      </c>
      <c r="C18" s="2" t="s">
        <v>1367</v>
      </c>
    </row>
    <row r="19" spans="1:3" x14ac:dyDescent="0.2">
      <c r="A19" s="2" t="s">
        <v>1337</v>
      </c>
      <c r="B19" s="2" t="s">
        <v>1342</v>
      </c>
      <c r="C19" s="2" t="s">
        <v>1368</v>
      </c>
    </row>
    <row r="20" spans="1:3" x14ac:dyDescent="0.2">
      <c r="A20" s="2" t="s">
        <v>1337</v>
      </c>
      <c r="B20" s="2" t="s">
        <v>1343</v>
      </c>
      <c r="C20" s="2" t="s">
        <v>1369</v>
      </c>
    </row>
    <row r="21" spans="1:3" x14ac:dyDescent="0.2">
      <c r="A21" s="2" t="s">
        <v>1337</v>
      </c>
      <c r="B21" s="2" t="s">
        <v>1344</v>
      </c>
      <c r="C21" s="2" t="s">
        <v>1370</v>
      </c>
    </row>
    <row r="22" spans="1:3" x14ac:dyDescent="0.2">
      <c r="A22" s="2" t="s">
        <v>1337</v>
      </c>
      <c r="B22" s="2" t="s">
        <v>1346</v>
      </c>
      <c r="C22" s="2" t="s">
        <v>1373</v>
      </c>
    </row>
    <row r="23" spans="1:3" x14ac:dyDescent="0.2">
      <c r="A23" s="2" t="s">
        <v>1337</v>
      </c>
      <c r="B23" s="2" t="s">
        <v>1347</v>
      </c>
      <c r="C23" s="2" t="s">
        <v>1348</v>
      </c>
    </row>
    <row r="24" spans="1:3" x14ac:dyDescent="0.2">
      <c r="A24" s="2" t="s">
        <v>1337</v>
      </c>
      <c r="B24" s="2" t="s">
        <v>1351</v>
      </c>
      <c r="C24" s="2" t="s">
        <v>1349</v>
      </c>
    </row>
    <row r="25" spans="1:3" x14ac:dyDescent="0.2">
      <c r="A25" s="2" t="s">
        <v>1337</v>
      </c>
      <c r="B25" s="2" t="s">
        <v>1352</v>
      </c>
      <c r="C25" s="2" t="s">
        <v>1350</v>
      </c>
    </row>
    <row r="26" spans="1:3" x14ac:dyDescent="0.2">
      <c r="A26" s="2" t="s">
        <v>1337</v>
      </c>
      <c r="B26" s="2" t="s">
        <v>1353</v>
      </c>
      <c r="C26" s="2" t="s">
        <v>1354</v>
      </c>
    </row>
    <row r="27" spans="1:3" ht="25.5" x14ac:dyDescent="0.2">
      <c r="A27" s="2" t="s">
        <v>1337</v>
      </c>
      <c r="B27" s="121" t="s">
        <v>1356</v>
      </c>
      <c r="C27" s="2" t="s">
        <v>1374</v>
      </c>
    </row>
    <row r="28" spans="1:3" x14ac:dyDescent="0.2">
      <c r="A28" s="2" t="s">
        <v>1337</v>
      </c>
      <c r="B28" s="2" t="s">
        <v>1355</v>
      </c>
      <c r="C28" s="2" t="s">
        <v>1372</v>
      </c>
    </row>
  </sheetData>
  <sheetProtection password="90BF" sheet="1" objects="1" scenarios="1"/>
  <pageMargins left="0.7" right="0.7" top="0.75" bottom="0.75" header="0.3" footer="0.3"/>
  <pageSetup scale="78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J29"/>
  <sheetViews>
    <sheetView workbookViewId="0">
      <selection activeCell="C9" sqref="C9"/>
    </sheetView>
  </sheetViews>
  <sheetFormatPr defaultRowHeight="12.75" x14ac:dyDescent="0.2"/>
  <cols>
    <col min="1" max="8" width="9.140625" style="2"/>
    <col min="9" max="9" width="15.85546875" style="2" customWidth="1"/>
    <col min="10" max="16384" width="9.140625" style="2"/>
  </cols>
  <sheetData>
    <row r="1" spans="1:10" x14ac:dyDescent="0.2">
      <c r="A1" s="2" t="s">
        <v>1246</v>
      </c>
    </row>
    <row r="2" spans="1:10" x14ac:dyDescent="0.2">
      <c r="A2" s="2" t="s">
        <v>1255</v>
      </c>
    </row>
    <row r="3" spans="1:10" x14ac:dyDescent="0.2">
      <c r="A3" s="1" t="s">
        <v>1247</v>
      </c>
    </row>
    <row r="4" spans="1:10" x14ac:dyDescent="0.2">
      <c r="A4" s="2" t="s">
        <v>1248</v>
      </c>
    </row>
    <row r="6" spans="1:10" x14ac:dyDescent="0.2">
      <c r="A6" s="2" t="s">
        <v>1250</v>
      </c>
    </row>
    <row r="7" spans="1:10" x14ac:dyDescent="0.2">
      <c r="A7" s="2" t="s">
        <v>1254</v>
      </c>
    </row>
    <row r="8" spans="1:10" x14ac:dyDescent="0.2">
      <c r="A8" s="2" t="s">
        <v>1378</v>
      </c>
    </row>
    <row r="9" spans="1:10" x14ac:dyDescent="0.2">
      <c r="A9" s="2" t="s">
        <v>1379</v>
      </c>
    </row>
    <row r="10" spans="1:10" x14ac:dyDescent="0.2">
      <c r="A10" s="2" t="s">
        <v>1251</v>
      </c>
    </row>
    <row r="11" spans="1:10" x14ac:dyDescent="0.2">
      <c r="A11" s="2" t="s">
        <v>1380</v>
      </c>
    </row>
    <row r="12" spans="1:10" x14ac:dyDescent="0.2">
      <c r="A12" s="2" t="s">
        <v>1381</v>
      </c>
    </row>
    <row r="13" spans="1:10" x14ac:dyDescent="0.2">
      <c r="A13" s="2" t="s">
        <v>1382</v>
      </c>
      <c r="I13" s="3"/>
      <c r="J13" s="3"/>
    </row>
    <row r="14" spans="1:10" x14ac:dyDescent="0.2">
      <c r="A14" s="2" t="s">
        <v>1383</v>
      </c>
      <c r="I14" s="3"/>
      <c r="J14" s="3"/>
    </row>
    <row r="15" spans="1:10" x14ac:dyDescent="0.2">
      <c r="A15" s="2" t="s">
        <v>1384</v>
      </c>
      <c r="I15" s="3"/>
      <c r="J15" s="3"/>
    </row>
    <row r="16" spans="1:10" x14ac:dyDescent="0.2">
      <c r="A16" s="2" t="s">
        <v>1385</v>
      </c>
      <c r="I16" s="3"/>
      <c r="J16" s="3"/>
    </row>
    <row r="17" spans="1:10" x14ac:dyDescent="0.2">
      <c r="A17" s="2" t="s">
        <v>1386</v>
      </c>
      <c r="I17" s="3"/>
      <c r="J17" s="3"/>
    </row>
    <row r="18" spans="1:10" x14ac:dyDescent="0.2">
      <c r="A18" s="2" t="s">
        <v>1387</v>
      </c>
      <c r="I18" s="3"/>
      <c r="J18" s="3"/>
    </row>
    <row r="19" spans="1:10" x14ac:dyDescent="0.2">
      <c r="A19" s="2" t="s">
        <v>1388</v>
      </c>
      <c r="I19" s="3"/>
      <c r="J19" s="3"/>
    </row>
    <row r="20" spans="1:10" x14ac:dyDescent="0.2">
      <c r="A20" s="2" t="s">
        <v>1252</v>
      </c>
      <c r="I20" s="4"/>
      <c r="J20" s="4"/>
    </row>
    <row r="21" spans="1:10" x14ac:dyDescent="0.2">
      <c r="I21" s="3"/>
      <c r="J21" s="3"/>
    </row>
    <row r="22" spans="1:10" x14ac:dyDescent="0.2">
      <c r="A22" s="2" t="s">
        <v>1264</v>
      </c>
      <c r="I22" s="3"/>
      <c r="J22" s="3"/>
    </row>
    <row r="23" spans="1:10" x14ac:dyDescent="0.2">
      <c r="A23" s="2" t="s">
        <v>1257</v>
      </c>
      <c r="I23" s="5"/>
      <c r="J23" s="5"/>
    </row>
    <row r="24" spans="1:10" x14ac:dyDescent="0.2">
      <c r="A24" s="2" t="s">
        <v>1260</v>
      </c>
      <c r="I24" s="5"/>
      <c r="J24" s="5"/>
    </row>
    <row r="25" spans="1:10" x14ac:dyDescent="0.2">
      <c r="A25" s="2" t="s">
        <v>1259</v>
      </c>
      <c r="I25" s="5"/>
      <c r="J25" s="5"/>
    </row>
    <row r="26" spans="1:10" x14ac:dyDescent="0.2">
      <c r="A26" s="2" t="s">
        <v>1258</v>
      </c>
      <c r="I26" s="5"/>
      <c r="J26" s="5"/>
    </row>
    <row r="27" spans="1:10" x14ac:dyDescent="0.2">
      <c r="A27" s="2" t="s">
        <v>1261</v>
      </c>
    </row>
    <row r="28" spans="1:10" s="6" customFormat="1" x14ac:dyDescent="0.2">
      <c r="A28" s="6" t="s">
        <v>1262</v>
      </c>
    </row>
    <row r="29" spans="1:10" x14ac:dyDescent="0.2">
      <c r="A29" s="2" t="s">
        <v>1263</v>
      </c>
    </row>
  </sheetData>
  <pageMargins left="0.7" right="0.7" top="0.75" bottom="0.75" header="0.3" footer="0.3"/>
  <pageSetup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SF-6 Form per Capita</vt:lpstr>
      <vt:lpstr>SF-6 Form Specific Student</vt:lpstr>
      <vt:lpstr>data</vt:lpstr>
      <vt:lpstr>Data Notes</vt:lpstr>
      <vt:lpstr>options</vt:lpstr>
      <vt:lpstr>Disability_Type</vt:lpstr>
      <vt:lpstr>dist</vt:lpstr>
      <vt:lpstr>Inclusion</vt:lpstr>
      <vt:lpstr>Options</vt:lpstr>
      <vt:lpstr>Placement</vt:lpstr>
      <vt:lpstr>'Data Notes'!Print_Area</vt:lpstr>
      <vt:lpstr>'SF-6 Form per Capita'!Print_Area</vt:lpstr>
      <vt:lpstr>'SF-6 Form Specific Student'!Print_Area</vt:lpstr>
    </vt:vector>
  </TitlesOfParts>
  <Company>Ohio Department of Education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Long</dc:creator>
  <dc:description>Password is "excess"</dc:description>
  <cp:lastModifiedBy>denise.willis</cp:lastModifiedBy>
  <cp:lastPrinted>2012-11-23T19:36:55Z</cp:lastPrinted>
  <dcterms:created xsi:type="dcterms:W3CDTF">2011-03-04T18:05:41Z</dcterms:created>
  <dcterms:modified xsi:type="dcterms:W3CDTF">2013-01-09T19:43:15Z</dcterms:modified>
</cp:coreProperties>
</file>