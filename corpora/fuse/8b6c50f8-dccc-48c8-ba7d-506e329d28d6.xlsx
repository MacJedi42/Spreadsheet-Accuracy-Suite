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2" yWindow="-12" windowWidth="14412" windowHeight="13176" tabRatio="840" firstSheet="1" activeTab="1"/>
  </bookViews>
  <sheets>
    <sheet name="First" sheetId="87" state="hidden" r:id="rId1"/>
    <sheet name="a" sheetId="184" r:id="rId2"/>
    <sheet name="b" sheetId="305" r:id="rId3"/>
    <sheet name="c" sheetId="306" r:id="rId4"/>
    <sheet name="d" sheetId="307" r:id="rId5"/>
    <sheet name="e" sheetId="308" r:id="rId6"/>
    <sheet name="f" sheetId="309" r:id="rId7"/>
    <sheet name="g" sheetId="310" r:id="rId8"/>
    <sheet name="h" sheetId="311" r:id="rId9"/>
    <sheet name="i" sheetId="312" r:id="rId10"/>
    <sheet name="j" sheetId="313" r:id="rId11"/>
    <sheet name="k" sheetId="314" r:id="rId12"/>
    <sheet name="l" sheetId="315" r:id="rId13"/>
    <sheet name="m" sheetId="316" r:id="rId14"/>
    <sheet name="n" sheetId="317" r:id="rId15"/>
    <sheet name="o" sheetId="318" r:id="rId16"/>
    <sheet name="p" sheetId="319" r:id="rId17"/>
    <sheet name="LAST" sheetId="86" state="hidden" r:id="rId18"/>
    <sheet name="SPARE 1" sheetId="208" state="hidden" r:id="rId19"/>
    <sheet name="Notes" sheetId="5" state="hidden" r:id="rId20"/>
  </sheets>
  <definedNames>
    <definedName name="Amount" localSheetId="2">#REF!</definedName>
    <definedName name="Amount" localSheetId="4">#REF!</definedName>
    <definedName name="Amount" localSheetId="6">#REF!</definedName>
    <definedName name="Amount" localSheetId="8">#REF!</definedName>
    <definedName name="Amount" localSheetId="10">#REF!</definedName>
    <definedName name="Amount" localSheetId="12">#REF!</definedName>
    <definedName name="Amount" localSheetId="14">#REF!</definedName>
    <definedName name="Amount" localSheetId="16">#REF!</definedName>
    <definedName name="Amount">#REF!</definedName>
    <definedName name="Difference" localSheetId="2">#REF!</definedName>
    <definedName name="Difference" localSheetId="4">#REF!</definedName>
    <definedName name="Difference" localSheetId="6">#REF!</definedName>
    <definedName name="Difference" localSheetId="8">#REF!</definedName>
    <definedName name="Difference" localSheetId="10">#REF!</definedName>
    <definedName name="Difference" localSheetId="12">#REF!</definedName>
    <definedName name="Difference" localSheetId="14">#REF!</definedName>
    <definedName name="Difference" localSheetId="16">#REF!</definedName>
    <definedName name="Difference">#REF!</definedName>
    <definedName name="_xlnm.Print_Area" localSheetId="1">a!$B$1:$AA$236</definedName>
    <definedName name="_xlnm.Print_Area" localSheetId="2">b!$B$1:$AA$236</definedName>
    <definedName name="_xlnm.Print_Area" localSheetId="3">'c'!$B$1:$AA$236</definedName>
    <definedName name="_xlnm.Print_Area" localSheetId="4">d!$B$1:$AA$236</definedName>
    <definedName name="_xlnm.Print_Area" localSheetId="5">e!$B$1:$AA$236</definedName>
    <definedName name="_xlnm.Print_Area" localSheetId="6">f!$B$1:$AA$236</definedName>
    <definedName name="_xlnm.Print_Area" localSheetId="0">First!$A$1:$Z$137</definedName>
    <definedName name="_xlnm.Print_Area" localSheetId="7">g!$B$1:$AA$236</definedName>
    <definedName name="_xlnm.Print_Area" localSheetId="8">h!$B$1:$AA$236</definedName>
    <definedName name="_xlnm.Print_Area" localSheetId="9">i!$B$1:$AA$236</definedName>
    <definedName name="_xlnm.Print_Area" localSheetId="10">j!$B$1:$AA$236</definedName>
    <definedName name="_xlnm.Print_Area" localSheetId="11">k!$B$1:$AA$236</definedName>
    <definedName name="_xlnm.Print_Area" localSheetId="12">l!$B$1:$AA$236</definedName>
    <definedName name="_xlnm.Print_Area" localSheetId="17">LAST!$A$1:$Z$137</definedName>
    <definedName name="_xlnm.Print_Area" localSheetId="13">m!$B$1:$AA$236</definedName>
    <definedName name="_xlnm.Print_Area" localSheetId="14">n!$B$1:$AA$236</definedName>
    <definedName name="_xlnm.Print_Area" localSheetId="15">o!$B$1:$AA$236</definedName>
    <definedName name="_xlnm.Print_Area" localSheetId="16">p!$B$1:$AA$236</definedName>
    <definedName name="_xlnm.Print_Area" localSheetId="18">'SPARE 1'!$A$1:$Z$137</definedName>
    <definedName name="_xlnm.Print_Titles" localSheetId="1">a!$B:$E,a!$1:$10</definedName>
    <definedName name="_xlnm.Print_Titles" localSheetId="2">b!$B:$E,b!$1:$10</definedName>
    <definedName name="_xlnm.Print_Titles" localSheetId="3">'c'!$B:$E,'c'!$1:$10</definedName>
    <definedName name="_xlnm.Print_Titles" localSheetId="4">d!$B:$E,d!$1:$10</definedName>
    <definedName name="_xlnm.Print_Titles" localSheetId="5">e!$B:$E,e!$1:$10</definedName>
    <definedName name="_xlnm.Print_Titles" localSheetId="6">f!$B:$E,f!$1:$10</definedName>
    <definedName name="_xlnm.Print_Titles" localSheetId="0">First!$A:$D,First!$1:$10</definedName>
    <definedName name="_xlnm.Print_Titles" localSheetId="7">g!$B:$E,g!$1:$10</definedName>
    <definedName name="_xlnm.Print_Titles" localSheetId="8">h!$B:$E,h!$1:$10</definedName>
    <definedName name="_xlnm.Print_Titles" localSheetId="9">i!$B:$E,i!$1:$10</definedName>
    <definedName name="_xlnm.Print_Titles" localSheetId="10">j!$B:$E,j!$1:$10</definedName>
    <definedName name="_xlnm.Print_Titles" localSheetId="11">k!$B:$E,k!$1:$10</definedName>
    <definedName name="_xlnm.Print_Titles" localSheetId="12">l!$B:$E,l!$1:$10</definedName>
    <definedName name="_xlnm.Print_Titles" localSheetId="17">LAST!$A:$D,LAST!$1:$10</definedName>
    <definedName name="_xlnm.Print_Titles" localSheetId="13">m!$B:$E,m!$1:$10</definedName>
    <definedName name="_xlnm.Print_Titles" localSheetId="14">n!$B:$E,n!$1:$10</definedName>
    <definedName name="_xlnm.Print_Titles" localSheetId="15">o!$B:$E,o!$1:$10</definedName>
    <definedName name="_xlnm.Print_Titles" localSheetId="16">p!$B:$E,p!$1:$10</definedName>
    <definedName name="_xlnm.Print_Titles" localSheetId="18">'SPARE 1'!$A:$D,'SPARE 1'!$1:$10</definedName>
    <definedName name="Z_3175E192_1B7A_4427_91BB_02E6A1763689_.wvu.Cols" localSheetId="1" hidden="1">a!#REF!,a!#REF!,a!#REF!,a!#REF!,a!#REF!,a!#REF!</definedName>
    <definedName name="Z_3175E192_1B7A_4427_91BB_02E6A1763689_.wvu.Cols" localSheetId="2" hidden="1">b!#REF!,b!#REF!,b!#REF!,b!#REF!,b!#REF!,b!#REF!</definedName>
    <definedName name="Z_3175E192_1B7A_4427_91BB_02E6A1763689_.wvu.Cols" localSheetId="3" hidden="1">'c'!#REF!,'c'!#REF!,'c'!#REF!,'c'!#REF!,'c'!#REF!,'c'!#REF!</definedName>
    <definedName name="Z_3175E192_1B7A_4427_91BB_02E6A1763689_.wvu.Cols" localSheetId="4" hidden="1">d!#REF!,d!#REF!,d!#REF!,d!#REF!,d!#REF!,d!#REF!</definedName>
    <definedName name="Z_3175E192_1B7A_4427_91BB_02E6A1763689_.wvu.Cols" localSheetId="5" hidden="1">e!#REF!,e!#REF!,e!#REF!,e!#REF!,e!#REF!,e!#REF!</definedName>
    <definedName name="Z_3175E192_1B7A_4427_91BB_02E6A1763689_.wvu.Cols" localSheetId="6" hidden="1">f!#REF!,f!#REF!,f!#REF!,f!#REF!,f!#REF!,f!#REF!</definedName>
    <definedName name="Z_3175E192_1B7A_4427_91BB_02E6A1763689_.wvu.Cols" localSheetId="0" hidden="1">First!#REF!,First!#REF!,First!#REF!,First!#REF!,First!#REF!,First!#REF!</definedName>
    <definedName name="Z_3175E192_1B7A_4427_91BB_02E6A1763689_.wvu.Cols" localSheetId="7" hidden="1">g!#REF!,g!#REF!,g!#REF!,g!#REF!,g!#REF!,g!#REF!</definedName>
    <definedName name="Z_3175E192_1B7A_4427_91BB_02E6A1763689_.wvu.Cols" localSheetId="8" hidden="1">h!#REF!,h!#REF!,h!#REF!,h!#REF!,h!#REF!,h!#REF!</definedName>
    <definedName name="Z_3175E192_1B7A_4427_91BB_02E6A1763689_.wvu.Cols" localSheetId="9" hidden="1">i!#REF!,i!#REF!,i!#REF!,i!#REF!,i!#REF!,i!#REF!</definedName>
    <definedName name="Z_3175E192_1B7A_4427_91BB_02E6A1763689_.wvu.Cols" localSheetId="10" hidden="1">j!#REF!,j!#REF!,j!#REF!,j!#REF!,j!#REF!,j!#REF!</definedName>
    <definedName name="Z_3175E192_1B7A_4427_91BB_02E6A1763689_.wvu.Cols" localSheetId="11" hidden="1">k!#REF!,k!#REF!,k!#REF!,k!#REF!,k!#REF!,k!#REF!</definedName>
    <definedName name="Z_3175E192_1B7A_4427_91BB_02E6A1763689_.wvu.Cols" localSheetId="12" hidden="1">l!#REF!,l!#REF!,l!#REF!,l!#REF!,l!#REF!,l!#REF!</definedName>
    <definedName name="Z_3175E192_1B7A_4427_91BB_02E6A1763689_.wvu.Cols" localSheetId="17" hidden="1">LAST!#REF!,LAST!#REF!,LAST!#REF!,LAST!#REF!,LAST!#REF!,LAST!#REF!</definedName>
    <definedName name="Z_3175E192_1B7A_4427_91BB_02E6A1763689_.wvu.Cols" localSheetId="13" hidden="1">m!#REF!,m!#REF!,m!#REF!,m!#REF!,m!#REF!,m!#REF!</definedName>
    <definedName name="Z_3175E192_1B7A_4427_91BB_02E6A1763689_.wvu.Cols" localSheetId="14" hidden="1">n!#REF!,n!#REF!,n!#REF!,n!#REF!,n!#REF!,n!#REF!</definedName>
    <definedName name="Z_3175E192_1B7A_4427_91BB_02E6A1763689_.wvu.Cols" localSheetId="15" hidden="1">o!#REF!,o!#REF!,o!#REF!,o!#REF!,o!#REF!,o!#REF!</definedName>
    <definedName name="Z_3175E192_1B7A_4427_91BB_02E6A1763689_.wvu.Cols" localSheetId="16" hidden="1">p!#REF!,p!#REF!,p!#REF!,p!#REF!,p!#REF!,p!#REF!</definedName>
    <definedName name="Z_3175E192_1B7A_4427_91BB_02E6A1763689_.wvu.Cols" localSheetId="18" hidden="1">'SPARE 1'!#REF!,'SPARE 1'!#REF!,'SPARE 1'!#REF!,'SPARE 1'!#REF!,'SPARE 1'!#REF!,'SPARE 1'!#REF!</definedName>
    <definedName name="Z_3175E192_1B7A_4427_91BB_02E6A1763689_.wvu.PrintArea" localSheetId="1" hidden="1">a!$B$1:$AA$26</definedName>
    <definedName name="Z_3175E192_1B7A_4427_91BB_02E6A1763689_.wvu.PrintArea" localSheetId="2" hidden="1">b!$B$1:$AA$26</definedName>
    <definedName name="Z_3175E192_1B7A_4427_91BB_02E6A1763689_.wvu.PrintArea" localSheetId="3" hidden="1">'c'!$B$1:$AA$26</definedName>
    <definedName name="Z_3175E192_1B7A_4427_91BB_02E6A1763689_.wvu.PrintArea" localSheetId="4" hidden="1">d!$B$1:$AA$26</definedName>
    <definedName name="Z_3175E192_1B7A_4427_91BB_02E6A1763689_.wvu.PrintArea" localSheetId="5" hidden="1">e!$B$1:$AA$26</definedName>
    <definedName name="Z_3175E192_1B7A_4427_91BB_02E6A1763689_.wvu.PrintArea" localSheetId="6" hidden="1">f!$B$1:$AA$26</definedName>
    <definedName name="Z_3175E192_1B7A_4427_91BB_02E6A1763689_.wvu.PrintArea" localSheetId="0" hidden="1">First!$A$1:$Z$26</definedName>
    <definedName name="Z_3175E192_1B7A_4427_91BB_02E6A1763689_.wvu.PrintArea" localSheetId="7" hidden="1">g!$B$1:$AA$26</definedName>
    <definedName name="Z_3175E192_1B7A_4427_91BB_02E6A1763689_.wvu.PrintArea" localSheetId="8" hidden="1">h!$B$1:$AA$26</definedName>
    <definedName name="Z_3175E192_1B7A_4427_91BB_02E6A1763689_.wvu.PrintArea" localSheetId="9" hidden="1">i!$B$1:$AA$26</definedName>
    <definedName name="Z_3175E192_1B7A_4427_91BB_02E6A1763689_.wvu.PrintArea" localSheetId="10" hidden="1">j!$B$1:$AA$26</definedName>
    <definedName name="Z_3175E192_1B7A_4427_91BB_02E6A1763689_.wvu.PrintArea" localSheetId="11" hidden="1">k!$B$1:$AA$26</definedName>
    <definedName name="Z_3175E192_1B7A_4427_91BB_02E6A1763689_.wvu.PrintArea" localSheetId="12" hidden="1">l!$B$1:$AA$26</definedName>
    <definedName name="Z_3175E192_1B7A_4427_91BB_02E6A1763689_.wvu.PrintArea" localSheetId="17" hidden="1">LAST!$A$1:$Z$26</definedName>
    <definedName name="Z_3175E192_1B7A_4427_91BB_02E6A1763689_.wvu.PrintArea" localSheetId="13" hidden="1">m!$B$1:$AA$26</definedName>
    <definedName name="Z_3175E192_1B7A_4427_91BB_02E6A1763689_.wvu.PrintArea" localSheetId="14" hidden="1">n!$B$1:$AA$26</definedName>
    <definedName name="Z_3175E192_1B7A_4427_91BB_02E6A1763689_.wvu.PrintArea" localSheetId="15" hidden="1">o!$B$1:$AA$26</definedName>
    <definedName name="Z_3175E192_1B7A_4427_91BB_02E6A1763689_.wvu.PrintArea" localSheetId="16" hidden="1">p!$B$1:$AA$26</definedName>
    <definedName name="Z_3175E192_1B7A_4427_91BB_02E6A1763689_.wvu.PrintArea" localSheetId="18" hidden="1">'SPARE 1'!$A$1:$Z$26</definedName>
  </definedNames>
  <calcPr calcId="125725"/>
  <customWorkbookViews>
    <customWorkbookView name="teadefault - Personal View" guid="{D05ECE8A-CCA7-47B6-AAEB-10CD98BB3663}" mergeInterval="0" personalView="1" maximized="1" windowWidth="796" windowHeight="393" tabRatio="767" activeSheetId="2" showStatusbar="0"/>
    <customWorkbookView name="CCF" guid="{3175E192-1B7A-4427-91BB-02E6A1763689}" maximized="1" windowWidth="1017" windowHeight="532" tabRatio="469" activeSheetId="2"/>
  </customWorkbookViews>
</workbook>
</file>

<file path=xl/calcChain.xml><?xml version="1.0" encoding="utf-8"?>
<calcChain xmlns="http://schemas.openxmlformats.org/spreadsheetml/2006/main">
  <c r="AA236" i="319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V35"/>
  <c r="U35"/>
  <c r="W35" s="1"/>
  <c r="S35"/>
  <c r="R35"/>
  <c r="T35" s="1"/>
  <c r="P35"/>
  <c r="O35"/>
  <c r="Q35" s="1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AA21"/>
  <c r="Z21"/>
  <c r="Y21"/>
  <c r="X21"/>
  <c r="W21"/>
  <c r="V21"/>
  <c r="U21"/>
  <c r="T21"/>
  <c r="S21"/>
  <c r="R21"/>
  <c r="Q21"/>
  <c r="P21"/>
  <c r="O21"/>
  <c r="AA20"/>
  <c r="Z20"/>
  <c r="Y20"/>
  <c r="X20"/>
  <c r="W20"/>
  <c r="V20"/>
  <c r="U20"/>
  <c r="T20"/>
  <c r="S20"/>
  <c r="R20"/>
  <c r="Q20"/>
  <c r="P20"/>
  <c r="O20"/>
  <c r="AA19"/>
  <c r="Z19"/>
  <c r="Y19"/>
  <c r="X19"/>
  <c r="W19"/>
  <c r="V19"/>
  <c r="U19"/>
  <c r="T19"/>
  <c r="S19"/>
  <c r="R19"/>
  <c r="Q19"/>
  <c r="P19"/>
  <c r="O19"/>
  <c r="AA18"/>
  <c r="Z18"/>
  <c r="Y18"/>
  <c r="X18"/>
  <c r="W18"/>
  <c r="V18"/>
  <c r="U18"/>
  <c r="T18"/>
  <c r="S18"/>
  <c r="R18"/>
  <c r="Q18"/>
  <c r="P18"/>
  <c r="O18"/>
  <c r="AA17"/>
  <c r="Z17"/>
  <c r="Y17"/>
  <c r="X17"/>
  <c r="W17"/>
  <c r="V17"/>
  <c r="U17"/>
  <c r="T17"/>
  <c r="S17"/>
  <c r="R17"/>
  <c r="Q17"/>
  <c r="P17"/>
  <c r="O17"/>
  <c r="AA16"/>
  <c r="Z16"/>
  <c r="Y16"/>
  <c r="X16"/>
  <c r="W16"/>
  <c r="V16"/>
  <c r="U16"/>
  <c r="T16"/>
  <c r="S16"/>
  <c r="R16"/>
  <c r="Q16"/>
  <c r="P16"/>
  <c r="O16"/>
  <c r="AA15"/>
  <c r="Z15"/>
  <c r="Y15"/>
  <c r="X15"/>
  <c r="W15"/>
  <c r="V15"/>
  <c r="U15"/>
  <c r="T15"/>
  <c r="S15"/>
  <c r="R15"/>
  <c r="Q15"/>
  <c r="P15"/>
  <c r="O15"/>
  <c r="AA14"/>
  <c r="Z14"/>
  <c r="Y14"/>
  <c r="X14"/>
  <c r="W14"/>
  <c r="V14"/>
  <c r="U14"/>
  <c r="T14"/>
  <c r="S14"/>
  <c r="R14"/>
  <c r="Q14"/>
  <c r="P14"/>
  <c r="O14"/>
  <c r="AA13"/>
  <c r="Z13"/>
  <c r="Y13"/>
  <c r="X13"/>
  <c r="W13"/>
  <c r="V13"/>
  <c r="U13"/>
  <c r="T13"/>
  <c r="S13"/>
  <c r="R13"/>
  <c r="Q13"/>
  <c r="P13"/>
  <c r="O13"/>
  <c r="AA12"/>
  <c r="Z12"/>
  <c r="Y12"/>
  <c r="X12"/>
  <c r="W12"/>
  <c r="V12"/>
  <c r="U12"/>
  <c r="V5" s="1"/>
  <c r="T12"/>
  <c r="S12"/>
  <c r="R12"/>
  <c r="Q12"/>
  <c r="P12"/>
  <c r="O12"/>
  <c r="P5" s="1"/>
  <c r="AA11"/>
  <c r="N108" s="1"/>
  <c r="Z11"/>
  <c r="M38" s="1"/>
  <c r="Y11"/>
  <c r="L108" s="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18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AA21"/>
  <c r="Z21"/>
  <c r="Y21"/>
  <c r="X21"/>
  <c r="W21"/>
  <c r="V21"/>
  <c r="U21"/>
  <c r="T21"/>
  <c r="S21"/>
  <c r="R21"/>
  <c r="Q21"/>
  <c r="P21"/>
  <c r="O21"/>
  <c r="AA20"/>
  <c r="Z20"/>
  <c r="Y20"/>
  <c r="X20"/>
  <c r="W20"/>
  <c r="V20"/>
  <c r="U20"/>
  <c r="T20"/>
  <c r="S20"/>
  <c r="R20"/>
  <c r="Q20"/>
  <c r="P20"/>
  <c r="O20"/>
  <c r="AA19"/>
  <c r="Z19"/>
  <c r="Y19"/>
  <c r="X19"/>
  <c r="W19"/>
  <c r="V19"/>
  <c r="U19"/>
  <c r="T19"/>
  <c r="S19"/>
  <c r="R19"/>
  <c r="Q19"/>
  <c r="P19"/>
  <c r="O19"/>
  <c r="AA18"/>
  <c r="Z18"/>
  <c r="Y18"/>
  <c r="X18"/>
  <c r="W18"/>
  <c r="V18"/>
  <c r="U18"/>
  <c r="T18"/>
  <c r="S18"/>
  <c r="R18"/>
  <c r="Q18"/>
  <c r="P18"/>
  <c r="O18"/>
  <c r="AA17"/>
  <c r="Z17"/>
  <c r="Y17"/>
  <c r="X17"/>
  <c r="W17"/>
  <c r="V17"/>
  <c r="U17"/>
  <c r="T17"/>
  <c r="S17"/>
  <c r="R17"/>
  <c r="Q17"/>
  <c r="P17"/>
  <c r="O17"/>
  <c r="AA16"/>
  <c r="Z16"/>
  <c r="Y16"/>
  <c r="X16"/>
  <c r="W16"/>
  <c r="V16"/>
  <c r="U16"/>
  <c r="T16"/>
  <c r="S16"/>
  <c r="R16"/>
  <c r="Q16"/>
  <c r="P16"/>
  <c r="O16"/>
  <c r="AA15"/>
  <c r="Z15"/>
  <c r="Y15"/>
  <c r="X15"/>
  <c r="W15"/>
  <c r="V15"/>
  <c r="U15"/>
  <c r="T15"/>
  <c r="S15"/>
  <c r="R15"/>
  <c r="Q15"/>
  <c r="P15"/>
  <c r="O15"/>
  <c r="AA14"/>
  <c r="Z14"/>
  <c r="Y14"/>
  <c r="X14"/>
  <c r="W14"/>
  <c r="V14"/>
  <c r="U14"/>
  <c r="T14"/>
  <c r="S14"/>
  <c r="R14"/>
  <c r="Q14"/>
  <c r="P14"/>
  <c r="O14"/>
  <c r="AA13"/>
  <c r="Z13"/>
  <c r="Y13"/>
  <c r="X13"/>
  <c r="W13"/>
  <c r="V13"/>
  <c r="U13"/>
  <c r="T13"/>
  <c r="S13"/>
  <c r="R13"/>
  <c r="Q13"/>
  <c r="P13"/>
  <c r="O13"/>
  <c r="AA12"/>
  <c r="Z12"/>
  <c r="Y12"/>
  <c r="X12"/>
  <c r="W12"/>
  <c r="V12"/>
  <c r="U12"/>
  <c r="T12"/>
  <c r="S12"/>
  <c r="R12"/>
  <c r="Q12"/>
  <c r="P12"/>
  <c r="O12"/>
  <c r="M12"/>
  <c r="AA11"/>
  <c r="N235" s="1"/>
  <c r="Z11"/>
  <c r="Y11"/>
  <c r="L234" s="1"/>
  <c r="X11"/>
  <c r="M236" s="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V5"/>
  <c r="S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17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Z11"/>
  <c r="M161" s="1"/>
  <c r="Y1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16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M26"/>
  <c r="AA25"/>
  <c r="Z25"/>
  <c r="Y25"/>
  <c r="X25"/>
  <c r="W25"/>
  <c r="V25"/>
  <c r="U25"/>
  <c r="T25"/>
  <c r="S25"/>
  <c r="R25"/>
  <c r="Q25"/>
  <c r="P25"/>
  <c r="O25"/>
  <c r="M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Z11"/>
  <c r="M28" s="1"/>
  <c r="Y1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15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AA21"/>
  <c r="Z21"/>
  <c r="Y21"/>
  <c r="X21"/>
  <c r="W21"/>
  <c r="V21"/>
  <c r="U21"/>
  <c r="T21"/>
  <c r="S21"/>
  <c r="R21"/>
  <c r="Q21"/>
  <c r="P21"/>
  <c r="O21"/>
  <c r="AA20"/>
  <c r="Z20"/>
  <c r="Y20"/>
  <c r="X20"/>
  <c r="W20"/>
  <c r="V20"/>
  <c r="U20"/>
  <c r="T20"/>
  <c r="S20"/>
  <c r="R20"/>
  <c r="Q20"/>
  <c r="P20"/>
  <c r="O20"/>
  <c r="AA19"/>
  <c r="Z19"/>
  <c r="Y19"/>
  <c r="X19"/>
  <c r="W19"/>
  <c r="V19"/>
  <c r="U19"/>
  <c r="T19"/>
  <c r="S19"/>
  <c r="R19"/>
  <c r="Q19"/>
  <c r="P19"/>
  <c r="O19"/>
  <c r="AA18"/>
  <c r="Z18"/>
  <c r="Y18"/>
  <c r="X18"/>
  <c r="W18"/>
  <c r="V18"/>
  <c r="U18"/>
  <c r="T18"/>
  <c r="S18"/>
  <c r="R18"/>
  <c r="Q18"/>
  <c r="P18"/>
  <c r="O18"/>
  <c r="AA17"/>
  <c r="Z17"/>
  <c r="Y17"/>
  <c r="X17"/>
  <c r="W17"/>
  <c r="V17"/>
  <c r="U17"/>
  <c r="T17"/>
  <c r="S17"/>
  <c r="R17"/>
  <c r="Q17"/>
  <c r="P17"/>
  <c r="O17"/>
  <c r="AA16"/>
  <c r="Z16"/>
  <c r="Y16"/>
  <c r="X16"/>
  <c r="W16"/>
  <c r="V16"/>
  <c r="U16"/>
  <c r="T16"/>
  <c r="S16"/>
  <c r="R16"/>
  <c r="Q16"/>
  <c r="P16"/>
  <c r="O16"/>
  <c r="AA15"/>
  <c r="Z15"/>
  <c r="Y15"/>
  <c r="X15"/>
  <c r="W15"/>
  <c r="V15"/>
  <c r="U15"/>
  <c r="T15"/>
  <c r="S15"/>
  <c r="R15"/>
  <c r="Q15"/>
  <c r="P15"/>
  <c r="O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T12"/>
  <c r="S12"/>
  <c r="R12"/>
  <c r="Q12"/>
  <c r="P12"/>
  <c r="O12"/>
  <c r="M12"/>
  <c r="AA11"/>
  <c r="N235" s="1"/>
  <c r="Z11"/>
  <c r="M235" s="1"/>
  <c r="Y11"/>
  <c r="L235" s="1"/>
  <c r="X11"/>
  <c r="M236" s="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V5"/>
  <c r="S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14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M143"/>
  <c r="W142"/>
  <c r="V142"/>
  <c r="U142"/>
  <c r="T142"/>
  <c r="S142"/>
  <c r="R142"/>
  <c r="Q142"/>
  <c r="P142"/>
  <c r="O142"/>
  <c r="M142"/>
  <c r="W141"/>
  <c r="V141"/>
  <c r="U141"/>
  <c r="T141"/>
  <c r="S141"/>
  <c r="R141"/>
  <c r="Q141"/>
  <c r="P141"/>
  <c r="O141"/>
  <c r="M141"/>
  <c r="W140"/>
  <c r="V140"/>
  <c r="U140"/>
  <c r="T140"/>
  <c r="S140"/>
  <c r="R140"/>
  <c r="Q140"/>
  <c r="P140"/>
  <c r="O140"/>
  <c r="M140"/>
  <c r="W139"/>
  <c r="V139"/>
  <c r="U139"/>
  <c r="T139"/>
  <c r="S139"/>
  <c r="R139"/>
  <c r="Q139"/>
  <c r="P139"/>
  <c r="O139"/>
  <c r="M139"/>
  <c r="W138"/>
  <c r="V138"/>
  <c r="U138"/>
  <c r="T138"/>
  <c r="S138"/>
  <c r="R138"/>
  <c r="Q138"/>
  <c r="P138"/>
  <c r="O138"/>
  <c r="M138"/>
  <c r="W137"/>
  <c r="V137"/>
  <c r="U137"/>
  <c r="T137"/>
  <c r="S137"/>
  <c r="R137"/>
  <c r="Q137"/>
  <c r="P137"/>
  <c r="O137"/>
  <c r="M137"/>
  <c r="W136"/>
  <c r="V136"/>
  <c r="U136"/>
  <c r="T136"/>
  <c r="S136"/>
  <c r="R136"/>
  <c r="Q136"/>
  <c r="P136"/>
  <c r="O136"/>
  <c r="M136"/>
  <c r="W135"/>
  <c r="V135"/>
  <c r="U135"/>
  <c r="T135"/>
  <c r="S135"/>
  <c r="R135"/>
  <c r="Q135"/>
  <c r="P135"/>
  <c r="O135"/>
  <c r="M135"/>
  <c r="W134"/>
  <c r="V134"/>
  <c r="U134"/>
  <c r="T134"/>
  <c r="S134"/>
  <c r="R134"/>
  <c r="Q134"/>
  <c r="P134"/>
  <c r="O134"/>
  <c r="M134"/>
  <c r="W133"/>
  <c r="V133"/>
  <c r="U133"/>
  <c r="T133"/>
  <c r="S133"/>
  <c r="R133"/>
  <c r="Q133"/>
  <c r="P133"/>
  <c r="O133"/>
  <c r="M133"/>
  <c r="W132"/>
  <c r="V132"/>
  <c r="U132"/>
  <c r="T132"/>
  <c r="S132"/>
  <c r="R132"/>
  <c r="Q132"/>
  <c r="P132"/>
  <c r="O132"/>
  <c r="M132"/>
  <c r="W131"/>
  <c r="V131"/>
  <c r="U131"/>
  <c r="T131"/>
  <c r="S131"/>
  <c r="R131"/>
  <c r="Q131"/>
  <c r="P131"/>
  <c r="O131"/>
  <c r="M131"/>
  <c r="W130"/>
  <c r="V130"/>
  <c r="U130"/>
  <c r="T130"/>
  <c r="S130"/>
  <c r="R130"/>
  <c r="Q130"/>
  <c r="P130"/>
  <c r="O130"/>
  <c r="M130"/>
  <c r="W129"/>
  <c r="V129"/>
  <c r="U129"/>
  <c r="T129"/>
  <c r="S129"/>
  <c r="R129"/>
  <c r="Q129"/>
  <c r="P129"/>
  <c r="O129"/>
  <c r="M129"/>
  <c r="W128"/>
  <c r="V128"/>
  <c r="U128"/>
  <c r="T128"/>
  <c r="S128"/>
  <c r="R128"/>
  <c r="Q128"/>
  <c r="P128"/>
  <c r="O128"/>
  <c r="M128"/>
  <c r="W127"/>
  <c r="V127"/>
  <c r="U127"/>
  <c r="T127"/>
  <c r="S127"/>
  <c r="R127"/>
  <c r="Q127"/>
  <c r="P127"/>
  <c r="O127"/>
  <c r="M127"/>
  <c r="W126"/>
  <c r="V126"/>
  <c r="U126"/>
  <c r="T126"/>
  <c r="S126"/>
  <c r="R126"/>
  <c r="Q126"/>
  <c r="P126"/>
  <c r="O126"/>
  <c r="M126"/>
  <c r="W125"/>
  <c r="V125"/>
  <c r="U125"/>
  <c r="T125"/>
  <c r="S125"/>
  <c r="R125"/>
  <c r="Q125"/>
  <c r="P125"/>
  <c r="O125"/>
  <c r="M125"/>
  <c r="W124"/>
  <c r="V124"/>
  <c r="U124"/>
  <c r="T124"/>
  <c r="S124"/>
  <c r="R124"/>
  <c r="Q124"/>
  <c r="P124"/>
  <c r="O124"/>
  <c r="M124"/>
  <c r="W123"/>
  <c r="V123"/>
  <c r="U123"/>
  <c r="T123"/>
  <c r="S123"/>
  <c r="R123"/>
  <c r="Q123"/>
  <c r="P123"/>
  <c r="O123"/>
  <c r="M123"/>
  <c r="W122"/>
  <c r="V122"/>
  <c r="U122"/>
  <c r="T122"/>
  <c r="S122"/>
  <c r="R122"/>
  <c r="Q122"/>
  <c r="P122"/>
  <c r="O122"/>
  <c r="M122"/>
  <c r="W121"/>
  <c r="V121"/>
  <c r="U121"/>
  <c r="T121"/>
  <c r="S121"/>
  <c r="R121"/>
  <c r="Q121"/>
  <c r="P121"/>
  <c r="O121"/>
  <c r="M121"/>
  <c r="W120"/>
  <c r="V120"/>
  <c r="U120"/>
  <c r="T120"/>
  <c r="S120"/>
  <c r="R120"/>
  <c r="Q120"/>
  <c r="P120"/>
  <c r="O120"/>
  <c r="M120"/>
  <c r="W119"/>
  <c r="V119"/>
  <c r="U119"/>
  <c r="T119"/>
  <c r="S119"/>
  <c r="R119"/>
  <c r="Q119"/>
  <c r="P119"/>
  <c r="O119"/>
  <c r="M119"/>
  <c r="W118"/>
  <c r="V118"/>
  <c r="U118"/>
  <c r="T118"/>
  <c r="S118"/>
  <c r="R118"/>
  <c r="Q118"/>
  <c r="P118"/>
  <c r="O118"/>
  <c r="M118"/>
  <c r="W117"/>
  <c r="V117"/>
  <c r="U117"/>
  <c r="T117"/>
  <c r="S117"/>
  <c r="R117"/>
  <c r="Q117"/>
  <c r="P117"/>
  <c r="O117"/>
  <c r="M117"/>
  <c r="W116"/>
  <c r="V116"/>
  <c r="U116"/>
  <c r="T116"/>
  <c r="S116"/>
  <c r="R116"/>
  <c r="Q116"/>
  <c r="P116"/>
  <c r="O116"/>
  <c r="M116"/>
  <c r="W115"/>
  <c r="V115"/>
  <c r="U115"/>
  <c r="T115"/>
  <c r="S115"/>
  <c r="R115"/>
  <c r="Q115"/>
  <c r="P115"/>
  <c r="O115"/>
  <c r="M115"/>
  <c r="W114"/>
  <c r="V114"/>
  <c r="U114"/>
  <c r="T114"/>
  <c r="S114"/>
  <c r="R114"/>
  <c r="Q114"/>
  <c r="P114"/>
  <c r="O114"/>
  <c r="M114"/>
  <c r="W113"/>
  <c r="V113"/>
  <c r="U113"/>
  <c r="T113"/>
  <c r="S113"/>
  <c r="R113"/>
  <c r="Q113"/>
  <c r="P113"/>
  <c r="O113"/>
  <c r="M113"/>
  <c r="W112"/>
  <c r="V112"/>
  <c r="U112"/>
  <c r="T112"/>
  <c r="S112"/>
  <c r="R112"/>
  <c r="Q112"/>
  <c r="P112"/>
  <c r="O112"/>
  <c r="M112"/>
  <c r="AA111"/>
  <c r="Z111"/>
  <c r="Y111"/>
  <c r="X111"/>
  <c r="W111"/>
  <c r="V111"/>
  <c r="U111"/>
  <c r="T111"/>
  <c r="S111"/>
  <c r="R111"/>
  <c r="Q111"/>
  <c r="P111"/>
  <c r="O111"/>
  <c r="M111"/>
  <c r="AA110"/>
  <c r="Z110"/>
  <c r="Y110"/>
  <c r="X110"/>
  <c r="W110"/>
  <c r="V110"/>
  <c r="U110"/>
  <c r="T110"/>
  <c r="S110"/>
  <c r="R110"/>
  <c r="Q110"/>
  <c r="P110"/>
  <c r="O110"/>
  <c r="M110"/>
  <c r="AA109"/>
  <c r="Z109"/>
  <c r="Y109"/>
  <c r="X109"/>
  <c r="W109"/>
  <c r="V109"/>
  <c r="U109"/>
  <c r="T109"/>
  <c r="S109"/>
  <c r="R109"/>
  <c r="Q109"/>
  <c r="P109"/>
  <c r="O109"/>
  <c r="M109"/>
  <c r="AA108"/>
  <c r="Z108"/>
  <c r="Y108"/>
  <c r="X108"/>
  <c r="W108"/>
  <c r="V108"/>
  <c r="U108"/>
  <c r="T108"/>
  <c r="S108"/>
  <c r="R108"/>
  <c r="Q108"/>
  <c r="P108"/>
  <c r="O108"/>
  <c r="M108"/>
  <c r="AA107"/>
  <c r="Z107"/>
  <c r="Y107"/>
  <c r="X107"/>
  <c r="W107"/>
  <c r="V107"/>
  <c r="U107"/>
  <c r="T107"/>
  <c r="S107"/>
  <c r="R107"/>
  <c r="Q107"/>
  <c r="P107"/>
  <c r="O107"/>
  <c r="M107"/>
  <c r="AA106"/>
  <c r="Z106"/>
  <c r="Y106"/>
  <c r="X106"/>
  <c r="W106"/>
  <c r="V106"/>
  <c r="U106"/>
  <c r="T106"/>
  <c r="S106"/>
  <c r="R106"/>
  <c r="Q106"/>
  <c r="P106"/>
  <c r="O106"/>
  <c r="M106"/>
  <c r="AA105"/>
  <c r="Z105"/>
  <c r="Y105"/>
  <c r="X105"/>
  <c r="W105"/>
  <c r="V105"/>
  <c r="U105"/>
  <c r="T105"/>
  <c r="S105"/>
  <c r="R105"/>
  <c r="Q105"/>
  <c r="P105"/>
  <c r="O105"/>
  <c r="M105"/>
  <c r="AA104"/>
  <c r="Z104"/>
  <c r="Y104"/>
  <c r="X104"/>
  <c r="W104"/>
  <c r="V104"/>
  <c r="U104"/>
  <c r="T104"/>
  <c r="S104"/>
  <c r="R104"/>
  <c r="Q104"/>
  <c r="P104"/>
  <c r="O104"/>
  <c r="M104"/>
  <c r="AA103"/>
  <c r="Z103"/>
  <c r="Y103"/>
  <c r="X103"/>
  <c r="W103"/>
  <c r="V103"/>
  <c r="U103"/>
  <c r="T103"/>
  <c r="S103"/>
  <c r="R103"/>
  <c r="Q103"/>
  <c r="P103"/>
  <c r="O103"/>
  <c r="M103"/>
  <c r="AA102"/>
  <c r="Z102"/>
  <c r="Y102"/>
  <c r="X102"/>
  <c r="W102"/>
  <c r="V102"/>
  <c r="U102"/>
  <c r="T102"/>
  <c r="S102"/>
  <c r="R102"/>
  <c r="Q102"/>
  <c r="P102"/>
  <c r="O102"/>
  <c r="M102"/>
  <c r="AA101"/>
  <c r="Z101"/>
  <c r="Y101"/>
  <c r="X101"/>
  <c r="W101"/>
  <c r="V101"/>
  <c r="U101"/>
  <c r="T101"/>
  <c r="S101"/>
  <c r="R101"/>
  <c r="Q101"/>
  <c r="P101"/>
  <c r="O101"/>
  <c r="M101"/>
  <c r="AA100"/>
  <c r="Z100"/>
  <c r="Y100"/>
  <c r="X100"/>
  <c r="W100"/>
  <c r="V100"/>
  <c r="U100"/>
  <c r="T100"/>
  <c r="S100"/>
  <c r="R100"/>
  <c r="Q100"/>
  <c r="P100"/>
  <c r="O100"/>
  <c r="M100"/>
  <c r="AA99"/>
  <c r="Z99"/>
  <c r="Y99"/>
  <c r="X99"/>
  <c r="W99"/>
  <c r="V99"/>
  <c r="U99"/>
  <c r="T99"/>
  <c r="S99"/>
  <c r="R99"/>
  <c r="Q99"/>
  <c r="P99"/>
  <c r="O99"/>
  <c r="M99"/>
  <c r="AA98"/>
  <c r="Z98"/>
  <c r="Y98"/>
  <c r="X98"/>
  <c r="W98"/>
  <c r="V98"/>
  <c r="U98"/>
  <c r="T98"/>
  <c r="S98"/>
  <c r="R98"/>
  <c r="Q98"/>
  <c r="P98"/>
  <c r="O98"/>
  <c r="M98"/>
  <c r="AA97"/>
  <c r="Z97"/>
  <c r="Y97"/>
  <c r="X97"/>
  <c r="W97"/>
  <c r="V97"/>
  <c r="U97"/>
  <c r="T97"/>
  <c r="S97"/>
  <c r="R97"/>
  <c r="Q97"/>
  <c r="P97"/>
  <c r="O97"/>
  <c r="M97"/>
  <c r="AA96"/>
  <c r="Z96"/>
  <c r="Y96"/>
  <c r="X96"/>
  <c r="W96"/>
  <c r="V96"/>
  <c r="U96"/>
  <c r="T96"/>
  <c r="S96"/>
  <c r="R96"/>
  <c r="Q96"/>
  <c r="P96"/>
  <c r="O96"/>
  <c r="M96"/>
  <c r="AA95"/>
  <c r="Z95"/>
  <c r="Y95"/>
  <c r="X95"/>
  <c r="W95"/>
  <c r="V95"/>
  <c r="U95"/>
  <c r="T95"/>
  <c r="S95"/>
  <c r="R95"/>
  <c r="Q95"/>
  <c r="P95"/>
  <c r="O95"/>
  <c r="M95"/>
  <c r="AA94"/>
  <c r="Z94"/>
  <c r="Y94"/>
  <c r="X94"/>
  <c r="W94"/>
  <c r="V94"/>
  <c r="U94"/>
  <c r="T94"/>
  <c r="S94"/>
  <c r="R94"/>
  <c r="Q94"/>
  <c r="P94"/>
  <c r="O94"/>
  <c r="M94"/>
  <c r="AA93"/>
  <c r="Z93"/>
  <c r="Y93"/>
  <c r="X93"/>
  <c r="W93"/>
  <c r="V93"/>
  <c r="U93"/>
  <c r="T93"/>
  <c r="S93"/>
  <c r="R93"/>
  <c r="Q93"/>
  <c r="P93"/>
  <c r="O93"/>
  <c r="M93"/>
  <c r="AA92"/>
  <c r="Z92"/>
  <c r="Y92"/>
  <c r="X92"/>
  <c r="W92"/>
  <c r="V92"/>
  <c r="U92"/>
  <c r="T92"/>
  <c r="S92"/>
  <c r="R92"/>
  <c r="Q92"/>
  <c r="P92"/>
  <c r="O92"/>
  <c r="M92"/>
  <c r="AA91"/>
  <c r="Z91"/>
  <c r="Y91"/>
  <c r="X91"/>
  <c r="W91"/>
  <c r="V91"/>
  <c r="U91"/>
  <c r="T91"/>
  <c r="S91"/>
  <c r="R91"/>
  <c r="Q91"/>
  <c r="P91"/>
  <c r="O91"/>
  <c r="M91"/>
  <c r="AA90"/>
  <c r="Z90"/>
  <c r="Y90"/>
  <c r="X90"/>
  <c r="W90"/>
  <c r="V90"/>
  <c r="U90"/>
  <c r="T90"/>
  <c r="S90"/>
  <c r="R90"/>
  <c r="Q90"/>
  <c r="P90"/>
  <c r="O90"/>
  <c r="M90"/>
  <c r="AA89"/>
  <c r="Z89"/>
  <c r="Y89"/>
  <c r="X89"/>
  <c r="W89"/>
  <c r="V89"/>
  <c r="U89"/>
  <c r="T89"/>
  <c r="S89"/>
  <c r="R89"/>
  <c r="Q89"/>
  <c r="P89"/>
  <c r="O89"/>
  <c r="M89"/>
  <c r="AA88"/>
  <c r="Z88"/>
  <c r="Y88"/>
  <c r="X88"/>
  <c r="W88"/>
  <c r="V88"/>
  <c r="U88"/>
  <c r="T88"/>
  <c r="S88"/>
  <c r="R88"/>
  <c r="Q88"/>
  <c r="P88"/>
  <c r="O88"/>
  <c r="M88"/>
  <c r="AA87"/>
  <c r="Z87"/>
  <c r="Y87"/>
  <c r="X87"/>
  <c r="W87"/>
  <c r="V87"/>
  <c r="U87"/>
  <c r="T87"/>
  <c r="S87"/>
  <c r="R87"/>
  <c r="Q87"/>
  <c r="P87"/>
  <c r="O87"/>
  <c r="M87"/>
  <c r="AA86"/>
  <c r="Z86"/>
  <c r="Y86"/>
  <c r="X86"/>
  <c r="W86"/>
  <c r="V86"/>
  <c r="U86"/>
  <c r="T86"/>
  <c r="S86"/>
  <c r="R86"/>
  <c r="Q86"/>
  <c r="P86"/>
  <c r="O86"/>
  <c r="M86"/>
  <c r="AA85"/>
  <c r="Z85"/>
  <c r="Y85"/>
  <c r="X85"/>
  <c r="W85"/>
  <c r="V85"/>
  <c r="U85"/>
  <c r="T85"/>
  <c r="S85"/>
  <c r="R85"/>
  <c r="Q85"/>
  <c r="P85"/>
  <c r="O85"/>
  <c r="M85"/>
  <c r="AA84"/>
  <c r="Z84"/>
  <c r="Y84"/>
  <c r="X84"/>
  <c r="W84"/>
  <c r="V84"/>
  <c r="U84"/>
  <c r="T84"/>
  <c r="S84"/>
  <c r="R84"/>
  <c r="Q84"/>
  <c r="P84"/>
  <c r="O84"/>
  <c r="M84"/>
  <c r="AA83"/>
  <c r="Z83"/>
  <c r="Y83"/>
  <c r="X83"/>
  <c r="W83"/>
  <c r="V83"/>
  <c r="U83"/>
  <c r="T83"/>
  <c r="S83"/>
  <c r="R83"/>
  <c r="Q83"/>
  <c r="P83"/>
  <c r="O83"/>
  <c r="M83"/>
  <c r="AA82"/>
  <c r="Z82"/>
  <c r="Y82"/>
  <c r="X82"/>
  <c r="W82"/>
  <c r="V82"/>
  <c r="U82"/>
  <c r="T82"/>
  <c r="S82"/>
  <c r="R82"/>
  <c r="Q82"/>
  <c r="P82"/>
  <c r="O82"/>
  <c r="M82"/>
  <c r="AA81"/>
  <c r="Z81"/>
  <c r="Y81"/>
  <c r="X81"/>
  <c r="W81"/>
  <c r="V81"/>
  <c r="U81"/>
  <c r="T81"/>
  <c r="S81"/>
  <c r="R81"/>
  <c r="Q81"/>
  <c r="P81"/>
  <c r="O81"/>
  <c r="M81"/>
  <c r="AA80"/>
  <c r="Z80"/>
  <c r="Y80"/>
  <c r="X80"/>
  <c r="W80"/>
  <c r="V80"/>
  <c r="U80"/>
  <c r="T80"/>
  <c r="S80"/>
  <c r="R80"/>
  <c r="Q80"/>
  <c r="P80"/>
  <c r="O80"/>
  <c r="M80"/>
  <c r="AA79"/>
  <c r="Z79"/>
  <c r="Y79"/>
  <c r="X79"/>
  <c r="W79"/>
  <c r="V79"/>
  <c r="U79"/>
  <c r="T79"/>
  <c r="S79"/>
  <c r="R79"/>
  <c r="Q79"/>
  <c r="P79"/>
  <c r="O79"/>
  <c r="M79"/>
  <c r="AA78"/>
  <c r="Z78"/>
  <c r="Y78"/>
  <c r="X78"/>
  <c r="W78"/>
  <c r="V78"/>
  <c r="U78"/>
  <c r="T78"/>
  <c r="S78"/>
  <c r="R78"/>
  <c r="Q78"/>
  <c r="P78"/>
  <c r="O78"/>
  <c r="M78"/>
  <c r="AA77"/>
  <c r="Z77"/>
  <c r="Y77"/>
  <c r="X77"/>
  <c r="W77"/>
  <c r="V77"/>
  <c r="U77"/>
  <c r="T77"/>
  <c r="S77"/>
  <c r="R77"/>
  <c r="Q77"/>
  <c r="P77"/>
  <c r="O77"/>
  <c r="M77"/>
  <c r="AA76"/>
  <c r="Z76"/>
  <c r="Y76"/>
  <c r="X76"/>
  <c r="W76"/>
  <c r="V76"/>
  <c r="U76"/>
  <c r="T76"/>
  <c r="S76"/>
  <c r="R76"/>
  <c r="Q76"/>
  <c r="P76"/>
  <c r="O76"/>
  <c r="M76"/>
  <c r="AA75"/>
  <c r="Z75"/>
  <c r="Y75"/>
  <c r="X75"/>
  <c r="W75"/>
  <c r="V75"/>
  <c r="U75"/>
  <c r="T75"/>
  <c r="S75"/>
  <c r="R75"/>
  <c r="Q75"/>
  <c r="P75"/>
  <c r="O75"/>
  <c r="M75"/>
  <c r="AA74"/>
  <c r="Z74"/>
  <c r="Y74"/>
  <c r="X74"/>
  <c r="W74"/>
  <c r="V74"/>
  <c r="U74"/>
  <c r="T74"/>
  <c r="S74"/>
  <c r="R74"/>
  <c r="Q74"/>
  <c r="P74"/>
  <c r="O74"/>
  <c r="M74"/>
  <c r="AA73"/>
  <c r="Z73"/>
  <c r="Y73"/>
  <c r="X73"/>
  <c r="W73"/>
  <c r="V73"/>
  <c r="U73"/>
  <c r="T73"/>
  <c r="S73"/>
  <c r="R73"/>
  <c r="Q73"/>
  <c r="P73"/>
  <c r="O73"/>
  <c r="M73"/>
  <c r="AA72"/>
  <c r="Z72"/>
  <c r="Y72"/>
  <c r="X72"/>
  <c r="W72"/>
  <c r="V72"/>
  <c r="U72"/>
  <c r="T72"/>
  <c r="S72"/>
  <c r="R72"/>
  <c r="Q72"/>
  <c r="P72"/>
  <c r="O72"/>
  <c r="M72"/>
  <c r="AA71"/>
  <c r="Z71"/>
  <c r="Y71"/>
  <c r="X71"/>
  <c r="W71"/>
  <c r="V71"/>
  <c r="U71"/>
  <c r="T71"/>
  <c r="S71"/>
  <c r="R71"/>
  <c r="Q71"/>
  <c r="P71"/>
  <c r="O71"/>
  <c r="M71"/>
  <c r="AA70"/>
  <c r="Z70"/>
  <c r="Y70"/>
  <c r="X70"/>
  <c r="W70"/>
  <c r="V70"/>
  <c r="U70"/>
  <c r="T70"/>
  <c r="S70"/>
  <c r="R70"/>
  <c r="Q70"/>
  <c r="P70"/>
  <c r="O70"/>
  <c r="M70"/>
  <c r="AA69"/>
  <c r="Z69"/>
  <c r="Y69"/>
  <c r="X69"/>
  <c r="W69"/>
  <c r="V69"/>
  <c r="U69"/>
  <c r="T69"/>
  <c r="S69"/>
  <c r="R69"/>
  <c r="Q69"/>
  <c r="P69"/>
  <c r="O69"/>
  <c r="M69"/>
  <c r="AA68"/>
  <c r="Z68"/>
  <c r="Y68"/>
  <c r="X68"/>
  <c r="W68"/>
  <c r="V68"/>
  <c r="U68"/>
  <c r="T68"/>
  <c r="S68"/>
  <c r="R68"/>
  <c r="Q68"/>
  <c r="P68"/>
  <c r="O68"/>
  <c r="M68"/>
  <c r="AA67"/>
  <c r="Z67"/>
  <c r="Y67"/>
  <c r="X67"/>
  <c r="W67"/>
  <c r="V67"/>
  <c r="U67"/>
  <c r="T67"/>
  <c r="S67"/>
  <c r="R67"/>
  <c r="Q67"/>
  <c r="P67"/>
  <c r="O67"/>
  <c r="M67"/>
  <c r="AA66"/>
  <c r="Z66"/>
  <c r="Y66"/>
  <c r="X66"/>
  <c r="W66"/>
  <c r="V66"/>
  <c r="U66"/>
  <c r="T66"/>
  <c r="S66"/>
  <c r="R66"/>
  <c r="Q66"/>
  <c r="P66"/>
  <c r="O66"/>
  <c r="M66"/>
  <c r="AA65"/>
  <c r="Z65"/>
  <c r="Y65"/>
  <c r="X65"/>
  <c r="W65"/>
  <c r="V65"/>
  <c r="U65"/>
  <c r="T65"/>
  <c r="S65"/>
  <c r="R65"/>
  <c r="Q65"/>
  <c r="P65"/>
  <c r="O65"/>
  <c r="M65"/>
  <c r="AA64"/>
  <c r="Z64"/>
  <c r="Y64"/>
  <c r="X64"/>
  <c r="W64"/>
  <c r="V64"/>
  <c r="U64"/>
  <c r="T64"/>
  <c r="S64"/>
  <c r="R64"/>
  <c r="Q64"/>
  <c r="P64"/>
  <c r="O64"/>
  <c r="M64"/>
  <c r="AA63"/>
  <c r="Z63"/>
  <c r="Y63"/>
  <c r="X63"/>
  <c r="W63"/>
  <c r="V63"/>
  <c r="U63"/>
  <c r="T63"/>
  <c r="S63"/>
  <c r="R63"/>
  <c r="Q63"/>
  <c r="P63"/>
  <c r="O63"/>
  <c r="M63"/>
  <c r="AA62"/>
  <c r="Z62"/>
  <c r="Y62"/>
  <c r="X62"/>
  <c r="W62"/>
  <c r="V62"/>
  <c r="U62"/>
  <c r="T62"/>
  <c r="S62"/>
  <c r="R62"/>
  <c r="Q62"/>
  <c r="P62"/>
  <c r="O62"/>
  <c r="M62"/>
  <c r="AA61"/>
  <c r="Z61"/>
  <c r="Y61"/>
  <c r="X61"/>
  <c r="W61"/>
  <c r="V61"/>
  <c r="U61"/>
  <c r="T61"/>
  <c r="S61"/>
  <c r="R61"/>
  <c r="Q61"/>
  <c r="P61"/>
  <c r="O61"/>
  <c r="M61"/>
  <c r="AA60"/>
  <c r="Z60"/>
  <c r="Y60"/>
  <c r="X60"/>
  <c r="W60"/>
  <c r="V60"/>
  <c r="U60"/>
  <c r="T60"/>
  <c r="S60"/>
  <c r="R60"/>
  <c r="Q60"/>
  <c r="P60"/>
  <c r="O60"/>
  <c r="M60"/>
  <c r="AA59"/>
  <c r="Z59"/>
  <c r="Y59"/>
  <c r="X59"/>
  <c r="W59"/>
  <c r="V59"/>
  <c r="U59"/>
  <c r="T59"/>
  <c r="S59"/>
  <c r="R59"/>
  <c r="Q59"/>
  <c r="P59"/>
  <c r="O59"/>
  <c r="M59"/>
  <c r="AA58"/>
  <c r="Z58"/>
  <c r="Y58"/>
  <c r="X58"/>
  <c r="W58"/>
  <c r="V58"/>
  <c r="U58"/>
  <c r="T58"/>
  <c r="S58"/>
  <c r="R58"/>
  <c r="Q58"/>
  <c r="P58"/>
  <c r="O58"/>
  <c r="M58"/>
  <c r="AA57"/>
  <c r="Z57"/>
  <c r="Y57"/>
  <c r="X57"/>
  <c r="W57"/>
  <c r="V57"/>
  <c r="U57"/>
  <c r="T57"/>
  <c r="S57"/>
  <c r="R57"/>
  <c r="Q57"/>
  <c r="P57"/>
  <c r="O57"/>
  <c r="M57"/>
  <c r="AA56"/>
  <c r="Z56"/>
  <c r="Y56"/>
  <c r="X56"/>
  <c r="W56"/>
  <c r="V56"/>
  <c r="U56"/>
  <c r="T56"/>
  <c r="S56"/>
  <c r="R56"/>
  <c r="Q56"/>
  <c r="P56"/>
  <c r="O56"/>
  <c r="M56"/>
  <c r="AA55"/>
  <c r="Z55"/>
  <c r="Y55"/>
  <c r="X55"/>
  <c r="W55"/>
  <c r="V55"/>
  <c r="U55"/>
  <c r="T55"/>
  <c r="S55"/>
  <c r="R55"/>
  <c r="Q55"/>
  <c r="P55"/>
  <c r="O55"/>
  <c r="M55"/>
  <c r="AA54"/>
  <c r="Z54"/>
  <c r="Y54"/>
  <c r="X54"/>
  <c r="W54"/>
  <c r="V54"/>
  <c r="U54"/>
  <c r="T54"/>
  <c r="S54"/>
  <c r="R54"/>
  <c r="Q54"/>
  <c r="P54"/>
  <c r="O54"/>
  <c r="M54"/>
  <c r="AA53"/>
  <c r="Z53"/>
  <c r="Y53"/>
  <c r="X53"/>
  <c r="W53"/>
  <c r="V53"/>
  <c r="U53"/>
  <c r="T53"/>
  <c r="S53"/>
  <c r="R53"/>
  <c r="Q53"/>
  <c r="P53"/>
  <c r="O53"/>
  <c r="M53"/>
  <c r="AA52"/>
  <c r="Z52"/>
  <c r="Y52"/>
  <c r="X52"/>
  <c r="W52"/>
  <c r="V52"/>
  <c r="U52"/>
  <c r="T52"/>
  <c r="S52"/>
  <c r="R52"/>
  <c r="Q52"/>
  <c r="P52"/>
  <c r="O52"/>
  <c r="M52"/>
  <c r="AA51"/>
  <c r="Z51"/>
  <c r="Y51"/>
  <c r="X51"/>
  <c r="W51"/>
  <c r="V51"/>
  <c r="U51"/>
  <c r="T51"/>
  <c r="S51"/>
  <c r="R51"/>
  <c r="Q51"/>
  <c r="P51"/>
  <c r="O51"/>
  <c r="M51"/>
  <c r="AA50"/>
  <c r="Z50"/>
  <c r="Y50"/>
  <c r="X50"/>
  <c r="W50"/>
  <c r="V50"/>
  <c r="U50"/>
  <c r="T50"/>
  <c r="S50"/>
  <c r="R50"/>
  <c r="Q50"/>
  <c r="P50"/>
  <c r="O50"/>
  <c r="M50"/>
  <c r="AA49"/>
  <c r="Z49"/>
  <c r="Y49"/>
  <c r="X49"/>
  <c r="W49"/>
  <c r="V49"/>
  <c r="U49"/>
  <c r="T49"/>
  <c r="S49"/>
  <c r="R49"/>
  <c r="Q49"/>
  <c r="P49"/>
  <c r="O49"/>
  <c r="M49"/>
  <c r="AA48"/>
  <c r="Z48"/>
  <c r="Y48"/>
  <c r="X48"/>
  <c r="W48"/>
  <c r="V48"/>
  <c r="U48"/>
  <c r="T48"/>
  <c r="S48"/>
  <c r="R48"/>
  <c r="Q48"/>
  <c r="P48"/>
  <c r="O48"/>
  <c r="M48"/>
  <c r="AA47"/>
  <c r="Z47"/>
  <c r="Y47"/>
  <c r="X47"/>
  <c r="W47"/>
  <c r="V47"/>
  <c r="U47"/>
  <c r="T47"/>
  <c r="S47"/>
  <c r="R47"/>
  <c r="Q47"/>
  <c r="P47"/>
  <c r="O47"/>
  <c r="M47"/>
  <c r="AA46"/>
  <c r="Z46"/>
  <c r="Y46"/>
  <c r="X46"/>
  <c r="W46"/>
  <c r="V46"/>
  <c r="U46"/>
  <c r="T46"/>
  <c r="S46"/>
  <c r="R46"/>
  <c r="Q46"/>
  <c r="P46"/>
  <c r="O46"/>
  <c r="M46"/>
  <c r="AA45"/>
  <c r="Z45"/>
  <c r="Y45"/>
  <c r="X45"/>
  <c r="W45"/>
  <c r="V45"/>
  <c r="U45"/>
  <c r="T45"/>
  <c r="S45"/>
  <c r="R45"/>
  <c r="Q45"/>
  <c r="P45"/>
  <c r="O45"/>
  <c r="M45"/>
  <c r="AA44"/>
  <c r="Z44"/>
  <c r="Y44"/>
  <c r="X44"/>
  <c r="W44"/>
  <c r="V44"/>
  <c r="U44"/>
  <c r="T44"/>
  <c r="S44"/>
  <c r="R44"/>
  <c r="Q44"/>
  <c r="P44"/>
  <c r="O44"/>
  <c r="M44"/>
  <c r="AA43"/>
  <c r="Z43"/>
  <c r="Y43"/>
  <c r="X43"/>
  <c r="W43"/>
  <c r="V43"/>
  <c r="U43"/>
  <c r="T43"/>
  <c r="S43"/>
  <c r="R43"/>
  <c r="Q43"/>
  <c r="P43"/>
  <c r="O43"/>
  <c r="M43"/>
  <c r="AA42"/>
  <c r="Z42"/>
  <c r="Y42"/>
  <c r="X42"/>
  <c r="W42"/>
  <c r="V42"/>
  <c r="U42"/>
  <c r="T42"/>
  <c r="S42"/>
  <c r="R42"/>
  <c r="Q42"/>
  <c r="P42"/>
  <c r="O42"/>
  <c r="M42"/>
  <c r="AA41"/>
  <c r="Z41"/>
  <c r="Y41"/>
  <c r="X41"/>
  <c r="W41"/>
  <c r="V41"/>
  <c r="U41"/>
  <c r="T41"/>
  <c r="S41"/>
  <c r="R41"/>
  <c r="Q41"/>
  <c r="P41"/>
  <c r="O41"/>
  <c r="M41"/>
  <c r="AA40"/>
  <c r="Z40"/>
  <c r="Y40"/>
  <c r="X40"/>
  <c r="W40"/>
  <c r="V40"/>
  <c r="U40"/>
  <c r="T40"/>
  <c r="S40"/>
  <c r="R40"/>
  <c r="Q40"/>
  <c r="P40"/>
  <c r="O40"/>
  <c r="M40"/>
  <c r="AA39"/>
  <c r="Z39"/>
  <c r="Y39"/>
  <c r="X39"/>
  <c r="W39"/>
  <c r="V39"/>
  <c r="U39"/>
  <c r="T39"/>
  <c r="S39"/>
  <c r="R39"/>
  <c r="Q39"/>
  <c r="P39"/>
  <c r="O39"/>
  <c r="M39"/>
  <c r="AA38"/>
  <c r="Z38"/>
  <c r="Y38"/>
  <c r="X38"/>
  <c r="W38"/>
  <c r="V38"/>
  <c r="U38"/>
  <c r="T38"/>
  <c r="S38"/>
  <c r="R38"/>
  <c r="Q38"/>
  <c r="P38"/>
  <c r="O38"/>
  <c r="M38"/>
  <c r="AA37"/>
  <c r="Z37"/>
  <c r="Y37"/>
  <c r="X37"/>
  <c r="W37"/>
  <c r="V37"/>
  <c r="U37"/>
  <c r="T37"/>
  <c r="S37"/>
  <c r="R37"/>
  <c r="Q37"/>
  <c r="P37"/>
  <c r="O37"/>
  <c r="M37"/>
  <c r="AA36"/>
  <c r="Z36"/>
  <c r="Y36"/>
  <c r="X36"/>
  <c r="W36"/>
  <c r="V36"/>
  <c r="U36"/>
  <c r="T36"/>
  <c r="S36"/>
  <c r="R36"/>
  <c r="Q36"/>
  <c r="P36"/>
  <c r="O36"/>
  <c r="M36"/>
  <c r="AA35"/>
  <c r="Z35"/>
  <c r="Y35"/>
  <c r="X35"/>
  <c r="W35"/>
  <c r="V35"/>
  <c r="U35"/>
  <c r="T35"/>
  <c r="S35"/>
  <c r="R35"/>
  <c r="Q35"/>
  <c r="P35"/>
  <c r="O35"/>
  <c r="M35"/>
  <c r="AA34"/>
  <c r="Z34"/>
  <c r="Y34"/>
  <c r="X34"/>
  <c r="W34"/>
  <c r="V34"/>
  <c r="U34"/>
  <c r="T34"/>
  <c r="S34"/>
  <c r="R34"/>
  <c r="Q34"/>
  <c r="P34"/>
  <c r="O34"/>
  <c r="M34"/>
  <c r="AA33"/>
  <c r="Z33"/>
  <c r="Y33"/>
  <c r="X33"/>
  <c r="W33"/>
  <c r="V33"/>
  <c r="U33"/>
  <c r="T33"/>
  <c r="S33"/>
  <c r="R33"/>
  <c r="Q33"/>
  <c r="P33"/>
  <c r="O33"/>
  <c r="M33"/>
  <c r="AA32"/>
  <c r="Z32"/>
  <c r="Y32"/>
  <c r="X32"/>
  <c r="W32"/>
  <c r="V32"/>
  <c r="U32"/>
  <c r="T32"/>
  <c r="S32"/>
  <c r="R32"/>
  <c r="Q32"/>
  <c r="P32"/>
  <c r="O32"/>
  <c r="M32"/>
  <c r="AA31"/>
  <c r="Z31"/>
  <c r="Y31"/>
  <c r="X31"/>
  <c r="W31"/>
  <c r="V31"/>
  <c r="U31"/>
  <c r="T31"/>
  <c r="S31"/>
  <c r="R31"/>
  <c r="Q31"/>
  <c r="P31"/>
  <c r="O31"/>
  <c r="M31"/>
  <c r="AA30"/>
  <c r="Z30"/>
  <c r="Y30"/>
  <c r="X30"/>
  <c r="W30"/>
  <c r="V30"/>
  <c r="U30"/>
  <c r="T30"/>
  <c r="S30"/>
  <c r="R30"/>
  <c r="Q30"/>
  <c r="P30"/>
  <c r="O30"/>
  <c r="M30"/>
  <c r="AA29"/>
  <c r="Z29"/>
  <c r="Y29"/>
  <c r="X29"/>
  <c r="W29"/>
  <c r="V29"/>
  <c r="U29"/>
  <c r="T29"/>
  <c r="S29"/>
  <c r="R29"/>
  <c r="Q29"/>
  <c r="P29"/>
  <c r="O29"/>
  <c r="M29"/>
  <c r="AA28"/>
  <c r="Z28"/>
  <c r="Y28"/>
  <c r="X28"/>
  <c r="W28"/>
  <c r="V28"/>
  <c r="U28"/>
  <c r="T28"/>
  <c r="S28"/>
  <c r="R28"/>
  <c r="Q28"/>
  <c r="P28"/>
  <c r="O28"/>
  <c r="M28"/>
  <c r="AA27"/>
  <c r="Z27"/>
  <c r="Y27"/>
  <c r="X27"/>
  <c r="W27"/>
  <c r="V27"/>
  <c r="U27"/>
  <c r="T27"/>
  <c r="S27"/>
  <c r="R27"/>
  <c r="Q27"/>
  <c r="P27"/>
  <c r="O27"/>
  <c r="M27"/>
  <c r="AA26"/>
  <c r="Z26"/>
  <c r="Y26"/>
  <c r="X26"/>
  <c r="W26"/>
  <c r="V26"/>
  <c r="U26"/>
  <c r="T26"/>
  <c r="S26"/>
  <c r="R26"/>
  <c r="Q26"/>
  <c r="P26"/>
  <c r="O26"/>
  <c r="M26"/>
  <c r="AA25"/>
  <c r="Z25"/>
  <c r="Y25"/>
  <c r="X25"/>
  <c r="W25"/>
  <c r="V25"/>
  <c r="U25"/>
  <c r="T25"/>
  <c r="S25"/>
  <c r="R25"/>
  <c r="Q25"/>
  <c r="P25"/>
  <c r="O25"/>
  <c r="M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N235" s="1"/>
  <c r="Z11"/>
  <c r="M235" s="1"/>
  <c r="Y11"/>
  <c r="L235" s="1"/>
  <c r="X11"/>
  <c r="N236" s="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13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N214"/>
  <c r="AA213"/>
  <c r="Z213"/>
  <c r="Y213"/>
  <c r="X213"/>
  <c r="W213"/>
  <c r="V213"/>
  <c r="U213"/>
  <c r="T213"/>
  <c r="S213"/>
  <c r="R213"/>
  <c r="Q213"/>
  <c r="P213"/>
  <c r="O213"/>
  <c r="N213"/>
  <c r="L213"/>
  <c r="AA212"/>
  <c r="Z212"/>
  <c r="Y212"/>
  <c r="X212"/>
  <c r="W212"/>
  <c r="V212"/>
  <c r="U212"/>
  <c r="T212"/>
  <c r="S212"/>
  <c r="R212"/>
  <c r="Q212"/>
  <c r="P212"/>
  <c r="O212"/>
  <c r="N212"/>
  <c r="L212"/>
  <c r="AA211"/>
  <c r="Z211"/>
  <c r="Y211"/>
  <c r="X211"/>
  <c r="W211"/>
  <c r="V211"/>
  <c r="U211"/>
  <c r="T211"/>
  <c r="S211"/>
  <c r="R211"/>
  <c r="Q211"/>
  <c r="P211"/>
  <c r="O211"/>
  <c r="N211"/>
  <c r="L211"/>
  <c r="W210"/>
  <c r="V210"/>
  <c r="U210"/>
  <c r="T210"/>
  <c r="S210"/>
  <c r="R210"/>
  <c r="Q210"/>
  <c r="P210"/>
  <c r="O210"/>
  <c r="N210"/>
  <c r="L210"/>
  <c r="W209"/>
  <c r="V209"/>
  <c r="U209"/>
  <c r="T209"/>
  <c r="S209"/>
  <c r="R209"/>
  <c r="Q209"/>
  <c r="P209"/>
  <c r="O209"/>
  <c r="N209"/>
  <c r="L209"/>
  <c r="W208"/>
  <c r="V208"/>
  <c r="U208"/>
  <c r="T208"/>
  <c r="S208"/>
  <c r="R208"/>
  <c r="Q208"/>
  <c r="P208"/>
  <c r="O208"/>
  <c r="N208"/>
  <c r="L208"/>
  <c r="W207"/>
  <c r="V207"/>
  <c r="U207"/>
  <c r="T207"/>
  <c r="S207"/>
  <c r="R207"/>
  <c r="Q207"/>
  <c r="P207"/>
  <c r="O207"/>
  <c r="N207"/>
  <c r="L207"/>
  <c r="W206"/>
  <c r="V206"/>
  <c r="U206"/>
  <c r="T206"/>
  <c r="S206"/>
  <c r="R206"/>
  <c r="Q206"/>
  <c r="P206"/>
  <c r="O206"/>
  <c r="N206"/>
  <c r="L206"/>
  <c r="W205"/>
  <c r="V205"/>
  <c r="U205"/>
  <c r="T205"/>
  <c r="S205"/>
  <c r="R205"/>
  <c r="Q205"/>
  <c r="P205"/>
  <c r="O205"/>
  <c r="N205"/>
  <c r="L205"/>
  <c r="W204"/>
  <c r="V204"/>
  <c r="U204"/>
  <c r="T204"/>
  <c r="S204"/>
  <c r="R204"/>
  <c r="Q204"/>
  <c r="P204"/>
  <c r="O204"/>
  <c r="N204"/>
  <c r="L204"/>
  <c r="W203"/>
  <c r="V203"/>
  <c r="U203"/>
  <c r="T203"/>
  <c r="S203"/>
  <c r="R203"/>
  <c r="Q203"/>
  <c r="P203"/>
  <c r="O203"/>
  <c r="N203"/>
  <c r="L203"/>
  <c r="W202"/>
  <c r="V202"/>
  <c r="U202"/>
  <c r="T202"/>
  <c r="S202"/>
  <c r="R202"/>
  <c r="Q202"/>
  <c r="P202"/>
  <c r="O202"/>
  <c r="N202"/>
  <c r="L202"/>
  <c r="W201"/>
  <c r="V201"/>
  <c r="U201"/>
  <c r="T201"/>
  <c r="S201"/>
  <c r="R201"/>
  <c r="Q201"/>
  <c r="P201"/>
  <c r="O201"/>
  <c r="N201"/>
  <c r="L201"/>
  <c r="W200"/>
  <c r="V200"/>
  <c r="U200"/>
  <c r="T200"/>
  <c r="S200"/>
  <c r="R200"/>
  <c r="Q200"/>
  <c r="P200"/>
  <c r="O200"/>
  <c r="N200"/>
  <c r="L200"/>
  <c r="W199"/>
  <c r="V199"/>
  <c r="U199"/>
  <c r="T199"/>
  <c r="S199"/>
  <c r="R199"/>
  <c r="Q199"/>
  <c r="P199"/>
  <c r="O199"/>
  <c r="N199"/>
  <c r="L199"/>
  <c r="W198"/>
  <c r="V198"/>
  <c r="U198"/>
  <c r="T198"/>
  <c r="S198"/>
  <c r="R198"/>
  <c r="Q198"/>
  <c r="P198"/>
  <c r="O198"/>
  <c r="N198"/>
  <c r="L198"/>
  <c r="W197"/>
  <c r="V197"/>
  <c r="U197"/>
  <c r="T197"/>
  <c r="S197"/>
  <c r="R197"/>
  <c r="Q197"/>
  <c r="P197"/>
  <c r="O197"/>
  <c r="N197"/>
  <c r="L197"/>
  <c r="W196"/>
  <c r="V196"/>
  <c r="U196"/>
  <c r="T196"/>
  <c r="S196"/>
  <c r="R196"/>
  <c r="Q196"/>
  <c r="P196"/>
  <c r="O196"/>
  <c r="N196"/>
  <c r="L196"/>
  <c r="W195"/>
  <c r="V195"/>
  <c r="U195"/>
  <c r="T195"/>
  <c r="S195"/>
  <c r="R195"/>
  <c r="Q195"/>
  <c r="P195"/>
  <c r="O195"/>
  <c r="N195"/>
  <c r="L195"/>
  <c r="W194"/>
  <c r="V194"/>
  <c r="U194"/>
  <c r="T194"/>
  <c r="S194"/>
  <c r="R194"/>
  <c r="Q194"/>
  <c r="P194"/>
  <c r="O194"/>
  <c r="N194"/>
  <c r="L194"/>
  <c r="W193"/>
  <c r="V193"/>
  <c r="U193"/>
  <c r="T193"/>
  <c r="S193"/>
  <c r="R193"/>
  <c r="Q193"/>
  <c r="P193"/>
  <c r="O193"/>
  <c r="N193"/>
  <c r="L193"/>
  <c r="W192"/>
  <c r="V192"/>
  <c r="U192"/>
  <c r="T192"/>
  <c r="S192"/>
  <c r="R192"/>
  <c r="Q192"/>
  <c r="P192"/>
  <c r="O192"/>
  <c r="N192"/>
  <c r="L192"/>
  <c r="W191"/>
  <c r="V191"/>
  <c r="U191"/>
  <c r="T191"/>
  <c r="S191"/>
  <c r="R191"/>
  <c r="Q191"/>
  <c r="P191"/>
  <c r="O191"/>
  <c r="N191"/>
  <c r="L191"/>
  <c r="W190"/>
  <c r="V190"/>
  <c r="U190"/>
  <c r="T190"/>
  <c r="S190"/>
  <c r="R190"/>
  <c r="Q190"/>
  <c r="P190"/>
  <c r="O190"/>
  <c r="N190"/>
  <c r="L190"/>
  <c r="W189"/>
  <c r="V189"/>
  <c r="U189"/>
  <c r="T189"/>
  <c r="S189"/>
  <c r="R189"/>
  <c r="Q189"/>
  <c r="P189"/>
  <c r="O189"/>
  <c r="N189"/>
  <c r="L189"/>
  <c r="W188"/>
  <c r="V188"/>
  <c r="U188"/>
  <c r="T188"/>
  <c r="S188"/>
  <c r="R188"/>
  <c r="Q188"/>
  <c r="P188"/>
  <c r="O188"/>
  <c r="N188"/>
  <c r="L188"/>
  <c r="W187"/>
  <c r="V187"/>
  <c r="U187"/>
  <c r="T187"/>
  <c r="S187"/>
  <c r="R187"/>
  <c r="Q187"/>
  <c r="P187"/>
  <c r="O187"/>
  <c r="N187"/>
  <c r="L187"/>
  <c r="W186"/>
  <c r="V186"/>
  <c r="U186"/>
  <c r="T186"/>
  <c r="S186"/>
  <c r="R186"/>
  <c r="Q186"/>
  <c r="P186"/>
  <c r="O186"/>
  <c r="N186"/>
  <c r="L186"/>
  <c r="W185"/>
  <c r="V185"/>
  <c r="U185"/>
  <c r="T185"/>
  <c r="S185"/>
  <c r="R185"/>
  <c r="Q185"/>
  <c r="P185"/>
  <c r="O185"/>
  <c r="N185"/>
  <c r="L185"/>
  <c r="W184"/>
  <c r="V184"/>
  <c r="U184"/>
  <c r="T184"/>
  <c r="S184"/>
  <c r="R184"/>
  <c r="Q184"/>
  <c r="P184"/>
  <c r="O184"/>
  <c r="N184"/>
  <c r="L184"/>
  <c r="W183"/>
  <c r="V183"/>
  <c r="U183"/>
  <c r="T183"/>
  <c r="S183"/>
  <c r="R183"/>
  <c r="Q183"/>
  <c r="P183"/>
  <c r="O183"/>
  <c r="N183"/>
  <c r="L183"/>
  <c r="W182"/>
  <c r="V182"/>
  <c r="U182"/>
  <c r="T182"/>
  <c r="S182"/>
  <c r="R182"/>
  <c r="Q182"/>
  <c r="P182"/>
  <c r="O182"/>
  <c r="N182"/>
  <c r="L182"/>
  <c r="W181"/>
  <c r="V181"/>
  <c r="U181"/>
  <c r="T181"/>
  <c r="S181"/>
  <c r="R181"/>
  <c r="Q181"/>
  <c r="P181"/>
  <c r="O181"/>
  <c r="N181"/>
  <c r="L181"/>
  <c r="W180"/>
  <c r="V180"/>
  <c r="U180"/>
  <c r="T180"/>
  <c r="S180"/>
  <c r="R180"/>
  <c r="Q180"/>
  <c r="P180"/>
  <c r="O180"/>
  <c r="N180"/>
  <c r="L180"/>
  <c r="W179"/>
  <c r="V179"/>
  <c r="U179"/>
  <c r="T179"/>
  <c r="S179"/>
  <c r="R179"/>
  <c r="Q179"/>
  <c r="P179"/>
  <c r="O179"/>
  <c r="N179"/>
  <c r="L179"/>
  <c r="W178"/>
  <c r="V178"/>
  <c r="U178"/>
  <c r="T178"/>
  <c r="S178"/>
  <c r="R178"/>
  <c r="Q178"/>
  <c r="P178"/>
  <c r="O178"/>
  <c r="N178"/>
  <c r="L178"/>
  <c r="W177"/>
  <c r="V177"/>
  <c r="U177"/>
  <c r="T177"/>
  <c r="S177"/>
  <c r="R177"/>
  <c r="Q177"/>
  <c r="P177"/>
  <c r="O177"/>
  <c r="N177"/>
  <c r="L177"/>
  <c r="W176"/>
  <c r="V176"/>
  <c r="U176"/>
  <c r="T176"/>
  <c r="S176"/>
  <c r="R176"/>
  <c r="Q176"/>
  <c r="P176"/>
  <c r="O176"/>
  <c r="N176"/>
  <c r="L176"/>
  <c r="W175"/>
  <c r="V175"/>
  <c r="U175"/>
  <c r="T175"/>
  <c r="S175"/>
  <c r="R175"/>
  <c r="Q175"/>
  <c r="P175"/>
  <c r="O175"/>
  <c r="N175"/>
  <c r="L175"/>
  <c r="W174"/>
  <c r="V174"/>
  <c r="U174"/>
  <c r="T174"/>
  <c r="S174"/>
  <c r="R174"/>
  <c r="Q174"/>
  <c r="P174"/>
  <c r="O174"/>
  <c r="N174"/>
  <c r="L174"/>
  <c r="W173"/>
  <c r="V173"/>
  <c r="U173"/>
  <c r="T173"/>
  <c r="S173"/>
  <c r="R173"/>
  <c r="Q173"/>
  <c r="P173"/>
  <c r="O173"/>
  <c r="N173"/>
  <c r="L173"/>
  <c r="W172"/>
  <c r="V172"/>
  <c r="U172"/>
  <c r="T172"/>
  <c r="S172"/>
  <c r="R172"/>
  <c r="Q172"/>
  <c r="P172"/>
  <c r="O172"/>
  <c r="N172"/>
  <c r="L172"/>
  <c r="W171"/>
  <c r="V171"/>
  <c r="U171"/>
  <c r="T171"/>
  <c r="S171"/>
  <c r="R171"/>
  <c r="Q171"/>
  <c r="P171"/>
  <c r="O171"/>
  <c r="N171"/>
  <c r="L171"/>
  <c r="W170"/>
  <c r="V170"/>
  <c r="U170"/>
  <c r="T170"/>
  <c r="S170"/>
  <c r="R170"/>
  <c r="Q170"/>
  <c r="P170"/>
  <c r="O170"/>
  <c r="N170"/>
  <c r="L170"/>
  <c r="W169"/>
  <c r="V169"/>
  <c r="U169"/>
  <c r="T169"/>
  <c r="S169"/>
  <c r="R169"/>
  <c r="Q169"/>
  <c r="P169"/>
  <c r="O169"/>
  <c r="N169"/>
  <c r="L169"/>
  <c r="W168"/>
  <c r="V168"/>
  <c r="U168"/>
  <c r="T168"/>
  <c r="S168"/>
  <c r="R168"/>
  <c r="Q168"/>
  <c r="P168"/>
  <c r="O168"/>
  <c r="N168"/>
  <c r="L168"/>
  <c r="W167"/>
  <c r="V167"/>
  <c r="U167"/>
  <c r="T167"/>
  <c r="S167"/>
  <c r="R167"/>
  <c r="Q167"/>
  <c r="P167"/>
  <c r="O167"/>
  <c r="N167"/>
  <c r="L167"/>
  <c r="W166"/>
  <c r="V166"/>
  <c r="U166"/>
  <c r="T166"/>
  <c r="S166"/>
  <c r="R166"/>
  <c r="Q166"/>
  <c r="P166"/>
  <c r="O166"/>
  <c r="N166"/>
  <c r="L166"/>
  <c r="W165"/>
  <c r="V165"/>
  <c r="U165"/>
  <c r="T165"/>
  <c r="S165"/>
  <c r="R165"/>
  <c r="Q165"/>
  <c r="P165"/>
  <c r="O165"/>
  <c r="N165"/>
  <c r="L165"/>
  <c r="W164"/>
  <c r="V164"/>
  <c r="U164"/>
  <c r="T164"/>
  <c r="S164"/>
  <c r="R164"/>
  <c r="Q164"/>
  <c r="P164"/>
  <c r="O164"/>
  <c r="N164"/>
  <c r="L164"/>
  <c r="W163"/>
  <c r="V163"/>
  <c r="U163"/>
  <c r="T163"/>
  <c r="S163"/>
  <c r="R163"/>
  <c r="Q163"/>
  <c r="P163"/>
  <c r="O163"/>
  <c r="N163"/>
  <c r="L163"/>
  <c r="W162"/>
  <c r="V162"/>
  <c r="U162"/>
  <c r="T162"/>
  <c r="S162"/>
  <c r="R162"/>
  <c r="Q162"/>
  <c r="P162"/>
  <c r="O162"/>
  <c r="N162"/>
  <c r="L162"/>
  <c r="W161"/>
  <c r="V161"/>
  <c r="U161"/>
  <c r="T161"/>
  <c r="S161"/>
  <c r="R161"/>
  <c r="Q161"/>
  <c r="P161"/>
  <c r="O161"/>
  <c r="N161"/>
  <c r="L161"/>
  <c r="W160"/>
  <c r="V160"/>
  <c r="U160"/>
  <c r="T160"/>
  <c r="S160"/>
  <c r="R160"/>
  <c r="Q160"/>
  <c r="P160"/>
  <c r="O160"/>
  <c r="N160"/>
  <c r="L160"/>
  <c r="W159"/>
  <c r="V159"/>
  <c r="U159"/>
  <c r="T159"/>
  <c r="S159"/>
  <c r="R159"/>
  <c r="Q159"/>
  <c r="P159"/>
  <c r="O159"/>
  <c r="N159"/>
  <c r="L159"/>
  <c r="W158"/>
  <c r="V158"/>
  <c r="U158"/>
  <c r="T158"/>
  <c r="S158"/>
  <c r="R158"/>
  <c r="Q158"/>
  <c r="P158"/>
  <c r="O158"/>
  <c r="N158"/>
  <c r="L158"/>
  <c r="W157"/>
  <c r="V157"/>
  <c r="U157"/>
  <c r="T157"/>
  <c r="S157"/>
  <c r="R157"/>
  <c r="Q157"/>
  <c r="P157"/>
  <c r="O157"/>
  <c r="N157"/>
  <c r="L157"/>
  <c r="W156"/>
  <c r="V156"/>
  <c r="U156"/>
  <c r="T156"/>
  <c r="S156"/>
  <c r="R156"/>
  <c r="Q156"/>
  <c r="P156"/>
  <c r="O156"/>
  <c r="N156"/>
  <c r="L156"/>
  <c r="W155"/>
  <c r="V155"/>
  <c r="U155"/>
  <c r="T155"/>
  <c r="S155"/>
  <c r="R155"/>
  <c r="Q155"/>
  <c r="P155"/>
  <c r="O155"/>
  <c r="N155"/>
  <c r="L155"/>
  <c r="W154"/>
  <c r="V154"/>
  <c r="U154"/>
  <c r="T154"/>
  <c r="S154"/>
  <c r="R154"/>
  <c r="Q154"/>
  <c r="P154"/>
  <c r="O154"/>
  <c r="N154"/>
  <c r="L154"/>
  <c r="W153"/>
  <c r="V153"/>
  <c r="U153"/>
  <c r="T153"/>
  <c r="S153"/>
  <c r="R153"/>
  <c r="Q153"/>
  <c r="P153"/>
  <c r="O153"/>
  <c r="N153"/>
  <c r="L153"/>
  <c r="W152"/>
  <c r="V152"/>
  <c r="U152"/>
  <c r="T152"/>
  <c r="S152"/>
  <c r="R152"/>
  <c r="Q152"/>
  <c r="P152"/>
  <c r="O152"/>
  <c r="N152"/>
  <c r="L152"/>
  <c r="W151"/>
  <c r="V151"/>
  <c r="U151"/>
  <c r="T151"/>
  <c r="S151"/>
  <c r="R151"/>
  <c r="Q151"/>
  <c r="P151"/>
  <c r="O151"/>
  <c r="N151"/>
  <c r="L151"/>
  <c r="W150"/>
  <c r="V150"/>
  <c r="U150"/>
  <c r="T150"/>
  <c r="S150"/>
  <c r="R150"/>
  <c r="Q150"/>
  <c r="P150"/>
  <c r="O150"/>
  <c r="N150"/>
  <c r="L150"/>
  <c r="W149"/>
  <c r="V149"/>
  <c r="U149"/>
  <c r="T149"/>
  <c r="S149"/>
  <c r="R149"/>
  <c r="Q149"/>
  <c r="P149"/>
  <c r="O149"/>
  <c r="N149"/>
  <c r="L149"/>
  <c r="W148"/>
  <c r="V148"/>
  <c r="U148"/>
  <c r="T148"/>
  <c r="S148"/>
  <c r="R148"/>
  <c r="Q148"/>
  <c r="P148"/>
  <c r="O148"/>
  <c r="N148"/>
  <c r="L148"/>
  <c r="W147"/>
  <c r="V147"/>
  <c r="U147"/>
  <c r="T147"/>
  <c r="S147"/>
  <c r="R147"/>
  <c r="Q147"/>
  <c r="P147"/>
  <c r="O147"/>
  <c r="N147"/>
  <c r="L147"/>
  <c r="W146"/>
  <c r="V146"/>
  <c r="U146"/>
  <c r="T146"/>
  <c r="S146"/>
  <c r="R146"/>
  <c r="Q146"/>
  <c r="P146"/>
  <c r="O146"/>
  <c r="N146"/>
  <c r="L146"/>
  <c r="W145"/>
  <c r="V145"/>
  <c r="U145"/>
  <c r="T145"/>
  <c r="S145"/>
  <c r="R145"/>
  <c r="Q145"/>
  <c r="P145"/>
  <c r="O145"/>
  <c r="N145"/>
  <c r="L145"/>
  <c r="W144"/>
  <c r="V144"/>
  <c r="U144"/>
  <c r="T144"/>
  <c r="S144"/>
  <c r="R144"/>
  <c r="Q144"/>
  <c r="P144"/>
  <c r="O144"/>
  <c r="N144"/>
  <c r="L144"/>
  <c r="W143"/>
  <c r="V143"/>
  <c r="U143"/>
  <c r="T143"/>
  <c r="S143"/>
  <c r="R143"/>
  <c r="Q143"/>
  <c r="P143"/>
  <c r="O143"/>
  <c r="N143"/>
  <c r="L143"/>
  <c r="W142"/>
  <c r="V142"/>
  <c r="U142"/>
  <c r="T142"/>
  <c r="S142"/>
  <c r="R142"/>
  <c r="Q142"/>
  <c r="P142"/>
  <c r="O142"/>
  <c r="N142"/>
  <c r="L142"/>
  <c r="W141"/>
  <c r="V141"/>
  <c r="U141"/>
  <c r="T141"/>
  <c r="S141"/>
  <c r="R141"/>
  <c r="Q141"/>
  <c r="P141"/>
  <c r="O141"/>
  <c r="N141"/>
  <c r="L141"/>
  <c r="W140"/>
  <c r="V140"/>
  <c r="U140"/>
  <c r="T140"/>
  <c r="S140"/>
  <c r="R140"/>
  <c r="Q140"/>
  <c r="P140"/>
  <c r="O140"/>
  <c r="N140"/>
  <c r="L140"/>
  <c r="W139"/>
  <c r="V139"/>
  <c r="U139"/>
  <c r="T139"/>
  <c r="S139"/>
  <c r="R139"/>
  <c r="Q139"/>
  <c r="P139"/>
  <c r="O139"/>
  <c r="N139"/>
  <c r="L139"/>
  <c r="W138"/>
  <c r="V138"/>
  <c r="U138"/>
  <c r="T138"/>
  <c r="S138"/>
  <c r="R138"/>
  <c r="Q138"/>
  <c r="P138"/>
  <c r="O138"/>
  <c r="N138"/>
  <c r="L138"/>
  <c r="W137"/>
  <c r="V137"/>
  <c r="U137"/>
  <c r="T137"/>
  <c r="S137"/>
  <c r="R137"/>
  <c r="Q137"/>
  <c r="P137"/>
  <c r="O137"/>
  <c r="N137"/>
  <c r="L137"/>
  <c r="W136"/>
  <c r="V136"/>
  <c r="U136"/>
  <c r="T136"/>
  <c r="S136"/>
  <c r="R136"/>
  <c r="Q136"/>
  <c r="P136"/>
  <c r="O136"/>
  <c r="N136"/>
  <c r="L136"/>
  <c r="W135"/>
  <c r="V135"/>
  <c r="U135"/>
  <c r="T135"/>
  <c r="S135"/>
  <c r="R135"/>
  <c r="Q135"/>
  <c r="P135"/>
  <c r="O135"/>
  <c r="N135"/>
  <c r="L135"/>
  <c r="W134"/>
  <c r="V134"/>
  <c r="U134"/>
  <c r="T134"/>
  <c r="S134"/>
  <c r="R134"/>
  <c r="Q134"/>
  <c r="P134"/>
  <c r="O134"/>
  <c r="N134"/>
  <c r="L134"/>
  <c r="W133"/>
  <c r="V133"/>
  <c r="U133"/>
  <c r="T133"/>
  <c r="S133"/>
  <c r="R133"/>
  <c r="Q133"/>
  <c r="P133"/>
  <c r="O133"/>
  <c r="N133"/>
  <c r="L133"/>
  <c r="W132"/>
  <c r="V132"/>
  <c r="U132"/>
  <c r="T132"/>
  <c r="S132"/>
  <c r="R132"/>
  <c r="Q132"/>
  <c r="P132"/>
  <c r="O132"/>
  <c r="N132"/>
  <c r="L132"/>
  <c r="W131"/>
  <c r="V131"/>
  <c r="U131"/>
  <c r="T131"/>
  <c r="S131"/>
  <c r="R131"/>
  <c r="Q131"/>
  <c r="P131"/>
  <c r="O131"/>
  <c r="N131"/>
  <c r="L131"/>
  <c r="W130"/>
  <c r="V130"/>
  <c r="U130"/>
  <c r="T130"/>
  <c r="S130"/>
  <c r="R130"/>
  <c r="Q130"/>
  <c r="P130"/>
  <c r="O130"/>
  <c r="N130"/>
  <c r="L130"/>
  <c r="W129"/>
  <c r="V129"/>
  <c r="U129"/>
  <c r="T129"/>
  <c r="S129"/>
  <c r="R129"/>
  <c r="Q129"/>
  <c r="P129"/>
  <c r="O129"/>
  <c r="N129"/>
  <c r="L129"/>
  <c r="W128"/>
  <c r="V128"/>
  <c r="U128"/>
  <c r="T128"/>
  <c r="S128"/>
  <c r="R128"/>
  <c r="Q128"/>
  <c r="P128"/>
  <c r="O128"/>
  <c r="N128"/>
  <c r="L128"/>
  <c r="W127"/>
  <c r="V127"/>
  <c r="U127"/>
  <c r="T127"/>
  <c r="S127"/>
  <c r="R127"/>
  <c r="Q127"/>
  <c r="P127"/>
  <c r="O127"/>
  <c r="N127"/>
  <c r="L127"/>
  <c r="W126"/>
  <c r="V126"/>
  <c r="U126"/>
  <c r="T126"/>
  <c r="S126"/>
  <c r="R126"/>
  <c r="Q126"/>
  <c r="P126"/>
  <c r="O126"/>
  <c r="N126"/>
  <c r="L126"/>
  <c r="W125"/>
  <c r="V125"/>
  <c r="U125"/>
  <c r="T125"/>
  <c r="S125"/>
  <c r="R125"/>
  <c r="Q125"/>
  <c r="P125"/>
  <c r="O125"/>
  <c r="N125"/>
  <c r="L125"/>
  <c r="W124"/>
  <c r="V124"/>
  <c r="U124"/>
  <c r="T124"/>
  <c r="S124"/>
  <c r="R124"/>
  <c r="Q124"/>
  <c r="P124"/>
  <c r="O124"/>
  <c r="N124"/>
  <c r="L124"/>
  <c r="W123"/>
  <c r="V123"/>
  <c r="U123"/>
  <c r="T123"/>
  <c r="S123"/>
  <c r="R123"/>
  <c r="Q123"/>
  <c r="P123"/>
  <c r="O123"/>
  <c r="N123"/>
  <c r="L123"/>
  <c r="W122"/>
  <c r="V122"/>
  <c r="U122"/>
  <c r="T122"/>
  <c r="S122"/>
  <c r="R122"/>
  <c r="Q122"/>
  <c r="P122"/>
  <c r="O122"/>
  <c r="N122"/>
  <c r="L122"/>
  <c r="W121"/>
  <c r="V121"/>
  <c r="U121"/>
  <c r="T121"/>
  <c r="S121"/>
  <c r="R121"/>
  <c r="Q121"/>
  <c r="P121"/>
  <c r="O121"/>
  <c r="N121"/>
  <c r="L121"/>
  <c r="W120"/>
  <c r="V120"/>
  <c r="U120"/>
  <c r="T120"/>
  <c r="S120"/>
  <c r="R120"/>
  <c r="Q120"/>
  <c r="P120"/>
  <c r="O120"/>
  <c r="N120"/>
  <c r="L120"/>
  <c r="W119"/>
  <c r="V119"/>
  <c r="U119"/>
  <c r="T119"/>
  <c r="S119"/>
  <c r="R119"/>
  <c r="Q119"/>
  <c r="P119"/>
  <c r="O119"/>
  <c r="N119"/>
  <c r="L119"/>
  <c r="W118"/>
  <c r="V118"/>
  <c r="U118"/>
  <c r="T118"/>
  <c r="S118"/>
  <c r="R118"/>
  <c r="Q118"/>
  <c r="P118"/>
  <c r="O118"/>
  <c r="N118"/>
  <c r="L118"/>
  <c r="W117"/>
  <c r="V117"/>
  <c r="U117"/>
  <c r="T117"/>
  <c r="S117"/>
  <c r="R117"/>
  <c r="Q117"/>
  <c r="P117"/>
  <c r="O117"/>
  <c r="N117"/>
  <c r="L117"/>
  <c r="W116"/>
  <c r="V116"/>
  <c r="U116"/>
  <c r="T116"/>
  <c r="S116"/>
  <c r="R116"/>
  <c r="Q116"/>
  <c r="P116"/>
  <c r="O116"/>
  <c r="N116"/>
  <c r="L116"/>
  <c r="W115"/>
  <c r="V115"/>
  <c r="U115"/>
  <c r="T115"/>
  <c r="S115"/>
  <c r="R115"/>
  <c r="Q115"/>
  <c r="P115"/>
  <c r="O115"/>
  <c r="N115"/>
  <c r="L115"/>
  <c r="W114"/>
  <c r="V114"/>
  <c r="U114"/>
  <c r="T114"/>
  <c r="S114"/>
  <c r="R114"/>
  <c r="Q114"/>
  <c r="P114"/>
  <c r="O114"/>
  <c r="N114"/>
  <c r="L114"/>
  <c r="W113"/>
  <c r="V113"/>
  <c r="U113"/>
  <c r="T113"/>
  <c r="S113"/>
  <c r="R113"/>
  <c r="Q113"/>
  <c r="P113"/>
  <c r="O113"/>
  <c r="N113"/>
  <c r="L113"/>
  <c r="W112"/>
  <c r="V112"/>
  <c r="U112"/>
  <c r="T112"/>
  <c r="S112"/>
  <c r="R112"/>
  <c r="Q112"/>
  <c r="P112"/>
  <c r="O112"/>
  <c r="N112"/>
  <c r="L112"/>
  <c r="AA111"/>
  <c r="Z111"/>
  <c r="Y111"/>
  <c r="X111"/>
  <c r="W111"/>
  <c r="V111"/>
  <c r="U111"/>
  <c r="T111"/>
  <c r="S111"/>
  <c r="R111"/>
  <c r="Q111"/>
  <c r="P111"/>
  <c r="O111"/>
  <c r="N111"/>
  <c r="L111"/>
  <c r="AA110"/>
  <c r="Z110"/>
  <c r="Y110"/>
  <c r="X110"/>
  <c r="W110"/>
  <c r="V110"/>
  <c r="U110"/>
  <c r="T110"/>
  <c r="S110"/>
  <c r="R110"/>
  <c r="Q110"/>
  <c r="P110"/>
  <c r="O110"/>
  <c r="N110"/>
  <c r="L110"/>
  <c r="AA109"/>
  <c r="Z109"/>
  <c r="Y109"/>
  <c r="X109"/>
  <c r="W109"/>
  <c r="V109"/>
  <c r="U109"/>
  <c r="T109"/>
  <c r="S109"/>
  <c r="R109"/>
  <c r="Q109"/>
  <c r="P109"/>
  <c r="O109"/>
  <c r="N109"/>
  <c r="L109"/>
  <c r="AA108"/>
  <c r="Z108"/>
  <c r="Y108"/>
  <c r="X108"/>
  <c r="W108"/>
  <c r="V108"/>
  <c r="U108"/>
  <c r="T108"/>
  <c r="S108"/>
  <c r="R108"/>
  <c r="Q108"/>
  <c r="P108"/>
  <c r="O108"/>
  <c r="N108"/>
  <c r="L108"/>
  <c r="AA107"/>
  <c r="Z107"/>
  <c r="Y107"/>
  <c r="X107"/>
  <c r="W107"/>
  <c r="V107"/>
  <c r="U107"/>
  <c r="T107"/>
  <c r="S107"/>
  <c r="R107"/>
  <c r="Q107"/>
  <c r="P107"/>
  <c r="O107"/>
  <c r="N107"/>
  <c r="L107"/>
  <c r="AA106"/>
  <c r="Z106"/>
  <c r="Y106"/>
  <c r="X106"/>
  <c r="W106"/>
  <c r="V106"/>
  <c r="U106"/>
  <c r="T106"/>
  <c r="S106"/>
  <c r="R106"/>
  <c r="Q106"/>
  <c r="P106"/>
  <c r="O106"/>
  <c r="N106"/>
  <c r="L106"/>
  <c r="AA105"/>
  <c r="Z105"/>
  <c r="Y105"/>
  <c r="X105"/>
  <c r="W105"/>
  <c r="V105"/>
  <c r="U105"/>
  <c r="T105"/>
  <c r="S105"/>
  <c r="R105"/>
  <c r="Q105"/>
  <c r="P105"/>
  <c r="O105"/>
  <c r="N105"/>
  <c r="L105"/>
  <c r="AA104"/>
  <c r="Z104"/>
  <c r="Y104"/>
  <c r="X104"/>
  <c r="W104"/>
  <c r="V104"/>
  <c r="U104"/>
  <c r="T104"/>
  <c r="S104"/>
  <c r="R104"/>
  <c r="Q104"/>
  <c r="P104"/>
  <c r="O104"/>
  <c r="N104"/>
  <c r="L104"/>
  <c r="AA103"/>
  <c r="Z103"/>
  <c r="Y103"/>
  <c r="X103"/>
  <c r="W103"/>
  <c r="V103"/>
  <c r="U103"/>
  <c r="T103"/>
  <c r="S103"/>
  <c r="R103"/>
  <c r="Q103"/>
  <c r="P103"/>
  <c r="O103"/>
  <c r="N103"/>
  <c r="L103"/>
  <c r="AA102"/>
  <c r="Z102"/>
  <c r="Y102"/>
  <c r="X102"/>
  <c r="W102"/>
  <c r="V102"/>
  <c r="U102"/>
  <c r="T102"/>
  <c r="S102"/>
  <c r="R102"/>
  <c r="Q102"/>
  <c r="P102"/>
  <c r="O102"/>
  <c r="N102"/>
  <c r="L102"/>
  <c r="AA101"/>
  <c r="Z101"/>
  <c r="Y101"/>
  <c r="X101"/>
  <c r="W101"/>
  <c r="V101"/>
  <c r="U101"/>
  <c r="T101"/>
  <c r="S101"/>
  <c r="R101"/>
  <c r="Q101"/>
  <c r="P101"/>
  <c r="O101"/>
  <c r="N101"/>
  <c r="L101"/>
  <c r="AA100"/>
  <c r="Z100"/>
  <c r="Y100"/>
  <c r="X100"/>
  <c r="W100"/>
  <c r="V100"/>
  <c r="U100"/>
  <c r="T100"/>
  <c r="S100"/>
  <c r="R100"/>
  <c r="Q100"/>
  <c r="P100"/>
  <c r="O100"/>
  <c r="N100"/>
  <c r="L100"/>
  <c r="AA99"/>
  <c r="Z99"/>
  <c r="Y99"/>
  <c r="X99"/>
  <c r="W99"/>
  <c r="V99"/>
  <c r="U99"/>
  <c r="T99"/>
  <c r="S99"/>
  <c r="R99"/>
  <c r="Q99"/>
  <c r="P99"/>
  <c r="O99"/>
  <c r="N99"/>
  <c r="L99"/>
  <c r="AA98"/>
  <c r="Z98"/>
  <c r="Y98"/>
  <c r="X98"/>
  <c r="W98"/>
  <c r="V98"/>
  <c r="U98"/>
  <c r="T98"/>
  <c r="S98"/>
  <c r="R98"/>
  <c r="Q98"/>
  <c r="P98"/>
  <c r="O98"/>
  <c r="N98"/>
  <c r="L98"/>
  <c r="AA97"/>
  <c r="Z97"/>
  <c r="Y97"/>
  <c r="X97"/>
  <c r="W97"/>
  <c r="V97"/>
  <c r="U97"/>
  <c r="T97"/>
  <c r="S97"/>
  <c r="R97"/>
  <c r="Q97"/>
  <c r="P97"/>
  <c r="O97"/>
  <c r="N97"/>
  <c r="L97"/>
  <c r="AA96"/>
  <c r="Z96"/>
  <c r="Y96"/>
  <c r="X96"/>
  <c r="W96"/>
  <c r="V96"/>
  <c r="U96"/>
  <c r="T96"/>
  <c r="S96"/>
  <c r="R96"/>
  <c r="Q96"/>
  <c r="P96"/>
  <c r="O96"/>
  <c r="N96"/>
  <c r="L96"/>
  <c r="AA95"/>
  <c r="Z95"/>
  <c r="Y95"/>
  <c r="X95"/>
  <c r="W95"/>
  <c r="V95"/>
  <c r="U95"/>
  <c r="T95"/>
  <c r="S95"/>
  <c r="R95"/>
  <c r="Q95"/>
  <c r="P95"/>
  <c r="O95"/>
  <c r="N95"/>
  <c r="L95"/>
  <c r="AA94"/>
  <c r="Z94"/>
  <c r="Y94"/>
  <c r="X94"/>
  <c r="W94"/>
  <c r="V94"/>
  <c r="U94"/>
  <c r="T94"/>
  <c r="S94"/>
  <c r="R94"/>
  <c r="Q94"/>
  <c r="P94"/>
  <c r="O94"/>
  <c r="N94"/>
  <c r="L94"/>
  <c r="AA93"/>
  <c r="Z93"/>
  <c r="Y93"/>
  <c r="X93"/>
  <c r="W93"/>
  <c r="V93"/>
  <c r="U93"/>
  <c r="T93"/>
  <c r="S93"/>
  <c r="R93"/>
  <c r="Q93"/>
  <c r="P93"/>
  <c r="O93"/>
  <c r="N93"/>
  <c r="L93"/>
  <c r="AA92"/>
  <c r="Z92"/>
  <c r="Y92"/>
  <c r="X92"/>
  <c r="W92"/>
  <c r="V92"/>
  <c r="U92"/>
  <c r="T92"/>
  <c r="S92"/>
  <c r="R92"/>
  <c r="Q92"/>
  <c r="P92"/>
  <c r="O92"/>
  <c r="N92"/>
  <c r="L92"/>
  <c r="AA91"/>
  <c r="Z91"/>
  <c r="Y91"/>
  <c r="X91"/>
  <c r="W91"/>
  <c r="V91"/>
  <c r="U91"/>
  <c r="T91"/>
  <c r="S91"/>
  <c r="R91"/>
  <c r="Q91"/>
  <c r="P91"/>
  <c r="O91"/>
  <c r="N91"/>
  <c r="L91"/>
  <c r="AA90"/>
  <c r="Z90"/>
  <c r="Y90"/>
  <c r="X90"/>
  <c r="W90"/>
  <c r="V90"/>
  <c r="U90"/>
  <c r="T90"/>
  <c r="S90"/>
  <c r="R90"/>
  <c r="Q90"/>
  <c r="P90"/>
  <c r="O90"/>
  <c r="N90"/>
  <c r="L90"/>
  <c r="AA89"/>
  <c r="Z89"/>
  <c r="Y89"/>
  <c r="X89"/>
  <c r="W89"/>
  <c r="V89"/>
  <c r="U89"/>
  <c r="T89"/>
  <c r="S89"/>
  <c r="R89"/>
  <c r="Q89"/>
  <c r="P89"/>
  <c r="O89"/>
  <c r="N89"/>
  <c r="L89"/>
  <c r="AA88"/>
  <c r="Z88"/>
  <c r="Y88"/>
  <c r="X88"/>
  <c r="W88"/>
  <c r="V88"/>
  <c r="U88"/>
  <c r="T88"/>
  <c r="S88"/>
  <c r="R88"/>
  <c r="Q88"/>
  <c r="P88"/>
  <c r="O88"/>
  <c r="N88"/>
  <c r="L88"/>
  <c r="AA87"/>
  <c r="Z87"/>
  <c r="Y87"/>
  <c r="X87"/>
  <c r="W87"/>
  <c r="V87"/>
  <c r="U87"/>
  <c r="T87"/>
  <c r="S87"/>
  <c r="R87"/>
  <c r="Q87"/>
  <c r="P87"/>
  <c r="O87"/>
  <c r="N87"/>
  <c r="L87"/>
  <c r="AA86"/>
  <c r="Z86"/>
  <c r="Y86"/>
  <c r="X86"/>
  <c r="W86"/>
  <c r="V86"/>
  <c r="U86"/>
  <c r="T86"/>
  <c r="S86"/>
  <c r="R86"/>
  <c r="Q86"/>
  <c r="P86"/>
  <c r="O86"/>
  <c r="N86"/>
  <c r="L86"/>
  <c r="AA85"/>
  <c r="Z85"/>
  <c r="Y85"/>
  <c r="X85"/>
  <c r="W85"/>
  <c r="V85"/>
  <c r="U85"/>
  <c r="T85"/>
  <c r="S85"/>
  <c r="R85"/>
  <c r="Q85"/>
  <c r="P85"/>
  <c r="O85"/>
  <c r="N85"/>
  <c r="L85"/>
  <c r="AA84"/>
  <c r="Z84"/>
  <c r="Y84"/>
  <c r="X84"/>
  <c r="W84"/>
  <c r="V84"/>
  <c r="U84"/>
  <c r="T84"/>
  <c r="S84"/>
  <c r="R84"/>
  <c r="Q84"/>
  <c r="P84"/>
  <c r="O84"/>
  <c r="N84"/>
  <c r="L84"/>
  <c r="AA83"/>
  <c r="Z83"/>
  <c r="Y83"/>
  <c r="X83"/>
  <c r="W83"/>
  <c r="V83"/>
  <c r="U83"/>
  <c r="T83"/>
  <c r="S83"/>
  <c r="R83"/>
  <c r="Q83"/>
  <c r="P83"/>
  <c r="O83"/>
  <c r="N83"/>
  <c r="L83"/>
  <c r="AA82"/>
  <c r="Z82"/>
  <c r="Y82"/>
  <c r="X82"/>
  <c r="W82"/>
  <c r="V82"/>
  <c r="U82"/>
  <c r="T82"/>
  <c r="S82"/>
  <c r="R82"/>
  <c r="Q82"/>
  <c r="P82"/>
  <c r="O82"/>
  <c r="N82"/>
  <c r="L82"/>
  <c r="AA81"/>
  <c r="Z81"/>
  <c r="Y81"/>
  <c r="X81"/>
  <c r="W81"/>
  <c r="V81"/>
  <c r="U81"/>
  <c r="T81"/>
  <c r="S81"/>
  <c r="R81"/>
  <c r="Q81"/>
  <c r="P81"/>
  <c r="O81"/>
  <c r="N81"/>
  <c r="L81"/>
  <c r="AA80"/>
  <c r="Z80"/>
  <c r="Y80"/>
  <c r="X80"/>
  <c r="W80"/>
  <c r="V80"/>
  <c r="U80"/>
  <c r="T80"/>
  <c r="S80"/>
  <c r="R80"/>
  <c r="Q80"/>
  <c r="P80"/>
  <c r="O80"/>
  <c r="N80"/>
  <c r="L80"/>
  <c r="AA79"/>
  <c r="Z79"/>
  <c r="Y79"/>
  <c r="X79"/>
  <c r="W79"/>
  <c r="V79"/>
  <c r="U79"/>
  <c r="T79"/>
  <c r="S79"/>
  <c r="R79"/>
  <c r="Q79"/>
  <c r="P79"/>
  <c r="O79"/>
  <c r="N79"/>
  <c r="L79"/>
  <c r="AA78"/>
  <c r="Z78"/>
  <c r="Y78"/>
  <c r="X78"/>
  <c r="W78"/>
  <c r="V78"/>
  <c r="U78"/>
  <c r="T78"/>
  <c r="S78"/>
  <c r="R78"/>
  <c r="Q78"/>
  <c r="P78"/>
  <c r="O78"/>
  <c r="N78"/>
  <c r="L78"/>
  <c r="AA77"/>
  <c r="Z77"/>
  <c r="Y77"/>
  <c r="X77"/>
  <c r="W77"/>
  <c r="V77"/>
  <c r="U77"/>
  <c r="T77"/>
  <c r="S77"/>
  <c r="R77"/>
  <c r="Q77"/>
  <c r="P77"/>
  <c r="O77"/>
  <c r="N77"/>
  <c r="L77"/>
  <c r="AA76"/>
  <c r="Z76"/>
  <c r="Y76"/>
  <c r="X76"/>
  <c r="W76"/>
  <c r="V76"/>
  <c r="U76"/>
  <c r="T76"/>
  <c r="S76"/>
  <c r="R76"/>
  <c r="Q76"/>
  <c r="P76"/>
  <c r="O76"/>
  <c r="N76"/>
  <c r="L76"/>
  <c r="AA75"/>
  <c r="Z75"/>
  <c r="Y75"/>
  <c r="X75"/>
  <c r="W75"/>
  <c r="V75"/>
  <c r="U75"/>
  <c r="T75"/>
  <c r="S75"/>
  <c r="R75"/>
  <c r="Q75"/>
  <c r="P75"/>
  <c r="O75"/>
  <c r="N75"/>
  <c r="L75"/>
  <c r="AA74"/>
  <c r="Z74"/>
  <c r="Y74"/>
  <c r="X74"/>
  <c r="W74"/>
  <c r="V74"/>
  <c r="U74"/>
  <c r="T74"/>
  <c r="S74"/>
  <c r="R74"/>
  <c r="Q74"/>
  <c r="P74"/>
  <c r="O74"/>
  <c r="N74"/>
  <c r="L74"/>
  <c r="AA73"/>
  <c r="Z73"/>
  <c r="Y73"/>
  <c r="X73"/>
  <c r="W73"/>
  <c r="V73"/>
  <c r="U73"/>
  <c r="T73"/>
  <c r="S73"/>
  <c r="R73"/>
  <c r="Q73"/>
  <c r="P73"/>
  <c r="O73"/>
  <c r="N73"/>
  <c r="L73"/>
  <c r="AA72"/>
  <c r="Z72"/>
  <c r="Y72"/>
  <c r="X72"/>
  <c r="W72"/>
  <c r="V72"/>
  <c r="U72"/>
  <c r="T72"/>
  <c r="S72"/>
  <c r="R72"/>
  <c r="Q72"/>
  <c r="P72"/>
  <c r="O72"/>
  <c r="N72"/>
  <c r="L72"/>
  <c r="AA71"/>
  <c r="Z71"/>
  <c r="Y71"/>
  <c r="X71"/>
  <c r="W71"/>
  <c r="V71"/>
  <c r="U71"/>
  <c r="T71"/>
  <c r="S71"/>
  <c r="R71"/>
  <c r="Q71"/>
  <c r="P71"/>
  <c r="O71"/>
  <c r="N71"/>
  <c r="L71"/>
  <c r="AA70"/>
  <c r="Z70"/>
  <c r="Y70"/>
  <c r="X70"/>
  <c r="W70"/>
  <c r="V70"/>
  <c r="U70"/>
  <c r="T70"/>
  <c r="S70"/>
  <c r="R70"/>
  <c r="Q70"/>
  <c r="P70"/>
  <c r="O70"/>
  <c r="N70"/>
  <c r="L70"/>
  <c r="AA69"/>
  <c r="Z69"/>
  <c r="Y69"/>
  <c r="X69"/>
  <c r="W69"/>
  <c r="V69"/>
  <c r="U69"/>
  <c r="T69"/>
  <c r="S69"/>
  <c r="R69"/>
  <c r="Q69"/>
  <c r="P69"/>
  <c r="O69"/>
  <c r="N69"/>
  <c r="L69"/>
  <c r="AA68"/>
  <c r="Z68"/>
  <c r="Y68"/>
  <c r="X68"/>
  <c r="W68"/>
  <c r="V68"/>
  <c r="U68"/>
  <c r="T68"/>
  <c r="S68"/>
  <c r="R68"/>
  <c r="Q68"/>
  <c r="P68"/>
  <c r="O68"/>
  <c r="N68"/>
  <c r="L68"/>
  <c r="AA67"/>
  <c r="Z67"/>
  <c r="Y67"/>
  <c r="X67"/>
  <c r="W67"/>
  <c r="V67"/>
  <c r="U67"/>
  <c r="T67"/>
  <c r="S67"/>
  <c r="R67"/>
  <c r="Q67"/>
  <c r="P67"/>
  <c r="O67"/>
  <c r="N67"/>
  <c r="L67"/>
  <c r="AA66"/>
  <c r="Z66"/>
  <c r="Y66"/>
  <c r="X66"/>
  <c r="W66"/>
  <c r="V66"/>
  <c r="U66"/>
  <c r="T66"/>
  <c r="S66"/>
  <c r="R66"/>
  <c r="Q66"/>
  <c r="P66"/>
  <c r="O66"/>
  <c r="N66"/>
  <c r="L66"/>
  <c r="AA65"/>
  <c r="Z65"/>
  <c r="Y65"/>
  <c r="X65"/>
  <c r="W65"/>
  <c r="V65"/>
  <c r="U65"/>
  <c r="T65"/>
  <c r="S65"/>
  <c r="R65"/>
  <c r="Q65"/>
  <c r="P65"/>
  <c r="O65"/>
  <c r="N65"/>
  <c r="L65"/>
  <c r="AA64"/>
  <c r="Z64"/>
  <c r="Y64"/>
  <c r="X64"/>
  <c r="W64"/>
  <c r="V64"/>
  <c r="U64"/>
  <c r="T64"/>
  <c r="S64"/>
  <c r="R64"/>
  <c r="Q64"/>
  <c r="P64"/>
  <c r="O64"/>
  <c r="N64"/>
  <c r="L64"/>
  <c r="AA63"/>
  <c r="Z63"/>
  <c r="Y63"/>
  <c r="X63"/>
  <c r="W63"/>
  <c r="V63"/>
  <c r="U63"/>
  <c r="T63"/>
  <c r="S63"/>
  <c r="R63"/>
  <c r="Q63"/>
  <c r="P63"/>
  <c r="O63"/>
  <c r="N63"/>
  <c r="L63"/>
  <c r="AA62"/>
  <c r="Z62"/>
  <c r="Y62"/>
  <c r="X62"/>
  <c r="W62"/>
  <c r="V62"/>
  <c r="U62"/>
  <c r="T62"/>
  <c r="S62"/>
  <c r="R62"/>
  <c r="Q62"/>
  <c r="P62"/>
  <c r="O62"/>
  <c r="N62"/>
  <c r="L62"/>
  <c r="AA61"/>
  <c r="Z61"/>
  <c r="Y61"/>
  <c r="X61"/>
  <c r="W61"/>
  <c r="V61"/>
  <c r="U61"/>
  <c r="T61"/>
  <c r="S61"/>
  <c r="R61"/>
  <c r="Q61"/>
  <c r="P61"/>
  <c r="O61"/>
  <c r="N61"/>
  <c r="L61"/>
  <c r="AA60"/>
  <c r="Z60"/>
  <c r="Y60"/>
  <c r="X60"/>
  <c r="W60"/>
  <c r="V60"/>
  <c r="U60"/>
  <c r="T60"/>
  <c r="S60"/>
  <c r="R60"/>
  <c r="Q60"/>
  <c r="P60"/>
  <c r="O60"/>
  <c r="N60"/>
  <c r="L60"/>
  <c r="AA59"/>
  <c r="Z59"/>
  <c r="Y59"/>
  <c r="X59"/>
  <c r="W59"/>
  <c r="V59"/>
  <c r="U59"/>
  <c r="T59"/>
  <c r="S59"/>
  <c r="R59"/>
  <c r="Q59"/>
  <c r="P59"/>
  <c r="O59"/>
  <c r="N59"/>
  <c r="L59"/>
  <c r="AA58"/>
  <c r="Z58"/>
  <c r="Y58"/>
  <c r="X58"/>
  <c r="W58"/>
  <c r="V58"/>
  <c r="U58"/>
  <c r="T58"/>
  <c r="S58"/>
  <c r="R58"/>
  <c r="Q58"/>
  <c r="P58"/>
  <c r="O58"/>
  <c r="N58"/>
  <c r="L58"/>
  <c r="AA57"/>
  <c r="Z57"/>
  <c r="Y57"/>
  <c r="X57"/>
  <c r="W57"/>
  <c r="V57"/>
  <c r="U57"/>
  <c r="T57"/>
  <c r="S57"/>
  <c r="R57"/>
  <c r="Q57"/>
  <c r="P57"/>
  <c r="O57"/>
  <c r="N57"/>
  <c r="L57"/>
  <c r="AA56"/>
  <c r="Z56"/>
  <c r="Y56"/>
  <c r="X56"/>
  <c r="W56"/>
  <c r="V56"/>
  <c r="U56"/>
  <c r="T56"/>
  <c r="S56"/>
  <c r="R56"/>
  <c r="Q56"/>
  <c r="P56"/>
  <c r="O56"/>
  <c r="N56"/>
  <c r="L56"/>
  <c r="AA55"/>
  <c r="Z55"/>
  <c r="Y55"/>
  <c r="X55"/>
  <c r="W55"/>
  <c r="V55"/>
  <c r="U55"/>
  <c r="T55"/>
  <c r="S55"/>
  <c r="R55"/>
  <c r="Q55"/>
  <c r="P55"/>
  <c r="O55"/>
  <c r="N55"/>
  <c r="L55"/>
  <c r="AA54"/>
  <c r="Z54"/>
  <c r="Y54"/>
  <c r="X54"/>
  <c r="W54"/>
  <c r="V54"/>
  <c r="U54"/>
  <c r="T54"/>
  <c r="S54"/>
  <c r="R54"/>
  <c r="Q54"/>
  <c r="P54"/>
  <c r="O54"/>
  <c r="N54"/>
  <c r="L54"/>
  <c r="AA53"/>
  <c r="Z53"/>
  <c r="Y53"/>
  <c r="X53"/>
  <c r="W53"/>
  <c r="V53"/>
  <c r="U53"/>
  <c r="T53"/>
  <c r="S53"/>
  <c r="R53"/>
  <c r="Q53"/>
  <c r="P53"/>
  <c r="O53"/>
  <c r="N53"/>
  <c r="L53"/>
  <c r="AA52"/>
  <c r="Z52"/>
  <c r="Y52"/>
  <c r="X52"/>
  <c r="W52"/>
  <c r="V52"/>
  <c r="U52"/>
  <c r="T52"/>
  <c r="S52"/>
  <c r="R52"/>
  <c r="Q52"/>
  <c r="P52"/>
  <c r="O52"/>
  <c r="N52"/>
  <c r="L52"/>
  <c r="AA51"/>
  <c r="Z51"/>
  <c r="Y51"/>
  <c r="X51"/>
  <c r="W51"/>
  <c r="V51"/>
  <c r="U51"/>
  <c r="T51"/>
  <c r="S51"/>
  <c r="R51"/>
  <c r="Q51"/>
  <c r="P51"/>
  <c r="O51"/>
  <c r="N51"/>
  <c r="L51"/>
  <c r="AA50"/>
  <c r="Z50"/>
  <c r="Y50"/>
  <c r="X50"/>
  <c r="W50"/>
  <c r="V50"/>
  <c r="U50"/>
  <c r="T50"/>
  <c r="S50"/>
  <c r="R50"/>
  <c r="Q50"/>
  <c r="P50"/>
  <c r="O50"/>
  <c r="N50"/>
  <c r="L50"/>
  <c r="AA49"/>
  <c r="Z49"/>
  <c r="Y49"/>
  <c r="X49"/>
  <c r="W49"/>
  <c r="V49"/>
  <c r="U49"/>
  <c r="T49"/>
  <c r="S49"/>
  <c r="R49"/>
  <c r="Q49"/>
  <c r="P49"/>
  <c r="O49"/>
  <c r="N49"/>
  <c r="L49"/>
  <c r="AA48"/>
  <c r="Z48"/>
  <c r="Y48"/>
  <c r="X48"/>
  <c r="W48"/>
  <c r="V48"/>
  <c r="U48"/>
  <c r="T48"/>
  <c r="S48"/>
  <c r="R48"/>
  <c r="Q48"/>
  <c r="P48"/>
  <c r="O48"/>
  <c r="N48"/>
  <c r="L48"/>
  <c r="AA47"/>
  <c r="Z47"/>
  <c r="Y47"/>
  <c r="X47"/>
  <c r="W47"/>
  <c r="V47"/>
  <c r="U47"/>
  <c r="T47"/>
  <c r="S47"/>
  <c r="R47"/>
  <c r="Q47"/>
  <c r="P47"/>
  <c r="O47"/>
  <c r="N47"/>
  <c r="L47"/>
  <c r="AA46"/>
  <c r="Z46"/>
  <c r="Y46"/>
  <c r="X46"/>
  <c r="W46"/>
  <c r="V46"/>
  <c r="U46"/>
  <c r="T46"/>
  <c r="S46"/>
  <c r="R46"/>
  <c r="Q46"/>
  <c r="P46"/>
  <c r="O46"/>
  <c r="N46"/>
  <c r="L46"/>
  <c r="AA45"/>
  <c r="Z45"/>
  <c r="Y45"/>
  <c r="X45"/>
  <c r="W45"/>
  <c r="V45"/>
  <c r="U45"/>
  <c r="T45"/>
  <c r="S45"/>
  <c r="R45"/>
  <c r="Q45"/>
  <c r="P45"/>
  <c r="O45"/>
  <c r="N45"/>
  <c r="L45"/>
  <c r="AA44"/>
  <c r="Z44"/>
  <c r="Y44"/>
  <c r="X44"/>
  <c r="W44"/>
  <c r="V44"/>
  <c r="U44"/>
  <c r="T44"/>
  <c r="S44"/>
  <c r="R44"/>
  <c r="Q44"/>
  <c r="P44"/>
  <c r="O44"/>
  <c r="N44"/>
  <c r="L44"/>
  <c r="AA43"/>
  <c r="Z43"/>
  <c r="Y43"/>
  <c r="X43"/>
  <c r="W43"/>
  <c r="V43"/>
  <c r="U43"/>
  <c r="T43"/>
  <c r="S43"/>
  <c r="R43"/>
  <c r="Q43"/>
  <c r="P43"/>
  <c r="O43"/>
  <c r="N43"/>
  <c r="L43"/>
  <c r="AA42"/>
  <c r="Z42"/>
  <c r="Y42"/>
  <c r="X42"/>
  <c r="W42"/>
  <c r="V42"/>
  <c r="U42"/>
  <c r="T42"/>
  <c r="S42"/>
  <c r="R42"/>
  <c r="Q42"/>
  <c r="P42"/>
  <c r="O42"/>
  <c r="N42"/>
  <c r="L42"/>
  <c r="AA41"/>
  <c r="Z41"/>
  <c r="Y41"/>
  <c r="X41"/>
  <c r="W41"/>
  <c r="V41"/>
  <c r="U41"/>
  <c r="T41"/>
  <c r="S41"/>
  <c r="R41"/>
  <c r="Q41"/>
  <c r="P41"/>
  <c r="O41"/>
  <c r="N41"/>
  <c r="L41"/>
  <c r="AA40"/>
  <c r="Z40"/>
  <c r="Y40"/>
  <c r="X40"/>
  <c r="W40"/>
  <c r="V40"/>
  <c r="U40"/>
  <c r="T40"/>
  <c r="S40"/>
  <c r="R40"/>
  <c r="Q40"/>
  <c r="P40"/>
  <c r="O40"/>
  <c r="N40"/>
  <c r="L40"/>
  <c r="AA39"/>
  <c r="Z39"/>
  <c r="Y39"/>
  <c r="X39"/>
  <c r="W39"/>
  <c r="V39"/>
  <c r="U39"/>
  <c r="T39"/>
  <c r="S39"/>
  <c r="R39"/>
  <c r="Q39"/>
  <c r="P39"/>
  <c r="O39"/>
  <c r="N39"/>
  <c r="L39"/>
  <c r="AA38"/>
  <c r="Z38"/>
  <c r="Y38"/>
  <c r="X38"/>
  <c r="W38"/>
  <c r="V38"/>
  <c r="U38"/>
  <c r="T38"/>
  <c r="S38"/>
  <c r="R38"/>
  <c r="Q38"/>
  <c r="P38"/>
  <c r="O38"/>
  <c r="N38"/>
  <c r="L38"/>
  <c r="AA37"/>
  <c r="Z37"/>
  <c r="Y37"/>
  <c r="X37"/>
  <c r="W37"/>
  <c r="V37"/>
  <c r="U37"/>
  <c r="T37"/>
  <c r="S37"/>
  <c r="R37"/>
  <c r="Q37"/>
  <c r="P37"/>
  <c r="O37"/>
  <c r="N37"/>
  <c r="L37"/>
  <c r="AA36"/>
  <c r="Z36"/>
  <c r="Y36"/>
  <c r="X36"/>
  <c r="W36"/>
  <c r="V36"/>
  <c r="U36"/>
  <c r="T36"/>
  <c r="S36"/>
  <c r="R36"/>
  <c r="Q36"/>
  <c r="P36"/>
  <c r="O36"/>
  <c r="N36"/>
  <c r="L36"/>
  <c r="AA35"/>
  <c r="Z35"/>
  <c r="Y35"/>
  <c r="X35"/>
  <c r="W35"/>
  <c r="V35"/>
  <c r="U35"/>
  <c r="T35"/>
  <c r="S35"/>
  <c r="R35"/>
  <c r="Q35"/>
  <c r="P35"/>
  <c r="O35"/>
  <c r="N35"/>
  <c r="L35"/>
  <c r="AA34"/>
  <c r="Z34"/>
  <c r="Y34"/>
  <c r="X34"/>
  <c r="W34"/>
  <c r="V34"/>
  <c r="U34"/>
  <c r="T34"/>
  <c r="S34"/>
  <c r="R34"/>
  <c r="Q34"/>
  <c r="P34"/>
  <c r="O34"/>
  <c r="N34"/>
  <c r="L34"/>
  <c r="AA33"/>
  <c r="Z33"/>
  <c r="Y33"/>
  <c r="X33"/>
  <c r="W33"/>
  <c r="V33"/>
  <c r="U33"/>
  <c r="T33"/>
  <c r="S33"/>
  <c r="R33"/>
  <c r="Q33"/>
  <c r="P33"/>
  <c r="O33"/>
  <c r="N33"/>
  <c r="L33"/>
  <c r="AA32"/>
  <c r="Z32"/>
  <c r="Y32"/>
  <c r="X32"/>
  <c r="W32"/>
  <c r="V32"/>
  <c r="U32"/>
  <c r="T32"/>
  <c r="S32"/>
  <c r="R32"/>
  <c r="Q32"/>
  <c r="P32"/>
  <c r="O32"/>
  <c r="N32"/>
  <c r="L32"/>
  <c r="AA31"/>
  <c r="Z31"/>
  <c r="Y31"/>
  <c r="X31"/>
  <c r="W31"/>
  <c r="V31"/>
  <c r="U31"/>
  <c r="T31"/>
  <c r="S31"/>
  <c r="R31"/>
  <c r="Q31"/>
  <c r="P31"/>
  <c r="O31"/>
  <c r="N31"/>
  <c r="L31"/>
  <c r="AA30"/>
  <c r="Z30"/>
  <c r="Y30"/>
  <c r="X30"/>
  <c r="W30"/>
  <c r="V30"/>
  <c r="U30"/>
  <c r="T30"/>
  <c r="S30"/>
  <c r="R30"/>
  <c r="Q30"/>
  <c r="P30"/>
  <c r="O30"/>
  <c r="N30"/>
  <c r="L30"/>
  <c r="AA29"/>
  <c r="Z29"/>
  <c r="Y29"/>
  <c r="X29"/>
  <c r="W29"/>
  <c r="V29"/>
  <c r="U29"/>
  <c r="T29"/>
  <c r="S29"/>
  <c r="R29"/>
  <c r="Q29"/>
  <c r="P29"/>
  <c r="O29"/>
  <c r="N29"/>
  <c r="L29"/>
  <c r="AA28"/>
  <c r="Z28"/>
  <c r="Y28"/>
  <c r="X28"/>
  <c r="W28"/>
  <c r="V28"/>
  <c r="U28"/>
  <c r="T28"/>
  <c r="S28"/>
  <c r="R28"/>
  <c r="Q28"/>
  <c r="P28"/>
  <c r="O28"/>
  <c r="N28"/>
  <c r="L28"/>
  <c r="AA27"/>
  <c r="Z27"/>
  <c r="Y27"/>
  <c r="X27"/>
  <c r="W27"/>
  <c r="V27"/>
  <c r="U27"/>
  <c r="T27"/>
  <c r="S27"/>
  <c r="R27"/>
  <c r="Q27"/>
  <c r="P27"/>
  <c r="O27"/>
  <c r="N27"/>
  <c r="L27"/>
  <c r="AA26"/>
  <c r="Z26"/>
  <c r="Y26"/>
  <c r="X26"/>
  <c r="W26"/>
  <c r="V26"/>
  <c r="U26"/>
  <c r="T26"/>
  <c r="S26"/>
  <c r="R26"/>
  <c r="Q26"/>
  <c r="P26"/>
  <c r="O26"/>
  <c r="N26"/>
  <c r="L26"/>
  <c r="AA25"/>
  <c r="Z25"/>
  <c r="Y25"/>
  <c r="X25"/>
  <c r="W25"/>
  <c r="V25"/>
  <c r="U25"/>
  <c r="T25"/>
  <c r="S25"/>
  <c r="R25"/>
  <c r="Q25"/>
  <c r="P25"/>
  <c r="O25"/>
  <c r="N25"/>
  <c r="L25"/>
  <c r="AA24"/>
  <c r="Z24"/>
  <c r="Y24"/>
  <c r="X24"/>
  <c r="W24"/>
  <c r="V24"/>
  <c r="U24"/>
  <c r="T24"/>
  <c r="S24"/>
  <c r="R24"/>
  <c r="Q24"/>
  <c r="P24"/>
  <c r="O24"/>
  <c r="N24"/>
  <c r="L24"/>
  <c r="AA23"/>
  <c r="Z23"/>
  <c r="Y23"/>
  <c r="X23"/>
  <c r="W23"/>
  <c r="V23"/>
  <c r="U23"/>
  <c r="T23"/>
  <c r="S23"/>
  <c r="R23"/>
  <c r="Q23"/>
  <c r="P23"/>
  <c r="O23"/>
  <c r="N23"/>
  <c r="L23"/>
  <c r="AA22"/>
  <c r="Z22"/>
  <c r="Y22"/>
  <c r="X22"/>
  <c r="W22"/>
  <c r="V22"/>
  <c r="U22"/>
  <c r="T22"/>
  <c r="S22"/>
  <c r="R22"/>
  <c r="Q22"/>
  <c r="P22"/>
  <c r="O22"/>
  <c r="N22"/>
  <c r="L22"/>
  <c r="AA21"/>
  <c r="Z21"/>
  <c r="Y21"/>
  <c r="X21"/>
  <c r="W21"/>
  <c r="V21"/>
  <c r="U21"/>
  <c r="T21"/>
  <c r="S21"/>
  <c r="R21"/>
  <c r="Q21"/>
  <c r="P21"/>
  <c r="O21"/>
  <c r="N21"/>
  <c r="L21"/>
  <c r="AA20"/>
  <c r="Z20"/>
  <c r="Y20"/>
  <c r="X20"/>
  <c r="W20"/>
  <c r="V20"/>
  <c r="U20"/>
  <c r="T20"/>
  <c r="S20"/>
  <c r="R20"/>
  <c r="Q20"/>
  <c r="P20"/>
  <c r="O20"/>
  <c r="N20"/>
  <c r="L20"/>
  <c r="AA19"/>
  <c r="Z19"/>
  <c r="Y19"/>
  <c r="X19"/>
  <c r="W19"/>
  <c r="V19"/>
  <c r="U19"/>
  <c r="T19"/>
  <c r="S19"/>
  <c r="R19"/>
  <c r="Q19"/>
  <c r="P19"/>
  <c r="O19"/>
  <c r="N19"/>
  <c r="L19"/>
  <c r="AA18"/>
  <c r="Z18"/>
  <c r="Y18"/>
  <c r="X18"/>
  <c r="W18"/>
  <c r="V18"/>
  <c r="U18"/>
  <c r="T18"/>
  <c r="S18"/>
  <c r="R18"/>
  <c r="Q18"/>
  <c r="P18"/>
  <c r="O18"/>
  <c r="N18"/>
  <c r="L18"/>
  <c r="AA17"/>
  <c r="Z17"/>
  <c r="Y17"/>
  <c r="X17"/>
  <c r="W17"/>
  <c r="V17"/>
  <c r="U17"/>
  <c r="T17"/>
  <c r="S17"/>
  <c r="R17"/>
  <c r="Q17"/>
  <c r="P17"/>
  <c r="O17"/>
  <c r="N17"/>
  <c r="L17"/>
  <c r="AA16"/>
  <c r="Z16"/>
  <c r="Y16"/>
  <c r="X16"/>
  <c r="W16"/>
  <c r="V16"/>
  <c r="U16"/>
  <c r="T16"/>
  <c r="S16"/>
  <c r="R16"/>
  <c r="Q16"/>
  <c r="P16"/>
  <c r="O16"/>
  <c r="N16"/>
  <c r="L16"/>
  <c r="AA15"/>
  <c r="Z15"/>
  <c r="Y15"/>
  <c r="X15"/>
  <c r="W15"/>
  <c r="V15"/>
  <c r="U15"/>
  <c r="T15"/>
  <c r="S15"/>
  <c r="R15"/>
  <c r="Q15"/>
  <c r="P15"/>
  <c r="O15"/>
  <c r="N15"/>
  <c r="L15"/>
  <c r="AA14"/>
  <c r="Z14"/>
  <c r="Y14"/>
  <c r="X14"/>
  <c r="W14"/>
  <c r="V14"/>
  <c r="U14"/>
  <c r="T14"/>
  <c r="S14"/>
  <c r="R14"/>
  <c r="Q14"/>
  <c r="P14"/>
  <c r="O14"/>
  <c r="N14"/>
  <c r="L14"/>
  <c r="AA13"/>
  <c r="Z13"/>
  <c r="Y13"/>
  <c r="X13"/>
  <c r="W13"/>
  <c r="V13"/>
  <c r="U13"/>
  <c r="T13"/>
  <c r="S13"/>
  <c r="R13"/>
  <c r="Q13"/>
  <c r="P13"/>
  <c r="O13"/>
  <c r="N13"/>
  <c r="L13"/>
  <c r="AA12"/>
  <c r="Z12"/>
  <c r="Y12"/>
  <c r="X12"/>
  <c r="W12"/>
  <c r="V12"/>
  <c r="U12"/>
  <c r="T12"/>
  <c r="S12"/>
  <c r="R12"/>
  <c r="Q12"/>
  <c r="P12"/>
  <c r="O12"/>
  <c r="N12"/>
  <c r="L12"/>
  <c r="AA11"/>
  <c r="N235" s="1"/>
  <c r="Z11"/>
  <c r="Y11"/>
  <c r="L235" s="1"/>
  <c r="X11"/>
  <c r="V11"/>
  <c r="S11"/>
  <c r="P11"/>
  <c r="N11"/>
  <c r="M11"/>
  <c r="L11"/>
  <c r="J11"/>
  <c r="I11"/>
  <c r="H11"/>
  <c r="G11"/>
  <c r="S8" s="1"/>
  <c r="R8" s="1"/>
  <c r="F11"/>
  <c r="A11"/>
  <c r="T8"/>
  <c r="P8"/>
  <c r="A8"/>
  <c r="V6"/>
  <c r="S6"/>
  <c r="P6"/>
  <c r="A6"/>
  <c r="V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12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N23"/>
  <c r="L23"/>
  <c r="AA22"/>
  <c r="Z22"/>
  <c r="Y22"/>
  <c r="X22"/>
  <c r="W22"/>
  <c r="V22"/>
  <c r="U22"/>
  <c r="T22"/>
  <c r="S22"/>
  <c r="R22"/>
  <c r="Q22"/>
  <c r="P22"/>
  <c r="O22"/>
  <c r="N22"/>
  <c r="L22"/>
  <c r="AA21"/>
  <c r="Z21"/>
  <c r="Y21"/>
  <c r="X21"/>
  <c r="W21"/>
  <c r="V21"/>
  <c r="U21"/>
  <c r="T21"/>
  <c r="S21"/>
  <c r="R21"/>
  <c r="Q21"/>
  <c r="P21"/>
  <c r="O21"/>
  <c r="N21"/>
  <c r="L21"/>
  <c r="AA20"/>
  <c r="Z20"/>
  <c r="Y20"/>
  <c r="X20"/>
  <c r="W20"/>
  <c r="V20"/>
  <c r="U20"/>
  <c r="T20"/>
  <c r="S20"/>
  <c r="R20"/>
  <c r="Q20"/>
  <c r="P20"/>
  <c r="O20"/>
  <c r="N20"/>
  <c r="L20"/>
  <c r="AA19"/>
  <c r="Z19"/>
  <c r="Y19"/>
  <c r="X19"/>
  <c r="W19"/>
  <c r="V19"/>
  <c r="U19"/>
  <c r="T19"/>
  <c r="S19"/>
  <c r="R19"/>
  <c r="Q19"/>
  <c r="P19"/>
  <c r="O19"/>
  <c r="N19"/>
  <c r="L19"/>
  <c r="AA18"/>
  <c r="Z18"/>
  <c r="Y18"/>
  <c r="X18"/>
  <c r="W18"/>
  <c r="V18"/>
  <c r="U18"/>
  <c r="T18"/>
  <c r="S18"/>
  <c r="R18"/>
  <c r="Q18"/>
  <c r="P18"/>
  <c r="O18"/>
  <c r="N18"/>
  <c r="L18"/>
  <c r="AA17"/>
  <c r="Z17"/>
  <c r="Y17"/>
  <c r="X17"/>
  <c r="W17"/>
  <c r="V17"/>
  <c r="U17"/>
  <c r="T17"/>
  <c r="S17"/>
  <c r="R17"/>
  <c r="Q17"/>
  <c r="P17"/>
  <c r="O17"/>
  <c r="N17"/>
  <c r="L17"/>
  <c r="AA16"/>
  <c r="Z16"/>
  <c r="Y16"/>
  <c r="X16"/>
  <c r="W16"/>
  <c r="V16"/>
  <c r="U16"/>
  <c r="T16"/>
  <c r="S16"/>
  <c r="R16"/>
  <c r="Q16"/>
  <c r="P16"/>
  <c r="O16"/>
  <c r="N16"/>
  <c r="L16"/>
  <c r="AA15"/>
  <c r="Z15"/>
  <c r="Y15"/>
  <c r="X15"/>
  <c r="W15"/>
  <c r="V15"/>
  <c r="U15"/>
  <c r="T15"/>
  <c r="S15"/>
  <c r="R15"/>
  <c r="Q15"/>
  <c r="P15"/>
  <c r="O15"/>
  <c r="N15"/>
  <c r="L15"/>
  <c r="AA14"/>
  <c r="Z14"/>
  <c r="Y14"/>
  <c r="X14"/>
  <c r="W14"/>
  <c r="V14"/>
  <c r="U14"/>
  <c r="T14"/>
  <c r="S14"/>
  <c r="R14"/>
  <c r="Q14"/>
  <c r="P14"/>
  <c r="O14"/>
  <c r="N14"/>
  <c r="L14"/>
  <c r="AA13"/>
  <c r="Z13"/>
  <c r="Y13"/>
  <c r="X13"/>
  <c r="W13"/>
  <c r="V13"/>
  <c r="U13"/>
  <c r="T13"/>
  <c r="S13"/>
  <c r="R13"/>
  <c r="Q13"/>
  <c r="P13"/>
  <c r="O13"/>
  <c r="N13"/>
  <c r="L13"/>
  <c r="AA12"/>
  <c r="Z12"/>
  <c r="Y12"/>
  <c r="X12"/>
  <c r="W12"/>
  <c r="V12"/>
  <c r="U12"/>
  <c r="T12"/>
  <c r="S12"/>
  <c r="R12"/>
  <c r="S5" s="1"/>
  <c r="Q12"/>
  <c r="P12"/>
  <c r="O12"/>
  <c r="N12"/>
  <c r="L12"/>
  <c r="AA11"/>
  <c r="N216" s="1"/>
  <c r="Z11"/>
  <c r="M235" s="1"/>
  <c r="Y11"/>
  <c r="L217" s="1"/>
  <c r="X11"/>
  <c r="V11"/>
  <c r="S11"/>
  <c r="P11"/>
  <c r="N11"/>
  <c r="M11"/>
  <c r="L11"/>
  <c r="J11"/>
  <c r="I11"/>
  <c r="H11"/>
  <c r="G11"/>
  <c r="S8" s="1"/>
  <c r="F11"/>
  <c r="V8"/>
  <c r="W8" s="1"/>
  <c r="P8"/>
  <c r="Q8" s="1"/>
  <c r="A8"/>
  <c r="A11" s="1"/>
  <c r="V6"/>
  <c r="S6"/>
  <c r="P6"/>
  <c r="A6"/>
  <c r="V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11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M34"/>
  <c r="AA33"/>
  <c r="Z33"/>
  <c r="Y33"/>
  <c r="X33"/>
  <c r="W33"/>
  <c r="V33"/>
  <c r="U33"/>
  <c r="T33"/>
  <c r="S33"/>
  <c r="R33"/>
  <c r="Q33"/>
  <c r="P33"/>
  <c r="O33"/>
  <c r="M33"/>
  <c r="AA32"/>
  <c r="Z32"/>
  <c r="Y32"/>
  <c r="X32"/>
  <c r="W32"/>
  <c r="V32"/>
  <c r="U32"/>
  <c r="T32"/>
  <c r="S32"/>
  <c r="R32"/>
  <c r="Q32"/>
  <c r="P32"/>
  <c r="O32"/>
  <c r="M32"/>
  <c r="AA31"/>
  <c r="Z31"/>
  <c r="Y31"/>
  <c r="X31"/>
  <c r="W31"/>
  <c r="V31"/>
  <c r="U31"/>
  <c r="T31"/>
  <c r="S31"/>
  <c r="R31"/>
  <c r="Q31"/>
  <c r="P31"/>
  <c r="O31"/>
  <c r="M31"/>
  <c r="AA30"/>
  <c r="Z30"/>
  <c r="Y30"/>
  <c r="X30"/>
  <c r="W30"/>
  <c r="V30"/>
  <c r="U30"/>
  <c r="T30"/>
  <c r="S30"/>
  <c r="R30"/>
  <c r="Q30"/>
  <c r="P30"/>
  <c r="O30"/>
  <c r="M30"/>
  <c r="AA29"/>
  <c r="Z29"/>
  <c r="Y29"/>
  <c r="X29"/>
  <c r="W29"/>
  <c r="V29"/>
  <c r="U29"/>
  <c r="T29"/>
  <c r="S29"/>
  <c r="R29"/>
  <c r="Q29"/>
  <c r="P29"/>
  <c r="O29"/>
  <c r="M29"/>
  <c r="AA28"/>
  <c r="Z28"/>
  <c r="Y28"/>
  <c r="X28"/>
  <c r="W28"/>
  <c r="V28"/>
  <c r="U28"/>
  <c r="T28"/>
  <c r="S28"/>
  <c r="R28"/>
  <c r="Q28"/>
  <c r="P28"/>
  <c r="O28"/>
  <c r="M28"/>
  <c r="AA27"/>
  <c r="Z27"/>
  <c r="Y27"/>
  <c r="X27"/>
  <c r="W27"/>
  <c r="V27"/>
  <c r="U27"/>
  <c r="T27"/>
  <c r="S27"/>
  <c r="R27"/>
  <c r="Q27"/>
  <c r="P27"/>
  <c r="O27"/>
  <c r="M27"/>
  <c r="AA26"/>
  <c r="Z26"/>
  <c r="Y26"/>
  <c r="X26"/>
  <c r="W26"/>
  <c r="V26"/>
  <c r="U26"/>
  <c r="T26"/>
  <c r="S26"/>
  <c r="R26"/>
  <c r="Q26"/>
  <c r="P26"/>
  <c r="O26"/>
  <c r="M26"/>
  <c r="AA25"/>
  <c r="Z25"/>
  <c r="Y25"/>
  <c r="X25"/>
  <c r="W25"/>
  <c r="V25"/>
  <c r="U25"/>
  <c r="T25"/>
  <c r="S25"/>
  <c r="R25"/>
  <c r="Q25"/>
  <c r="P25"/>
  <c r="O25"/>
  <c r="M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Z11"/>
  <c r="M108" s="1"/>
  <c r="Y1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10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M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Z11"/>
  <c r="M126" s="1"/>
  <c r="Y1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09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AA21"/>
  <c r="Z21"/>
  <c r="Y21"/>
  <c r="X21"/>
  <c r="W21"/>
  <c r="V21"/>
  <c r="U21"/>
  <c r="T21"/>
  <c r="S21"/>
  <c r="R21"/>
  <c r="Q21"/>
  <c r="P21"/>
  <c r="O21"/>
  <c r="AA20"/>
  <c r="Z20"/>
  <c r="Y20"/>
  <c r="X20"/>
  <c r="W20"/>
  <c r="V20"/>
  <c r="U20"/>
  <c r="T20"/>
  <c r="S20"/>
  <c r="R20"/>
  <c r="Q20"/>
  <c r="P20"/>
  <c r="O20"/>
  <c r="AA19"/>
  <c r="Z19"/>
  <c r="Y19"/>
  <c r="X19"/>
  <c r="W19"/>
  <c r="V19"/>
  <c r="U19"/>
  <c r="T19"/>
  <c r="S19"/>
  <c r="R19"/>
  <c r="Q19"/>
  <c r="P19"/>
  <c r="O19"/>
  <c r="AA18"/>
  <c r="Z18"/>
  <c r="Y18"/>
  <c r="X18"/>
  <c r="W18"/>
  <c r="V18"/>
  <c r="U18"/>
  <c r="T18"/>
  <c r="S18"/>
  <c r="R18"/>
  <c r="Q18"/>
  <c r="P18"/>
  <c r="O18"/>
  <c r="AA17"/>
  <c r="Z17"/>
  <c r="Y17"/>
  <c r="X17"/>
  <c r="W17"/>
  <c r="V17"/>
  <c r="U17"/>
  <c r="T17"/>
  <c r="S17"/>
  <c r="R17"/>
  <c r="Q17"/>
  <c r="P17"/>
  <c r="O17"/>
  <c r="AA16"/>
  <c r="Z16"/>
  <c r="Y16"/>
  <c r="X16"/>
  <c r="W16"/>
  <c r="V16"/>
  <c r="U16"/>
  <c r="T16"/>
  <c r="S16"/>
  <c r="R16"/>
  <c r="Q16"/>
  <c r="P16"/>
  <c r="O16"/>
  <c r="N16"/>
  <c r="AA15"/>
  <c r="Z15"/>
  <c r="Y15"/>
  <c r="X15"/>
  <c r="W15"/>
  <c r="V15"/>
  <c r="U15"/>
  <c r="T15"/>
  <c r="S15"/>
  <c r="R15"/>
  <c r="Q15"/>
  <c r="P15"/>
  <c r="O15"/>
  <c r="N15"/>
  <c r="L15"/>
  <c r="AA14"/>
  <c r="Z14"/>
  <c r="Y14"/>
  <c r="X14"/>
  <c r="W14"/>
  <c r="V14"/>
  <c r="U14"/>
  <c r="T14"/>
  <c r="S14"/>
  <c r="R14"/>
  <c r="Q14"/>
  <c r="P14"/>
  <c r="O14"/>
  <c r="N14"/>
  <c r="L14"/>
  <c r="AA13"/>
  <c r="Z13"/>
  <c r="Y13"/>
  <c r="X13"/>
  <c r="W13"/>
  <c r="V13"/>
  <c r="U13"/>
  <c r="T13"/>
  <c r="S13"/>
  <c r="R13"/>
  <c r="Q13"/>
  <c r="P13"/>
  <c r="O13"/>
  <c r="N13"/>
  <c r="L13"/>
  <c r="AA12"/>
  <c r="Z12"/>
  <c r="Y12"/>
  <c r="X12"/>
  <c r="W12"/>
  <c r="V12"/>
  <c r="U12"/>
  <c r="T12"/>
  <c r="S12"/>
  <c r="R12"/>
  <c r="Q12"/>
  <c r="P12"/>
  <c r="O12"/>
  <c r="N12"/>
  <c r="L12"/>
  <c r="AA11"/>
  <c r="Z11"/>
  <c r="M46" s="1"/>
  <c r="Y11"/>
  <c r="X11"/>
  <c r="V11"/>
  <c r="S11"/>
  <c r="P11"/>
  <c r="N11"/>
  <c r="M11"/>
  <c r="L11"/>
  <c r="J11"/>
  <c r="I11"/>
  <c r="H11"/>
  <c r="G11"/>
  <c r="S8" s="1"/>
  <c r="F11"/>
  <c r="V8"/>
  <c r="W8" s="1"/>
  <c r="P8"/>
  <c r="Q8" s="1"/>
  <c r="A8"/>
  <c r="V6"/>
  <c r="S6"/>
  <c r="P6"/>
  <c r="A6"/>
  <c r="A11" s="1"/>
  <c r="V5"/>
  <c r="S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08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M74"/>
  <c r="AA73"/>
  <c r="Z73"/>
  <c r="Y73"/>
  <c r="X73"/>
  <c r="W73"/>
  <c r="V73"/>
  <c r="U73"/>
  <c r="T73"/>
  <c r="S73"/>
  <c r="R73"/>
  <c r="Q73"/>
  <c r="P73"/>
  <c r="O73"/>
  <c r="M73"/>
  <c r="AA72"/>
  <c r="Z72"/>
  <c r="Y72"/>
  <c r="X72"/>
  <c r="W72"/>
  <c r="V72"/>
  <c r="U72"/>
  <c r="T72"/>
  <c r="S72"/>
  <c r="R72"/>
  <c r="Q72"/>
  <c r="P72"/>
  <c r="O72"/>
  <c r="M72"/>
  <c r="AA71"/>
  <c r="Z71"/>
  <c r="Y71"/>
  <c r="X71"/>
  <c r="W71"/>
  <c r="V71"/>
  <c r="U71"/>
  <c r="T71"/>
  <c r="S71"/>
  <c r="R71"/>
  <c r="Q71"/>
  <c r="P71"/>
  <c r="O71"/>
  <c r="M71"/>
  <c r="AA70"/>
  <c r="Z70"/>
  <c r="Y70"/>
  <c r="X70"/>
  <c r="W70"/>
  <c r="V70"/>
  <c r="U70"/>
  <c r="T70"/>
  <c r="S70"/>
  <c r="R70"/>
  <c r="Q70"/>
  <c r="P70"/>
  <c r="O70"/>
  <c r="M70"/>
  <c r="AA69"/>
  <c r="Z69"/>
  <c r="Y69"/>
  <c r="X69"/>
  <c r="W69"/>
  <c r="V69"/>
  <c r="U69"/>
  <c r="T69"/>
  <c r="S69"/>
  <c r="R69"/>
  <c r="Q69"/>
  <c r="P69"/>
  <c r="O69"/>
  <c r="M69"/>
  <c r="AA68"/>
  <c r="Z68"/>
  <c r="Y68"/>
  <c r="X68"/>
  <c r="W68"/>
  <c r="V68"/>
  <c r="U68"/>
  <c r="T68"/>
  <c r="S68"/>
  <c r="R68"/>
  <c r="Q68"/>
  <c r="P68"/>
  <c r="O68"/>
  <c r="M68"/>
  <c r="AA67"/>
  <c r="Z67"/>
  <c r="Y67"/>
  <c r="X67"/>
  <c r="W67"/>
  <c r="V67"/>
  <c r="U67"/>
  <c r="T67"/>
  <c r="S67"/>
  <c r="R67"/>
  <c r="Q67"/>
  <c r="P67"/>
  <c r="O67"/>
  <c r="M67"/>
  <c r="AA66"/>
  <c r="Z66"/>
  <c r="Y66"/>
  <c r="X66"/>
  <c r="W66"/>
  <c r="V66"/>
  <c r="U66"/>
  <c r="T66"/>
  <c r="S66"/>
  <c r="R66"/>
  <c r="Q66"/>
  <c r="P66"/>
  <c r="O66"/>
  <c r="M66"/>
  <c r="AA65"/>
  <c r="Z65"/>
  <c r="Y65"/>
  <c r="X65"/>
  <c r="W65"/>
  <c r="V65"/>
  <c r="U65"/>
  <c r="T65"/>
  <c r="S65"/>
  <c r="R65"/>
  <c r="Q65"/>
  <c r="P65"/>
  <c r="O65"/>
  <c r="M65"/>
  <c r="AA64"/>
  <c r="Z64"/>
  <c r="Y64"/>
  <c r="X64"/>
  <c r="W64"/>
  <c r="V64"/>
  <c r="U64"/>
  <c r="T64"/>
  <c r="S64"/>
  <c r="R64"/>
  <c r="Q64"/>
  <c r="P64"/>
  <c r="O64"/>
  <c r="M64"/>
  <c r="AA63"/>
  <c r="Z63"/>
  <c r="Y63"/>
  <c r="X63"/>
  <c r="W63"/>
  <c r="V63"/>
  <c r="U63"/>
  <c r="T63"/>
  <c r="S63"/>
  <c r="R63"/>
  <c r="Q63"/>
  <c r="P63"/>
  <c r="O63"/>
  <c r="M63"/>
  <c r="AA62"/>
  <c r="Z62"/>
  <c r="Y62"/>
  <c r="X62"/>
  <c r="W62"/>
  <c r="V62"/>
  <c r="U62"/>
  <c r="T62"/>
  <c r="S62"/>
  <c r="R62"/>
  <c r="Q62"/>
  <c r="P62"/>
  <c r="O62"/>
  <c r="M62"/>
  <c r="AA61"/>
  <c r="Z61"/>
  <c r="Y61"/>
  <c r="X61"/>
  <c r="W61"/>
  <c r="V61"/>
  <c r="U61"/>
  <c r="T61"/>
  <c r="S61"/>
  <c r="R61"/>
  <c r="Q61"/>
  <c r="P61"/>
  <c r="O61"/>
  <c r="M61"/>
  <c r="AA60"/>
  <c r="Z60"/>
  <c r="Y60"/>
  <c r="X60"/>
  <c r="W60"/>
  <c r="V60"/>
  <c r="U60"/>
  <c r="T60"/>
  <c r="S60"/>
  <c r="R60"/>
  <c r="Q60"/>
  <c r="P60"/>
  <c r="O60"/>
  <c r="M60"/>
  <c r="AA59"/>
  <c r="Z59"/>
  <c r="Y59"/>
  <c r="X59"/>
  <c r="W59"/>
  <c r="V59"/>
  <c r="U59"/>
  <c r="T59"/>
  <c r="S59"/>
  <c r="R59"/>
  <c r="Q59"/>
  <c r="P59"/>
  <c r="O59"/>
  <c r="M59"/>
  <c r="AA58"/>
  <c r="Z58"/>
  <c r="Y58"/>
  <c r="X58"/>
  <c r="W58"/>
  <c r="V58"/>
  <c r="U58"/>
  <c r="T58"/>
  <c r="S58"/>
  <c r="R58"/>
  <c r="Q58"/>
  <c r="P58"/>
  <c r="O58"/>
  <c r="M58"/>
  <c r="AA57"/>
  <c r="Z57"/>
  <c r="Y57"/>
  <c r="X57"/>
  <c r="W57"/>
  <c r="V57"/>
  <c r="U57"/>
  <c r="T57"/>
  <c r="S57"/>
  <c r="R57"/>
  <c r="Q57"/>
  <c r="P57"/>
  <c r="O57"/>
  <c r="M57"/>
  <c r="AA56"/>
  <c r="Z56"/>
  <c r="Y56"/>
  <c r="X56"/>
  <c r="W56"/>
  <c r="V56"/>
  <c r="U56"/>
  <c r="T56"/>
  <c r="S56"/>
  <c r="R56"/>
  <c r="Q56"/>
  <c r="P56"/>
  <c r="O56"/>
  <c r="M56"/>
  <c r="AA55"/>
  <c r="Z55"/>
  <c r="Y55"/>
  <c r="X55"/>
  <c r="W55"/>
  <c r="V55"/>
  <c r="U55"/>
  <c r="T55"/>
  <c r="S55"/>
  <c r="R55"/>
  <c r="Q55"/>
  <c r="P55"/>
  <c r="O55"/>
  <c r="M55"/>
  <c r="AA54"/>
  <c r="Z54"/>
  <c r="Y54"/>
  <c r="X54"/>
  <c r="W54"/>
  <c r="V54"/>
  <c r="U54"/>
  <c r="T54"/>
  <c r="S54"/>
  <c r="R54"/>
  <c r="Q54"/>
  <c r="P54"/>
  <c r="O54"/>
  <c r="M54"/>
  <c r="AA53"/>
  <c r="Z53"/>
  <c r="Y53"/>
  <c r="X53"/>
  <c r="W53"/>
  <c r="V53"/>
  <c r="U53"/>
  <c r="T53"/>
  <c r="S53"/>
  <c r="R53"/>
  <c r="Q53"/>
  <c r="P53"/>
  <c r="O53"/>
  <c r="M53"/>
  <c r="AA52"/>
  <c r="Z52"/>
  <c r="Y52"/>
  <c r="X52"/>
  <c r="W52"/>
  <c r="V52"/>
  <c r="U52"/>
  <c r="T52"/>
  <c r="S52"/>
  <c r="R52"/>
  <c r="Q52"/>
  <c r="P52"/>
  <c r="O52"/>
  <c r="M52"/>
  <c r="AA51"/>
  <c r="Z51"/>
  <c r="Y51"/>
  <c r="X51"/>
  <c r="W51"/>
  <c r="V51"/>
  <c r="U51"/>
  <c r="T51"/>
  <c r="S51"/>
  <c r="R51"/>
  <c r="Q51"/>
  <c r="P51"/>
  <c r="O51"/>
  <c r="M51"/>
  <c r="AA50"/>
  <c r="Z50"/>
  <c r="Y50"/>
  <c r="X50"/>
  <c r="W50"/>
  <c r="V50"/>
  <c r="U50"/>
  <c r="T50"/>
  <c r="S50"/>
  <c r="R50"/>
  <c r="Q50"/>
  <c r="P50"/>
  <c r="O50"/>
  <c r="M50"/>
  <c r="AA49"/>
  <c r="Z49"/>
  <c r="Y49"/>
  <c r="X49"/>
  <c r="W49"/>
  <c r="V49"/>
  <c r="U49"/>
  <c r="T49"/>
  <c r="S49"/>
  <c r="R49"/>
  <c r="Q49"/>
  <c r="P49"/>
  <c r="O49"/>
  <c r="M49"/>
  <c r="AA48"/>
  <c r="Z48"/>
  <c r="Y48"/>
  <c r="X48"/>
  <c r="W48"/>
  <c r="V48"/>
  <c r="U48"/>
  <c r="T48"/>
  <c r="S48"/>
  <c r="R48"/>
  <c r="Q48"/>
  <c r="P48"/>
  <c r="O48"/>
  <c r="M48"/>
  <c r="AA47"/>
  <c r="Z47"/>
  <c r="Y47"/>
  <c r="X47"/>
  <c r="W47"/>
  <c r="V47"/>
  <c r="U47"/>
  <c r="T47"/>
  <c r="S47"/>
  <c r="R47"/>
  <c r="Q47"/>
  <c r="P47"/>
  <c r="O47"/>
  <c r="M47"/>
  <c r="AA46"/>
  <c r="Z46"/>
  <c r="Y46"/>
  <c r="X46"/>
  <c r="W46"/>
  <c r="V46"/>
  <c r="U46"/>
  <c r="T46"/>
  <c r="S46"/>
  <c r="R46"/>
  <c r="Q46"/>
  <c r="P46"/>
  <c r="O46"/>
  <c r="M46"/>
  <c r="AA45"/>
  <c r="Z45"/>
  <c r="Y45"/>
  <c r="X45"/>
  <c r="W45"/>
  <c r="V45"/>
  <c r="U45"/>
  <c r="T45"/>
  <c r="S45"/>
  <c r="R45"/>
  <c r="Q45"/>
  <c r="P45"/>
  <c r="O45"/>
  <c r="M45"/>
  <c r="AA44"/>
  <c r="Z44"/>
  <c r="Y44"/>
  <c r="X44"/>
  <c r="W44"/>
  <c r="V44"/>
  <c r="U44"/>
  <c r="T44"/>
  <c r="S44"/>
  <c r="R44"/>
  <c r="Q44"/>
  <c r="P44"/>
  <c r="O44"/>
  <c r="M44"/>
  <c r="AA43"/>
  <c r="Z43"/>
  <c r="Y43"/>
  <c r="X43"/>
  <c r="W43"/>
  <c r="V43"/>
  <c r="U43"/>
  <c r="T43"/>
  <c r="S43"/>
  <c r="R43"/>
  <c r="Q43"/>
  <c r="P43"/>
  <c r="O43"/>
  <c r="M43"/>
  <c r="AA42"/>
  <c r="Z42"/>
  <c r="Y42"/>
  <c r="X42"/>
  <c r="W42"/>
  <c r="V42"/>
  <c r="U42"/>
  <c r="T42"/>
  <c r="S42"/>
  <c r="R42"/>
  <c r="Q42"/>
  <c r="P42"/>
  <c r="O42"/>
  <c r="M42"/>
  <c r="AA41"/>
  <c r="Z41"/>
  <c r="Y41"/>
  <c r="X41"/>
  <c r="W41"/>
  <c r="V41"/>
  <c r="U41"/>
  <c r="T41"/>
  <c r="S41"/>
  <c r="R41"/>
  <c r="Q41"/>
  <c r="P41"/>
  <c r="O41"/>
  <c r="M41"/>
  <c r="AA40"/>
  <c r="Z40"/>
  <c r="Y40"/>
  <c r="X40"/>
  <c r="W40"/>
  <c r="V40"/>
  <c r="U40"/>
  <c r="T40"/>
  <c r="S40"/>
  <c r="R40"/>
  <c r="Q40"/>
  <c r="P40"/>
  <c r="O40"/>
  <c r="M40"/>
  <c r="AA39"/>
  <c r="Z39"/>
  <c r="Y39"/>
  <c r="X39"/>
  <c r="W39"/>
  <c r="V39"/>
  <c r="U39"/>
  <c r="T39"/>
  <c r="S39"/>
  <c r="R39"/>
  <c r="Q39"/>
  <c r="P39"/>
  <c r="O39"/>
  <c r="M39"/>
  <c r="AA38"/>
  <c r="Z38"/>
  <c r="Y38"/>
  <c r="X38"/>
  <c r="W38"/>
  <c r="V38"/>
  <c r="U38"/>
  <c r="T38"/>
  <c r="S38"/>
  <c r="R38"/>
  <c r="Q38"/>
  <c r="P38"/>
  <c r="O38"/>
  <c r="M38"/>
  <c r="AA37"/>
  <c r="Z37"/>
  <c r="Y37"/>
  <c r="X37"/>
  <c r="W37"/>
  <c r="V37"/>
  <c r="U37"/>
  <c r="T37"/>
  <c r="S37"/>
  <c r="R37"/>
  <c r="Q37"/>
  <c r="P37"/>
  <c r="O37"/>
  <c r="M37"/>
  <c r="AA36"/>
  <c r="Z36"/>
  <c r="Y36"/>
  <c r="X36"/>
  <c r="W36"/>
  <c r="V36"/>
  <c r="U36"/>
  <c r="T36"/>
  <c r="S36"/>
  <c r="R36"/>
  <c r="Q36"/>
  <c r="P36"/>
  <c r="O36"/>
  <c r="M36"/>
  <c r="AA35"/>
  <c r="Z35"/>
  <c r="Y35"/>
  <c r="X35"/>
  <c r="W35"/>
  <c r="V35"/>
  <c r="U35"/>
  <c r="T35"/>
  <c r="S35"/>
  <c r="R35"/>
  <c r="Q35"/>
  <c r="P35"/>
  <c r="O35"/>
  <c r="M35"/>
  <c r="AA34"/>
  <c r="Z34"/>
  <c r="Y34"/>
  <c r="X34"/>
  <c r="W34"/>
  <c r="V34"/>
  <c r="U34"/>
  <c r="T34"/>
  <c r="S34"/>
  <c r="R34"/>
  <c r="Q34"/>
  <c r="P34"/>
  <c r="O34"/>
  <c r="M34"/>
  <c r="AA33"/>
  <c r="Z33"/>
  <c r="Y33"/>
  <c r="X33"/>
  <c r="W33"/>
  <c r="V33"/>
  <c r="U33"/>
  <c r="T33"/>
  <c r="S33"/>
  <c r="R33"/>
  <c r="Q33"/>
  <c r="P33"/>
  <c r="O33"/>
  <c r="M33"/>
  <c r="AA32"/>
  <c r="Z32"/>
  <c r="Y32"/>
  <c r="X32"/>
  <c r="W32"/>
  <c r="V32"/>
  <c r="U32"/>
  <c r="T32"/>
  <c r="S32"/>
  <c r="R32"/>
  <c r="Q32"/>
  <c r="P32"/>
  <c r="O32"/>
  <c r="M32"/>
  <c r="AA31"/>
  <c r="Z31"/>
  <c r="Y31"/>
  <c r="X31"/>
  <c r="W31"/>
  <c r="V31"/>
  <c r="U31"/>
  <c r="T31"/>
  <c r="S31"/>
  <c r="R31"/>
  <c r="Q31"/>
  <c r="P31"/>
  <c r="O31"/>
  <c r="M31"/>
  <c r="AA30"/>
  <c r="Z30"/>
  <c r="Y30"/>
  <c r="X30"/>
  <c r="W30"/>
  <c r="V30"/>
  <c r="U30"/>
  <c r="T30"/>
  <c r="S30"/>
  <c r="R30"/>
  <c r="Q30"/>
  <c r="P30"/>
  <c r="O30"/>
  <c r="M30"/>
  <c r="AA29"/>
  <c r="Z29"/>
  <c r="Y29"/>
  <c r="X29"/>
  <c r="W29"/>
  <c r="V29"/>
  <c r="U29"/>
  <c r="T29"/>
  <c r="S29"/>
  <c r="R29"/>
  <c r="Q29"/>
  <c r="P29"/>
  <c r="O29"/>
  <c r="M29"/>
  <c r="AA28"/>
  <c r="Z28"/>
  <c r="Y28"/>
  <c r="X28"/>
  <c r="W28"/>
  <c r="V28"/>
  <c r="U28"/>
  <c r="T28"/>
  <c r="S28"/>
  <c r="R28"/>
  <c r="Q28"/>
  <c r="P28"/>
  <c r="O28"/>
  <c r="M28"/>
  <c r="AA27"/>
  <c r="Z27"/>
  <c r="Y27"/>
  <c r="X27"/>
  <c r="W27"/>
  <c r="V27"/>
  <c r="U27"/>
  <c r="T27"/>
  <c r="S27"/>
  <c r="R27"/>
  <c r="Q27"/>
  <c r="P27"/>
  <c r="O27"/>
  <c r="M27"/>
  <c r="AA26"/>
  <c r="Z26"/>
  <c r="Y26"/>
  <c r="X26"/>
  <c r="W26"/>
  <c r="V26"/>
  <c r="U26"/>
  <c r="T26"/>
  <c r="S26"/>
  <c r="R26"/>
  <c r="Q26"/>
  <c r="P26"/>
  <c r="O26"/>
  <c r="M26"/>
  <c r="AA25"/>
  <c r="Z25"/>
  <c r="Y25"/>
  <c r="X25"/>
  <c r="W25"/>
  <c r="V25"/>
  <c r="U25"/>
  <c r="T25"/>
  <c r="S25"/>
  <c r="R25"/>
  <c r="Q25"/>
  <c r="P25"/>
  <c r="O25"/>
  <c r="M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N235" s="1"/>
  <c r="Z11"/>
  <c r="M235" s="1"/>
  <c r="Y11"/>
  <c r="L235" s="1"/>
  <c r="X11"/>
  <c r="M236" s="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07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AA21"/>
  <c r="Z21"/>
  <c r="Y21"/>
  <c r="X21"/>
  <c r="W21"/>
  <c r="V21"/>
  <c r="U21"/>
  <c r="T21"/>
  <c r="S21"/>
  <c r="R21"/>
  <c r="Q21"/>
  <c r="P21"/>
  <c r="O21"/>
  <c r="AA20"/>
  <c r="Z20"/>
  <c r="Y20"/>
  <c r="X20"/>
  <c r="W20"/>
  <c r="V20"/>
  <c r="U20"/>
  <c r="T20"/>
  <c r="S20"/>
  <c r="R20"/>
  <c r="Q20"/>
  <c r="P20"/>
  <c r="O20"/>
  <c r="AA19"/>
  <c r="Z19"/>
  <c r="Y19"/>
  <c r="X19"/>
  <c r="W19"/>
  <c r="V19"/>
  <c r="U19"/>
  <c r="T19"/>
  <c r="S19"/>
  <c r="R19"/>
  <c r="Q19"/>
  <c r="P19"/>
  <c r="O19"/>
  <c r="AA18"/>
  <c r="Z18"/>
  <c r="Y18"/>
  <c r="X18"/>
  <c r="W18"/>
  <c r="V18"/>
  <c r="U18"/>
  <c r="T18"/>
  <c r="S18"/>
  <c r="R18"/>
  <c r="Q18"/>
  <c r="P18"/>
  <c r="O18"/>
  <c r="AA17"/>
  <c r="Z17"/>
  <c r="Y17"/>
  <c r="X17"/>
  <c r="W17"/>
  <c r="V17"/>
  <c r="U17"/>
  <c r="T17"/>
  <c r="S17"/>
  <c r="R17"/>
  <c r="Q17"/>
  <c r="P17"/>
  <c r="O17"/>
  <c r="AA16"/>
  <c r="Z16"/>
  <c r="Y16"/>
  <c r="X16"/>
  <c r="W16"/>
  <c r="V16"/>
  <c r="U16"/>
  <c r="T16"/>
  <c r="S16"/>
  <c r="R16"/>
  <c r="Q16"/>
  <c r="P16"/>
  <c r="O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T12"/>
  <c r="S12"/>
  <c r="R12"/>
  <c r="Q12"/>
  <c r="P12"/>
  <c r="O12"/>
  <c r="M12"/>
  <c r="AA11"/>
  <c r="Z11"/>
  <c r="M108" s="1"/>
  <c r="Y1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V5"/>
  <c r="S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06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AA21"/>
  <c r="Z21"/>
  <c r="Y21"/>
  <c r="X21"/>
  <c r="W21"/>
  <c r="V21"/>
  <c r="U21"/>
  <c r="T21"/>
  <c r="S21"/>
  <c r="R21"/>
  <c r="Q21"/>
  <c r="P21"/>
  <c r="O21"/>
  <c r="AA20"/>
  <c r="Z20"/>
  <c r="Y20"/>
  <c r="X20"/>
  <c r="W20"/>
  <c r="V20"/>
  <c r="U20"/>
  <c r="T20"/>
  <c r="S20"/>
  <c r="R20"/>
  <c r="Q20"/>
  <c r="P20"/>
  <c r="O20"/>
  <c r="AA19"/>
  <c r="Z19"/>
  <c r="Y19"/>
  <c r="X19"/>
  <c r="W19"/>
  <c r="V19"/>
  <c r="U19"/>
  <c r="T19"/>
  <c r="S19"/>
  <c r="R19"/>
  <c r="Q19"/>
  <c r="P19"/>
  <c r="O19"/>
  <c r="AA18"/>
  <c r="Z18"/>
  <c r="Y18"/>
  <c r="X18"/>
  <c r="W18"/>
  <c r="V18"/>
  <c r="U18"/>
  <c r="T18"/>
  <c r="S18"/>
  <c r="R18"/>
  <c r="Q18"/>
  <c r="P18"/>
  <c r="O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T12"/>
  <c r="S12"/>
  <c r="R12"/>
  <c r="Q12"/>
  <c r="P12"/>
  <c r="O12"/>
  <c r="M12"/>
  <c r="AA11"/>
  <c r="Z11"/>
  <c r="M164" s="1"/>
  <c r="Y1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V5"/>
  <c r="S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305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M34"/>
  <c r="AA33"/>
  <c r="Z33"/>
  <c r="Y33"/>
  <c r="X33"/>
  <c r="W33"/>
  <c r="V33"/>
  <c r="U33"/>
  <c r="T33"/>
  <c r="S33"/>
  <c r="R33"/>
  <c r="Q33"/>
  <c r="P33"/>
  <c r="O33"/>
  <c r="M33"/>
  <c r="AA32"/>
  <c r="Z32"/>
  <c r="Y32"/>
  <c r="X32"/>
  <c r="W32"/>
  <c r="V32"/>
  <c r="U32"/>
  <c r="T32"/>
  <c r="S32"/>
  <c r="R32"/>
  <c r="Q32"/>
  <c r="P32"/>
  <c r="O32"/>
  <c r="M32"/>
  <c r="AA31"/>
  <c r="Z31"/>
  <c r="Y31"/>
  <c r="X31"/>
  <c r="W31"/>
  <c r="V31"/>
  <c r="U31"/>
  <c r="T31"/>
  <c r="S31"/>
  <c r="R31"/>
  <c r="Q31"/>
  <c r="P31"/>
  <c r="O31"/>
  <c r="M31"/>
  <c r="AA30"/>
  <c r="Z30"/>
  <c r="Y30"/>
  <c r="X30"/>
  <c r="W30"/>
  <c r="V30"/>
  <c r="U30"/>
  <c r="T30"/>
  <c r="S30"/>
  <c r="R30"/>
  <c r="Q30"/>
  <c r="P30"/>
  <c r="O30"/>
  <c r="M30"/>
  <c r="AA29"/>
  <c r="Z29"/>
  <c r="Y29"/>
  <c r="X29"/>
  <c r="W29"/>
  <c r="V29"/>
  <c r="U29"/>
  <c r="T29"/>
  <c r="S29"/>
  <c r="R29"/>
  <c r="Q29"/>
  <c r="P29"/>
  <c r="O29"/>
  <c r="M29"/>
  <c r="AA28"/>
  <c r="Z28"/>
  <c r="Y28"/>
  <c r="X28"/>
  <c r="W28"/>
  <c r="V28"/>
  <c r="U28"/>
  <c r="T28"/>
  <c r="S28"/>
  <c r="R28"/>
  <c r="Q28"/>
  <c r="P28"/>
  <c r="O28"/>
  <c r="M28"/>
  <c r="AA27"/>
  <c r="Z27"/>
  <c r="Y27"/>
  <c r="X27"/>
  <c r="W27"/>
  <c r="V27"/>
  <c r="U27"/>
  <c r="T27"/>
  <c r="S27"/>
  <c r="R27"/>
  <c r="Q27"/>
  <c r="P27"/>
  <c r="O27"/>
  <c r="M27"/>
  <c r="AA26"/>
  <c r="Z26"/>
  <c r="Y26"/>
  <c r="X26"/>
  <c r="W26"/>
  <c r="V26"/>
  <c r="U26"/>
  <c r="T26"/>
  <c r="S26"/>
  <c r="R26"/>
  <c r="Q26"/>
  <c r="P26"/>
  <c r="O26"/>
  <c r="M26"/>
  <c r="AA25"/>
  <c r="Z25"/>
  <c r="Y25"/>
  <c r="X25"/>
  <c r="W25"/>
  <c r="V25"/>
  <c r="U25"/>
  <c r="T25"/>
  <c r="S25"/>
  <c r="R25"/>
  <c r="Q25"/>
  <c r="P25"/>
  <c r="O25"/>
  <c r="M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N108" s="1"/>
  <c r="Z11"/>
  <c r="Y1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V2" i="184"/>
  <c r="S2"/>
  <c r="P2"/>
  <c r="N2"/>
  <c r="M2"/>
  <c r="L2"/>
  <c r="M12" i="319" l="1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T8" i="312"/>
  <c r="R8"/>
  <c r="N236"/>
  <c r="L236"/>
  <c r="Q8" i="313"/>
  <c r="O8"/>
  <c r="M236"/>
  <c r="N236"/>
  <c r="L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M42"/>
  <c r="M41"/>
  <c r="M40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L24" i="312"/>
  <c r="L5" s="1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3"/>
  <c r="L164"/>
  <c r="N164"/>
  <c r="L165"/>
  <c r="N165"/>
  <c r="L166"/>
  <c r="N166"/>
  <c r="L167"/>
  <c r="N167"/>
  <c r="L168"/>
  <c r="N168"/>
  <c r="L169"/>
  <c r="N169"/>
  <c r="L170"/>
  <c r="N170"/>
  <c r="L171"/>
  <c r="N171"/>
  <c r="L172"/>
  <c r="N172"/>
  <c r="L173"/>
  <c r="N173"/>
  <c r="L174"/>
  <c r="N174"/>
  <c r="L175"/>
  <c r="N175"/>
  <c r="L176"/>
  <c r="N176"/>
  <c r="L177"/>
  <c r="N177"/>
  <c r="L178"/>
  <c r="N178"/>
  <c r="L179"/>
  <c r="N179"/>
  <c r="L180"/>
  <c r="N180"/>
  <c r="L181"/>
  <c r="N181"/>
  <c r="L182"/>
  <c r="N182"/>
  <c r="L183"/>
  <c r="N183"/>
  <c r="L184"/>
  <c r="N184"/>
  <c r="L185"/>
  <c r="N185"/>
  <c r="L186"/>
  <c r="N186"/>
  <c r="L187"/>
  <c r="N187"/>
  <c r="L188"/>
  <c r="N188"/>
  <c r="L189"/>
  <c r="N189"/>
  <c r="L190"/>
  <c r="N190"/>
  <c r="L191"/>
  <c r="N191"/>
  <c r="L192"/>
  <c r="N192"/>
  <c r="L193"/>
  <c r="N193"/>
  <c r="L194"/>
  <c r="N194"/>
  <c r="L195"/>
  <c r="N195"/>
  <c r="L196"/>
  <c r="N196"/>
  <c r="L197"/>
  <c r="N197"/>
  <c r="L198"/>
  <c r="N198"/>
  <c r="L199"/>
  <c r="N199"/>
  <c r="L200"/>
  <c r="N200"/>
  <c r="L201"/>
  <c r="N201"/>
  <c r="L202"/>
  <c r="N202"/>
  <c r="L203"/>
  <c r="N203"/>
  <c r="L204"/>
  <c r="N204"/>
  <c r="L205"/>
  <c r="N205"/>
  <c r="L206"/>
  <c r="N206"/>
  <c r="L207"/>
  <c r="N207"/>
  <c r="L208"/>
  <c r="N208"/>
  <c r="L209"/>
  <c r="N209"/>
  <c r="L210"/>
  <c r="N210"/>
  <c r="L211"/>
  <c r="N211"/>
  <c r="L212"/>
  <c r="N212"/>
  <c r="L213"/>
  <c r="N213"/>
  <c r="L214"/>
  <c r="N214"/>
  <c r="L215"/>
  <c r="N215"/>
  <c r="L216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O8"/>
  <c r="U8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6"/>
  <c r="V8" i="313"/>
  <c r="S5"/>
  <c r="L235" i="316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L214" i="313"/>
  <c r="L6" s="1"/>
  <c r="L215"/>
  <c r="N215"/>
  <c r="N5" s="1"/>
  <c r="L216"/>
  <c r="N216"/>
  <c r="L217"/>
  <c r="N217"/>
  <c r="L218"/>
  <c r="N218"/>
  <c r="L219"/>
  <c r="N219"/>
  <c r="L220"/>
  <c r="N220"/>
  <c r="L221"/>
  <c r="N221"/>
  <c r="L222"/>
  <c r="N222"/>
  <c r="L223"/>
  <c r="N223"/>
  <c r="L224"/>
  <c r="N224"/>
  <c r="L225"/>
  <c r="N225"/>
  <c r="L226"/>
  <c r="N226"/>
  <c r="L227"/>
  <c r="N227"/>
  <c r="L228"/>
  <c r="N228"/>
  <c r="L229"/>
  <c r="N229"/>
  <c r="L230"/>
  <c r="N230"/>
  <c r="L231"/>
  <c r="N231"/>
  <c r="L232"/>
  <c r="N232"/>
  <c r="L233"/>
  <c r="N233"/>
  <c r="L234"/>
  <c r="N234"/>
  <c r="M144" i="31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6"/>
  <c r="R8" i="315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3"/>
  <c r="L164"/>
  <c r="N164"/>
  <c r="L165"/>
  <c r="N165"/>
  <c r="L166"/>
  <c r="N166"/>
  <c r="L167"/>
  <c r="N167"/>
  <c r="L168"/>
  <c r="N168"/>
  <c r="L169"/>
  <c r="N169"/>
  <c r="L170"/>
  <c r="N170"/>
  <c r="L171"/>
  <c r="N171"/>
  <c r="L172"/>
  <c r="N172"/>
  <c r="L173"/>
  <c r="N173"/>
  <c r="L174"/>
  <c r="N174"/>
  <c r="L175"/>
  <c r="N175"/>
  <c r="L176"/>
  <c r="N176"/>
  <c r="L177"/>
  <c r="N177"/>
  <c r="L178"/>
  <c r="N178"/>
  <c r="L179"/>
  <c r="N179"/>
  <c r="L180"/>
  <c r="N180"/>
  <c r="L181"/>
  <c r="N181"/>
  <c r="L182"/>
  <c r="N182"/>
  <c r="L183"/>
  <c r="N183"/>
  <c r="L184"/>
  <c r="N184"/>
  <c r="L185"/>
  <c r="N185"/>
  <c r="L186"/>
  <c r="N186"/>
  <c r="L187"/>
  <c r="N187"/>
  <c r="L188"/>
  <c r="N188"/>
  <c r="L189"/>
  <c r="N189"/>
  <c r="L190"/>
  <c r="N190"/>
  <c r="L191"/>
  <c r="N191"/>
  <c r="L192"/>
  <c r="N192"/>
  <c r="L193"/>
  <c r="N193"/>
  <c r="L194"/>
  <c r="N194"/>
  <c r="L195"/>
  <c r="N195"/>
  <c r="L196"/>
  <c r="N196"/>
  <c r="L197"/>
  <c r="N197"/>
  <c r="L198"/>
  <c r="N198"/>
  <c r="L199"/>
  <c r="N199"/>
  <c r="L200"/>
  <c r="N200"/>
  <c r="L201"/>
  <c r="N201"/>
  <c r="L202"/>
  <c r="N202"/>
  <c r="L203"/>
  <c r="N203"/>
  <c r="L204"/>
  <c r="N204"/>
  <c r="L205"/>
  <c r="N205"/>
  <c r="L206"/>
  <c r="N206"/>
  <c r="L207"/>
  <c r="N207"/>
  <c r="L208"/>
  <c r="N208"/>
  <c r="L209"/>
  <c r="N209"/>
  <c r="L210"/>
  <c r="N210"/>
  <c r="L211"/>
  <c r="N211"/>
  <c r="L212"/>
  <c r="N212"/>
  <c r="L213"/>
  <c r="N213"/>
  <c r="L214"/>
  <c r="N214"/>
  <c r="L215"/>
  <c r="N215"/>
  <c r="L216"/>
  <c r="N216"/>
  <c r="L217"/>
  <c r="N217"/>
  <c r="L218"/>
  <c r="N218"/>
  <c r="L219"/>
  <c r="N219"/>
  <c r="L220"/>
  <c r="N220"/>
  <c r="L221"/>
  <c r="N221"/>
  <c r="L222"/>
  <c r="N222"/>
  <c r="L223"/>
  <c r="N223"/>
  <c r="L224"/>
  <c r="N224"/>
  <c r="L225"/>
  <c r="N225"/>
  <c r="L226"/>
  <c r="N226"/>
  <c r="L227"/>
  <c r="N227"/>
  <c r="L228"/>
  <c r="N228"/>
  <c r="L229"/>
  <c r="N229"/>
  <c r="L230"/>
  <c r="N230"/>
  <c r="L231"/>
  <c r="N231"/>
  <c r="L232"/>
  <c r="N232"/>
  <c r="L233"/>
  <c r="N233"/>
  <c r="L234"/>
  <c r="N234"/>
  <c r="L236"/>
  <c r="N236"/>
  <c r="M27" i="316"/>
  <c r="M5" s="1"/>
  <c r="M236"/>
  <c r="N236"/>
  <c r="L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46"/>
  <c r="M45"/>
  <c r="M44"/>
  <c r="M43"/>
  <c r="R8" i="314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3"/>
  <c r="L164"/>
  <c r="N164"/>
  <c r="L165"/>
  <c r="N165"/>
  <c r="L166"/>
  <c r="N166"/>
  <c r="L167"/>
  <c r="N167"/>
  <c r="L168"/>
  <c r="N168"/>
  <c r="L169"/>
  <c r="N169"/>
  <c r="L170"/>
  <c r="N170"/>
  <c r="L171"/>
  <c r="N171"/>
  <c r="L172"/>
  <c r="N172"/>
  <c r="L173"/>
  <c r="N173"/>
  <c r="L174"/>
  <c r="N174"/>
  <c r="L175"/>
  <c r="N175"/>
  <c r="L176"/>
  <c r="N176"/>
  <c r="L177"/>
  <c r="N177"/>
  <c r="L178"/>
  <c r="N178"/>
  <c r="L179"/>
  <c r="N179"/>
  <c r="L180"/>
  <c r="N180"/>
  <c r="L181"/>
  <c r="N181"/>
  <c r="L182"/>
  <c r="N182"/>
  <c r="L183"/>
  <c r="N183"/>
  <c r="L184"/>
  <c r="N184"/>
  <c r="L185"/>
  <c r="N185"/>
  <c r="L186"/>
  <c r="N186"/>
  <c r="L187"/>
  <c r="N187"/>
  <c r="L188"/>
  <c r="N188"/>
  <c r="L189"/>
  <c r="N189"/>
  <c r="L190"/>
  <c r="N190"/>
  <c r="L191"/>
  <c r="N191"/>
  <c r="L192"/>
  <c r="N192"/>
  <c r="L193"/>
  <c r="N193"/>
  <c r="L194"/>
  <c r="N194"/>
  <c r="L195"/>
  <c r="N195"/>
  <c r="L196"/>
  <c r="N196"/>
  <c r="L197"/>
  <c r="N197"/>
  <c r="L198"/>
  <c r="N198"/>
  <c r="L199"/>
  <c r="N199"/>
  <c r="L200"/>
  <c r="N200"/>
  <c r="L201"/>
  <c r="N201"/>
  <c r="L202"/>
  <c r="N202"/>
  <c r="L203"/>
  <c r="N203"/>
  <c r="L204"/>
  <c r="N204"/>
  <c r="L205"/>
  <c r="N205"/>
  <c r="L206"/>
  <c r="N206"/>
  <c r="L207"/>
  <c r="N207"/>
  <c r="L208"/>
  <c r="N208"/>
  <c r="L209"/>
  <c r="N209"/>
  <c r="L210"/>
  <c r="N210"/>
  <c r="L211"/>
  <c r="N211"/>
  <c r="L212"/>
  <c r="N212"/>
  <c r="L213"/>
  <c r="N213"/>
  <c r="L214"/>
  <c r="N214"/>
  <c r="L215"/>
  <c r="N215"/>
  <c r="L216"/>
  <c r="N216"/>
  <c r="L217"/>
  <c r="N217"/>
  <c r="L218"/>
  <c r="N218"/>
  <c r="L219"/>
  <c r="N219"/>
  <c r="L220"/>
  <c r="N220"/>
  <c r="L221"/>
  <c r="N221"/>
  <c r="L222"/>
  <c r="N222"/>
  <c r="L223"/>
  <c r="N223"/>
  <c r="L224"/>
  <c r="N224"/>
  <c r="L225"/>
  <c r="N225"/>
  <c r="L226"/>
  <c r="N226"/>
  <c r="L227"/>
  <c r="N227"/>
  <c r="L228"/>
  <c r="N228"/>
  <c r="L229"/>
  <c r="N229"/>
  <c r="L230"/>
  <c r="N230"/>
  <c r="L231"/>
  <c r="N231"/>
  <c r="L232"/>
  <c r="N232"/>
  <c r="L233"/>
  <c r="N233"/>
  <c r="L234"/>
  <c r="N234"/>
  <c r="L236"/>
  <c r="M15" i="3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R8" i="316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M29"/>
  <c r="M30"/>
  <c r="M31"/>
  <c r="M32"/>
  <c r="M33"/>
  <c r="M34"/>
  <c r="M35"/>
  <c r="M36"/>
  <c r="M37"/>
  <c r="M38"/>
  <c r="M39"/>
  <c r="M40"/>
  <c r="M41"/>
  <c r="M42"/>
  <c r="L235" i="317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N236"/>
  <c r="L236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M162"/>
  <c r="M163"/>
  <c r="M164"/>
  <c r="M165"/>
  <c r="M166"/>
  <c r="M167"/>
  <c r="M168"/>
  <c r="M235" i="318"/>
  <c r="M234"/>
  <c r="M233"/>
  <c r="M232"/>
  <c r="M231"/>
  <c r="M230"/>
  <c r="M229"/>
  <c r="M228"/>
  <c r="M227"/>
  <c r="M226"/>
  <c r="M225"/>
  <c r="M224"/>
  <c r="M223"/>
  <c r="M222"/>
  <c r="M221"/>
  <c r="M220"/>
  <c r="M219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3"/>
  <c r="L164"/>
  <c r="N164"/>
  <c r="L165"/>
  <c r="N165"/>
  <c r="L166"/>
  <c r="N166"/>
  <c r="L167"/>
  <c r="N167"/>
  <c r="L168"/>
  <c r="N168"/>
  <c r="L169"/>
  <c r="N169"/>
  <c r="L170"/>
  <c r="N170"/>
  <c r="L171"/>
  <c r="N171"/>
  <c r="L172"/>
  <c r="N172"/>
  <c r="L173"/>
  <c r="N173"/>
  <c r="L174"/>
  <c r="N174"/>
  <c r="L175"/>
  <c r="N175"/>
  <c r="L176"/>
  <c r="N176"/>
  <c r="L177"/>
  <c r="N177"/>
  <c r="L178"/>
  <c r="N178"/>
  <c r="L179"/>
  <c r="N179"/>
  <c r="L180"/>
  <c r="N180"/>
  <c r="L181"/>
  <c r="N181"/>
  <c r="L182"/>
  <c r="N182"/>
  <c r="L183"/>
  <c r="N183"/>
  <c r="L184"/>
  <c r="N184"/>
  <c r="L185"/>
  <c r="N185"/>
  <c r="L186"/>
  <c r="N186"/>
  <c r="L187"/>
  <c r="N187"/>
  <c r="L188"/>
  <c r="N188"/>
  <c r="L189"/>
  <c r="N189"/>
  <c r="L190"/>
  <c r="N190"/>
  <c r="L191"/>
  <c r="N191"/>
  <c r="L192"/>
  <c r="N192"/>
  <c r="L193"/>
  <c r="N193"/>
  <c r="L194"/>
  <c r="N194"/>
  <c r="L195"/>
  <c r="N195"/>
  <c r="L196"/>
  <c r="N196"/>
  <c r="L197"/>
  <c r="N197"/>
  <c r="L198"/>
  <c r="N198"/>
  <c r="L199"/>
  <c r="N199"/>
  <c r="L200"/>
  <c r="N200"/>
  <c r="L201"/>
  <c r="N201"/>
  <c r="L202"/>
  <c r="N202"/>
  <c r="L203"/>
  <c r="N203"/>
  <c r="L204"/>
  <c r="N204"/>
  <c r="L205"/>
  <c r="N205"/>
  <c r="L206"/>
  <c r="N206"/>
  <c r="L207"/>
  <c r="N207"/>
  <c r="L208"/>
  <c r="N208"/>
  <c r="L209"/>
  <c r="N209"/>
  <c r="L210"/>
  <c r="N210"/>
  <c r="L211"/>
  <c r="N211"/>
  <c r="L212"/>
  <c r="N212"/>
  <c r="L213"/>
  <c r="N213"/>
  <c r="L214"/>
  <c r="N214"/>
  <c r="L215"/>
  <c r="N215"/>
  <c r="L216"/>
  <c r="N216"/>
  <c r="L217"/>
  <c r="N217"/>
  <c r="L218"/>
  <c r="N218"/>
  <c r="L219"/>
  <c r="N220"/>
  <c r="L221"/>
  <c r="N222"/>
  <c r="L223"/>
  <c r="N224"/>
  <c r="L225"/>
  <c r="N226"/>
  <c r="L227"/>
  <c r="N228"/>
  <c r="L229"/>
  <c r="N230"/>
  <c r="L231"/>
  <c r="N232"/>
  <c r="L233"/>
  <c r="N234"/>
  <c r="L235"/>
  <c r="N236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N219"/>
  <c r="L220"/>
  <c r="N221"/>
  <c r="L222"/>
  <c r="N223"/>
  <c r="L224"/>
  <c r="N225"/>
  <c r="L226"/>
  <c r="N227"/>
  <c r="L228"/>
  <c r="N229"/>
  <c r="L230"/>
  <c r="N231"/>
  <c r="L232"/>
  <c r="N233"/>
  <c r="L236"/>
  <c r="N236" i="319"/>
  <c r="L236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T8" i="309"/>
  <c r="R8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R8" i="30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3"/>
  <c r="L164"/>
  <c r="N164"/>
  <c r="L165"/>
  <c r="N165"/>
  <c r="L166"/>
  <c r="N166"/>
  <c r="L167"/>
  <c r="N167"/>
  <c r="L168"/>
  <c r="N168"/>
  <c r="L169"/>
  <c r="N169"/>
  <c r="L170"/>
  <c r="N170"/>
  <c r="L171"/>
  <c r="N171"/>
  <c r="L172"/>
  <c r="N172"/>
  <c r="L173"/>
  <c r="N173"/>
  <c r="L174"/>
  <c r="N174"/>
  <c r="L175"/>
  <c r="N175"/>
  <c r="L176"/>
  <c r="N176"/>
  <c r="L177"/>
  <c r="N177"/>
  <c r="L178"/>
  <c r="N178"/>
  <c r="L179"/>
  <c r="N179"/>
  <c r="L180"/>
  <c r="N180"/>
  <c r="L181"/>
  <c r="N181"/>
  <c r="L182"/>
  <c r="N182"/>
  <c r="L183"/>
  <c r="N183"/>
  <c r="L184"/>
  <c r="N184"/>
  <c r="L185"/>
  <c r="N185"/>
  <c r="L186"/>
  <c r="N186"/>
  <c r="L187"/>
  <c r="N187"/>
  <c r="L188"/>
  <c r="N188"/>
  <c r="L189"/>
  <c r="N189"/>
  <c r="L190"/>
  <c r="N190"/>
  <c r="L191"/>
  <c r="N191"/>
  <c r="L192"/>
  <c r="N192"/>
  <c r="L193"/>
  <c r="N193"/>
  <c r="L194"/>
  <c r="N194"/>
  <c r="L195"/>
  <c r="N195"/>
  <c r="L196"/>
  <c r="N196"/>
  <c r="L197"/>
  <c r="N197"/>
  <c r="L198"/>
  <c r="N198"/>
  <c r="L199"/>
  <c r="N199"/>
  <c r="L200"/>
  <c r="N200"/>
  <c r="L201"/>
  <c r="N201"/>
  <c r="L202"/>
  <c r="N202"/>
  <c r="L203"/>
  <c r="N203"/>
  <c r="L204"/>
  <c r="N204"/>
  <c r="L205"/>
  <c r="N205"/>
  <c r="L206"/>
  <c r="N206"/>
  <c r="L207"/>
  <c r="N207"/>
  <c r="L208"/>
  <c r="N208"/>
  <c r="L209"/>
  <c r="N209"/>
  <c r="L210"/>
  <c r="N210"/>
  <c r="L211"/>
  <c r="N211"/>
  <c r="L212"/>
  <c r="N212"/>
  <c r="L213"/>
  <c r="N213"/>
  <c r="L214"/>
  <c r="N214"/>
  <c r="L215"/>
  <c r="N215"/>
  <c r="L216"/>
  <c r="N216"/>
  <c r="L217"/>
  <c r="N217"/>
  <c r="L218"/>
  <c r="N218"/>
  <c r="L219"/>
  <c r="N219"/>
  <c r="L220"/>
  <c r="N220"/>
  <c r="L221"/>
  <c r="N221"/>
  <c r="L222"/>
  <c r="N222"/>
  <c r="L223"/>
  <c r="N223"/>
  <c r="L224"/>
  <c r="N224"/>
  <c r="L225"/>
  <c r="N225"/>
  <c r="L226"/>
  <c r="N226"/>
  <c r="L227"/>
  <c r="N227"/>
  <c r="L228"/>
  <c r="N228"/>
  <c r="L229"/>
  <c r="N229"/>
  <c r="L230"/>
  <c r="N230"/>
  <c r="L231"/>
  <c r="N231"/>
  <c r="L232"/>
  <c r="N232"/>
  <c r="L233"/>
  <c r="N233"/>
  <c r="L234"/>
  <c r="N234"/>
  <c r="L236"/>
  <c r="N236"/>
  <c r="O8" i="309"/>
  <c r="U8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236"/>
  <c r="N236"/>
  <c r="L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M60"/>
  <c r="M59"/>
  <c r="M58"/>
  <c r="M57"/>
  <c r="M56"/>
  <c r="M55"/>
  <c r="M54"/>
  <c r="M53"/>
  <c r="M52"/>
  <c r="M51"/>
  <c r="M50"/>
  <c r="M49"/>
  <c r="M48"/>
  <c r="M47"/>
  <c r="M75" i="308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L16" i="309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L235" i="310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N127"/>
  <c r="L128"/>
  <c r="N129"/>
  <c r="L130"/>
  <c r="N131"/>
  <c r="L132"/>
  <c r="N133"/>
  <c r="L134"/>
  <c r="N135"/>
  <c r="L136"/>
  <c r="N137"/>
  <c r="L138"/>
  <c r="N139"/>
  <c r="L140"/>
  <c r="N141"/>
  <c r="L142"/>
  <c r="N143"/>
  <c r="L144"/>
  <c r="N145"/>
  <c r="L146"/>
  <c r="N147"/>
  <c r="L148"/>
  <c r="M236"/>
  <c r="N236"/>
  <c r="L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8"/>
  <c r="L129"/>
  <c r="N130"/>
  <c r="L131"/>
  <c r="N132"/>
  <c r="L133"/>
  <c r="N134"/>
  <c r="L135"/>
  <c r="N136"/>
  <c r="L137"/>
  <c r="N138"/>
  <c r="L139"/>
  <c r="N140"/>
  <c r="L141"/>
  <c r="N142"/>
  <c r="L143"/>
  <c r="N144"/>
  <c r="L145"/>
  <c r="N146"/>
  <c r="L147"/>
  <c r="N148"/>
  <c r="L235" i="311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N236"/>
  <c r="L236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L235" i="306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236"/>
  <c r="N236"/>
  <c r="L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L235" i="307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N236"/>
  <c r="L236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M109"/>
  <c r="M110"/>
  <c r="M111"/>
  <c r="M112"/>
  <c r="M113"/>
  <c r="M114"/>
  <c r="M115"/>
  <c r="M116"/>
  <c r="L235" i="30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N236"/>
  <c r="L236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M35"/>
  <c r="M5" s="1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P112" i="184"/>
  <c r="S112"/>
  <c r="V112"/>
  <c r="P113"/>
  <c r="S113"/>
  <c r="V113"/>
  <c r="P114"/>
  <c r="S114"/>
  <c r="V114"/>
  <c r="P115"/>
  <c r="S115"/>
  <c r="V115"/>
  <c r="P116"/>
  <c r="S116"/>
  <c r="V116"/>
  <c r="P117"/>
  <c r="S117"/>
  <c r="V117"/>
  <c r="P118"/>
  <c r="S118"/>
  <c r="V118"/>
  <c r="P119"/>
  <c r="S119"/>
  <c r="V119"/>
  <c r="P120"/>
  <c r="S120"/>
  <c r="V120"/>
  <c r="P121"/>
  <c r="S121"/>
  <c r="V121"/>
  <c r="P122"/>
  <c r="S122"/>
  <c r="V122"/>
  <c r="P123"/>
  <c r="S123"/>
  <c r="V123"/>
  <c r="P124"/>
  <c r="S124"/>
  <c r="V124"/>
  <c r="P125"/>
  <c r="S125"/>
  <c r="V125"/>
  <c r="P126"/>
  <c r="S126"/>
  <c r="V126"/>
  <c r="P127"/>
  <c r="S127"/>
  <c r="V127"/>
  <c r="P128"/>
  <c r="S128"/>
  <c r="V128"/>
  <c r="O129"/>
  <c r="P129"/>
  <c r="Q129"/>
  <c r="R129"/>
  <c r="S129"/>
  <c r="T129"/>
  <c r="U129"/>
  <c r="V129"/>
  <c r="W129"/>
  <c r="O130"/>
  <c r="P130"/>
  <c r="Q130"/>
  <c r="R130"/>
  <c r="S130"/>
  <c r="T130"/>
  <c r="U130"/>
  <c r="V130"/>
  <c r="W130"/>
  <c r="O131"/>
  <c r="P131"/>
  <c r="Q131"/>
  <c r="R131"/>
  <c r="S131"/>
  <c r="T131"/>
  <c r="U131"/>
  <c r="V131"/>
  <c r="W131"/>
  <c r="O132"/>
  <c r="P132"/>
  <c r="Q132"/>
  <c r="R132"/>
  <c r="S132"/>
  <c r="T132"/>
  <c r="U132"/>
  <c r="V132"/>
  <c r="W132"/>
  <c r="O133"/>
  <c r="P133"/>
  <c r="Q133"/>
  <c r="R133"/>
  <c r="S133"/>
  <c r="T133"/>
  <c r="U133"/>
  <c r="V133"/>
  <c r="W133"/>
  <c r="O134"/>
  <c r="P134"/>
  <c r="Q134"/>
  <c r="R134"/>
  <c r="S134"/>
  <c r="T134"/>
  <c r="U134"/>
  <c r="V134"/>
  <c r="W134"/>
  <c r="O135"/>
  <c r="P135"/>
  <c r="Q135"/>
  <c r="R135"/>
  <c r="S135"/>
  <c r="T135"/>
  <c r="U135"/>
  <c r="V135"/>
  <c r="W135"/>
  <c r="O136"/>
  <c r="P136"/>
  <c r="Q136"/>
  <c r="R136"/>
  <c r="S136"/>
  <c r="T136"/>
  <c r="U136"/>
  <c r="V136"/>
  <c r="W136"/>
  <c r="O137"/>
  <c r="P137"/>
  <c r="Q137"/>
  <c r="R137"/>
  <c r="S137"/>
  <c r="T137"/>
  <c r="U137"/>
  <c r="V137"/>
  <c r="W137"/>
  <c r="O138"/>
  <c r="P138"/>
  <c r="Q138"/>
  <c r="R138"/>
  <c r="S138"/>
  <c r="T138"/>
  <c r="U138"/>
  <c r="V138"/>
  <c r="W138"/>
  <c r="O139"/>
  <c r="P139"/>
  <c r="Q139"/>
  <c r="R139"/>
  <c r="S139"/>
  <c r="T139"/>
  <c r="U139"/>
  <c r="V139"/>
  <c r="W139"/>
  <c r="O140"/>
  <c r="P140"/>
  <c r="Q140"/>
  <c r="R140"/>
  <c r="S140"/>
  <c r="T140"/>
  <c r="U140"/>
  <c r="V140"/>
  <c r="W140"/>
  <c r="O141"/>
  <c r="P141"/>
  <c r="Q141"/>
  <c r="R141"/>
  <c r="S141"/>
  <c r="T141"/>
  <c r="U141"/>
  <c r="V141"/>
  <c r="W141"/>
  <c r="O142"/>
  <c r="P142"/>
  <c r="Q142"/>
  <c r="R142"/>
  <c r="S142"/>
  <c r="T142"/>
  <c r="U142"/>
  <c r="V142"/>
  <c r="W142"/>
  <c r="O143"/>
  <c r="P143"/>
  <c r="Q143"/>
  <c r="R143"/>
  <c r="S143"/>
  <c r="T143"/>
  <c r="U143"/>
  <c r="V143"/>
  <c r="W143"/>
  <c r="O144"/>
  <c r="P144"/>
  <c r="Q144"/>
  <c r="R144"/>
  <c r="S144"/>
  <c r="T144"/>
  <c r="U144"/>
  <c r="V144"/>
  <c r="W144"/>
  <c r="O145"/>
  <c r="P145"/>
  <c r="Q145"/>
  <c r="R145"/>
  <c r="S145"/>
  <c r="T145"/>
  <c r="U145"/>
  <c r="V145"/>
  <c r="W145"/>
  <c r="O146"/>
  <c r="P146"/>
  <c r="Q146"/>
  <c r="R146"/>
  <c r="S146"/>
  <c r="T146"/>
  <c r="U146"/>
  <c r="V146"/>
  <c r="W146"/>
  <c r="O147"/>
  <c r="P147"/>
  <c r="Q147"/>
  <c r="R147"/>
  <c r="S147"/>
  <c r="T147"/>
  <c r="U147"/>
  <c r="V147"/>
  <c r="W147"/>
  <c r="O148"/>
  <c r="P148"/>
  <c r="Q148"/>
  <c r="R148"/>
  <c r="S148"/>
  <c r="T148"/>
  <c r="U148"/>
  <c r="V148"/>
  <c r="W148"/>
  <c r="O149"/>
  <c r="P149"/>
  <c r="Q149"/>
  <c r="R149"/>
  <c r="S149"/>
  <c r="T149"/>
  <c r="U149"/>
  <c r="V149"/>
  <c r="W149"/>
  <c r="O150"/>
  <c r="P150"/>
  <c r="Q150"/>
  <c r="R150"/>
  <c r="S150"/>
  <c r="T150"/>
  <c r="U150"/>
  <c r="V150"/>
  <c r="W150"/>
  <c r="O151"/>
  <c r="P151"/>
  <c r="Q151"/>
  <c r="R151"/>
  <c r="S151"/>
  <c r="T151"/>
  <c r="U151"/>
  <c r="V151"/>
  <c r="W151"/>
  <c r="O152"/>
  <c r="P152"/>
  <c r="Q152"/>
  <c r="R152"/>
  <c r="S152"/>
  <c r="T152"/>
  <c r="U152"/>
  <c r="V152"/>
  <c r="W152"/>
  <c r="O153"/>
  <c r="P153"/>
  <c r="Q153"/>
  <c r="R153"/>
  <c r="S153"/>
  <c r="T153"/>
  <c r="U153"/>
  <c r="V153"/>
  <c r="W153"/>
  <c r="O154"/>
  <c r="P154"/>
  <c r="Q154"/>
  <c r="R154"/>
  <c r="S154"/>
  <c r="T154"/>
  <c r="U154"/>
  <c r="V154"/>
  <c r="W154"/>
  <c r="O155"/>
  <c r="P155"/>
  <c r="Q155"/>
  <c r="R155"/>
  <c r="S155"/>
  <c r="T155"/>
  <c r="U155"/>
  <c r="V155"/>
  <c r="W155"/>
  <c r="O156"/>
  <c r="P156"/>
  <c r="Q156"/>
  <c r="R156"/>
  <c r="S156"/>
  <c r="T156"/>
  <c r="U156"/>
  <c r="V156"/>
  <c r="W156"/>
  <c r="O157"/>
  <c r="P157"/>
  <c r="Q157"/>
  <c r="R157"/>
  <c r="S157"/>
  <c r="T157"/>
  <c r="U157"/>
  <c r="V157"/>
  <c r="W157"/>
  <c r="O158"/>
  <c r="P158"/>
  <c r="Q158"/>
  <c r="R158"/>
  <c r="S158"/>
  <c r="T158"/>
  <c r="U158"/>
  <c r="V158"/>
  <c r="W158"/>
  <c r="O159"/>
  <c r="P159"/>
  <c r="Q159"/>
  <c r="R159"/>
  <c r="S159"/>
  <c r="T159"/>
  <c r="U159"/>
  <c r="V159"/>
  <c r="W159"/>
  <c r="O160"/>
  <c r="P160"/>
  <c r="Q160"/>
  <c r="R160"/>
  <c r="S160"/>
  <c r="T160"/>
  <c r="U160"/>
  <c r="V160"/>
  <c r="W160"/>
  <c r="O161"/>
  <c r="P161"/>
  <c r="Q161"/>
  <c r="R161"/>
  <c r="S161"/>
  <c r="T161"/>
  <c r="U161"/>
  <c r="V161"/>
  <c r="W161"/>
  <c r="O162"/>
  <c r="P162"/>
  <c r="Q162"/>
  <c r="R162"/>
  <c r="S162"/>
  <c r="T162"/>
  <c r="U162"/>
  <c r="V162"/>
  <c r="W162"/>
  <c r="O163"/>
  <c r="P163"/>
  <c r="Q163"/>
  <c r="R163"/>
  <c r="S163"/>
  <c r="T163"/>
  <c r="U163"/>
  <c r="V163"/>
  <c r="W163"/>
  <c r="O164"/>
  <c r="P164"/>
  <c r="Q164"/>
  <c r="R164"/>
  <c r="S164"/>
  <c r="T164"/>
  <c r="U164"/>
  <c r="V164"/>
  <c r="W164"/>
  <c r="O165"/>
  <c r="P165"/>
  <c r="Q165"/>
  <c r="R165"/>
  <c r="S165"/>
  <c r="T165"/>
  <c r="U165"/>
  <c r="V165"/>
  <c r="W165"/>
  <c r="O166"/>
  <c r="P166"/>
  <c r="Q166"/>
  <c r="R166"/>
  <c r="S166"/>
  <c r="T166"/>
  <c r="U166"/>
  <c r="V166"/>
  <c r="W166"/>
  <c r="O167"/>
  <c r="P167"/>
  <c r="Q167"/>
  <c r="R167"/>
  <c r="S167"/>
  <c r="T167"/>
  <c r="U167"/>
  <c r="V167"/>
  <c r="W167"/>
  <c r="O168"/>
  <c r="P168"/>
  <c r="Q168"/>
  <c r="R168"/>
  <c r="S168"/>
  <c r="T168"/>
  <c r="U168"/>
  <c r="V168"/>
  <c r="W168"/>
  <c r="O169"/>
  <c r="P169"/>
  <c r="Q169"/>
  <c r="R169"/>
  <c r="S169"/>
  <c r="T169"/>
  <c r="U169"/>
  <c r="V169"/>
  <c r="W169"/>
  <c r="O170"/>
  <c r="P170"/>
  <c r="Q170"/>
  <c r="R170"/>
  <c r="S170"/>
  <c r="T170"/>
  <c r="U170"/>
  <c r="V170"/>
  <c r="W170"/>
  <c r="O171"/>
  <c r="P171"/>
  <c r="Q171"/>
  <c r="R171"/>
  <c r="S171"/>
  <c r="T171"/>
  <c r="U171"/>
  <c r="V171"/>
  <c r="W171"/>
  <c r="O172"/>
  <c r="P172"/>
  <c r="Q172"/>
  <c r="R172"/>
  <c r="S172"/>
  <c r="T172"/>
  <c r="U172"/>
  <c r="V172"/>
  <c r="W172"/>
  <c r="O173"/>
  <c r="P173"/>
  <c r="Q173"/>
  <c r="R173"/>
  <c r="S173"/>
  <c r="T173"/>
  <c r="U173"/>
  <c r="V173"/>
  <c r="W173"/>
  <c r="O174"/>
  <c r="P174"/>
  <c r="Q174"/>
  <c r="R174"/>
  <c r="S174"/>
  <c r="T174"/>
  <c r="U174"/>
  <c r="V174"/>
  <c r="W174"/>
  <c r="O175"/>
  <c r="P175"/>
  <c r="Q175"/>
  <c r="R175"/>
  <c r="S175"/>
  <c r="T175"/>
  <c r="U175"/>
  <c r="V175"/>
  <c r="W175"/>
  <c r="O176"/>
  <c r="P176"/>
  <c r="Q176"/>
  <c r="R176"/>
  <c r="S176"/>
  <c r="T176"/>
  <c r="U176"/>
  <c r="V176"/>
  <c r="W176"/>
  <c r="O177"/>
  <c r="P177"/>
  <c r="Q177"/>
  <c r="R177"/>
  <c r="S177"/>
  <c r="T177"/>
  <c r="U177"/>
  <c r="V177"/>
  <c r="W177"/>
  <c r="O178"/>
  <c r="P178"/>
  <c r="Q178"/>
  <c r="R178"/>
  <c r="S178"/>
  <c r="T178"/>
  <c r="U178"/>
  <c r="V178"/>
  <c r="W178"/>
  <c r="O179"/>
  <c r="P179"/>
  <c r="Q179"/>
  <c r="R179"/>
  <c r="S179"/>
  <c r="T179"/>
  <c r="U179"/>
  <c r="V179"/>
  <c r="W179"/>
  <c r="O180"/>
  <c r="P180"/>
  <c r="Q180"/>
  <c r="R180"/>
  <c r="S180"/>
  <c r="T180"/>
  <c r="U180"/>
  <c r="V180"/>
  <c r="W180"/>
  <c r="O181"/>
  <c r="P181"/>
  <c r="Q181"/>
  <c r="R181"/>
  <c r="S181"/>
  <c r="T181"/>
  <c r="U181"/>
  <c r="V181"/>
  <c r="W181"/>
  <c r="O182"/>
  <c r="P182"/>
  <c r="Q182"/>
  <c r="R182"/>
  <c r="S182"/>
  <c r="T182"/>
  <c r="U182"/>
  <c r="V182"/>
  <c r="W182"/>
  <c r="O183"/>
  <c r="P183"/>
  <c r="Q183"/>
  <c r="R183"/>
  <c r="S183"/>
  <c r="T183"/>
  <c r="U183"/>
  <c r="V183"/>
  <c r="W183"/>
  <c r="O184"/>
  <c r="P184"/>
  <c r="Q184"/>
  <c r="R184"/>
  <c r="S184"/>
  <c r="T184"/>
  <c r="U184"/>
  <c r="V184"/>
  <c r="W184"/>
  <c r="O185"/>
  <c r="P185"/>
  <c r="Q185"/>
  <c r="R185"/>
  <c r="S185"/>
  <c r="T185"/>
  <c r="U185"/>
  <c r="V185"/>
  <c r="W185"/>
  <c r="O186"/>
  <c r="P186"/>
  <c r="Q186"/>
  <c r="R186"/>
  <c r="S186"/>
  <c r="T186"/>
  <c r="U186"/>
  <c r="V186"/>
  <c r="W186"/>
  <c r="O187"/>
  <c r="P187"/>
  <c r="Q187"/>
  <c r="R187"/>
  <c r="S187"/>
  <c r="T187"/>
  <c r="U187"/>
  <c r="V187"/>
  <c r="W187"/>
  <c r="O188"/>
  <c r="P188"/>
  <c r="Q188"/>
  <c r="R188"/>
  <c r="S188"/>
  <c r="T188"/>
  <c r="U188"/>
  <c r="V188"/>
  <c r="W188"/>
  <c r="O189"/>
  <c r="P189"/>
  <c r="Q189"/>
  <c r="R189"/>
  <c r="S189"/>
  <c r="T189"/>
  <c r="U189"/>
  <c r="V189"/>
  <c r="W189"/>
  <c r="O190"/>
  <c r="P190"/>
  <c r="Q190"/>
  <c r="R190"/>
  <c r="S190"/>
  <c r="T190"/>
  <c r="U190"/>
  <c r="V190"/>
  <c r="W190"/>
  <c r="O191"/>
  <c r="P191"/>
  <c r="Q191"/>
  <c r="R191"/>
  <c r="S191"/>
  <c r="T191"/>
  <c r="U191"/>
  <c r="V191"/>
  <c r="W191"/>
  <c r="O192"/>
  <c r="P192"/>
  <c r="Q192"/>
  <c r="R192"/>
  <c r="S192"/>
  <c r="T192"/>
  <c r="U192"/>
  <c r="V192"/>
  <c r="W192"/>
  <c r="O193"/>
  <c r="P193"/>
  <c r="Q193"/>
  <c r="R193"/>
  <c r="S193"/>
  <c r="T193"/>
  <c r="U193"/>
  <c r="V193"/>
  <c r="W193"/>
  <c r="O194"/>
  <c r="P194"/>
  <c r="Q194"/>
  <c r="R194"/>
  <c r="S194"/>
  <c r="T194"/>
  <c r="U194"/>
  <c r="V194"/>
  <c r="W194"/>
  <c r="O195"/>
  <c r="P195"/>
  <c r="Q195"/>
  <c r="R195"/>
  <c r="S195"/>
  <c r="T195"/>
  <c r="U195"/>
  <c r="V195"/>
  <c r="W195"/>
  <c r="O196"/>
  <c r="P196"/>
  <c r="Q196"/>
  <c r="R196"/>
  <c r="S196"/>
  <c r="T196"/>
  <c r="U196"/>
  <c r="V196"/>
  <c r="W196"/>
  <c r="O197"/>
  <c r="P197"/>
  <c r="Q197"/>
  <c r="R197"/>
  <c r="S197"/>
  <c r="T197"/>
  <c r="U197"/>
  <c r="V197"/>
  <c r="W197"/>
  <c r="O198"/>
  <c r="P198"/>
  <c r="Q198"/>
  <c r="R198"/>
  <c r="S198"/>
  <c r="T198"/>
  <c r="U198"/>
  <c r="V198"/>
  <c r="W198"/>
  <c r="O199"/>
  <c r="P199"/>
  <c r="Q199"/>
  <c r="R199"/>
  <c r="S199"/>
  <c r="T199"/>
  <c r="U199"/>
  <c r="V199"/>
  <c r="W199"/>
  <c r="O200"/>
  <c r="P200"/>
  <c r="Q200"/>
  <c r="R200"/>
  <c r="S200"/>
  <c r="T200"/>
  <c r="U200"/>
  <c r="V200"/>
  <c r="W200"/>
  <c r="O201"/>
  <c r="P201"/>
  <c r="Q201"/>
  <c r="R201"/>
  <c r="S201"/>
  <c r="T201"/>
  <c r="U201"/>
  <c r="V201"/>
  <c r="W201"/>
  <c r="O202"/>
  <c r="P202"/>
  <c r="Q202"/>
  <c r="R202"/>
  <c r="S202"/>
  <c r="T202"/>
  <c r="U202"/>
  <c r="V202"/>
  <c r="W202"/>
  <c r="O203"/>
  <c r="P203"/>
  <c r="Q203"/>
  <c r="R203"/>
  <c r="S203"/>
  <c r="T203"/>
  <c r="U203"/>
  <c r="V203"/>
  <c r="W203"/>
  <c r="O204"/>
  <c r="P204"/>
  <c r="Q204"/>
  <c r="R204"/>
  <c r="S204"/>
  <c r="T204"/>
  <c r="U204"/>
  <c r="V204"/>
  <c r="W204"/>
  <c r="O205"/>
  <c r="P205"/>
  <c r="Q205"/>
  <c r="R205"/>
  <c r="S205"/>
  <c r="T205"/>
  <c r="U205"/>
  <c r="V205"/>
  <c r="W205"/>
  <c r="O206"/>
  <c r="P206"/>
  <c r="Q206"/>
  <c r="R206"/>
  <c r="S206"/>
  <c r="T206"/>
  <c r="U206"/>
  <c r="V206"/>
  <c r="W206"/>
  <c r="O207"/>
  <c r="P207"/>
  <c r="Q207"/>
  <c r="R207"/>
  <c r="S207"/>
  <c r="T207"/>
  <c r="U207"/>
  <c r="V207"/>
  <c r="W207"/>
  <c r="O208"/>
  <c r="P208"/>
  <c r="Q208"/>
  <c r="R208"/>
  <c r="S208"/>
  <c r="T208"/>
  <c r="U208"/>
  <c r="V208"/>
  <c r="W208"/>
  <c r="O209"/>
  <c r="P209"/>
  <c r="Q209"/>
  <c r="R209"/>
  <c r="S209"/>
  <c r="T209"/>
  <c r="U209"/>
  <c r="V209"/>
  <c r="W209"/>
  <c r="O210"/>
  <c r="P210"/>
  <c r="Q210"/>
  <c r="R210"/>
  <c r="S210"/>
  <c r="T210"/>
  <c r="U210"/>
  <c r="V210"/>
  <c r="W210"/>
  <c r="O211"/>
  <c r="P211"/>
  <c r="Q211"/>
  <c r="R211"/>
  <c r="S211"/>
  <c r="T211"/>
  <c r="U211"/>
  <c r="V211"/>
  <c r="W211"/>
  <c r="F11"/>
  <c r="A8"/>
  <c r="A6"/>
  <c r="K2" i="208"/>
  <c r="L2"/>
  <c r="M2"/>
  <c r="O2"/>
  <c r="R2"/>
  <c r="U2"/>
  <c r="K3"/>
  <c r="L3"/>
  <c r="M3"/>
  <c r="O3"/>
  <c r="R3"/>
  <c r="U3"/>
  <c r="K4"/>
  <c r="L4"/>
  <c r="M4"/>
  <c r="O4"/>
  <c r="R4"/>
  <c r="U4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112"/>
  <c r="X113"/>
  <c r="X114"/>
  <c r="X115"/>
  <c r="X116"/>
  <c r="X117"/>
  <c r="X118"/>
  <c r="X119"/>
  <c r="X120"/>
  <c r="X121"/>
  <c r="X122"/>
  <c r="X123"/>
  <c r="X124"/>
  <c r="X125"/>
  <c r="X126"/>
  <c r="X127"/>
  <c r="X128"/>
  <c r="X129"/>
  <c r="X130"/>
  <c r="X131"/>
  <c r="X132"/>
  <c r="X133"/>
  <c r="X134"/>
  <c r="X135"/>
  <c r="X136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1"/>
  <c r="L136" s="1"/>
  <c r="L119"/>
  <c r="L87"/>
  <c r="L55"/>
  <c r="L23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102"/>
  <c r="Z103"/>
  <c r="Z104"/>
  <c r="Z105"/>
  <c r="Z106"/>
  <c r="Z107"/>
  <c r="Z108"/>
  <c r="Z109"/>
  <c r="Z110"/>
  <c r="Z111"/>
  <c r="Z112"/>
  <c r="Z113"/>
  <c r="Z114"/>
  <c r="Z115"/>
  <c r="Z116"/>
  <c r="Z117"/>
  <c r="Z118"/>
  <c r="Z119"/>
  <c r="Z120"/>
  <c r="Z121"/>
  <c r="Z122"/>
  <c r="Z123"/>
  <c r="Z124"/>
  <c r="Z125"/>
  <c r="Z126"/>
  <c r="Z127"/>
  <c r="Z128"/>
  <c r="Z129"/>
  <c r="Z130"/>
  <c r="Z131"/>
  <c r="Z132"/>
  <c r="Z133"/>
  <c r="Z134"/>
  <c r="Z135"/>
  <c r="Z136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Q137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R5"/>
  <c r="T137"/>
  <c r="T136"/>
  <c r="T135"/>
  <c r="T134"/>
  <c r="T133"/>
  <c r="T132"/>
  <c r="T131"/>
  <c r="T130"/>
  <c r="T129"/>
  <c r="T128"/>
  <c r="T127"/>
  <c r="T126"/>
  <c r="T125"/>
  <c r="T124"/>
  <c r="T123"/>
  <c r="T122"/>
  <c r="T121"/>
  <c r="T120"/>
  <c r="T119"/>
  <c r="T118"/>
  <c r="T117"/>
  <c r="T116"/>
  <c r="T115"/>
  <c r="T114"/>
  <c r="T113"/>
  <c r="T112"/>
  <c r="T111"/>
  <c r="T110"/>
  <c r="T109"/>
  <c r="T108"/>
  <c r="T107"/>
  <c r="T106"/>
  <c r="T105"/>
  <c r="T104"/>
  <c r="T103"/>
  <c r="T102"/>
  <c r="T101"/>
  <c r="T100"/>
  <c r="T99"/>
  <c r="T98"/>
  <c r="T97"/>
  <c r="T96"/>
  <c r="T95"/>
  <c r="T94"/>
  <c r="T93"/>
  <c r="T92"/>
  <c r="T91"/>
  <c r="T90"/>
  <c r="T89"/>
  <c r="T88"/>
  <c r="T87"/>
  <c r="T86"/>
  <c r="T85"/>
  <c r="T84"/>
  <c r="T83"/>
  <c r="T82"/>
  <c r="T81"/>
  <c r="T80"/>
  <c r="T79"/>
  <c r="T78"/>
  <c r="T77"/>
  <c r="T76"/>
  <c r="T75"/>
  <c r="T74"/>
  <c r="T73"/>
  <c r="T72"/>
  <c r="T71"/>
  <c r="T70"/>
  <c r="T69"/>
  <c r="T68"/>
  <c r="T67"/>
  <c r="T66"/>
  <c r="T65"/>
  <c r="T64"/>
  <c r="T63"/>
  <c r="T62"/>
  <c r="T61"/>
  <c r="T60"/>
  <c r="T59"/>
  <c r="T58"/>
  <c r="T57"/>
  <c r="T56"/>
  <c r="T55"/>
  <c r="T54"/>
  <c r="T53"/>
  <c r="T52"/>
  <c r="T51"/>
  <c r="T50"/>
  <c r="T49"/>
  <c r="T48"/>
  <c r="T47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U5" s="1"/>
  <c r="F11"/>
  <c r="O8" s="1"/>
  <c r="R8"/>
  <c r="Q8" s="1"/>
  <c r="E11"/>
  <c r="G11"/>
  <c r="H11"/>
  <c r="I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89"/>
  <c r="U90"/>
  <c r="U91"/>
  <c r="U92"/>
  <c r="U93"/>
  <c r="U94"/>
  <c r="U95"/>
  <c r="U96"/>
  <c r="U97"/>
  <c r="U98"/>
  <c r="U99"/>
  <c r="U100"/>
  <c r="U101"/>
  <c r="U102"/>
  <c r="U103"/>
  <c r="U104"/>
  <c r="U105"/>
  <c r="U106"/>
  <c r="U107"/>
  <c r="U108"/>
  <c r="U109"/>
  <c r="U110"/>
  <c r="U111"/>
  <c r="U112"/>
  <c r="U113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131"/>
  <c r="U132"/>
  <c r="U133"/>
  <c r="U134"/>
  <c r="U135"/>
  <c r="U136"/>
  <c r="P12"/>
  <c r="S12"/>
  <c r="V12"/>
  <c r="P13"/>
  <c r="S13"/>
  <c r="V13"/>
  <c r="P14"/>
  <c r="S14"/>
  <c r="V14"/>
  <c r="P15"/>
  <c r="S15"/>
  <c r="V15"/>
  <c r="P16"/>
  <c r="S16"/>
  <c r="V16"/>
  <c r="P17"/>
  <c r="S17"/>
  <c r="V17"/>
  <c r="P18"/>
  <c r="S18"/>
  <c r="V18"/>
  <c r="P19"/>
  <c r="S19"/>
  <c r="V19"/>
  <c r="P20"/>
  <c r="S20"/>
  <c r="V20"/>
  <c r="P21"/>
  <c r="S21"/>
  <c r="V21"/>
  <c r="P22"/>
  <c r="S22"/>
  <c r="V22"/>
  <c r="P23"/>
  <c r="S23"/>
  <c r="V23"/>
  <c r="P24"/>
  <c r="S24"/>
  <c r="V24"/>
  <c r="P25"/>
  <c r="S25"/>
  <c r="V25"/>
  <c r="P26"/>
  <c r="S26"/>
  <c r="V26"/>
  <c r="P27"/>
  <c r="S27"/>
  <c r="V27"/>
  <c r="P28"/>
  <c r="S28"/>
  <c r="V28"/>
  <c r="P29"/>
  <c r="S29"/>
  <c r="V29"/>
  <c r="P30"/>
  <c r="S30"/>
  <c r="V30"/>
  <c r="P31"/>
  <c r="S31"/>
  <c r="V31"/>
  <c r="P32"/>
  <c r="S32"/>
  <c r="V32"/>
  <c r="P33"/>
  <c r="S33"/>
  <c r="V33"/>
  <c r="P34"/>
  <c r="S34"/>
  <c r="V34"/>
  <c r="P35"/>
  <c r="S35"/>
  <c r="V35"/>
  <c r="P36"/>
  <c r="S36"/>
  <c r="V36"/>
  <c r="P37"/>
  <c r="S37"/>
  <c r="V37"/>
  <c r="P38"/>
  <c r="S38"/>
  <c r="V38"/>
  <c r="P39"/>
  <c r="S39"/>
  <c r="V39"/>
  <c r="P40"/>
  <c r="S40"/>
  <c r="V40"/>
  <c r="P41"/>
  <c r="S41"/>
  <c r="V41"/>
  <c r="P42"/>
  <c r="S42"/>
  <c r="V42"/>
  <c r="P43"/>
  <c r="S43"/>
  <c r="V43"/>
  <c r="P44"/>
  <c r="S44"/>
  <c r="V44"/>
  <c r="P45"/>
  <c r="S45"/>
  <c r="V45"/>
  <c r="P46"/>
  <c r="S46"/>
  <c r="V46"/>
  <c r="P47"/>
  <c r="S47"/>
  <c r="V47"/>
  <c r="P48"/>
  <c r="S48"/>
  <c r="V48"/>
  <c r="P49"/>
  <c r="S49"/>
  <c r="V49"/>
  <c r="P50"/>
  <c r="S50"/>
  <c r="V50"/>
  <c r="P51"/>
  <c r="S51"/>
  <c r="V51"/>
  <c r="P52"/>
  <c r="S52"/>
  <c r="V52"/>
  <c r="P53"/>
  <c r="S53"/>
  <c r="V53"/>
  <c r="P54"/>
  <c r="S54"/>
  <c r="V54"/>
  <c r="P55"/>
  <c r="S55"/>
  <c r="V55"/>
  <c r="P56"/>
  <c r="S56"/>
  <c r="V56"/>
  <c r="P57"/>
  <c r="S57"/>
  <c r="V57"/>
  <c r="P58"/>
  <c r="S58"/>
  <c r="V58"/>
  <c r="P59"/>
  <c r="S59"/>
  <c r="V59"/>
  <c r="P60"/>
  <c r="S60"/>
  <c r="V60"/>
  <c r="P61"/>
  <c r="S61"/>
  <c r="V61"/>
  <c r="P62"/>
  <c r="S62"/>
  <c r="V62"/>
  <c r="P63"/>
  <c r="S63"/>
  <c r="V63"/>
  <c r="P64"/>
  <c r="S64"/>
  <c r="V64"/>
  <c r="P65"/>
  <c r="S65"/>
  <c r="V65"/>
  <c r="P66"/>
  <c r="S66"/>
  <c r="V66"/>
  <c r="P67"/>
  <c r="S67"/>
  <c r="V67"/>
  <c r="P68"/>
  <c r="S68"/>
  <c r="V68"/>
  <c r="P69"/>
  <c r="S69"/>
  <c r="V69"/>
  <c r="P70"/>
  <c r="S70"/>
  <c r="V70"/>
  <c r="P71"/>
  <c r="S71"/>
  <c r="V71"/>
  <c r="P72"/>
  <c r="S72"/>
  <c r="V72"/>
  <c r="P73"/>
  <c r="S73"/>
  <c r="V73"/>
  <c r="P74"/>
  <c r="S74"/>
  <c r="V74"/>
  <c r="P75"/>
  <c r="S75"/>
  <c r="V75"/>
  <c r="P76"/>
  <c r="S76"/>
  <c r="V76"/>
  <c r="P77"/>
  <c r="S77"/>
  <c r="V77"/>
  <c r="P78"/>
  <c r="S78"/>
  <c r="V78"/>
  <c r="P79"/>
  <c r="S79"/>
  <c r="V79"/>
  <c r="P80"/>
  <c r="S80"/>
  <c r="V80"/>
  <c r="P81"/>
  <c r="S81"/>
  <c r="V81"/>
  <c r="P82"/>
  <c r="S82"/>
  <c r="V82"/>
  <c r="P83"/>
  <c r="S83"/>
  <c r="V83"/>
  <c r="P84"/>
  <c r="S84"/>
  <c r="V84"/>
  <c r="P85"/>
  <c r="S85"/>
  <c r="V85"/>
  <c r="P86"/>
  <c r="S86"/>
  <c r="V86"/>
  <c r="P87"/>
  <c r="S87"/>
  <c r="V87"/>
  <c r="P88"/>
  <c r="S88"/>
  <c r="V88"/>
  <c r="P89"/>
  <c r="S89"/>
  <c r="V89"/>
  <c r="P90"/>
  <c r="S90"/>
  <c r="V90"/>
  <c r="P91"/>
  <c r="S91"/>
  <c r="V91"/>
  <c r="P92"/>
  <c r="S92"/>
  <c r="V92"/>
  <c r="P93"/>
  <c r="S93"/>
  <c r="V93"/>
  <c r="P94"/>
  <c r="S94"/>
  <c r="V94"/>
  <c r="P95"/>
  <c r="S95"/>
  <c r="V95"/>
  <c r="P96"/>
  <c r="S96"/>
  <c r="V96"/>
  <c r="P97"/>
  <c r="S97"/>
  <c r="V97"/>
  <c r="P98"/>
  <c r="S98"/>
  <c r="V98"/>
  <c r="P99"/>
  <c r="S99"/>
  <c r="V99"/>
  <c r="P100"/>
  <c r="S100"/>
  <c r="V100"/>
  <c r="P101"/>
  <c r="S101"/>
  <c r="V101"/>
  <c r="P102"/>
  <c r="S102"/>
  <c r="V102"/>
  <c r="P103"/>
  <c r="S103"/>
  <c r="V103"/>
  <c r="P104"/>
  <c r="S104"/>
  <c r="V104"/>
  <c r="P105"/>
  <c r="S105"/>
  <c r="V105"/>
  <c r="P106"/>
  <c r="S106"/>
  <c r="V106"/>
  <c r="P107"/>
  <c r="S107"/>
  <c r="V107"/>
  <c r="P108"/>
  <c r="S108"/>
  <c r="V108"/>
  <c r="P109"/>
  <c r="S109"/>
  <c r="V109"/>
  <c r="P110"/>
  <c r="S110"/>
  <c r="V110"/>
  <c r="P111"/>
  <c r="S111"/>
  <c r="V111"/>
  <c r="P112"/>
  <c r="S112"/>
  <c r="V112"/>
  <c r="P113"/>
  <c r="S113"/>
  <c r="V113"/>
  <c r="P114"/>
  <c r="S114"/>
  <c r="V114"/>
  <c r="P115"/>
  <c r="S115"/>
  <c r="V115"/>
  <c r="P116"/>
  <c r="S116"/>
  <c r="V116"/>
  <c r="P117"/>
  <c r="S117"/>
  <c r="V117"/>
  <c r="P118"/>
  <c r="S118"/>
  <c r="V118"/>
  <c r="P119"/>
  <c r="S119"/>
  <c r="V119"/>
  <c r="P120"/>
  <c r="S120"/>
  <c r="V120"/>
  <c r="P121"/>
  <c r="S121"/>
  <c r="V121"/>
  <c r="P122"/>
  <c r="S122"/>
  <c r="V122"/>
  <c r="P123"/>
  <c r="S123"/>
  <c r="V123"/>
  <c r="P124"/>
  <c r="S124"/>
  <c r="V124"/>
  <c r="P125"/>
  <c r="S125"/>
  <c r="V125"/>
  <c r="P126"/>
  <c r="S126"/>
  <c r="V126"/>
  <c r="P127"/>
  <c r="S127"/>
  <c r="V127"/>
  <c r="P128"/>
  <c r="S128"/>
  <c r="V128"/>
  <c r="P129"/>
  <c r="S129"/>
  <c r="V129"/>
  <c r="P130"/>
  <c r="S130"/>
  <c r="V130"/>
  <c r="P131"/>
  <c r="S131"/>
  <c r="V131"/>
  <c r="P132"/>
  <c r="S132"/>
  <c r="V132"/>
  <c r="P133"/>
  <c r="S133"/>
  <c r="V133"/>
  <c r="P134"/>
  <c r="S134"/>
  <c r="V134"/>
  <c r="P135"/>
  <c r="S135"/>
  <c r="V135"/>
  <c r="P136"/>
  <c r="S136"/>
  <c r="V136"/>
  <c r="O137"/>
  <c r="P137"/>
  <c r="R137"/>
  <c r="S137"/>
  <c r="U137"/>
  <c r="V137"/>
  <c r="W137"/>
  <c r="X137"/>
  <c r="Y137"/>
  <c r="Z137"/>
  <c r="C58" i="5"/>
  <c r="E58"/>
  <c r="D58"/>
  <c r="Y12" i="184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211"/>
  <c r="Y212"/>
  <c r="Y213"/>
  <c r="Y214"/>
  <c r="Y215"/>
  <c r="Y216"/>
  <c r="Y217"/>
  <c r="Y218"/>
  <c r="Y219"/>
  <c r="Y220"/>
  <c r="Y221"/>
  <c r="Y222"/>
  <c r="Y223"/>
  <c r="Y224"/>
  <c r="Y225"/>
  <c r="Y226"/>
  <c r="Y227"/>
  <c r="Y228"/>
  <c r="Y229"/>
  <c r="Y230"/>
  <c r="Y231"/>
  <c r="Y232"/>
  <c r="Y233"/>
  <c r="Y234"/>
  <c r="Y235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102"/>
  <c r="Z103"/>
  <c r="Z104"/>
  <c r="Z105"/>
  <c r="Z106"/>
  <c r="Z107"/>
  <c r="Z108"/>
  <c r="Z109"/>
  <c r="Z110"/>
  <c r="Z111"/>
  <c r="Z211"/>
  <c r="Z212"/>
  <c r="Z213"/>
  <c r="Z214"/>
  <c r="Z215"/>
  <c r="Z216"/>
  <c r="Z217"/>
  <c r="Z218"/>
  <c r="Z219"/>
  <c r="Z220"/>
  <c r="Z221"/>
  <c r="Z222"/>
  <c r="Z223"/>
  <c r="Z224"/>
  <c r="Z225"/>
  <c r="Z226"/>
  <c r="Z227"/>
  <c r="Z228"/>
  <c r="Z229"/>
  <c r="Z230"/>
  <c r="Z231"/>
  <c r="Z232"/>
  <c r="Z233"/>
  <c r="Z234"/>
  <c r="Z235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38"/>
  <c r="AA39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AA58"/>
  <c r="AA59"/>
  <c r="AA60"/>
  <c r="AA61"/>
  <c r="AA62"/>
  <c r="AA63"/>
  <c r="AA64"/>
  <c r="AA65"/>
  <c r="AA66"/>
  <c r="AA67"/>
  <c r="AA68"/>
  <c r="AA69"/>
  <c r="AA70"/>
  <c r="AA71"/>
  <c r="AA72"/>
  <c r="AA73"/>
  <c r="AA74"/>
  <c r="AA75"/>
  <c r="AA76"/>
  <c r="AA77"/>
  <c r="AA78"/>
  <c r="AA79"/>
  <c r="AA80"/>
  <c r="AA81"/>
  <c r="AA82"/>
  <c r="AA83"/>
  <c r="AA84"/>
  <c r="AA85"/>
  <c r="AA86"/>
  <c r="AA87"/>
  <c r="AA88"/>
  <c r="AA89"/>
  <c r="AA90"/>
  <c r="AA91"/>
  <c r="AA92"/>
  <c r="AA93"/>
  <c r="AA94"/>
  <c r="AA95"/>
  <c r="AA96"/>
  <c r="AA97"/>
  <c r="AA98"/>
  <c r="AA99"/>
  <c r="AA100"/>
  <c r="AA101"/>
  <c r="AA102"/>
  <c r="AA103"/>
  <c r="AA104"/>
  <c r="AA105"/>
  <c r="AA106"/>
  <c r="AA107"/>
  <c r="AA108"/>
  <c r="AA109"/>
  <c r="AA110"/>
  <c r="AA111"/>
  <c r="AA211"/>
  <c r="AA212"/>
  <c r="AA213"/>
  <c r="AA214"/>
  <c r="AA215"/>
  <c r="AA216"/>
  <c r="AA217"/>
  <c r="AA218"/>
  <c r="AA219"/>
  <c r="AA220"/>
  <c r="AA221"/>
  <c r="AA222"/>
  <c r="AA223"/>
  <c r="AA224"/>
  <c r="AA225"/>
  <c r="AA226"/>
  <c r="AA227"/>
  <c r="AA228"/>
  <c r="AA229"/>
  <c r="AA230"/>
  <c r="AA231"/>
  <c r="AA232"/>
  <c r="AA233"/>
  <c r="AA234"/>
  <c r="AA235"/>
  <c r="X13"/>
  <c r="X12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211"/>
  <c r="X212"/>
  <c r="X213"/>
  <c r="X214"/>
  <c r="X215"/>
  <c r="X216"/>
  <c r="X217"/>
  <c r="X218"/>
  <c r="X219"/>
  <c r="X220"/>
  <c r="X221"/>
  <c r="X222"/>
  <c r="X223"/>
  <c r="X224"/>
  <c r="X225"/>
  <c r="X226"/>
  <c r="X227"/>
  <c r="X228"/>
  <c r="X229"/>
  <c r="X230"/>
  <c r="X231"/>
  <c r="X232"/>
  <c r="X233"/>
  <c r="X234"/>
  <c r="X235"/>
  <c r="L3"/>
  <c r="L4" s="1"/>
  <c r="M3"/>
  <c r="N3"/>
  <c r="P3"/>
  <c r="S3"/>
  <c r="V3"/>
  <c r="G11"/>
  <c r="H11"/>
  <c r="P235"/>
  <c r="O235"/>
  <c r="P234"/>
  <c r="O234"/>
  <c r="P233"/>
  <c r="O233"/>
  <c r="P232"/>
  <c r="O232"/>
  <c r="O231"/>
  <c r="P230"/>
  <c r="O230"/>
  <c r="P229"/>
  <c r="O229"/>
  <c r="O228"/>
  <c r="O227"/>
  <c r="P226"/>
  <c r="O226"/>
  <c r="P225"/>
  <c r="O225"/>
  <c r="P224"/>
  <c r="O224"/>
  <c r="O223"/>
  <c r="O222"/>
  <c r="P221"/>
  <c r="O221"/>
  <c r="P220"/>
  <c r="O220"/>
  <c r="P219"/>
  <c r="O219"/>
  <c r="P218"/>
  <c r="O218"/>
  <c r="O217"/>
  <c r="P216"/>
  <c r="O216"/>
  <c r="O215"/>
  <c r="O214"/>
  <c r="P213"/>
  <c r="O213"/>
  <c r="P212"/>
  <c r="O212"/>
  <c r="P111"/>
  <c r="P110"/>
  <c r="P109"/>
  <c r="P108"/>
  <c r="P106"/>
  <c r="P105"/>
  <c r="P102"/>
  <c r="P101"/>
  <c r="P100"/>
  <c r="P97"/>
  <c r="P96"/>
  <c r="P95"/>
  <c r="P94"/>
  <c r="P92"/>
  <c r="P89"/>
  <c r="P88"/>
  <c r="P87"/>
  <c r="P86"/>
  <c r="P85"/>
  <c r="P84"/>
  <c r="P83"/>
  <c r="P81"/>
  <c r="P80"/>
  <c r="P77"/>
  <c r="P76"/>
  <c r="P75"/>
  <c r="P72"/>
  <c r="P71"/>
  <c r="P70"/>
  <c r="P69"/>
  <c r="P67"/>
  <c r="P64"/>
  <c r="P63"/>
  <c r="P62"/>
  <c r="P61"/>
  <c r="P60"/>
  <c r="P59"/>
  <c r="P58"/>
  <c r="P56"/>
  <c r="P55"/>
  <c r="P52"/>
  <c r="P51"/>
  <c r="P50"/>
  <c r="P47"/>
  <c r="P46"/>
  <c r="P45"/>
  <c r="P44"/>
  <c r="P42"/>
  <c r="P39"/>
  <c r="P38"/>
  <c r="P37"/>
  <c r="P36"/>
  <c r="P35"/>
  <c r="P34"/>
  <c r="P33"/>
  <c r="P31"/>
  <c r="P30"/>
  <c r="P27"/>
  <c r="P26"/>
  <c r="P25"/>
  <c r="P22"/>
  <c r="P21"/>
  <c r="P20"/>
  <c r="P19"/>
  <c r="P18"/>
  <c r="P17"/>
  <c r="P16"/>
  <c r="P15"/>
  <c r="P14"/>
  <c r="P13"/>
  <c r="P12"/>
  <c r="O236"/>
  <c r="I11"/>
  <c r="S235"/>
  <c r="R235"/>
  <c r="S234"/>
  <c r="R234"/>
  <c r="S233"/>
  <c r="R233"/>
  <c r="S232"/>
  <c r="R232"/>
  <c r="R231"/>
  <c r="S230"/>
  <c r="R230"/>
  <c r="S229"/>
  <c r="R229"/>
  <c r="R228"/>
  <c r="R227"/>
  <c r="S226"/>
  <c r="R226"/>
  <c r="S225"/>
  <c r="R225"/>
  <c r="S224"/>
  <c r="R224"/>
  <c r="R223"/>
  <c r="R222"/>
  <c r="S221"/>
  <c r="R221"/>
  <c r="S220"/>
  <c r="R220"/>
  <c r="S219"/>
  <c r="R219"/>
  <c r="S218"/>
  <c r="R218"/>
  <c r="R217"/>
  <c r="S216"/>
  <c r="R216"/>
  <c r="R215"/>
  <c r="R214"/>
  <c r="S213"/>
  <c r="R213"/>
  <c r="S212"/>
  <c r="R212"/>
  <c r="S111"/>
  <c r="S110"/>
  <c r="S109"/>
  <c r="S108"/>
  <c r="S106"/>
  <c r="S105"/>
  <c r="S102"/>
  <c r="S101"/>
  <c r="S100"/>
  <c r="S97"/>
  <c r="S96"/>
  <c r="S95"/>
  <c r="S94"/>
  <c r="S92"/>
  <c r="S89"/>
  <c r="S88"/>
  <c r="S87"/>
  <c r="S86"/>
  <c r="S85"/>
  <c r="S84"/>
  <c r="S83"/>
  <c r="S81"/>
  <c r="S80"/>
  <c r="S77"/>
  <c r="S76"/>
  <c r="S75"/>
  <c r="S72"/>
  <c r="S71"/>
  <c r="S70"/>
  <c r="S69"/>
  <c r="S67"/>
  <c r="S64"/>
  <c r="S63"/>
  <c r="S62"/>
  <c r="S61"/>
  <c r="S60"/>
  <c r="S59"/>
  <c r="S58"/>
  <c r="S56"/>
  <c r="S55"/>
  <c r="S52"/>
  <c r="S51"/>
  <c r="S50"/>
  <c r="S47"/>
  <c r="S46"/>
  <c r="S45"/>
  <c r="S44"/>
  <c r="S42"/>
  <c r="S39"/>
  <c r="S38"/>
  <c r="S37"/>
  <c r="S36"/>
  <c r="S35"/>
  <c r="S34"/>
  <c r="S33"/>
  <c r="S31"/>
  <c r="S30"/>
  <c r="S27"/>
  <c r="S26"/>
  <c r="S25"/>
  <c r="S22"/>
  <c r="S21"/>
  <c r="S20"/>
  <c r="S19"/>
  <c r="S18"/>
  <c r="S17"/>
  <c r="S16"/>
  <c r="S15"/>
  <c r="S14"/>
  <c r="S13"/>
  <c r="S12"/>
  <c r="R236"/>
  <c r="J11"/>
  <c r="V235"/>
  <c r="U235"/>
  <c r="V234"/>
  <c r="U234"/>
  <c r="V233"/>
  <c r="U233"/>
  <c r="V232"/>
  <c r="U232"/>
  <c r="U231"/>
  <c r="V230"/>
  <c r="U230"/>
  <c r="V229"/>
  <c r="U229"/>
  <c r="U228"/>
  <c r="U227"/>
  <c r="V226"/>
  <c r="U226"/>
  <c r="V225"/>
  <c r="U225"/>
  <c r="V224"/>
  <c r="U224"/>
  <c r="U223"/>
  <c r="U222"/>
  <c r="V221"/>
  <c r="U221"/>
  <c r="V220"/>
  <c r="U220"/>
  <c r="V219"/>
  <c r="U219"/>
  <c r="V218"/>
  <c r="U218"/>
  <c r="U217"/>
  <c r="V216"/>
  <c r="U216"/>
  <c r="U215"/>
  <c r="U214"/>
  <c r="V213"/>
  <c r="U213"/>
  <c r="V212"/>
  <c r="U212"/>
  <c r="V111"/>
  <c r="V110"/>
  <c r="V109"/>
  <c r="V108"/>
  <c r="V106"/>
  <c r="V105"/>
  <c r="V102"/>
  <c r="V101"/>
  <c r="V100"/>
  <c r="V97"/>
  <c r="V96"/>
  <c r="V95"/>
  <c r="V94"/>
  <c r="V92"/>
  <c r="V89"/>
  <c r="V88"/>
  <c r="V87"/>
  <c r="V86"/>
  <c r="V85"/>
  <c r="V84"/>
  <c r="V83"/>
  <c r="V81"/>
  <c r="V80"/>
  <c r="V77"/>
  <c r="V76"/>
  <c r="V75"/>
  <c r="V72"/>
  <c r="V71"/>
  <c r="V70"/>
  <c r="V69"/>
  <c r="V67"/>
  <c r="V64"/>
  <c r="V63"/>
  <c r="V62"/>
  <c r="V61"/>
  <c r="V60"/>
  <c r="V59"/>
  <c r="V58"/>
  <c r="V56"/>
  <c r="V55"/>
  <c r="V52"/>
  <c r="V51"/>
  <c r="V50"/>
  <c r="V47"/>
  <c r="V46"/>
  <c r="V45"/>
  <c r="V44"/>
  <c r="V42"/>
  <c r="V39"/>
  <c r="V38"/>
  <c r="V37"/>
  <c r="V36"/>
  <c r="V35"/>
  <c r="V34"/>
  <c r="V33"/>
  <c r="V31"/>
  <c r="V30"/>
  <c r="V27"/>
  <c r="V26"/>
  <c r="V25"/>
  <c r="V22"/>
  <c r="V21"/>
  <c r="V20"/>
  <c r="V19"/>
  <c r="V18"/>
  <c r="V17"/>
  <c r="V16"/>
  <c r="V15"/>
  <c r="V14"/>
  <c r="V13"/>
  <c r="V12"/>
  <c r="U236"/>
  <c r="P23"/>
  <c r="P24"/>
  <c r="P28"/>
  <c r="P29"/>
  <c r="P32"/>
  <c r="P40"/>
  <c r="P41"/>
  <c r="P43"/>
  <c r="P48"/>
  <c r="P49"/>
  <c r="P53"/>
  <c r="P54"/>
  <c r="P57"/>
  <c r="P65"/>
  <c r="P66"/>
  <c r="P68"/>
  <c r="P73"/>
  <c r="P74"/>
  <c r="P78"/>
  <c r="P79"/>
  <c r="P82"/>
  <c r="P90"/>
  <c r="P91"/>
  <c r="P93"/>
  <c r="P98"/>
  <c r="P99"/>
  <c r="P103"/>
  <c r="P104"/>
  <c r="P107"/>
  <c r="P214"/>
  <c r="P215"/>
  <c r="P217"/>
  <c r="P222"/>
  <c r="P223"/>
  <c r="P227"/>
  <c r="P228"/>
  <c r="P231"/>
  <c r="S23"/>
  <c r="S24"/>
  <c r="S28"/>
  <c r="S29"/>
  <c r="S32"/>
  <c r="S40"/>
  <c r="S41"/>
  <c r="S43"/>
  <c r="S48"/>
  <c r="S49"/>
  <c r="S53"/>
  <c r="S54"/>
  <c r="S57"/>
  <c r="S65"/>
  <c r="S66"/>
  <c r="S68"/>
  <c r="S73"/>
  <c r="S74"/>
  <c r="S78"/>
  <c r="S79"/>
  <c r="S82"/>
  <c r="S90"/>
  <c r="S91"/>
  <c r="S93"/>
  <c r="S98"/>
  <c r="S99"/>
  <c r="S103"/>
  <c r="S104"/>
  <c r="S107"/>
  <c r="S214"/>
  <c r="S215"/>
  <c r="S217"/>
  <c r="S222"/>
  <c r="S223"/>
  <c r="S227"/>
  <c r="S228"/>
  <c r="S231"/>
  <c r="V23"/>
  <c r="V24"/>
  <c r="V28"/>
  <c r="V29"/>
  <c r="V32"/>
  <c r="V40"/>
  <c r="V41"/>
  <c r="V43"/>
  <c r="V48"/>
  <c r="V49"/>
  <c r="V53"/>
  <c r="V54"/>
  <c r="V57"/>
  <c r="V65"/>
  <c r="V66"/>
  <c r="V68"/>
  <c r="V73"/>
  <c r="V74"/>
  <c r="V78"/>
  <c r="V79"/>
  <c r="V82"/>
  <c r="V90"/>
  <c r="V91"/>
  <c r="V93"/>
  <c r="V98"/>
  <c r="V99"/>
  <c r="V103"/>
  <c r="V104"/>
  <c r="V107"/>
  <c r="V214"/>
  <c r="V215"/>
  <c r="V217"/>
  <c r="V222"/>
  <c r="V223"/>
  <c r="V227"/>
  <c r="V228"/>
  <c r="V231"/>
  <c r="Q212"/>
  <c r="T212"/>
  <c r="W212"/>
  <c r="Q213"/>
  <c r="T213"/>
  <c r="W213"/>
  <c r="Q214"/>
  <c r="T214"/>
  <c r="W214"/>
  <c r="Q215"/>
  <c r="T215"/>
  <c r="W215"/>
  <c r="Q216"/>
  <c r="T216"/>
  <c r="W216"/>
  <c r="Q217"/>
  <c r="T217"/>
  <c r="W217"/>
  <c r="Q218"/>
  <c r="T218"/>
  <c r="W218"/>
  <c r="Q219"/>
  <c r="T219"/>
  <c r="W219"/>
  <c r="Q220"/>
  <c r="T220"/>
  <c r="W220"/>
  <c r="Q221"/>
  <c r="T221"/>
  <c r="W221"/>
  <c r="Q222"/>
  <c r="T222"/>
  <c r="W222"/>
  <c r="Q223"/>
  <c r="T223"/>
  <c r="W223"/>
  <c r="Q224"/>
  <c r="T224"/>
  <c r="W224"/>
  <c r="Q225"/>
  <c r="T225"/>
  <c r="W225"/>
  <c r="Q226"/>
  <c r="T226"/>
  <c r="W226"/>
  <c r="Q227"/>
  <c r="T227"/>
  <c r="W227"/>
  <c r="Q228"/>
  <c r="T228"/>
  <c r="W228"/>
  <c r="Q229"/>
  <c r="T229"/>
  <c r="W229"/>
  <c r="Q230"/>
  <c r="T230"/>
  <c r="W230"/>
  <c r="Q231"/>
  <c r="T231"/>
  <c r="W231"/>
  <c r="Q232"/>
  <c r="T232"/>
  <c r="W232"/>
  <c r="Q233"/>
  <c r="T233"/>
  <c r="W233"/>
  <c r="Q234"/>
  <c r="T234"/>
  <c r="W234"/>
  <c r="Q235"/>
  <c r="T235"/>
  <c r="W235"/>
  <c r="P236"/>
  <c r="Q236"/>
  <c r="S236"/>
  <c r="T236"/>
  <c r="V236"/>
  <c r="W236"/>
  <c r="X236"/>
  <c r="Y236"/>
  <c r="Z236"/>
  <c r="AA236"/>
  <c r="K3" i="87"/>
  <c r="K3" i="86"/>
  <c r="L3" i="87"/>
  <c r="L3" i="86"/>
  <c r="M3" i="87"/>
  <c r="M3" i="86"/>
  <c r="K2" i="87"/>
  <c r="K4" s="1"/>
  <c r="K2" i="86"/>
  <c r="K4" s="1"/>
  <c r="L2" i="87"/>
  <c r="L4" s="1"/>
  <c r="L2" i="86"/>
  <c r="L4" s="1"/>
  <c r="M2" i="87"/>
  <c r="M4" s="1"/>
  <c r="M2" i="86"/>
  <c r="M4" s="1"/>
  <c r="W12" i="87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W12" i="86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X12" i="87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112"/>
  <c r="X113"/>
  <c r="X114"/>
  <c r="X115"/>
  <c r="X116"/>
  <c r="X117"/>
  <c r="X118"/>
  <c r="X119"/>
  <c r="X120"/>
  <c r="X121"/>
  <c r="X122"/>
  <c r="X123"/>
  <c r="X124"/>
  <c r="X125"/>
  <c r="X126"/>
  <c r="X127"/>
  <c r="X128"/>
  <c r="X129"/>
  <c r="X130"/>
  <c r="X131"/>
  <c r="X132"/>
  <c r="X133"/>
  <c r="X134"/>
  <c r="X135"/>
  <c r="X136"/>
  <c r="X12" i="86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112"/>
  <c r="X113"/>
  <c r="X114"/>
  <c r="X115"/>
  <c r="X116"/>
  <c r="X117"/>
  <c r="X118"/>
  <c r="X119"/>
  <c r="X120"/>
  <c r="X121"/>
  <c r="X122"/>
  <c r="X123"/>
  <c r="X124"/>
  <c r="X125"/>
  <c r="X126"/>
  <c r="X127"/>
  <c r="X128"/>
  <c r="X129"/>
  <c r="X130"/>
  <c r="X131"/>
  <c r="X132"/>
  <c r="X133"/>
  <c r="X134"/>
  <c r="X135"/>
  <c r="X136"/>
  <c r="Y12" i="87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2" i="86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O3" i="87"/>
  <c r="O3" i="86"/>
  <c r="R3" i="87"/>
  <c r="R3" i="86"/>
  <c r="U3" i="87"/>
  <c r="U3" i="86"/>
  <c r="O2" i="87"/>
  <c r="O4" s="1"/>
  <c r="O2" i="86"/>
  <c r="O4" s="1"/>
  <c r="R2" i="87"/>
  <c r="R4" s="1"/>
  <c r="R2" i="86"/>
  <c r="R4" s="1"/>
  <c r="U2" i="87"/>
  <c r="U4" s="1"/>
  <c r="U2" i="86"/>
  <c r="U4" s="1"/>
  <c r="N137" i="8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O6" s="1"/>
  <c r="N12"/>
  <c r="O5"/>
  <c r="N137" i="86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O6"/>
  <c r="N12"/>
  <c r="O5"/>
  <c r="Q137" i="87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R6"/>
  <c r="Q12"/>
  <c r="R5"/>
  <c r="Q137" i="86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R5" s="1"/>
  <c r="T137" i="87"/>
  <c r="T136"/>
  <c r="T135"/>
  <c r="T134"/>
  <c r="T133"/>
  <c r="T132"/>
  <c r="T131"/>
  <c r="T130"/>
  <c r="T129"/>
  <c r="T128"/>
  <c r="T127"/>
  <c r="T126"/>
  <c r="T125"/>
  <c r="T124"/>
  <c r="T123"/>
  <c r="T122"/>
  <c r="T121"/>
  <c r="T120"/>
  <c r="T119"/>
  <c r="T118"/>
  <c r="T117"/>
  <c r="T116"/>
  <c r="T115"/>
  <c r="T114"/>
  <c r="T113"/>
  <c r="T112"/>
  <c r="T111"/>
  <c r="T110"/>
  <c r="T109"/>
  <c r="T108"/>
  <c r="T107"/>
  <c r="T106"/>
  <c r="T105"/>
  <c r="T104"/>
  <c r="T103"/>
  <c r="T102"/>
  <c r="T101"/>
  <c r="T100"/>
  <c r="T99"/>
  <c r="T98"/>
  <c r="T97"/>
  <c r="T96"/>
  <c r="T95"/>
  <c r="T94"/>
  <c r="T93"/>
  <c r="T92"/>
  <c r="T91"/>
  <c r="T90"/>
  <c r="T89"/>
  <c r="T88"/>
  <c r="T87"/>
  <c r="T86"/>
  <c r="T85"/>
  <c r="T84"/>
  <c r="T83"/>
  <c r="T82"/>
  <c r="T81"/>
  <c r="T80"/>
  <c r="T79"/>
  <c r="T78"/>
  <c r="T77"/>
  <c r="T76"/>
  <c r="T75"/>
  <c r="T74"/>
  <c r="T73"/>
  <c r="T72"/>
  <c r="T71"/>
  <c r="T70"/>
  <c r="T69"/>
  <c r="T68"/>
  <c r="T67"/>
  <c r="T66"/>
  <c r="T65"/>
  <c r="T64"/>
  <c r="T63"/>
  <c r="T62"/>
  <c r="T61"/>
  <c r="T60"/>
  <c r="T59"/>
  <c r="T58"/>
  <c r="T57"/>
  <c r="T56"/>
  <c r="T55"/>
  <c r="T54"/>
  <c r="T53"/>
  <c r="T52"/>
  <c r="T51"/>
  <c r="T50"/>
  <c r="T49"/>
  <c r="T48"/>
  <c r="T47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U6" s="1"/>
  <c r="T137" i="86"/>
  <c r="T136"/>
  <c r="T135"/>
  <c r="T134"/>
  <c r="T133"/>
  <c r="T132"/>
  <c r="T131"/>
  <c r="T130"/>
  <c r="T129"/>
  <c r="T128"/>
  <c r="T127"/>
  <c r="T126"/>
  <c r="T125"/>
  <c r="T124"/>
  <c r="T123"/>
  <c r="T122"/>
  <c r="T121"/>
  <c r="T120"/>
  <c r="T119"/>
  <c r="T118"/>
  <c r="T117"/>
  <c r="T116"/>
  <c r="T115"/>
  <c r="T114"/>
  <c r="T113"/>
  <c r="T112"/>
  <c r="T111"/>
  <c r="T110"/>
  <c r="T109"/>
  <c r="T108"/>
  <c r="T107"/>
  <c r="T106"/>
  <c r="T105"/>
  <c r="T104"/>
  <c r="T103"/>
  <c r="T102"/>
  <c r="T101"/>
  <c r="T100"/>
  <c r="T99"/>
  <c r="T98"/>
  <c r="T97"/>
  <c r="T96"/>
  <c r="T95"/>
  <c r="T94"/>
  <c r="T93"/>
  <c r="T92"/>
  <c r="T91"/>
  <c r="T90"/>
  <c r="T89"/>
  <c r="T88"/>
  <c r="T87"/>
  <c r="T86"/>
  <c r="T85"/>
  <c r="T84"/>
  <c r="T83"/>
  <c r="T82"/>
  <c r="T81"/>
  <c r="T80"/>
  <c r="T79"/>
  <c r="T78"/>
  <c r="T77"/>
  <c r="T76"/>
  <c r="T75"/>
  <c r="T74"/>
  <c r="T73"/>
  <c r="T72"/>
  <c r="T71"/>
  <c r="T70"/>
  <c r="T69"/>
  <c r="T68"/>
  <c r="T67"/>
  <c r="T66"/>
  <c r="T65"/>
  <c r="T64"/>
  <c r="T63"/>
  <c r="T62"/>
  <c r="T61"/>
  <c r="T60"/>
  <c r="T59"/>
  <c r="T58"/>
  <c r="T57"/>
  <c r="T56"/>
  <c r="T55"/>
  <c r="T54"/>
  <c r="T53"/>
  <c r="T52"/>
  <c r="T51"/>
  <c r="T50"/>
  <c r="T49"/>
  <c r="T48"/>
  <c r="T47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U6" s="1"/>
  <c r="R6"/>
  <c r="F11"/>
  <c r="R8"/>
  <c r="Q8" s="1"/>
  <c r="E11"/>
  <c r="G11"/>
  <c r="H11"/>
  <c r="I11"/>
  <c r="K11"/>
  <c r="L11"/>
  <c r="M11"/>
  <c r="O11"/>
  <c r="R11"/>
  <c r="U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102"/>
  <c r="Z103"/>
  <c r="Z104"/>
  <c r="Z105"/>
  <c r="Z106"/>
  <c r="Z107"/>
  <c r="Z108"/>
  <c r="Z109"/>
  <c r="Z110"/>
  <c r="Z111"/>
  <c r="Z112"/>
  <c r="Z113"/>
  <c r="Z114"/>
  <c r="Z115"/>
  <c r="Z116"/>
  <c r="Z117"/>
  <c r="Z118"/>
  <c r="Z119"/>
  <c r="Z120"/>
  <c r="Z121"/>
  <c r="Z122"/>
  <c r="Z123"/>
  <c r="Z124"/>
  <c r="Z125"/>
  <c r="Z126"/>
  <c r="Z127"/>
  <c r="Z128"/>
  <c r="Z129"/>
  <c r="Z130"/>
  <c r="Z131"/>
  <c r="Z132"/>
  <c r="Z133"/>
  <c r="Z134"/>
  <c r="Z135"/>
  <c r="Z136"/>
  <c r="O12"/>
  <c r="P12"/>
  <c r="R12"/>
  <c r="S12"/>
  <c r="U12"/>
  <c r="V12"/>
  <c r="O13"/>
  <c r="P13"/>
  <c r="R13"/>
  <c r="S13"/>
  <c r="U13"/>
  <c r="V13"/>
  <c r="O14"/>
  <c r="P14"/>
  <c r="R14"/>
  <c r="S14"/>
  <c r="U14"/>
  <c r="V14"/>
  <c r="O15"/>
  <c r="P15"/>
  <c r="R15"/>
  <c r="S15"/>
  <c r="U15"/>
  <c r="V15"/>
  <c r="O16"/>
  <c r="P16"/>
  <c r="R16"/>
  <c r="S16"/>
  <c r="U16"/>
  <c r="V16"/>
  <c r="O17"/>
  <c r="P17"/>
  <c r="R17"/>
  <c r="S17"/>
  <c r="U17"/>
  <c r="V17"/>
  <c r="O18"/>
  <c r="P18"/>
  <c r="R18"/>
  <c r="S18"/>
  <c r="U18"/>
  <c r="V18"/>
  <c r="O19"/>
  <c r="P19"/>
  <c r="R19"/>
  <c r="S19"/>
  <c r="U19"/>
  <c r="V19"/>
  <c r="O20"/>
  <c r="P20"/>
  <c r="R20"/>
  <c r="S20"/>
  <c r="U20"/>
  <c r="V20"/>
  <c r="O21"/>
  <c r="P21"/>
  <c r="R21"/>
  <c r="S21"/>
  <c r="U21"/>
  <c r="V21"/>
  <c r="O22"/>
  <c r="P22"/>
  <c r="R22"/>
  <c r="S22"/>
  <c r="U22"/>
  <c r="V22"/>
  <c r="O23"/>
  <c r="P23"/>
  <c r="R23"/>
  <c r="S23"/>
  <c r="U23"/>
  <c r="V23"/>
  <c r="O24"/>
  <c r="P24"/>
  <c r="R24"/>
  <c r="S24"/>
  <c r="U24"/>
  <c r="V24"/>
  <c r="O25"/>
  <c r="P25"/>
  <c r="R25"/>
  <c r="S25"/>
  <c r="U25"/>
  <c r="V25"/>
  <c r="O26"/>
  <c r="P26"/>
  <c r="R26"/>
  <c r="S26"/>
  <c r="U26"/>
  <c r="V26"/>
  <c r="O27"/>
  <c r="P27"/>
  <c r="R27"/>
  <c r="S27"/>
  <c r="U27"/>
  <c r="V27"/>
  <c r="O28"/>
  <c r="P28"/>
  <c r="R28"/>
  <c r="S28"/>
  <c r="U28"/>
  <c r="V28"/>
  <c r="O29"/>
  <c r="P29"/>
  <c r="R29"/>
  <c r="S29"/>
  <c r="U29"/>
  <c r="V29"/>
  <c r="O30"/>
  <c r="P30"/>
  <c r="R30"/>
  <c r="S30"/>
  <c r="U30"/>
  <c r="V30"/>
  <c r="O31"/>
  <c r="P31"/>
  <c r="R31"/>
  <c r="S31"/>
  <c r="U31"/>
  <c r="V31"/>
  <c r="O32"/>
  <c r="P32"/>
  <c r="R32"/>
  <c r="S32"/>
  <c r="U32"/>
  <c r="V32"/>
  <c r="O33"/>
  <c r="P33"/>
  <c r="R33"/>
  <c r="S33"/>
  <c r="U33"/>
  <c r="V33"/>
  <c r="O34"/>
  <c r="P34"/>
  <c r="R34"/>
  <c r="S34"/>
  <c r="U34"/>
  <c r="V34"/>
  <c r="O35"/>
  <c r="P35"/>
  <c r="R35"/>
  <c r="S35"/>
  <c r="U35"/>
  <c r="V35"/>
  <c r="O36"/>
  <c r="P36"/>
  <c r="R36"/>
  <c r="S36"/>
  <c r="U36"/>
  <c r="V36"/>
  <c r="O37"/>
  <c r="P37"/>
  <c r="R37"/>
  <c r="S37"/>
  <c r="U37"/>
  <c r="V37"/>
  <c r="O38"/>
  <c r="P38"/>
  <c r="R38"/>
  <c r="S38"/>
  <c r="U38"/>
  <c r="V38"/>
  <c r="O39"/>
  <c r="P39"/>
  <c r="R39"/>
  <c r="S39"/>
  <c r="U39"/>
  <c r="V39"/>
  <c r="O40"/>
  <c r="P40"/>
  <c r="R40"/>
  <c r="S40"/>
  <c r="U40"/>
  <c r="V40"/>
  <c r="O41"/>
  <c r="P41"/>
  <c r="R41"/>
  <c r="S41"/>
  <c r="U41"/>
  <c r="V41"/>
  <c r="O42"/>
  <c r="P42"/>
  <c r="R42"/>
  <c r="S42"/>
  <c r="U42"/>
  <c r="V42"/>
  <c r="O43"/>
  <c r="P43"/>
  <c r="R43"/>
  <c r="S43"/>
  <c r="U43"/>
  <c r="V43"/>
  <c r="O44"/>
  <c r="P44"/>
  <c r="R44"/>
  <c r="S44"/>
  <c r="U44"/>
  <c r="V44"/>
  <c r="O45"/>
  <c r="P45"/>
  <c r="R45"/>
  <c r="S45"/>
  <c r="U45"/>
  <c r="V45"/>
  <c r="O46"/>
  <c r="P46"/>
  <c r="R46"/>
  <c r="S46"/>
  <c r="U46"/>
  <c r="V46"/>
  <c r="O47"/>
  <c r="P47"/>
  <c r="R47"/>
  <c r="S47"/>
  <c r="U47"/>
  <c r="V47"/>
  <c r="O48"/>
  <c r="P48"/>
  <c r="R48"/>
  <c r="S48"/>
  <c r="U48"/>
  <c r="V48"/>
  <c r="O49"/>
  <c r="P49"/>
  <c r="R49"/>
  <c r="S49"/>
  <c r="U49"/>
  <c r="V49"/>
  <c r="O50"/>
  <c r="P50"/>
  <c r="R50"/>
  <c r="S50"/>
  <c r="U50"/>
  <c r="V50"/>
  <c r="O51"/>
  <c r="P51"/>
  <c r="R51"/>
  <c r="S51"/>
  <c r="U51"/>
  <c r="V51"/>
  <c r="O52"/>
  <c r="P52"/>
  <c r="R52"/>
  <c r="S52"/>
  <c r="U52"/>
  <c r="V52"/>
  <c r="O53"/>
  <c r="P53"/>
  <c r="R53"/>
  <c r="S53"/>
  <c r="U53"/>
  <c r="V53"/>
  <c r="O54"/>
  <c r="P54"/>
  <c r="R54"/>
  <c r="S54"/>
  <c r="U54"/>
  <c r="V54"/>
  <c r="O55"/>
  <c r="P55"/>
  <c r="R55"/>
  <c r="S55"/>
  <c r="U55"/>
  <c r="V55"/>
  <c r="O56"/>
  <c r="P56"/>
  <c r="R56"/>
  <c r="S56"/>
  <c r="U56"/>
  <c r="V56"/>
  <c r="O57"/>
  <c r="P57"/>
  <c r="R57"/>
  <c r="S57"/>
  <c r="U57"/>
  <c r="V57"/>
  <c r="O58"/>
  <c r="P58"/>
  <c r="R58"/>
  <c r="S58"/>
  <c r="U58"/>
  <c r="V58"/>
  <c r="O59"/>
  <c r="P59"/>
  <c r="R59"/>
  <c r="S59"/>
  <c r="U59"/>
  <c r="V59"/>
  <c r="O60"/>
  <c r="P60"/>
  <c r="R60"/>
  <c r="S60"/>
  <c r="U60"/>
  <c r="V60"/>
  <c r="O61"/>
  <c r="P61"/>
  <c r="R61"/>
  <c r="S61"/>
  <c r="U61"/>
  <c r="V61"/>
  <c r="O62"/>
  <c r="P62"/>
  <c r="R62"/>
  <c r="S62"/>
  <c r="U62"/>
  <c r="V62"/>
  <c r="O63"/>
  <c r="P63"/>
  <c r="R63"/>
  <c r="S63"/>
  <c r="U63"/>
  <c r="V63"/>
  <c r="O64"/>
  <c r="P64"/>
  <c r="R64"/>
  <c r="S64"/>
  <c r="U64"/>
  <c r="V64"/>
  <c r="O65"/>
  <c r="P65"/>
  <c r="R65"/>
  <c r="S65"/>
  <c r="U65"/>
  <c r="V65"/>
  <c r="O66"/>
  <c r="P66"/>
  <c r="R66"/>
  <c r="S66"/>
  <c r="U66"/>
  <c r="V66"/>
  <c r="O67"/>
  <c r="P67"/>
  <c r="R67"/>
  <c r="S67"/>
  <c r="U67"/>
  <c r="V67"/>
  <c r="O68"/>
  <c r="P68"/>
  <c r="R68"/>
  <c r="S68"/>
  <c r="U68"/>
  <c r="V68"/>
  <c r="O69"/>
  <c r="P69"/>
  <c r="R69"/>
  <c r="S69"/>
  <c r="U69"/>
  <c r="V69"/>
  <c r="O70"/>
  <c r="P70"/>
  <c r="R70"/>
  <c r="S70"/>
  <c r="U70"/>
  <c r="V70"/>
  <c r="O71"/>
  <c r="P71"/>
  <c r="R71"/>
  <c r="S71"/>
  <c r="U71"/>
  <c r="V71"/>
  <c r="O72"/>
  <c r="P72"/>
  <c r="R72"/>
  <c r="S72"/>
  <c r="U72"/>
  <c r="V72"/>
  <c r="O73"/>
  <c r="P73"/>
  <c r="R73"/>
  <c r="S73"/>
  <c r="U73"/>
  <c r="V73"/>
  <c r="O74"/>
  <c r="P74"/>
  <c r="R74"/>
  <c r="S74"/>
  <c r="U74"/>
  <c r="V74"/>
  <c r="O75"/>
  <c r="P75"/>
  <c r="R75"/>
  <c r="S75"/>
  <c r="U75"/>
  <c r="V75"/>
  <c r="O76"/>
  <c r="P76"/>
  <c r="R76"/>
  <c r="S76"/>
  <c r="U76"/>
  <c r="V76"/>
  <c r="O77"/>
  <c r="P77"/>
  <c r="R77"/>
  <c r="S77"/>
  <c r="U77"/>
  <c r="V77"/>
  <c r="O78"/>
  <c r="P78"/>
  <c r="R78"/>
  <c r="S78"/>
  <c r="U78"/>
  <c r="V78"/>
  <c r="O79"/>
  <c r="P79"/>
  <c r="R79"/>
  <c r="S79"/>
  <c r="U79"/>
  <c r="V79"/>
  <c r="O80"/>
  <c r="P80"/>
  <c r="R80"/>
  <c r="S80"/>
  <c r="U80"/>
  <c r="V80"/>
  <c r="O81"/>
  <c r="P81"/>
  <c r="R81"/>
  <c r="S81"/>
  <c r="U81"/>
  <c r="V81"/>
  <c r="O82"/>
  <c r="P82"/>
  <c r="R82"/>
  <c r="S82"/>
  <c r="U82"/>
  <c r="V82"/>
  <c r="O83"/>
  <c r="P83"/>
  <c r="R83"/>
  <c r="S83"/>
  <c r="U83"/>
  <c r="V83"/>
  <c r="O84"/>
  <c r="P84"/>
  <c r="R84"/>
  <c r="S84"/>
  <c r="U84"/>
  <c r="V84"/>
  <c r="O85"/>
  <c r="P85"/>
  <c r="R85"/>
  <c r="S85"/>
  <c r="U85"/>
  <c r="V85"/>
  <c r="O86"/>
  <c r="P86"/>
  <c r="R86"/>
  <c r="S86"/>
  <c r="U86"/>
  <c r="V86"/>
  <c r="O87"/>
  <c r="P87"/>
  <c r="R87"/>
  <c r="S87"/>
  <c r="U87"/>
  <c r="V87"/>
  <c r="O88"/>
  <c r="P88"/>
  <c r="R88"/>
  <c r="S88"/>
  <c r="U88"/>
  <c r="V88"/>
  <c r="O89"/>
  <c r="P89"/>
  <c r="R89"/>
  <c r="S89"/>
  <c r="U89"/>
  <c r="V89"/>
  <c r="O90"/>
  <c r="P90"/>
  <c r="R90"/>
  <c r="S90"/>
  <c r="U90"/>
  <c r="V90"/>
  <c r="O91"/>
  <c r="P91"/>
  <c r="R91"/>
  <c r="S91"/>
  <c r="U91"/>
  <c r="V91"/>
  <c r="O92"/>
  <c r="P92"/>
  <c r="R92"/>
  <c r="S92"/>
  <c r="U92"/>
  <c r="V92"/>
  <c r="O93"/>
  <c r="P93"/>
  <c r="R93"/>
  <c r="S93"/>
  <c r="U93"/>
  <c r="V93"/>
  <c r="O94"/>
  <c r="P94"/>
  <c r="R94"/>
  <c r="S94"/>
  <c r="U94"/>
  <c r="V94"/>
  <c r="O95"/>
  <c r="P95"/>
  <c r="R95"/>
  <c r="S95"/>
  <c r="U95"/>
  <c r="V95"/>
  <c r="O96"/>
  <c r="P96"/>
  <c r="R96"/>
  <c r="S96"/>
  <c r="U96"/>
  <c r="V96"/>
  <c r="O97"/>
  <c r="P97"/>
  <c r="R97"/>
  <c r="S97"/>
  <c r="U97"/>
  <c r="V97"/>
  <c r="O98"/>
  <c r="P98"/>
  <c r="R98"/>
  <c r="S98"/>
  <c r="U98"/>
  <c r="V98"/>
  <c r="O99"/>
  <c r="P99"/>
  <c r="R99"/>
  <c r="S99"/>
  <c r="U99"/>
  <c r="V99"/>
  <c r="O100"/>
  <c r="P100"/>
  <c r="R100"/>
  <c r="S100"/>
  <c r="U100"/>
  <c r="V100"/>
  <c r="O101"/>
  <c r="P101"/>
  <c r="R101"/>
  <c r="S101"/>
  <c r="U101"/>
  <c r="V101"/>
  <c r="O102"/>
  <c r="P102"/>
  <c r="R102"/>
  <c r="S102"/>
  <c r="U102"/>
  <c r="V102"/>
  <c r="O103"/>
  <c r="P103"/>
  <c r="R103"/>
  <c r="S103"/>
  <c r="U103"/>
  <c r="V103"/>
  <c r="O104"/>
  <c r="P104"/>
  <c r="R104"/>
  <c r="S104"/>
  <c r="U104"/>
  <c r="V104"/>
  <c r="O105"/>
  <c r="P105"/>
  <c r="R105"/>
  <c r="S105"/>
  <c r="U105"/>
  <c r="V105"/>
  <c r="O106"/>
  <c r="P106"/>
  <c r="R106"/>
  <c r="S106"/>
  <c r="U106"/>
  <c r="V106"/>
  <c r="O107"/>
  <c r="P107"/>
  <c r="R107"/>
  <c r="S107"/>
  <c r="U107"/>
  <c r="V107"/>
  <c r="O108"/>
  <c r="P108"/>
  <c r="R108"/>
  <c r="S108"/>
  <c r="U108"/>
  <c r="V108"/>
  <c r="O109"/>
  <c r="P109"/>
  <c r="R109"/>
  <c r="S109"/>
  <c r="U109"/>
  <c r="V109"/>
  <c r="O110"/>
  <c r="P110"/>
  <c r="R110"/>
  <c r="S110"/>
  <c r="U110"/>
  <c r="V110"/>
  <c r="O111"/>
  <c r="P111"/>
  <c r="R111"/>
  <c r="S111"/>
  <c r="U111"/>
  <c r="V111"/>
  <c r="O112"/>
  <c r="P112"/>
  <c r="R112"/>
  <c r="S112"/>
  <c r="U112"/>
  <c r="V112"/>
  <c r="O113"/>
  <c r="P113"/>
  <c r="R113"/>
  <c r="S113"/>
  <c r="U113"/>
  <c r="V113"/>
  <c r="O114"/>
  <c r="P114"/>
  <c r="R114"/>
  <c r="S114"/>
  <c r="U114"/>
  <c r="V114"/>
  <c r="O115"/>
  <c r="P115"/>
  <c r="R115"/>
  <c r="S115"/>
  <c r="U115"/>
  <c r="V115"/>
  <c r="O116"/>
  <c r="P116"/>
  <c r="R116"/>
  <c r="S116"/>
  <c r="U116"/>
  <c r="V116"/>
  <c r="O117"/>
  <c r="P117"/>
  <c r="R117"/>
  <c r="S117"/>
  <c r="U117"/>
  <c r="V117"/>
  <c r="O118"/>
  <c r="P118"/>
  <c r="R118"/>
  <c r="S118"/>
  <c r="U118"/>
  <c r="V118"/>
  <c r="O119"/>
  <c r="P119"/>
  <c r="R119"/>
  <c r="S119"/>
  <c r="U119"/>
  <c r="V119"/>
  <c r="O120"/>
  <c r="P120"/>
  <c r="R120"/>
  <c r="S120"/>
  <c r="U120"/>
  <c r="V120"/>
  <c r="O121"/>
  <c r="P121"/>
  <c r="R121"/>
  <c r="S121"/>
  <c r="U121"/>
  <c r="V121"/>
  <c r="O122"/>
  <c r="P122"/>
  <c r="R122"/>
  <c r="S122"/>
  <c r="U122"/>
  <c r="V122"/>
  <c r="O123"/>
  <c r="P123"/>
  <c r="R123"/>
  <c r="S123"/>
  <c r="U123"/>
  <c r="V123"/>
  <c r="O124"/>
  <c r="P124"/>
  <c r="R124"/>
  <c r="S124"/>
  <c r="U124"/>
  <c r="V124"/>
  <c r="O125"/>
  <c r="P125"/>
  <c r="R125"/>
  <c r="S125"/>
  <c r="U125"/>
  <c r="V125"/>
  <c r="O126"/>
  <c r="P126"/>
  <c r="R126"/>
  <c r="S126"/>
  <c r="U126"/>
  <c r="V126"/>
  <c r="O127"/>
  <c r="P127"/>
  <c r="R127"/>
  <c r="S127"/>
  <c r="U127"/>
  <c r="V127"/>
  <c r="O128"/>
  <c r="P128"/>
  <c r="R128"/>
  <c r="S128"/>
  <c r="U128"/>
  <c r="V128"/>
  <c r="O129"/>
  <c r="P129"/>
  <c r="R129"/>
  <c r="S129"/>
  <c r="U129"/>
  <c r="V129"/>
  <c r="O130"/>
  <c r="P130"/>
  <c r="R130"/>
  <c r="S130"/>
  <c r="U130"/>
  <c r="V130"/>
  <c r="O131"/>
  <c r="P131"/>
  <c r="R131"/>
  <c r="S131"/>
  <c r="U131"/>
  <c r="V131"/>
  <c r="O132"/>
  <c r="P132"/>
  <c r="R132"/>
  <c r="S132"/>
  <c r="U132"/>
  <c r="V132"/>
  <c r="O133"/>
  <c r="P133"/>
  <c r="R133"/>
  <c r="S133"/>
  <c r="U133"/>
  <c r="V133"/>
  <c r="O134"/>
  <c r="P134"/>
  <c r="R134"/>
  <c r="S134"/>
  <c r="U134"/>
  <c r="V134"/>
  <c r="O135"/>
  <c r="P135"/>
  <c r="R135"/>
  <c r="S135"/>
  <c r="U135"/>
  <c r="V135"/>
  <c r="O136"/>
  <c r="P136"/>
  <c r="R136"/>
  <c r="S136"/>
  <c r="U136"/>
  <c r="V136"/>
  <c r="O137"/>
  <c r="P137"/>
  <c r="R137"/>
  <c r="S137"/>
  <c r="U137"/>
  <c r="V137"/>
  <c r="W137"/>
  <c r="X137"/>
  <c r="Y137"/>
  <c r="Z137"/>
  <c r="F11" i="87"/>
  <c r="E11"/>
  <c r="G11"/>
  <c r="H11"/>
  <c r="I11"/>
  <c r="K11"/>
  <c r="L11"/>
  <c r="M11"/>
  <c r="O11"/>
  <c r="R11"/>
  <c r="U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102"/>
  <c r="Z103"/>
  <c r="Z104"/>
  <c r="Z105"/>
  <c r="Z106"/>
  <c r="Z107"/>
  <c r="Z108"/>
  <c r="Z109"/>
  <c r="Z110"/>
  <c r="Z111"/>
  <c r="Z112"/>
  <c r="Z113"/>
  <c r="Z114"/>
  <c r="Z115"/>
  <c r="Z116"/>
  <c r="Z117"/>
  <c r="Z118"/>
  <c r="Z119"/>
  <c r="Z120"/>
  <c r="Z121"/>
  <c r="Z122"/>
  <c r="Z123"/>
  <c r="Z124"/>
  <c r="Z125"/>
  <c r="Z126"/>
  <c r="Z127"/>
  <c r="Z128"/>
  <c r="Z129"/>
  <c r="Z130"/>
  <c r="Z131"/>
  <c r="Z132"/>
  <c r="Z133"/>
  <c r="Z134"/>
  <c r="Z135"/>
  <c r="Z136"/>
  <c r="O12"/>
  <c r="P12"/>
  <c r="R12"/>
  <c r="S12"/>
  <c r="U12"/>
  <c r="V12"/>
  <c r="O13"/>
  <c r="P13"/>
  <c r="R13"/>
  <c r="S13"/>
  <c r="U13"/>
  <c r="V13"/>
  <c r="O14"/>
  <c r="P14"/>
  <c r="R14"/>
  <c r="S14"/>
  <c r="U14"/>
  <c r="V14"/>
  <c r="O15"/>
  <c r="P15"/>
  <c r="R15"/>
  <c r="S15"/>
  <c r="U15"/>
  <c r="V15"/>
  <c r="O16"/>
  <c r="P16"/>
  <c r="R16"/>
  <c r="S16"/>
  <c r="U16"/>
  <c r="V16"/>
  <c r="O17"/>
  <c r="P17"/>
  <c r="R17"/>
  <c r="S17"/>
  <c r="U17"/>
  <c r="V17"/>
  <c r="O18"/>
  <c r="P18"/>
  <c r="R18"/>
  <c r="S18"/>
  <c r="U18"/>
  <c r="V18"/>
  <c r="O19"/>
  <c r="P19"/>
  <c r="R19"/>
  <c r="S19"/>
  <c r="U19"/>
  <c r="V19"/>
  <c r="O20"/>
  <c r="P20"/>
  <c r="R20"/>
  <c r="S20"/>
  <c r="U20"/>
  <c r="V20"/>
  <c r="O21"/>
  <c r="P21"/>
  <c r="R21"/>
  <c r="S21"/>
  <c r="U21"/>
  <c r="V21"/>
  <c r="O22"/>
  <c r="P22"/>
  <c r="R22"/>
  <c r="S22"/>
  <c r="U22"/>
  <c r="V22"/>
  <c r="O23"/>
  <c r="P23"/>
  <c r="R23"/>
  <c r="S23"/>
  <c r="U23"/>
  <c r="V23"/>
  <c r="O24"/>
  <c r="P24"/>
  <c r="R24"/>
  <c r="S24"/>
  <c r="U24"/>
  <c r="V24"/>
  <c r="O25"/>
  <c r="P25"/>
  <c r="R25"/>
  <c r="S25"/>
  <c r="U25"/>
  <c r="V25"/>
  <c r="O26"/>
  <c r="P26"/>
  <c r="R26"/>
  <c r="S26"/>
  <c r="U26"/>
  <c r="V26"/>
  <c r="O27"/>
  <c r="P27"/>
  <c r="R27"/>
  <c r="S27"/>
  <c r="U27"/>
  <c r="V27"/>
  <c r="O28"/>
  <c r="P28"/>
  <c r="R28"/>
  <c r="S28"/>
  <c r="U28"/>
  <c r="V28"/>
  <c r="O29"/>
  <c r="P29"/>
  <c r="R29"/>
  <c r="S29"/>
  <c r="U29"/>
  <c r="V29"/>
  <c r="O30"/>
  <c r="P30"/>
  <c r="R30"/>
  <c r="S30"/>
  <c r="U30"/>
  <c r="V30"/>
  <c r="O31"/>
  <c r="P31"/>
  <c r="R31"/>
  <c r="S31"/>
  <c r="U31"/>
  <c r="V31"/>
  <c r="O32"/>
  <c r="P32"/>
  <c r="R32"/>
  <c r="S32"/>
  <c r="U32"/>
  <c r="V32"/>
  <c r="O33"/>
  <c r="P33"/>
  <c r="R33"/>
  <c r="S33"/>
  <c r="U33"/>
  <c r="V33"/>
  <c r="O34"/>
  <c r="P34"/>
  <c r="R34"/>
  <c r="S34"/>
  <c r="U34"/>
  <c r="V34"/>
  <c r="O35"/>
  <c r="P35"/>
  <c r="R35"/>
  <c r="S35"/>
  <c r="U35"/>
  <c r="V35"/>
  <c r="O36"/>
  <c r="P36"/>
  <c r="R36"/>
  <c r="S36"/>
  <c r="U36"/>
  <c r="V36"/>
  <c r="O37"/>
  <c r="P37"/>
  <c r="R37"/>
  <c r="S37"/>
  <c r="U37"/>
  <c r="V37"/>
  <c r="O38"/>
  <c r="P38"/>
  <c r="R38"/>
  <c r="S38"/>
  <c r="U38"/>
  <c r="V38"/>
  <c r="O39"/>
  <c r="P39"/>
  <c r="R39"/>
  <c r="S39"/>
  <c r="U39"/>
  <c r="V39"/>
  <c r="O40"/>
  <c r="P40"/>
  <c r="R40"/>
  <c r="S40"/>
  <c r="U40"/>
  <c r="V40"/>
  <c r="O41"/>
  <c r="P41"/>
  <c r="R41"/>
  <c r="S41"/>
  <c r="U41"/>
  <c r="V41"/>
  <c r="O42"/>
  <c r="P42"/>
  <c r="R42"/>
  <c r="S42"/>
  <c r="U42"/>
  <c r="V42"/>
  <c r="O43"/>
  <c r="P43"/>
  <c r="R43"/>
  <c r="S43"/>
  <c r="U43"/>
  <c r="V43"/>
  <c r="O44"/>
  <c r="P44"/>
  <c r="R44"/>
  <c r="S44"/>
  <c r="U44"/>
  <c r="V44"/>
  <c r="O45"/>
  <c r="P45"/>
  <c r="R45"/>
  <c r="S45"/>
  <c r="U45"/>
  <c r="V45"/>
  <c r="O46"/>
  <c r="P46"/>
  <c r="R46"/>
  <c r="S46"/>
  <c r="U46"/>
  <c r="V46"/>
  <c r="O47"/>
  <c r="P47"/>
  <c r="R47"/>
  <c r="S47"/>
  <c r="U47"/>
  <c r="V47"/>
  <c r="O48"/>
  <c r="P48"/>
  <c r="R48"/>
  <c r="S48"/>
  <c r="U48"/>
  <c r="V48"/>
  <c r="O49"/>
  <c r="P49"/>
  <c r="R49"/>
  <c r="S49"/>
  <c r="U49"/>
  <c r="V49"/>
  <c r="O50"/>
  <c r="P50"/>
  <c r="R50"/>
  <c r="S50"/>
  <c r="U50"/>
  <c r="V50"/>
  <c r="O51"/>
  <c r="P51"/>
  <c r="R51"/>
  <c r="S51"/>
  <c r="U51"/>
  <c r="V51"/>
  <c r="O52"/>
  <c r="P52"/>
  <c r="R52"/>
  <c r="S52"/>
  <c r="U52"/>
  <c r="V52"/>
  <c r="O53"/>
  <c r="P53"/>
  <c r="R53"/>
  <c r="S53"/>
  <c r="U53"/>
  <c r="V53"/>
  <c r="O54"/>
  <c r="P54"/>
  <c r="R54"/>
  <c r="S54"/>
  <c r="U54"/>
  <c r="V54"/>
  <c r="O55"/>
  <c r="P55"/>
  <c r="R55"/>
  <c r="S55"/>
  <c r="U55"/>
  <c r="V55"/>
  <c r="O56"/>
  <c r="P56"/>
  <c r="R56"/>
  <c r="S56"/>
  <c r="U56"/>
  <c r="V56"/>
  <c r="O57"/>
  <c r="P57"/>
  <c r="R57"/>
  <c r="S57"/>
  <c r="U57"/>
  <c r="V57"/>
  <c r="O58"/>
  <c r="P58"/>
  <c r="R58"/>
  <c r="S58"/>
  <c r="U58"/>
  <c r="V58"/>
  <c r="O59"/>
  <c r="P59"/>
  <c r="R59"/>
  <c r="S59"/>
  <c r="U59"/>
  <c r="V59"/>
  <c r="O60"/>
  <c r="P60"/>
  <c r="R60"/>
  <c r="S60"/>
  <c r="U60"/>
  <c r="V60"/>
  <c r="O61"/>
  <c r="P61"/>
  <c r="R61"/>
  <c r="S61"/>
  <c r="U61"/>
  <c r="V61"/>
  <c r="O62"/>
  <c r="P62"/>
  <c r="R62"/>
  <c r="S62"/>
  <c r="U62"/>
  <c r="V62"/>
  <c r="O63"/>
  <c r="P63"/>
  <c r="R63"/>
  <c r="S63"/>
  <c r="U63"/>
  <c r="V63"/>
  <c r="O64"/>
  <c r="P64"/>
  <c r="R64"/>
  <c r="S64"/>
  <c r="U64"/>
  <c r="V64"/>
  <c r="O65"/>
  <c r="P65"/>
  <c r="R65"/>
  <c r="S65"/>
  <c r="U65"/>
  <c r="V65"/>
  <c r="O66"/>
  <c r="P66"/>
  <c r="R66"/>
  <c r="S66"/>
  <c r="U66"/>
  <c r="V66"/>
  <c r="O67"/>
  <c r="P67"/>
  <c r="R67"/>
  <c r="S67"/>
  <c r="U67"/>
  <c r="V67"/>
  <c r="O68"/>
  <c r="P68"/>
  <c r="R68"/>
  <c r="S68"/>
  <c r="U68"/>
  <c r="V68"/>
  <c r="O69"/>
  <c r="P69"/>
  <c r="R69"/>
  <c r="S69"/>
  <c r="U69"/>
  <c r="V69"/>
  <c r="O70"/>
  <c r="P70"/>
  <c r="R70"/>
  <c r="S70"/>
  <c r="U70"/>
  <c r="V70"/>
  <c r="O71"/>
  <c r="P71"/>
  <c r="R71"/>
  <c r="S71"/>
  <c r="U71"/>
  <c r="V71"/>
  <c r="O72"/>
  <c r="P72"/>
  <c r="R72"/>
  <c r="S72"/>
  <c r="U72"/>
  <c r="V72"/>
  <c r="O73"/>
  <c r="P73"/>
  <c r="R73"/>
  <c r="S73"/>
  <c r="U73"/>
  <c r="V73"/>
  <c r="O74"/>
  <c r="P74"/>
  <c r="R74"/>
  <c r="S74"/>
  <c r="U74"/>
  <c r="V74"/>
  <c r="O75"/>
  <c r="P75"/>
  <c r="R75"/>
  <c r="S75"/>
  <c r="U75"/>
  <c r="V75"/>
  <c r="O76"/>
  <c r="P76"/>
  <c r="R76"/>
  <c r="S76"/>
  <c r="U76"/>
  <c r="V76"/>
  <c r="O77"/>
  <c r="P77"/>
  <c r="R77"/>
  <c r="S77"/>
  <c r="U77"/>
  <c r="V77"/>
  <c r="O78"/>
  <c r="P78"/>
  <c r="R78"/>
  <c r="S78"/>
  <c r="U78"/>
  <c r="V78"/>
  <c r="O79"/>
  <c r="P79"/>
  <c r="R79"/>
  <c r="S79"/>
  <c r="U79"/>
  <c r="V79"/>
  <c r="O80"/>
  <c r="P80"/>
  <c r="R80"/>
  <c r="S80"/>
  <c r="U80"/>
  <c r="V80"/>
  <c r="O81"/>
  <c r="P81"/>
  <c r="R81"/>
  <c r="S81"/>
  <c r="U81"/>
  <c r="V81"/>
  <c r="O82"/>
  <c r="P82"/>
  <c r="R82"/>
  <c r="S82"/>
  <c r="U82"/>
  <c r="V82"/>
  <c r="O83"/>
  <c r="P83"/>
  <c r="R83"/>
  <c r="S83"/>
  <c r="U83"/>
  <c r="V83"/>
  <c r="O84"/>
  <c r="P84"/>
  <c r="R84"/>
  <c r="S84"/>
  <c r="U84"/>
  <c r="V84"/>
  <c r="O85"/>
  <c r="P85"/>
  <c r="R85"/>
  <c r="S85"/>
  <c r="U85"/>
  <c r="V85"/>
  <c r="O86"/>
  <c r="P86"/>
  <c r="R86"/>
  <c r="S86"/>
  <c r="U86"/>
  <c r="V86"/>
  <c r="O87"/>
  <c r="P87"/>
  <c r="R87"/>
  <c r="S87"/>
  <c r="U87"/>
  <c r="V87"/>
  <c r="O88"/>
  <c r="P88"/>
  <c r="R88"/>
  <c r="S88"/>
  <c r="U88"/>
  <c r="V88"/>
  <c r="O89"/>
  <c r="P89"/>
  <c r="R89"/>
  <c r="S89"/>
  <c r="U89"/>
  <c r="V89"/>
  <c r="O90"/>
  <c r="P90"/>
  <c r="R90"/>
  <c r="S90"/>
  <c r="U90"/>
  <c r="V90"/>
  <c r="O91"/>
  <c r="P91"/>
  <c r="R91"/>
  <c r="S91"/>
  <c r="U91"/>
  <c r="V91"/>
  <c r="O92"/>
  <c r="P92"/>
  <c r="R92"/>
  <c r="S92"/>
  <c r="U92"/>
  <c r="V92"/>
  <c r="O93"/>
  <c r="P93"/>
  <c r="R93"/>
  <c r="S93"/>
  <c r="U93"/>
  <c r="V93"/>
  <c r="O94"/>
  <c r="P94"/>
  <c r="R94"/>
  <c r="S94"/>
  <c r="U94"/>
  <c r="V94"/>
  <c r="O95"/>
  <c r="P95"/>
  <c r="R95"/>
  <c r="S95"/>
  <c r="U95"/>
  <c r="V95"/>
  <c r="O96"/>
  <c r="P96"/>
  <c r="R96"/>
  <c r="S96"/>
  <c r="U96"/>
  <c r="V96"/>
  <c r="O97"/>
  <c r="P97"/>
  <c r="R97"/>
  <c r="S97"/>
  <c r="U97"/>
  <c r="V97"/>
  <c r="O98"/>
  <c r="P98"/>
  <c r="R98"/>
  <c r="S98"/>
  <c r="U98"/>
  <c r="V98"/>
  <c r="O99"/>
  <c r="P99"/>
  <c r="R99"/>
  <c r="S99"/>
  <c r="U99"/>
  <c r="V99"/>
  <c r="O100"/>
  <c r="P100"/>
  <c r="R100"/>
  <c r="S100"/>
  <c r="U100"/>
  <c r="V100"/>
  <c r="O101"/>
  <c r="P101"/>
  <c r="R101"/>
  <c r="S101"/>
  <c r="U101"/>
  <c r="V101"/>
  <c r="O102"/>
  <c r="P102"/>
  <c r="R102"/>
  <c r="S102"/>
  <c r="U102"/>
  <c r="V102"/>
  <c r="O103"/>
  <c r="P103"/>
  <c r="R103"/>
  <c r="S103"/>
  <c r="U103"/>
  <c r="V103"/>
  <c r="O104"/>
  <c r="P104"/>
  <c r="R104"/>
  <c r="S104"/>
  <c r="U104"/>
  <c r="V104"/>
  <c r="O105"/>
  <c r="P105"/>
  <c r="R105"/>
  <c r="S105"/>
  <c r="U105"/>
  <c r="V105"/>
  <c r="O106"/>
  <c r="P106"/>
  <c r="R106"/>
  <c r="S106"/>
  <c r="U106"/>
  <c r="V106"/>
  <c r="O107"/>
  <c r="P107"/>
  <c r="R107"/>
  <c r="S107"/>
  <c r="U107"/>
  <c r="V107"/>
  <c r="O108"/>
  <c r="P108"/>
  <c r="R108"/>
  <c r="S108"/>
  <c r="U108"/>
  <c r="V108"/>
  <c r="O109"/>
  <c r="P109"/>
  <c r="R109"/>
  <c r="S109"/>
  <c r="U109"/>
  <c r="V109"/>
  <c r="O110"/>
  <c r="P110"/>
  <c r="R110"/>
  <c r="S110"/>
  <c r="U110"/>
  <c r="V110"/>
  <c r="O111"/>
  <c r="P111"/>
  <c r="R111"/>
  <c r="S111"/>
  <c r="U111"/>
  <c r="V111"/>
  <c r="O112"/>
  <c r="P112"/>
  <c r="R112"/>
  <c r="S112"/>
  <c r="U112"/>
  <c r="V112"/>
  <c r="O113"/>
  <c r="P113"/>
  <c r="R113"/>
  <c r="S113"/>
  <c r="U113"/>
  <c r="V113"/>
  <c r="O114"/>
  <c r="P114"/>
  <c r="R114"/>
  <c r="S114"/>
  <c r="U114"/>
  <c r="V114"/>
  <c r="O115"/>
  <c r="P115"/>
  <c r="R115"/>
  <c r="S115"/>
  <c r="U115"/>
  <c r="V115"/>
  <c r="O116"/>
  <c r="P116"/>
  <c r="R116"/>
  <c r="S116"/>
  <c r="U116"/>
  <c r="V116"/>
  <c r="O117"/>
  <c r="P117"/>
  <c r="R117"/>
  <c r="S117"/>
  <c r="U117"/>
  <c r="V117"/>
  <c r="O118"/>
  <c r="P118"/>
  <c r="R118"/>
  <c r="S118"/>
  <c r="U118"/>
  <c r="V118"/>
  <c r="O119"/>
  <c r="P119"/>
  <c r="R119"/>
  <c r="S119"/>
  <c r="U119"/>
  <c r="V119"/>
  <c r="O120"/>
  <c r="P120"/>
  <c r="R120"/>
  <c r="S120"/>
  <c r="U120"/>
  <c r="V120"/>
  <c r="O121"/>
  <c r="P121"/>
  <c r="R121"/>
  <c r="S121"/>
  <c r="U121"/>
  <c r="V121"/>
  <c r="O122"/>
  <c r="P122"/>
  <c r="R122"/>
  <c r="S122"/>
  <c r="U122"/>
  <c r="V122"/>
  <c r="O123"/>
  <c r="P123"/>
  <c r="R123"/>
  <c r="S123"/>
  <c r="U123"/>
  <c r="V123"/>
  <c r="O124"/>
  <c r="P124"/>
  <c r="R124"/>
  <c r="S124"/>
  <c r="U124"/>
  <c r="V124"/>
  <c r="O125"/>
  <c r="P125"/>
  <c r="R125"/>
  <c r="S125"/>
  <c r="U125"/>
  <c r="V125"/>
  <c r="O126"/>
  <c r="P126"/>
  <c r="R126"/>
  <c r="S126"/>
  <c r="U126"/>
  <c r="V126"/>
  <c r="O127"/>
  <c r="P127"/>
  <c r="R127"/>
  <c r="S127"/>
  <c r="U127"/>
  <c r="V127"/>
  <c r="O128"/>
  <c r="P128"/>
  <c r="R128"/>
  <c r="S128"/>
  <c r="U128"/>
  <c r="V128"/>
  <c r="O129"/>
  <c r="P129"/>
  <c r="R129"/>
  <c r="S129"/>
  <c r="U129"/>
  <c r="V129"/>
  <c r="O130"/>
  <c r="P130"/>
  <c r="R130"/>
  <c r="S130"/>
  <c r="U130"/>
  <c r="V130"/>
  <c r="O131"/>
  <c r="P131"/>
  <c r="R131"/>
  <c r="S131"/>
  <c r="U131"/>
  <c r="V131"/>
  <c r="O132"/>
  <c r="P132"/>
  <c r="R132"/>
  <c r="S132"/>
  <c r="U132"/>
  <c r="V132"/>
  <c r="O133"/>
  <c r="P133"/>
  <c r="R133"/>
  <c r="S133"/>
  <c r="U133"/>
  <c r="V133"/>
  <c r="O134"/>
  <c r="P134"/>
  <c r="R134"/>
  <c r="S134"/>
  <c r="U134"/>
  <c r="V134"/>
  <c r="O135"/>
  <c r="P135"/>
  <c r="R135"/>
  <c r="S135"/>
  <c r="U135"/>
  <c r="V135"/>
  <c r="O136"/>
  <c r="P136"/>
  <c r="R136"/>
  <c r="S136"/>
  <c r="U136"/>
  <c r="V136"/>
  <c r="O137"/>
  <c r="P137"/>
  <c r="R137"/>
  <c r="S137"/>
  <c r="U137"/>
  <c r="V137"/>
  <c r="W137"/>
  <c r="X137"/>
  <c r="Y137"/>
  <c r="Z137"/>
  <c r="U8"/>
  <c r="T8" s="1"/>
  <c r="R6" i="208"/>
  <c r="L12"/>
  <c r="L14"/>
  <c r="L16"/>
  <c r="L18"/>
  <c r="L20"/>
  <c r="L22"/>
  <c r="L24"/>
  <c r="L26"/>
  <c r="L28"/>
  <c r="L30"/>
  <c r="L32"/>
  <c r="L34"/>
  <c r="L36"/>
  <c r="L38"/>
  <c r="L40"/>
  <c r="L42"/>
  <c r="L44"/>
  <c r="L46"/>
  <c r="L48"/>
  <c r="L50"/>
  <c r="L52"/>
  <c r="L54"/>
  <c r="L56"/>
  <c r="L58"/>
  <c r="L60"/>
  <c r="L62"/>
  <c r="L64"/>
  <c r="L66"/>
  <c r="L68"/>
  <c r="L70"/>
  <c r="L72"/>
  <c r="L74"/>
  <c r="L76"/>
  <c r="L78"/>
  <c r="L80"/>
  <c r="L82"/>
  <c r="L84"/>
  <c r="L86"/>
  <c r="L88"/>
  <c r="L90"/>
  <c r="L92"/>
  <c r="L94"/>
  <c r="L96"/>
  <c r="L98"/>
  <c r="L100"/>
  <c r="L102"/>
  <c r="L104"/>
  <c r="L106"/>
  <c r="L108"/>
  <c r="L110"/>
  <c r="L112"/>
  <c r="L114"/>
  <c r="L116"/>
  <c r="L118"/>
  <c r="L120"/>
  <c r="L122"/>
  <c r="L124"/>
  <c r="L126"/>
  <c r="L128"/>
  <c r="L130"/>
  <c r="L132"/>
  <c r="L134"/>
  <c r="V8" i="87"/>
  <c r="P8" i="208"/>
  <c r="N8"/>
  <c r="U5" i="86"/>
  <c r="U8" i="208"/>
  <c r="U6"/>
  <c r="L13"/>
  <c r="L17"/>
  <c r="L21"/>
  <c r="L25"/>
  <c r="L29"/>
  <c r="L33"/>
  <c r="L37"/>
  <c r="L41"/>
  <c r="L45"/>
  <c r="L49"/>
  <c r="L53"/>
  <c r="L57"/>
  <c r="L61"/>
  <c r="L65"/>
  <c r="L69"/>
  <c r="L73"/>
  <c r="L77"/>
  <c r="L81"/>
  <c r="L85"/>
  <c r="L89"/>
  <c r="L93"/>
  <c r="L97"/>
  <c r="L101"/>
  <c r="L105"/>
  <c r="L109"/>
  <c r="L113"/>
  <c r="L117"/>
  <c r="L121"/>
  <c r="L125"/>
  <c r="L129"/>
  <c r="L133"/>
  <c r="V8"/>
  <c r="T8"/>
  <c r="O8" i="86"/>
  <c r="U8"/>
  <c r="S8"/>
  <c r="Y11"/>
  <c r="X11" i="208"/>
  <c r="K131" s="1"/>
  <c r="L19"/>
  <c r="L27"/>
  <c r="L35"/>
  <c r="L43"/>
  <c r="L51"/>
  <c r="L59"/>
  <c r="L67"/>
  <c r="L75"/>
  <c r="L83"/>
  <c r="L91"/>
  <c r="L99"/>
  <c r="L107"/>
  <c r="L115"/>
  <c r="L123"/>
  <c r="L131"/>
  <c r="K123"/>
  <c r="K107"/>
  <c r="K91"/>
  <c r="K75"/>
  <c r="K59"/>
  <c r="K43"/>
  <c r="K27"/>
  <c r="K136"/>
  <c r="K120"/>
  <c r="K104"/>
  <c r="K90"/>
  <c r="K82"/>
  <c r="K74"/>
  <c r="K66"/>
  <c r="K58"/>
  <c r="K50"/>
  <c r="K42"/>
  <c r="K34"/>
  <c r="K26"/>
  <c r="K18"/>
  <c r="K127"/>
  <c r="K95"/>
  <c r="K63"/>
  <c r="K31"/>
  <c r="K124"/>
  <c r="K92"/>
  <c r="K76"/>
  <c r="K60"/>
  <c r="K44"/>
  <c r="K28"/>
  <c r="K12"/>
  <c r="K125"/>
  <c r="K109"/>
  <c r="K93"/>
  <c r="K77"/>
  <c r="K61"/>
  <c r="K45"/>
  <c r="K29"/>
  <c r="K13"/>
  <c r="K122"/>
  <c r="K106"/>
  <c r="K135"/>
  <c r="K103"/>
  <c r="K71"/>
  <c r="K39"/>
  <c r="K132"/>
  <c r="K100"/>
  <c r="K80"/>
  <c r="K64"/>
  <c r="K48"/>
  <c r="K32"/>
  <c r="K16"/>
  <c r="K121"/>
  <c r="K105"/>
  <c r="K89"/>
  <c r="K73"/>
  <c r="K57"/>
  <c r="K41"/>
  <c r="K25"/>
  <c r="K134"/>
  <c r="K118"/>
  <c r="K102"/>
  <c r="T8" i="86"/>
  <c r="V8"/>
  <c r="M131"/>
  <c r="M123"/>
  <c r="M115"/>
  <c r="M107"/>
  <c r="M99"/>
  <c r="M91"/>
  <c r="M83"/>
  <c r="M75"/>
  <c r="M67"/>
  <c r="M59"/>
  <c r="M51"/>
  <c r="M43"/>
  <c r="M35"/>
  <c r="M27"/>
  <c r="M19"/>
  <c r="M136"/>
  <c r="M128"/>
  <c r="M120"/>
  <c r="M112"/>
  <c r="M104"/>
  <c r="M96"/>
  <c r="M88"/>
  <c r="M80"/>
  <c r="M72"/>
  <c r="M64"/>
  <c r="M56"/>
  <c r="M48"/>
  <c r="M40"/>
  <c r="M32"/>
  <c r="M24"/>
  <c r="M16"/>
  <c r="M133"/>
  <c r="M125"/>
  <c r="M117"/>
  <c r="M109"/>
  <c r="M101"/>
  <c r="M93"/>
  <c r="M85"/>
  <c r="M77"/>
  <c r="M69"/>
  <c r="M61"/>
  <c r="M53"/>
  <c r="M45"/>
  <c r="M37"/>
  <c r="M29"/>
  <c r="M21"/>
  <c r="M13"/>
  <c r="M130"/>
  <c r="M122"/>
  <c r="M114"/>
  <c r="M106"/>
  <c r="M98"/>
  <c r="M90"/>
  <c r="M82"/>
  <c r="M74"/>
  <c r="M66"/>
  <c r="M58"/>
  <c r="M50"/>
  <c r="M42"/>
  <c r="M34"/>
  <c r="M26"/>
  <c r="M18"/>
  <c r="M135"/>
  <c r="M127"/>
  <c r="M119"/>
  <c r="M111"/>
  <c r="M103"/>
  <c r="M95"/>
  <c r="M87"/>
  <c r="M79"/>
  <c r="M71"/>
  <c r="M63"/>
  <c r="M55"/>
  <c r="M47"/>
  <c r="M39"/>
  <c r="M31"/>
  <c r="M23"/>
  <c r="M15"/>
  <c r="M132"/>
  <c r="M124"/>
  <c r="M116"/>
  <c r="M108"/>
  <c r="M100"/>
  <c r="M92"/>
  <c r="M84"/>
  <c r="M76"/>
  <c r="M68"/>
  <c r="M60"/>
  <c r="M52"/>
  <c r="M44"/>
  <c r="M36"/>
  <c r="M28"/>
  <c r="M20"/>
  <c r="M12"/>
  <c r="M129"/>
  <c r="M121"/>
  <c r="M113"/>
  <c r="M105"/>
  <c r="M97"/>
  <c r="M89"/>
  <c r="M81"/>
  <c r="M73"/>
  <c r="M65"/>
  <c r="M57"/>
  <c r="M49"/>
  <c r="M41"/>
  <c r="M33"/>
  <c r="M25"/>
  <c r="M17"/>
  <c r="M134"/>
  <c r="M126"/>
  <c r="M118"/>
  <c r="M110"/>
  <c r="M102"/>
  <c r="M94"/>
  <c r="M86"/>
  <c r="M78"/>
  <c r="M70"/>
  <c r="M62"/>
  <c r="M54"/>
  <c r="M46"/>
  <c r="M38"/>
  <c r="M30"/>
  <c r="M22"/>
  <c r="M14"/>
  <c r="N8"/>
  <c r="P8"/>
  <c r="L6" i="319" l="1"/>
  <c r="L5"/>
  <c r="N5" i="318"/>
  <c r="N6"/>
  <c r="L6" i="317"/>
  <c r="L5"/>
  <c r="N6" i="316"/>
  <c r="N5"/>
  <c r="M6" i="315"/>
  <c r="M5"/>
  <c r="N6" i="314"/>
  <c r="N5"/>
  <c r="N5" i="315"/>
  <c r="N6"/>
  <c r="M6" i="313"/>
  <c r="M5"/>
  <c r="M6" i="314"/>
  <c r="L5" i="313"/>
  <c r="N6" i="312"/>
  <c r="N6" i="319"/>
  <c r="N5"/>
  <c r="M6" i="318"/>
  <c r="M5"/>
  <c r="L5"/>
  <c r="L6"/>
  <c r="N6" i="317"/>
  <c r="N5"/>
  <c r="M5"/>
  <c r="M6"/>
  <c r="L6" i="316"/>
  <c r="L5"/>
  <c r="L6" i="314"/>
  <c r="L5"/>
  <c r="L5" i="315"/>
  <c r="L6"/>
  <c r="W8" i="313"/>
  <c r="U8"/>
  <c r="M6" i="312"/>
  <c r="M5"/>
  <c r="M6" i="319"/>
  <c r="M5"/>
  <c r="M6" i="316"/>
  <c r="N6" i="313"/>
  <c r="M5" i="314"/>
  <c r="L6" i="312"/>
  <c r="N5"/>
  <c r="L6" i="311"/>
  <c r="L5"/>
  <c r="N6" i="310"/>
  <c r="N5"/>
  <c r="N6" i="309"/>
  <c r="N5"/>
  <c r="L6"/>
  <c r="L5"/>
  <c r="N6" i="308"/>
  <c r="N5"/>
  <c r="M6" i="311"/>
  <c r="M6" i="310"/>
  <c r="M6" i="308"/>
  <c r="M5"/>
  <c r="N6" i="311"/>
  <c r="N5"/>
  <c r="L6" i="310"/>
  <c r="L5"/>
  <c r="M5" i="309"/>
  <c r="M6"/>
  <c r="L6" i="308"/>
  <c r="L5"/>
  <c r="M5" i="311"/>
  <c r="M5" i="310"/>
  <c r="L6" i="307"/>
  <c r="L5"/>
  <c r="L6" i="306"/>
  <c r="L5"/>
  <c r="N6" i="307"/>
  <c r="N5"/>
  <c r="M5"/>
  <c r="M6"/>
  <c r="N6" i="306"/>
  <c r="N5"/>
  <c r="M5"/>
  <c r="M6"/>
  <c r="L6" i="305"/>
  <c r="L5"/>
  <c r="N6"/>
  <c r="N5"/>
  <c r="M6"/>
  <c r="K94" i="208"/>
  <c r="K110"/>
  <c r="K126"/>
  <c r="K17"/>
  <c r="K33"/>
  <c r="K49"/>
  <c r="K65"/>
  <c r="K81"/>
  <c r="K97"/>
  <c r="K113"/>
  <c r="K129"/>
  <c r="K24"/>
  <c r="K40"/>
  <c r="K56"/>
  <c r="K72"/>
  <c r="K88"/>
  <c r="K116"/>
  <c r="K23"/>
  <c r="K55"/>
  <c r="K87"/>
  <c r="K119"/>
  <c r="K98"/>
  <c r="K114"/>
  <c r="K130"/>
  <c r="K21"/>
  <c r="K37"/>
  <c r="K53"/>
  <c r="K69"/>
  <c r="K85"/>
  <c r="K101"/>
  <c r="K117"/>
  <c r="K133"/>
  <c r="K20"/>
  <c r="K36"/>
  <c r="K52"/>
  <c r="K68"/>
  <c r="K84"/>
  <c r="K108"/>
  <c r="K15"/>
  <c r="K47"/>
  <c r="K79"/>
  <c r="K111"/>
  <c r="K14"/>
  <c r="K22"/>
  <c r="K30"/>
  <c r="K38"/>
  <c r="K46"/>
  <c r="K54"/>
  <c r="K62"/>
  <c r="K70"/>
  <c r="K78"/>
  <c r="K86"/>
  <c r="K96"/>
  <c r="K112"/>
  <c r="K128"/>
  <c r="K19"/>
  <c r="K35"/>
  <c r="K51"/>
  <c r="K67"/>
  <c r="K83"/>
  <c r="K99"/>
  <c r="K115"/>
  <c r="Y11" i="87"/>
  <c r="X11"/>
  <c r="W11"/>
  <c r="U11" i="208"/>
  <c r="O11"/>
  <c r="L11"/>
  <c r="K11"/>
  <c r="Z11" i="87"/>
  <c r="X11" i="86"/>
  <c r="W11"/>
  <c r="R11" i="208"/>
  <c r="S8"/>
  <c r="O6"/>
  <c r="Z11"/>
  <c r="L39"/>
  <c r="L71"/>
  <c r="L103"/>
  <c r="L135"/>
  <c r="W11"/>
  <c r="S11" i="184"/>
  <c r="V11"/>
  <c r="P11"/>
  <c r="N11"/>
  <c r="M11"/>
  <c r="L11"/>
  <c r="AA11"/>
  <c r="N16" s="1"/>
  <c r="Z11"/>
  <c r="M73" s="1"/>
  <c r="V4"/>
  <c r="N4"/>
  <c r="A11"/>
  <c r="V8"/>
  <c r="X11"/>
  <c r="L236" s="1"/>
  <c r="M219"/>
  <c r="M14"/>
  <c r="M105"/>
  <c r="M226"/>
  <c r="P4"/>
  <c r="M25"/>
  <c r="M89"/>
  <c r="M90"/>
  <c r="M72"/>
  <c r="M100"/>
  <c r="M54"/>
  <c r="M17"/>
  <c r="M49"/>
  <c r="M81"/>
  <c r="M212"/>
  <c r="M106"/>
  <c r="M42"/>
  <c r="M40"/>
  <c r="M19"/>
  <c r="M214"/>
  <c r="M61"/>
  <c r="N86"/>
  <c r="N109"/>
  <c r="M26"/>
  <c r="M94"/>
  <c r="M56"/>
  <c r="M218"/>
  <c r="M27"/>
  <c r="M67"/>
  <c r="M224"/>
  <c r="M38"/>
  <c r="M93"/>
  <c r="M222"/>
  <c r="M59"/>
  <c r="M91"/>
  <c r="M107"/>
  <c r="M232"/>
  <c r="M215"/>
  <c r="M84"/>
  <c r="M52"/>
  <c r="M20"/>
  <c r="M70"/>
  <c r="M229"/>
  <c r="M45"/>
  <c r="M77"/>
  <c r="M109"/>
  <c r="M213"/>
  <c r="M18"/>
  <c r="M64"/>
  <c r="M31"/>
  <c r="M95"/>
  <c r="M76"/>
  <c r="M221"/>
  <c r="M21"/>
  <c r="M37"/>
  <c r="M53"/>
  <c r="M69"/>
  <c r="M85"/>
  <c r="M101"/>
  <c r="M216"/>
  <c r="M223"/>
  <c r="M98"/>
  <c r="M50"/>
  <c r="M46"/>
  <c r="M32"/>
  <c r="M96"/>
  <c r="M15"/>
  <c r="M47"/>
  <c r="M79"/>
  <c r="M111"/>
  <c r="M108"/>
  <c r="M44"/>
  <c r="M66"/>
  <c r="M34"/>
  <c r="M22"/>
  <c r="M78"/>
  <c r="M16"/>
  <c r="M48"/>
  <c r="M80"/>
  <c r="M230"/>
  <c r="M23"/>
  <c r="M39"/>
  <c r="M55"/>
  <c r="M71"/>
  <c r="M87"/>
  <c r="M103"/>
  <c r="M12"/>
  <c r="M220"/>
  <c r="M92"/>
  <c r="M60"/>
  <c r="S8"/>
  <c r="N66"/>
  <c r="N94"/>
  <c r="N25"/>
  <c r="N224"/>
  <c r="Y11"/>
  <c r="L22" s="1"/>
  <c r="N22"/>
  <c r="N32"/>
  <c r="N90"/>
  <c r="N227"/>
  <c r="N67"/>
  <c r="N103"/>
  <c r="N37"/>
  <c r="N232"/>
  <c r="S4"/>
  <c r="M4"/>
  <c r="T8"/>
  <c r="P8"/>
  <c r="O8" i="87"/>
  <c r="R8"/>
  <c r="L136" i="86"/>
  <c r="L127"/>
  <c r="L111"/>
  <c r="L95"/>
  <c r="L79"/>
  <c r="L63"/>
  <c r="L47"/>
  <c r="L31"/>
  <c r="L15"/>
  <c r="L135"/>
  <c r="L119"/>
  <c r="L103"/>
  <c r="L87"/>
  <c r="L71"/>
  <c r="L55"/>
  <c r="L39"/>
  <c r="L23"/>
  <c r="Z11"/>
  <c r="U5" i="87"/>
  <c r="M11" i="208"/>
  <c r="O5"/>
  <c r="L15"/>
  <c r="L31"/>
  <c r="L47"/>
  <c r="L63"/>
  <c r="L79"/>
  <c r="L95"/>
  <c r="L111"/>
  <c r="L127"/>
  <c r="N12" i="184" l="1"/>
  <c r="N222"/>
  <c r="N29"/>
  <c r="N99"/>
  <c r="N35"/>
  <c r="N110"/>
  <c r="N76"/>
  <c r="N44"/>
  <c r="N89"/>
  <c r="N221"/>
  <c r="N104"/>
  <c r="N42"/>
  <c r="N111"/>
  <c r="N20"/>
  <c r="N49"/>
  <c r="N48"/>
  <c r="N231"/>
  <c r="N43"/>
  <c r="L86"/>
  <c r="L74"/>
  <c r="L69"/>
  <c r="L49"/>
  <c r="L23"/>
  <c r="L84"/>
  <c r="L47"/>
  <c r="M233"/>
  <c r="M129" i="208"/>
  <c r="M121"/>
  <c r="M113"/>
  <c r="M105"/>
  <c r="M97"/>
  <c r="M89"/>
  <c r="M81"/>
  <c r="M73"/>
  <c r="M65"/>
  <c r="M57"/>
  <c r="M49"/>
  <c r="M41"/>
  <c r="M33"/>
  <c r="M25"/>
  <c r="M17"/>
  <c r="M134"/>
  <c r="M126"/>
  <c r="M118"/>
  <c r="M110"/>
  <c r="M102"/>
  <c r="M94"/>
  <c r="M86"/>
  <c r="M78"/>
  <c r="M70"/>
  <c r="M62"/>
  <c r="M54"/>
  <c r="M46"/>
  <c r="M38"/>
  <c r="M30"/>
  <c r="M22"/>
  <c r="M14"/>
  <c r="M125"/>
  <c r="M109"/>
  <c r="M93"/>
  <c r="M77"/>
  <c r="M61"/>
  <c r="M45"/>
  <c r="M29"/>
  <c r="M13"/>
  <c r="M122"/>
  <c r="M106"/>
  <c r="M90"/>
  <c r="M74"/>
  <c r="M58"/>
  <c r="M42"/>
  <c r="M26"/>
  <c r="M133"/>
  <c r="M117"/>
  <c r="M101"/>
  <c r="M85"/>
  <c r="M69"/>
  <c r="M53"/>
  <c r="M37"/>
  <c r="M21"/>
  <c r="M130"/>
  <c r="M114"/>
  <c r="M98"/>
  <c r="M82"/>
  <c r="M66"/>
  <c r="M50"/>
  <c r="M34"/>
  <c r="M18"/>
  <c r="M135"/>
  <c r="M127"/>
  <c r="M119"/>
  <c r="M111"/>
  <c r="M103"/>
  <c r="M95"/>
  <c r="M87"/>
  <c r="M79"/>
  <c r="M71"/>
  <c r="M63"/>
  <c r="M55"/>
  <c r="M47"/>
  <c r="M39"/>
  <c r="M31"/>
  <c r="M23"/>
  <c r="M15"/>
  <c r="M132"/>
  <c r="M124"/>
  <c r="M116"/>
  <c r="M108"/>
  <c r="M100"/>
  <c r="M92"/>
  <c r="M84"/>
  <c r="M76"/>
  <c r="M68"/>
  <c r="M60"/>
  <c r="M52"/>
  <c r="M44"/>
  <c r="M36"/>
  <c r="M28"/>
  <c r="M20"/>
  <c r="M12"/>
  <c r="M131"/>
  <c r="M123"/>
  <c r="M115"/>
  <c r="M107"/>
  <c r="M99"/>
  <c r="M91"/>
  <c r="M83"/>
  <c r="M75"/>
  <c r="M67"/>
  <c r="M59"/>
  <c r="M51"/>
  <c r="M43"/>
  <c r="M35"/>
  <c r="M27"/>
  <c r="M19"/>
  <c r="M136"/>
  <c r="M128"/>
  <c r="M120"/>
  <c r="M112"/>
  <c r="M104"/>
  <c r="M96"/>
  <c r="M88"/>
  <c r="M80"/>
  <c r="M72"/>
  <c r="M64"/>
  <c r="M56"/>
  <c r="M48"/>
  <c r="M40"/>
  <c r="M32"/>
  <c r="M24"/>
  <c r="M16"/>
  <c r="K13" i="86"/>
  <c r="K17"/>
  <c r="K21"/>
  <c r="K25"/>
  <c r="K29"/>
  <c r="K33"/>
  <c r="K37"/>
  <c r="K41"/>
  <c r="K45"/>
  <c r="K49"/>
  <c r="K53"/>
  <c r="K57"/>
  <c r="K61"/>
  <c r="K65"/>
  <c r="K69"/>
  <c r="K73"/>
  <c r="K77"/>
  <c r="K81"/>
  <c r="K85"/>
  <c r="K89"/>
  <c r="K93"/>
  <c r="K97"/>
  <c r="K101"/>
  <c r="K105"/>
  <c r="K109"/>
  <c r="K113"/>
  <c r="K117"/>
  <c r="K121"/>
  <c r="K125"/>
  <c r="K129"/>
  <c r="K133"/>
  <c r="K15"/>
  <c r="K23"/>
  <c r="K31"/>
  <c r="K39"/>
  <c r="K47"/>
  <c r="K55"/>
  <c r="K63"/>
  <c r="K71"/>
  <c r="K79"/>
  <c r="K87"/>
  <c r="K95"/>
  <c r="K103"/>
  <c r="K111"/>
  <c r="K119"/>
  <c r="K127"/>
  <c r="K135"/>
  <c r="K19"/>
  <c r="K27"/>
  <c r="K35"/>
  <c r="K43"/>
  <c r="K51"/>
  <c r="K59"/>
  <c r="K67"/>
  <c r="K75"/>
  <c r="K83"/>
  <c r="K91"/>
  <c r="K99"/>
  <c r="K107"/>
  <c r="K115"/>
  <c r="K123"/>
  <c r="K131"/>
  <c r="K136"/>
  <c r="K128"/>
  <c r="K120"/>
  <c r="K112"/>
  <c r="K104"/>
  <c r="K96"/>
  <c r="K88"/>
  <c r="K80"/>
  <c r="K72"/>
  <c r="K64"/>
  <c r="K56"/>
  <c r="K48"/>
  <c r="K40"/>
  <c r="K32"/>
  <c r="K24"/>
  <c r="K16"/>
  <c r="M137"/>
  <c r="K134"/>
  <c r="K126"/>
  <c r="K118"/>
  <c r="K110"/>
  <c r="K102"/>
  <c r="K94"/>
  <c r="K86"/>
  <c r="K78"/>
  <c r="K70"/>
  <c r="K62"/>
  <c r="K54"/>
  <c r="K46"/>
  <c r="K38"/>
  <c r="K30"/>
  <c r="K22"/>
  <c r="K14"/>
  <c r="K132"/>
  <c r="K124"/>
  <c r="K116"/>
  <c r="K108"/>
  <c r="K100"/>
  <c r="K92"/>
  <c r="K84"/>
  <c r="K76"/>
  <c r="K68"/>
  <c r="K60"/>
  <c r="K52"/>
  <c r="K44"/>
  <c r="K36"/>
  <c r="K28"/>
  <c r="K20"/>
  <c r="K12"/>
  <c r="K137"/>
  <c r="K130"/>
  <c r="K122"/>
  <c r="K114"/>
  <c r="K106"/>
  <c r="K98"/>
  <c r="K90"/>
  <c r="K82"/>
  <c r="K74"/>
  <c r="K66"/>
  <c r="K58"/>
  <c r="K50"/>
  <c r="K42"/>
  <c r="K34"/>
  <c r="K26"/>
  <c r="K18"/>
  <c r="L137"/>
  <c r="L133" i="87"/>
  <c r="L125"/>
  <c r="L117"/>
  <c r="L109"/>
  <c r="L101"/>
  <c r="L93"/>
  <c r="L85"/>
  <c r="L77"/>
  <c r="L69"/>
  <c r="L61"/>
  <c r="L53"/>
  <c r="L45"/>
  <c r="L37"/>
  <c r="L29"/>
  <c r="L21"/>
  <c r="L13"/>
  <c r="L130"/>
  <c r="L122"/>
  <c r="L114"/>
  <c r="L106"/>
  <c r="L98"/>
  <c r="L90"/>
  <c r="L82"/>
  <c r="L74"/>
  <c r="L66"/>
  <c r="L58"/>
  <c r="L50"/>
  <c r="L42"/>
  <c r="L34"/>
  <c r="L26"/>
  <c r="L18"/>
  <c r="L135"/>
  <c r="L127"/>
  <c r="L119"/>
  <c r="L111"/>
  <c r="L103"/>
  <c r="L95"/>
  <c r="L87"/>
  <c r="L79"/>
  <c r="L71"/>
  <c r="L63"/>
  <c r="L55"/>
  <c r="L47"/>
  <c r="L39"/>
  <c r="L31"/>
  <c r="L23"/>
  <c r="L15"/>
  <c r="L132"/>
  <c r="L124"/>
  <c r="L116"/>
  <c r="L108"/>
  <c r="L100"/>
  <c r="L92"/>
  <c r="L84"/>
  <c r="L76"/>
  <c r="L68"/>
  <c r="L60"/>
  <c r="L52"/>
  <c r="L44"/>
  <c r="L36"/>
  <c r="L28"/>
  <c r="L20"/>
  <c r="L12"/>
  <c r="L129"/>
  <c r="L113"/>
  <c r="L97"/>
  <c r="L81"/>
  <c r="L65"/>
  <c r="L49"/>
  <c r="L33"/>
  <c r="L17"/>
  <c r="L126"/>
  <c r="L110"/>
  <c r="L94"/>
  <c r="L78"/>
  <c r="L62"/>
  <c r="L46"/>
  <c r="L30"/>
  <c r="L14"/>
  <c r="L123"/>
  <c r="L107"/>
  <c r="L91"/>
  <c r="L75"/>
  <c r="L59"/>
  <c r="L43"/>
  <c r="L27"/>
  <c r="L136"/>
  <c r="L120"/>
  <c r="L104"/>
  <c r="L88"/>
  <c r="L72"/>
  <c r="L56"/>
  <c r="L40"/>
  <c r="L24"/>
  <c r="L121"/>
  <c r="L105"/>
  <c r="L89"/>
  <c r="L73"/>
  <c r="L57"/>
  <c r="L41"/>
  <c r="L25"/>
  <c r="L134"/>
  <c r="L118"/>
  <c r="L102"/>
  <c r="L86"/>
  <c r="L70"/>
  <c r="L54"/>
  <c r="L38"/>
  <c r="L22"/>
  <c r="L131"/>
  <c r="L115"/>
  <c r="L99"/>
  <c r="L83"/>
  <c r="L67"/>
  <c r="L51"/>
  <c r="L35"/>
  <c r="L19"/>
  <c r="L128"/>
  <c r="L112"/>
  <c r="L96"/>
  <c r="L80"/>
  <c r="L64"/>
  <c r="L48"/>
  <c r="L32"/>
  <c r="L16"/>
  <c r="M137" i="208"/>
  <c r="L137"/>
  <c r="K137"/>
  <c r="L12" i="86"/>
  <c r="L16"/>
  <c r="L20"/>
  <c r="L24"/>
  <c r="L28"/>
  <c r="L32"/>
  <c r="L36"/>
  <c r="L40"/>
  <c r="L44"/>
  <c r="L48"/>
  <c r="L52"/>
  <c r="L56"/>
  <c r="L60"/>
  <c r="L64"/>
  <c r="L68"/>
  <c r="L72"/>
  <c r="L76"/>
  <c r="L80"/>
  <c r="L84"/>
  <c r="L88"/>
  <c r="L92"/>
  <c r="L96"/>
  <c r="L100"/>
  <c r="L104"/>
  <c r="L108"/>
  <c r="L112"/>
  <c r="L116"/>
  <c r="L120"/>
  <c r="L124"/>
  <c r="L128"/>
  <c r="L132"/>
  <c r="L18"/>
  <c r="L26"/>
  <c r="L34"/>
  <c r="L42"/>
  <c r="L50"/>
  <c r="L58"/>
  <c r="L66"/>
  <c r="L74"/>
  <c r="L82"/>
  <c r="L90"/>
  <c r="L98"/>
  <c r="L106"/>
  <c r="L114"/>
  <c r="L122"/>
  <c r="L130"/>
  <c r="L14"/>
  <c r="L22"/>
  <c r="L30"/>
  <c r="L38"/>
  <c r="L46"/>
  <c r="L54"/>
  <c r="L62"/>
  <c r="L70"/>
  <c r="L78"/>
  <c r="L86"/>
  <c r="L94"/>
  <c r="L102"/>
  <c r="L110"/>
  <c r="L118"/>
  <c r="L126"/>
  <c r="L134"/>
  <c r="L17"/>
  <c r="L25"/>
  <c r="L33"/>
  <c r="L41"/>
  <c r="L49"/>
  <c r="L57"/>
  <c r="L65"/>
  <c r="L73"/>
  <c r="L81"/>
  <c r="L89"/>
  <c r="L97"/>
  <c r="L105"/>
  <c r="L113"/>
  <c r="L121"/>
  <c r="L129"/>
  <c r="L19"/>
  <c r="L35"/>
  <c r="L51"/>
  <c r="L67"/>
  <c r="L83"/>
  <c r="L99"/>
  <c r="L115"/>
  <c r="L131"/>
  <c r="L13"/>
  <c r="L21"/>
  <c r="L29"/>
  <c r="L37"/>
  <c r="L45"/>
  <c r="L53"/>
  <c r="L61"/>
  <c r="L69"/>
  <c r="L77"/>
  <c r="L85"/>
  <c r="L93"/>
  <c r="L101"/>
  <c r="L109"/>
  <c r="L117"/>
  <c r="L125"/>
  <c r="L133"/>
  <c r="L27"/>
  <c r="L43"/>
  <c r="L59"/>
  <c r="L75"/>
  <c r="L91"/>
  <c r="L107"/>
  <c r="L123"/>
  <c r="K65" i="87"/>
  <c r="K49"/>
  <c r="K33"/>
  <c r="K17"/>
  <c r="K57"/>
  <c r="K25"/>
  <c r="K73"/>
  <c r="K41"/>
  <c r="K132"/>
  <c r="K124"/>
  <c r="K116"/>
  <c r="K108"/>
  <c r="K100"/>
  <c r="K92"/>
  <c r="K84"/>
  <c r="K76"/>
  <c r="K68"/>
  <c r="K60"/>
  <c r="K52"/>
  <c r="K44"/>
  <c r="K36"/>
  <c r="K28"/>
  <c r="K20"/>
  <c r="K12"/>
  <c r="K133"/>
  <c r="K125"/>
  <c r="K117"/>
  <c r="K109"/>
  <c r="K101"/>
  <c r="K93"/>
  <c r="K85"/>
  <c r="K77"/>
  <c r="K130"/>
  <c r="K122"/>
  <c r="K136"/>
  <c r="K120"/>
  <c r="K104"/>
  <c r="K88"/>
  <c r="K72"/>
  <c r="K56"/>
  <c r="K40"/>
  <c r="K24"/>
  <c r="K137"/>
  <c r="K121"/>
  <c r="K105"/>
  <c r="K89"/>
  <c r="K134"/>
  <c r="K118"/>
  <c r="K110"/>
  <c r="K102"/>
  <c r="K94"/>
  <c r="K86"/>
  <c r="K78"/>
  <c r="K70"/>
  <c r="K62"/>
  <c r="K54"/>
  <c r="K46"/>
  <c r="K38"/>
  <c r="K30"/>
  <c r="K22"/>
  <c r="K14"/>
  <c r="K135"/>
  <c r="K127"/>
  <c r="K119"/>
  <c r="K111"/>
  <c r="K103"/>
  <c r="K95"/>
  <c r="K87"/>
  <c r="K79"/>
  <c r="K71"/>
  <c r="K63"/>
  <c r="K55"/>
  <c r="K47"/>
  <c r="K39"/>
  <c r="K31"/>
  <c r="K23"/>
  <c r="K15"/>
  <c r="K69"/>
  <c r="K53"/>
  <c r="K37"/>
  <c r="K21"/>
  <c r="K128"/>
  <c r="K112"/>
  <c r="K96"/>
  <c r="K80"/>
  <c r="K64"/>
  <c r="K48"/>
  <c r="K32"/>
  <c r="K16"/>
  <c r="K129"/>
  <c r="K113"/>
  <c r="K97"/>
  <c r="K81"/>
  <c r="K126"/>
  <c r="K114"/>
  <c r="K106"/>
  <c r="K98"/>
  <c r="K90"/>
  <c r="K82"/>
  <c r="K74"/>
  <c r="K66"/>
  <c r="K58"/>
  <c r="K50"/>
  <c r="K42"/>
  <c r="K34"/>
  <c r="K26"/>
  <c r="K18"/>
  <c r="L137"/>
  <c r="K131"/>
  <c r="K123"/>
  <c r="K115"/>
  <c r="K107"/>
  <c r="K99"/>
  <c r="K91"/>
  <c r="K83"/>
  <c r="K75"/>
  <c r="K67"/>
  <c r="K59"/>
  <c r="K51"/>
  <c r="K43"/>
  <c r="K35"/>
  <c r="K27"/>
  <c r="K19"/>
  <c r="M137"/>
  <c r="K61"/>
  <c r="K45"/>
  <c r="K29"/>
  <c r="K13"/>
  <c r="M12"/>
  <c r="M20"/>
  <c r="M28"/>
  <c r="M36"/>
  <c r="M40"/>
  <c r="M44"/>
  <c r="M48"/>
  <c r="M52"/>
  <c r="M56"/>
  <c r="M60"/>
  <c r="M64"/>
  <c r="M68"/>
  <c r="M72"/>
  <c r="M76"/>
  <c r="M80"/>
  <c r="M84"/>
  <c r="M88"/>
  <c r="M92"/>
  <c r="M96"/>
  <c r="M100"/>
  <c r="M104"/>
  <c r="M108"/>
  <c r="M112"/>
  <c r="M116"/>
  <c r="M120"/>
  <c r="M124"/>
  <c r="M128"/>
  <c r="M132"/>
  <c r="M131"/>
  <c r="M123"/>
  <c r="M115"/>
  <c r="M107"/>
  <c r="M99"/>
  <c r="M91"/>
  <c r="M83"/>
  <c r="M75"/>
  <c r="M67"/>
  <c r="M59"/>
  <c r="M51"/>
  <c r="M43"/>
  <c r="M35"/>
  <c r="M27"/>
  <c r="M19"/>
  <c r="M136"/>
  <c r="M129"/>
  <c r="M121"/>
  <c r="M113"/>
  <c r="M105"/>
  <c r="M97"/>
  <c r="M89"/>
  <c r="M81"/>
  <c r="M73"/>
  <c r="M65"/>
  <c r="M57"/>
  <c r="M49"/>
  <c r="M24"/>
  <c r="M38"/>
  <c r="M46"/>
  <c r="M54"/>
  <c r="M62"/>
  <c r="M70"/>
  <c r="M78"/>
  <c r="M86"/>
  <c r="M94"/>
  <c r="M102"/>
  <c r="M110"/>
  <c r="M118"/>
  <c r="M126"/>
  <c r="M134"/>
  <c r="M16"/>
  <c r="M32"/>
  <c r="M42"/>
  <c r="M50"/>
  <c r="M58"/>
  <c r="M66"/>
  <c r="M74"/>
  <c r="M82"/>
  <c r="M90"/>
  <c r="M98"/>
  <c r="M106"/>
  <c r="M114"/>
  <c r="M122"/>
  <c r="M130"/>
  <c r="M135"/>
  <c r="M119"/>
  <c r="M103"/>
  <c r="M87"/>
  <c r="M71"/>
  <c r="M55"/>
  <c r="M39"/>
  <c r="M23"/>
  <c r="M133"/>
  <c r="M117"/>
  <c r="M101"/>
  <c r="M85"/>
  <c r="M69"/>
  <c r="M53"/>
  <c r="M41"/>
  <c r="M33"/>
  <c r="M25"/>
  <c r="M17"/>
  <c r="M127"/>
  <c r="M95"/>
  <c r="M63"/>
  <c r="M31"/>
  <c r="M125"/>
  <c r="M93"/>
  <c r="M61"/>
  <c r="M37"/>
  <c r="M21"/>
  <c r="M18"/>
  <c r="M26"/>
  <c r="M34"/>
  <c r="M111"/>
  <c r="M79"/>
  <c r="M47"/>
  <c r="M15"/>
  <c r="M109"/>
  <c r="M77"/>
  <c r="M45"/>
  <c r="M29"/>
  <c r="M13"/>
  <c r="M14"/>
  <c r="M22"/>
  <c r="M30"/>
  <c r="K6" i="208"/>
  <c r="K5"/>
  <c r="N14" i="184"/>
  <c r="N234"/>
  <c r="N93"/>
  <c r="N97"/>
  <c r="N69"/>
  <c r="N33"/>
  <c r="N95"/>
  <c r="N39"/>
  <c r="N229"/>
  <c r="N215"/>
  <c r="N102"/>
  <c r="N68"/>
  <c r="N92"/>
  <c r="N70"/>
  <c r="N50"/>
  <c r="N38"/>
  <c r="N65"/>
  <c r="N61"/>
  <c r="N71"/>
  <c r="N108"/>
  <c r="N78"/>
  <c r="N88"/>
  <c r="N40"/>
  <c r="N236"/>
  <c r="N77"/>
  <c r="N31"/>
  <c r="N46"/>
  <c r="N235"/>
  <c r="N52"/>
  <c r="N107"/>
  <c r="N226"/>
  <c r="M75"/>
  <c r="M228"/>
  <c r="M82"/>
  <c r="M29"/>
  <c r="M68"/>
  <c r="M99"/>
  <c r="M43"/>
  <c r="M234"/>
  <c r="M88"/>
  <c r="M24"/>
  <c r="M30"/>
  <c r="M63"/>
  <c r="M110"/>
  <c r="M36"/>
  <c r="M51"/>
  <c r="M104"/>
  <c r="M62"/>
  <c r="M74"/>
  <c r="M227"/>
  <c r="M97"/>
  <c r="M65"/>
  <c r="M33"/>
  <c r="M217"/>
  <c r="M231"/>
  <c r="M35"/>
  <c r="M13"/>
  <c r="M235"/>
  <c r="M57"/>
  <c r="M86"/>
  <c r="M102"/>
  <c r="M58"/>
  <c r="M41"/>
  <c r="M83"/>
  <c r="M225"/>
  <c r="L64"/>
  <c r="L43"/>
  <c r="L234"/>
  <c r="L20"/>
  <c r="L212"/>
  <c r="L67"/>
  <c r="N230"/>
  <c r="N101"/>
  <c r="N220"/>
  <c r="N21"/>
  <c r="N212"/>
  <c r="N73"/>
  <c r="N85"/>
  <c r="N53"/>
  <c r="N87"/>
  <c r="N17"/>
  <c r="N233"/>
  <c r="N23"/>
  <c r="N79"/>
  <c r="N83"/>
  <c r="N47"/>
  <c r="N51"/>
  <c r="N15"/>
  <c r="N19"/>
  <c r="N219"/>
  <c r="N217"/>
  <c r="N98"/>
  <c r="N100"/>
  <c r="N74"/>
  <c r="N84"/>
  <c r="N64"/>
  <c r="N60"/>
  <c r="N58"/>
  <c r="N24"/>
  <c r="N28"/>
  <c r="N30"/>
  <c r="M236"/>
  <c r="N216"/>
  <c r="N228"/>
  <c r="N218"/>
  <c r="N214"/>
  <c r="N13"/>
  <c r="N55"/>
  <c r="N91"/>
  <c r="N59"/>
  <c r="N27"/>
  <c r="N223"/>
  <c r="N106"/>
  <c r="N82"/>
  <c r="N72"/>
  <c r="N62"/>
  <c r="N36"/>
  <c r="N26"/>
  <c r="N81"/>
  <c r="N105"/>
  <c r="N41"/>
  <c r="N63"/>
  <c r="N225"/>
  <c r="N56"/>
  <c r="N54"/>
  <c r="N18"/>
  <c r="N57"/>
  <c r="N75"/>
  <c r="N96"/>
  <c r="N34"/>
  <c r="N213"/>
  <c r="N80"/>
  <c r="N45"/>
  <c r="L16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R8"/>
  <c r="R12" s="1"/>
  <c r="T12" s="1"/>
  <c r="R114"/>
  <c r="T114" s="1"/>
  <c r="R115"/>
  <c r="T115" s="1"/>
  <c r="R116"/>
  <c r="T116" s="1"/>
  <c r="R117"/>
  <c r="T117" s="1"/>
  <c r="R118"/>
  <c r="T118" s="1"/>
  <c r="R119"/>
  <c r="T119" s="1"/>
  <c r="R120"/>
  <c r="T120" s="1"/>
  <c r="R121"/>
  <c r="T121" s="1"/>
  <c r="R122"/>
  <c r="T122" s="1"/>
  <c r="R123"/>
  <c r="T123" s="1"/>
  <c r="R124"/>
  <c r="T124" s="1"/>
  <c r="R125"/>
  <c r="T125" s="1"/>
  <c r="R126"/>
  <c r="T126" s="1"/>
  <c r="R127"/>
  <c r="T127" s="1"/>
  <c r="R111"/>
  <c r="T111" s="1"/>
  <c r="R110"/>
  <c r="T110" s="1"/>
  <c r="R109"/>
  <c r="T109" s="1"/>
  <c r="R108"/>
  <c r="T108" s="1"/>
  <c r="R104"/>
  <c r="T104" s="1"/>
  <c r="R99"/>
  <c r="T99" s="1"/>
  <c r="R93"/>
  <c r="T93" s="1"/>
  <c r="R92"/>
  <c r="T92" s="1"/>
  <c r="R90"/>
  <c r="T90" s="1"/>
  <c r="R89"/>
  <c r="T89" s="1"/>
  <c r="R88"/>
  <c r="T88" s="1"/>
  <c r="R87"/>
  <c r="T87" s="1"/>
  <c r="R86"/>
  <c r="T86" s="1"/>
  <c r="R85"/>
  <c r="T85" s="1"/>
  <c r="R84"/>
  <c r="T84" s="1"/>
  <c r="R83"/>
  <c r="T83" s="1"/>
  <c r="R79"/>
  <c r="T79" s="1"/>
  <c r="R74"/>
  <c r="T74" s="1"/>
  <c r="R68"/>
  <c r="T68" s="1"/>
  <c r="R67"/>
  <c r="T67" s="1"/>
  <c r="R65"/>
  <c r="T65" s="1"/>
  <c r="R64"/>
  <c r="T64" s="1"/>
  <c r="R63"/>
  <c r="T63" s="1"/>
  <c r="R62"/>
  <c r="T62" s="1"/>
  <c r="R61"/>
  <c r="T61" s="1"/>
  <c r="R60"/>
  <c r="T60" s="1"/>
  <c r="R59"/>
  <c r="T59" s="1"/>
  <c r="R58"/>
  <c r="T58" s="1"/>
  <c r="R54"/>
  <c r="T54" s="1"/>
  <c r="R49"/>
  <c r="T49" s="1"/>
  <c r="R43"/>
  <c r="T43" s="1"/>
  <c r="R42"/>
  <c r="T42" s="1"/>
  <c r="R40"/>
  <c r="T40" s="1"/>
  <c r="R39"/>
  <c r="T39" s="1"/>
  <c r="R38"/>
  <c r="T38" s="1"/>
  <c r="R37"/>
  <c r="T37" s="1"/>
  <c r="R36"/>
  <c r="T36" s="1"/>
  <c r="R35"/>
  <c r="T35" s="1"/>
  <c r="R34"/>
  <c r="T34" s="1"/>
  <c r="R33"/>
  <c r="T33" s="1"/>
  <c r="R29"/>
  <c r="T29" s="1"/>
  <c r="R24"/>
  <c r="T24" s="1"/>
  <c r="R107"/>
  <c r="T107" s="1"/>
  <c r="R106"/>
  <c r="T106" s="1"/>
  <c r="R105"/>
  <c r="T105" s="1"/>
  <c r="R103"/>
  <c r="T103" s="1"/>
  <c r="R102"/>
  <c r="T102" s="1"/>
  <c r="R101"/>
  <c r="T101" s="1"/>
  <c r="R100"/>
  <c r="T100" s="1"/>
  <c r="R98"/>
  <c r="T98" s="1"/>
  <c r="R97"/>
  <c r="T97" s="1"/>
  <c r="R96"/>
  <c r="T96" s="1"/>
  <c r="R95"/>
  <c r="T95" s="1"/>
  <c r="R94"/>
  <c r="T94" s="1"/>
  <c r="R91"/>
  <c r="T91" s="1"/>
  <c r="R82"/>
  <c r="T82" s="1"/>
  <c r="R81"/>
  <c r="T81" s="1"/>
  <c r="R80"/>
  <c r="T80" s="1"/>
  <c r="R78"/>
  <c r="T78" s="1"/>
  <c r="R77"/>
  <c r="T77" s="1"/>
  <c r="R76"/>
  <c r="T76" s="1"/>
  <c r="R75"/>
  <c r="T75" s="1"/>
  <c r="R73"/>
  <c r="T73" s="1"/>
  <c r="R72"/>
  <c r="T72" s="1"/>
  <c r="R71"/>
  <c r="T71" s="1"/>
  <c r="R70"/>
  <c r="T70" s="1"/>
  <c r="R69"/>
  <c r="T69" s="1"/>
  <c r="R66"/>
  <c r="T66" s="1"/>
  <c r="R57"/>
  <c r="T57" s="1"/>
  <c r="R56"/>
  <c r="T56" s="1"/>
  <c r="R55"/>
  <c r="T55" s="1"/>
  <c r="R53"/>
  <c r="T53" s="1"/>
  <c r="R52"/>
  <c r="T52" s="1"/>
  <c r="R51"/>
  <c r="T51" s="1"/>
  <c r="R50"/>
  <c r="T50" s="1"/>
  <c r="R48"/>
  <c r="T48" s="1"/>
  <c r="R47"/>
  <c r="T47" s="1"/>
  <c r="R46"/>
  <c r="T46" s="1"/>
  <c r="R45"/>
  <c r="T45" s="1"/>
  <c r="R44"/>
  <c r="T44" s="1"/>
  <c r="R41"/>
  <c r="T41" s="1"/>
  <c r="R32"/>
  <c r="T32" s="1"/>
  <c r="R31"/>
  <c r="T31" s="1"/>
  <c r="R30"/>
  <c r="T30" s="1"/>
  <c r="R28"/>
  <c r="T28" s="1"/>
  <c r="R27"/>
  <c r="T27" s="1"/>
  <c r="R26"/>
  <c r="T26" s="1"/>
  <c r="R25"/>
  <c r="T25" s="1"/>
  <c r="R23"/>
  <c r="T23" s="1"/>
  <c r="R22"/>
  <c r="T22" s="1"/>
  <c r="R21"/>
  <c r="T21" s="1"/>
  <c r="R20"/>
  <c r="T20" s="1"/>
  <c r="R19"/>
  <c r="T19" s="1"/>
  <c r="R18"/>
  <c r="T18" s="1"/>
  <c r="R17"/>
  <c r="T17" s="1"/>
  <c r="R16"/>
  <c r="T16" s="1"/>
  <c r="U8"/>
  <c r="M28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L227"/>
  <c r="L37"/>
  <c r="L107"/>
  <c r="L87"/>
  <c r="L42"/>
  <c r="L106"/>
  <c r="L52"/>
  <c r="L215"/>
  <c r="L81"/>
  <c r="L17"/>
  <c r="L224"/>
  <c r="L111"/>
  <c r="L54"/>
  <c r="L217"/>
  <c r="W8"/>
  <c r="U15" s="1"/>
  <c r="W15" s="1"/>
  <c r="L96"/>
  <c r="L101"/>
  <c r="L53"/>
  <c r="L21"/>
  <c r="L75"/>
  <c r="L228"/>
  <c r="L55"/>
  <c r="L218"/>
  <c r="L26"/>
  <c r="L58"/>
  <c r="L90"/>
  <c r="L221"/>
  <c r="L36"/>
  <c r="L68"/>
  <c r="L100"/>
  <c r="L231"/>
  <c r="L97"/>
  <c r="L65"/>
  <c r="L33"/>
  <c r="L35"/>
  <c r="L99"/>
  <c r="L15"/>
  <c r="L79"/>
  <c r="L230"/>
  <c r="L38"/>
  <c r="L70"/>
  <c r="L102"/>
  <c r="L13"/>
  <c r="L46"/>
  <c r="L40"/>
  <c r="L66"/>
  <c r="L94"/>
  <c r="L41"/>
  <c r="L82"/>
  <c r="L61"/>
  <c r="L24"/>
  <c r="L57"/>
  <c r="L91"/>
  <c r="L219"/>
  <c r="L63"/>
  <c r="L92"/>
  <c r="L39"/>
  <c r="L214"/>
  <c r="L93"/>
  <c r="L31"/>
  <c r="L76"/>
  <c r="L71"/>
  <c r="L85"/>
  <c r="L56"/>
  <c r="L77"/>
  <c r="L30"/>
  <c r="L83"/>
  <c r="L105"/>
  <c r="L28"/>
  <c r="L18"/>
  <c r="L59"/>
  <c r="L72"/>
  <c r="L44"/>
  <c r="L104"/>
  <c r="L110"/>
  <c r="L95"/>
  <c r="L51"/>
  <c r="L233"/>
  <c r="L229"/>
  <c r="L34"/>
  <c r="L12"/>
  <c r="L45"/>
  <c r="L32"/>
  <c r="L88"/>
  <c r="L109"/>
  <c r="L225"/>
  <c r="L62"/>
  <c r="L222"/>
  <c r="L232"/>
  <c r="L19"/>
  <c r="L73"/>
  <c r="L223"/>
  <c r="L60"/>
  <c r="L213"/>
  <c r="L50"/>
  <c r="L103"/>
  <c r="L220"/>
  <c r="L29"/>
  <c r="L80"/>
  <c r="L78"/>
  <c r="L89"/>
  <c r="L226"/>
  <c r="R15"/>
  <c r="T15" s="1"/>
  <c r="U13"/>
  <c r="W13" s="1"/>
  <c r="L216"/>
  <c r="L48"/>
  <c r="L235"/>
  <c r="L14"/>
  <c r="L25"/>
  <c r="L108"/>
  <c r="L98"/>
  <c r="L27"/>
  <c r="U14"/>
  <c r="W14" s="1"/>
  <c r="R14"/>
  <c r="Q8"/>
  <c r="O8"/>
  <c r="L5" i="86"/>
  <c r="L6"/>
  <c r="N8" i="87"/>
  <c r="P8"/>
  <c r="L6" i="208"/>
  <c r="L5"/>
  <c r="S8" i="87"/>
  <c r="Q8"/>
  <c r="R13" i="184" l="1"/>
  <c r="T13" s="1"/>
  <c r="M6"/>
  <c r="M6" i="87"/>
  <c r="M5"/>
  <c r="L5"/>
  <c r="L6"/>
  <c r="K5" i="86"/>
  <c r="M6"/>
  <c r="M5"/>
  <c r="K6"/>
  <c r="M6" i="208"/>
  <c r="M5"/>
  <c r="K6" i="87"/>
  <c r="K5"/>
  <c r="N5" i="184"/>
  <c r="N6"/>
  <c r="M5"/>
  <c r="R113"/>
  <c r="T113" s="1"/>
  <c r="O111"/>
  <c r="Q111" s="1"/>
  <c r="O128"/>
  <c r="Q128" s="1"/>
  <c r="R128"/>
  <c r="T128" s="1"/>
  <c r="U112"/>
  <c r="W112" s="1"/>
  <c r="R112"/>
  <c r="T112" s="1"/>
  <c r="U128"/>
  <c r="W128" s="1"/>
  <c r="U29"/>
  <c r="W29" s="1"/>
  <c r="U34"/>
  <c r="W34" s="1"/>
  <c r="U36"/>
  <c r="W36" s="1"/>
  <c r="U38"/>
  <c r="W38" s="1"/>
  <c r="U40"/>
  <c r="W40" s="1"/>
  <c r="U43"/>
  <c r="W43" s="1"/>
  <c r="U54"/>
  <c r="W54" s="1"/>
  <c r="U59"/>
  <c r="W59" s="1"/>
  <c r="U61"/>
  <c r="W61" s="1"/>
  <c r="U63"/>
  <c r="W63" s="1"/>
  <c r="U65"/>
  <c r="W65" s="1"/>
  <c r="U68"/>
  <c r="W68" s="1"/>
  <c r="U79"/>
  <c r="W79" s="1"/>
  <c r="U84"/>
  <c r="W84" s="1"/>
  <c r="U86"/>
  <c r="W86" s="1"/>
  <c r="U88"/>
  <c r="W88" s="1"/>
  <c r="U90"/>
  <c r="W90" s="1"/>
  <c r="U93"/>
  <c r="W93" s="1"/>
  <c r="U104"/>
  <c r="W104" s="1"/>
  <c r="U109"/>
  <c r="W109" s="1"/>
  <c r="U111"/>
  <c r="W111" s="1"/>
  <c r="U17"/>
  <c r="W17" s="1"/>
  <c r="U19"/>
  <c r="W19" s="1"/>
  <c r="U21"/>
  <c r="W21" s="1"/>
  <c r="U23"/>
  <c r="W23" s="1"/>
  <c r="U26"/>
  <c r="W26" s="1"/>
  <c r="U28"/>
  <c r="W28" s="1"/>
  <c r="U31"/>
  <c r="W31" s="1"/>
  <c r="U41"/>
  <c r="W41" s="1"/>
  <c r="U45"/>
  <c r="W45" s="1"/>
  <c r="U47"/>
  <c r="W47" s="1"/>
  <c r="U50"/>
  <c r="W50" s="1"/>
  <c r="U52"/>
  <c r="W52" s="1"/>
  <c r="U55"/>
  <c r="W55" s="1"/>
  <c r="U57"/>
  <c r="W57" s="1"/>
  <c r="U69"/>
  <c r="W69" s="1"/>
  <c r="U71"/>
  <c r="W71" s="1"/>
  <c r="U73"/>
  <c r="W73" s="1"/>
  <c r="U76"/>
  <c r="W76" s="1"/>
  <c r="U78"/>
  <c r="W78" s="1"/>
  <c r="U81"/>
  <c r="W81" s="1"/>
  <c r="U91"/>
  <c r="W91" s="1"/>
  <c r="U95"/>
  <c r="W95" s="1"/>
  <c r="U97"/>
  <c r="W97" s="1"/>
  <c r="U100"/>
  <c r="W100" s="1"/>
  <c r="U102"/>
  <c r="W102" s="1"/>
  <c r="U105"/>
  <c r="W105" s="1"/>
  <c r="U107"/>
  <c r="W107" s="1"/>
  <c r="U126"/>
  <c r="W126" s="1"/>
  <c r="U124"/>
  <c r="W124" s="1"/>
  <c r="U122"/>
  <c r="W122" s="1"/>
  <c r="U120"/>
  <c r="W120" s="1"/>
  <c r="U118"/>
  <c r="W118" s="1"/>
  <c r="U116"/>
  <c r="W116" s="1"/>
  <c r="U114"/>
  <c r="W114" s="1"/>
  <c r="O29"/>
  <c r="Q29" s="1"/>
  <c r="O34"/>
  <c r="Q34" s="1"/>
  <c r="O36"/>
  <c r="Q36" s="1"/>
  <c r="O38"/>
  <c r="Q38" s="1"/>
  <c r="O40"/>
  <c r="Q40" s="1"/>
  <c r="O43"/>
  <c r="Q43" s="1"/>
  <c r="O54"/>
  <c r="Q54" s="1"/>
  <c r="O59"/>
  <c r="Q59" s="1"/>
  <c r="O61"/>
  <c r="Q61" s="1"/>
  <c r="O17"/>
  <c r="Q17" s="1"/>
  <c r="O19"/>
  <c r="Q19" s="1"/>
  <c r="O21"/>
  <c r="Q21" s="1"/>
  <c r="O23"/>
  <c r="Q23" s="1"/>
  <c r="O26"/>
  <c r="Q26" s="1"/>
  <c r="O28"/>
  <c r="Q28" s="1"/>
  <c r="O31"/>
  <c r="Q31" s="1"/>
  <c r="O41"/>
  <c r="Q41" s="1"/>
  <c r="O45"/>
  <c r="Q45" s="1"/>
  <c r="O47"/>
  <c r="Q47" s="1"/>
  <c r="O50"/>
  <c r="Q50" s="1"/>
  <c r="O52"/>
  <c r="Q52" s="1"/>
  <c r="O55"/>
  <c r="Q55" s="1"/>
  <c r="O57"/>
  <c r="Q57" s="1"/>
  <c r="O69"/>
  <c r="Q69" s="1"/>
  <c r="O71"/>
  <c r="Q71" s="1"/>
  <c r="O73"/>
  <c r="Q73" s="1"/>
  <c r="O76"/>
  <c r="Q76" s="1"/>
  <c r="O78"/>
  <c r="Q78" s="1"/>
  <c r="O81"/>
  <c r="Q81" s="1"/>
  <c r="O91"/>
  <c r="Q91" s="1"/>
  <c r="O95"/>
  <c r="Q95" s="1"/>
  <c r="O97"/>
  <c r="Q97" s="1"/>
  <c r="O100"/>
  <c r="Q100" s="1"/>
  <c r="O102"/>
  <c r="Q102" s="1"/>
  <c r="O105"/>
  <c r="Q105" s="1"/>
  <c r="O107"/>
  <c r="Q107" s="1"/>
  <c r="O127"/>
  <c r="Q127" s="1"/>
  <c r="O125"/>
  <c r="Q125" s="1"/>
  <c r="O123"/>
  <c r="Q123" s="1"/>
  <c r="O121"/>
  <c r="Q121" s="1"/>
  <c r="O119"/>
  <c r="Q119" s="1"/>
  <c r="O117"/>
  <c r="Q117" s="1"/>
  <c r="O115"/>
  <c r="Q115" s="1"/>
  <c r="O113"/>
  <c r="Q113" s="1"/>
  <c r="O62"/>
  <c r="Q62" s="1"/>
  <c r="O64"/>
  <c r="Q64" s="1"/>
  <c r="O67"/>
  <c r="Q67" s="1"/>
  <c r="O74"/>
  <c r="Q74" s="1"/>
  <c r="O83"/>
  <c r="Q83" s="1"/>
  <c r="O85"/>
  <c r="Q85" s="1"/>
  <c r="O87"/>
  <c r="Q87" s="1"/>
  <c r="O89"/>
  <c r="Q89" s="1"/>
  <c r="O92"/>
  <c r="Q92" s="1"/>
  <c r="O99"/>
  <c r="Q99" s="1"/>
  <c r="O108"/>
  <c r="Q108" s="1"/>
  <c r="O110"/>
  <c r="Q110" s="1"/>
  <c r="U12"/>
  <c r="W12" s="1"/>
  <c r="U24"/>
  <c r="W24" s="1"/>
  <c r="U33"/>
  <c r="W33" s="1"/>
  <c r="U35"/>
  <c r="W35" s="1"/>
  <c r="U37"/>
  <c r="W37" s="1"/>
  <c r="U39"/>
  <c r="W39" s="1"/>
  <c r="U42"/>
  <c r="W42" s="1"/>
  <c r="U49"/>
  <c r="W49" s="1"/>
  <c r="U58"/>
  <c r="W58" s="1"/>
  <c r="U60"/>
  <c r="W60" s="1"/>
  <c r="U62"/>
  <c r="W62" s="1"/>
  <c r="U64"/>
  <c r="W64" s="1"/>
  <c r="U67"/>
  <c r="W67" s="1"/>
  <c r="U74"/>
  <c r="W74" s="1"/>
  <c r="U83"/>
  <c r="W83" s="1"/>
  <c r="U85"/>
  <c r="W85" s="1"/>
  <c r="U87"/>
  <c r="W87" s="1"/>
  <c r="U89"/>
  <c r="W89" s="1"/>
  <c r="U92"/>
  <c r="W92" s="1"/>
  <c r="U99"/>
  <c r="W99" s="1"/>
  <c r="U108"/>
  <c r="W108" s="1"/>
  <c r="U110"/>
  <c r="W110" s="1"/>
  <c r="U16"/>
  <c r="W16" s="1"/>
  <c r="U18"/>
  <c r="W18" s="1"/>
  <c r="U20"/>
  <c r="W20" s="1"/>
  <c r="U22"/>
  <c r="W22" s="1"/>
  <c r="U25"/>
  <c r="W25" s="1"/>
  <c r="U27"/>
  <c r="W27" s="1"/>
  <c r="U30"/>
  <c r="W30" s="1"/>
  <c r="U32"/>
  <c r="W32" s="1"/>
  <c r="U44"/>
  <c r="W44" s="1"/>
  <c r="U46"/>
  <c r="W46" s="1"/>
  <c r="U48"/>
  <c r="W48" s="1"/>
  <c r="U51"/>
  <c r="W51" s="1"/>
  <c r="U53"/>
  <c r="W53" s="1"/>
  <c r="U56"/>
  <c r="W56" s="1"/>
  <c r="U66"/>
  <c r="W66" s="1"/>
  <c r="U70"/>
  <c r="W70" s="1"/>
  <c r="U72"/>
  <c r="W72" s="1"/>
  <c r="U75"/>
  <c r="W75" s="1"/>
  <c r="U77"/>
  <c r="W77" s="1"/>
  <c r="U80"/>
  <c r="W80" s="1"/>
  <c r="U82"/>
  <c r="W82" s="1"/>
  <c r="U94"/>
  <c r="W94" s="1"/>
  <c r="U96"/>
  <c r="W96" s="1"/>
  <c r="U98"/>
  <c r="W98" s="1"/>
  <c r="U101"/>
  <c r="W101" s="1"/>
  <c r="U103"/>
  <c r="W103" s="1"/>
  <c r="U106"/>
  <c r="W106" s="1"/>
  <c r="U127"/>
  <c r="W127" s="1"/>
  <c r="U125"/>
  <c r="W125" s="1"/>
  <c r="U123"/>
  <c r="W123" s="1"/>
  <c r="U121"/>
  <c r="W121" s="1"/>
  <c r="U119"/>
  <c r="W119" s="1"/>
  <c r="U117"/>
  <c r="W117" s="1"/>
  <c r="U115"/>
  <c r="W115" s="1"/>
  <c r="U113"/>
  <c r="W113" s="1"/>
  <c r="O12"/>
  <c r="Q12" s="1"/>
  <c r="O24"/>
  <c r="Q24" s="1"/>
  <c r="O33"/>
  <c r="Q33" s="1"/>
  <c r="O35"/>
  <c r="Q35" s="1"/>
  <c r="O37"/>
  <c r="Q37" s="1"/>
  <c r="O39"/>
  <c r="Q39" s="1"/>
  <c r="O42"/>
  <c r="Q42" s="1"/>
  <c r="O49"/>
  <c r="Q49" s="1"/>
  <c r="O58"/>
  <c r="Q58" s="1"/>
  <c r="O60"/>
  <c r="Q60" s="1"/>
  <c r="O16"/>
  <c r="Q16" s="1"/>
  <c r="O18"/>
  <c r="Q18" s="1"/>
  <c r="O20"/>
  <c r="Q20" s="1"/>
  <c r="O22"/>
  <c r="Q22" s="1"/>
  <c r="O25"/>
  <c r="Q25" s="1"/>
  <c r="O27"/>
  <c r="Q27" s="1"/>
  <c r="O30"/>
  <c r="Q30" s="1"/>
  <c r="O32"/>
  <c r="Q32" s="1"/>
  <c r="O44"/>
  <c r="Q44" s="1"/>
  <c r="O46"/>
  <c r="Q46" s="1"/>
  <c r="O48"/>
  <c r="Q48" s="1"/>
  <c r="O51"/>
  <c r="Q51" s="1"/>
  <c r="O53"/>
  <c r="Q53" s="1"/>
  <c r="O56"/>
  <c r="Q56" s="1"/>
  <c r="O66"/>
  <c r="Q66" s="1"/>
  <c r="O70"/>
  <c r="Q70" s="1"/>
  <c r="O72"/>
  <c r="Q72" s="1"/>
  <c r="O75"/>
  <c r="Q75" s="1"/>
  <c r="O77"/>
  <c r="Q77" s="1"/>
  <c r="O80"/>
  <c r="Q80" s="1"/>
  <c r="O82"/>
  <c r="Q82" s="1"/>
  <c r="O94"/>
  <c r="Q94" s="1"/>
  <c r="O96"/>
  <c r="Q96" s="1"/>
  <c r="O98"/>
  <c r="Q98" s="1"/>
  <c r="O101"/>
  <c r="Q101" s="1"/>
  <c r="O103"/>
  <c r="Q103" s="1"/>
  <c r="O106"/>
  <c r="Q106" s="1"/>
  <c r="O15"/>
  <c r="Q15" s="1"/>
  <c r="O126"/>
  <c r="Q126" s="1"/>
  <c r="O124"/>
  <c r="Q124" s="1"/>
  <c r="O122"/>
  <c r="Q122" s="1"/>
  <c r="O120"/>
  <c r="Q120" s="1"/>
  <c r="O118"/>
  <c r="Q118" s="1"/>
  <c r="O116"/>
  <c r="Q116" s="1"/>
  <c r="O114"/>
  <c r="Q114" s="1"/>
  <c r="O112"/>
  <c r="Q112" s="1"/>
  <c r="O63"/>
  <c r="Q63" s="1"/>
  <c r="O65"/>
  <c r="Q65" s="1"/>
  <c r="O68"/>
  <c r="Q68" s="1"/>
  <c r="O79"/>
  <c r="Q79" s="1"/>
  <c r="O84"/>
  <c r="Q84" s="1"/>
  <c r="O86"/>
  <c r="Q86" s="1"/>
  <c r="O88"/>
  <c r="Q88" s="1"/>
  <c r="O90"/>
  <c r="Q90" s="1"/>
  <c r="O93"/>
  <c r="Q93" s="1"/>
  <c r="O104"/>
  <c r="Q104" s="1"/>
  <c r="O109"/>
  <c r="Q109" s="1"/>
  <c r="L6"/>
  <c r="L5"/>
  <c r="O13"/>
  <c r="Q13" s="1"/>
  <c r="O14"/>
  <c r="T14"/>
  <c r="S5"/>
  <c r="Q14"/>
  <c r="S6" l="1"/>
  <c r="V6"/>
  <c r="V5"/>
  <c r="P6"/>
  <c r="P5"/>
</calcChain>
</file>

<file path=xl/sharedStrings.xml><?xml version="1.0" encoding="utf-8"?>
<sst xmlns="http://schemas.openxmlformats.org/spreadsheetml/2006/main" count="1397" uniqueCount="118">
  <si>
    <t>Campus Name</t>
  </si>
  <si>
    <t>test 1-Input</t>
  </si>
  <si>
    <t>test 2-Input</t>
  </si>
  <si>
    <t>TEST 1A</t>
  </si>
  <si>
    <t>TEST 2A</t>
  </si>
  <si>
    <t>TEST 3A</t>
  </si>
  <si>
    <t>TEST 1B</t>
  </si>
  <si>
    <t>TEST 2B</t>
  </si>
  <si>
    <t>TEST 3B</t>
  </si>
  <si>
    <t>All tests</t>
  </si>
  <si>
    <t>Current version</t>
  </si>
  <si>
    <t>Current publish date</t>
  </si>
  <si>
    <t>Frequently Asked  Questions</t>
  </si>
  <si>
    <t>To make a cell blank use the delete key</t>
  </si>
  <si>
    <t>Change freeze panes to include column headings</t>
  </si>
  <si>
    <t>Make B tests not show on Non title 1 campuses</t>
  </si>
  <si>
    <t>Change CD#  to text field</t>
  </si>
  <si>
    <t>if $Dx="",""</t>
  </si>
  <si>
    <t>phase 10</t>
  </si>
  <si>
    <t>Texas Education Agency</t>
  </si>
  <si>
    <t>revisions</t>
  </si>
  <si>
    <t>Completed formula adjustments on 'Input':AI to BN</t>
  </si>
  <si>
    <t>phase 11</t>
  </si>
  <si>
    <t>Working on formula adjustments on 'Input': Q to AH</t>
  </si>
  <si>
    <t>Working on formula adjustments in columns AI to BN</t>
  </si>
  <si>
    <t>Compiled all three computation sheets (Input, Calculations, Results) into one (Input worksheet)</t>
  </si>
  <si>
    <t>Deleted Calculations and Results worksheets</t>
  </si>
  <si>
    <t>Completed formula adjustments to remaining cells</t>
  </si>
  <si>
    <t>previous version</t>
  </si>
  <si>
    <t>Began Testing phase w/ Arlington ISD (220-901)</t>
  </si>
  <si>
    <t>Issues w/ computations on B tests, 3 tests a &amp; b</t>
  </si>
  <si>
    <t xml:space="preserve">     at 250 rows for data entry in each of the 4 Computation Worksheets</t>
  </si>
  <si>
    <t>Size - 8.4MB (8,432,128 bytes) w/ 4 Computation Worksheets and 1 Notes Sheet</t>
  </si>
  <si>
    <t>Taking # of rows for data entry down to 100 rows for data entry per Computation Worksheet</t>
  </si>
  <si>
    <t xml:space="preserve">     at 100 rows for data entry in each of the 4 Computation Worksheets</t>
  </si>
  <si>
    <t>Size - 6.97MB (7,310,336 bytes) w/ 4 Computation Worksheets and 1 Notes Sheet</t>
  </si>
  <si>
    <t>Size - 6.96MB (7,300,096 bytes) / still w/ 4 worksheets and notes w/ 100 rows for data - with no data entered</t>
  </si>
  <si>
    <t>phase 12</t>
  </si>
  <si>
    <t>Testing phase 12 w/ Amarillo Data (188901)</t>
  </si>
  <si>
    <t>test data -</t>
  </si>
  <si>
    <t>7-22-05 CCF Phase 10 FINAL 188901 EE-5.xls (4MB)</t>
  </si>
  <si>
    <t>7-22-05 CCF Phase 10 FINAL 188901 PK-5.xls (4MB)</t>
  </si>
  <si>
    <t>7-22-05 CCF Phase 10 FINAL 188901 6-8.xls (4MB)</t>
  </si>
  <si>
    <t>7-22-05 CCF Phase 10 FINAL 188901 9-12.xls (4MB)</t>
  </si>
  <si>
    <t>Conversion to 1 sheet per grade span</t>
  </si>
  <si>
    <t>Look over for upcoming year/1 workbook for school</t>
  </si>
  <si>
    <t>test 3-Input</t>
  </si>
  <si>
    <t>from</t>
  </si>
  <si>
    <t>to</t>
  </si>
  <si>
    <t>Title I Expenditures (optional)</t>
  </si>
  <si>
    <t>#</t>
  </si>
  <si>
    <t>Campus #      (REQ'd)</t>
  </si>
  <si>
    <t>Comp or NC</t>
  </si>
  <si>
    <t>GS Base</t>
  </si>
  <si>
    <t>Use a separate worksheet</t>
  </si>
  <si>
    <t>CD Name:</t>
  </si>
  <si>
    <t>Campus to GS Base</t>
  </si>
  <si>
    <t>Title I Only</t>
  </si>
  <si>
    <t>T1 Only</t>
  </si>
  <si>
    <t>Campus Enrollment</t>
  </si>
  <si>
    <t>Campus State/Local Expenditures</t>
  </si>
  <si>
    <t>Campus Non Federal Instructional Staff FTE's</t>
  </si>
  <si>
    <t>Exp / Enroll</t>
  </si>
  <si>
    <t>Base Sal / Enroll</t>
  </si>
  <si>
    <t>Enroll / FTE's</t>
  </si>
  <si>
    <t>Campus State &amp; Local Expenditures per Pupil</t>
  </si>
  <si>
    <t>Campus Base Salary per Pupil</t>
  </si>
  <si>
    <t>Campus Pupil per FTEs</t>
  </si>
  <si>
    <t>Non Title I GS Enrollment</t>
  </si>
  <si>
    <t>Non Title I GS State/Local Expenditures</t>
  </si>
  <si>
    <t>Non Title I GS Base Salaries for Non-Federal Instructional Staff</t>
  </si>
  <si>
    <t>Non Title I GS Non Federal Instructional Staff FTE's</t>
  </si>
  <si>
    <t xml:space="preserve"> for each GradeSpan</t>
  </si>
  <si>
    <t>GS (GRADESPAN)</t>
  </si>
  <si>
    <t xml:space="preserve">    County District Number:</t>
  </si>
  <si>
    <t xml:space="preserve">                                                               Gradespan Totals</t>
  </si>
  <si>
    <t>Division of Formula Funding</t>
  </si>
  <si>
    <t>Comparability Computation Form</t>
  </si>
  <si>
    <t>5</t>
  </si>
  <si>
    <t>Campuses</t>
  </si>
  <si>
    <t xml:space="preserve">Total </t>
  </si>
  <si>
    <t>Title 1, Part A</t>
  </si>
  <si>
    <t>NonTitle 1, Part A</t>
  </si>
  <si>
    <t>Title 1, Part A, Comparable</t>
  </si>
  <si>
    <t>Title 1, Part A,    Not Comparable</t>
  </si>
  <si>
    <t>Title 1, Part A  or Skipped</t>
  </si>
  <si>
    <t>Campus Base Salaries         for Non-Federal Instructional Staff</t>
  </si>
  <si>
    <t>7</t>
  </si>
  <si>
    <t xml:space="preserve"> Gradespan Totals</t>
  </si>
  <si>
    <t>Fort Worth ISD</t>
  </si>
  <si>
    <t>K</t>
  </si>
  <si>
    <t>w=x</t>
  </si>
  <si>
    <t>x=y</t>
  </si>
  <si>
    <t>y=z</t>
  </si>
  <si>
    <t>At Test Patch</t>
  </si>
  <si>
    <t>L</t>
  </si>
  <si>
    <t>M</t>
  </si>
  <si>
    <r>
      <t>=IF($</t>
    </r>
    <r>
      <rPr>
        <b/>
        <sz val="12"/>
        <rFont val="Arial"/>
        <family val="2"/>
      </rPr>
      <t>X</t>
    </r>
    <r>
      <rPr>
        <sz val="12"/>
        <rFont val="Arial"/>
        <family val="2"/>
      </rPr>
      <t>$11=0,"",IF(D60="","",IF($G60="","",IF($F60="","",IF($G60/$F60&gt;=$K$11,"yes","NC")))))</t>
    </r>
  </si>
  <si>
    <r>
      <t>=IF($</t>
    </r>
    <r>
      <rPr>
        <b/>
        <sz val="12"/>
        <rFont val="Arial"/>
        <family val="2"/>
      </rPr>
      <t>Y</t>
    </r>
    <r>
      <rPr>
        <sz val="12"/>
        <rFont val="Arial"/>
        <family val="2"/>
      </rPr>
      <t>$11=0,"",IF($D61="","",IF($</t>
    </r>
    <r>
      <rPr>
        <b/>
        <sz val="12"/>
        <rFont val="Arial"/>
        <family val="2"/>
      </rPr>
      <t>H</t>
    </r>
    <r>
      <rPr>
        <sz val="12"/>
        <rFont val="Arial"/>
        <family val="2"/>
      </rPr>
      <t>61="","",IF($H61="","",IF($H61/$F61&gt;=$L$11,"yes","NC")))))</t>
    </r>
  </si>
  <si>
    <r>
      <t>=IF($</t>
    </r>
    <r>
      <rPr>
        <b/>
        <sz val="12"/>
        <rFont val="Arial"/>
        <family val="2"/>
      </rPr>
      <t>Z</t>
    </r>
    <r>
      <rPr>
        <sz val="12"/>
        <rFont val="Arial"/>
        <family val="2"/>
      </rPr>
      <t>$11=0,"",IF($D62="","",IF($</t>
    </r>
    <r>
      <rPr>
        <b/>
        <sz val="12"/>
        <rFont val="Arial"/>
        <family val="2"/>
      </rPr>
      <t>I</t>
    </r>
    <r>
      <rPr>
        <sz val="12"/>
        <rFont val="Arial"/>
        <family val="2"/>
      </rPr>
      <t>62="","",IF($I62="","",IF($F62/$I62&lt;=$M$11,"yes","NC")))))</t>
    </r>
  </si>
  <si>
    <t>[Elementary, Middle, or High]</t>
  </si>
  <si>
    <t>Elem. Grade Span Group</t>
  </si>
  <si>
    <t>Middle Grade Span Group</t>
  </si>
  <si>
    <t>High Grade Span Group</t>
  </si>
  <si>
    <t>Elem. Grade Span Group/High</t>
  </si>
  <si>
    <t>Elem. Grade Span Group/Low</t>
  </si>
  <si>
    <t>Middle Grade Span Group/Low</t>
  </si>
  <si>
    <t>Middle Grade Span Group/High</t>
  </si>
  <si>
    <t>High Grade Span Group/Low</t>
  </si>
  <si>
    <t>High Grade Span Group/High</t>
  </si>
  <si>
    <t>Division of Federal Program Compliance</t>
  </si>
  <si>
    <t xml:space="preserve"> for each Grade Span Group</t>
  </si>
  <si>
    <t>COUNTA campus #</t>
  </si>
  <si>
    <t>COUNTIF Title1, Part A or Skipped</t>
  </si>
  <si>
    <r>
      <t>Difference between "</t>
    </r>
    <r>
      <rPr>
        <b/>
        <sz val="12"/>
        <color rgb="FFFF0000"/>
        <rFont val="Arial"/>
        <family val="2"/>
      </rPr>
      <t>Campus count</t>
    </r>
    <r>
      <rPr>
        <b/>
        <sz val="12"/>
        <rFont val="Arial"/>
        <family val="2"/>
      </rPr>
      <t>" and "</t>
    </r>
    <r>
      <rPr>
        <b/>
        <sz val="12"/>
        <color rgb="FFFF0000"/>
        <rFont val="Arial"/>
        <family val="2"/>
      </rPr>
      <t>Title 1, Part A or Skipped count</t>
    </r>
    <r>
      <rPr>
        <b/>
        <sz val="12"/>
        <rFont val="Arial"/>
        <family val="2"/>
      </rPr>
      <t>"</t>
    </r>
  </si>
  <si>
    <t>2012-2013 Comparability Computation Form</t>
  </si>
  <si>
    <r>
      <rPr>
        <b/>
        <sz val="14"/>
        <color rgb="FFFF0000"/>
        <rFont val="Arial"/>
        <family val="2"/>
      </rPr>
      <t xml:space="preserve">Upload to NCLB Reports by </t>
    </r>
    <r>
      <rPr>
        <b/>
        <sz val="16"/>
        <color rgb="FFFF0000"/>
        <rFont val="Arial"/>
        <family val="2"/>
      </rPr>
      <t>11/12/2012</t>
    </r>
  </si>
  <si>
    <t>Campus Title 1, Part A  or Skipped? (Yes-Y; No-blank)</t>
  </si>
</sst>
</file>

<file path=xl/styles.xml><?xml version="1.0" encoding="utf-8"?>
<styleSheet xmlns="http://schemas.openxmlformats.org/spreadsheetml/2006/main">
  <numFmts count="8">
    <numFmt numFmtId="43" formatCode="_(* #,##0.00_);_(* \(#,##0.00\);_(* &quot;-&quot;??_);_(@_)"/>
    <numFmt numFmtId="164" formatCode="#,##0.0000"/>
    <numFmt numFmtId="165" formatCode="&quot;$&quot;#,##0"/>
    <numFmt numFmtId="166" formatCode="#,##0.000"/>
    <numFmt numFmtId="167" formatCode="0.000%"/>
    <numFmt numFmtId="168" formatCode="#,##0.000_);\(#,##0.000\)"/>
    <numFmt numFmtId="169" formatCode="000000"/>
    <numFmt numFmtId="170" formatCode="000"/>
  </numFmts>
  <fonts count="27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4"/>
      <color indexed="8"/>
      <name val="Arial"/>
      <family val="2"/>
    </font>
    <font>
      <b/>
      <sz val="15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6"/>
      <color indexed="8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5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0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3" fontId="0" fillId="0" borderId="0" xfId="0" applyNumberFormat="1" applyFill="1"/>
    <xf numFmtId="164" fontId="0" fillId="0" borderId="0" xfId="0" applyNumberFormat="1" applyFill="1"/>
    <xf numFmtId="0" fontId="5" fillId="0" borderId="0" xfId="0" applyFont="1" applyFill="1"/>
    <xf numFmtId="0" fontId="5" fillId="0" borderId="0" xfId="0" applyFont="1" applyFill="1" applyAlignment="1">
      <alignment horizontal="center" wrapText="1"/>
    </xf>
    <xf numFmtId="14" fontId="0" fillId="0" borderId="0" xfId="0" applyNumberFormat="1"/>
    <xf numFmtId="0" fontId="10" fillId="0" borderId="0" xfId="0" applyFont="1"/>
    <xf numFmtId="0" fontId="2" fillId="0" borderId="0" xfId="0" applyFont="1"/>
    <xf numFmtId="14" fontId="10" fillId="0" borderId="0" xfId="0" applyNumberFormat="1" applyFont="1"/>
    <xf numFmtId="49" fontId="9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/>
    <xf numFmtId="43" fontId="0" fillId="0" borderId="0" xfId="0" applyNumberFormat="1" applyFill="1"/>
    <xf numFmtId="0" fontId="4" fillId="0" borderId="0" xfId="0" applyFont="1" applyFill="1" applyAlignment="1">
      <alignment horizontal="center" wrapText="1"/>
    </xf>
    <xf numFmtId="3" fontId="0" fillId="0" borderId="1" xfId="0" applyNumberFormat="1" applyFill="1" applyBorder="1"/>
    <xf numFmtId="164" fontId="0" fillId="0" borderId="1" xfId="0" applyNumberFormat="1" applyFill="1" applyBorder="1"/>
    <xf numFmtId="0" fontId="5" fillId="0" borderId="2" xfId="0" applyFont="1" applyFill="1" applyBorder="1"/>
    <xf numFmtId="49" fontId="13" fillId="0" borderId="0" xfId="0" applyNumberFormat="1" applyFont="1" applyFill="1" applyBorder="1" applyAlignment="1" applyProtection="1">
      <alignment horizontal="center" vertical="center"/>
    </xf>
    <xf numFmtId="0" fontId="0" fillId="0" borderId="3" xfId="0" applyFill="1" applyBorder="1"/>
    <xf numFmtId="1" fontId="0" fillId="0" borderId="4" xfId="0" applyNumberFormat="1" applyFill="1" applyBorder="1" applyAlignment="1">
      <alignment horizontal="center"/>
    </xf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3" fontId="0" fillId="0" borderId="4" xfId="0" applyNumberFormat="1" applyFill="1" applyBorder="1"/>
    <xf numFmtId="3" fontId="0" fillId="0" borderId="4" xfId="0" applyNumberFormat="1" applyFill="1" applyBorder="1" applyAlignment="1">
      <alignment horizontal="center"/>
    </xf>
    <xf numFmtId="38" fontId="0" fillId="2" borderId="0" xfId="0" applyNumberFormat="1" applyFill="1" applyProtection="1">
      <protection locked="0"/>
    </xf>
    <xf numFmtId="3" fontId="0" fillId="2" borderId="0" xfId="0" applyNumberFormat="1" applyFill="1" applyProtection="1">
      <protection locked="0"/>
    </xf>
    <xf numFmtId="0" fontId="0" fillId="3" borderId="0" xfId="0" applyFill="1" applyBorder="1" applyAlignment="1">
      <alignment horizontal="left"/>
    </xf>
    <xf numFmtId="0" fontId="6" fillId="4" borderId="5" xfId="0" quotePrefix="1" applyFont="1" applyFill="1" applyBorder="1" applyAlignment="1">
      <alignment horizontal="center" vertical="center" wrapText="1"/>
    </xf>
    <xf numFmtId="0" fontId="6" fillId="4" borderId="6" xfId="0" quotePrefix="1" applyFont="1" applyFill="1" applyBorder="1" applyAlignment="1">
      <alignment horizontal="center" vertical="center" wrapText="1"/>
    </xf>
    <xf numFmtId="0" fontId="6" fillId="4" borderId="7" xfId="0" quotePrefix="1" applyFont="1" applyFill="1" applyBorder="1" applyAlignment="1">
      <alignment horizontal="center" vertical="center" wrapText="1"/>
    </xf>
    <xf numFmtId="0" fontId="6" fillId="4" borderId="8" xfId="0" quotePrefix="1" applyFont="1" applyFill="1" applyBorder="1" applyAlignment="1">
      <alignment horizontal="center" vertical="center" wrapText="1"/>
    </xf>
    <xf numFmtId="1" fontId="5" fillId="5" borderId="9" xfId="0" applyNumberFormat="1" applyFont="1" applyFill="1" applyBorder="1" applyAlignment="1" applyProtection="1">
      <alignment horizontal="center"/>
      <protection locked="0"/>
    </xf>
    <xf numFmtId="0" fontId="5" fillId="5" borderId="10" xfId="0" applyFont="1" applyFill="1" applyBorder="1" applyProtection="1">
      <protection locked="0"/>
    </xf>
    <xf numFmtId="0" fontId="5" fillId="5" borderId="9" xfId="0" applyFont="1" applyFill="1" applyBorder="1" applyAlignment="1" applyProtection="1">
      <alignment horizontal="center"/>
      <protection locked="0"/>
    </xf>
    <xf numFmtId="1" fontId="5" fillId="5" borderId="9" xfId="0" applyNumberFormat="1" applyFont="1" applyFill="1" applyBorder="1" applyProtection="1">
      <protection locked="0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2" fillId="0" borderId="0" xfId="0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1" fontId="5" fillId="6" borderId="0" xfId="0" applyNumberFormat="1" applyFont="1" applyFill="1" applyBorder="1" applyAlignment="1" applyProtection="1">
      <alignment horizontal="center" vertical="center"/>
      <protection locked="0"/>
    </xf>
    <xf numFmtId="3" fontId="15" fillId="6" borderId="0" xfId="0" applyNumberFormat="1" applyFont="1" applyFill="1" applyBorder="1" applyAlignment="1" applyProtection="1">
      <alignment vertical="center"/>
      <protection locked="0"/>
    </xf>
    <xf numFmtId="38" fontId="7" fillId="6" borderId="0" xfId="0" applyNumberFormat="1" applyFont="1" applyFill="1" applyBorder="1" applyAlignment="1" applyProtection="1">
      <alignment vertical="center"/>
      <protection locked="0"/>
    </xf>
    <xf numFmtId="0" fontId="7" fillId="6" borderId="0" xfId="0" applyFont="1" applyFill="1" applyBorder="1" applyAlignment="1" applyProtection="1">
      <alignment vertical="center"/>
      <protection locked="0"/>
    </xf>
    <xf numFmtId="49" fontId="21" fillId="6" borderId="0" xfId="0" quotePrefix="1" applyNumberFormat="1" applyFont="1" applyFill="1" applyBorder="1" applyAlignment="1" applyProtection="1">
      <alignment vertical="center"/>
      <protection locked="0"/>
    </xf>
    <xf numFmtId="49" fontId="8" fillId="6" borderId="0" xfId="0" applyNumberFormat="1" applyFont="1" applyFill="1" applyBorder="1" applyAlignment="1" applyProtection="1">
      <alignment vertical="center"/>
      <protection locked="0"/>
    </xf>
    <xf numFmtId="49" fontId="8" fillId="6" borderId="0" xfId="0" applyNumberFormat="1" applyFont="1" applyFill="1" applyBorder="1" applyAlignment="1" applyProtection="1">
      <alignment horizontal="center" vertical="center"/>
      <protection locked="0"/>
    </xf>
    <xf numFmtId="3" fontId="8" fillId="6" borderId="0" xfId="0" applyNumberFormat="1" applyFont="1" applyFill="1" applyBorder="1" applyAlignment="1" applyProtection="1">
      <alignment horizontal="center" vertical="center"/>
      <protection locked="0"/>
    </xf>
    <xf numFmtId="3" fontId="9" fillId="0" borderId="0" xfId="0" applyNumberFormat="1" applyFont="1" applyFill="1" applyBorder="1" applyAlignment="1">
      <alignment horizontal="center" vertical="center"/>
    </xf>
    <xf numFmtId="9" fontId="6" fillId="6" borderId="11" xfId="0" applyNumberFormat="1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164" fontId="1" fillId="6" borderId="12" xfId="0" applyNumberFormat="1" applyFont="1" applyFill="1" applyBorder="1" applyProtection="1">
      <protection locked="0"/>
    </xf>
    <xf numFmtId="3" fontId="1" fillId="6" borderId="12" xfId="0" applyNumberFormat="1" applyFont="1" applyFill="1" applyBorder="1" applyProtection="1">
      <protection locked="0"/>
    </xf>
    <xf numFmtId="49" fontId="12" fillId="5" borderId="13" xfId="0" applyNumberFormat="1" applyFont="1" applyFill="1" applyBorder="1" applyAlignment="1" applyProtection="1">
      <alignment horizontal="center" vertical="center"/>
      <protection locked="0"/>
    </xf>
    <xf numFmtId="49" fontId="12" fillId="5" borderId="14" xfId="0" applyNumberFormat="1" applyFont="1" applyFill="1" applyBorder="1" applyAlignment="1" applyProtection="1">
      <alignment horizontal="center" vertical="center"/>
      <protection locked="0"/>
    </xf>
    <xf numFmtId="3" fontId="4" fillId="7" borderId="11" xfId="0" applyNumberFormat="1" applyFont="1" applyFill="1" applyBorder="1" applyAlignment="1">
      <alignment horizontal="center" vertical="center" wrapText="1"/>
    </xf>
    <xf numFmtId="4" fontId="4" fillId="7" borderId="11" xfId="0" quotePrefix="1" applyNumberFormat="1" applyFont="1" applyFill="1" applyBorder="1" applyAlignment="1">
      <alignment horizontal="center" vertical="center" wrapText="1"/>
    </xf>
    <xf numFmtId="4" fontId="4" fillId="8" borderId="11" xfId="0" quotePrefix="1" applyNumberFormat="1" applyFont="1" applyFill="1" applyBorder="1" applyAlignment="1">
      <alignment horizontal="center" vertical="center" wrapText="1"/>
    </xf>
    <xf numFmtId="3" fontId="5" fillId="5" borderId="11" xfId="0" applyNumberFormat="1" applyFont="1" applyFill="1" applyBorder="1" applyProtection="1">
      <protection locked="0"/>
    </xf>
    <xf numFmtId="0" fontId="5" fillId="9" borderId="11" xfId="0" quotePrefix="1" applyFont="1" applyFill="1" applyBorder="1" applyAlignment="1">
      <alignment horizontal="center"/>
    </xf>
    <xf numFmtId="49" fontId="5" fillId="4" borderId="11" xfId="1" quotePrefix="1" applyNumberFormat="1" applyFont="1" applyFill="1" applyBorder="1" applyAlignment="1">
      <alignment horizontal="center"/>
    </xf>
    <xf numFmtId="43" fontId="5" fillId="4" borderId="11" xfId="0" quotePrefix="1" applyNumberFormat="1" applyFont="1" applyFill="1" applyBorder="1" applyAlignment="1">
      <alignment horizontal="center"/>
    </xf>
    <xf numFmtId="167" fontId="11" fillId="4" borderId="11" xfId="0" quotePrefix="1" applyNumberFormat="1" applyFont="1" applyFill="1" applyBorder="1" applyAlignment="1">
      <alignment horizontal="center"/>
    </xf>
    <xf numFmtId="3" fontId="5" fillId="2" borderId="11" xfId="0" applyNumberFormat="1" applyFont="1" applyFill="1" applyBorder="1" applyProtection="1">
      <protection locked="0"/>
    </xf>
    <xf numFmtId="4" fontId="5" fillId="2" borderId="11" xfId="0" applyNumberFormat="1" applyFont="1" applyFill="1" applyBorder="1" applyProtection="1">
      <protection locked="0"/>
    </xf>
    <xf numFmtId="1" fontId="8" fillId="0" borderId="0" xfId="0" quotePrefix="1" applyNumberFormat="1" applyFont="1" applyBorder="1" applyAlignment="1">
      <alignment horizontal="left" vertical="center"/>
    </xf>
    <xf numFmtId="3" fontId="1" fillId="6" borderId="12" xfId="0" applyNumberFormat="1" applyFont="1" applyFill="1" applyBorder="1"/>
    <xf numFmtId="1" fontId="5" fillId="6" borderId="11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4" fontId="1" fillId="6" borderId="12" xfId="0" applyNumberFormat="1" applyFont="1" applyFill="1" applyBorder="1"/>
    <xf numFmtId="1" fontId="16" fillId="7" borderId="11" xfId="0" quotePrefix="1" applyNumberFormat="1" applyFont="1" applyFill="1" applyBorder="1" applyAlignment="1">
      <alignment vertical="center" wrapText="1"/>
    </xf>
    <xf numFmtId="3" fontId="1" fillId="6" borderId="4" xfId="0" applyNumberFormat="1" applyFont="1" applyFill="1" applyBorder="1"/>
    <xf numFmtId="3" fontId="1" fillId="6" borderId="15" xfId="0" applyNumberFormat="1" applyFont="1" applyFill="1" applyBorder="1"/>
    <xf numFmtId="4" fontId="4" fillId="7" borderId="15" xfId="0" quotePrefix="1" applyNumberFormat="1" applyFont="1" applyFill="1" applyBorder="1" applyAlignment="1">
      <alignment horizontal="center" vertical="center" wrapText="1"/>
    </xf>
    <xf numFmtId="3" fontId="5" fillId="2" borderId="15" xfId="0" applyNumberFormat="1" applyFont="1" applyFill="1" applyBorder="1" applyProtection="1">
      <protection locked="0"/>
    </xf>
    <xf numFmtId="0" fontId="10" fillId="0" borderId="12" xfId="0" applyFont="1" applyFill="1" applyBorder="1"/>
    <xf numFmtId="3" fontId="1" fillId="0" borderId="12" xfId="0" applyNumberFormat="1" applyFont="1" applyFill="1" applyBorder="1" applyAlignment="1"/>
    <xf numFmtId="164" fontId="1" fillId="6" borderId="7" xfId="0" applyNumberFormat="1" applyFont="1" applyFill="1" applyBorder="1"/>
    <xf numFmtId="1" fontId="8" fillId="0" borderId="16" xfId="0" quotePrefix="1" applyNumberFormat="1" applyFont="1" applyBorder="1" applyAlignment="1">
      <alignment horizontal="left" vertical="center"/>
    </xf>
    <xf numFmtId="0" fontId="6" fillId="4" borderId="17" xfId="0" quotePrefix="1" applyFont="1" applyFill="1" applyBorder="1" applyAlignment="1">
      <alignment horizontal="center" vertical="center" wrapText="1"/>
    </xf>
    <xf numFmtId="1" fontId="5" fillId="5" borderId="11" xfId="0" applyNumberFormat="1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1" fontId="5" fillId="6" borderId="18" xfId="0" applyNumberFormat="1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1" fontId="18" fillId="6" borderId="18" xfId="0" applyNumberFormat="1" applyFont="1" applyFill="1" applyBorder="1" applyAlignment="1">
      <alignment horizontal="center" vertical="center"/>
    </xf>
    <xf numFmtId="9" fontId="6" fillId="6" borderId="18" xfId="0" applyNumberFormat="1" applyFont="1" applyFill="1" applyBorder="1" applyAlignment="1">
      <alignment horizontal="center" vertical="center" wrapText="1"/>
    </xf>
    <xf numFmtId="9" fontId="6" fillId="6" borderId="19" xfId="0" applyNumberFormat="1" applyFont="1" applyFill="1" applyBorder="1" applyAlignment="1">
      <alignment horizontal="center" vertical="center" wrapText="1"/>
    </xf>
    <xf numFmtId="4" fontId="4" fillId="8" borderId="18" xfId="0" quotePrefix="1" applyNumberFormat="1" applyFont="1" applyFill="1" applyBorder="1" applyAlignment="1">
      <alignment horizontal="center" vertical="center" wrapText="1"/>
    </xf>
    <xf numFmtId="4" fontId="4" fillId="8" borderId="19" xfId="0" quotePrefix="1" applyNumberFormat="1" applyFont="1" applyFill="1" applyBorder="1" applyAlignment="1">
      <alignment horizontal="center" vertical="center" wrapText="1"/>
    </xf>
    <xf numFmtId="167" fontId="11" fillId="4" borderId="18" xfId="0" quotePrefix="1" applyNumberFormat="1" applyFont="1" applyFill="1" applyBorder="1" applyAlignment="1">
      <alignment horizontal="center"/>
    </xf>
    <xf numFmtId="3" fontId="5" fillId="4" borderId="19" xfId="1" applyNumberFormat="1" applyFont="1" applyFill="1" applyBorder="1" applyAlignment="1">
      <alignment horizontal="center"/>
    </xf>
    <xf numFmtId="3" fontId="11" fillId="5" borderId="20" xfId="0" applyNumberFormat="1" applyFont="1" applyFill="1" applyBorder="1" applyAlignment="1" applyProtection="1">
      <alignment horizontal="center"/>
      <protection locked="0"/>
    </xf>
    <xf numFmtId="3" fontId="11" fillId="5" borderId="11" xfId="0" applyNumberFormat="1" applyFont="1" applyFill="1" applyBorder="1" applyAlignment="1" applyProtection="1">
      <alignment horizontal="center"/>
      <protection locked="0"/>
    </xf>
    <xf numFmtId="3" fontId="5" fillId="8" borderId="21" xfId="0" applyNumberFormat="1" applyFont="1" applyFill="1" applyBorder="1" applyProtection="1"/>
    <xf numFmtId="3" fontId="2" fillId="8" borderId="0" xfId="0" quotePrefix="1" applyNumberFormat="1" applyFont="1" applyFill="1" applyBorder="1" applyAlignment="1" applyProtection="1">
      <alignment horizontal="center" vertical="center" wrapText="1"/>
    </xf>
    <xf numFmtId="3" fontId="2" fillId="8" borderId="22" xfId="0" quotePrefix="1" applyNumberFormat="1" applyFont="1" applyFill="1" applyBorder="1" applyAlignment="1" applyProtection="1">
      <alignment horizontal="center" vertical="center" wrapText="1"/>
    </xf>
    <xf numFmtId="4" fontId="4" fillId="8" borderId="21" xfId="0" quotePrefix="1" applyNumberFormat="1" applyFont="1" applyFill="1" applyBorder="1" applyAlignment="1" applyProtection="1">
      <alignment horizontal="center" vertical="center" wrapText="1"/>
    </xf>
    <xf numFmtId="3" fontId="5" fillId="8" borderId="9" xfId="0" applyNumberFormat="1" applyFont="1" applyFill="1" applyBorder="1" applyProtection="1"/>
    <xf numFmtId="1" fontId="5" fillId="5" borderId="11" xfId="0" applyNumberFormat="1" applyFont="1" applyFill="1" applyBorder="1" applyAlignment="1" applyProtection="1">
      <alignment horizontal="center"/>
      <protection locked="0"/>
    </xf>
    <xf numFmtId="1" fontId="5" fillId="5" borderId="9" xfId="0" applyNumberFormat="1" applyFont="1" applyFill="1" applyBorder="1" applyAlignment="1">
      <alignment horizontal="center"/>
    </xf>
    <xf numFmtId="49" fontId="9" fillId="0" borderId="23" xfId="0" applyNumberFormat="1" applyFont="1" applyFill="1" applyBorder="1" applyAlignment="1" applyProtection="1">
      <alignment horizontal="center" vertical="center"/>
    </xf>
    <xf numFmtId="3" fontId="1" fillId="0" borderId="0" xfId="0" applyNumberFormat="1" applyFont="1" applyFill="1" applyBorder="1" applyAlignment="1"/>
    <xf numFmtId="3" fontId="1" fillId="0" borderId="22" xfId="0" applyNumberFormat="1" applyFont="1" applyFill="1" applyBorder="1" applyAlignment="1"/>
    <xf numFmtId="0" fontId="5" fillId="5" borderId="24" xfId="0" applyFont="1" applyFill="1" applyBorder="1" applyProtection="1">
      <protection locked="0"/>
    </xf>
    <xf numFmtId="0" fontId="5" fillId="5" borderId="11" xfId="0" applyFont="1" applyFill="1" applyBorder="1" applyAlignment="1" applyProtection="1">
      <alignment horizontal="center"/>
      <protection locked="0"/>
    </xf>
    <xf numFmtId="3" fontId="5" fillId="5" borderId="11" xfId="0" applyNumberFormat="1" applyFont="1" applyFill="1" applyBorder="1" applyAlignment="1" applyProtection="1">
      <protection locked="0"/>
    </xf>
    <xf numFmtId="165" fontId="5" fillId="5" borderId="11" xfId="0" applyNumberFormat="1" applyFont="1" applyFill="1" applyBorder="1" applyAlignment="1" applyProtection="1">
      <protection locked="0"/>
    </xf>
    <xf numFmtId="3" fontId="5" fillId="5" borderId="9" xfId="0" applyNumberFormat="1" applyFont="1" applyFill="1" applyBorder="1" applyProtection="1">
      <protection locked="0"/>
    </xf>
    <xf numFmtId="3" fontId="5" fillId="5" borderId="25" xfId="0" applyNumberFormat="1" applyFont="1" applyFill="1" applyBorder="1" applyProtection="1">
      <protection locked="0"/>
    </xf>
    <xf numFmtId="169" fontId="14" fillId="5" borderId="26" xfId="0" applyNumberFormat="1" applyFont="1" applyFill="1" applyBorder="1" applyAlignment="1" applyProtection="1">
      <alignment horizontal="center" vertical="center" shrinkToFit="1"/>
      <protection locked="0"/>
    </xf>
    <xf numFmtId="4" fontId="6" fillId="6" borderId="11" xfId="0" quotePrefix="1" applyNumberFormat="1" applyFont="1" applyFill="1" applyBorder="1" applyAlignment="1">
      <alignment horizontal="center" vertical="center" shrinkToFit="1"/>
    </xf>
    <xf numFmtId="39" fontId="6" fillId="6" borderId="11" xfId="0" quotePrefix="1" applyNumberFormat="1" applyFont="1" applyFill="1" applyBorder="1" applyAlignment="1">
      <alignment horizontal="center" vertical="center" shrinkToFit="1"/>
    </xf>
    <xf numFmtId="4" fontId="6" fillId="6" borderId="18" xfId="0" quotePrefix="1" applyNumberFormat="1" applyFont="1" applyFill="1" applyBorder="1" applyAlignment="1">
      <alignment horizontal="center" vertical="center" shrinkToFit="1"/>
    </xf>
    <xf numFmtId="4" fontId="6" fillId="6" borderId="19" xfId="0" quotePrefix="1" applyNumberFormat="1" applyFont="1" applyFill="1" applyBorder="1" applyAlignment="1">
      <alignment horizontal="center" vertical="center" shrinkToFit="1"/>
    </xf>
    <xf numFmtId="166" fontId="6" fillId="6" borderId="19" xfId="0" quotePrefix="1" applyNumberFormat="1" applyFont="1" applyFill="1" applyBorder="1" applyAlignment="1">
      <alignment horizontal="center" vertical="center" shrinkToFit="1"/>
    </xf>
    <xf numFmtId="168" fontId="6" fillId="6" borderId="11" xfId="0" quotePrefix="1" applyNumberFormat="1" applyFont="1" applyFill="1" applyBorder="1" applyAlignment="1">
      <alignment horizontal="center" vertical="center" shrinkToFit="1"/>
    </xf>
    <xf numFmtId="166" fontId="6" fillId="6" borderId="11" xfId="0" quotePrefix="1" applyNumberFormat="1" applyFont="1" applyFill="1" applyBorder="1" applyAlignment="1">
      <alignment horizontal="center" vertical="center" shrinkToFit="1"/>
    </xf>
    <xf numFmtId="165" fontId="4" fillId="7" borderId="11" xfId="0" applyNumberFormat="1" applyFont="1" applyFill="1" applyBorder="1" applyAlignment="1">
      <alignment horizontal="center" vertical="center" shrinkToFit="1"/>
    </xf>
    <xf numFmtId="1" fontId="5" fillId="6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" fontId="18" fillId="6" borderId="3" xfId="0" applyNumberFormat="1" applyFont="1" applyFill="1" applyBorder="1" applyAlignment="1">
      <alignment horizontal="center" vertical="center"/>
    </xf>
    <xf numFmtId="1" fontId="11" fillId="5" borderId="20" xfId="0" applyNumberFormat="1" applyFont="1" applyFill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/>
      <protection locked="0"/>
    </xf>
    <xf numFmtId="3" fontId="11" fillId="5" borderId="20" xfId="0" applyNumberFormat="1" applyFont="1" applyFill="1" applyBorder="1" applyAlignment="1" applyProtection="1">
      <protection locked="0"/>
    </xf>
    <xf numFmtId="3" fontId="11" fillId="5" borderId="20" xfId="0" applyNumberFormat="1" applyFont="1" applyFill="1" applyBorder="1" applyProtection="1">
      <protection locked="0"/>
    </xf>
    <xf numFmtId="4" fontId="11" fillId="5" borderId="27" xfId="0" applyNumberFormat="1" applyFont="1" applyFill="1" applyBorder="1" applyProtection="1">
      <protection locked="0"/>
    </xf>
    <xf numFmtId="1" fontId="11" fillId="5" borderId="11" xfId="0" applyNumberFormat="1" applyFont="1" applyFill="1" applyBorder="1" applyAlignment="1" applyProtection="1">
      <alignment horizontal="center"/>
      <protection locked="0"/>
    </xf>
    <xf numFmtId="0" fontId="11" fillId="5" borderId="11" xfId="0" applyFont="1" applyFill="1" applyBorder="1" applyAlignment="1" applyProtection="1">
      <alignment horizontal="center"/>
      <protection locked="0"/>
    </xf>
    <xf numFmtId="3" fontId="11" fillId="5" borderId="11" xfId="0" applyNumberFormat="1" applyFont="1" applyFill="1" applyBorder="1" applyAlignment="1" applyProtection="1">
      <protection locked="0"/>
    </xf>
    <xf numFmtId="3" fontId="11" fillId="5" borderId="11" xfId="0" applyNumberFormat="1" applyFont="1" applyFill="1" applyBorder="1" applyProtection="1">
      <protection locked="0"/>
    </xf>
    <xf numFmtId="4" fontId="11" fillId="5" borderId="18" xfId="0" applyNumberFormat="1" applyFont="1" applyFill="1" applyBorder="1" applyProtection="1">
      <protection locked="0"/>
    </xf>
    <xf numFmtId="38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3" fontId="5" fillId="5" borderId="11" xfId="0" applyNumberFormat="1" applyFont="1" applyFill="1" applyBorder="1" applyAlignment="1" applyProtection="1">
      <alignment horizontal="center"/>
      <protection locked="0"/>
    </xf>
    <xf numFmtId="0" fontId="0" fillId="3" borderId="0" xfId="0" applyFill="1" applyBorder="1" applyAlignment="1">
      <alignment horizontal="center"/>
    </xf>
    <xf numFmtId="38" fontId="0" fillId="0" borderId="4" xfId="0" applyNumberFormat="1" applyFill="1" applyBorder="1" applyAlignment="1">
      <alignment horizontal="center"/>
    </xf>
    <xf numFmtId="1" fontId="11" fillId="5" borderId="9" xfId="0" applyNumberFormat="1" applyFont="1" applyFill="1" applyBorder="1" applyAlignment="1" applyProtection="1">
      <alignment horizontal="center"/>
      <protection locked="0"/>
    </xf>
    <xf numFmtId="1" fontId="16" fillId="7" borderId="28" xfId="0" quotePrefix="1" applyNumberFormat="1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5" fillId="9" borderId="11" xfId="0" quotePrefix="1" applyFont="1" applyFill="1" applyBorder="1" applyAlignment="1">
      <alignment horizontal="left"/>
    </xf>
    <xf numFmtId="1" fontId="5" fillId="5" borderId="11" xfId="0" applyNumberFormat="1" applyFont="1" applyFill="1" applyBorder="1" applyAlignment="1" applyProtection="1">
      <alignment horizontal="center"/>
      <protection hidden="1"/>
    </xf>
    <xf numFmtId="1" fontId="11" fillId="5" borderId="11" xfId="0" applyNumberFormat="1" applyFont="1" applyFill="1" applyBorder="1" applyAlignment="1" applyProtection="1">
      <alignment horizontal="center"/>
      <protection hidden="1"/>
    </xf>
    <xf numFmtId="0" fontId="11" fillId="5" borderId="11" xfId="0" applyFont="1" applyFill="1" applyBorder="1" applyAlignment="1" applyProtection="1">
      <alignment horizontal="center"/>
      <protection hidden="1"/>
    </xf>
    <xf numFmtId="3" fontId="11" fillId="5" borderId="11" xfId="0" applyNumberFormat="1" applyFont="1" applyFill="1" applyBorder="1" applyAlignment="1" applyProtection="1">
      <alignment horizontal="center"/>
      <protection hidden="1"/>
    </xf>
    <xf numFmtId="3" fontId="11" fillId="5" borderId="11" xfId="0" applyNumberFormat="1" applyFont="1" applyFill="1" applyBorder="1" applyAlignment="1" applyProtection="1">
      <protection hidden="1"/>
    </xf>
    <xf numFmtId="3" fontId="11" fillId="5" borderId="11" xfId="0" applyNumberFormat="1" applyFont="1" applyFill="1" applyBorder="1" applyProtection="1">
      <protection hidden="1"/>
    </xf>
    <xf numFmtId="4" fontId="11" fillId="5" borderId="18" xfId="0" applyNumberFormat="1" applyFont="1" applyFill="1" applyBorder="1" applyProtection="1">
      <protection hidden="1"/>
    </xf>
    <xf numFmtId="3" fontId="5" fillId="8" borderId="21" xfId="0" applyNumberFormat="1" applyFont="1" applyFill="1" applyBorder="1" applyProtection="1">
      <protection hidden="1"/>
    </xf>
    <xf numFmtId="0" fontId="5" fillId="9" borderId="11" xfId="0" quotePrefix="1" applyFont="1" applyFill="1" applyBorder="1" applyAlignment="1" applyProtection="1">
      <alignment horizontal="center"/>
      <protection hidden="1"/>
    </xf>
    <xf numFmtId="49" fontId="5" fillId="4" borderId="11" xfId="1" quotePrefix="1" applyNumberFormat="1" applyFont="1" applyFill="1" applyBorder="1" applyAlignment="1" applyProtection="1">
      <alignment horizontal="center"/>
      <protection hidden="1"/>
    </xf>
    <xf numFmtId="43" fontId="5" fillId="4" borderId="11" xfId="0" quotePrefix="1" applyNumberFormat="1" applyFont="1" applyFill="1" applyBorder="1" applyAlignment="1" applyProtection="1">
      <alignment horizontal="center"/>
      <protection hidden="1"/>
    </xf>
    <xf numFmtId="167" fontId="11" fillId="4" borderId="18" xfId="0" quotePrefix="1" applyNumberFormat="1" applyFont="1" applyFill="1" applyBorder="1" applyAlignment="1" applyProtection="1">
      <alignment horizontal="center"/>
      <protection hidden="1"/>
    </xf>
    <xf numFmtId="3" fontId="5" fillId="4" borderId="19" xfId="1" applyNumberFormat="1" applyFont="1" applyFill="1" applyBorder="1" applyAlignment="1" applyProtection="1">
      <alignment horizontal="center"/>
      <protection hidden="1"/>
    </xf>
    <xf numFmtId="167" fontId="11" fillId="4" borderId="11" xfId="0" quotePrefix="1" applyNumberFormat="1" applyFont="1" applyFill="1" applyBorder="1" applyAlignment="1" applyProtection="1">
      <alignment horizontal="center"/>
      <protection hidden="1"/>
    </xf>
    <xf numFmtId="3" fontId="5" fillId="2" borderId="15" xfId="0" applyNumberFormat="1" applyFont="1" applyFill="1" applyBorder="1" applyProtection="1">
      <protection hidden="1"/>
    </xf>
    <xf numFmtId="3" fontId="5" fillId="2" borderId="11" xfId="0" applyNumberFormat="1" applyFont="1" applyFill="1" applyBorder="1" applyProtection="1">
      <protection hidden="1"/>
    </xf>
    <xf numFmtId="4" fontId="5" fillId="2" borderId="11" xfId="0" applyNumberFormat="1" applyFont="1" applyFill="1" applyBorder="1" applyProtection="1">
      <protection hidden="1"/>
    </xf>
    <xf numFmtId="0" fontId="5" fillId="0" borderId="0" xfId="0" applyFont="1" applyFill="1" applyProtection="1">
      <protection hidden="1"/>
    </xf>
    <xf numFmtId="3" fontId="5" fillId="8" borderId="9" xfId="0" applyNumberFormat="1" applyFont="1" applyFill="1" applyBorder="1" applyProtection="1">
      <protection hidden="1"/>
    </xf>
    <xf numFmtId="0" fontId="5" fillId="0" borderId="2" xfId="0" applyFont="1" applyFill="1" applyBorder="1" applyProtection="1">
      <protection hidden="1"/>
    </xf>
    <xf numFmtId="0" fontId="5" fillId="0" borderId="0" xfId="0" applyFont="1" applyFill="1" applyBorder="1" applyProtection="1">
      <protection hidden="1"/>
    </xf>
    <xf numFmtId="0" fontId="4" fillId="11" borderId="0" xfId="0" applyFont="1" applyFill="1" applyAlignment="1">
      <alignment horizontal="left" vertical="top" wrapText="1"/>
    </xf>
    <xf numFmtId="0" fontId="4" fillId="11" borderId="0" xfId="0" applyFont="1" applyFill="1" applyAlignment="1">
      <alignment horizontal="center" wrapText="1"/>
    </xf>
    <xf numFmtId="3" fontId="5" fillId="5" borderId="20" xfId="0" applyNumberFormat="1" applyFont="1" applyFill="1" applyBorder="1" applyAlignment="1" applyProtection="1">
      <alignment horizontal="center"/>
      <protection locked="0"/>
    </xf>
    <xf numFmtId="3" fontId="5" fillId="5" borderId="20" xfId="0" applyNumberFormat="1" applyFont="1" applyFill="1" applyBorder="1" applyAlignment="1" applyProtection="1">
      <protection locked="0"/>
    </xf>
    <xf numFmtId="4" fontId="5" fillId="5" borderId="27" xfId="0" applyNumberFormat="1" applyFont="1" applyFill="1" applyBorder="1" applyProtection="1">
      <protection locked="0"/>
    </xf>
    <xf numFmtId="4" fontId="5" fillId="5" borderId="18" xfId="0" applyNumberFormat="1" applyFont="1" applyFill="1" applyBorder="1" applyProtection="1">
      <protection locked="0"/>
    </xf>
    <xf numFmtId="49" fontId="14" fillId="5" borderId="26" xfId="0" applyNumberFormat="1" applyFont="1" applyFill="1" applyBorder="1" applyAlignment="1" applyProtection="1">
      <alignment horizontal="center" vertical="center" shrinkToFit="1"/>
      <protection locked="0"/>
    </xf>
    <xf numFmtId="49" fontId="5" fillId="5" borderId="11" xfId="0" applyNumberFormat="1" applyFont="1" applyFill="1" applyBorder="1" applyAlignment="1" applyProtection="1">
      <alignment horizontal="center"/>
      <protection locked="0"/>
    </xf>
    <xf numFmtId="49" fontId="11" fillId="5" borderId="11" xfId="0" applyNumberFormat="1" applyFont="1" applyFill="1" applyBorder="1" applyAlignment="1" applyProtection="1">
      <alignment horizontal="center"/>
      <protection locked="0"/>
    </xf>
    <xf numFmtId="170" fontId="5" fillId="5" borderId="20" xfId="0" applyNumberFormat="1" applyFont="1" applyFill="1" applyBorder="1" applyAlignment="1" applyProtection="1">
      <alignment horizontal="center"/>
      <protection locked="0"/>
    </xf>
    <xf numFmtId="0" fontId="5" fillId="5" borderId="20" xfId="0" applyFont="1" applyFill="1" applyBorder="1" applyAlignment="1" applyProtection="1">
      <alignment horizontal="center"/>
      <protection locked="0"/>
    </xf>
    <xf numFmtId="170" fontId="5" fillId="5" borderId="11" xfId="0" applyNumberFormat="1" applyFont="1" applyFill="1" applyBorder="1" applyAlignment="1" applyProtection="1">
      <alignment horizontal="center"/>
      <protection locked="0"/>
    </xf>
    <xf numFmtId="0" fontId="19" fillId="0" borderId="8" xfId="0" applyFont="1" applyFill="1" applyBorder="1" applyAlignment="1">
      <alignment horizontal="center" vertical="distributed"/>
    </xf>
    <xf numFmtId="0" fontId="19" fillId="0" borderId="12" xfId="0" applyFont="1" applyFill="1" applyBorder="1" applyAlignment="1">
      <alignment horizontal="center" vertical="distributed"/>
    </xf>
    <xf numFmtId="0" fontId="23" fillId="0" borderId="16" xfId="0" quotePrefix="1" applyFont="1" applyFill="1" applyBorder="1" applyAlignment="1">
      <alignment horizontal="center" vertical="top"/>
    </xf>
    <xf numFmtId="0" fontId="23" fillId="0" borderId="0" xfId="0" quotePrefix="1" applyFont="1" applyFill="1" applyBorder="1" applyAlignment="1">
      <alignment horizontal="center" vertical="top"/>
    </xf>
    <xf numFmtId="0" fontId="14" fillId="0" borderId="16" xfId="0" applyFont="1" applyFill="1" applyBorder="1" applyAlignment="1">
      <alignment horizontal="center" vertical="center"/>
    </xf>
    <xf numFmtId="0" fontId="14" fillId="0" borderId="0" xfId="0" quotePrefix="1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38" fontId="16" fillId="6" borderId="11" xfId="0" quotePrefix="1" applyNumberFormat="1" applyFont="1" applyFill="1" applyBorder="1" applyAlignment="1">
      <alignment horizontal="center" vertical="center" wrapText="1"/>
    </xf>
    <xf numFmtId="38" fontId="16" fillId="6" borderId="17" xfId="0" applyNumberFormat="1" applyFont="1" applyFill="1" applyBorder="1" applyAlignment="1">
      <alignment horizontal="center" vertical="center" wrapText="1"/>
    </xf>
    <xf numFmtId="0" fontId="16" fillId="6" borderId="17" xfId="0" quotePrefix="1" applyFont="1" applyFill="1" applyBorder="1" applyAlignment="1">
      <alignment horizontal="center" vertical="center" wrapText="1"/>
    </xf>
    <xf numFmtId="0" fontId="20" fillId="6" borderId="21" xfId="0" applyFont="1" applyFill="1" applyBorder="1"/>
    <xf numFmtId="1" fontId="8" fillId="0" borderId="16" xfId="0" applyNumberFormat="1" applyFont="1" applyBorder="1" applyAlignment="1">
      <alignment horizontal="right" vertical="center"/>
    </xf>
    <xf numFmtId="1" fontId="8" fillId="0" borderId="0" xfId="0" applyNumberFormat="1" applyFont="1" applyBorder="1" applyAlignment="1">
      <alignment horizontal="right" vertical="center"/>
    </xf>
    <xf numFmtId="0" fontId="22" fillId="5" borderId="34" xfId="0" applyFont="1" applyFill="1" applyBorder="1" applyAlignment="1" applyProtection="1">
      <alignment horizontal="left" vertical="center"/>
      <protection locked="0"/>
    </xf>
    <xf numFmtId="0" fontId="22" fillId="5" borderId="35" xfId="0" applyFont="1" applyFill="1" applyBorder="1" applyAlignment="1" applyProtection="1">
      <alignment horizontal="left" vertical="center"/>
      <protection locked="0"/>
    </xf>
    <xf numFmtId="0" fontId="22" fillId="5" borderId="36" xfId="0" applyFont="1" applyFill="1" applyBorder="1" applyAlignment="1" applyProtection="1">
      <alignment horizontal="left" vertical="center"/>
      <protection locked="0"/>
    </xf>
    <xf numFmtId="3" fontId="5" fillId="6" borderId="9" xfId="0" applyNumberFormat="1" applyFont="1" applyFill="1" applyBorder="1" applyAlignment="1">
      <alignment horizontal="center" vertical="center"/>
    </xf>
    <xf numFmtId="3" fontId="5" fillId="6" borderId="11" xfId="0" applyNumberFormat="1" applyFont="1" applyFill="1" applyBorder="1" applyAlignment="1">
      <alignment horizontal="center" vertical="center"/>
    </xf>
    <xf numFmtId="38" fontId="5" fillId="6" borderId="9" xfId="0" applyNumberFormat="1" applyFont="1" applyFill="1" applyBorder="1" applyAlignment="1">
      <alignment horizontal="center" vertical="center"/>
    </xf>
    <xf numFmtId="38" fontId="5" fillId="6" borderId="11" xfId="0" applyNumberFormat="1" applyFont="1" applyFill="1" applyBorder="1" applyAlignment="1">
      <alignment horizontal="center" vertical="center"/>
    </xf>
    <xf numFmtId="0" fontId="8" fillId="0" borderId="16" xfId="0" quotePrefix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22" fillId="10" borderId="12" xfId="0" quotePrefix="1" applyFont="1" applyFill="1" applyBorder="1" applyAlignment="1">
      <alignment horizontal="center" vertical="center"/>
    </xf>
    <xf numFmtId="0" fontId="22" fillId="10" borderId="0" xfId="0" quotePrefix="1" applyFont="1" applyFill="1" applyBorder="1" applyAlignment="1">
      <alignment horizontal="center" vertical="center"/>
    </xf>
    <xf numFmtId="49" fontId="17" fillId="0" borderId="0" xfId="0" quotePrefix="1" applyNumberFormat="1" applyFont="1" applyFill="1" applyBorder="1" applyAlignment="1" applyProtection="1">
      <alignment horizontal="center" vertical="center"/>
    </xf>
    <xf numFmtId="3" fontId="5" fillId="6" borderId="17" xfId="0" applyNumberFormat="1" applyFont="1" applyFill="1" applyBorder="1" applyAlignment="1" applyProtection="1">
      <alignment horizontal="center" vertical="center"/>
      <protection locked="0"/>
    </xf>
    <xf numFmtId="3" fontId="5" fillId="6" borderId="9" xfId="0" applyNumberFormat="1" applyFont="1" applyFill="1" applyBorder="1" applyAlignment="1" applyProtection="1">
      <alignment horizontal="center" vertical="center"/>
      <protection locked="0"/>
    </xf>
    <xf numFmtId="0" fontId="9" fillId="4" borderId="29" xfId="0" quotePrefix="1" applyFont="1" applyFill="1" applyBorder="1" applyAlignment="1">
      <alignment horizontal="center" vertical="center" wrapText="1"/>
    </xf>
    <xf numFmtId="0" fontId="9" fillId="4" borderId="9" xfId="0" quotePrefix="1" applyFont="1" applyFill="1" applyBorder="1" applyAlignment="1">
      <alignment horizontal="center" vertical="center" wrapText="1"/>
    </xf>
    <xf numFmtId="1" fontId="16" fillId="6" borderId="17" xfId="0" quotePrefix="1" applyNumberFormat="1" applyFont="1" applyFill="1" applyBorder="1" applyAlignment="1">
      <alignment horizontal="center" vertical="center" wrapText="1"/>
    </xf>
    <xf numFmtId="1" fontId="16" fillId="6" borderId="21" xfId="0" quotePrefix="1" applyNumberFormat="1" applyFont="1" applyFill="1" applyBorder="1" applyAlignment="1">
      <alignment horizontal="center" vertical="center" wrapText="1"/>
    </xf>
    <xf numFmtId="1" fontId="4" fillId="6" borderId="17" xfId="0" applyNumberFormat="1" applyFont="1" applyFill="1" applyBorder="1" applyAlignment="1">
      <alignment horizontal="center" vertical="center" wrapText="1"/>
    </xf>
    <xf numFmtId="1" fontId="4" fillId="6" borderId="9" xfId="0" applyNumberFormat="1" applyFont="1" applyFill="1" applyBorder="1" applyAlignment="1">
      <alignment horizontal="center" vertical="center" wrapText="1"/>
    </xf>
    <xf numFmtId="3" fontId="2" fillId="8" borderId="8" xfId="0" quotePrefix="1" applyNumberFormat="1" applyFont="1" applyFill="1" applyBorder="1" applyAlignment="1">
      <alignment horizontal="center" vertical="center" wrapText="1"/>
    </xf>
    <xf numFmtId="3" fontId="2" fillId="8" borderId="12" xfId="0" quotePrefix="1" applyNumberFormat="1" applyFont="1" applyFill="1" applyBorder="1" applyAlignment="1">
      <alignment horizontal="center" vertical="center" wrapText="1"/>
    </xf>
    <xf numFmtId="3" fontId="2" fillId="8" borderId="7" xfId="0" quotePrefix="1" applyNumberFormat="1" applyFont="1" applyFill="1" applyBorder="1" applyAlignment="1">
      <alignment horizontal="center" vertical="center" wrapText="1"/>
    </xf>
    <xf numFmtId="3" fontId="2" fillId="8" borderId="16" xfId="0" quotePrefix="1" applyNumberFormat="1" applyFont="1" applyFill="1" applyBorder="1" applyAlignment="1">
      <alignment horizontal="center" vertical="center" wrapText="1"/>
    </xf>
    <xf numFmtId="3" fontId="2" fillId="8" borderId="0" xfId="0" quotePrefix="1" applyNumberFormat="1" applyFont="1" applyFill="1" applyBorder="1" applyAlignment="1">
      <alignment horizontal="center" vertical="center" wrapText="1"/>
    </xf>
    <xf numFmtId="3" fontId="2" fillId="8" borderId="22" xfId="0" quotePrefix="1" applyNumberFormat="1" applyFont="1" applyFill="1" applyBorder="1" applyAlignment="1">
      <alignment horizontal="center" vertical="center" wrapText="1"/>
    </xf>
    <xf numFmtId="3" fontId="1" fillId="0" borderId="16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22" xfId="0" applyNumberFormat="1" applyFont="1" applyFill="1" applyBorder="1" applyAlignment="1">
      <alignment horizontal="center"/>
    </xf>
    <xf numFmtId="3" fontId="1" fillId="0" borderId="10" xfId="0" applyNumberFormat="1" applyFont="1" applyFill="1" applyBorder="1" applyAlignment="1">
      <alignment horizontal="center"/>
    </xf>
    <xf numFmtId="3" fontId="1" fillId="0" borderId="33" xfId="0" applyNumberFormat="1" applyFont="1" applyFill="1" applyBorder="1" applyAlignment="1">
      <alignment horizontal="center"/>
    </xf>
    <xf numFmtId="3" fontId="1" fillId="0" borderId="30" xfId="0" applyNumberFormat="1" applyFont="1" applyFill="1" applyBorder="1" applyAlignment="1">
      <alignment horizontal="center"/>
    </xf>
    <xf numFmtId="38" fontId="5" fillId="6" borderId="7" xfId="0" applyNumberFormat="1" applyFont="1" applyFill="1" applyBorder="1" applyAlignment="1" applyProtection="1">
      <alignment horizontal="center" vertical="center"/>
      <protection locked="0"/>
    </xf>
    <xf numFmtId="38" fontId="5" fillId="6" borderId="30" xfId="0" applyNumberFormat="1" applyFont="1" applyFill="1" applyBorder="1" applyAlignment="1" applyProtection="1">
      <alignment horizontal="center" vertical="center"/>
      <protection locked="0"/>
    </xf>
    <xf numFmtId="0" fontId="4" fillId="7" borderId="24" xfId="0" quotePrefix="1" applyFont="1" applyFill="1" applyBorder="1" applyAlignment="1">
      <alignment horizontal="left" vertical="center" wrapText="1"/>
    </xf>
    <xf numFmtId="0" fontId="4" fillId="7" borderId="15" xfId="0" quotePrefix="1" applyFont="1" applyFill="1" applyBorder="1" applyAlignment="1">
      <alignment horizontal="left" vertical="center" wrapText="1"/>
    </xf>
    <xf numFmtId="3" fontId="16" fillId="2" borderId="31" xfId="0" quotePrefix="1" applyNumberFormat="1" applyFont="1" applyFill="1" applyBorder="1" applyAlignment="1" applyProtection="1">
      <alignment horizontal="center" vertical="center" wrapText="1"/>
      <protection locked="0"/>
    </xf>
    <xf numFmtId="3" fontId="16" fillId="2" borderId="32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0" xfId="0" quotePrefix="1" applyFont="1" applyFill="1" applyBorder="1" applyAlignment="1">
      <alignment horizontal="center" vertical="center" wrapText="1"/>
    </xf>
    <xf numFmtId="0" fontId="9" fillId="4" borderId="1" xfId="0" quotePrefix="1" applyFont="1" applyFill="1" applyBorder="1" applyAlignment="1">
      <alignment horizontal="center" vertical="center" wrapText="1"/>
    </xf>
    <xf numFmtId="3" fontId="16" fillId="6" borderId="11" xfId="0" quotePrefix="1" applyNumberFormat="1" applyFont="1" applyFill="1" applyBorder="1" applyAlignment="1">
      <alignment horizontal="center" vertical="center" wrapText="1"/>
    </xf>
    <xf numFmtId="3" fontId="16" fillId="6" borderId="17" xfId="0" applyNumberFormat="1" applyFont="1" applyFill="1" applyBorder="1" applyAlignment="1">
      <alignment horizontal="center" vertical="center" wrapText="1"/>
    </xf>
    <xf numFmtId="3" fontId="2" fillId="6" borderId="11" xfId="0" quotePrefix="1" applyNumberFormat="1" applyFont="1" applyFill="1" applyBorder="1" applyAlignment="1">
      <alignment horizontal="center" vertical="center" wrapText="1"/>
    </xf>
    <xf numFmtId="3" fontId="2" fillId="6" borderId="17" xfId="0" applyNumberFormat="1" applyFont="1" applyFill="1" applyBorder="1" applyAlignment="1">
      <alignment horizontal="center" vertical="center" wrapText="1"/>
    </xf>
    <xf numFmtId="3" fontId="2" fillId="6" borderId="17" xfId="0" quotePrefix="1" applyNumberFormat="1" applyFont="1" applyFill="1" applyBorder="1" applyAlignment="1">
      <alignment horizontal="center" vertical="center" wrapText="1"/>
    </xf>
    <xf numFmtId="38" fontId="16" fillId="2" borderId="22" xfId="0" quotePrefix="1" applyNumberFormat="1" applyFont="1" applyFill="1" applyBorder="1" applyAlignment="1" applyProtection="1">
      <alignment horizontal="center" vertical="center" wrapText="1"/>
      <protection locked="0"/>
    </xf>
    <xf numFmtId="38" fontId="16" fillId="2" borderId="22" xfId="0" applyNumberFormat="1" applyFont="1" applyFill="1" applyBorder="1" applyAlignment="1" applyProtection="1">
      <alignment horizontal="center" vertical="center" wrapText="1"/>
      <protection locked="0"/>
    </xf>
    <xf numFmtId="3" fontId="16" fillId="2" borderId="21" xfId="0" quotePrefix="1" applyNumberFormat="1" applyFont="1" applyFill="1" applyBorder="1" applyAlignment="1" applyProtection="1">
      <alignment horizontal="center" vertical="center" wrapText="1"/>
      <protection locked="0"/>
    </xf>
    <xf numFmtId="3" fontId="16" fillId="2" borderId="2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30" xfId="0" quotePrefix="1" applyFont="1" applyFill="1" applyBorder="1" applyAlignment="1">
      <alignment horizontal="center" vertical="center" wrapText="1"/>
    </xf>
    <xf numFmtId="0" fontId="9" fillId="4" borderId="10" xfId="0" quotePrefix="1" applyFont="1" applyFill="1" applyBorder="1" applyAlignment="1">
      <alignment horizontal="center" vertical="center" wrapText="1"/>
    </xf>
    <xf numFmtId="3" fontId="16" fillId="6" borderId="17" xfId="0" quotePrefix="1" applyNumberFormat="1" applyFont="1" applyFill="1" applyBorder="1" applyAlignment="1">
      <alignment horizontal="center" vertical="center" wrapText="1"/>
    </xf>
    <xf numFmtId="3" fontId="15" fillId="6" borderId="24" xfId="0" applyNumberFormat="1" applyFont="1" applyFill="1" applyBorder="1" applyAlignment="1">
      <alignment horizontal="center" vertical="center" wrapText="1" shrinkToFit="1"/>
    </xf>
    <xf numFmtId="3" fontId="15" fillId="6" borderId="15" xfId="0" applyNumberFormat="1" applyFont="1" applyFill="1" applyBorder="1" applyAlignment="1">
      <alignment horizontal="center" vertical="center" wrapText="1" shrinkToFit="1"/>
    </xf>
    <xf numFmtId="3" fontId="15" fillId="6" borderId="24" xfId="0" applyNumberFormat="1" applyFont="1" applyFill="1" applyBorder="1" applyAlignment="1">
      <alignment horizontal="center" vertical="center"/>
    </xf>
    <xf numFmtId="3" fontId="15" fillId="6" borderId="4" xfId="0" applyNumberFormat="1" applyFont="1" applyFill="1" applyBorder="1" applyAlignment="1">
      <alignment horizontal="center" vertical="center"/>
    </xf>
    <xf numFmtId="3" fontId="15" fillId="6" borderId="15" xfId="0" applyNumberFormat="1" applyFont="1" applyFill="1" applyBorder="1" applyAlignment="1">
      <alignment horizontal="center" vertical="center"/>
    </xf>
    <xf numFmtId="164" fontId="5" fillId="6" borderId="11" xfId="0" applyNumberFormat="1" applyFont="1" applyFill="1" applyBorder="1" applyAlignment="1">
      <alignment horizontal="center" vertical="center"/>
    </xf>
    <xf numFmtId="0" fontId="15" fillId="6" borderId="17" xfId="0" applyFont="1" applyFill="1" applyBorder="1" applyAlignment="1">
      <alignment horizontal="center" vertical="center" wrapText="1"/>
    </xf>
    <xf numFmtId="1" fontId="25" fillId="0" borderId="16" xfId="0" applyNumberFormat="1" applyFont="1" applyBorder="1" applyAlignment="1">
      <alignment horizontal="left" vertical="center"/>
    </xf>
    <xf numFmtId="1" fontId="8" fillId="0" borderId="0" xfId="0" applyNumberFormat="1" applyFont="1" applyBorder="1" applyAlignment="1">
      <alignment horizontal="left" vertical="center"/>
    </xf>
    <xf numFmtId="49" fontId="18" fillId="5" borderId="34" xfId="0" applyNumberFormat="1" applyFont="1" applyFill="1" applyBorder="1" applyAlignment="1" applyProtection="1">
      <alignment horizontal="left" vertical="center"/>
      <protection locked="0"/>
    </xf>
    <xf numFmtId="49" fontId="22" fillId="5" borderId="35" xfId="0" applyNumberFormat="1" applyFont="1" applyFill="1" applyBorder="1" applyAlignment="1" applyProtection="1">
      <alignment horizontal="left" vertical="center"/>
      <protection locked="0"/>
    </xf>
    <xf numFmtId="49" fontId="22" fillId="5" borderId="36" xfId="0" applyNumberFormat="1" applyFont="1" applyFill="1" applyBorder="1" applyAlignment="1" applyProtection="1">
      <alignment horizontal="left" vertical="center"/>
      <protection locked="0"/>
    </xf>
    <xf numFmtId="1" fontId="26" fillId="0" borderId="0" xfId="0" applyNumberFormat="1" applyFont="1" applyBorder="1" applyAlignment="1">
      <alignment horizontal="left" vertical="center"/>
    </xf>
    <xf numFmtId="1" fontId="18" fillId="0" borderId="0" xfId="0" applyNumberFormat="1" applyFont="1" applyBorder="1" applyAlignment="1">
      <alignment horizontal="left" vertical="center"/>
    </xf>
    <xf numFmtId="0" fontId="0" fillId="0" borderId="22" xfId="0" applyBorder="1" applyAlignment="1"/>
    <xf numFmtId="49" fontId="2" fillId="5" borderId="34" xfId="0" applyNumberFormat="1" applyFont="1" applyFill="1" applyBorder="1" applyAlignment="1" applyProtection="1">
      <alignment horizontal="center" vertical="center"/>
      <protection locked="0"/>
    </xf>
    <xf numFmtId="49" fontId="2" fillId="5" borderId="36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223"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</dxfs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0" enableFormatConditionsCalculation="0">
    <tabColor indexed="35"/>
  </sheetPr>
  <dimension ref="A1:Z137"/>
  <sheetViews>
    <sheetView showGridLines="0" zoomScale="50" zoomScaleNormal="50" zoomScaleSheetLayoutView="50" workbookViewId="0">
      <pane xSplit="10" ySplit="11" topLeftCell="K40" activePane="bottomRight" state="frozen"/>
      <selection activeCell="B12" sqref="B12:B131"/>
      <selection pane="topRight" activeCell="B12" sqref="B12:B131"/>
      <selection pane="bottomLeft" activeCell="B12" sqref="B12:B131"/>
      <selection pane="bottomRight" activeCell="C6" sqref="C6:E6"/>
    </sheetView>
  </sheetViews>
  <sheetFormatPr defaultColWidth="27" defaultRowHeight="0" customHeight="1" zeroHeight="1"/>
  <cols>
    <col min="1" max="1" width="6" style="19" customWidth="1"/>
    <col min="2" max="2" width="10.109375" style="20" customWidth="1"/>
    <col min="3" max="3" width="45.5546875" style="21" customWidth="1"/>
    <col min="4" max="4" width="12" style="22" customWidth="1"/>
    <col min="5" max="5" width="18" style="24" customWidth="1"/>
    <col min="6" max="6" width="14.88671875" style="139" customWidth="1"/>
    <col min="7" max="7" width="17.6640625" style="23" customWidth="1"/>
    <col min="8" max="8" width="15.109375" style="3" customWidth="1"/>
    <col min="9" max="9" width="17.5546875" style="3" customWidth="1"/>
    <col min="10" max="10" width="3.44140625" style="3" customWidth="1"/>
    <col min="11" max="11" width="13.33203125" style="3" customWidth="1"/>
    <col min="12" max="12" width="14.88671875" style="3" customWidth="1"/>
    <col min="13" max="13" width="15.33203125" style="15" customWidth="1"/>
    <col min="14" max="14" width="12" style="3" customWidth="1"/>
    <col min="15" max="15" width="16.44140625" style="13" customWidth="1"/>
    <col min="16" max="16" width="13.6640625" style="3" customWidth="1"/>
    <col min="17" max="17" width="14.33203125" style="4" customWidth="1"/>
    <col min="18" max="18" width="18.5546875" style="13" customWidth="1"/>
    <col min="19" max="19" width="13.109375" style="4" customWidth="1"/>
    <col min="20" max="20" width="10.44140625" style="4" customWidth="1"/>
    <col min="21" max="21" width="11" style="13" customWidth="1"/>
    <col min="22" max="22" width="18.88671875" style="16" customWidth="1"/>
    <col min="23" max="23" width="18.88671875" style="25" hidden="1" customWidth="1"/>
    <col min="24" max="26" width="18.88671875" style="26" hidden="1" customWidth="1"/>
    <col min="27" max="27" width="18.88671875" style="2" customWidth="1"/>
    <col min="28" max="16384" width="27" style="2"/>
  </cols>
  <sheetData>
    <row r="1" spans="1:26" ht="39" customHeight="1">
      <c r="A1" s="177" t="s">
        <v>19</v>
      </c>
      <c r="B1" s="178"/>
      <c r="C1" s="178"/>
      <c r="D1" s="79"/>
      <c r="E1" s="200" t="s">
        <v>54</v>
      </c>
      <c r="F1" s="200"/>
      <c r="G1" s="200"/>
      <c r="H1" s="80"/>
      <c r="I1" s="245" t="s">
        <v>79</v>
      </c>
      <c r="J1" s="246"/>
      <c r="K1" s="75"/>
      <c r="L1" s="75"/>
      <c r="M1" s="76"/>
      <c r="N1" s="69"/>
      <c r="O1" s="69"/>
      <c r="P1" s="69"/>
      <c r="Q1" s="73"/>
      <c r="R1" s="69"/>
      <c r="S1" s="73"/>
      <c r="T1" s="73"/>
      <c r="U1" s="69"/>
      <c r="V1" s="81"/>
      <c r="W1" s="54"/>
      <c r="X1" s="54"/>
      <c r="Y1" s="55"/>
      <c r="Z1" s="55"/>
    </row>
    <row r="2" spans="1:26" s="37" customFormat="1" ht="30" customHeight="1">
      <c r="A2" s="179" t="s">
        <v>76</v>
      </c>
      <c r="B2" s="180"/>
      <c r="C2" s="180"/>
      <c r="D2" s="36"/>
      <c r="E2" s="201" t="s">
        <v>72</v>
      </c>
      <c r="F2" s="201"/>
      <c r="G2" s="201"/>
      <c r="H2" s="105"/>
      <c r="I2" s="245" t="s">
        <v>80</v>
      </c>
      <c r="J2" s="247"/>
      <c r="K2" s="70">
        <f>COUNT($B$12:$B$137)</f>
        <v>0</v>
      </c>
      <c r="L2" s="70">
        <f>COUNT($B$12:$B$137)</f>
        <v>0</v>
      </c>
      <c r="M2" s="70">
        <f>COUNT($B$12:$B$137)</f>
        <v>0</v>
      </c>
      <c r="N2" s="70"/>
      <c r="O2" s="70">
        <f>COUNT($B$12:$B$137)</f>
        <v>0</v>
      </c>
      <c r="P2" s="86"/>
      <c r="Q2" s="122"/>
      <c r="R2" s="70">
        <f>COUNT($B$12:$B$137)</f>
        <v>0</v>
      </c>
      <c r="S2" s="86"/>
      <c r="T2" s="122"/>
      <c r="U2" s="70">
        <f>COUNT($B$12:$B$137)</f>
        <v>0</v>
      </c>
      <c r="V2" s="70"/>
      <c r="W2" s="43"/>
      <c r="X2" s="43"/>
      <c r="Y2" s="44"/>
      <c r="Z2" s="44"/>
    </row>
    <row r="3" spans="1:26" s="40" customFormat="1" ht="30" customHeight="1">
      <c r="A3" s="181" t="s">
        <v>77</v>
      </c>
      <c r="B3" s="182"/>
      <c r="C3" s="182"/>
      <c r="D3" s="38"/>
      <c r="E3" s="39"/>
      <c r="F3" s="135"/>
      <c r="G3" s="41"/>
      <c r="H3" s="106"/>
      <c r="I3" s="243" t="s">
        <v>81</v>
      </c>
      <c r="J3" s="244"/>
      <c r="K3" s="71">
        <f>COUNTIF($D$12:$D$137,"Y")</f>
        <v>0</v>
      </c>
      <c r="L3" s="71">
        <f>COUNTIF($D$12:$D$137,"Y")</f>
        <v>0</v>
      </c>
      <c r="M3" s="71">
        <f>COUNTIF($D$12:$D$137,"Y")</f>
        <v>0</v>
      </c>
      <c r="N3" s="71"/>
      <c r="O3" s="71">
        <f>COUNTIF($D$12:$D$137,"Y")</f>
        <v>0</v>
      </c>
      <c r="P3" s="87"/>
      <c r="Q3" s="123"/>
      <c r="R3" s="71">
        <f>COUNTIF($D$12:$D$137,"Y")</f>
        <v>0</v>
      </c>
      <c r="S3" s="87"/>
      <c r="T3" s="123"/>
      <c r="U3" s="71">
        <f>COUNTIF($D$12:$D$137,"Y")</f>
        <v>0</v>
      </c>
      <c r="V3" s="71"/>
      <c r="W3" s="45"/>
      <c r="X3" s="46"/>
      <c r="Y3" s="44"/>
      <c r="Z3" s="44"/>
    </row>
    <row r="4" spans="1:26" s="40" customFormat="1" ht="30" customHeight="1" thickBot="1">
      <c r="A4" s="189"/>
      <c r="B4" s="190"/>
      <c r="C4" s="190"/>
      <c r="D4" s="11"/>
      <c r="E4" s="39"/>
      <c r="F4" s="136"/>
      <c r="G4" s="202" t="s">
        <v>73</v>
      </c>
      <c r="H4" s="202"/>
      <c r="I4" s="243" t="s">
        <v>82</v>
      </c>
      <c r="J4" s="244"/>
      <c r="K4" s="70">
        <f>K2-K3</f>
        <v>0</v>
      </c>
      <c r="L4" s="70">
        <f>L2-L3</f>
        <v>0</v>
      </c>
      <c r="M4" s="70">
        <f>M2-M3</f>
        <v>0</v>
      </c>
      <c r="N4" s="70"/>
      <c r="O4" s="70">
        <f>O2-O3</f>
        <v>0</v>
      </c>
      <c r="P4" s="86"/>
      <c r="Q4" s="122"/>
      <c r="R4" s="70">
        <f>R2-R3</f>
        <v>0</v>
      </c>
      <c r="S4" s="86"/>
      <c r="T4" s="122"/>
      <c r="U4" s="70">
        <f>U2-U3</f>
        <v>0</v>
      </c>
      <c r="V4" s="70"/>
      <c r="W4" s="47"/>
      <c r="X4" s="48"/>
      <c r="Y4" s="44"/>
      <c r="Z4" s="44"/>
    </row>
    <row r="5" spans="1:26" s="40" customFormat="1" ht="30" customHeight="1" thickBot="1">
      <c r="A5" s="82"/>
      <c r="B5" s="68"/>
      <c r="C5" s="68" t="s">
        <v>74</v>
      </c>
      <c r="D5" s="113"/>
      <c r="E5" s="39"/>
      <c r="F5" s="18"/>
      <c r="G5" s="51" t="s">
        <v>47</v>
      </c>
      <c r="H5" s="51" t="s">
        <v>48</v>
      </c>
      <c r="I5" s="243" t="s">
        <v>83</v>
      </c>
      <c r="J5" s="244"/>
      <c r="K5" s="71">
        <f>COUNTIF(K12:K137,"Yes")</f>
        <v>0</v>
      </c>
      <c r="L5" s="71">
        <f>COUNTIF(L12:L137,"Yes")</f>
        <v>0</v>
      </c>
      <c r="M5" s="71">
        <f>COUNTIF(M12:M137,"Yes")</f>
        <v>0</v>
      </c>
      <c r="N5" s="71"/>
      <c r="O5" s="71">
        <f>COUNTIF($N12:$N137,"Yes")</f>
        <v>0</v>
      </c>
      <c r="P5" s="87"/>
      <c r="Q5" s="123"/>
      <c r="R5" s="71">
        <f>COUNTIF($Q12:$Q137,"Yes")</f>
        <v>0</v>
      </c>
      <c r="S5" s="87"/>
      <c r="T5" s="123"/>
      <c r="U5" s="71">
        <f>COUNTIF($T12:$T137,"Yes")</f>
        <v>0</v>
      </c>
      <c r="V5" s="71"/>
      <c r="W5" s="49"/>
      <c r="X5" s="50"/>
      <c r="Y5" s="44"/>
      <c r="Z5" s="44"/>
    </row>
    <row r="6" spans="1:26" s="42" customFormat="1" ht="30" customHeight="1" thickBot="1">
      <c r="A6" s="198" t="s">
        <v>55</v>
      </c>
      <c r="B6" s="199"/>
      <c r="C6" s="191"/>
      <c r="D6" s="192"/>
      <c r="E6" s="193"/>
      <c r="F6" s="104"/>
      <c r="G6" s="56" t="s">
        <v>78</v>
      </c>
      <c r="H6" s="57" t="s">
        <v>87</v>
      </c>
      <c r="I6" s="243" t="s">
        <v>84</v>
      </c>
      <c r="J6" s="244"/>
      <c r="K6" s="72">
        <f>COUNTIF(K12:K137,"NC")</f>
        <v>0</v>
      </c>
      <c r="L6" s="72">
        <f>COUNTIF(L12:L137,"NC")</f>
        <v>0</v>
      </c>
      <c r="M6" s="72">
        <f>COUNTIF(M12:M137,"NC")</f>
        <v>0</v>
      </c>
      <c r="N6" s="72"/>
      <c r="O6" s="72">
        <f>COUNTIF($N12:$N137,"NC")</f>
        <v>0</v>
      </c>
      <c r="P6" s="88"/>
      <c r="Q6" s="124"/>
      <c r="R6" s="72">
        <f>COUNTIF($Q12:$Q137,"NC")</f>
        <v>0</v>
      </c>
      <c r="S6" s="88"/>
      <c r="T6" s="124"/>
      <c r="U6" s="72">
        <f>COUNTIF($T12:$T137,"NC")</f>
        <v>0</v>
      </c>
      <c r="V6" s="72"/>
      <c r="W6" s="49"/>
      <c r="X6" s="50"/>
      <c r="Y6" s="44"/>
      <c r="Z6" s="44"/>
    </row>
    <row r="7" spans="1:26" s="1" customFormat="1" ht="36.75" customHeight="1">
      <c r="A7" s="217"/>
      <c r="B7" s="218"/>
      <c r="C7" s="218"/>
      <c r="D7" s="219"/>
      <c r="E7" s="194" t="s">
        <v>9</v>
      </c>
      <c r="F7" s="196" t="s">
        <v>9</v>
      </c>
      <c r="G7" s="194" t="s">
        <v>1</v>
      </c>
      <c r="H7" s="195" t="s">
        <v>2</v>
      </c>
      <c r="I7" s="248" t="s">
        <v>46</v>
      </c>
      <c r="J7" s="211"/>
      <c r="K7" s="212"/>
      <c r="L7" s="212"/>
      <c r="M7" s="213"/>
      <c r="N7" s="52">
        <v>0.9</v>
      </c>
      <c r="O7" s="53" t="s">
        <v>53</v>
      </c>
      <c r="P7" s="89">
        <v>1.1000000000000001</v>
      </c>
      <c r="Q7" s="90">
        <v>0.9</v>
      </c>
      <c r="R7" s="53" t="s">
        <v>53</v>
      </c>
      <c r="S7" s="89">
        <v>1.1000000000000001</v>
      </c>
      <c r="T7" s="90">
        <v>0.9</v>
      </c>
      <c r="U7" s="53" t="s">
        <v>53</v>
      </c>
      <c r="V7" s="52">
        <v>1.1000000000000001</v>
      </c>
      <c r="W7" s="223" t="s">
        <v>58</v>
      </c>
      <c r="X7" s="203" t="s">
        <v>57</v>
      </c>
      <c r="Y7" s="203" t="s">
        <v>57</v>
      </c>
      <c r="Z7" s="203" t="s">
        <v>57</v>
      </c>
    </row>
    <row r="8" spans="1:26" s="1" customFormat="1" ht="23.25" customHeight="1">
      <c r="A8" s="220"/>
      <c r="B8" s="221"/>
      <c r="C8" s="221"/>
      <c r="D8" s="222"/>
      <c r="E8" s="195"/>
      <c r="F8" s="197"/>
      <c r="G8" s="195"/>
      <c r="H8" s="195"/>
      <c r="I8" s="248"/>
      <c r="J8" s="214"/>
      <c r="K8" s="215"/>
      <c r="L8" s="215"/>
      <c r="M8" s="216"/>
      <c r="N8" s="114" t="str">
        <f>IF($O8="","",($O$8*0.9))</f>
        <v/>
      </c>
      <c r="O8" s="115" t="str">
        <f>IF($F11=0,"",$G$11/$F$11)</f>
        <v/>
      </c>
      <c r="P8" s="116" t="str">
        <f>IF(O8="","",($O$8*1.1))</f>
        <v/>
      </c>
      <c r="Q8" s="117" t="str">
        <f>IF($R$8="","",($R$8*0.9))</f>
        <v/>
      </c>
      <c r="R8" s="115" t="str">
        <f>IF($F11=0,"",$H$11/$F$11)</f>
        <v/>
      </c>
      <c r="S8" s="116" t="str">
        <f>IF($R$8="","",($R$8*1.1))</f>
        <v/>
      </c>
      <c r="T8" s="118" t="str">
        <f>IF($U8="","",($U$8*0.9))</f>
        <v/>
      </c>
      <c r="U8" s="119" t="str">
        <f>IF($F11=0,"",$F$11/$I$11)</f>
        <v/>
      </c>
      <c r="V8" s="120" t="str">
        <f>IF(U8="","",($U$8*1.1))</f>
        <v/>
      </c>
      <c r="W8" s="224"/>
      <c r="X8" s="204"/>
      <c r="Y8" s="204"/>
      <c r="Z8" s="204"/>
    </row>
    <row r="9" spans="1:26" s="6" customFormat="1" ht="16.5" customHeight="1" thickBot="1">
      <c r="A9" s="209" t="s">
        <v>50</v>
      </c>
      <c r="B9" s="207" t="s">
        <v>51</v>
      </c>
      <c r="C9" s="183" t="s">
        <v>0</v>
      </c>
      <c r="D9" s="187" t="s">
        <v>85</v>
      </c>
      <c r="E9" s="231" t="s">
        <v>49</v>
      </c>
      <c r="F9" s="185" t="s">
        <v>59</v>
      </c>
      <c r="G9" s="231" t="s">
        <v>60</v>
      </c>
      <c r="H9" s="233" t="s">
        <v>86</v>
      </c>
      <c r="I9" s="233" t="s">
        <v>61</v>
      </c>
      <c r="J9" s="98"/>
      <c r="K9" s="85" t="s">
        <v>3</v>
      </c>
      <c r="L9" s="85" t="s">
        <v>4</v>
      </c>
      <c r="M9" s="85" t="s">
        <v>5</v>
      </c>
      <c r="N9" s="229" t="s">
        <v>6</v>
      </c>
      <c r="O9" s="229"/>
      <c r="P9" s="230"/>
      <c r="Q9" s="240" t="s">
        <v>7</v>
      </c>
      <c r="R9" s="206"/>
      <c r="S9" s="241"/>
      <c r="T9" s="205" t="s">
        <v>8</v>
      </c>
      <c r="U9" s="206"/>
      <c r="V9" s="206"/>
      <c r="W9" s="236" t="s">
        <v>68</v>
      </c>
      <c r="X9" s="238" t="s">
        <v>69</v>
      </c>
      <c r="Y9" s="238" t="s">
        <v>70</v>
      </c>
      <c r="Z9" s="227" t="s">
        <v>71</v>
      </c>
    </row>
    <row r="10" spans="1:26" s="6" customFormat="1" ht="102.75" customHeight="1">
      <c r="A10" s="210"/>
      <c r="B10" s="208"/>
      <c r="C10" s="184"/>
      <c r="D10" s="188"/>
      <c r="E10" s="242"/>
      <c r="F10" s="186"/>
      <c r="G10" s="232"/>
      <c r="H10" s="234"/>
      <c r="I10" s="235"/>
      <c r="J10" s="99"/>
      <c r="K10" s="85" t="s">
        <v>62</v>
      </c>
      <c r="L10" s="85" t="s">
        <v>63</v>
      </c>
      <c r="M10" s="85" t="s">
        <v>64</v>
      </c>
      <c r="N10" s="30" t="s">
        <v>52</v>
      </c>
      <c r="O10" s="83" t="s">
        <v>65</v>
      </c>
      <c r="P10" s="29" t="s">
        <v>56</v>
      </c>
      <c r="Q10" s="30" t="s">
        <v>52</v>
      </c>
      <c r="R10" s="83" t="s">
        <v>66</v>
      </c>
      <c r="S10" s="31" t="s">
        <v>56</v>
      </c>
      <c r="T10" s="28" t="s">
        <v>52</v>
      </c>
      <c r="U10" s="83" t="s">
        <v>67</v>
      </c>
      <c r="V10" s="83" t="s">
        <v>56</v>
      </c>
      <c r="W10" s="237"/>
      <c r="X10" s="239"/>
      <c r="Y10" s="239"/>
      <c r="Z10" s="228"/>
    </row>
    <row r="11" spans="1:26" s="14" customFormat="1" ht="16.5" customHeight="1" thickBot="1">
      <c r="A11" s="74"/>
      <c r="B11" s="74"/>
      <c r="C11" s="225" t="s">
        <v>75</v>
      </c>
      <c r="D11" s="226"/>
      <c r="E11" s="58">
        <f>SUM($E12:$E137)</f>
        <v>0</v>
      </c>
      <c r="F11" s="58">
        <f>SUM($F12:$F137)</f>
        <v>0</v>
      </c>
      <c r="G11" s="121">
        <f>SUM($G12:$G137)</f>
        <v>0</v>
      </c>
      <c r="H11" s="121">
        <f>SUM($H12:$H137)</f>
        <v>0</v>
      </c>
      <c r="I11" s="59">
        <f>SUM(I12:I137)</f>
        <v>0</v>
      </c>
      <c r="J11" s="100"/>
      <c r="K11" s="59" t="str">
        <f>IF( $D$5="","",SUM($X12:$X136)/SUM($W12:$W136)*0.9)</f>
        <v/>
      </c>
      <c r="L11" s="59" t="str">
        <f>IF( $D$5="","",SUM($Y12:$Y136)/SUM($W12:$W136)*0.9)</f>
        <v/>
      </c>
      <c r="M11" s="59" t="str">
        <f>IF( $D$5="","",SUM($W12:$W136)/SUM($Z12:$Z136)*1.1)</f>
        <v/>
      </c>
      <c r="N11" s="60"/>
      <c r="O11" s="60" t="str">
        <f>IF( $D$5="","",AVERAGE(O12:O136))</f>
        <v/>
      </c>
      <c r="P11" s="91"/>
      <c r="Q11" s="92"/>
      <c r="R11" s="92" t="str">
        <f>IF($D$5="","",AVERAGE(R12:R136))</f>
        <v/>
      </c>
      <c r="S11" s="91"/>
      <c r="T11" s="92"/>
      <c r="U11" s="60" t="str">
        <f>IF($D$5="","",AVERAGE(U12:U136))</f>
        <v/>
      </c>
      <c r="V11" s="60"/>
      <c r="W11" s="77">
        <f>SUM($W$12:$W$136)</f>
        <v>0</v>
      </c>
      <c r="X11" s="59">
        <f>SUM($X$12:$X$136)</f>
        <v>0</v>
      </c>
      <c r="Y11" s="59">
        <f>SUM($Y$12:$Y$136)</f>
        <v>0</v>
      </c>
      <c r="Z11" s="59">
        <f>SUM($Z$12:$Z$136)</f>
        <v>0</v>
      </c>
    </row>
    <row r="12" spans="1:26" s="12" customFormat="1" ht="17.25" customHeight="1">
      <c r="A12" s="103">
        <v>1</v>
      </c>
      <c r="B12" s="125"/>
      <c r="C12" s="125"/>
      <c r="D12" s="126"/>
      <c r="E12" s="95"/>
      <c r="F12" s="95"/>
      <c r="G12" s="127"/>
      <c r="H12" s="128"/>
      <c r="I12" s="129"/>
      <c r="J12" s="97"/>
      <c r="K12" s="62" t="str">
        <f t="shared" ref="K12:K43" si="0">IF($W$11=0,"",IF(D12="","",IF($G12="","",IF($F12="","",IF($G12/$F12&gt;=$K$11,"yes","NC")))))</f>
        <v/>
      </c>
      <c r="L12" s="62" t="str">
        <f t="shared" ref="L12:L43" si="1">IF($X$11=0,"",IF($D12="","",IF($G12="","",IF($H12="","",IF($H12/$F12&gt;=$L$11,"yes","NC")))))</f>
        <v/>
      </c>
      <c r="M12" s="62" t="str">
        <f t="shared" ref="M12:M43" si="2">IF($Y$11=0,"",IF($D12="","",IF($G12="","",IF($I12="","",IF($F12/$I12&lt;=$M$11,"yes","NC")))))</f>
        <v/>
      </c>
      <c r="N12" s="63" t="str">
        <f t="shared" ref="N12:N43" si="3">IF($D12="","",IF($O$8="","",IF(OR($O12&lt;$N$8,$O12&gt;$P$8),"NC","yes")))</f>
        <v/>
      </c>
      <c r="O12" s="64" t="str">
        <f>IF($D12="","",$G12/$F12)</f>
        <v/>
      </c>
      <c r="P12" s="93" t="str">
        <f t="shared" ref="P12:P43" si="4">IF($D12=0,"",IF(N12="yes",($O12/$O$8),IF(OR($O12&lt;$N$8,$O12&gt;$P$8),($O12/$O$8))))</f>
        <v/>
      </c>
      <c r="Q12" s="94" t="str">
        <f t="shared" ref="Q12:Q43" si="5">IF($D12="","",IF($R$8="","",IF(OR($R12&lt;$Q$8,$R12&gt;$S$8),"NC","yes")))</f>
        <v/>
      </c>
      <c r="R12" s="64" t="str">
        <f t="shared" ref="R12:R43" si="6">IF($D12="","",$H12/$F12)</f>
        <v/>
      </c>
      <c r="S12" s="93" t="str">
        <f t="shared" ref="S12:S43" si="7">IF($D12=0,"",IF(Q12="yes",($R12/$R$8),IF(OR($R12&gt;$Q$8,$R12&lt;$S$8),($R12/$R$8))))</f>
        <v/>
      </c>
      <c r="T12" s="94" t="str">
        <f t="shared" ref="T12:T43" si="8">IF($D12="","",IF($U$8="","",IF(OR($U12&lt;$T$8,U12&gt;$V$8),"NC","yes")))</f>
        <v/>
      </c>
      <c r="U12" s="64" t="str">
        <f t="shared" ref="U12:U43" si="9">IF($D12="","",$F12/$I12)</f>
        <v/>
      </c>
      <c r="V12" s="65" t="str">
        <f t="shared" ref="V12:V43" si="10">IF($D12="","",IF(T12="yes",(U12/U$8),IF(OR(U12&lt;$T$8,U12&gt;V$8),(U12/U$8))))</f>
        <v/>
      </c>
      <c r="W12" s="78" t="str">
        <f t="shared" ref="W12:W43" si="11">IF(C12="","",IF($D12="",$F12,""))</f>
        <v/>
      </c>
      <c r="X12" s="66" t="str">
        <f t="shared" ref="X12:X43" si="12">IF($C12="","",IF($D12="",$G12,""))</f>
        <v/>
      </c>
      <c r="Y12" s="66" t="str">
        <f t="shared" ref="Y12:Y43" si="13">IF($C12="","",IF($D12="",$H12,""))</f>
        <v/>
      </c>
      <c r="Z12" s="67" t="str">
        <f t="shared" ref="Z12:Z43" si="14">IF($C12="","",IF($D12="",I12,""))</f>
        <v/>
      </c>
    </row>
    <row r="13" spans="1:26" s="12" customFormat="1" ht="17.25" customHeight="1">
      <c r="A13" s="84">
        <v>2</v>
      </c>
      <c r="B13" s="130"/>
      <c r="C13" s="130"/>
      <c r="D13" s="131"/>
      <c r="E13" s="96"/>
      <c r="F13" s="96"/>
      <c r="G13" s="132"/>
      <c r="H13" s="133"/>
      <c r="I13" s="134"/>
      <c r="J13" s="97"/>
      <c r="K13" s="62" t="str">
        <f t="shared" si="0"/>
        <v/>
      </c>
      <c r="L13" s="62" t="str">
        <f t="shared" si="1"/>
        <v/>
      </c>
      <c r="M13" s="62" t="str">
        <f t="shared" si="2"/>
        <v/>
      </c>
      <c r="N13" s="63" t="str">
        <f t="shared" si="3"/>
        <v/>
      </c>
      <c r="O13" s="64" t="str">
        <f t="shared" ref="O13:O44" si="15">IF($D13="","",G13/$F13)</f>
        <v/>
      </c>
      <c r="P13" s="93" t="str">
        <f t="shared" si="4"/>
        <v/>
      </c>
      <c r="Q13" s="94" t="str">
        <f t="shared" si="5"/>
        <v/>
      </c>
      <c r="R13" s="64" t="str">
        <f t="shared" si="6"/>
        <v/>
      </c>
      <c r="S13" s="93" t="str">
        <f t="shared" si="7"/>
        <v/>
      </c>
      <c r="T13" s="94" t="str">
        <f t="shared" si="8"/>
        <v/>
      </c>
      <c r="U13" s="64" t="str">
        <f t="shared" si="9"/>
        <v/>
      </c>
      <c r="V13" s="65" t="str">
        <f t="shared" si="10"/>
        <v/>
      </c>
      <c r="W13" s="78" t="str">
        <f t="shared" si="11"/>
        <v/>
      </c>
      <c r="X13" s="66" t="str">
        <f t="shared" si="12"/>
        <v/>
      </c>
      <c r="Y13" s="66" t="str">
        <f t="shared" si="13"/>
        <v/>
      </c>
      <c r="Z13" s="67" t="str">
        <f t="shared" si="14"/>
        <v/>
      </c>
    </row>
    <row r="14" spans="1:26" s="12" customFormat="1" ht="17.25" customHeight="1">
      <c r="A14" s="84">
        <v>3</v>
      </c>
      <c r="B14" s="130"/>
      <c r="C14" s="130"/>
      <c r="D14" s="131"/>
      <c r="E14" s="96"/>
      <c r="F14" s="96"/>
      <c r="G14" s="132"/>
      <c r="H14" s="133"/>
      <c r="I14" s="134"/>
      <c r="J14" s="97"/>
      <c r="K14" s="62" t="str">
        <f t="shared" si="0"/>
        <v/>
      </c>
      <c r="L14" s="62" t="str">
        <f t="shared" si="1"/>
        <v/>
      </c>
      <c r="M14" s="62" t="str">
        <f t="shared" si="2"/>
        <v/>
      </c>
      <c r="N14" s="63" t="str">
        <f t="shared" si="3"/>
        <v/>
      </c>
      <c r="O14" s="64" t="str">
        <f t="shared" si="15"/>
        <v/>
      </c>
      <c r="P14" s="93" t="str">
        <f t="shared" si="4"/>
        <v/>
      </c>
      <c r="Q14" s="94" t="str">
        <f t="shared" si="5"/>
        <v/>
      </c>
      <c r="R14" s="64" t="str">
        <f t="shared" si="6"/>
        <v/>
      </c>
      <c r="S14" s="93" t="str">
        <f t="shared" si="7"/>
        <v/>
      </c>
      <c r="T14" s="94" t="str">
        <f t="shared" si="8"/>
        <v/>
      </c>
      <c r="U14" s="64" t="str">
        <f t="shared" si="9"/>
        <v/>
      </c>
      <c r="V14" s="65" t="str">
        <f t="shared" si="10"/>
        <v/>
      </c>
      <c r="W14" s="78" t="str">
        <f t="shared" si="11"/>
        <v/>
      </c>
      <c r="X14" s="66" t="str">
        <f t="shared" si="12"/>
        <v/>
      </c>
      <c r="Y14" s="66" t="str">
        <f t="shared" si="13"/>
        <v/>
      </c>
      <c r="Z14" s="67" t="str">
        <f t="shared" si="14"/>
        <v/>
      </c>
    </row>
    <row r="15" spans="1:26" s="12" customFormat="1" ht="17.25" customHeight="1">
      <c r="A15" s="84">
        <v>4</v>
      </c>
      <c r="B15" s="130"/>
      <c r="C15" s="130"/>
      <c r="D15" s="131"/>
      <c r="E15" s="96"/>
      <c r="F15" s="96"/>
      <c r="G15" s="132"/>
      <c r="H15" s="132"/>
      <c r="I15" s="132"/>
      <c r="J15" s="97"/>
      <c r="K15" s="62" t="str">
        <f t="shared" si="0"/>
        <v/>
      </c>
      <c r="L15" s="62" t="str">
        <f t="shared" si="1"/>
        <v/>
      </c>
      <c r="M15" s="62" t="str">
        <f t="shared" si="2"/>
        <v/>
      </c>
      <c r="N15" s="63" t="str">
        <f t="shared" si="3"/>
        <v/>
      </c>
      <c r="O15" s="64" t="str">
        <f t="shared" si="15"/>
        <v/>
      </c>
      <c r="P15" s="93" t="str">
        <f t="shared" si="4"/>
        <v/>
      </c>
      <c r="Q15" s="94" t="str">
        <f t="shared" si="5"/>
        <v/>
      </c>
      <c r="R15" s="64" t="str">
        <f t="shared" si="6"/>
        <v/>
      </c>
      <c r="S15" s="93" t="str">
        <f t="shared" si="7"/>
        <v/>
      </c>
      <c r="T15" s="94" t="str">
        <f t="shared" si="8"/>
        <v/>
      </c>
      <c r="U15" s="64" t="str">
        <f t="shared" si="9"/>
        <v/>
      </c>
      <c r="V15" s="65" t="str">
        <f t="shared" si="10"/>
        <v/>
      </c>
      <c r="W15" s="78" t="str">
        <f t="shared" si="11"/>
        <v/>
      </c>
      <c r="X15" s="66" t="str">
        <f t="shared" si="12"/>
        <v/>
      </c>
      <c r="Y15" s="66" t="str">
        <f t="shared" si="13"/>
        <v/>
      </c>
      <c r="Z15" s="67" t="str">
        <f t="shared" si="14"/>
        <v/>
      </c>
    </row>
    <row r="16" spans="1:26" s="5" customFormat="1" ht="17.25" customHeight="1">
      <c r="A16" s="84">
        <v>5</v>
      </c>
      <c r="B16" s="130"/>
      <c r="C16" s="130"/>
      <c r="D16" s="131"/>
      <c r="E16" s="96"/>
      <c r="F16" s="96"/>
      <c r="G16" s="132"/>
      <c r="H16" s="132"/>
      <c r="I16" s="132"/>
      <c r="J16" s="97"/>
      <c r="K16" s="62" t="str">
        <f t="shared" si="0"/>
        <v/>
      </c>
      <c r="L16" s="62" t="str">
        <f t="shared" si="1"/>
        <v/>
      </c>
      <c r="M16" s="62" t="str">
        <f t="shared" si="2"/>
        <v/>
      </c>
      <c r="N16" s="63" t="str">
        <f t="shared" si="3"/>
        <v/>
      </c>
      <c r="O16" s="64" t="str">
        <f t="shared" si="15"/>
        <v/>
      </c>
      <c r="P16" s="93" t="str">
        <f t="shared" si="4"/>
        <v/>
      </c>
      <c r="Q16" s="94" t="str">
        <f t="shared" si="5"/>
        <v/>
      </c>
      <c r="R16" s="64" t="str">
        <f t="shared" si="6"/>
        <v/>
      </c>
      <c r="S16" s="93" t="str">
        <f t="shared" si="7"/>
        <v/>
      </c>
      <c r="T16" s="94" t="str">
        <f t="shared" si="8"/>
        <v/>
      </c>
      <c r="U16" s="64" t="str">
        <f t="shared" si="9"/>
        <v/>
      </c>
      <c r="V16" s="65" t="str">
        <f t="shared" si="10"/>
        <v/>
      </c>
      <c r="W16" s="78" t="str">
        <f t="shared" si="11"/>
        <v/>
      </c>
      <c r="X16" s="66" t="str">
        <f t="shared" si="12"/>
        <v/>
      </c>
      <c r="Y16" s="66" t="str">
        <f t="shared" si="13"/>
        <v/>
      </c>
      <c r="Z16" s="67" t="str">
        <f t="shared" si="14"/>
        <v/>
      </c>
    </row>
    <row r="17" spans="1:26" s="5" customFormat="1" ht="17.25" customHeight="1">
      <c r="A17" s="84">
        <v>6</v>
      </c>
      <c r="B17" s="130"/>
      <c r="C17" s="130"/>
      <c r="D17" s="131"/>
      <c r="E17" s="96"/>
      <c r="F17" s="96"/>
      <c r="G17" s="132"/>
      <c r="H17" s="132"/>
      <c r="I17" s="132"/>
      <c r="J17" s="97"/>
      <c r="K17" s="62" t="str">
        <f t="shared" si="0"/>
        <v/>
      </c>
      <c r="L17" s="62" t="str">
        <f t="shared" si="1"/>
        <v/>
      </c>
      <c r="M17" s="62" t="str">
        <f t="shared" si="2"/>
        <v/>
      </c>
      <c r="N17" s="63" t="str">
        <f t="shared" si="3"/>
        <v/>
      </c>
      <c r="O17" s="64" t="str">
        <f t="shared" si="15"/>
        <v/>
      </c>
      <c r="P17" s="93" t="str">
        <f t="shared" si="4"/>
        <v/>
      </c>
      <c r="Q17" s="94" t="str">
        <f t="shared" si="5"/>
        <v/>
      </c>
      <c r="R17" s="64" t="str">
        <f t="shared" si="6"/>
        <v/>
      </c>
      <c r="S17" s="93" t="str">
        <f t="shared" si="7"/>
        <v/>
      </c>
      <c r="T17" s="94" t="str">
        <f t="shared" si="8"/>
        <v/>
      </c>
      <c r="U17" s="64" t="str">
        <f t="shared" si="9"/>
        <v/>
      </c>
      <c r="V17" s="65" t="str">
        <f t="shared" si="10"/>
        <v/>
      </c>
      <c r="W17" s="78" t="str">
        <f t="shared" si="11"/>
        <v/>
      </c>
      <c r="X17" s="66" t="str">
        <f t="shared" si="12"/>
        <v/>
      </c>
      <c r="Y17" s="66" t="str">
        <f t="shared" si="13"/>
        <v/>
      </c>
      <c r="Z17" s="67" t="str">
        <f t="shared" si="14"/>
        <v/>
      </c>
    </row>
    <row r="18" spans="1:26" s="5" customFormat="1" ht="17.25" customHeight="1">
      <c r="A18" s="84">
        <v>7</v>
      </c>
      <c r="B18" s="130"/>
      <c r="C18" s="130"/>
      <c r="D18" s="131"/>
      <c r="E18" s="96"/>
      <c r="F18" s="96"/>
      <c r="G18" s="132"/>
      <c r="H18" s="132"/>
      <c r="I18" s="132"/>
      <c r="J18" s="97"/>
      <c r="K18" s="62" t="str">
        <f t="shared" si="0"/>
        <v/>
      </c>
      <c r="L18" s="62" t="str">
        <f t="shared" si="1"/>
        <v/>
      </c>
      <c r="M18" s="62" t="str">
        <f t="shared" si="2"/>
        <v/>
      </c>
      <c r="N18" s="63" t="str">
        <f t="shared" si="3"/>
        <v/>
      </c>
      <c r="O18" s="64" t="str">
        <f t="shared" si="15"/>
        <v/>
      </c>
      <c r="P18" s="93" t="str">
        <f t="shared" si="4"/>
        <v/>
      </c>
      <c r="Q18" s="94" t="str">
        <f t="shared" si="5"/>
        <v/>
      </c>
      <c r="R18" s="64" t="str">
        <f t="shared" si="6"/>
        <v/>
      </c>
      <c r="S18" s="93" t="str">
        <f t="shared" si="7"/>
        <v/>
      </c>
      <c r="T18" s="94" t="str">
        <f t="shared" si="8"/>
        <v/>
      </c>
      <c r="U18" s="64" t="str">
        <f t="shared" si="9"/>
        <v/>
      </c>
      <c r="V18" s="65" t="str">
        <f t="shared" si="10"/>
        <v/>
      </c>
      <c r="W18" s="78" t="str">
        <f t="shared" si="11"/>
        <v/>
      </c>
      <c r="X18" s="66" t="str">
        <f t="shared" si="12"/>
        <v/>
      </c>
      <c r="Y18" s="66" t="str">
        <f t="shared" si="13"/>
        <v/>
      </c>
      <c r="Z18" s="67" t="str">
        <f t="shared" si="14"/>
        <v/>
      </c>
    </row>
    <row r="19" spans="1:26" s="5" customFormat="1" ht="17.25" customHeight="1">
      <c r="A19" s="84">
        <v>8</v>
      </c>
      <c r="B19" s="130"/>
      <c r="C19" s="130"/>
      <c r="D19" s="131"/>
      <c r="E19" s="96"/>
      <c r="F19" s="96"/>
      <c r="G19" s="132"/>
      <c r="H19" s="132"/>
      <c r="I19" s="132"/>
      <c r="J19" s="97"/>
      <c r="K19" s="62" t="str">
        <f t="shared" si="0"/>
        <v/>
      </c>
      <c r="L19" s="62" t="str">
        <f t="shared" si="1"/>
        <v/>
      </c>
      <c r="M19" s="62" t="str">
        <f t="shared" si="2"/>
        <v/>
      </c>
      <c r="N19" s="63" t="str">
        <f t="shared" si="3"/>
        <v/>
      </c>
      <c r="O19" s="64" t="str">
        <f t="shared" si="15"/>
        <v/>
      </c>
      <c r="P19" s="93" t="str">
        <f t="shared" si="4"/>
        <v/>
      </c>
      <c r="Q19" s="94" t="str">
        <f t="shared" si="5"/>
        <v/>
      </c>
      <c r="R19" s="64" t="str">
        <f t="shared" si="6"/>
        <v/>
      </c>
      <c r="S19" s="93" t="str">
        <f t="shared" si="7"/>
        <v/>
      </c>
      <c r="T19" s="94" t="str">
        <f t="shared" si="8"/>
        <v/>
      </c>
      <c r="U19" s="64" t="str">
        <f t="shared" si="9"/>
        <v/>
      </c>
      <c r="V19" s="65" t="str">
        <f t="shared" si="10"/>
        <v/>
      </c>
      <c r="W19" s="78" t="str">
        <f t="shared" si="11"/>
        <v/>
      </c>
      <c r="X19" s="66" t="str">
        <f t="shared" si="12"/>
        <v/>
      </c>
      <c r="Y19" s="66" t="str">
        <f t="shared" si="13"/>
        <v/>
      </c>
      <c r="Z19" s="67" t="str">
        <f t="shared" si="14"/>
        <v/>
      </c>
    </row>
    <row r="20" spans="1:26" s="5" customFormat="1" ht="17.25" customHeight="1">
      <c r="A20" s="84">
        <v>9</v>
      </c>
      <c r="B20" s="130"/>
      <c r="C20" s="130"/>
      <c r="D20" s="131"/>
      <c r="E20" s="96"/>
      <c r="F20" s="96"/>
      <c r="G20" s="132"/>
      <c r="H20" s="132"/>
      <c r="I20" s="132"/>
      <c r="J20" s="97"/>
      <c r="K20" s="62" t="str">
        <f t="shared" si="0"/>
        <v/>
      </c>
      <c r="L20" s="62" t="str">
        <f t="shared" si="1"/>
        <v/>
      </c>
      <c r="M20" s="62" t="str">
        <f t="shared" si="2"/>
        <v/>
      </c>
      <c r="N20" s="63" t="str">
        <f t="shared" si="3"/>
        <v/>
      </c>
      <c r="O20" s="64" t="str">
        <f t="shared" si="15"/>
        <v/>
      </c>
      <c r="P20" s="93" t="str">
        <f t="shared" si="4"/>
        <v/>
      </c>
      <c r="Q20" s="94" t="str">
        <f t="shared" si="5"/>
        <v/>
      </c>
      <c r="R20" s="64" t="str">
        <f t="shared" si="6"/>
        <v/>
      </c>
      <c r="S20" s="93" t="str">
        <f t="shared" si="7"/>
        <v/>
      </c>
      <c r="T20" s="94" t="str">
        <f t="shared" si="8"/>
        <v/>
      </c>
      <c r="U20" s="64" t="str">
        <f t="shared" si="9"/>
        <v/>
      </c>
      <c r="V20" s="65" t="str">
        <f t="shared" si="10"/>
        <v/>
      </c>
      <c r="W20" s="78" t="str">
        <f t="shared" si="11"/>
        <v/>
      </c>
      <c r="X20" s="66" t="str">
        <f t="shared" si="12"/>
        <v/>
      </c>
      <c r="Y20" s="66" t="str">
        <f t="shared" si="13"/>
        <v/>
      </c>
      <c r="Z20" s="67" t="str">
        <f t="shared" si="14"/>
        <v/>
      </c>
    </row>
    <row r="21" spans="1:26" s="5" customFormat="1" ht="17.25" customHeight="1">
      <c r="A21" s="84">
        <v>10</v>
      </c>
      <c r="B21" s="130"/>
      <c r="C21" s="130"/>
      <c r="D21" s="131"/>
      <c r="E21" s="96"/>
      <c r="F21" s="96"/>
      <c r="G21" s="132"/>
      <c r="H21" s="132"/>
      <c r="I21" s="132"/>
      <c r="J21" s="97"/>
      <c r="K21" s="62" t="str">
        <f t="shared" si="0"/>
        <v/>
      </c>
      <c r="L21" s="62" t="str">
        <f t="shared" si="1"/>
        <v/>
      </c>
      <c r="M21" s="62" t="str">
        <f t="shared" si="2"/>
        <v/>
      </c>
      <c r="N21" s="63" t="str">
        <f t="shared" si="3"/>
        <v/>
      </c>
      <c r="O21" s="64" t="str">
        <f t="shared" si="15"/>
        <v/>
      </c>
      <c r="P21" s="93" t="str">
        <f t="shared" si="4"/>
        <v/>
      </c>
      <c r="Q21" s="94" t="str">
        <f t="shared" si="5"/>
        <v/>
      </c>
      <c r="R21" s="64" t="str">
        <f t="shared" si="6"/>
        <v/>
      </c>
      <c r="S21" s="93" t="str">
        <f t="shared" si="7"/>
        <v/>
      </c>
      <c r="T21" s="94" t="str">
        <f t="shared" si="8"/>
        <v/>
      </c>
      <c r="U21" s="64" t="str">
        <f t="shared" si="9"/>
        <v/>
      </c>
      <c r="V21" s="65" t="str">
        <f t="shared" si="10"/>
        <v/>
      </c>
      <c r="W21" s="78" t="str">
        <f t="shared" si="11"/>
        <v/>
      </c>
      <c r="X21" s="66" t="str">
        <f t="shared" si="12"/>
        <v/>
      </c>
      <c r="Y21" s="66" t="str">
        <f t="shared" si="13"/>
        <v/>
      </c>
      <c r="Z21" s="67" t="str">
        <f t="shared" si="14"/>
        <v/>
      </c>
    </row>
    <row r="22" spans="1:26" s="5" customFormat="1" ht="17.25" customHeight="1">
      <c r="A22" s="84">
        <v>11</v>
      </c>
      <c r="B22" s="130"/>
      <c r="C22" s="130"/>
      <c r="D22" s="131"/>
      <c r="E22" s="96"/>
      <c r="F22" s="96"/>
      <c r="G22" s="132"/>
      <c r="H22" s="132"/>
      <c r="I22" s="132"/>
      <c r="J22" s="97"/>
      <c r="K22" s="62" t="str">
        <f t="shared" si="0"/>
        <v/>
      </c>
      <c r="L22" s="62" t="str">
        <f t="shared" si="1"/>
        <v/>
      </c>
      <c r="M22" s="62" t="str">
        <f t="shared" si="2"/>
        <v/>
      </c>
      <c r="N22" s="63" t="str">
        <f t="shared" si="3"/>
        <v/>
      </c>
      <c r="O22" s="64" t="str">
        <f t="shared" si="15"/>
        <v/>
      </c>
      <c r="P22" s="93" t="str">
        <f t="shared" si="4"/>
        <v/>
      </c>
      <c r="Q22" s="94" t="str">
        <f t="shared" si="5"/>
        <v/>
      </c>
      <c r="R22" s="64" t="str">
        <f t="shared" si="6"/>
        <v/>
      </c>
      <c r="S22" s="93" t="str">
        <f t="shared" si="7"/>
        <v/>
      </c>
      <c r="T22" s="94" t="str">
        <f t="shared" si="8"/>
        <v/>
      </c>
      <c r="U22" s="64" t="str">
        <f t="shared" si="9"/>
        <v/>
      </c>
      <c r="V22" s="65" t="str">
        <f t="shared" si="10"/>
        <v/>
      </c>
      <c r="W22" s="78" t="str">
        <f t="shared" si="11"/>
        <v/>
      </c>
      <c r="X22" s="66" t="str">
        <f t="shared" si="12"/>
        <v/>
      </c>
      <c r="Y22" s="66" t="str">
        <f t="shared" si="13"/>
        <v/>
      </c>
      <c r="Z22" s="67" t="str">
        <f t="shared" si="14"/>
        <v/>
      </c>
    </row>
    <row r="23" spans="1:26" s="5" customFormat="1" ht="17.25" customHeight="1">
      <c r="A23" s="84">
        <v>12</v>
      </c>
      <c r="B23" s="130"/>
      <c r="C23" s="130"/>
      <c r="D23" s="131"/>
      <c r="E23" s="96"/>
      <c r="F23" s="96"/>
      <c r="G23" s="132"/>
      <c r="H23" s="132"/>
      <c r="I23" s="132"/>
      <c r="J23" s="97"/>
      <c r="K23" s="62" t="str">
        <f t="shared" si="0"/>
        <v/>
      </c>
      <c r="L23" s="62" t="str">
        <f t="shared" si="1"/>
        <v/>
      </c>
      <c r="M23" s="62" t="str">
        <f t="shared" si="2"/>
        <v/>
      </c>
      <c r="N23" s="63" t="str">
        <f t="shared" si="3"/>
        <v/>
      </c>
      <c r="O23" s="64" t="str">
        <f t="shared" si="15"/>
        <v/>
      </c>
      <c r="P23" s="93" t="str">
        <f t="shared" si="4"/>
        <v/>
      </c>
      <c r="Q23" s="94" t="str">
        <f t="shared" si="5"/>
        <v/>
      </c>
      <c r="R23" s="64" t="str">
        <f t="shared" si="6"/>
        <v/>
      </c>
      <c r="S23" s="93" t="str">
        <f t="shared" si="7"/>
        <v/>
      </c>
      <c r="T23" s="94" t="str">
        <f t="shared" si="8"/>
        <v/>
      </c>
      <c r="U23" s="64" t="str">
        <f t="shared" si="9"/>
        <v/>
      </c>
      <c r="V23" s="65" t="str">
        <f t="shared" si="10"/>
        <v/>
      </c>
      <c r="W23" s="78" t="str">
        <f t="shared" si="11"/>
        <v/>
      </c>
      <c r="X23" s="66" t="str">
        <f t="shared" si="12"/>
        <v/>
      </c>
      <c r="Y23" s="66" t="str">
        <f t="shared" si="13"/>
        <v/>
      </c>
      <c r="Z23" s="67" t="str">
        <f t="shared" si="14"/>
        <v/>
      </c>
    </row>
    <row r="24" spans="1:26" s="5" customFormat="1" ht="17.25" customHeight="1">
      <c r="A24" s="84">
        <v>13</v>
      </c>
      <c r="B24" s="130"/>
      <c r="C24" s="130"/>
      <c r="D24" s="131"/>
      <c r="E24" s="96"/>
      <c r="F24" s="96"/>
      <c r="G24" s="132"/>
      <c r="H24" s="132"/>
      <c r="I24" s="132"/>
      <c r="J24" s="97"/>
      <c r="K24" s="62" t="str">
        <f t="shared" si="0"/>
        <v/>
      </c>
      <c r="L24" s="62" t="str">
        <f t="shared" si="1"/>
        <v/>
      </c>
      <c r="M24" s="62" t="str">
        <f t="shared" si="2"/>
        <v/>
      </c>
      <c r="N24" s="63" t="str">
        <f t="shared" si="3"/>
        <v/>
      </c>
      <c r="O24" s="64" t="str">
        <f t="shared" si="15"/>
        <v/>
      </c>
      <c r="P24" s="93" t="str">
        <f t="shared" si="4"/>
        <v/>
      </c>
      <c r="Q24" s="94" t="str">
        <f t="shared" si="5"/>
        <v/>
      </c>
      <c r="R24" s="64" t="str">
        <f t="shared" si="6"/>
        <v/>
      </c>
      <c r="S24" s="93" t="str">
        <f t="shared" si="7"/>
        <v/>
      </c>
      <c r="T24" s="94" t="str">
        <f t="shared" si="8"/>
        <v/>
      </c>
      <c r="U24" s="64" t="str">
        <f t="shared" si="9"/>
        <v/>
      </c>
      <c r="V24" s="65" t="str">
        <f t="shared" si="10"/>
        <v/>
      </c>
      <c r="W24" s="78" t="str">
        <f t="shared" si="11"/>
        <v/>
      </c>
      <c r="X24" s="66" t="str">
        <f t="shared" si="12"/>
        <v/>
      </c>
      <c r="Y24" s="66" t="str">
        <f t="shared" si="13"/>
        <v/>
      </c>
      <c r="Z24" s="67" t="str">
        <f t="shared" si="14"/>
        <v/>
      </c>
    </row>
    <row r="25" spans="1:26" s="5" customFormat="1" ht="17.25" customHeight="1">
      <c r="A25" s="84">
        <v>14</v>
      </c>
      <c r="B25" s="130"/>
      <c r="C25" s="130"/>
      <c r="D25" s="131"/>
      <c r="E25" s="96"/>
      <c r="F25" s="96"/>
      <c r="G25" s="132"/>
      <c r="H25" s="132"/>
      <c r="I25" s="132"/>
      <c r="J25" s="97"/>
      <c r="K25" s="62" t="str">
        <f t="shared" si="0"/>
        <v/>
      </c>
      <c r="L25" s="62" t="str">
        <f t="shared" si="1"/>
        <v/>
      </c>
      <c r="M25" s="62" t="str">
        <f t="shared" si="2"/>
        <v/>
      </c>
      <c r="N25" s="63" t="str">
        <f t="shared" si="3"/>
        <v/>
      </c>
      <c r="O25" s="64" t="str">
        <f t="shared" si="15"/>
        <v/>
      </c>
      <c r="P25" s="93" t="str">
        <f t="shared" si="4"/>
        <v/>
      </c>
      <c r="Q25" s="94" t="str">
        <f t="shared" si="5"/>
        <v/>
      </c>
      <c r="R25" s="64" t="str">
        <f t="shared" si="6"/>
        <v/>
      </c>
      <c r="S25" s="93" t="str">
        <f t="shared" si="7"/>
        <v/>
      </c>
      <c r="T25" s="94" t="str">
        <f t="shared" si="8"/>
        <v/>
      </c>
      <c r="U25" s="64" t="str">
        <f t="shared" si="9"/>
        <v/>
      </c>
      <c r="V25" s="65" t="str">
        <f t="shared" si="10"/>
        <v/>
      </c>
      <c r="W25" s="78" t="str">
        <f t="shared" si="11"/>
        <v/>
      </c>
      <c r="X25" s="66" t="str">
        <f t="shared" si="12"/>
        <v/>
      </c>
      <c r="Y25" s="66" t="str">
        <f t="shared" si="13"/>
        <v/>
      </c>
      <c r="Z25" s="67" t="str">
        <f t="shared" si="14"/>
        <v/>
      </c>
    </row>
    <row r="26" spans="1:26" s="5" customFormat="1" ht="17.25" customHeight="1">
      <c r="A26" s="84">
        <v>15</v>
      </c>
      <c r="B26" s="130"/>
      <c r="C26" s="130"/>
      <c r="D26" s="131"/>
      <c r="E26" s="96"/>
      <c r="F26" s="96"/>
      <c r="G26" s="132"/>
      <c r="H26" s="132"/>
      <c r="I26" s="132"/>
      <c r="J26" s="97"/>
      <c r="K26" s="62" t="str">
        <f t="shared" si="0"/>
        <v/>
      </c>
      <c r="L26" s="62" t="str">
        <f t="shared" si="1"/>
        <v/>
      </c>
      <c r="M26" s="62" t="str">
        <f t="shared" si="2"/>
        <v/>
      </c>
      <c r="N26" s="63" t="str">
        <f t="shared" si="3"/>
        <v/>
      </c>
      <c r="O26" s="64" t="str">
        <f t="shared" si="15"/>
        <v/>
      </c>
      <c r="P26" s="93" t="str">
        <f t="shared" si="4"/>
        <v/>
      </c>
      <c r="Q26" s="94" t="str">
        <f t="shared" si="5"/>
        <v/>
      </c>
      <c r="R26" s="64" t="str">
        <f t="shared" si="6"/>
        <v/>
      </c>
      <c r="S26" s="93" t="str">
        <f t="shared" si="7"/>
        <v/>
      </c>
      <c r="T26" s="94" t="str">
        <f t="shared" si="8"/>
        <v/>
      </c>
      <c r="U26" s="64" t="str">
        <f t="shared" si="9"/>
        <v/>
      </c>
      <c r="V26" s="65" t="str">
        <f t="shared" si="10"/>
        <v/>
      </c>
      <c r="W26" s="78" t="str">
        <f t="shared" si="11"/>
        <v/>
      </c>
      <c r="X26" s="66" t="str">
        <f t="shared" si="12"/>
        <v/>
      </c>
      <c r="Y26" s="66" t="str">
        <f t="shared" si="13"/>
        <v/>
      </c>
      <c r="Z26" s="67" t="str">
        <f t="shared" si="14"/>
        <v/>
      </c>
    </row>
    <row r="27" spans="1:26" s="5" customFormat="1" ht="17.25" customHeight="1">
      <c r="A27" s="84">
        <v>16</v>
      </c>
      <c r="B27" s="130"/>
      <c r="C27" s="130"/>
      <c r="D27" s="131"/>
      <c r="E27" s="96"/>
      <c r="F27" s="96"/>
      <c r="G27" s="132"/>
      <c r="H27" s="132"/>
      <c r="I27" s="132"/>
      <c r="J27" s="97"/>
      <c r="K27" s="62" t="str">
        <f t="shared" si="0"/>
        <v/>
      </c>
      <c r="L27" s="62" t="str">
        <f t="shared" si="1"/>
        <v/>
      </c>
      <c r="M27" s="62" t="str">
        <f t="shared" si="2"/>
        <v/>
      </c>
      <c r="N27" s="63" t="str">
        <f t="shared" si="3"/>
        <v/>
      </c>
      <c r="O27" s="64" t="str">
        <f t="shared" si="15"/>
        <v/>
      </c>
      <c r="P27" s="93" t="str">
        <f t="shared" si="4"/>
        <v/>
      </c>
      <c r="Q27" s="94" t="str">
        <f t="shared" si="5"/>
        <v/>
      </c>
      <c r="R27" s="64" t="str">
        <f t="shared" si="6"/>
        <v/>
      </c>
      <c r="S27" s="93" t="str">
        <f t="shared" si="7"/>
        <v/>
      </c>
      <c r="T27" s="94" t="str">
        <f t="shared" si="8"/>
        <v/>
      </c>
      <c r="U27" s="64" t="str">
        <f t="shared" si="9"/>
        <v/>
      </c>
      <c r="V27" s="65" t="str">
        <f t="shared" si="10"/>
        <v/>
      </c>
      <c r="W27" s="78" t="str">
        <f t="shared" si="11"/>
        <v/>
      </c>
      <c r="X27" s="66" t="str">
        <f t="shared" si="12"/>
        <v/>
      </c>
      <c r="Y27" s="66" t="str">
        <f t="shared" si="13"/>
        <v/>
      </c>
      <c r="Z27" s="67" t="str">
        <f t="shared" si="14"/>
        <v/>
      </c>
    </row>
    <row r="28" spans="1:26" s="5" customFormat="1" ht="17.25" customHeight="1">
      <c r="A28" s="84">
        <v>17</v>
      </c>
      <c r="B28" s="130"/>
      <c r="C28" s="130"/>
      <c r="D28" s="131"/>
      <c r="E28" s="96"/>
      <c r="F28" s="96"/>
      <c r="G28" s="132"/>
      <c r="H28" s="132"/>
      <c r="I28" s="132"/>
      <c r="J28" s="97"/>
      <c r="K28" s="62" t="str">
        <f t="shared" si="0"/>
        <v/>
      </c>
      <c r="L28" s="62" t="str">
        <f t="shared" si="1"/>
        <v/>
      </c>
      <c r="M28" s="62" t="str">
        <f t="shared" si="2"/>
        <v/>
      </c>
      <c r="N28" s="63" t="str">
        <f t="shared" si="3"/>
        <v/>
      </c>
      <c r="O28" s="64" t="str">
        <f t="shared" si="15"/>
        <v/>
      </c>
      <c r="P28" s="93" t="str">
        <f t="shared" si="4"/>
        <v/>
      </c>
      <c r="Q28" s="94" t="str">
        <f t="shared" si="5"/>
        <v/>
      </c>
      <c r="R28" s="64" t="str">
        <f t="shared" si="6"/>
        <v/>
      </c>
      <c r="S28" s="93" t="str">
        <f t="shared" si="7"/>
        <v/>
      </c>
      <c r="T28" s="94" t="str">
        <f t="shared" si="8"/>
        <v/>
      </c>
      <c r="U28" s="64" t="str">
        <f t="shared" si="9"/>
        <v/>
      </c>
      <c r="V28" s="65" t="str">
        <f t="shared" si="10"/>
        <v/>
      </c>
      <c r="W28" s="78" t="str">
        <f t="shared" si="11"/>
        <v/>
      </c>
      <c r="X28" s="66" t="str">
        <f t="shared" si="12"/>
        <v/>
      </c>
      <c r="Y28" s="66" t="str">
        <f t="shared" si="13"/>
        <v/>
      </c>
      <c r="Z28" s="67" t="str">
        <f t="shared" si="14"/>
        <v/>
      </c>
    </row>
    <row r="29" spans="1:26" s="5" customFormat="1" ht="17.25" customHeight="1">
      <c r="A29" s="84">
        <v>18</v>
      </c>
      <c r="B29" s="130"/>
      <c r="C29" s="130"/>
      <c r="D29" s="131"/>
      <c r="E29" s="96"/>
      <c r="F29" s="96"/>
      <c r="G29" s="132"/>
      <c r="H29" s="132"/>
      <c r="I29" s="132"/>
      <c r="J29" s="97"/>
      <c r="K29" s="62" t="str">
        <f t="shared" si="0"/>
        <v/>
      </c>
      <c r="L29" s="62" t="str">
        <f t="shared" si="1"/>
        <v/>
      </c>
      <c r="M29" s="62" t="str">
        <f t="shared" si="2"/>
        <v/>
      </c>
      <c r="N29" s="63" t="str">
        <f t="shared" si="3"/>
        <v/>
      </c>
      <c r="O29" s="64" t="str">
        <f t="shared" si="15"/>
        <v/>
      </c>
      <c r="P29" s="93" t="str">
        <f t="shared" si="4"/>
        <v/>
      </c>
      <c r="Q29" s="94" t="str">
        <f t="shared" si="5"/>
        <v/>
      </c>
      <c r="R29" s="64" t="str">
        <f t="shared" si="6"/>
        <v/>
      </c>
      <c r="S29" s="93" t="str">
        <f t="shared" si="7"/>
        <v/>
      </c>
      <c r="T29" s="94" t="str">
        <f t="shared" si="8"/>
        <v/>
      </c>
      <c r="U29" s="64" t="str">
        <f t="shared" si="9"/>
        <v/>
      </c>
      <c r="V29" s="65" t="str">
        <f t="shared" si="10"/>
        <v/>
      </c>
      <c r="W29" s="78" t="str">
        <f t="shared" si="11"/>
        <v/>
      </c>
      <c r="X29" s="66" t="str">
        <f t="shared" si="12"/>
        <v/>
      </c>
      <c r="Y29" s="66" t="str">
        <f t="shared" si="13"/>
        <v/>
      </c>
      <c r="Z29" s="67" t="str">
        <f t="shared" si="14"/>
        <v/>
      </c>
    </row>
    <row r="30" spans="1:26" s="5" customFormat="1" ht="17.25" customHeight="1">
      <c r="A30" s="84">
        <v>19</v>
      </c>
      <c r="B30" s="130"/>
      <c r="C30" s="130"/>
      <c r="D30" s="131"/>
      <c r="E30" s="96"/>
      <c r="F30" s="96"/>
      <c r="G30" s="132"/>
      <c r="H30" s="132"/>
      <c r="I30" s="132"/>
      <c r="J30" s="97"/>
      <c r="K30" s="62" t="str">
        <f t="shared" si="0"/>
        <v/>
      </c>
      <c r="L30" s="62" t="str">
        <f t="shared" si="1"/>
        <v/>
      </c>
      <c r="M30" s="62" t="str">
        <f t="shared" si="2"/>
        <v/>
      </c>
      <c r="N30" s="63" t="str">
        <f t="shared" si="3"/>
        <v/>
      </c>
      <c r="O30" s="64" t="str">
        <f t="shared" si="15"/>
        <v/>
      </c>
      <c r="P30" s="93" t="str">
        <f t="shared" si="4"/>
        <v/>
      </c>
      <c r="Q30" s="94" t="str">
        <f t="shared" si="5"/>
        <v/>
      </c>
      <c r="R30" s="64" t="str">
        <f t="shared" si="6"/>
        <v/>
      </c>
      <c r="S30" s="93" t="str">
        <f t="shared" si="7"/>
        <v/>
      </c>
      <c r="T30" s="94" t="str">
        <f t="shared" si="8"/>
        <v/>
      </c>
      <c r="U30" s="64" t="str">
        <f t="shared" si="9"/>
        <v/>
      </c>
      <c r="V30" s="65" t="str">
        <f t="shared" si="10"/>
        <v/>
      </c>
      <c r="W30" s="78" t="str">
        <f t="shared" si="11"/>
        <v/>
      </c>
      <c r="X30" s="66" t="str">
        <f t="shared" si="12"/>
        <v/>
      </c>
      <c r="Y30" s="66" t="str">
        <f t="shared" si="13"/>
        <v/>
      </c>
      <c r="Z30" s="67" t="str">
        <f t="shared" si="14"/>
        <v/>
      </c>
    </row>
    <row r="31" spans="1:26" s="5" customFormat="1" ht="17.25" customHeight="1">
      <c r="A31" s="84">
        <v>20</v>
      </c>
      <c r="B31" s="130"/>
      <c r="C31" s="130"/>
      <c r="D31" s="131"/>
      <c r="E31" s="96"/>
      <c r="F31" s="96"/>
      <c r="G31" s="132"/>
      <c r="H31" s="132"/>
      <c r="I31" s="132"/>
      <c r="J31" s="97"/>
      <c r="K31" s="62" t="str">
        <f t="shared" si="0"/>
        <v/>
      </c>
      <c r="L31" s="62" t="str">
        <f t="shared" si="1"/>
        <v/>
      </c>
      <c r="M31" s="62" t="str">
        <f t="shared" si="2"/>
        <v/>
      </c>
      <c r="N31" s="63" t="str">
        <f t="shared" si="3"/>
        <v/>
      </c>
      <c r="O31" s="64" t="str">
        <f t="shared" si="15"/>
        <v/>
      </c>
      <c r="P31" s="93" t="str">
        <f t="shared" si="4"/>
        <v/>
      </c>
      <c r="Q31" s="94" t="str">
        <f t="shared" si="5"/>
        <v/>
      </c>
      <c r="R31" s="64" t="str">
        <f t="shared" si="6"/>
        <v/>
      </c>
      <c r="S31" s="93" t="str">
        <f t="shared" si="7"/>
        <v/>
      </c>
      <c r="T31" s="94" t="str">
        <f t="shared" si="8"/>
        <v/>
      </c>
      <c r="U31" s="64" t="str">
        <f t="shared" si="9"/>
        <v/>
      </c>
      <c r="V31" s="65" t="str">
        <f t="shared" si="10"/>
        <v/>
      </c>
      <c r="W31" s="78" t="str">
        <f t="shared" si="11"/>
        <v/>
      </c>
      <c r="X31" s="66" t="str">
        <f t="shared" si="12"/>
        <v/>
      </c>
      <c r="Y31" s="66" t="str">
        <f t="shared" si="13"/>
        <v/>
      </c>
      <c r="Z31" s="67" t="str">
        <f t="shared" si="14"/>
        <v/>
      </c>
    </row>
    <row r="32" spans="1:26" s="5" customFormat="1" ht="17.25" customHeight="1">
      <c r="A32" s="84">
        <v>21</v>
      </c>
      <c r="B32" s="130"/>
      <c r="C32" s="130"/>
      <c r="D32" s="131"/>
      <c r="E32" s="96"/>
      <c r="F32" s="96"/>
      <c r="G32" s="132"/>
      <c r="H32" s="132"/>
      <c r="I32" s="132"/>
      <c r="J32" s="97"/>
      <c r="K32" s="62" t="str">
        <f t="shared" si="0"/>
        <v/>
      </c>
      <c r="L32" s="62" t="str">
        <f t="shared" si="1"/>
        <v/>
      </c>
      <c r="M32" s="62" t="str">
        <f t="shared" si="2"/>
        <v/>
      </c>
      <c r="N32" s="63" t="str">
        <f t="shared" si="3"/>
        <v/>
      </c>
      <c r="O32" s="64" t="str">
        <f t="shared" si="15"/>
        <v/>
      </c>
      <c r="P32" s="93" t="str">
        <f t="shared" si="4"/>
        <v/>
      </c>
      <c r="Q32" s="94" t="str">
        <f t="shared" si="5"/>
        <v/>
      </c>
      <c r="R32" s="64" t="str">
        <f t="shared" si="6"/>
        <v/>
      </c>
      <c r="S32" s="93" t="str">
        <f t="shared" si="7"/>
        <v/>
      </c>
      <c r="T32" s="94" t="str">
        <f t="shared" si="8"/>
        <v/>
      </c>
      <c r="U32" s="64" t="str">
        <f t="shared" si="9"/>
        <v/>
      </c>
      <c r="V32" s="65" t="str">
        <f t="shared" si="10"/>
        <v/>
      </c>
      <c r="W32" s="78" t="str">
        <f t="shared" si="11"/>
        <v/>
      </c>
      <c r="X32" s="66" t="str">
        <f t="shared" si="12"/>
        <v/>
      </c>
      <c r="Y32" s="66" t="str">
        <f t="shared" si="13"/>
        <v/>
      </c>
      <c r="Z32" s="67" t="str">
        <f t="shared" si="14"/>
        <v/>
      </c>
    </row>
    <row r="33" spans="1:26" s="5" customFormat="1" ht="17.25" customHeight="1">
      <c r="A33" s="84">
        <v>22</v>
      </c>
      <c r="B33" s="130"/>
      <c r="C33" s="130"/>
      <c r="D33" s="131"/>
      <c r="E33" s="96"/>
      <c r="F33" s="96"/>
      <c r="G33" s="132"/>
      <c r="H33" s="133"/>
      <c r="I33" s="134"/>
      <c r="J33" s="97"/>
      <c r="K33" s="62" t="str">
        <f t="shared" si="0"/>
        <v/>
      </c>
      <c r="L33" s="62" t="str">
        <f t="shared" si="1"/>
        <v/>
      </c>
      <c r="M33" s="62" t="str">
        <f t="shared" si="2"/>
        <v/>
      </c>
      <c r="N33" s="63" t="str">
        <f t="shared" si="3"/>
        <v/>
      </c>
      <c r="O33" s="64" t="str">
        <f t="shared" si="15"/>
        <v/>
      </c>
      <c r="P33" s="93" t="str">
        <f t="shared" si="4"/>
        <v/>
      </c>
      <c r="Q33" s="94" t="str">
        <f t="shared" si="5"/>
        <v/>
      </c>
      <c r="R33" s="64" t="str">
        <f t="shared" si="6"/>
        <v/>
      </c>
      <c r="S33" s="93" t="str">
        <f t="shared" si="7"/>
        <v/>
      </c>
      <c r="T33" s="94" t="str">
        <f t="shared" si="8"/>
        <v/>
      </c>
      <c r="U33" s="64" t="str">
        <f t="shared" si="9"/>
        <v/>
      </c>
      <c r="V33" s="65" t="str">
        <f t="shared" si="10"/>
        <v/>
      </c>
      <c r="W33" s="78" t="str">
        <f t="shared" si="11"/>
        <v/>
      </c>
      <c r="X33" s="66" t="str">
        <f t="shared" si="12"/>
        <v/>
      </c>
      <c r="Y33" s="66" t="str">
        <f t="shared" si="13"/>
        <v/>
      </c>
      <c r="Z33" s="67" t="str">
        <f t="shared" si="14"/>
        <v/>
      </c>
    </row>
    <row r="34" spans="1:26" s="5" customFormat="1" ht="17.25" customHeight="1">
      <c r="A34" s="84">
        <v>23</v>
      </c>
      <c r="B34" s="130"/>
      <c r="C34" s="130"/>
      <c r="D34" s="131"/>
      <c r="E34" s="96"/>
      <c r="F34" s="96"/>
      <c r="G34" s="132"/>
      <c r="H34" s="133"/>
      <c r="I34" s="134"/>
      <c r="J34" s="97"/>
      <c r="K34" s="62" t="str">
        <f t="shared" si="0"/>
        <v/>
      </c>
      <c r="L34" s="62" t="str">
        <f t="shared" si="1"/>
        <v/>
      </c>
      <c r="M34" s="62" t="str">
        <f t="shared" si="2"/>
        <v/>
      </c>
      <c r="N34" s="63" t="str">
        <f t="shared" si="3"/>
        <v/>
      </c>
      <c r="O34" s="64" t="str">
        <f t="shared" si="15"/>
        <v/>
      </c>
      <c r="P34" s="93" t="str">
        <f t="shared" si="4"/>
        <v/>
      </c>
      <c r="Q34" s="94" t="str">
        <f t="shared" si="5"/>
        <v/>
      </c>
      <c r="R34" s="64" t="str">
        <f t="shared" si="6"/>
        <v/>
      </c>
      <c r="S34" s="93" t="str">
        <f t="shared" si="7"/>
        <v/>
      </c>
      <c r="T34" s="94" t="str">
        <f t="shared" si="8"/>
        <v/>
      </c>
      <c r="U34" s="64" t="str">
        <f t="shared" si="9"/>
        <v/>
      </c>
      <c r="V34" s="65" t="str">
        <f t="shared" si="10"/>
        <v/>
      </c>
      <c r="W34" s="78" t="str">
        <f t="shared" si="11"/>
        <v/>
      </c>
      <c r="X34" s="66" t="str">
        <f t="shared" si="12"/>
        <v/>
      </c>
      <c r="Y34" s="66" t="str">
        <f t="shared" si="13"/>
        <v/>
      </c>
      <c r="Z34" s="67" t="str">
        <f t="shared" si="14"/>
        <v/>
      </c>
    </row>
    <row r="35" spans="1:26" s="5" customFormat="1" ht="17.25" customHeight="1">
      <c r="A35" s="84">
        <v>24</v>
      </c>
      <c r="B35" s="130"/>
      <c r="C35" s="130"/>
      <c r="D35" s="131"/>
      <c r="E35" s="96"/>
      <c r="F35" s="96"/>
      <c r="G35" s="132"/>
      <c r="H35" s="133"/>
      <c r="I35" s="134"/>
      <c r="J35" s="97"/>
      <c r="K35" s="62" t="str">
        <f t="shared" si="0"/>
        <v/>
      </c>
      <c r="L35" s="62" t="str">
        <f t="shared" si="1"/>
        <v/>
      </c>
      <c r="M35" s="62" t="str">
        <f t="shared" si="2"/>
        <v/>
      </c>
      <c r="N35" s="63" t="str">
        <f t="shared" si="3"/>
        <v/>
      </c>
      <c r="O35" s="64" t="str">
        <f t="shared" si="15"/>
        <v/>
      </c>
      <c r="P35" s="93" t="str">
        <f t="shared" si="4"/>
        <v/>
      </c>
      <c r="Q35" s="94" t="str">
        <f t="shared" si="5"/>
        <v/>
      </c>
      <c r="R35" s="64" t="str">
        <f t="shared" si="6"/>
        <v/>
      </c>
      <c r="S35" s="93" t="str">
        <f t="shared" si="7"/>
        <v/>
      </c>
      <c r="T35" s="94" t="str">
        <f t="shared" si="8"/>
        <v/>
      </c>
      <c r="U35" s="64" t="str">
        <f t="shared" si="9"/>
        <v/>
      </c>
      <c r="V35" s="65" t="str">
        <f t="shared" si="10"/>
        <v/>
      </c>
      <c r="W35" s="78" t="str">
        <f t="shared" si="11"/>
        <v/>
      </c>
      <c r="X35" s="66" t="str">
        <f t="shared" si="12"/>
        <v/>
      </c>
      <c r="Y35" s="66" t="str">
        <f t="shared" si="13"/>
        <v/>
      </c>
      <c r="Z35" s="67" t="str">
        <f t="shared" si="14"/>
        <v/>
      </c>
    </row>
    <row r="36" spans="1:26" s="17" customFormat="1" ht="17.25" customHeight="1" thickBot="1">
      <c r="A36" s="84">
        <v>25</v>
      </c>
      <c r="B36" s="130"/>
      <c r="C36" s="130"/>
      <c r="D36" s="131"/>
      <c r="E36" s="96"/>
      <c r="F36" s="96"/>
      <c r="G36" s="132"/>
      <c r="H36" s="133"/>
      <c r="I36" s="134"/>
      <c r="J36" s="97"/>
      <c r="K36" s="62" t="str">
        <f t="shared" si="0"/>
        <v/>
      </c>
      <c r="L36" s="62" t="str">
        <f t="shared" si="1"/>
        <v/>
      </c>
      <c r="M36" s="62" t="str">
        <f t="shared" si="2"/>
        <v/>
      </c>
      <c r="N36" s="63" t="str">
        <f t="shared" si="3"/>
        <v/>
      </c>
      <c r="O36" s="64" t="str">
        <f t="shared" si="15"/>
        <v/>
      </c>
      <c r="P36" s="93" t="str">
        <f t="shared" si="4"/>
        <v/>
      </c>
      <c r="Q36" s="94" t="str">
        <f t="shared" si="5"/>
        <v/>
      </c>
      <c r="R36" s="64" t="str">
        <f t="shared" si="6"/>
        <v/>
      </c>
      <c r="S36" s="93" t="str">
        <f t="shared" si="7"/>
        <v/>
      </c>
      <c r="T36" s="94" t="str">
        <f t="shared" si="8"/>
        <v/>
      </c>
      <c r="U36" s="64" t="str">
        <f t="shared" si="9"/>
        <v/>
      </c>
      <c r="V36" s="65" t="str">
        <f t="shared" si="10"/>
        <v/>
      </c>
      <c r="W36" s="78" t="str">
        <f t="shared" si="11"/>
        <v/>
      </c>
      <c r="X36" s="66" t="str">
        <f t="shared" si="12"/>
        <v/>
      </c>
      <c r="Y36" s="66" t="str">
        <f t="shared" si="13"/>
        <v/>
      </c>
      <c r="Z36" s="67" t="str">
        <f t="shared" si="14"/>
        <v/>
      </c>
    </row>
    <row r="37" spans="1:26" s="5" customFormat="1" ht="17.25" customHeight="1">
      <c r="A37" s="84">
        <v>26</v>
      </c>
      <c r="B37" s="32"/>
      <c r="C37" s="107"/>
      <c r="D37" s="108"/>
      <c r="E37" s="110"/>
      <c r="F37" s="137"/>
      <c r="G37" s="61"/>
      <c r="H37" s="61"/>
      <c r="I37" s="112"/>
      <c r="J37" s="97"/>
      <c r="K37" s="62" t="str">
        <f t="shared" si="0"/>
        <v/>
      </c>
      <c r="L37" s="62" t="str">
        <f t="shared" si="1"/>
        <v/>
      </c>
      <c r="M37" s="62" t="str">
        <f t="shared" si="2"/>
        <v/>
      </c>
      <c r="N37" s="63" t="str">
        <f t="shared" si="3"/>
        <v/>
      </c>
      <c r="O37" s="64" t="str">
        <f t="shared" si="15"/>
        <v/>
      </c>
      <c r="P37" s="93" t="str">
        <f t="shared" si="4"/>
        <v/>
      </c>
      <c r="Q37" s="94" t="str">
        <f t="shared" si="5"/>
        <v/>
      </c>
      <c r="R37" s="64" t="str">
        <f t="shared" si="6"/>
        <v/>
      </c>
      <c r="S37" s="93" t="str">
        <f t="shared" si="7"/>
        <v/>
      </c>
      <c r="T37" s="94" t="str">
        <f t="shared" si="8"/>
        <v/>
      </c>
      <c r="U37" s="64" t="str">
        <f t="shared" si="9"/>
        <v/>
      </c>
      <c r="V37" s="65" t="str">
        <f t="shared" si="10"/>
        <v/>
      </c>
      <c r="W37" s="78" t="str">
        <f t="shared" si="11"/>
        <v/>
      </c>
      <c r="X37" s="66" t="str">
        <f t="shared" si="12"/>
        <v/>
      </c>
      <c r="Y37" s="66" t="str">
        <f t="shared" si="13"/>
        <v/>
      </c>
      <c r="Z37" s="67" t="str">
        <f t="shared" si="14"/>
        <v/>
      </c>
    </row>
    <row r="38" spans="1:26" s="5" customFormat="1" ht="17.25" customHeight="1">
      <c r="A38" s="84">
        <v>27</v>
      </c>
      <c r="B38" s="32"/>
      <c r="C38" s="107"/>
      <c r="D38" s="108"/>
      <c r="E38" s="109"/>
      <c r="F38" s="137"/>
      <c r="G38" s="61"/>
      <c r="H38" s="61"/>
      <c r="I38" s="112"/>
      <c r="J38" s="97"/>
      <c r="K38" s="62" t="str">
        <f t="shared" si="0"/>
        <v/>
      </c>
      <c r="L38" s="62" t="str">
        <f t="shared" si="1"/>
        <v/>
      </c>
      <c r="M38" s="62" t="str">
        <f t="shared" si="2"/>
        <v/>
      </c>
      <c r="N38" s="63" t="str">
        <f t="shared" si="3"/>
        <v/>
      </c>
      <c r="O38" s="64" t="str">
        <f t="shared" si="15"/>
        <v/>
      </c>
      <c r="P38" s="93" t="str">
        <f t="shared" si="4"/>
        <v/>
      </c>
      <c r="Q38" s="94" t="str">
        <f t="shared" si="5"/>
        <v/>
      </c>
      <c r="R38" s="64" t="str">
        <f t="shared" si="6"/>
        <v/>
      </c>
      <c r="S38" s="93" t="str">
        <f t="shared" si="7"/>
        <v/>
      </c>
      <c r="T38" s="94" t="str">
        <f t="shared" si="8"/>
        <v/>
      </c>
      <c r="U38" s="64" t="str">
        <f t="shared" si="9"/>
        <v/>
      </c>
      <c r="V38" s="65" t="str">
        <f t="shared" si="10"/>
        <v/>
      </c>
      <c r="W38" s="78" t="str">
        <f t="shared" si="11"/>
        <v/>
      </c>
      <c r="X38" s="66" t="str">
        <f t="shared" si="12"/>
        <v/>
      </c>
      <c r="Y38" s="66" t="str">
        <f t="shared" si="13"/>
        <v/>
      </c>
      <c r="Z38" s="67" t="str">
        <f t="shared" si="14"/>
        <v/>
      </c>
    </row>
    <row r="39" spans="1:26" s="5" customFormat="1" ht="17.25" customHeight="1">
      <c r="A39" s="84">
        <v>28</v>
      </c>
      <c r="B39" s="32"/>
      <c r="C39" s="107"/>
      <c r="D39" s="108"/>
      <c r="E39" s="109"/>
      <c r="F39" s="137"/>
      <c r="G39" s="61"/>
      <c r="H39" s="61"/>
      <c r="I39" s="112"/>
      <c r="J39" s="97"/>
      <c r="K39" s="62" t="str">
        <f t="shared" si="0"/>
        <v/>
      </c>
      <c r="L39" s="62" t="str">
        <f t="shared" si="1"/>
        <v/>
      </c>
      <c r="M39" s="62" t="str">
        <f t="shared" si="2"/>
        <v/>
      </c>
      <c r="N39" s="63" t="str">
        <f t="shared" si="3"/>
        <v/>
      </c>
      <c r="O39" s="64" t="str">
        <f t="shared" si="15"/>
        <v/>
      </c>
      <c r="P39" s="93" t="str">
        <f t="shared" si="4"/>
        <v/>
      </c>
      <c r="Q39" s="94" t="str">
        <f t="shared" si="5"/>
        <v/>
      </c>
      <c r="R39" s="64" t="str">
        <f t="shared" si="6"/>
        <v/>
      </c>
      <c r="S39" s="93" t="str">
        <f t="shared" si="7"/>
        <v/>
      </c>
      <c r="T39" s="94" t="str">
        <f t="shared" si="8"/>
        <v/>
      </c>
      <c r="U39" s="64" t="str">
        <f t="shared" si="9"/>
        <v/>
      </c>
      <c r="V39" s="65" t="str">
        <f t="shared" si="10"/>
        <v/>
      </c>
      <c r="W39" s="78" t="str">
        <f t="shared" si="11"/>
        <v/>
      </c>
      <c r="X39" s="66" t="str">
        <f t="shared" si="12"/>
        <v/>
      </c>
      <c r="Y39" s="66" t="str">
        <f t="shared" si="13"/>
        <v/>
      </c>
      <c r="Z39" s="67" t="str">
        <f t="shared" si="14"/>
        <v/>
      </c>
    </row>
    <row r="40" spans="1:26" s="5" customFormat="1" ht="17.25" customHeight="1">
      <c r="A40" s="84">
        <v>29</v>
      </c>
      <c r="B40" s="32"/>
      <c r="C40" s="107"/>
      <c r="D40" s="108"/>
      <c r="E40" s="109"/>
      <c r="F40" s="137"/>
      <c r="G40" s="61"/>
      <c r="H40" s="61"/>
      <c r="I40" s="112"/>
      <c r="J40" s="97"/>
      <c r="K40" s="62" t="str">
        <f t="shared" si="0"/>
        <v/>
      </c>
      <c r="L40" s="62" t="str">
        <f t="shared" si="1"/>
        <v/>
      </c>
      <c r="M40" s="62" t="str">
        <f t="shared" si="2"/>
        <v/>
      </c>
      <c r="N40" s="63" t="str">
        <f t="shared" si="3"/>
        <v/>
      </c>
      <c r="O40" s="64" t="str">
        <f t="shared" si="15"/>
        <v/>
      </c>
      <c r="P40" s="93" t="str">
        <f t="shared" si="4"/>
        <v/>
      </c>
      <c r="Q40" s="94" t="str">
        <f t="shared" si="5"/>
        <v/>
      </c>
      <c r="R40" s="64" t="str">
        <f t="shared" si="6"/>
        <v/>
      </c>
      <c r="S40" s="93" t="str">
        <f t="shared" si="7"/>
        <v/>
      </c>
      <c r="T40" s="94" t="str">
        <f t="shared" si="8"/>
        <v/>
      </c>
      <c r="U40" s="64" t="str">
        <f t="shared" si="9"/>
        <v/>
      </c>
      <c r="V40" s="65" t="str">
        <f t="shared" si="10"/>
        <v/>
      </c>
      <c r="W40" s="78" t="str">
        <f t="shared" si="11"/>
        <v/>
      </c>
      <c r="X40" s="66" t="str">
        <f t="shared" si="12"/>
        <v/>
      </c>
      <c r="Y40" s="66" t="str">
        <f t="shared" si="13"/>
        <v/>
      </c>
      <c r="Z40" s="67" t="str">
        <f t="shared" si="14"/>
        <v/>
      </c>
    </row>
    <row r="41" spans="1:26" s="5" customFormat="1" ht="17.25" customHeight="1">
      <c r="A41" s="84">
        <v>30</v>
      </c>
      <c r="B41" s="32"/>
      <c r="C41" s="107"/>
      <c r="D41" s="108"/>
      <c r="E41" s="109"/>
      <c r="F41" s="137"/>
      <c r="G41" s="61"/>
      <c r="H41" s="61"/>
      <c r="I41" s="112"/>
      <c r="J41" s="97"/>
      <c r="K41" s="62" t="str">
        <f t="shared" si="0"/>
        <v/>
      </c>
      <c r="L41" s="62" t="str">
        <f t="shared" si="1"/>
        <v/>
      </c>
      <c r="M41" s="62" t="str">
        <f t="shared" si="2"/>
        <v/>
      </c>
      <c r="N41" s="63" t="str">
        <f t="shared" si="3"/>
        <v/>
      </c>
      <c r="O41" s="64" t="str">
        <f t="shared" si="15"/>
        <v/>
      </c>
      <c r="P41" s="93" t="str">
        <f t="shared" si="4"/>
        <v/>
      </c>
      <c r="Q41" s="94" t="str">
        <f t="shared" si="5"/>
        <v/>
      </c>
      <c r="R41" s="64" t="str">
        <f t="shared" si="6"/>
        <v/>
      </c>
      <c r="S41" s="93" t="str">
        <f t="shared" si="7"/>
        <v/>
      </c>
      <c r="T41" s="94" t="str">
        <f t="shared" si="8"/>
        <v/>
      </c>
      <c r="U41" s="64" t="str">
        <f t="shared" si="9"/>
        <v/>
      </c>
      <c r="V41" s="65" t="str">
        <f t="shared" si="10"/>
        <v/>
      </c>
      <c r="W41" s="78" t="str">
        <f t="shared" si="11"/>
        <v/>
      </c>
      <c r="X41" s="66" t="str">
        <f t="shared" si="12"/>
        <v/>
      </c>
      <c r="Y41" s="66" t="str">
        <f t="shared" si="13"/>
        <v/>
      </c>
      <c r="Z41" s="67" t="str">
        <f t="shared" si="14"/>
        <v/>
      </c>
    </row>
    <row r="42" spans="1:26" s="5" customFormat="1" ht="17.25" customHeight="1">
      <c r="A42" s="84">
        <v>31</v>
      </c>
      <c r="B42" s="102"/>
      <c r="C42" s="107"/>
      <c r="D42" s="108"/>
      <c r="E42" s="110"/>
      <c r="F42" s="137"/>
      <c r="G42" s="61"/>
      <c r="H42" s="61"/>
      <c r="I42" s="112"/>
      <c r="J42" s="97"/>
      <c r="K42" s="62" t="str">
        <f t="shared" si="0"/>
        <v/>
      </c>
      <c r="L42" s="62" t="str">
        <f t="shared" si="1"/>
        <v/>
      </c>
      <c r="M42" s="62" t="str">
        <f t="shared" si="2"/>
        <v/>
      </c>
      <c r="N42" s="63" t="str">
        <f t="shared" si="3"/>
        <v/>
      </c>
      <c r="O42" s="64" t="str">
        <f t="shared" si="15"/>
        <v/>
      </c>
      <c r="P42" s="93" t="str">
        <f t="shared" si="4"/>
        <v/>
      </c>
      <c r="Q42" s="94" t="str">
        <f t="shared" si="5"/>
        <v/>
      </c>
      <c r="R42" s="64" t="str">
        <f t="shared" si="6"/>
        <v/>
      </c>
      <c r="S42" s="93" t="str">
        <f t="shared" si="7"/>
        <v/>
      </c>
      <c r="T42" s="94" t="str">
        <f t="shared" si="8"/>
        <v/>
      </c>
      <c r="U42" s="64" t="str">
        <f t="shared" si="9"/>
        <v/>
      </c>
      <c r="V42" s="65" t="str">
        <f t="shared" si="10"/>
        <v/>
      </c>
      <c r="W42" s="78" t="str">
        <f t="shared" si="11"/>
        <v/>
      </c>
      <c r="X42" s="66" t="str">
        <f t="shared" si="12"/>
        <v/>
      </c>
      <c r="Y42" s="66" t="str">
        <f t="shared" si="13"/>
        <v/>
      </c>
      <c r="Z42" s="67" t="str">
        <f t="shared" si="14"/>
        <v/>
      </c>
    </row>
    <row r="43" spans="1:26" s="5" customFormat="1" ht="17.25" customHeight="1">
      <c r="A43" s="84">
        <v>32</v>
      </c>
      <c r="B43" s="102"/>
      <c r="C43" s="107"/>
      <c r="D43" s="108"/>
      <c r="E43" s="110"/>
      <c r="F43" s="137"/>
      <c r="G43" s="61"/>
      <c r="H43" s="61"/>
      <c r="I43" s="112"/>
      <c r="J43" s="97"/>
      <c r="K43" s="62" t="str">
        <f t="shared" si="0"/>
        <v/>
      </c>
      <c r="L43" s="62" t="str">
        <f t="shared" si="1"/>
        <v/>
      </c>
      <c r="M43" s="62" t="str">
        <f t="shared" si="2"/>
        <v/>
      </c>
      <c r="N43" s="63" t="str">
        <f t="shared" si="3"/>
        <v/>
      </c>
      <c r="O43" s="64" t="str">
        <f t="shared" si="15"/>
        <v/>
      </c>
      <c r="P43" s="93" t="str">
        <f t="shared" si="4"/>
        <v/>
      </c>
      <c r="Q43" s="94" t="str">
        <f t="shared" si="5"/>
        <v/>
      </c>
      <c r="R43" s="64" t="str">
        <f t="shared" si="6"/>
        <v/>
      </c>
      <c r="S43" s="93" t="str">
        <f t="shared" si="7"/>
        <v/>
      </c>
      <c r="T43" s="94" t="str">
        <f t="shared" si="8"/>
        <v/>
      </c>
      <c r="U43" s="64" t="str">
        <f t="shared" si="9"/>
        <v/>
      </c>
      <c r="V43" s="65" t="str">
        <f t="shared" si="10"/>
        <v/>
      </c>
      <c r="W43" s="78" t="str">
        <f t="shared" si="11"/>
        <v/>
      </c>
      <c r="X43" s="66" t="str">
        <f t="shared" si="12"/>
        <v/>
      </c>
      <c r="Y43" s="66" t="str">
        <f t="shared" si="13"/>
        <v/>
      </c>
      <c r="Z43" s="67" t="str">
        <f t="shared" si="14"/>
        <v/>
      </c>
    </row>
    <row r="44" spans="1:26" s="5" customFormat="1" ht="17.25" customHeight="1">
      <c r="A44" s="84">
        <v>33</v>
      </c>
      <c r="B44" s="102"/>
      <c r="C44" s="107"/>
      <c r="D44" s="108"/>
      <c r="E44" s="110"/>
      <c r="F44" s="137"/>
      <c r="G44" s="61"/>
      <c r="H44" s="61"/>
      <c r="I44" s="112"/>
      <c r="J44" s="97"/>
      <c r="K44" s="62" t="str">
        <f t="shared" ref="K44:K75" si="16">IF($W$11=0,"",IF(D44="","",IF($G44="","",IF($F44="","",IF($G44/$F44&gt;=$K$11,"yes","NC")))))</f>
        <v/>
      </c>
      <c r="L44" s="62" t="str">
        <f t="shared" ref="L44:L75" si="17">IF($X$11=0,"",IF($D44="","",IF($G44="","",IF($H44="","",IF($H44/$F44&gt;=$L$11,"yes","NC")))))</f>
        <v/>
      </c>
      <c r="M44" s="62" t="str">
        <f t="shared" ref="M44:M75" si="18">IF($Y$11=0,"",IF($D44="","",IF($G44="","",IF($I44="","",IF($F44/$I44&lt;=$M$11,"yes","NC")))))</f>
        <v/>
      </c>
      <c r="N44" s="63" t="str">
        <f t="shared" ref="N44:N75" si="19">IF($D44="","",IF($O$8="","",IF(OR($O44&lt;$N$8,$O44&gt;$P$8),"NC","yes")))</f>
        <v/>
      </c>
      <c r="O44" s="64" t="str">
        <f t="shared" si="15"/>
        <v/>
      </c>
      <c r="P44" s="93" t="str">
        <f t="shared" ref="P44:P75" si="20">IF($D44=0,"",IF(N44="yes",($O44/$O$8),IF(OR($O44&lt;$N$8,$O44&gt;$P$8),($O44/$O$8))))</f>
        <v/>
      </c>
      <c r="Q44" s="94" t="str">
        <f t="shared" ref="Q44:Q75" si="21">IF($D44="","",IF($R$8="","",IF(OR($R44&lt;$Q$8,$R44&gt;$S$8),"NC","yes")))</f>
        <v/>
      </c>
      <c r="R44" s="64" t="str">
        <f t="shared" ref="R44:R75" si="22">IF($D44="","",$H44/$F44)</f>
        <v/>
      </c>
      <c r="S44" s="93" t="str">
        <f t="shared" ref="S44:S75" si="23">IF($D44=0,"",IF(Q44="yes",($R44/$R$8),IF(OR($R44&gt;$Q$8,$R44&lt;$S$8),($R44/$R$8))))</f>
        <v/>
      </c>
      <c r="T44" s="94" t="str">
        <f t="shared" ref="T44:T75" si="24">IF($D44="","",IF($U$8="","",IF(OR($U44&lt;$T$8,U44&gt;$V$8),"NC","yes")))</f>
        <v/>
      </c>
      <c r="U44" s="64" t="str">
        <f t="shared" ref="U44:U75" si="25">IF($D44="","",$F44/$I44)</f>
        <v/>
      </c>
      <c r="V44" s="65" t="str">
        <f t="shared" ref="V44:V75" si="26">IF($D44="","",IF(T44="yes",(U44/U$8),IF(OR(U44&lt;$T$8,U44&gt;V$8),(U44/U$8))))</f>
        <v/>
      </c>
      <c r="W44" s="78" t="str">
        <f t="shared" ref="W44:W75" si="27">IF(C44="","",IF($D44="",$F44,""))</f>
        <v/>
      </c>
      <c r="X44" s="66" t="str">
        <f t="shared" ref="X44:X75" si="28">IF($C44="","",IF($D44="",$G44,""))</f>
        <v/>
      </c>
      <c r="Y44" s="66" t="str">
        <f t="shared" ref="Y44:Y75" si="29">IF($C44="","",IF($D44="",$H44,""))</f>
        <v/>
      </c>
      <c r="Z44" s="67" t="str">
        <f t="shared" ref="Z44:Z75" si="30">IF($C44="","",IF($D44="",I44,""))</f>
        <v/>
      </c>
    </row>
    <row r="45" spans="1:26" s="5" customFormat="1" ht="17.25" customHeight="1">
      <c r="A45" s="84">
        <v>34</v>
      </c>
      <c r="B45" s="102"/>
      <c r="C45" s="33"/>
      <c r="D45" s="108"/>
      <c r="E45" s="110"/>
      <c r="F45" s="137"/>
      <c r="G45" s="111"/>
      <c r="H45" s="111"/>
      <c r="I45" s="112"/>
      <c r="J45" s="97"/>
      <c r="K45" s="62" t="str">
        <f t="shared" si="16"/>
        <v/>
      </c>
      <c r="L45" s="62" t="str">
        <f t="shared" si="17"/>
        <v/>
      </c>
      <c r="M45" s="62" t="str">
        <f t="shared" si="18"/>
        <v/>
      </c>
      <c r="N45" s="63" t="str">
        <f t="shared" si="19"/>
        <v/>
      </c>
      <c r="O45" s="64" t="str">
        <f t="shared" ref="O45:O76" si="31">IF($D45="","",G45/$F45)</f>
        <v/>
      </c>
      <c r="P45" s="93" t="str">
        <f t="shared" si="20"/>
        <v/>
      </c>
      <c r="Q45" s="94" t="str">
        <f t="shared" si="21"/>
        <v/>
      </c>
      <c r="R45" s="64" t="str">
        <f t="shared" si="22"/>
        <v/>
      </c>
      <c r="S45" s="93" t="str">
        <f t="shared" si="23"/>
        <v/>
      </c>
      <c r="T45" s="94" t="str">
        <f t="shared" si="24"/>
        <v/>
      </c>
      <c r="U45" s="64" t="str">
        <f t="shared" si="25"/>
        <v/>
      </c>
      <c r="V45" s="65" t="str">
        <f t="shared" si="26"/>
        <v/>
      </c>
      <c r="W45" s="78" t="str">
        <f t="shared" si="27"/>
        <v/>
      </c>
      <c r="X45" s="66" t="str">
        <f t="shared" si="28"/>
        <v/>
      </c>
      <c r="Y45" s="66" t="str">
        <f t="shared" si="29"/>
        <v/>
      </c>
      <c r="Z45" s="67" t="str">
        <f t="shared" si="30"/>
        <v/>
      </c>
    </row>
    <row r="46" spans="1:26" s="5" customFormat="1" ht="17.25" customHeight="1">
      <c r="A46" s="84">
        <v>35</v>
      </c>
      <c r="B46" s="32"/>
      <c r="C46" s="107"/>
      <c r="D46" s="108"/>
      <c r="E46" s="110"/>
      <c r="F46" s="137"/>
      <c r="G46" s="61"/>
      <c r="H46" s="61"/>
      <c r="I46" s="112"/>
      <c r="J46" s="97"/>
      <c r="K46" s="62" t="str">
        <f t="shared" si="16"/>
        <v/>
      </c>
      <c r="L46" s="62" t="str">
        <f t="shared" si="17"/>
        <v/>
      </c>
      <c r="M46" s="62" t="str">
        <f t="shared" si="18"/>
        <v/>
      </c>
      <c r="N46" s="63" t="str">
        <f t="shared" si="19"/>
        <v/>
      </c>
      <c r="O46" s="64" t="str">
        <f t="shared" si="31"/>
        <v/>
      </c>
      <c r="P46" s="93" t="str">
        <f t="shared" si="20"/>
        <v/>
      </c>
      <c r="Q46" s="94" t="str">
        <f t="shared" si="21"/>
        <v/>
      </c>
      <c r="R46" s="64" t="str">
        <f t="shared" si="22"/>
        <v/>
      </c>
      <c r="S46" s="93" t="str">
        <f t="shared" si="23"/>
        <v/>
      </c>
      <c r="T46" s="94" t="str">
        <f t="shared" si="24"/>
        <v/>
      </c>
      <c r="U46" s="64" t="str">
        <f t="shared" si="25"/>
        <v/>
      </c>
      <c r="V46" s="65" t="str">
        <f t="shared" si="26"/>
        <v/>
      </c>
      <c r="W46" s="78" t="str">
        <f t="shared" si="27"/>
        <v/>
      </c>
      <c r="X46" s="66" t="str">
        <f t="shared" si="28"/>
        <v/>
      </c>
      <c r="Y46" s="66" t="str">
        <f t="shared" si="29"/>
        <v/>
      </c>
      <c r="Z46" s="67" t="str">
        <f t="shared" si="30"/>
        <v/>
      </c>
    </row>
    <row r="47" spans="1:26" s="5" customFormat="1" ht="17.25" customHeight="1">
      <c r="A47" s="84">
        <v>36</v>
      </c>
      <c r="B47" s="32"/>
      <c r="C47" s="107"/>
      <c r="D47" s="108"/>
      <c r="E47" s="110"/>
      <c r="F47" s="137"/>
      <c r="G47" s="61"/>
      <c r="H47" s="61"/>
      <c r="I47" s="112"/>
      <c r="J47" s="97"/>
      <c r="K47" s="62" t="str">
        <f t="shared" si="16"/>
        <v/>
      </c>
      <c r="L47" s="62" t="str">
        <f t="shared" si="17"/>
        <v/>
      </c>
      <c r="M47" s="62" t="str">
        <f t="shared" si="18"/>
        <v/>
      </c>
      <c r="N47" s="63" t="str">
        <f t="shared" si="19"/>
        <v/>
      </c>
      <c r="O47" s="64" t="str">
        <f t="shared" si="31"/>
        <v/>
      </c>
      <c r="P47" s="93" t="str">
        <f t="shared" si="20"/>
        <v/>
      </c>
      <c r="Q47" s="94" t="str">
        <f t="shared" si="21"/>
        <v/>
      </c>
      <c r="R47" s="64" t="str">
        <f t="shared" si="22"/>
        <v/>
      </c>
      <c r="S47" s="93" t="str">
        <f t="shared" si="23"/>
        <v/>
      </c>
      <c r="T47" s="94" t="str">
        <f t="shared" si="24"/>
        <v/>
      </c>
      <c r="U47" s="64" t="str">
        <f t="shared" si="25"/>
        <v/>
      </c>
      <c r="V47" s="65" t="str">
        <f t="shared" si="26"/>
        <v/>
      </c>
      <c r="W47" s="78" t="str">
        <f t="shared" si="27"/>
        <v/>
      </c>
      <c r="X47" s="66" t="str">
        <f t="shared" si="28"/>
        <v/>
      </c>
      <c r="Y47" s="66" t="str">
        <f t="shared" si="29"/>
        <v/>
      </c>
      <c r="Z47" s="67" t="str">
        <f t="shared" si="30"/>
        <v/>
      </c>
    </row>
    <row r="48" spans="1:26" s="5" customFormat="1" ht="17.25" customHeight="1">
      <c r="A48" s="84">
        <v>37</v>
      </c>
      <c r="B48" s="32"/>
      <c r="C48" s="107"/>
      <c r="D48" s="108"/>
      <c r="E48" s="110"/>
      <c r="F48" s="137"/>
      <c r="G48" s="61"/>
      <c r="H48" s="61"/>
      <c r="I48" s="112"/>
      <c r="J48" s="97"/>
      <c r="K48" s="62" t="str">
        <f t="shared" si="16"/>
        <v/>
      </c>
      <c r="L48" s="62" t="str">
        <f t="shared" si="17"/>
        <v/>
      </c>
      <c r="M48" s="62" t="str">
        <f t="shared" si="18"/>
        <v/>
      </c>
      <c r="N48" s="63" t="str">
        <f t="shared" si="19"/>
        <v/>
      </c>
      <c r="O48" s="64" t="str">
        <f t="shared" si="31"/>
        <v/>
      </c>
      <c r="P48" s="93" t="str">
        <f t="shared" si="20"/>
        <v/>
      </c>
      <c r="Q48" s="94" t="str">
        <f t="shared" si="21"/>
        <v/>
      </c>
      <c r="R48" s="64" t="str">
        <f t="shared" si="22"/>
        <v/>
      </c>
      <c r="S48" s="93" t="str">
        <f t="shared" si="23"/>
        <v/>
      </c>
      <c r="T48" s="94" t="str">
        <f t="shared" si="24"/>
        <v/>
      </c>
      <c r="U48" s="64" t="str">
        <f t="shared" si="25"/>
        <v/>
      </c>
      <c r="V48" s="65" t="str">
        <f t="shared" si="26"/>
        <v/>
      </c>
      <c r="W48" s="78" t="str">
        <f t="shared" si="27"/>
        <v/>
      </c>
      <c r="X48" s="66" t="str">
        <f t="shared" si="28"/>
        <v/>
      </c>
      <c r="Y48" s="66" t="str">
        <f t="shared" si="29"/>
        <v/>
      </c>
      <c r="Z48" s="67" t="str">
        <f t="shared" si="30"/>
        <v/>
      </c>
    </row>
    <row r="49" spans="1:26" s="5" customFormat="1" ht="17.25" customHeight="1">
      <c r="A49" s="84">
        <v>38</v>
      </c>
      <c r="B49" s="32"/>
      <c r="C49" s="107"/>
      <c r="D49" s="108"/>
      <c r="E49" s="109"/>
      <c r="F49" s="137"/>
      <c r="G49" s="61"/>
      <c r="H49" s="61"/>
      <c r="I49" s="112"/>
      <c r="J49" s="97"/>
      <c r="K49" s="62" t="str">
        <f t="shared" si="16"/>
        <v/>
      </c>
      <c r="L49" s="62" t="str">
        <f t="shared" si="17"/>
        <v/>
      </c>
      <c r="M49" s="62" t="str">
        <f t="shared" si="18"/>
        <v/>
      </c>
      <c r="N49" s="63" t="str">
        <f t="shared" si="19"/>
        <v/>
      </c>
      <c r="O49" s="64" t="str">
        <f t="shared" si="31"/>
        <v/>
      </c>
      <c r="P49" s="93" t="str">
        <f t="shared" si="20"/>
        <v/>
      </c>
      <c r="Q49" s="94" t="str">
        <f t="shared" si="21"/>
        <v/>
      </c>
      <c r="R49" s="64" t="str">
        <f t="shared" si="22"/>
        <v/>
      </c>
      <c r="S49" s="93" t="str">
        <f t="shared" si="23"/>
        <v/>
      </c>
      <c r="T49" s="94" t="str">
        <f t="shared" si="24"/>
        <v/>
      </c>
      <c r="U49" s="64" t="str">
        <f t="shared" si="25"/>
        <v/>
      </c>
      <c r="V49" s="65" t="str">
        <f t="shared" si="26"/>
        <v/>
      </c>
      <c r="W49" s="78" t="str">
        <f t="shared" si="27"/>
        <v/>
      </c>
      <c r="X49" s="66" t="str">
        <f t="shared" si="28"/>
        <v/>
      </c>
      <c r="Y49" s="66" t="str">
        <f t="shared" si="29"/>
        <v/>
      </c>
      <c r="Z49" s="67" t="str">
        <f t="shared" si="30"/>
        <v/>
      </c>
    </row>
    <row r="50" spans="1:26" s="5" customFormat="1" ht="17.25" customHeight="1">
      <c r="A50" s="84">
        <v>39</v>
      </c>
      <c r="B50" s="32"/>
      <c r="C50" s="107"/>
      <c r="D50" s="108"/>
      <c r="E50" s="109"/>
      <c r="F50" s="137"/>
      <c r="G50" s="61"/>
      <c r="H50" s="61"/>
      <c r="I50" s="112"/>
      <c r="J50" s="97"/>
      <c r="K50" s="62" t="str">
        <f t="shared" si="16"/>
        <v/>
      </c>
      <c r="L50" s="62" t="str">
        <f t="shared" si="17"/>
        <v/>
      </c>
      <c r="M50" s="62" t="str">
        <f t="shared" si="18"/>
        <v/>
      </c>
      <c r="N50" s="63" t="str">
        <f t="shared" si="19"/>
        <v/>
      </c>
      <c r="O50" s="64" t="str">
        <f t="shared" si="31"/>
        <v/>
      </c>
      <c r="P50" s="93" t="str">
        <f t="shared" si="20"/>
        <v/>
      </c>
      <c r="Q50" s="94" t="str">
        <f t="shared" si="21"/>
        <v/>
      </c>
      <c r="R50" s="64" t="str">
        <f t="shared" si="22"/>
        <v/>
      </c>
      <c r="S50" s="93" t="str">
        <f t="shared" si="23"/>
        <v/>
      </c>
      <c r="T50" s="94" t="str">
        <f t="shared" si="24"/>
        <v/>
      </c>
      <c r="U50" s="64" t="str">
        <f t="shared" si="25"/>
        <v/>
      </c>
      <c r="V50" s="65" t="str">
        <f t="shared" si="26"/>
        <v/>
      </c>
      <c r="W50" s="78" t="str">
        <f t="shared" si="27"/>
        <v/>
      </c>
      <c r="X50" s="66" t="str">
        <f t="shared" si="28"/>
        <v/>
      </c>
      <c r="Y50" s="66" t="str">
        <f t="shared" si="29"/>
        <v/>
      </c>
      <c r="Z50" s="67" t="str">
        <f t="shared" si="30"/>
        <v/>
      </c>
    </row>
    <row r="51" spans="1:26" s="5" customFormat="1" ht="17.25" customHeight="1">
      <c r="A51" s="84">
        <v>40</v>
      </c>
      <c r="B51" s="32"/>
      <c r="C51" s="107"/>
      <c r="D51" s="108"/>
      <c r="E51" s="109"/>
      <c r="F51" s="137"/>
      <c r="G51" s="61"/>
      <c r="H51" s="61"/>
      <c r="I51" s="112"/>
      <c r="J51" s="97"/>
      <c r="K51" s="62" t="str">
        <f t="shared" si="16"/>
        <v/>
      </c>
      <c r="L51" s="62" t="str">
        <f t="shared" si="17"/>
        <v/>
      </c>
      <c r="M51" s="62" t="str">
        <f t="shared" si="18"/>
        <v/>
      </c>
      <c r="N51" s="63" t="str">
        <f t="shared" si="19"/>
        <v/>
      </c>
      <c r="O51" s="64" t="str">
        <f t="shared" si="31"/>
        <v/>
      </c>
      <c r="P51" s="93" t="str">
        <f t="shared" si="20"/>
        <v/>
      </c>
      <c r="Q51" s="94" t="str">
        <f t="shared" si="21"/>
        <v/>
      </c>
      <c r="R51" s="64" t="str">
        <f t="shared" si="22"/>
        <v/>
      </c>
      <c r="S51" s="93" t="str">
        <f t="shared" si="23"/>
        <v/>
      </c>
      <c r="T51" s="94" t="str">
        <f t="shared" si="24"/>
        <v/>
      </c>
      <c r="U51" s="64" t="str">
        <f t="shared" si="25"/>
        <v/>
      </c>
      <c r="V51" s="65" t="str">
        <f t="shared" si="26"/>
        <v/>
      </c>
      <c r="W51" s="78" t="str">
        <f t="shared" si="27"/>
        <v/>
      </c>
      <c r="X51" s="66" t="str">
        <f t="shared" si="28"/>
        <v/>
      </c>
      <c r="Y51" s="66" t="str">
        <f t="shared" si="29"/>
        <v/>
      </c>
      <c r="Z51" s="67" t="str">
        <f t="shared" si="30"/>
        <v/>
      </c>
    </row>
    <row r="52" spans="1:26" s="5" customFormat="1" ht="17.25" customHeight="1">
      <c r="A52" s="84">
        <v>41</v>
      </c>
      <c r="B52" s="102"/>
      <c r="C52" s="107"/>
      <c r="D52" s="108"/>
      <c r="E52" s="109"/>
      <c r="F52" s="137"/>
      <c r="G52" s="61"/>
      <c r="H52" s="61"/>
      <c r="I52" s="112"/>
      <c r="J52" s="97"/>
      <c r="K52" s="62" t="str">
        <f t="shared" si="16"/>
        <v/>
      </c>
      <c r="L52" s="62" t="str">
        <f t="shared" si="17"/>
        <v/>
      </c>
      <c r="M52" s="62" t="str">
        <f t="shared" si="18"/>
        <v/>
      </c>
      <c r="N52" s="63" t="str">
        <f t="shared" si="19"/>
        <v/>
      </c>
      <c r="O52" s="64" t="str">
        <f t="shared" si="31"/>
        <v/>
      </c>
      <c r="P52" s="93" t="str">
        <f t="shared" si="20"/>
        <v/>
      </c>
      <c r="Q52" s="94" t="str">
        <f t="shared" si="21"/>
        <v/>
      </c>
      <c r="R52" s="64" t="str">
        <f t="shared" si="22"/>
        <v/>
      </c>
      <c r="S52" s="93" t="str">
        <f t="shared" si="23"/>
        <v/>
      </c>
      <c r="T52" s="94" t="str">
        <f t="shared" si="24"/>
        <v/>
      </c>
      <c r="U52" s="64" t="str">
        <f t="shared" si="25"/>
        <v/>
      </c>
      <c r="V52" s="65" t="str">
        <f t="shared" si="26"/>
        <v/>
      </c>
      <c r="W52" s="78" t="str">
        <f t="shared" si="27"/>
        <v/>
      </c>
      <c r="X52" s="66" t="str">
        <f t="shared" si="28"/>
        <v/>
      </c>
      <c r="Y52" s="66" t="str">
        <f t="shared" si="29"/>
        <v/>
      </c>
      <c r="Z52" s="67" t="str">
        <f t="shared" si="30"/>
        <v/>
      </c>
    </row>
    <row r="53" spans="1:26" s="5" customFormat="1" ht="17.25" customHeight="1">
      <c r="A53" s="84">
        <v>42</v>
      </c>
      <c r="B53" s="102"/>
      <c r="C53" s="107"/>
      <c r="D53" s="108"/>
      <c r="E53" s="110"/>
      <c r="F53" s="137"/>
      <c r="G53" s="61"/>
      <c r="H53" s="61"/>
      <c r="I53" s="112"/>
      <c r="J53" s="97"/>
      <c r="K53" s="62" t="str">
        <f t="shared" si="16"/>
        <v/>
      </c>
      <c r="L53" s="62" t="str">
        <f t="shared" si="17"/>
        <v/>
      </c>
      <c r="M53" s="62" t="str">
        <f t="shared" si="18"/>
        <v/>
      </c>
      <c r="N53" s="63" t="str">
        <f t="shared" si="19"/>
        <v/>
      </c>
      <c r="O53" s="64" t="str">
        <f t="shared" si="31"/>
        <v/>
      </c>
      <c r="P53" s="93" t="str">
        <f t="shared" si="20"/>
        <v/>
      </c>
      <c r="Q53" s="94" t="str">
        <f t="shared" si="21"/>
        <v/>
      </c>
      <c r="R53" s="64" t="str">
        <f t="shared" si="22"/>
        <v/>
      </c>
      <c r="S53" s="93" t="str">
        <f t="shared" si="23"/>
        <v/>
      </c>
      <c r="T53" s="94" t="str">
        <f t="shared" si="24"/>
        <v/>
      </c>
      <c r="U53" s="64" t="str">
        <f t="shared" si="25"/>
        <v/>
      </c>
      <c r="V53" s="65" t="str">
        <f t="shared" si="26"/>
        <v/>
      </c>
      <c r="W53" s="78" t="str">
        <f t="shared" si="27"/>
        <v/>
      </c>
      <c r="X53" s="66" t="str">
        <f t="shared" si="28"/>
        <v/>
      </c>
      <c r="Y53" s="66" t="str">
        <f t="shared" si="29"/>
        <v/>
      </c>
      <c r="Z53" s="67" t="str">
        <f t="shared" si="30"/>
        <v/>
      </c>
    </row>
    <row r="54" spans="1:26" s="5" customFormat="1" ht="17.25" customHeight="1">
      <c r="A54" s="84">
        <v>43</v>
      </c>
      <c r="B54" s="102"/>
      <c r="C54" s="107"/>
      <c r="D54" s="108"/>
      <c r="E54" s="110"/>
      <c r="F54" s="137"/>
      <c r="G54" s="61"/>
      <c r="H54" s="61"/>
      <c r="I54" s="112"/>
      <c r="J54" s="97"/>
      <c r="K54" s="62" t="str">
        <f t="shared" si="16"/>
        <v/>
      </c>
      <c r="L54" s="62" t="str">
        <f t="shared" si="17"/>
        <v/>
      </c>
      <c r="M54" s="62" t="str">
        <f t="shared" si="18"/>
        <v/>
      </c>
      <c r="N54" s="63" t="str">
        <f t="shared" si="19"/>
        <v/>
      </c>
      <c r="O54" s="64" t="str">
        <f t="shared" si="31"/>
        <v/>
      </c>
      <c r="P54" s="93" t="str">
        <f t="shared" si="20"/>
        <v/>
      </c>
      <c r="Q54" s="94" t="str">
        <f t="shared" si="21"/>
        <v/>
      </c>
      <c r="R54" s="64" t="str">
        <f t="shared" si="22"/>
        <v/>
      </c>
      <c r="S54" s="93" t="str">
        <f t="shared" si="23"/>
        <v/>
      </c>
      <c r="T54" s="94" t="str">
        <f t="shared" si="24"/>
        <v/>
      </c>
      <c r="U54" s="64" t="str">
        <f t="shared" si="25"/>
        <v/>
      </c>
      <c r="V54" s="65" t="str">
        <f t="shared" si="26"/>
        <v/>
      </c>
      <c r="W54" s="78" t="str">
        <f t="shared" si="27"/>
        <v/>
      </c>
      <c r="X54" s="66" t="str">
        <f t="shared" si="28"/>
        <v/>
      </c>
      <c r="Y54" s="66" t="str">
        <f t="shared" si="29"/>
        <v/>
      </c>
      <c r="Z54" s="67" t="str">
        <f t="shared" si="30"/>
        <v/>
      </c>
    </row>
    <row r="55" spans="1:26" s="5" customFormat="1" ht="17.25" customHeight="1">
      <c r="A55" s="84">
        <v>44</v>
      </c>
      <c r="B55" s="32"/>
      <c r="C55" s="107"/>
      <c r="D55" s="108"/>
      <c r="E55" s="110"/>
      <c r="F55" s="137"/>
      <c r="G55" s="61"/>
      <c r="H55" s="61"/>
      <c r="I55" s="112"/>
      <c r="J55" s="97"/>
      <c r="K55" s="62" t="str">
        <f t="shared" si="16"/>
        <v/>
      </c>
      <c r="L55" s="62" t="str">
        <f t="shared" si="17"/>
        <v/>
      </c>
      <c r="M55" s="62" t="str">
        <f t="shared" si="18"/>
        <v/>
      </c>
      <c r="N55" s="63" t="str">
        <f t="shared" si="19"/>
        <v/>
      </c>
      <c r="O55" s="64" t="str">
        <f t="shared" si="31"/>
        <v/>
      </c>
      <c r="P55" s="93" t="str">
        <f t="shared" si="20"/>
        <v/>
      </c>
      <c r="Q55" s="94" t="str">
        <f t="shared" si="21"/>
        <v/>
      </c>
      <c r="R55" s="64" t="str">
        <f t="shared" si="22"/>
        <v/>
      </c>
      <c r="S55" s="93" t="str">
        <f t="shared" si="23"/>
        <v/>
      </c>
      <c r="T55" s="94" t="str">
        <f t="shared" si="24"/>
        <v/>
      </c>
      <c r="U55" s="64" t="str">
        <f t="shared" si="25"/>
        <v/>
      </c>
      <c r="V55" s="65" t="str">
        <f t="shared" si="26"/>
        <v/>
      </c>
      <c r="W55" s="78" t="str">
        <f t="shared" si="27"/>
        <v/>
      </c>
      <c r="X55" s="66" t="str">
        <f t="shared" si="28"/>
        <v/>
      </c>
      <c r="Y55" s="66" t="str">
        <f t="shared" si="29"/>
        <v/>
      </c>
      <c r="Z55" s="67" t="str">
        <f t="shared" si="30"/>
        <v/>
      </c>
    </row>
    <row r="56" spans="1:26" s="5" customFormat="1" ht="17.25" customHeight="1">
      <c r="A56" s="84">
        <v>45</v>
      </c>
      <c r="B56" s="32"/>
      <c r="C56" s="33"/>
      <c r="D56" s="108"/>
      <c r="E56" s="110"/>
      <c r="F56" s="137"/>
      <c r="G56" s="111"/>
      <c r="H56" s="111"/>
      <c r="I56" s="112"/>
      <c r="J56" s="97"/>
      <c r="K56" s="62" t="str">
        <f t="shared" si="16"/>
        <v/>
      </c>
      <c r="L56" s="62" t="str">
        <f t="shared" si="17"/>
        <v/>
      </c>
      <c r="M56" s="62" t="str">
        <f t="shared" si="18"/>
        <v/>
      </c>
      <c r="N56" s="63" t="str">
        <f t="shared" si="19"/>
        <v/>
      </c>
      <c r="O56" s="64" t="str">
        <f t="shared" si="31"/>
        <v/>
      </c>
      <c r="P56" s="93" t="str">
        <f t="shared" si="20"/>
        <v/>
      </c>
      <c r="Q56" s="94" t="str">
        <f t="shared" si="21"/>
        <v/>
      </c>
      <c r="R56" s="64" t="str">
        <f t="shared" si="22"/>
        <v/>
      </c>
      <c r="S56" s="93" t="str">
        <f t="shared" si="23"/>
        <v/>
      </c>
      <c r="T56" s="94" t="str">
        <f t="shared" si="24"/>
        <v/>
      </c>
      <c r="U56" s="64" t="str">
        <f t="shared" si="25"/>
        <v/>
      </c>
      <c r="V56" s="65" t="str">
        <f t="shared" si="26"/>
        <v/>
      </c>
      <c r="W56" s="78" t="str">
        <f t="shared" si="27"/>
        <v/>
      </c>
      <c r="X56" s="66" t="str">
        <f t="shared" si="28"/>
        <v/>
      </c>
      <c r="Y56" s="66" t="str">
        <f t="shared" si="29"/>
        <v/>
      </c>
      <c r="Z56" s="67" t="str">
        <f t="shared" si="30"/>
        <v/>
      </c>
    </row>
    <row r="57" spans="1:26" s="5" customFormat="1" ht="17.25" customHeight="1">
      <c r="A57" s="84">
        <v>46</v>
      </c>
      <c r="B57" s="32"/>
      <c r="C57" s="107"/>
      <c r="D57" s="108"/>
      <c r="E57" s="110"/>
      <c r="F57" s="137"/>
      <c r="G57" s="61"/>
      <c r="H57" s="61"/>
      <c r="I57" s="112"/>
      <c r="J57" s="97"/>
      <c r="K57" s="62" t="str">
        <f t="shared" si="16"/>
        <v/>
      </c>
      <c r="L57" s="62" t="str">
        <f t="shared" si="17"/>
        <v/>
      </c>
      <c r="M57" s="62" t="str">
        <f t="shared" si="18"/>
        <v/>
      </c>
      <c r="N57" s="63" t="str">
        <f t="shared" si="19"/>
        <v/>
      </c>
      <c r="O57" s="64" t="str">
        <f t="shared" si="31"/>
        <v/>
      </c>
      <c r="P57" s="93" t="str">
        <f t="shared" si="20"/>
        <v/>
      </c>
      <c r="Q57" s="94" t="str">
        <f t="shared" si="21"/>
        <v/>
      </c>
      <c r="R57" s="64" t="str">
        <f t="shared" si="22"/>
        <v/>
      </c>
      <c r="S57" s="93" t="str">
        <f t="shared" si="23"/>
        <v/>
      </c>
      <c r="T57" s="94" t="str">
        <f t="shared" si="24"/>
        <v/>
      </c>
      <c r="U57" s="64" t="str">
        <f t="shared" si="25"/>
        <v/>
      </c>
      <c r="V57" s="65" t="str">
        <f t="shared" si="26"/>
        <v/>
      </c>
      <c r="W57" s="78" t="str">
        <f t="shared" si="27"/>
        <v/>
      </c>
      <c r="X57" s="66" t="str">
        <f t="shared" si="28"/>
        <v/>
      </c>
      <c r="Y57" s="66" t="str">
        <f t="shared" si="29"/>
        <v/>
      </c>
      <c r="Z57" s="67" t="str">
        <f t="shared" si="30"/>
        <v/>
      </c>
    </row>
    <row r="58" spans="1:26" s="5" customFormat="1" ht="17.25" customHeight="1">
      <c r="A58" s="84">
        <v>47</v>
      </c>
      <c r="B58" s="102"/>
      <c r="C58" s="107"/>
      <c r="D58" s="108"/>
      <c r="E58" s="110"/>
      <c r="F58" s="137"/>
      <c r="G58" s="61"/>
      <c r="H58" s="61"/>
      <c r="I58" s="112"/>
      <c r="J58" s="97"/>
      <c r="K58" s="62" t="str">
        <f t="shared" si="16"/>
        <v/>
      </c>
      <c r="L58" s="62" t="str">
        <f t="shared" si="17"/>
        <v/>
      </c>
      <c r="M58" s="62" t="str">
        <f t="shared" si="18"/>
        <v/>
      </c>
      <c r="N58" s="63" t="str">
        <f t="shared" si="19"/>
        <v/>
      </c>
      <c r="O58" s="64" t="str">
        <f t="shared" si="31"/>
        <v/>
      </c>
      <c r="P58" s="93" t="str">
        <f t="shared" si="20"/>
        <v/>
      </c>
      <c r="Q58" s="94" t="str">
        <f t="shared" si="21"/>
        <v/>
      </c>
      <c r="R58" s="64" t="str">
        <f t="shared" si="22"/>
        <v/>
      </c>
      <c r="S58" s="93" t="str">
        <f t="shared" si="23"/>
        <v/>
      </c>
      <c r="T58" s="94" t="str">
        <f t="shared" si="24"/>
        <v/>
      </c>
      <c r="U58" s="64" t="str">
        <f t="shared" si="25"/>
        <v/>
      </c>
      <c r="V58" s="65" t="str">
        <f t="shared" si="26"/>
        <v/>
      </c>
      <c r="W58" s="78" t="str">
        <f t="shared" si="27"/>
        <v/>
      </c>
      <c r="X58" s="66" t="str">
        <f t="shared" si="28"/>
        <v/>
      </c>
      <c r="Y58" s="66" t="str">
        <f t="shared" si="29"/>
        <v/>
      </c>
      <c r="Z58" s="67" t="str">
        <f t="shared" si="30"/>
        <v/>
      </c>
    </row>
    <row r="59" spans="1:26" s="5" customFormat="1" ht="17.25" customHeight="1">
      <c r="A59" s="84">
        <v>48</v>
      </c>
      <c r="B59" s="102"/>
      <c r="C59" s="107"/>
      <c r="D59" s="108"/>
      <c r="E59" s="110"/>
      <c r="F59" s="137"/>
      <c r="G59" s="61"/>
      <c r="H59" s="61"/>
      <c r="I59" s="112"/>
      <c r="J59" s="97"/>
      <c r="K59" s="62" t="str">
        <f t="shared" si="16"/>
        <v/>
      </c>
      <c r="L59" s="62" t="str">
        <f t="shared" si="17"/>
        <v/>
      </c>
      <c r="M59" s="62" t="str">
        <f t="shared" si="18"/>
        <v/>
      </c>
      <c r="N59" s="63" t="str">
        <f t="shared" si="19"/>
        <v/>
      </c>
      <c r="O59" s="64" t="str">
        <f t="shared" si="31"/>
        <v/>
      </c>
      <c r="P59" s="93" t="str">
        <f t="shared" si="20"/>
        <v/>
      </c>
      <c r="Q59" s="94" t="str">
        <f t="shared" si="21"/>
        <v/>
      </c>
      <c r="R59" s="64" t="str">
        <f t="shared" si="22"/>
        <v/>
      </c>
      <c r="S59" s="93" t="str">
        <f t="shared" si="23"/>
        <v/>
      </c>
      <c r="T59" s="94" t="str">
        <f t="shared" si="24"/>
        <v/>
      </c>
      <c r="U59" s="64" t="str">
        <f t="shared" si="25"/>
        <v/>
      </c>
      <c r="V59" s="65" t="str">
        <f t="shared" si="26"/>
        <v/>
      </c>
      <c r="W59" s="78" t="str">
        <f t="shared" si="27"/>
        <v/>
      </c>
      <c r="X59" s="66" t="str">
        <f t="shared" si="28"/>
        <v/>
      </c>
      <c r="Y59" s="66" t="str">
        <f t="shared" si="29"/>
        <v/>
      </c>
      <c r="Z59" s="67" t="str">
        <f t="shared" si="30"/>
        <v/>
      </c>
    </row>
    <row r="60" spans="1:26" s="5" customFormat="1" ht="17.25" customHeight="1">
      <c r="A60" s="84">
        <v>49</v>
      </c>
      <c r="B60" s="102"/>
      <c r="C60" s="107"/>
      <c r="D60" s="108"/>
      <c r="E60" s="109"/>
      <c r="F60" s="137"/>
      <c r="G60" s="61"/>
      <c r="H60" s="61"/>
      <c r="I60" s="112"/>
      <c r="J60" s="97"/>
      <c r="K60" s="62" t="str">
        <f t="shared" si="16"/>
        <v/>
      </c>
      <c r="L60" s="62" t="str">
        <f t="shared" si="17"/>
        <v/>
      </c>
      <c r="M60" s="62" t="str">
        <f t="shared" si="18"/>
        <v/>
      </c>
      <c r="N60" s="63" t="str">
        <f t="shared" si="19"/>
        <v/>
      </c>
      <c r="O60" s="64" t="str">
        <f t="shared" si="31"/>
        <v/>
      </c>
      <c r="P60" s="93" t="str">
        <f t="shared" si="20"/>
        <v/>
      </c>
      <c r="Q60" s="94" t="str">
        <f t="shared" si="21"/>
        <v/>
      </c>
      <c r="R60" s="64" t="str">
        <f t="shared" si="22"/>
        <v/>
      </c>
      <c r="S60" s="93" t="str">
        <f t="shared" si="23"/>
        <v/>
      </c>
      <c r="T60" s="94" t="str">
        <f t="shared" si="24"/>
        <v/>
      </c>
      <c r="U60" s="64" t="str">
        <f t="shared" si="25"/>
        <v/>
      </c>
      <c r="V60" s="65" t="str">
        <f t="shared" si="26"/>
        <v/>
      </c>
      <c r="W60" s="78" t="str">
        <f t="shared" si="27"/>
        <v/>
      </c>
      <c r="X60" s="66" t="str">
        <f t="shared" si="28"/>
        <v/>
      </c>
      <c r="Y60" s="66" t="str">
        <f t="shared" si="29"/>
        <v/>
      </c>
      <c r="Z60" s="67" t="str">
        <f t="shared" si="30"/>
        <v/>
      </c>
    </row>
    <row r="61" spans="1:26" s="5" customFormat="1" ht="17.25" customHeight="1">
      <c r="A61" s="84">
        <v>50</v>
      </c>
      <c r="B61" s="102"/>
      <c r="C61" s="107"/>
      <c r="D61" s="108"/>
      <c r="E61" s="109"/>
      <c r="F61" s="137"/>
      <c r="G61" s="61"/>
      <c r="H61" s="61"/>
      <c r="I61" s="112"/>
      <c r="J61" s="97"/>
      <c r="K61" s="62" t="str">
        <f t="shared" si="16"/>
        <v/>
      </c>
      <c r="L61" s="62" t="str">
        <f t="shared" si="17"/>
        <v/>
      </c>
      <c r="M61" s="62" t="str">
        <f t="shared" si="18"/>
        <v/>
      </c>
      <c r="N61" s="63" t="str">
        <f t="shared" si="19"/>
        <v/>
      </c>
      <c r="O61" s="64" t="str">
        <f t="shared" si="31"/>
        <v/>
      </c>
      <c r="P61" s="93" t="str">
        <f t="shared" si="20"/>
        <v/>
      </c>
      <c r="Q61" s="94" t="str">
        <f t="shared" si="21"/>
        <v/>
      </c>
      <c r="R61" s="64" t="str">
        <f t="shared" si="22"/>
        <v/>
      </c>
      <c r="S61" s="93" t="str">
        <f t="shared" si="23"/>
        <v/>
      </c>
      <c r="T61" s="94" t="str">
        <f t="shared" si="24"/>
        <v/>
      </c>
      <c r="U61" s="64" t="str">
        <f t="shared" si="25"/>
        <v/>
      </c>
      <c r="V61" s="65" t="str">
        <f t="shared" si="26"/>
        <v/>
      </c>
      <c r="W61" s="78" t="str">
        <f t="shared" si="27"/>
        <v/>
      </c>
      <c r="X61" s="66" t="str">
        <f t="shared" si="28"/>
        <v/>
      </c>
      <c r="Y61" s="66" t="str">
        <f t="shared" si="29"/>
        <v/>
      </c>
      <c r="Z61" s="67" t="str">
        <f t="shared" si="30"/>
        <v/>
      </c>
    </row>
    <row r="62" spans="1:26" s="5" customFormat="1" ht="17.25" customHeight="1">
      <c r="A62" s="84">
        <v>51</v>
      </c>
      <c r="B62" s="32"/>
      <c r="C62" s="33"/>
      <c r="D62" s="34"/>
      <c r="E62" s="35"/>
      <c r="F62" s="32"/>
      <c r="G62" s="111"/>
      <c r="H62" s="111"/>
      <c r="I62" s="112"/>
      <c r="J62" s="97"/>
      <c r="K62" s="62" t="str">
        <f t="shared" si="16"/>
        <v/>
      </c>
      <c r="L62" s="62" t="str">
        <f t="shared" si="17"/>
        <v/>
      </c>
      <c r="M62" s="62" t="str">
        <f t="shared" si="18"/>
        <v/>
      </c>
      <c r="N62" s="63" t="str">
        <f t="shared" si="19"/>
        <v/>
      </c>
      <c r="O62" s="64" t="str">
        <f t="shared" si="31"/>
        <v/>
      </c>
      <c r="P62" s="93" t="str">
        <f t="shared" si="20"/>
        <v/>
      </c>
      <c r="Q62" s="94" t="str">
        <f t="shared" si="21"/>
        <v/>
      </c>
      <c r="R62" s="64" t="str">
        <f t="shared" si="22"/>
        <v/>
      </c>
      <c r="S62" s="93" t="str">
        <f t="shared" si="23"/>
        <v/>
      </c>
      <c r="T62" s="94" t="str">
        <f t="shared" si="24"/>
        <v/>
      </c>
      <c r="U62" s="64" t="str">
        <f t="shared" si="25"/>
        <v/>
      </c>
      <c r="V62" s="65" t="str">
        <f t="shared" si="26"/>
        <v/>
      </c>
      <c r="W62" s="78" t="str">
        <f t="shared" si="27"/>
        <v/>
      </c>
      <c r="X62" s="66" t="str">
        <f t="shared" si="28"/>
        <v/>
      </c>
      <c r="Y62" s="66" t="str">
        <f t="shared" si="29"/>
        <v/>
      </c>
      <c r="Z62" s="67" t="str">
        <f t="shared" si="30"/>
        <v/>
      </c>
    </row>
    <row r="63" spans="1:26" s="5" customFormat="1" ht="17.25" customHeight="1">
      <c r="A63" s="84">
        <v>52</v>
      </c>
      <c r="B63" s="32"/>
      <c r="C63" s="33"/>
      <c r="D63" s="34"/>
      <c r="E63" s="35"/>
      <c r="F63" s="32"/>
      <c r="G63" s="111"/>
      <c r="H63" s="111"/>
      <c r="I63" s="112"/>
      <c r="J63" s="97"/>
      <c r="K63" s="62" t="str">
        <f t="shared" si="16"/>
        <v/>
      </c>
      <c r="L63" s="62" t="str">
        <f t="shared" si="17"/>
        <v/>
      </c>
      <c r="M63" s="62" t="str">
        <f t="shared" si="18"/>
        <v/>
      </c>
      <c r="N63" s="63" t="str">
        <f t="shared" si="19"/>
        <v/>
      </c>
      <c r="O63" s="64" t="str">
        <f t="shared" si="31"/>
        <v/>
      </c>
      <c r="P63" s="93" t="str">
        <f t="shared" si="20"/>
        <v/>
      </c>
      <c r="Q63" s="94" t="str">
        <f t="shared" si="21"/>
        <v/>
      </c>
      <c r="R63" s="64" t="str">
        <f t="shared" si="22"/>
        <v/>
      </c>
      <c r="S63" s="93" t="str">
        <f t="shared" si="23"/>
        <v/>
      </c>
      <c r="T63" s="94" t="str">
        <f t="shared" si="24"/>
        <v/>
      </c>
      <c r="U63" s="64" t="str">
        <f t="shared" si="25"/>
        <v/>
      </c>
      <c r="V63" s="65" t="str">
        <f t="shared" si="26"/>
        <v/>
      </c>
      <c r="W63" s="78" t="str">
        <f t="shared" si="27"/>
        <v/>
      </c>
      <c r="X63" s="66" t="str">
        <f t="shared" si="28"/>
        <v/>
      </c>
      <c r="Y63" s="66" t="str">
        <f t="shared" si="29"/>
        <v/>
      </c>
      <c r="Z63" s="67" t="str">
        <f t="shared" si="30"/>
        <v/>
      </c>
    </row>
    <row r="64" spans="1:26" s="5" customFormat="1" ht="17.25" customHeight="1">
      <c r="A64" s="84">
        <v>53</v>
      </c>
      <c r="B64" s="32"/>
      <c r="C64" s="33"/>
      <c r="D64" s="34"/>
      <c r="E64" s="35"/>
      <c r="F64" s="32"/>
      <c r="G64" s="111"/>
      <c r="H64" s="111"/>
      <c r="I64" s="112"/>
      <c r="J64" s="97"/>
      <c r="K64" s="62" t="str">
        <f t="shared" si="16"/>
        <v/>
      </c>
      <c r="L64" s="62" t="str">
        <f t="shared" si="17"/>
        <v/>
      </c>
      <c r="M64" s="62" t="str">
        <f t="shared" si="18"/>
        <v/>
      </c>
      <c r="N64" s="63" t="str">
        <f t="shared" si="19"/>
        <v/>
      </c>
      <c r="O64" s="64" t="str">
        <f t="shared" si="31"/>
        <v/>
      </c>
      <c r="P64" s="93" t="str">
        <f t="shared" si="20"/>
        <v/>
      </c>
      <c r="Q64" s="94" t="str">
        <f t="shared" si="21"/>
        <v/>
      </c>
      <c r="R64" s="64" t="str">
        <f t="shared" si="22"/>
        <v/>
      </c>
      <c r="S64" s="93" t="str">
        <f t="shared" si="23"/>
        <v/>
      </c>
      <c r="T64" s="94" t="str">
        <f t="shared" si="24"/>
        <v/>
      </c>
      <c r="U64" s="64" t="str">
        <f t="shared" si="25"/>
        <v/>
      </c>
      <c r="V64" s="65" t="str">
        <f t="shared" si="26"/>
        <v/>
      </c>
      <c r="W64" s="78" t="str">
        <f t="shared" si="27"/>
        <v/>
      </c>
      <c r="X64" s="66" t="str">
        <f t="shared" si="28"/>
        <v/>
      </c>
      <c r="Y64" s="66" t="str">
        <f t="shared" si="29"/>
        <v/>
      </c>
      <c r="Z64" s="67" t="str">
        <f t="shared" si="30"/>
        <v/>
      </c>
    </row>
    <row r="65" spans="1:26" s="5" customFormat="1" ht="17.25" customHeight="1">
      <c r="A65" s="84">
        <v>54</v>
      </c>
      <c r="B65" s="32"/>
      <c r="C65" s="33"/>
      <c r="D65" s="34"/>
      <c r="E65" s="35"/>
      <c r="F65" s="32"/>
      <c r="G65" s="111"/>
      <c r="H65" s="111"/>
      <c r="I65" s="112"/>
      <c r="J65" s="97"/>
      <c r="K65" s="62" t="str">
        <f t="shared" si="16"/>
        <v/>
      </c>
      <c r="L65" s="62" t="str">
        <f t="shared" si="17"/>
        <v/>
      </c>
      <c r="M65" s="62" t="str">
        <f t="shared" si="18"/>
        <v/>
      </c>
      <c r="N65" s="63" t="str">
        <f t="shared" si="19"/>
        <v/>
      </c>
      <c r="O65" s="64" t="str">
        <f t="shared" si="31"/>
        <v/>
      </c>
      <c r="P65" s="93" t="str">
        <f t="shared" si="20"/>
        <v/>
      </c>
      <c r="Q65" s="94" t="str">
        <f t="shared" si="21"/>
        <v/>
      </c>
      <c r="R65" s="64" t="str">
        <f t="shared" si="22"/>
        <v/>
      </c>
      <c r="S65" s="93" t="str">
        <f t="shared" si="23"/>
        <v/>
      </c>
      <c r="T65" s="94" t="str">
        <f t="shared" si="24"/>
        <v/>
      </c>
      <c r="U65" s="64" t="str">
        <f t="shared" si="25"/>
        <v/>
      </c>
      <c r="V65" s="65" t="str">
        <f t="shared" si="26"/>
        <v/>
      </c>
      <c r="W65" s="78" t="str">
        <f t="shared" si="27"/>
        <v/>
      </c>
      <c r="X65" s="66" t="str">
        <f t="shared" si="28"/>
        <v/>
      </c>
      <c r="Y65" s="66" t="str">
        <f t="shared" si="29"/>
        <v/>
      </c>
      <c r="Z65" s="67" t="str">
        <f t="shared" si="30"/>
        <v/>
      </c>
    </row>
    <row r="66" spans="1:26" s="5" customFormat="1" ht="17.25" customHeight="1">
      <c r="A66" s="84">
        <v>55</v>
      </c>
      <c r="B66" s="32"/>
      <c r="C66" s="33"/>
      <c r="D66" s="34"/>
      <c r="E66" s="35"/>
      <c r="F66" s="32"/>
      <c r="G66" s="111"/>
      <c r="H66" s="111"/>
      <c r="I66" s="112"/>
      <c r="J66" s="97"/>
      <c r="K66" s="62" t="str">
        <f t="shared" si="16"/>
        <v/>
      </c>
      <c r="L66" s="62" t="str">
        <f t="shared" si="17"/>
        <v/>
      </c>
      <c r="M66" s="62" t="str">
        <f t="shared" si="18"/>
        <v/>
      </c>
      <c r="N66" s="63" t="str">
        <f t="shared" si="19"/>
        <v/>
      </c>
      <c r="O66" s="64" t="str">
        <f t="shared" si="31"/>
        <v/>
      </c>
      <c r="P66" s="93" t="str">
        <f t="shared" si="20"/>
        <v/>
      </c>
      <c r="Q66" s="94" t="str">
        <f t="shared" si="21"/>
        <v/>
      </c>
      <c r="R66" s="64" t="str">
        <f t="shared" si="22"/>
        <v/>
      </c>
      <c r="S66" s="93" t="str">
        <f t="shared" si="23"/>
        <v/>
      </c>
      <c r="T66" s="94" t="str">
        <f t="shared" si="24"/>
        <v/>
      </c>
      <c r="U66" s="64" t="str">
        <f t="shared" si="25"/>
        <v/>
      </c>
      <c r="V66" s="65" t="str">
        <f t="shared" si="26"/>
        <v/>
      </c>
      <c r="W66" s="78" t="str">
        <f t="shared" si="27"/>
        <v/>
      </c>
      <c r="X66" s="66" t="str">
        <f t="shared" si="28"/>
        <v/>
      </c>
      <c r="Y66" s="66" t="str">
        <f t="shared" si="29"/>
        <v/>
      </c>
      <c r="Z66" s="67" t="str">
        <f t="shared" si="30"/>
        <v/>
      </c>
    </row>
    <row r="67" spans="1:26" s="5" customFormat="1" ht="17.25" customHeight="1">
      <c r="A67" s="84">
        <v>56</v>
      </c>
      <c r="B67" s="32"/>
      <c r="C67" s="33"/>
      <c r="D67" s="34"/>
      <c r="E67" s="35"/>
      <c r="F67" s="32"/>
      <c r="G67" s="111"/>
      <c r="H67" s="111"/>
      <c r="I67" s="112"/>
      <c r="J67" s="97"/>
      <c r="K67" s="62" t="str">
        <f t="shared" si="16"/>
        <v/>
      </c>
      <c r="L67" s="62" t="str">
        <f t="shared" si="17"/>
        <v/>
      </c>
      <c r="M67" s="62" t="str">
        <f t="shared" si="18"/>
        <v/>
      </c>
      <c r="N67" s="63" t="str">
        <f t="shared" si="19"/>
        <v/>
      </c>
      <c r="O67" s="64" t="str">
        <f t="shared" si="31"/>
        <v/>
      </c>
      <c r="P67" s="93" t="str">
        <f t="shared" si="20"/>
        <v/>
      </c>
      <c r="Q67" s="94" t="str">
        <f t="shared" si="21"/>
        <v/>
      </c>
      <c r="R67" s="64" t="str">
        <f t="shared" si="22"/>
        <v/>
      </c>
      <c r="S67" s="93" t="str">
        <f t="shared" si="23"/>
        <v/>
      </c>
      <c r="T67" s="94" t="str">
        <f t="shared" si="24"/>
        <v/>
      </c>
      <c r="U67" s="64" t="str">
        <f t="shared" si="25"/>
        <v/>
      </c>
      <c r="V67" s="65" t="str">
        <f t="shared" si="26"/>
        <v/>
      </c>
      <c r="W67" s="78" t="str">
        <f t="shared" si="27"/>
        <v/>
      </c>
      <c r="X67" s="66" t="str">
        <f t="shared" si="28"/>
        <v/>
      </c>
      <c r="Y67" s="66" t="str">
        <f t="shared" si="29"/>
        <v/>
      </c>
      <c r="Z67" s="67" t="str">
        <f t="shared" si="30"/>
        <v/>
      </c>
    </row>
    <row r="68" spans="1:26" s="5" customFormat="1" ht="17.25" customHeight="1">
      <c r="A68" s="84">
        <v>57</v>
      </c>
      <c r="B68" s="32"/>
      <c r="C68" s="33"/>
      <c r="D68" s="34"/>
      <c r="E68" s="35"/>
      <c r="F68" s="32"/>
      <c r="G68" s="111"/>
      <c r="H68" s="111"/>
      <c r="I68" s="112"/>
      <c r="J68" s="97"/>
      <c r="K68" s="62" t="str">
        <f t="shared" si="16"/>
        <v/>
      </c>
      <c r="L68" s="62" t="str">
        <f t="shared" si="17"/>
        <v/>
      </c>
      <c r="M68" s="62" t="str">
        <f t="shared" si="18"/>
        <v/>
      </c>
      <c r="N68" s="63" t="str">
        <f t="shared" si="19"/>
        <v/>
      </c>
      <c r="O68" s="64" t="str">
        <f t="shared" si="31"/>
        <v/>
      </c>
      <c r="P68" s="93" t="str">
        <f t="shared" si="20"/>
        <v/>
      </c>
      <c r="Q68" s="94" t="str">
        <f t="shared" si="21"/>
        <v/>
      </c>
      <c r="R68" s="64" t="str">
        <f t="shared" si="22"/>
        <v/>
      </c>
      <c r="S68" s="93" t="str">
        <f t="shared" si="23"/>
        <v/>
      </c>
      <c r="T68" s="94" t="str">
        <f t="shared" si="24"/>
        <v/>
      </c>
      <c r="U68" s="64" t="str">
        <f t="shared" si="25"/>
        <v/>
      </c>
      <c r="V68" s="65" t="str">
        <f t="shared" si="26"/>
        <v/>
      </c>
      <c r="W68" s="78" t="str">
        <f t="shared" si="27"/>
        <v/>
      </c>
      <c r="X68" s="66" t="str">
        <f t="shared" si="28"/>
        <v/>
      </c>
      <c r="Y68" s="66" t="str">
        <f t="shared" si="29"/>
        <v/>
      </c>
      <c r="Z68" s="67" t="str">
        <f t="shared" si="30"/>
        <v/>
      </c>
    </row>
    <row r="69" spans="1:26" s="5" customFormat="1" ht="17.25" customHeight="1">
      <c r="A69" s="84">
        <v>58</v>
      </c>
      <c r="B69" s="32"/>
      <c r="C69" s="33"/>
      <c r="D69" s="34"/>
      <c r="E69" s="35"/>
      <c r="F69" s="32"/>
      <c r="G69" s="111"/>
      <c r="H69" s="111"/>
      <c r="I69" s="112"/>
      <c r="J69" s="97"/>
      <c r="K69" s="62" t="str">
        <f t="shared" si="16"/>
        <v/>
      </c>
      <c r="L69" s="62" t="str">
        <f t="shared" si="17"/>
        <v/>
      </c>
      <c r="M69" s="62" t="str">
        <f t="shared" si="18"/>
        <v/>
      </c>
      <c r="N69" s="63" t="str">
        <f t="shared" si="19"/>
        <v/>
      </c>
      <c r="O69" s="64" t="str">
        <f t="shared" si="31"/>
        <v/>
      </c>
      <c r="P69" s="93" t="str">
        <f t="shared" si="20"/>
        <v/>
      </c>
      <c r="Q69" s="94" t="str">
        <f t="shared" si="21"/>
        <v/>
      </c>
      <c r="R69" s="64" t="str">
        <f t="shared" si="22"/>
        <v/>
      </c>
      <c r="S69" s="93" t="str">
        <f t="shared" si="23"/>
        <v/>
      </c>
      <c r="T69" s="94" t="str">
        <f t="shared" si="24"/>
        <v/>
      </c>
      <c r="U69" s="64" t="str">
        <f t="shared" si="25"/>
        <v/>
      </c>
      <c r="V69" s="65" t="str">
        <f t="shared" si="26"/>
        <v/>
      </c>
      <c r="W69" s="78" t="str">
        <f t="shared" si="27"/>
        <v/>
      </c>
      <c r="X69" s="66" t="str">
        <f t="shared" si="28"/>
        <v/>
      </c>
      <c r="Y69" s="66" t="str">
        <f t="shared" si="29"/>
        <v/>
      </c>
      <c r="Z69" s="67" t="str">
        <f t="shared" si="30"/>
        <v/>
      </c>
    </row>
    <row r="70" spans="1:26" s="5" customFormat="1" ht="17.25" customHeight="1">
      <c r="A70" s="84">
        <v>59</v>
      </c>
      <c r="B70" s="32"/>
      <c r="C70" s="33"/>
      <c r="D70" s="34"/>
      <c r="E70" s="35"/>
      <c r="F70" s="32"/>
      <c r="G70" s="111"/>
      <c r="H70" s="111"/>
      <c r="I70" s="112"/>
      <c r="J70" s="97"/>
      <c r="K70" s="62" t="str">
        <f t="shared" si="16"/>
        <v/>
      </c>
      <c r="L70" s="62" t="str">
        <f t="shared" si="17"/>
        <v/>
      </c>
      <c r="M70" s="62" t="str">
        <f t="shared" si="18"/>
        <v/>
      </c>
      <c r="N70" s="63" t="str">
        <f t="shared" si="19"/>
        <v/>
      </c>
      <c r="O70" s="64" t="str">
        <f t="shared" si="31"/>
        <v/>
      </c>
      <c r="P70" s="93" t="str">
        <f t="shared" si="20"/>
        <v/>
      </c>
      <c r="Q70" s="94" t="str">
        <f t="shared" si="21"/>
        <v/>
      </c>
      <c r="R70" s="64" t="str">
        <f t="shared" si="22"/>
        <v/>
      </c>
      <c r="S70" s="93" t="str">
        <f t="shared" si="23"/>
        <v/>
      </c>
      <c r="T70" s="94" t="str">
        <f t="shared" si="24"/>
        <v/>
      </c>
      <c r="U70" s="64" t="str">
        <f t="shared" si="25"/>
        <v/>
      </c>
      <c r="V70" s="65" t="str">
        <f t="shared" si="26"/>
        <v/>
      </c>
      <c r="W70" s="78" t="str">
        <f t="shared" si="27"/>
        <v/>
      </c>
      <c r="X70" s="66" t="str">
        <f t="shared" si="28"/>
        <v/>
      </c>
      <c r="Y70" s="66" t="str">
        <f t="shared" si="29"/>
        <v/>
      </c>
      <c r="Z70" s="67" t="str">
        <f t="shared" si="30"/>
        <v/>
      </c>
    </row>
    <row r="71" spans="1:26" s="5" customFormat="1" ht="17.25" customHeight="1">
      <c r="A71" s="84">
        <v>60</v>
      </c>
      <c r="B71" s="32"/>
      <c r="C71" s="33"/>
      <c r="D71" s="34"/>
      <c r="E71" s="35"/>
      <c r="F71" s="32"/>
      <c r="G71" s="111"/>
      <c r="H71" s="111"/>
      <c r="I71" s="112"/>
      <c r="J71" s="97"/>
      <c r="K71" s="62" t="str">
        <f t="shared" si="16"/>
        <v/>
      </c>
      <c r="L71" s="62" t="str">
        <f t="shared" si="17"/>
        <v/>
      </c>
      <c r="M71" s="62" t="str">
        <f t="shared" si="18"/>
        <v/>
      </c>
      <c r="N71" s="63" t="str">
        <f t="shared" si="19"/>
        <v/>
      </c>
      <c r="O71" s="64" t="str">
        <f t="shared" si="31"/>
        <v/>
      </c>
      <c r="P71" s="93" t="str">
        <f t="shared" si="20"/>
        <v/>
      </c>
      <c r="Q71" s="94" t="str">
        <f t="shared" si="21"/>
        <v/>
      </c>
      <c r="R71" s="64" t="str">
        <f t="shared" si="22"/>
        <v/>
      </c>
      <c r="S71" s="93" t="str">
        <f t="shared" si="23"/>
        <v/>
      </c>
      <c r="T71" s="94" t="str">
        <f t="shared" si="24"/>
        <v/>
      </c>
      <c r="U71" s="64" t="str">
        <f t="shared" si="25"/>
        <v/>
      </c>
      <c r="V71" s="65" t="str">
        <f t="shared" si="26"/>
        <v/>
      </c>
      <c r="W71" s="78" t="str">
        <f t="shared" si="27"/>
        <v/>
      </c>
      <c r="X71" s="66" t="str">
        <f t="shared" si="28"/>
        <v/>
      </c>
      <c r="Y71" s="66" t="str">
        <f t="shared" si="29"/>
        <v/>
      </c>
      <c r="Z71" s="67" t="str">
        <f t="shared" si="30"/>
        <v/>
      </c>
    </row>
    <row r="72" spans="1:26" s="5" customFormat="1" ht="17.25" customHeight="1">
      <c r="A72" s="84">
        <v>61</v>
      </c>
      <c r="B72" s="32"/>
      <c r="C72" s="33"/>
      <c r="D72" s="34"/>
      <c r="E72" s="35"/>
      <c r="F72" s="32"/>
      <c r="G72" s="111"/>
      <c r="H72" s="111"/>
      <c r="I72" s="112"/>
      <c r="J72" s="97"/>
      <c r="K72" s="62" t="str">
        <f t="shared" si="16"/>
        <v/>
      </c>
      <c r="L72" s="62" t="str">
        <f t="shared" si="17"/>
        <v/>
      </c>
      <c r="M72" s="62" t="str">
        <f t="shared" si="18"/>
        <v/>
      </c>
      <c r="N72" s="63" t="str">
        <f t="shared" si="19"/>
        <v/>
      </c>
      <c r="O72" s="64" t="str">
        <f t="shared" si="31"/>
        <v/>
      </c>
      <c r="P72" s="93" t="str">
        <f t="shared" si="20"/>
        <v/>
      </c>
      <c r="Q72" s="94" t="str">
        <f t="shared" si="21"/>
        <v/>
      </c>
      <c r="R72" s="64" t="str">
        <f t="shared" si="22"/>
        <v/>
      </c>
      <c r="S72" s="93" t="str">
        <f t="shared" si="23"/>
        <v/>
      </c>
      <c r="T72" s="94" t="str">
        <f t="shared" si="24"/>
        <v/>
      </c>
      <c r="U72" s="64" t="str">
        <f t="shared" si="25"/>
        <v/>
      </c>
      <c r="V72" s="65" t="str">
        <f t="shared" si="26"/>
        <v/>
      </c>
      <c r="W72" s="78" t="str">
        <f t="shared" si="27"/>
        <v/>
      </c>
      <c r="X72" s="66" t="str">
        <f t="shared" si="28"/>
        <v/>
      </c>
      <c r="Y72" s="66" t="str">
        <f t="shared" si="29"/>
        <v/>
      </c>
      <c r="Z72" s="67" t="str">
        <f t="shared" si="30"/>
        <v/>
      </c>
    </row>
    <row r="73" spans="1:26" s="5" customFormat="1" ht="17.25" customHeight="1">
      <c r="A73" s="84">
        <v>62</v>
      </c>
      <c r="B73" s="32"/>
      <c r="C73" s="33"/>
      <c r="D73" s="34"/>
      <c r="E73" s="35"/>
      <c r="F73" s="32"/>
      <c r="G73" s="111"/>
      <c r="H73" s="111"/>
      <c r="I73" s="112"/>
      <c r="J73" s="97"/>
      <c r="K73" s="62" t="str">
        <f t="shared" si="16"/>
        <v/>
      </c>
      <c r="L73" s="62" t="str">
        <f t="shared" si="17"/>
        <v/>
      </c>
      <c r="M73" s="62" t="str">
        <f t="shared" si="18"/>
        <v/>
      </c>
      <c r="N73" s="63" t="str">
        <f t="shared" si="19"/>
        <v/>
      </c>
      <c r="O73" s="64" t="str">
        <f t="shared" si="31"/>
        <v/>
      </c>
      <c r="P73" s="93" t="str">
        <f t="shared" si="20"/>
        <v/>
      </c>
      <c r="Q73" s="94" t="str">
        <f t="shared" si="21"/>
        <v/>
      </c>
      <c r="R73" s="64" t="str">
        <f t="shared" si="22"/>
        <v/>
      </c>
      <c r="S73" s="93" t="str">
        <f t="shared" si="23"/>
        <v/>
      </c>
      <c r="T73" s="94" t="str">
        <f t="shared" si="24"/>
        <v/>
      </c>
      <c r="U73" s="64" t="str">
        <f t="shared" si="25"/>
        <v/>
      </c>
      <c r="V73" s="65" t="str">
        <f t="shared" si="26"/>
        <v/>
      </c>
      <c r="W73" s="78" t="str">
        <f t="shared" si="27"/>
        <v/>
      </c>
      <c r="X73" s="66" t="str">
        <f t="shared" si="28"/>
        <v/>
      </c>
      <c r="Y73" s="66" t="str">
        <f t="shared" si="29"/>
        <v/>
      </c>
      <c r="Z73" s="67" t="str">
        <f t="shared" si="30"/>
        <v/>
      </c>
    </row>
    <row r="74" spans="1:26" s="5" customFormat="1" ht="17.25" customHeight="1">
      <c r="A74" s="84">
        <v>63</v>
      </c>
      <c r="B74" s="32"/>
      <c r="C74" s="33"/>
      <c r="D74" s="34"/>
      <c r="E74" s="35"/>
      <c r="F74" s="32"/>
      <c r="G74" s="111"/>
      <c r="H74" s="111"/>
      <c r="I74" s="112"/>
      <c r="J74" s="97"/>
      <c r="K74" s="62" t="str">
        <f t="shared" si="16"/>
        <v/>
      </c>
      <c r="L74" s="62" t="str">
        <f t="shared" si="17"/>
        <v/>
      </c>
      <c r="M74" s="62" t="str">
        <f t="shared" si="18"/>
        <v/>
      </c>
      <c r="N74" s="63" t="str">
        <f t="shared" si="19"/>
        <v/>
      </c>
      <c r="O74" s="64" t="str">
        <f t="shared" si="31"/>
        <v/>
      </c>
      <c r="P74" s="93" t="str">
        <f t="shared" si="20"/>
        <v/>
      </c>
      <c r="Q74" s="94" t="str">
        <f t="shared" si="21"/>
        <v/>
      </c>
      <c r="R74" s="64" t="str">
        <f t="shared" si="22"/>
        <v/>
      </c>
      <c r="S74" s="93" t="str">
        <f t="shared" si="23"/>
        <v/>
      </c>
      <c r="T74" s="94" t="str">
        <f t="shared" si="24"/>
        <v/>
      </c>
      <c r="U74" s="64" t="str">
        <f t="shared" si="25"/>
        <v/>
      </c>
      <c r="V74" s="65" t="str">
        <f t="shared" si="26"/>
        <v/>
      </c>
      <c r="W74" s="78" t="str">
        <f t="shared" si="27"/>
        <v/>
      </c>
      <c r="X74" s="66" t="str">
        <f t="shared" si="28"/>
        <v/>
      </c>
      <c r="Y74" s="66" t="str">
        <f t="shared" si="29"/>
        <v/>
      </c>
      <c r="Z74" s="67" t="str">
        <f t="shared" si="30"/>
        <v/>
      </c>
    </row>
    <row r="75" spans="1:26" s="5" customFormat="1" ht="17.25" customHeight="1">
      <c r="A75" s="84">
        <v>64</v>
      </c>
      <c r="B75" s="32"/>
      <c r="C75" s="33"/>
      <c r="D75" s="34"/>
      <c r="E75" s="35"/>
      <c r="F75" s="32"/>
      <c r="G75" s="111"/>
      <c r="H75" s="111"/>
      <c r="I75" s="112"/>
      <c r="J75" s="97"/>
      <c r="K75" s="62" t="str">
        <f t="shared" si="16"/>
        <v/>
      </c>
      <c r="L75" s="62" t="str">
        <f t="shared" si="17"/>
        <v/>
      </c>
      <c r="M75" s="62" t="str">
        <f t="shared" si="18"/>
        <v/>
      </c>
      <c r="N75" s="63" t="str">
        <f t="shared" si="19"/>
        <v/>
      </c>
      <c r="O75" s="64" t="str">
        <f t="shared" si="31"/>
        <v/>
      </c>
      <c r="P75" s="93" t="str">
        <f t="shared" si="20"/>
        <v/>
      </c>
      <c r="Q75" s="94" t="str">
        <f t="shared" si="21"/>
        <v/>
      </c>
      <c r="R75" s="64" t="str">
        <f t="shared" si="22"/>
        <v/>
      </c>
      <c r="S75" s="93" t="str">
        <f t="shared" si="23"/>
        <v/>
      </c>
      <c r="T75" s="94" t="str">
        <f t="shared" si="24"/>
        <v/>
      </c>
      <c r="U75" s="64" t="str">
        <f t="shared" si="25"/>
        <v/>
      </c>
      <c r="V75" s="65" t="str">
        <f t="shared" si="26"/>
        <v/>
      </c>
      <c r="W75" s="78" t="str">
        <f t="shared" si="27"/>
        <v/>
      </c>
      <c r="X75" s="66" t="str">
        <f t="shared" si="28"/>
        <v/>
      </c>
      <c r="Y75" s="66" t="str">
        <f t="shared" si="29"/>
        <v/>
      </c>
      <c r="Z75" s="67" t="str">
        <f t="shared" si="30"/>
        <v/>
      </c>
    </row>
    <row r="76" spans="1:26" s="5" customFormat="1" ht="17.25" customHeight="1">
      <c r="A76" s="84">
        <v>65</v>
      </c>
      <c r="B76" s="32"/>
      <c r="C76" s="33"/>
      <c r="D76" s="34"/>
      <c r="E76" s="35"/>
      <c r="F76" s="32"/>
      <c r="G76" s="111"/>
      <c r="H76" s="111"/>
      <c r="I76" s="112"/>
      <c r="J76" s="97"/>
      <c r="K76" s="62" t="str">
        <f t="shared" ref="K76:K107" si="32">IF($W$11=0,"",IF(D76="","",IF($G76="","",IF($F76="","",IF($G76/$F76&gt;=$K$11,"yes","NC")))))</f>
        <v/>
      </c>
      <c r="L76" s="62" t="str">
        <f t="shared" ref="L76:L107" si="33">IF($X$11=0,"",IF($D76="","",IF($G76="","",IF($H76="","",IF($H76/$F76&gt;=$L$11,"yes","NC")))))</f>
        <v/>
      </c>
      <c r="M76" s="62" t="str">
        <f t="shared" ref="M76:M107" si="34">IF($Y$11=0,"",IF($D76="","",IF($G76="","",IF($I76="","",IF($F76/$I76&lt;=$M$11,"yes","NC")))))</f>
        <v/>
      </c>
      <c r="N76" s="63" t="str">
        <f t="shared" ref="N76:N107" si="35">IF($D76="","",IF($O$8="","",IF(OR($O76&lt;$N$8,$O76&gt;$P$8),"NC","yes")))</f>
        <v/>
      </c>
      <c r="O76" s="64" t="str">
        <f t="shared" si="31"/>
        <v/>
      </c>
      <c r="P76" s="93" t="str">
        <f t="shared" ref="P76:P107" si="36">IF($D76=0,"",IF(N76="yes",($O76/$O$8),IF(OR($O76&lt;$N$8,$O76&gt;$P$8),($O76/$O$8))))</f>
        <v/>
      </c>
      <c r="Q76" s="94" t="str">
        <f t="shared" ref="Q76:Q107" si="37">IF($D76="","",IF($R$8="","",IF(OR($R76&lt;$Q$8,$R76&gt;$S$8),"NC","yes")))</f>
        <v/>
      </c>
      <c r="R76" s="64" t="str">
        <f t="shared" ref="R76:R107" si="38">IF($D76="","",$H76/$F76)</f>
        <v/>
      </c>
      <c r="S76" s="93" t="str">
        <f t="shared" ref="S76:S107" si="39">IF($D76=0,"",IF(Q76="yes",($R76/$R$8),IF(OR($R76&gt;$Q$8,$R76&lt;$S$8),($R76/$R$8))))</f>
        <v/>
      </c>
      <c r="T76" s="94" t="str">
        <f t="shared" ref="T76:T107" si="40">IF($D76="","",IF($U$8="","",IF(OR($U76&lt;$T$8,U76&gt;$V$8),"NC","yes")))</f>
        <v/>
      </c>
      <c r="U76" s="64" t="str">
        <f t="shared" ref="U76:U107" si="41">IF($D76="","",$F76/$I76)</f>
        <v/>
      </c>
      <c r="V76" s="65" t="str">
        <f t="shared" ref="V76:V107" si="42">IF($D76="","",IF(T76="yes",(U76/U$8),IF(OR(U76&lt;$T$8,U76&gt;V$8),(U76/U$8))))</f>
        <v/>
      </c>
      <c r="W76" s="78" t="str">
        <f t="shared" ref="W76:W107" si="43">IF(C76="","",IF($D76="",$F76,""))</f>
        <v/>
      </c>
      <c r="X76" s="66" t="str">
        <f t="shared" ref="X76:X107" si="44">IF($C76="","",IF($D76="",$G76,""))</f>
        <v/>
      </c>
      <c r="Y76" s="66" t="str">
        <f t="shared" ref="Y76:Y107" si="45">IF($C76="","",IF($D76="",$H76,""))</f>
        <v/>
      </c>
      <c r="Z76" s="67" t="str">
        <f t="shared" ref="Z76:Z107" si="46">IF($C76="","",IF($D76="",I76,""))</f>
        <v/>
      </c>
    </row>
    <row r="77" spans="1:26" s="5" customFormat="1" ht="17.25" customHeight="1">
      <c r="A77" s="84">
        <v>66</v>
      </c>
      <c r="B77" s="32"/>
      <c r="C77" s="33"/>
      <c r="D77" s="34"/>
      <c r="E77" s="35"/>
      <c r="F77" s="32"/>
      <c r="G77" s="111"/>
      <c r="H77" s="111"/>
      <c r="I77" s="112"/>
      <c r="J77" s="97"/>
      <c r="K77" s="62" t="str">
        <f t="shared" si="32"/>
        <v/>
      </c>
      <c r="L77" s="62" t="str">
        <f t="shared" si="33"/>
        <v/>
      </c>
      <c r="M77" s="62" t="str">
        <f t="shared" si="34"/>
        <v/>
      </c>
      <c r="N77" s="63" t="str">
        <f t="shared" si="35"/>
        <v/>
      </c>
      <c r="O77" s="64" t="str">
        <f t="shared" ref="O77:O108" si="47">IF($D77="","",G77/$F77)</f>
        <v/>
      </c>
      <c r="P77" s="93" t="str">
        <f t="shared" si="36"/>
        <v/>
      </c>
      <c r="Q77" s="94" t="str">
        <f t="shared" si="37"/>
        <v/>
      </c>
      <c r="R77" s="64" t="str">
        <f t="shared" si="38"/>
        <v/>
      </c>
      <c r="S77" s="93" t="str">
        <f t="shared" si="39"/>
        <v/>
      </c>
      <c r="T77" s="94" t="str">
        <f t="shared" si="40"/>
        <v/>
      </c>
      <c r="U77" s="64" t="str">
        <f t="shared" si="41"/>
        <v/>
      </c>
      <c r="V77" s="65" t="str">
        <f t="shared" si="42"/>
        <v/>
      </c>
      <c r="W77" s="78" t="str">
        <f t="shared" si="43"/>
        <v/>
      </c>
      <c r="X77" s="66" t="str">
        <f t="shared" si="44"/>
        <v/>
      </c>
      <c r="Y77" s="66" t="str">
        <f t="shared" si="45"/>
        <v/>
      </c>
      <c r="Z77" s="67" t="str">
        <f t="shared" si="46"/>
        <v/>
      </c>
    </row>
    <row r="78" spans="1:26" s="5" customFormat="1" ht="17.25" customHeight="1">
      <c r="A78" s="84">
        <v>67</v>
      </c>
      <c r="B78" s="32"/>
      <c r="C78" s="33"/>
      <c r="D78" s="34"/>
      <c r="E78" s="35"/>
      <c r="F78" s="32"/>
      <c r="G78" s="111"/>
      <c r="H78" s="111"/>
      <c r="I78" s="112"/>
      <c r="J78" s="97"/>
      <c r="K78" s="62" t="str">
        <f t="shared" si="32"/>
        <v/>
      </c>
      <c r="L78" s="62" t="str">
        <f t="shared" si="33"/>
        <v/>
      </c>
      <c r="M78" s="62" t="str">
        <f t="shared" si="34"/>
        <v/>
      </c>
      <c r="N78" s="63" t="str">
        <f t="shared" si="35"/>
        <v/>
      </c>
      <c r="O78" s="64" t="str">
        <f t="shared" si="47"/>
        <v/>
      </c>
      <c r="P78" s="93" t="str">
        <f t="shared" si="36"/>
        <v/>
      </c>
      <c r="Q78" s="94" t="str">
        <f t="shared" si="37"/>
        <v/>
      </c>
      <c r="R78" s="64" t="str">
        <f t="shared" si="38"/>
        <v/>
      </c>
      <c r="S78" s="93" t="str">
        <f t="shared" si="39"/>
        <v/>
      </c>
      <c r="T78" s="94" t="str">
        <f t="shared" si="40"/>
        <v/>
      </c>
      <c r="U78" s="64" t="str">
        <f t="shared" si="41"/>
        <v/>
      </c>
      <c r="V78" s="65" t="str">
        <f t="shared" si="42"/>
        <v/>
      </c>
      <c r="W78" s="78" t="str">
        <f t="shared" si="43"/>
        <v/>
      </c>
      <c r="X78" s="66" t="str">
        <f t="shared" si="44"/>
        <v/>
      </c>
      <c r="Y78" s="66" t="str">
        <f t="shared" si="45"/>
        <v/>
      </c>
      <c r="Z78" s="67" t="str">
        <f t="shared" si="46"/>
        <v/>
      </c>
    </row>
    <row r="79" spans="1:26" s="5" customFormat="1" ht="17.25" customHeight="1">
      <c r="A79" s="84">
        <v>68</v>
      </c>
      <c r="B79" s="32"/>
      <c r="C79" s="33"/>
      <c r="D79" s="34"/>
      <c r="E79" s="35"/>
      <c r="F79" s="32"/>
      <c r="G79" s="111"/>
      <c r="H79" s="111"/>
      <c r="I79" s="112"/>
      <c r="J79" s="97"/>
      <c r="K79" s="62" t="str">
        <f t="shared" si="32"/>
        <v/>
      </c>
      <c r="L79" s="62" t="str">
        <f t="shared" si="33"/>
        <v/>
      </c>
      <c r="M79" s="62" t="str">
        <f t="shared" si="34"/>
        <v/>
      </c>
      <c r="N79" s="63" t="str">
        <f t="shared" si="35"/>
        <v/>
      </c>
      <c r="O79" s="64" t="str">
        <f t="shared" si="47"/>
        <v/>
      </c>
      <c r="P79" s="93" t="str">
        <f t="shared" si="36"/>
        <v/>
      </c>
      <c r="Q79" s="94" t="str">
        <f t="shared" si="37"/>
        <v/>
      </c>
      <c r="R79" s="64" t="str">
        <f t="shared" si="38"/>
        <v/>
      </c>
      <c r="S79" s="93" t="str">
        <f t="shared" si="39"/>
        <v/>
      </c>
      <c r="T79" s="94" t="str">
        <f t="shared" si="40"/>
        <v/>
      </c>
      <c r="U79" s="64" t="str">
        <f t="shared" si="41"/>
        <v/>
      </c>
      <c r="V79" s="65" t="str">
        <f t="shared" si="42"/>
        <v/>
      </c>
      <c r="W79" s="78" t="str">
        <f t="shared" si="43"/>
        <v/>
      </c>
      <c r="X79" s="66" t="str">
        <f t="shared" si="44"/>
        <v/>
      </c>
      <c r="Y79" s="66" t="str">
        <f t="shared" si="45"/>
        <v/>
      </c>
      <c r="Z79" s="67" t="str">
        <f t="shared" si="46"/>
        <v/>
      </c>
    </row>
    <row r="80" spans="1:26" s="5" customFormat="1" ht="17.25" customHeight="1">
      <c r="A80" s="84">
        <v>69</v>
      </c>
      <c r="B80" s="32"/>
      <c r="C80" s="33"/>
      <c r="D80" s="34"/>
      <c r="E80" s="35"/>
      <c r="F80" s="32"/>
      <c r="G80" s="111"/>
      <c r="H80" s="111"/>
      <c r="I80" s="112"/>
      <c r="J80" s="97"/>
      <c r="K80" s="62" t="str">
        <f t="shared" si="32"/>
        <v/>
      </c>
      <c r="L80" s="62" t="str">
        <f t="shared" si="33"/>
        <v/>
      </c>
      <c r="M80" s="62" t="str">
        <f t="shared" si="34"/>
        <v/>
      </c>
      <c r="N80" s="63" t="str">
        <f t="shared" si="35"/>
        <v/>
      </c>
      <c r="O80" s="64" t="str">
        <f t="shared" si="47"/>
        <v/>
      </c>
      <c r="P80" s="93" t="str">
        <f t="shared" si="36"/>
        <v/>
      </c>
      <c r="Q80" s="94" t="str">
        <f t="shared" si="37"/>
        <v/>
      </c>
      <c r="R80" s="64" t="str">
        <f t="shared" si="38"/>
        <v/>
      </c>
      <c r="S80" s="93" t="str">
        <f t="shared" si="39"/>
        <v/>
      </c>
      <c r="T80" s="94" t="str">
        <f t="shared" si="40"/>
        <v/>
      </c>
      <c r="U80" s="64" t="str">
        <f t="shared" si="41"/>
        <v/>
      </c>
      <c r="V80" s="65" t="str">
        <f t="shared" si="42"/>
        <v/>
      </c>
      <c r="W80" s="78" t="str">
        <f t="shared" si="43"/>
        <v/>
      </c>
      <c r="X80" s="66" t="str">
        <f t="shared" si="44"/>
        <v/>
      </c>
      <c r="Y80" s="66" t="str">
        <f t="shared" si="45"/>
        <v/>
      </c>
      <c r="Z80" s="67" t="str">
        <f t="shared" si="46"/>
        <v/>
      </c>
    </row>
    <row r="81" spans="1:26" s="5" customFormat="1" ht="17.25" customHeight="1">
      <c r="A81" s="84">
        <v>70</v>
      </c>
      <c r="B81" s="32"/>
      <c r="C81" s="33"/>
      <c r="D81" s="34"/>
      <c r="E81" s="35"/>
      <c r="F81" s="32"/>
      <c r="G81" s="111"/>
      <c r="H81" s="111"/>
      <c r="I81" s="112"/>
      <c r="J81" s="97"/>
      <c r="K81" s="62" t="str">
        <f t="shared" si="32"/>
        <v/>
      </c>
      <c r="L81" s="62" t="str">
        <f t="shared" si="33"/>
        <v/>
      </c>
      <c r="M81" s="62" t="str">
        <f t="shared" si="34"/>
        <v/>
      </c>
      <c r="N81" s="63" t="str">
        <f t="shared" si="35"/>
        <v/>
      </c>
      <c r="O81" s="64" t="str">
        <f t="shared" si="47"/>
        <v/>
      </c>
      <c r="P81" s="93" t="str">
        <f t="shared" si="36"/>
        <v/>
      </c>
      <c r="Q81" s="94" t="str">
        <f t="shared" si="37"/>
        <v/>
      </c>
      <c r="R81" s="64" t="str">
        <f t="shared" si="38"/>
        <v/>
      </c>
      <c r="S81" s="93" t="str">
        <f t="shared" si="39"/>
        <v/>
      </c>
      <c r="T81" s="94" t="str">
        <f t="shared" si="40"/>
        <v/>
      </c>
      <c r="U81" s="64" t="str">
        <f t="shared" si="41"/>
        <v/>
      </c>
      <c r="V81" s="65" t="str">
        <f t="shared" si="42"/>
        <v/>
      </c>
      <c r="W81" s="78" t="str">
        <f t="shared" si="43"/>
        <v/>
      </c>
      <c r="X81" s="66" t="str">
        <f t="shared" si="44"/>
        <v/>
      </c>
      <c r="Y81" s="66" t="str">
        <f t="shared" si="45"/>
        <v/>
      </c>
      <c r="Z81" s="67" t="str">
        <f t="shared" si="46"/>
        <v/>
      </c>
    </row>
    <row r="82" spans="1:26" s="5" customFormat="1" ht="17.25" customHeight="1">
      <c r="A82" s="84">
        <v>71</v>
      </c>
      <c r="B82" s="32"/>
      <c r="C82" s="33"/>
      <c r="D82" s="34"/>
      <c r="E82" s="35"/>
      <c r="F82" s="32"/>
      <c r="G82" s="111"/>
      <c r="H82" s="111"/>
      <c r="I82" s="112"/>
      <c r="J82" s="97"/>
      <c r="K82" s="62" t="str">
        <f t="shared" si="32"/>
        <v/>
      </c>
      <c r="L82" s="62" t="str">
        <f t="shared" si="33"/>
        <v/>
      </c>
      <c r="M82" s="62" t="str">
        <f t="shared" si="34"/>
        <v/>
      </c>
      <c r="N82" s="63" t="str">
        <f t="shared" si="35"/>
        <v/>
      </c>
      <c r="O82" s="64" t="str">
        <f t="shared" si="47"/>
        <v/>
      </c>
      <c r="P82" s="93" t="str">
        <f t="shared" si="36"/>
        <v/>
      </c>
      <c r="Q82" s="94" t="str">
        <f t="shared" si="37"/>
        <v/>
      </c>
      <c r="R82" s="64" t="str">
        <f t="shared" si="38"/>
        <v/>
      </c>
      <c r="S82" s="93" t="str">
        <f t="shared" si="39"/>
        <v/>
      </c>
      <c r="T82" s="94" t="str">
        <f t="shared" si="40"/>
        <v/>
      </c>
      <c r="U82" s="64" t="str">
        <f t="shared" si="41"/>
        <v/>
      </c>
      <c r="V82" s="65" t="str">
        <f t="shared" si="42"/>
        <v/>
      </c>
      <c r="W82" s="78" t="str">
        <f t="shared" si="43"/>
        <v/>
      </c>
      <c r="X82" s="66" t="str">
        <f t="shared" si="44"/>
        <v/>
      </c>
      <c r="Y82" s="66" t="str">
        <f t="shared" si="45"/>
        <v/>
      </c>
      <c r="Z82" s="67" t="str">
        <f t="shared" si="46"/>
        <v/>
      </c>
    </row>
    <row r="83" spans="1:26" s="5" customFormat="1" ht="17.25" customHeight="1">
      <c r="A83" s="84">
        <v>72</v>
      </c>
      <c r="B83" s="32"/>
      <c r="C83" s="33"/>
      <c r="D83" s="34"/>
      <c r="E83" s="35"/>
      <c r="F83" s="32"/>
      <c r="G83" s="111"/>
      <c r="H83" s="111"/>
      <c r="I83" s="112"/>
      <c r="J83" s="97"/>
      <c r="K83" s="62" t="str">
        <f t="shared" si="32"/>
        <v/>
      </c>
      <c r="L83" s="62" t="str">
        <f t="shared" si="33"/>
        <v/>
      </c>
      <c r="M83" s="62" t="str">
        <f t="shared" si="34"/>
        <v/>
      </c>
      <c r="N83" s="63" t="str">
        <f t="shared" si="35"/>
        <v/>
      </c>
      <c r="O83" s="64" t="str">
        <f t="shared" si="47"/>
        <v/>
      </c>
      <c r="P83" s="93" t="str">
        <f t="shared" si="36"/>
        <v/>
      </c>
      <c r="Q83" s="94" t="str">
        <f t="shared" si="37"/>
        <v/>
      </c>
      <c r="R83" s="64" t="str">
        <f t="shared" si="38"/>
        <v/>
      </c>
      <c r="S83" s="93" t="str">
        <f t="shared" si="39"/>
        <v/>
      </c>
      <c r="T83" s="94" t="str">
        <f t="shared" si="40"/>
        <v/>
      </c>
      <c r="U83" s="64" t="str">
        <f t="shared" si="41"/>
        <v/>
      </c>
      <c r="V83" s="65" t="str">
        <f t="shared" si="42"/>
        <v/>
      </c>
      <c r="W83" s="78" t="str">
        <f t="shared" si="43"/>
        <v/>
      </c>
      <c r="X83" s="66" t="str">
        <f t="shared" si="44"/>
        <v/>
      </c>
      <c r="Y83" s="66" t="str">
        <f t="shared" si="45"/>
        <v/>
      </c>
      <c r="Z83" s="67" t="str">
        <f t="shared" si="46"/>
        <v/>
      </c>
    </row>
    <row r="84" spans="1:26" s="5" customFormat="1" ht="17.25" customHeight="1">
      <c r="A84" s="84">
        <v>73</v>
      </c>
      <c r="B84" s="32"/>
      <c r="C84" s="33"/>
      <c r="D84" s="34"/>
      <c r="E84" s="35"/>
      <c r="F84" s="32"/>
      <c r="G84" s="111"/>
      <c r="H84" s="111"/>
      <c r="I84" s="112"/>
      <c r="J84" s="97"/>
      <c r="K84" s="62" t="str">
        <f t="shared" si="32"/>
        <v/>
      </c>
      <c r="L84" s="62" t="str">
        <f t="shared" si="33"/>
        <v/>
      </c>
      <c r="M84" s="62" t="str">
        <f t="shared" si="34"/>
        <v/>
      </c>
      <c r="N84" s="63" t="str">
        <f t="shared" si="35"/>
        <v/>
      </c>
      <c r="O84" s="64" t="str">
        <f t="shared" si="47"/>
        <v/>
      </c>
      <c r="P84" s="93" t="str">
        <f t="shared" si="36"/>
        <v/>
      </c>
      <c r="Q84" s="94" t="str">
        <f t="shared" si="37"/>
        <v/>
      </c>
      <c r="R84" s="64" t="str">
        <f t="shared" si="38"/>
        <v/>
      </c>
      <c r="S84" s="93" t="str">
        <f t="shared" si="39"/>
        <v/>
      </c>
      <c r="T84" s="94" t="str">
        <f t="shared" si="40"/>
        <v/>
      </c>
      <c r="U84" s="64" t="str">
        <f t="shared" si="41"/>
        <v/>
      </c>
      <c r="V84" s="65" t="str">
        <f t="shared" si="42"/>
        <v/>
      </c>
      <c r="W84" s="78" t="str">
        <f t="shared" si="43"/>
        <v/>
      </c>
      <c r="X84" s="66" t="str">
        <f t="shared" si="44"/>
        <v/>
      </c>
      <c r="Y84" s="66" t="str">
        <f t="shared" si="45"/>
        <v/>
      </c>
      <c r="Z84" s="67" t="str">
        <f t="shared" si="46"/>
        <v/>
      </c>
    </row>
    <row r="85" spans="1:26" s="5" customFormat="1" ht="17.25" customHeight="1">
      <c r="A85" s="84">
        <v>74</v>
      </c>
      <c r="B85" s="32"/>
      <c r="C85" s="33"/>
      <c r="D85" s="34"/>
      <c r="E85" s="35"/>
      <c r="F85" s="32"/>
      <c r="G85" s="111"/>
      <c r="H85" s="111"/>
      <c r="I85" s="112"/>
      <c r="J85" s="97"/>
      <c r="K85" s="62" t="str">
        <f t="shared" si="32"/>
        <v/>
      </c>
      <c r="L85" s="62" t="str">
        <f t="shared" si="33"/>
        <v/>
      </c>
      <c r="M85" s="62" t="str">
        <f t="shared" si="34"/>
        <v/>
      </c>
      <c r="N85" s="63" t="str">
        <f t="shared" si="35"/>
        <v/>
      </c>
      <c r="O85" s="64" t="str">
        <f t="shared" si="47"/>
        <v/>
      </c>
      <c r="P85" s="93" t="str">
        <f t="shared" si="36"/>
        <v/>
      </c>
      <c r="Q85" s="94" t="str">
        <f t="shared" si="37"/>
        <v/>
      </c>
      <c r="R85" s="64" t="str">
        <f t="shared" si="38"/>
        <v/>
      </c>
      <c r="S85" s="93" t="str">
        <f t="shared" si="39"/>
        <v/>
      </c>
      <c r="T85" s="94" t="str">
        <f t="shared" si="40"/>
        <v/>
      </c>
      <c r="U85" s="64" t="str">
        <f t="shared" si="41"/>
        <v/>
      </c>
      <c r="V85" s="65" t="str">
        <f t="shared" si="42"/>
        <v/>
      </c>
      <c r="W85" s="78" t="str">
        <f t="shared" si="43"/>
        <v/>
      </c>
      <c r="X85" s="66" t="str">
        <f t="shared" si="44"/>
        <v/>
      </c>
      <c r="Y85" s="66" t="str">
        <f t="shared" si="45"/>
        <v/>
      </c>
      <c r="Z85" s="67" t="str">
        <f t="shared" si="46"/>
        <v/>
      </c>
    </row>
    <row r="86" spans="1:26" s="17" customFormat="1" ht="17.25" customHeight="1" thickBot="1">
      <c r="A86" s="84">
        <v>75</v>
      </c>
      <c r="B86" s="32"/>
      <c r="C86" s="33"/>
      <c r="D86" s="34"/>
      <c r="E86" s="35"/>
      <c r="F86" s="32"/>
      <c r="G86" s="111"/>
      <c r="H86" s="111"/>
      <c r="I86" s="112"/>
      <c r="J86" s="97"/>
      <c r="K86" s="62" t="str">
        <f t="shared" si="32"/>
        <v/>
      </c>
      <c r="L86" s="62" t="str">
        <f t="shared" si="33"/>
        <v/>
      </c>
      <c r="M86" s="62" t="str">
        <f t="shared" si="34"/>
        <v/>
      </c>
      <c r="N86" s="63" t="str">
        <f t="shared" si="35"/>
        <v/>
      </c>
      <c r="O86" s="64" t="str">
        <f t="shared" si="47"/>
        <v/>
      </c>
      <c r="P86" s="93" t="str">
        <f t="shared" si="36"/>
        <v/>
      </c>
      <c r="Q86" s="94" t="str">
        <f t="shared" si="37"/>
        <v/>
      </c>
      <c r="R86" s="64" t="str">
        <f t="shared" si="38"/>
        <v/>
      </c>
      <c r="S86" s="93" t="str">
        <f t="shared" si="39"/>
        <v/>
      </c>
      <c r="T86" s="94" t="str">
        <f t="shared" si="40"/>
        <v/>
      </c>
      <c r="U86" s="64" t="str">
        <f t="shared" si="41"/>
        <v/>
      </c>
      <c r="V86" s="65" t="str">
        <f t="shared" si="42"/>
        <v/>
      </c>
      <c r="W86" s="78" t="str">
        <f t="shared" si="43"/>
        <v/>
      </c>
      <c r="X86" s="66" t="str">
        <f t="shared" si="44"/>
        <v/>
      </c>
      <c r="Y86" s="66" t="str">
        <f t="shared" si="45"/>
        <v/>
      </c>
      <c r="Z86" s="67" t="str">
        <f t="shared" si="46"/>
        <v/>
      </c>
    </row>
    <row r="87" spans="1:26" s="5" customFormat="1" ht="17.25" customHeight="1">
      <c r="A87" s="84">
        <v>76</v>
      </c>
      <c r="B87" s="32"/>
      <c r="C87" s="33"/>
      <c r="D87" s="34"/>
      <c r="E87" s="35"/>
      <c r="F87" s="32"/>
      <c r="G87" s="111"/>
      <c r="H87" s="111"/>
      <c r="I87" s="112"/>
      <c r="J87" s="97"/>
      <c r="K87" s="62" t="str">
        <f t="shared" si="32"/>
        <v/>
      </c>
      <c r="L87" s="62" t="str">
        <f t="shared" si="33"/>
        <v/>
      </c>
      <c r="M87" s="62" t="str">
        <f t="shared" si="34"/>
        <v/>
      </c>
      <c r="N87" s="63" t="str">
        <f t="shared" si="35"/>
        <v/>
      </c>
      <c r="O87" s="64" t="str">
        <f t="shared" si="47"/>
        <v/>
      </c>
      <c r="P87" s="93" t="str">
        <f t="shared" si="36"/>
        <v/>
      </c>
      <c r="Q87" s="94" t="str">
        <f t="shared" si="37"/>
        <v/>
      </c>
      <c r="R87" s="64" t="str">
        <f t="shared" si="38"/>
        <v/>
      </c>
      <c r="S87" s="93" t="str">
        <f t="shared" si="39"/>
        <v/>
      </c>
      <c r="T87" s="94" t="str">
        <f t="shared" si="40"/>
        <v/>
      </c>
      <c r="U87" s="64" t="str">
        <f t="shared" si="41"/>
        <v/>
      </c>
      <c r="V87" s="65" t="str">
        <f t="shared" si="42"/>
        <v/>
      </c>
      <c r="W87" s="78" t="str">
        <f t="shared" si="43"/>
        <v/>
      </c>
      <c r="X87" s="66" t="str">
        <f t="shared" si="44"/>
        <v/>
      </c>
      <c r="Y87" s="66" t="str">
        <f t="shared" si="45"/>
        <v/>
      </c>
      <c r="Z87" s="67" t="str">
        <f t="shared" si="46"/>
        <v/>
      </c>
    </row>
    <row r="88" spans="1:26" s="5" customFormat="1" ht="17.25" customHeight="1">
      <c r="A88" s="84">
        <v>77</v>
      </c>
      <c r="B88" s="32"/>
      <c r="C88" s="33"/>
      <c r="D88" s="34"/>
      <c r="E88" s="35"/>
      <c r="F88" s="32"/>
      <c r="G88" s="111"/>
      <c r="H88" s="111"/>
      <c r="I88" s="112"/>
      <c r="J88" s="97"/>
      <c r="K88" s="62" t="str">
        <f t="shared" si="32"/>
        <v/>
      </c>
      <c r="L88" s="62" t="str">
        <f t="shared" si="33"/>
        <v/>
      </c>
      <c r="M88" s="62" t="str">
        <f t="shared" si="34"/>
        <v/>
      </c>
      <c r="N88" s="63" t="str">
        <f t="shared" si="35"/>
        <v/>
      </c>
      <c r="O88" s="64" t="str">
        <f t="shared" si="47"/>
        <v/>
      </c>
      <c r="P88" s="93" t="str">
        <f t="shared" si="36"/>
        <v/>
      </c>
      <c r="Q88" s="94" t="str">
        <f t="shared" si="37"/>
        <v/>
      </c>
      <c r="R88" s="64" t="str">
        <f t="shared" si="38"/>
        <v/>
      </c>
      <c r="S88" s="93" t="str">
        <f t="shared" si="39"/>
        <v/>
      </c>
      <c r="T88" s="94" t="str">
        <f t="shared" si="40"/>
        <v/>
      </c>
      <c r="U88" s="64" t="str">
        <f t="shared" si="41"/>
        <v/>
      </c>
      <c r="V88" s="65" t="str">
        <f t="shared" si="42"/>
        <v/>
      </c>
      <c r="W88" s="78" t="str">
        <f t="shared" si="43"/>
        <v/>
      </c>
      <c r="X88" s="66" t="str">
        <f t="shared" si="44"/>
        <v/>
      </c>
      <c r="Y88" s="66" t="str">
        <f t="shared" si="45"/>
        <v/>
      </c>
      <c r="Z88" s="67" t="str">
        <f t="shared" si="46"/>
        <v/>
      </c>
    </row>
    <row r="89" spans="1:26" s="5" customFormat="1" ht="17.25" customHeight="1">
      <c r="A89" s="84">
        <v>78</v>
      </c>
      <c r="B89" s="32"/>
      <c r="C89" s="33"/>
      <c r="D89" s="34"/>
      <c r="E89" s="35"/>
      <c r="F89" s="32"/>
      <c r="G89" s="111"/>
      <c r="H89" s="111"/>
      <c r="I89" s="112"/>
      <c r="J89" s="97"/>
      <c r="K89" s="62" t="str">
        <f t="shared" si="32"/>
        <v/>
      </c>
      <c r="L89" s="62" t="str">
        <f t="shared" si="33"/>
        <v/>
      </c>
      <c r="M89" s="62" t="str">
        <f t="shared" si="34"/>
        <v/>
      </c>
      <c r="N89" s="63" t="str">
        <f t="shared" si="35"/>
        <v/>
      </c>
      <c r="O89" s="64" t="str">
        <f t="shared" si="47"/>
        <v/>
      </c>
      <c r="P89" s="93" t="str">
        <f t="shared" si="36"/>
        <v/>
      </c>
      <c r="Q89" s="94" t="str">
        <f t="shared" si="37"/>
        <v/>
      </c>
      <c r="R89" s="64" t="str">
        <f t="shared" si="38"/>
        <v/>
      </c>
      <c r="S89" s="93" t="str">
        <f t="shared" si="39"/>
        <v/>
      </c>
      <c r="T89" s="94" t="str">
        <f t="shared" si="40"/>
        <v/>
      </c>
      <c r="U89" s="64" t="str">
        <f t="shared" si="41"/>
        <v/>
      </c>
      <c r="V89" s="65" t="str">
        <f t="shared" si="42"/>
        <v/>
      </c>
      <c r="W89" s="78" t="str">
        <f t="shared" si="43"/>
        <v/>
      </c>
      <c r="X89" s="66" t="str">
        <f t="shared" si="44"/>
        <v/>
      </c>
      <c r="Y89" s="66" t="str">
        <f t="shared" si="45"/>
        <v/>
      </c>
      <c r="Z89" s="67" t="str">
        <f t="shared" si="46"/>
        <v/>
      </c>
    </row>
    <row r="90" spans="1:26" s="5" customFormat="1" ht="17.25" customHeight="1">
      <c r="A90" s="84">
        <v>79</v>
      </c>
      <c r="B90" s="32"/>
      <c r="C90" s="33"/>
      <c r="D90" s="34"/>
      <c r="E90" s="35"/>
      <c r="F90" s="32"/>
      <c r="G90" s="111"/>
      <c r="H90" s="111"/>
      <c r="I90" s="112"/>
      <c r="J90" s="97"/>
      <c r="K90" s="62" t="str">
        <f t="shared" si="32"/>
        <v/>
      </c>
      <c r="L90" s="62" t="str">
        <f t="shared" si="33"/>
        <v/>
      </c>
      <c r="M90" s="62" t="str">
        <f t="shared" si="34"/>
        <v/>
      </c>
      <c r="N90" s="63" t="str">
        <f t="shared" si="35"/>
        <v/>
      </c>
      <c r="O90" s="64" t="str">
        <f t="shared" si="47"/>
        <v/>
      </c>
      <c r="P90" s="93" t="str">
        <f t="shared" si="36"/>
        <v/>
      </c>
      <c r="Q90" s="94" t="str">
        <f t="shared" si="37"/>
        <v/>
      </c>
      <c r="R90" s="64" t="str">
        <f t="shared" si="38"/>
        <v/>
      </c>
      <c r="S90" s="93" t="str">
        <f t="shared" si="39"/>
        <v/>
      </c>
      <c r="T90" s="94" t="str">
        <f t="shared" si="40"/>
        <v/>
      </c>
      <c r="U90" s="64" t="str">
        <f t="shared" si="41"/>
        <v/>
      </c>
      <c r="V90" s="65" t="str">
        <f t="shared" si="42"/>
        <v/>
      </c>
      <c r="W90" s="78" t="str">
        <f t="shared" si="43"/>
        <v/>
      </c>
      <c r="X90" s="66" t="str">
        <f t="shared" si="44"/>
        <v/>
      </c>
      <c r="Y90" s="66" t="str">
        <f t="shared" si="45"/>
        <v/>
      </c>
      <c r="Z90" s="67" t="str">
        <f t="shared" si="46"/>
        <v/>
      </c>
    </row>
    <row r="91" spans="1:26" s="5" customFormat="1" ht="17.25" customHeight="1">
      <c r="A91" s="84">
        <v>80</v>
      </c>
      <c r="B91" s="32"/>
      <c r="C91" s="33"/>
      <c r="D91" s="34"/>
      <c r="E91" s="35"/>
      <c r="F91" s="32"/>
      <c r="G91" s="111"/>
      <c r="H91" s="111"/>
      <c r="I91" s="112"/>
      <c r="J91" s="97"/>
      <c r="K91" s="62" t="str">
        <f t="shared" si="32"/>
        <v/>
      </c>
      <c r="L91" s="62" t="str">
        <f t="shared" si="33"/>
        <v/>
      </c>
      <c r="M91" s="62" t="str">
        <f t="shared" si="34"/>
        <v/>
      </c>
      <c r="N91" s="63" t="str">
        <f t="shared" si="35"/>
        <v/>
      </c>
      <c r="O91" s="64" t="str">
        <f t="shared" si="47"/>
        <v/>
      </c>
      <c r="P91" s="93" t="str">
        <f t="shared" si="36"/>
        <v/>
      </c>
      <c r="Q91" s="94" t="str">
        <f t="shared" si="37"/>
        <v/>
      </c>
      <c r="R91" s="64" t="str">
        <f t="shared" si="38"/>
        <v/>
      </c>
      <c r="S91" s="93" t="str">
        <f t="shared" si="39"/>
        <v/>
      </c>
      <c r="T91" s="94" t="str">
        <f t="shared" si="40"/>
        <v/>
      </c>
      <c r="U91" s="64" t="str">
        <f t="shared" si="41"/>
        <v/>
      </c>
      <c r="V91" s="65" t="str">
        <f t="shared" si="42"/>
        <v/>
      </c>
      <c r="W91" s="78" t="str">
        <f t="shared" si="43"/>
        <v/>
      </c>
      <c r="X91" s="66" t="str">
        <f t="shared" si="44"/>
        <v/>
      </c>
      <c r="Y91" s="66" t="str">
        <f t="shared" si="45"/>
        <v/>
      </c>
      <c r="Z91" s="67" t="str">
        <f t="shared" si="46"/>
        <v/>
      </c>
    </row>
    <row r="92" spans="1:26" s="5" customFormat="1" ht="17.25" customHeight="1">
      <c r="A92" s="84">
        <v>81</v>
      </c>
      <c r="B92" s="32"/>
      <c r="C92" s="33"/>
      <c r="D92" s="34"/>
      <c r="E92" s="35"/>
      <c r="F92" s="32"/>
      <c r="G92" s="111"/>
      <c r="H92" s="111"/>
      <c r="I92" s="112"/>
      <c r="J92" s="97"/>
      <c r="K92" s="62" t="str">
        <f t="shared" si="32"/>
        <v/>
      </c>
      <c r="L92" s="62" t="str">
        <f t="shared" si="33"/>
        <v/>
      </c>
      <c r="M92" s="62" t="str">
        <f t="shared" si="34"/>
        <v/>
      </c>
      <c r="N92" s="63" t="str">
        <f t="shared" si="35"/>
        <v/>
      </c>
      <c r="O92" s="64" t="str">
        <f t="shared" si="47"/>
        <v/>
      </c>
      <c r="P92" s="93" t="str">
        <f t="shared" si="36"/>
        <v/>
      </c>
      <c r="Q92" s="94" t="str">
        <f t="shared" si="37"/>
        <v/>
      </c>
      <c r="R92" s="64" t="str">
        <f t="shared" si="38"/>
        <v/>
      </c>
      <c r="S92" s="93" t="str">
        <f t="shared" si="39"/>
        <v/>
      </c>
      <c r="T92" s="94" t="str">
        <f t="shared" si="40"/>
        <v/>
      </c>
      <c r="U92" s="64" t="str">
        <f t="shared" si="41"/>
        <v/>
      </c>
      <c r="V92" s="65" t="str">
        <f t="shared" si="42"/>
        <v/>
      </c>
      <c r="W92" s="78" t="str">
        <f t="shared" si="43"/>
        <v/>
      </c>
      <c r="X92" s="66" t="str">
        <f t="shared" si="44"/>
        <v/>
      </c>
      <c r="Y92" s="66" t="str">
        <f t="shared" si="45"/>
        <v/>
      </c>
      <c r="Z92" s="67" t="str">
        <f t="shared" si="46"/>
        <v/>
      </c>
    </row>
    <row r="93" spans="1:26" s="5" customFormat="1" ht="17.25" customHeight="1">
      <c r="A93" s="84">
        <v>82</v>
      </c>
      <c r="B93" s="32"/>
      <c r="C93" s="33"/>
      <c r="D93" s="34"/>
      <c r="E93" s="35"/>
      <c r="F93" s="32"/>
      <c r="G93" s="111"/>
      <c r="H93" s="111"/>
      <c r="I93" s="112"/>
      <c r="J93" s="97"/>
      <c r="K93" s="62" t="str">
        <f t="shared" si="32"/>
        <v/>
      </c>
      <c r="L93" s="62" t="str">
        <f t="shared" si="33"/>
        <v/>
      </c>
      <c r="M93" s="62" t="str">
        <f t="shared" si="34"/>
        <v/>
      </c>
      <c r="N93" s="63" t="str">
        <f t="shared" si="35"/>
        <v/>
      </c>
      <c r="O93" s="64" t="str">
        <f t="shared" si="47"/>
        <v/>
      </c>
      <c r="P93" s="93" t="str">
        <f t="shared" si="36"/>
        <v/>
      </c>
      <c r="Q93" s="94" t="str">
        <f t="shared" si="37"/>
        <v/>
      </c>
      <c r="R93" s="64" t="str">
        <f t="shared" si="38"/>
        <v/>
      </c>
      <c r="S93" s="93" t="str">
        <f t="shared" si="39"/>
        <v/>
      </c>
      <c r="T93" s="94" t="str">
        <f t="shared" si="40"/>
        <v/>
      </c>
      <c r="U93" s="64" t="str">
        <f t="shared" si="41"/>
        <v/>
      </c>
      <c r="V93" s="65" t="str">
        <f t="shared" si="42"/>
        <v/>
      </c>
      <c r="W93" s="78" t="str">
        <f t="shared" si="43"/>
        <v/>
      </c>
      <c r="X93" s="66" t="str">
        <f t="shared" si="44"/>
        <v/>
      </c>
      <c r="Y93" s="66" t="str">
        <f t="shared" si="45"/>
        <v/>
      </c>
      <c r="Z93" s="67" t="str">
        <f t="shared" si="46"/>
        <v/>
      </c>
    </row>
    <row r="94" spans="1:26" s="5" customFormat="1" ht="17.25" customHeight="1">
      <c r="A94" s="84">
        <v>83</v>
      </c>
      <c r="B94" s="32"/>
      <c r="C94" s="33"/>
      <c r="D94" s="34"/>
      <c r="E94" s="35"/>
      <c r="F94" s="32"/>
      <c r="G94" s="111"/>
      <c r="H94" s="111"/>
      <c r="I94" s="112"/>
      <c r="J94" s="97"/>
      <c r="K94" s="62" t="str">
        <f t="shared" si="32"/>
        <v/>
      </c>
      <c r="L94" s="62" t="str">
        <f t="shared" si="33"/>
        <v/>
      </c>
      <c r="M94" s="62" t="str">
        <f t="shared" si="34"/>
        <v/>
      </c>
      <c r="N94" s="63" t="str">
        <f t="shared" si="35"/>
        <v/>
      </c>
      <c r="O94" s="64" t="str">
        <f t="shared" si="47"/>
        <v/>
      </c>
      <c r="P94" s="93" t="str">
        <f t="shared" si="36"/>
        <v/>
      </c>
      <c r="Q94" s="94" t="str">
        <f t="shared" si="37"/>
        <v/>
      </c>
      <c r="R94" s="64" t="str">
        <f t="shared" si="38"/>
        <v/>
      </c>
      <c r="S94" s="93" t="str">
        <f t="shared" si="39"/>
        <v/>
      </c>
      <c r="T94" s="94" t="str">
        <f t="shared" si="40"/>
        <v/>
      </c>
      <c r="U94" s="64" t="str">
        <f t="shared" si="41"/>
        <v/>
      </c>
      <c r="V94" s="65" t="str">
        <f t="shared" si="42"/>
        <v/>
      </c>
      <c r="W94" s="78" t="str">
        <f t="shared" si="43"/>
        <v/>
      </c>
      <c r="X94" s="66" t="str">
        <f t="shared" si="44"/>
        <v/>
      </c>
      <c r="Y94" s="66" t="str">
        <f t="shared" si="45"/>
        <v/>
      </c>
      <c r="Z94" s="67" t="str">
        <f t="shared" si="46"/>
        <v/>
      </c>
    </row>
    <row r="95" spans="1:26" s="5" customFormat="1" ht="17.25" customHeight="1">
      <c r="A95" s="84">
        <v>84</v>
      </c>
      <c r="B95" s="32"/>
      <c r="C95" s="33"/>
      <c r="D95" s="34"/>
      <c r="E95" s="35"/>
      <c r="F95" s="32"/>
      <c r="G95" s="111"/>
      <c r="H95" s="111"/>
      <c r="I95" s="112"/>
      <c r="J95" s="97"/>
      <c r="K95" s="62" t="str">
        <f t="shared" si="32"/>
        <v/>
      </c>
      <c r="L95" s="62" t="str">
        <f t="shared" si="33"/>
        <v/>
      </c>
      <c r="M95" s="62" t="str">
        <f t="shared" si="34"/>
        <v/>
      </c>
      <c r="N95" s="63" t="str">
        <f t="shared" si="35"/>
        <v/>
      </c>
      <c r="O95" s="64" t="str">
        <f t="shared" si="47"/>
        <v/>
      </c>
      <c r="P95" s="93" t="str">
        <f t="shared" si="36"/>
        <v/>
      </c>
      <c r="Q95" s="94" t="str">
        <f t="shared" si="37"/>
        <v/>
      </c>
      <c r="R95" s="64" t="str">
        <f t="shared" si="38"/>
        <v/>
      </c>
      <c r="S95" s="93" t="str">
        <f t="shared" si="39"/>
        <v/>
      </c>
      <c r="T95" s="94" t="str">
        <f t="shared" si="40"/>
        <v/>
      </c>
      <c r="U95" s="64" t="str">
        <f t="shared" si="41"/>
        <v/>
      </c>
      <c r="V95" s="65" t="str">
        <f t="shared" si="42"/>
        <v/>
      </c>
      <c r="W95" s="78" t="str">
        <f t="shared" si="43"/>
        <v/>
      </c>
      <c r="X95" s="66" t="str">
        <f t="shared" si="44"/>
        <v/>
      </c>
      <c r="Y95" s="66" t="str">
        <f t="shared" si="45"/>
        <v/>
      </c>
      <c r="Z95" s="67" t="str">
        <f t="shared" si="46"/>
        <v/>
      </c>
    </row>
    <row r="96" spans="1:26" s="5" customFormat="1" ht="17.25" customHeight="1">
      <c r="A96" s="84">
        <v>85</v>
      </c>
      <c r="B96" s="32"/>
      <c r="C96" s="33"/>
      <c r="D96" s="34"/>
      <c r="E96" s="35"/>
      <c r="F96" s="32"/>
      <c r="G96" s="111"/>
      <c r="H96" s="111"/>
      <c r="I96" s="112"/>
      <c r="J96" s="97"/>
      <c r="K96" s="62" t="str">
        <f t="shared" si="32"/>
        <v/>
      </c>
      <c r="L96" s="62" t="str">
        <f t="shared" si="33"/>
        <v/>
      </c>
      <c r="M96" s="62" t="str">
        <f t="shared" si="34"/>
        <v/>
      </c>
      <c r="N96" s="63" t="str">
        <f t="shared" si="35"/>
        <v/>
      </c>
      <c r="O96" s="64" t="str">
        <f t="shared" si="47"/>
        <v/>
      </c>
      <c r="P96" s="93" t="str">
        <f t="shared" si="36"/>
        <v/>
      </c>
      <c r="Q96" s="94" t="str">
        <f t="shared" si="37"/>
        <v/>
      </c>
      <c r="R96" s="64" t="str">
        <f t="shared" si="38"/>
        <v/>
      </c>
      <c r="S96" s="93" t="str">
        <f t="shared" si="39"/>
        <v/>
      </c>
      <c r="T96" s="94" t="str">
        <f t="shared" si="40"/>
        <v/>
      </c>
      <c r="U96" s="64" t="str">
        <f t="shared" si="41"/>
        <v/>
      </c>
      <c r="V96" s="65" t="str">
        <f t="shared" si="42"/>
        <v/>
      </c>
      <c r="W96" s="78" t="str">
        <f t="shared" si="43"/>
        <v/>
      </c>
      <c r="X96" s="66" t="str">
        <f t="shared" si="44"/>
        <v/>
      </c>
      <c r="Y96" s="66" t="str">
        <f t="shared" si="45"/>
        <v/>
      </c>
      <c r="Z96" s="67" t="str">
        <f t="shared" si="46"/>
        <v/>
      </c>
    </row>
    <row r="97" spans="1:26" s="5" customFormat="1" ht="17.25" customHeight="1">
      <c r="A97" s="84">
        <v>86</v>
      </c>
      <c r="B97" s="32"/>
      <c r="C97" s="33"/>
      <c r="D97" s="34"/>
      <c r="E97" s="35"/>
      <c r="F97" s="32"/>
      <c r="G97" s="111"/>
      <c r="H97" s="111"/>
      <c r="I97" s="112"/>
      <c r="J97" s="97"/>
      <c r="K97" s="62" t="str">
        <f t="shared" si="32"/>
        <v/>
      </c>
      <c r="L97" s="62" t="str">
        <f t="shared" si="33"/>
        <v/>
      </c>
      <c r="M97" s="62" t="str">
        <f t="shared" si="34"/>
        <v/>
      </c>
      <c r="N97" s="63" t="str">
        <f t="shared" si="35"/>
        <v/>
      </c>
      <c r="O97" s="64" t="str">
        <f t="shared" si="47"/>
        <v/>
      </c>
      <c r="P97" s="93" t="str">
        <f t="shared" si="36"/>
        <v/>
      </c>
      <c r="Q97" s="94" t="str">
        <f t="shared" si="37"/>
        <v/>
      </c>
      <c r="R97" s="64" t="str">
        <f t="shared" si="38"/>
        <v/>
      </c>
      <c r="S97" s="93" t="str">
        <f t="shared" si="39"/>
        <v/>
      </c>
      <c r="T97" s="94" t="str">
        <f t="shared" si="40"/>
        <v/>
      </c>
      <c r="U97" s="64" t="str">
        <f t="shared" si="41"/>
        <v/>
      </c>
      <c r="V97" s="65" t="str">
        <f t="shared" si="42"/>
        <v/>
      </c>
      <c r="W97" s="78" t="str">
        <f t="shared" si="43"/>
        <v/>
      </c>
      <c r="X97" s="66" t="str">
        <f t="shared" si="44"/>
        <v/>
      </c>
      <c r="Y97" s="66" t="str">
        <f t="shared" si="45"/>
        <v/>
      </c>
      <c r="Z97" s="67" t="str">
        <f t="shared" si="46"/>
        <v/>
      </c>
    </row>
    <row r="98" spans="1:26" s="5" customFormat="1" ht="17.25" customHeight="1">
      <c r="A98" s="84">
        <v>87</v>
      </c>
      <c r="B98" s="32"/>
      <c r="C98" s="33"/>
      <c r="D98" s="34"/>
      <c r="E98" s="35"/>
      <c r="F98" s="32"/>
      <c r="G98" s="111"/>
      <c r="H98" s="111"/>
      <c r="I98" s="112"/>
      <c r="J98" s="97"/>
      <c r="K98" s="62" t="str">
        <f t="shared" si="32"/>
        <v/>
      </c>
      <c r="L98" s="62" t="str">
        <f t="shared" si="33"/>
        <v/>
      </c>
      <c r="M98" s="62" t="str">
        <f t="shared" si="34"/>
        <v/>
      </c>
      <c r="N98" s="63" t="str">
        <f t="shared" si="35"/>
        <v/>
      </c>
      <c r="O98" s="64" t="str">
        <f t="shared" si="47"/>
        <v/>
      </c>
      <c r="P98" s="93" t="str">
        <f t="shared" si="36"/>
        <v/>
      </c>
      <c r="Q98" s="94" t="str">
        <f t="shared" si="37"/>
        <v/>
      </c>
      <c r="R98" s="64" t="str">
        <f t="shared" si="38"/>
        <v/>
      </c>
      <c r="S98" s="93" t="str">
        <f t="shared" si="39"/>
        <v/>
      </c>
      <c r="T98" s="94" t="str">
        <f t="shared" si="40"/>
        <v/>
      </c>
      <c r="U98" s="64" t="str">
        <f t="shared" si="41"/>
        <v/>
      </c>
      <c r="V98" s="65" t="str">
        <f t="shared" si="42"/>
        <v/>
      </c>
      <c r="W98" s="78" t="str">
        <f t="shared" si="43"/>
        <v/>
      </c>
      <c r="X98" s="66" t="str">
        <f t="shared" si="44"/>
        <v/>
      </c>
      <c r="Y98" s="66" t="str">
        <f t="shared" si="45"/>
        <v/>
      </c>
      <c r="Z98" s="67" t="str">
        <f t="shared" si="46"/>
        <v/>
      </c>
    </row>
    <row r="99" spans="1:26" s="5" customFormat="1" ht="17.25" customHeight="1">
      <c r="A99" s="84">
        <v>88</v>
      </c>
      <c r="B99" s="32"/>
      <c r="C99" s="33"/>
      <c r="D99" s="34"/>
      <c r="E99" s="35"/>
      <c r="F99" s="32"/>
      <c r="G99" s="111"/>
      <c r="H99" s="111"/>
      <c r="I99" s="112"/>
      <c r="J99" s="97"/>
      <c r="K99" s="62" t="str">
        <f t="shared" si="32"/>
        <v/>
      </c>
      <c r="L99" s="62" t="str">
        <f t="shared" si="33"/>
        <v/>
      </c>
      <c r="M99" s="62" t="str">
        <f t="shared" si="34"/>
        <v/>
      </c>
      <c r="N99" s="63" t="str">
        <f t="shared" si="35"/>
        <v/>
      </c>
      <c r="O99" s="64" t="str">
        <f t="shared" si="47"/>
        <v/>
      </c>
      <c r="P99" s="93" t="str">
        <f t="shared" si="36"/>
        <v/>
      </c>
      <c r="Q99" s="94" t="str">
        <f t="shared" si="37"/>
        <v/>
      </c>
      <c r="R99" s="64" t="str">
        <f t="shared" si="38"/>
        <v/>
      </c>
      <c r="S99" s="93" t="str">
        <f t="shared" si="39"/>
        <v/>
      </c>
      <c r="T99" s="94" t="str">
        <f t="shared" si="40"/>
        <v/>
      </c>
      <c r="U99" s="64" t="str">
        <f t="shared" si="41"/>
        <v/>
      </c>
      <c r="V99" s="65" t="str">
        <f t="shared" si="42"/>
        <v/>
      </c>
      <c r="W99" s="78" t="str">
        <f t="shared" si="43"/>
        <v/>
      </c>
      <c r="X99" s="66" t="str">
        <f t="shared" si="44"/>
        <v/>
      </c>
      <c r="Y99" s="66" t="str">
        <f t="shared" si="45"/>
        <v/>
      </c>
      <c r="Z99" s="67" t="str">
        <f t="shared" si="46"/>
        <v/>
      </c>
    </row>
    <row r="100" spans="1:26" s="5" customFormat="1" ht="17.25" customHeight="1">
      <c r="A100" s="84">
        <v>89</v>
      </c>
      <c r="B100" s="32"/>
      <c r="C100" s="33"/>
      <c r="D100" s="34"/>
      <c r="E100" s="35"/>
      <c r="F100" s="32"/>
      <c r="G100" s="111"/>
      <c r="H100" s="111"/>
      <c r="I100" s="112"/>
      <c r="J100" s="97"/>
      <c r="K100" s="62" t="str">
        <f t="shared" si="32"/>
        <v/>
      </c>
      <c r="L100" s="62" t="str">
        <f t="shared" si="33"/>
        <v/>
      </c>
      <c r="M100" s="62" t="str">
        <f t="shared" si="34"/>
        <v/>
      </c>
      <c r="N100" s="63" t="str">
        <f t="shared" si="35"/>
        <v/>
      </c>
      <c r="O100" s="64" t="str">
        <f t="shared" si="47"/>
        <v/>
      </c>
      <c r="P100" s="93" t="str">
        <f t="shared" si="36"/>
        <v/>
      </c>
      <c r="Q100" s="94" t="str">
        <f t="shared" si="37"/>
        <v/>
      </c>
      <c r="R100" s="64" t="str">
        <f t="shared" si="38"/>
        <v/>
      </c>
      <c r="S100" s="93" t="str">
        <f t="shared" si="39"/>
        <v/>
      </c>
      <c r="T100" s="94" t="str">
        <f t="shared" si="40"/>
        <v/>
      </c>
      <c r="U100" s="64" t="str">
        <f t="shared" si="41"/>
        <v/>
      </c>
      <c r="V100" s="65" t="str">
        <f t="shared" si="42"/>
        <v/>
      </c>
      <c r="W100" s="78" t="str">
        <f t="shared" si="43"/>
        <v/>
      </c>
      <c r="X100" s="66" t="str">
        <f t="shared" si="44"/>
        <v/>
      </c>
      <c r="Y100" s="66" t="str">
        <f t="shared" si="45"/>
        <v/>
      </c>
      <c r="Z100" s="67" t="str">
        <f t="shared" si="46"/>
        <v/>
      </c>
    </row>
    <row r="101" spans="1:26" s="5" customFormat="1" ht="17.25" customHeight="1">
      <c r="A101" s="84">
        <v>90</v>
      </c>
      <c r="B101" s="32"/>
      <c r="C101" s="33"/>
      <c r="D101" s="34"/>
      <c r="E101" s="35"/>
      <c r="F101" s="32"/>
      <c r="G101" s="111"/>
      <c r="H101" s="111"/>
      <c r="I101" s="112"/>
      <c r="J101" s="97"/>
      <c r="K101" s="62" t="str">
        <f t="shared" si="32"/>
        <v/>
      </c>
      <c r="L101" s="62" t="str">
        <f t="shared" si="33"/>
        <v/>
      </c>
      <c r="M101" s="62" t="str">
        <f t="shared" si="34"/>
        <v/>
      </c>
      <c r="N101" s="63" t="str">
        <f t="shared" si="35"/>
        <v/>
      </c>
      <c r="O101" s="64" t="str">
        <f t="shared" si="47"/>
        <v/>
      </c>
      <c r="P101" s="93" t="str">
        <f t="shared" si="36"/>
        <v/>
      </c>
      <c r="Q101" s="94" t="str">
        <f t="shared" si="37"/>
        <v/>
      </c>
      <c r="R101" s="64" t="str">
        <f t="shared" si="38"/>
        <v/>
      </c>
      <c r="S101" s="93" t="str">
        <f t="shared" si="39"/>
        <v/>
      </c>
      <c r="T101" s="94" t="str">
        <f t="shared" si="40"/>
        <v/>
      </c>
      <c r="U101" s="64" t="str">
        <f t="shared" si="41"/>
        <v/>
      </c>
      <c r="V101" s="65" t="str">
        <f t="shared" si="42"/>
        <v/>
      </c>
      <c r="W101" s="78" t="str">
        <f t="shared" si="43"/>
        <v/>
      </c>
      <c r="X101" s="66" t="str">
        <f t="shared" si="44"/>
        <v/>
      </c>
      <c r="Y101" s="66" t="str">
        <f t="shared" si="45"/>
        <v/>
      </c>
      <c r="Z101" s="67" t="str">
        <f t="shared" si="46"/>
        <v/>
      </c>
    </row>
    <row r="102" spans="1:26" s="5" customFormat="1" ht="17.25" customHeight="1">
      <c r="A102" s="84">
        <v>91</v>
      </c>
      <c r="B102" s="32"/>
      <c r="C102" s="33"/>
      <c r="D102" s="34"/>
      <c r="E102" s="35"/>
      <c r="F102" s="32"/>
      <c r="G102" s="111"/>
      <c r="H102" s="111"/>
      <c r="I102" s="112"/>
      <c r="J102" s="97"/>
      <c r="K102" s="62" t="str">
        <f t="shared" si="32"/>
        <v/>
      </c>
      <c r="L102" s="62" t="str">
        <f t="shared" si="33"/>
        <v/>
      </c>
      <c r="M102" s="62" t="str">
        <f t="shared" si="34"/>
        <v/>
      </c>
      <c r="N102" s="63" t="str">
        <f t="shared" si="35"/>
        <v/>
      </c>
      <c r="O102" s="64" t="str">
        <f t="shared" si="47"/>
        <v/>
      </c>
      <c r="P102" s="93" t="str">
        <f t="shared" si="36"/>
        <v/>
      </c>
      <c r="Q102" s="94" t="str">
        <f t="shared" si="37"/>
        <v/>
      </c>
      <c r="R102" s="64" t="str">
        <f t="shared" si="38"/>
        <v/>
      </c>
      <c r="S102" s="93" t="str">
        <f t="shared" si="39"/>
        <v/>
      </c>
      <c r="T102" s="94" t="str">
        <f t="shared" si="40"/>
        <v/>
      </c>
      <c r="U102" s="64" t="str">
        <f t="shared" si="41"/>
        <v/>
      </c>
      <c r="V102" s="65" t="str">
        <f t="shared" si="42"/>
        <v/>
      </c>
      <c r="W102" s="78" t="str">
        <f t="shared" si="43"/>
        <v/>
      </c>
      <c r="X102" s="66" t="str">
        <f t="shared" si="44"/>
        <v/>
      </c>
      <c r="Y102" s="66" t="str">
        <f t="shared" si="45"/>
        <v/>
      </c>
      <c r="Z102" s="67" t="str">
        <f t="shared" si="46"/>
        <v/>
      </c>
    </row>
    <row r="103" spans="1:26" s="5" customFormat="1" ht="17.25" customHeight="1">
      <c r="A103" s="84">
        <v>92</v>
      </c>
      <c r="B103" s="32"/>
      <c r="C103" s="33"/>
      <c r="D103" s="34"/>
      <c r="E103" s="35"/>
      <c r="F103" s="32"/>
      <c r="G103" s="111"/>
      <c r="H103" s="111"/>
      <c r="I103" s="112"/>
      <c r="J103" s="97"/>
      <c r="K103" s="62" t="str">
        <f t="shared" si="32"/>
        <v/>
      </c>
      <c r="L103" s="62" t="str">
        <f t="shared" si="33"/>
        <v/>
      </c>
      <c r="M103" s="62" t="str">
        <f t="shared" si="34"/>
        <v/>
      </c>
      <c r="N103" s="63" t="str">
        <f t="shared" si="35"/>
        <v/>
      </c>
      <c r="O103" s="64" t="str">
        <f t="shared" si="47"/>
        <v/>
      </c>
      <c r="P103" s="93" t="str">
        <f t="shared" si="36"/>
        <v/>
      </c>
      <c r="Q103" s="94" t="str">
        <f t="shared" si="37"/>
        <v/>
      </c>
      <c r="R103" s="64" t="str">
        <f t="shared" si="38"/>
        <v/>
      </c>
      <c r="S103" s="93" t="str">
        <f t="shared" si="39"/>
        <v/>
      </c>
      <c r="T103" s="94" t="str">
        <f t="shared" si="40"/>
        <v/>
      </c>
      <c r="U103" s="64" t="str">
        <f t="shared" si="41"/>
        <v/>
      </c>
      <c r="V103" s="65" t="str">
        <f t="shared" si="42"/>
        <v/>
      </c>
      <c r="W103" s="78" t="str">
        <f t="shared" si="43"/>
        <v/>
      </c>
      <c r="X103" s="66" t="str">
        <f t="shared" si="44"/>
        <v/>
      </c>
      <c r="Y103" s="66" t="str">
        <f t="shared" si="45"/>
        <v/>
      </c>
      <c r="Z103" s="67" t="str">
        <f t="shared" si="46"/>
        <v/>
      </c>
    </row>
    <row r="104" spans="1:26" s="5" customFormat="1" ht="17.25" customHeight="1">
      <c r="A104" s="84">
        <v>93</v>
      </c>
      <c r="B104" s="32"/>
      <c r="C104" s="33"/>
      <c r="D104" s="34"/>
      <c r="E104" s="35"/>
      <c r="F104" s="32"/>
      <c r="G104" s="111"/>
      <c r="H104" s="111"/>
      <c r="I104" s="112"/>
      <c r="J104" s="97"/>
      <c r="K104" s="62" t="str">
        <f t="shared" si="32"/>
        <v/>
      </c>
      <c r="L104" s="62" t="str">
        <f t="shared" si="33"/>
        <v/>
      </c>
      <c r="M104" s="62" t="str">
        <f t="shared" si="34"/>
        <v/>
      </c>
      <c r="N104" s="63" t="str">
        <f t="shared" si="35"/>
        <v/>
      </c>
      <c r="O104" s="64" t="str">
        <f t="shared" si="47"/>
        <v/>
      </c>
      <c r="P104" s="93" t="str">
        <f t="shared" si="36"/>
        <v/>
      </c>
      <c r="Q104" s="94" t="str">
        <f t="shared" si="37"/>
        <v/>
      </c>
      <c r="R104" s="64" t="str">
        <f t="shared" si="38"/>
        <v/>
      </c>
      <c r="S104" s="93" t="str">
        <f t="shared" si="39"/>
        <v/>
      </c>
      <c r="T104" s="94" t="str">
        <f t="shared" si="40"/>
        <v/>
      </c>
      <c r="U104" s="64" t="str">
        <f t="shared" si="41"/>
        <v/>
      </c>
      <c r="V104" s="65" t="str">
        <f t="shared" si="42"/>
        <v/>
      </c>
      <c r="W104" s="78" t="str">
        <f t="shared" si="43"/>
        <v/>
      </c>
      <c r="X104" s="66" t="str">
        <f t="shared" si="44"/>
        <v/>
      </c>
      <c r="Y104" s="66" t="str">
        <f t="shared" si="45"/>
        <v/>
      </c>
      <c r="Z104" s="67" t="str">
        <f t="shared" si="46"/>
        <v/>
      </c>
    </row>
    <row r="105" spans="1:26" s="5" customFormat="1" ht="17.25" customHeight="1">
      <c r="A105" s="84">
        <v>94</v>
      </c>
      <c r="B105" s="32"/>
      <c r="C105" s="33"/>
      <c r="D105" s="34"/>
      <c r="E105" s="35"/>
      <c r="F105" s="32"/>
      <c r="G105" s="111"/>
      <c r="H105" s="111"/>
      <c r="I105" s="112"/>
      <c r="J105" s="97"/>
      <c r="K105" s="62" t="str">
        <f t="shared" si="32"/>
        <v/>
      </c>
      <c r="L105" s="62" t="str">
        <f t="shared" si="33"/>
        <v/>
      </c>
      <c r="M105" s="62" t="str">
        <f t="shared" si="34"/>
        <v/>
      </c>
      <c r="N105" s="63" t="str">
        <f t="shared" si="35"/>
        <v/>
      </c>
      <c r="O105" s="64" t="str">
        <f t="shared" si="47"/>
        <v/>
      </c>
      <c r="P105" s="93" t="str">
        <f t="shared" si="36"/>
        <v/>
      </c>
      <c r="Q105" s="94" t="str">
        <f t="shared" si="37"/>
        <v/>
      </c>
      <c r="R105" s="64" t="str">
        <f t="shared" si="38"/>
        <v/>
      </c>
      <c r="S105" s="93" t="str">
        <f t="shared" si="39"/>
        <v/>
      </c>
      <c r="T105" s="94" t="str">
        <f t="shared" si="40"/>
        <v/>
      </c>
      <c r="U105" s="64" t="str">
        <f t="shared" si="41"/>
        <v/>
      </c>
      <c r="V105" s="65" t="str">
        <f t="shared" si="42"/>
        <v/>
      </c>
      <c r="W105" s="78" t="str">
        <f t="shared" si="43"/>
        <v/>
      </c>
      <c r="X105" s="66" t="str">
        <f t="shared" si="44"/>
        <v/>
      </c>
      <c r="Y105" s="66" t="str">
        <f t="shared" si="45"/>
        <v/>
      </c>
      <c r="Z105" s="67" t="str">
        <f t="shared" si="46"/>
        <v/>
      </c>
    </row>
    <row r="106" spans="1:26" s="5" customFormat="1" ht="17.25" customHeight="1">
      <c r="A106" s="84">
        <v>95</v>
      </c>
      <c r="B106" s="32"/>
      <c r="C106" s="33"/>
      <c r="D106" s="34"/>
      <c r="E106" s="35"/>
      <c r="F106" s="32"/>
      <c r="G106" s="111"/>
      <c r="H106" s="111"/>
      <c r="I106" s="112"/>
      <c r="J106" s="97"/>
      <c r="K106" s="62" t="str">
        <f t="shared" si="32"/>
        <v/>
      </c>
      <c r="L106" s="62" t="str">
        <f t="shared" si="33"/>
        <v/>
      </c>
      <c r="M106" s="62" t="str">
        <f t="shared" si="34"/>
        <v/>
      </c>
      <c r="N106" s="63" t="str">
        <f t="shared" si="35"/>
        <v/>
      </c>
      <c r="O106" s="64" t="str">
        <f t="shared" si="47"/>
        <v/>
      </c>
      <c r="P106" s="93" t="str">
        <f t="shared" si="36"/>
        <v/>
      </c>
      <c r="Q106" s="94" t="str">
        <f t="shared" si="37"/>
        <v/>
      </c>
      <c r="R106" s="64" t="str">
        <f t="shared" si="38"/>
        <v/>
      </c>
      <c r="S106" s="93" t="str">
        <f t="shared" si="39"/>
        <v/>
      </c>
      <c r="T106" s="94" t="str">
        <f t="shared" si="40"/>
        <v/>
      </c>
      <c r="U106" s="64" t="str">
        <f t="shared" si="41"/>
        <v/>
      </c>
      <c r="V106" s="65" t="str">
        <f t="shared" si="42"/>
        <v/>
      </c>
      <c r="W106" s="78" t="str">
        <f t="shared" si="43"/>
        <v/>
      </c>
      <c r="X106" s="66" t="str">
        <f t="shared" si="44"/>
        <v/>
      </c>
      <c r="Y106" s="66" t="str">
        <f t="shared" si="45"/>
        <v/>
      </c>
      <c r="Z106" s="67" t="str">
        <f t="shared" si="46"/>
        <v/>
      </c>
    </row>
    <row r="107" spans="1:26" s="5" customFormat="1" ht="17.25" customHeight="1">
      <c r="A107" s="84">
        <v>96</v>
      </c>
      <c r="B107" s="32"/>
      <c r="C107" s="33"/>
      <c r="D107" s="34"/>
      <c r="E107" s="35"/>
      <c r="F107" s="32"/>
      <c r="G107" s="111"/>
      <c r="H107" s="111"/>
      <c r="I107" s="112"/>
      <c r="J107" s="97"/>
      <c r="K107" s="62" t="str">
        <f t="shared" si="32"/>
        <v/>
      </c>
      <c r="L107" s="62" t="str">
        <f t="shared" si="33"/>
        <v/>
      </c>
      <c r="M107" s="62" t="str">
        <f t="shared" si="34"/>
        <v/>
      </c>
      <c r="N107" s="63" t="str">
        <f t="shared" si="35"/>
        <v/>
      </c>
      <c r="O107" s="64" t="str">
        <f t="shared" si="47"/>
        <v/>
      </c>
      <c r="P107" s="93" t="str">
        <f t="shared" si="36"/>
        <v/>
      </c>
      <c r="Q107" s="94" t="str">
        <f t="shared" si="37"/>
        <v/>
      </c>
      <c r="R107" s="64" t="str">
        <f t="shared" si="38"/>
        <v/>
      </c>
      <c r="S107" s="93" t="str">
        <f t="shared" si="39"/>
        <v/>
      </c>
      <c r="T107" s="94" t="str">
        <f t="shared" si="40"/>
        <v/>
      </c>
      <c r="U107" s="64" t="str">
        <f t="shared" si="41"/>
        <v/>
      </c>
      <c r="V107" s="65" t="str">
        <f t="shared" si="42"/>
        <v/>
      </c>
      <c r="W107" s="78" t="str">
        <f t="shared" si="43"/>
        <v/>
      </c>
      <c r="X107" s="66" t="str">
        <f t="shared" si="44"/>
        <v/>
      </c>
      <c r="Y107" s="66" t="str">
        <f t="shared" si="45"/>
        <v/>
      </c>
      <c r="Z107" s="67" t="str">
        <f t="shared" si="46"/>
        <v/>
      </c>
    </row>
    <row r="108" spans="1:26" s="5" customFormat="1" ht="17.25" customHeight="1">
      <c r="A108" s="84">
        <v>97</v>
      </c>
      <c r="B108" s="32"/>
      <c r="C108" s="33"/>
      <c r="D108" s="34"/>
      <c r="E108" s="35"/>
      <c r="F108" s="32"/>
      <c r="G108" s="111"/>
      <c r="H108" s="111"/>
      <c r="I108" s="112"/>
      <c r="J108" s="97"/>
      <c r="K108" s="62" t="str">
        <f t="shared" ref="K108:K137" si="48">IF($W$11=0,"",IF(D108="","",IF($G108="","",IF($F108="","",IF($G108/$F108&gt;=$K$11,"yes","NC")))))</f>
        <v/>
      </c>
      <c r="L108" s="62" t="str">
        <f t="shared" ref="L108:L136" si="49">IF($X$11=0,"",IF($D108="","",IF($G108="","",IF($H108="","",IF($H108/$F108&gt;=$L$11,"yes","NC")))))</f>
        <v/>
      </c>
      <c r="M108" s="62" t="str">
        <f t="shared" ref="M108:M136" si="50">IF($Y$11=0,"",IF($D108="","",IF($G108="","",IF($I108="","",IF($F108/$I108&lt;=$M$11,"yes","NC")))))</f>
        <v/>
      </c>
      <c r="N108" s="63" t="str">
        <f t="shared" ref="N108:N137" si="51">IF($D108="","",IF($O$8="","",IF(OR($O108&lt;$N$8,$O108&gt;$P$8),"NC","yes")))</f>
        <v/>
      </c>
      <c r="O108" s="64" t="str">
        <f t="shared" si="47"/>
        <v/>
      </c>
      <c r="P108" s="93" t="str">
        <f t="shared" ref="P108:P137" si="52">IF($D108=0,"",IF(N108="yes",($O108/$O$8),IF(OR($O108&lt;$N$8,$O108&gt;$P$8),($O108/$O$8))))</f>
        <v/>
      </c>
      <c r="Q108" s="94" t="str">
        <f t="shared" ref="Q108:Q137" si="53">IF($D108="","",IF($R$8="","",IF(OR($R108&lt;$Q$8,$R108&gt;$S$8),"NC","yes")))</f>
        <v/>
      </c>
      <c r="R108" s="64" t="str">
        <f t="shared" ref="R108:R137" si="54">IF($D108="","",$H108/$F108)</f>
        <v/>
      </c>
      <c r="S108" s="93" t="str">
        <f t="shared" ref="S108:S137" si="55">IF($D108=0,"",IF(Q108="yes",($R108/$R$8),IF(OR($R108&gt;$Q$8,$R108&lt;$S$8),($R108/$R$8))))</f>
        <v/>
      </c>
      <c r="T108" s="94" t="str">
        <f t="shared" ref="T108:T137" si="56">IF($D108="","",IF($U$8="","",IF(OR($U108&lt;$T$8,U108&gt;$V$8),"NC","yes")))</f>
        <v/>
      </c>
      <c r="U108" s="64" t="str">
        <f t="shared" ref="U108:U137" si="57">IF($D108="","",$F108/$I108)</f>
        <v/>
      </c>
      <c r="V108" s="65" t="str">
        <f t="shared" ref="V108:V136" si="58">IF($D108="","",IF(T108="yes",(U108/U$8),IF(OR(U108&lt;$T$8,U108&gt;V$8),(U108/U$8))))</f>
        <v/>
      </c>
      <c r="W108" s="78" t="str">
        <f t="shared" ref="W108:W137" si="59">IF(C108="","",IF($D108="",$F108,""))</f>
        <v/>
      </c>
      <c r="X108" s="66" t="str">
        <f t="shared" ref="X108:X137" si="60">IF($C108="","",IF($D108="",$G108,""))</f>
        <v/>
      </c>
      <c r="Y108" s="66" t="str">
        <f t="shared" ref="Y108:Y137" si="61">IF($C108="","",IF($D108="",$H108,""))</f>
        <v/>
      </c>
      <c r="Z108" s="67" t="str">
        <f t="shared" ref="Z108:Z137" si="62">IF($C108="","",IF($D108="",I108,""))</f>
        <v/>
      </c>
    </row>
    <row r="109" spans="1:26" s="5" customFormat="1" ht="17.25" customHeight="1">
      <c r="A109" s="84">
        <v>98</v>
      </c>
      <c r="B109" s="32"/>
      <c r="C109" s="33"/>
      <c r="D109" s="34"/>
      <c r="E109" s="35"/>
      <c r="F109" s="32"/>
      <c r="G109" s="111"/>
      <c r="H109" s="111"/>
      <c r="I109" s="112"/>
      <c r="J109" s="97"/>
      <c r="K109" s="62" t="str">
        <f t="shared" si="48"/>
        <v/>
      </c>
      <c r="L109" s="62" t="str">
        <f t="shared" si="49"/>
        <v/>
      </c>
      <c r="M109" s="62" t="str">
        <f t="shared" si="50"/>
        <v/>
      </c>
      <c r="N109" s="63" t="str">
        <f t="shared" si="51"/>
        <v/>
      </c>
      <c r="O109" s="64" t="str">
        <f t="shared" ref="O109:O137" si="63">IF($D109="","",G109/$F109)</f>
        <v/>
      </c>
      <c r="P109" s="93" t="str">
        <f t="shared" si="52"/>
        <v/>
      </c>
      <c r="Q109" s="94" t="str">
        <f t="shared" si="53"/>
        <v/>
      </c>
      <c r="R109" s="64" t="str">
        <f t="shared" si="54"/>
        <v/>
      </c>
      <c r="S109" s="93" t="str">
        <f t="shared" si="55"/>
        <v/>
      </c>
      <c r="T109" s="94" t="str">
        <f t="shared" si="56"/>
        <v/>
      </c>
      <c r="U109" s="64" t="str">
        <f t="shared" si="57"/>
        <v/>
      </c>
      <c r="V109" s="65" t="str">
        <f t="shared" si="58"/>
        <v/>
      </c>
      <c r="W109" s="78" t="str">
        <f t="shared" si="59"/>
        <v/>
      </c>
      <c r="X109" s="66" t="str">
        <f t="shared" si="60"/>
        <v/>
      </c>
      <c r="Y109" s="66" t="str">
        <f t="shared" si="61"/>
        <v/>
      </c>
      <c r="Z109" s="67" t="str">
        <f t="shared" si="62"/>
        <v/>
      </c>
    </row>
    <row r="110" spans="1:26" s="5" customFormat="1" ht="17.25" customHeight="1">
      <c r="A110" s="84">
        <v>99</v>
      </c>
      <c r="B110" s="32"/>
      <c r="C110" s="33"/>
      <c r="D110" s="34"/>
      <c r="E110" s="35"/>
      <c r="F110" s="32"/>
      <c r="G110" s="111"/>
      <c r="H110" s="111"/>
      <c r="I110" s="112"/>
      <c r="J110" s="97"/>
      <c r="K110" s="62" t="str">
        <f t="shared" si="48"/>
        <v/>
      </c>
      <c r="L110" s="62" t="str">
        <f t="shared" si="49"/>
        <v/>
      </c>
      <c r="M110" s="62" t="str">
        <f t="shared" si="50"/>
        <v/>
      </c>
      <c r="N110" s="63" t="str">
        <f t="shared" si="51"/>
        <v/>
      </c>
      <c r="O110" s="64" t="str">
        <f t="shared" si="63"/>
        <v/>
      </c>
      <c r="P110" s="93" t="str">
        <f t="shared" si="52"/>
        <v/>
      </c>
      <c r="Q110" s="94" t="str">
        <f t="shared" si="53"/>
        <v/>
      </c>
      <c r="R110" s="64" t="str">
        <f t="shared" si="54"/>
        <v/>
      </c>
      <c r="S110" s="93" t="str">
        <f t="shared" si="55"/>
        <v/>
      </c>
      <c r="T110" s="94" t="str">
        <f t="shared" si="56"/>
        <v/>
      </c>
      <c r="U110" s="64" t="str">
        <f t="shared" si="57"/>
        <v/>
      </c>
      <c r="V110" s="65" t="str">
        <f t="shared" si="58"/>
        <v/>
      </c>
      <c r="W110" s="78" t="str">
        <f t="shared" si="59"/>
        <v/>
      </c>
      <c r="X110" s="66" t="str">
        <f t="shared" si="60"/>
        <v/>
      </c>
      <c r="Y110" s="66" t="str">
        <f t="shared" si="61"/>
        <v/>
      </c>
      <c r="Z110" s="67" t="str">
        <f t="shared" si="62"/>
        <v/>
      </c>
    </row>
    <row r="111" spans="1:26" s="5" customFormat="1" ht="17.25" customHeight="1">
      <c r="A111" s="84">
        <v>100</v>
      </c>
      <c r="B111" s="32"/>
      <c r="C111" s="33"/>
      <c r="D111" s="34"/>
      <c r="E111" s="35"/>
      <c r="F111" s="32"/>
      <c r="G111" s="111"/>
      <c r="H111" s="111"/>
      <c r="I111" s="112"/>
      <c r="J111" s="97"/>
      <c r="K111" s="62" t="str">
        <f t="shared" si="48"/>
        <v/>
      </c>
      <c r="L111" s="62" t="str">
        <f t="shared" si="49"/>
        <v/>
      </c>
      <c r="M111" s="62" t="str">
        <f t="shared" si="50"/>
        <v/>
      </c>
      <c r="N111" s="63" t="str">
        <f t="shared" si="51"/>
        <v/>
      </c>
      <c r="O111" s="64" t="str">
        <f t="shared" si="63"/>
        <v/>
      </c>
      <c r="P111" s="93" t="str">
        <f t="shared" si="52"/>
        <v/>
      </c>
      <c r="Q111" s="94" t="str">
        <f t="shared" si="53"/>
        <v/>
      </c>
      <c r="R111" s="64" t="str">
        <f t="shared" si="54"/>
        <v/>
      </c>
      <c r="S111" s="93" t="str">
        <f t="shared" si="55"/>
        <v/>
      </c>
      <c r="T111" s="94" t="str">
        <f t="shared" si="56"/>
        <v/>
      </c>
      <c r="U111" s="64" t="str">
        <f t="shared" si="57"/>
        <v/>
      </c>
      <c r="V111" s="65" t="str">
        <f t="shared" si="58"/>
        <v/>
      </c>
      <c r="W111" s="78" t="str">
        <f t="shared" si="59"/>
        <v/>
      </c>
      <c r="X111" s="66" t="str">
        <f t="shared" si="60"/>
        <v/>
      </c>
      <c r="Y111" s="66" t="str">
        <f t="shared" si="61"/>
        <v/>
      </c>
      <c r="Z111" s="67" t="str">
        <f t="shared" si="62"/>
        <v/>
      </c>
    </row>
    <row r="112" spans="1:26" s="5" customFormat="1" ht="17.25" customHeight="1">
      <c r="A112" s="84">
        <v>101</v>
      </c>
      <c r="B112" s="32"/>
      <c r="C112" s="33"/>
      <c r="D112" s="34"/>
      <c r="E112" s="35"/>
      <c r="F112" s="32"/>
      <c r="G112" s="111"/>
      <c r="H112" s="111"/>
      <c r="I112" s="112"/>
      <c r="J112" s="97"/>
      <c r="K112" s="62" t="str">
        <f t="shared" si="48"/>
        <v/>
      </c>
      <c r="L112" s="62" t="str">
        <f t="shared" si="49"/>
        <v/>
      </c>
      <c r="M112" s="62" t="str">
        <f t="shared" si="50"/>
        <v/>
      </c>
      <c r="N112" s="63" t="str">
        <f t="shared" si="51"/>
        <v/>
      </c>
      <c r="O112" s="64" t="str">
        <f t="shared" si="63"/>
        <v/>
      </c>
      <c r="P112" s="93" t="str">
        <f t="shared" si="52"/>
        <v/>
      </c>
      <c r="Q112" s="94" t="str">
        <f t="shared" si="53"/>
        <v/>
      </c>
      <c r="R112" s="64" t="str">
        <f t="shared" si="54"/>
        <v/>
      </c>
      <c r="S112" s="93" t="str">
        <f t="shared" si="55"/>
        <v/>
      </c>
      <c r="T112" s="94" t="str">
        <f t="shared" si="56"/>
        <v/>
      </c>
      <c r="U112" s="64" t="str">
        <f t="shared" si="57"/>
        <v/>
      </c>
      <c r="V112" s="65" t="str">
        <f t="shared" si="58"/>
        <v/>
      </c>
      <c r="W112" s="78" t="str">
        <f t="shared" si="59"/>
        <v/>
      </c>
      <c r="X112" s="66" t="str">
        <f t="shared" si="60"/>
        <v/>
      </c>
      <c r="Y112" s="66" t="str">
        <f t="shared" si="61"/>
        <v/>
      </c>
      <c r="Z112" s="67" t="str">
        <f t="shared" si="62"/>
        <v/>
      </c>
    </row>
    <row r="113" spans="1:26" s="5" customFormat="1" ht="17.25" customHeight="1">
      <c r="A113" s="84">
        <v>102</v>
      </c>
      <c r="B113" s="32"/>
      <c r="C113" s="33"/>
      <c r="D113" s="34"/>
      <c r="E113" s="35"/>
      <c r="F113" s="32"/>
      <c r="G113" s="111"/>
      <c r="H113" s="111"/>
      <c r="I113" s="112"/>
      <c r="J113" s="97"/>
      <c r="K113" s="62" t="str">
        <f t="shared" si="48"/>
        <v/>
      </c>
      <c r="L113" s="62" t="str">
        <f t="shared" si="49"/>
        <v/>
      </c>
      <c r="M113" s="62" t="str">
        <f t="shared" si="50"/>
        <v/>
      </c>
      <c r="N113" s="63" t="str">
        <f t="shared" si="51"/>
        <v/>
      </c>
      <c r="O113" s="64" t="str">
        <f t="shared" si="63"/>
        <v/>
      </c>
      <c r="P113" s="93" t="str">
        <f t="shared" si="52"/>
        <v/>
      </c>
      <c r="Q113" s="94" t="str">
        <f t="shared" si="53"/>
        <v/>
      </c>
      <c r="R113" s="64" t="str">
        <f t="shared" si="54"/>
        <v/>
      </c>
      <c r="S113" s="93" t="str">
        <f t="shared" si="55"/>
        <v/>
      </c>
      <c r="T113" s="94" t="str">
        <f t="shared" si="56"/>
        <v/>
      </c>
      <c r="U113" s="64" t="str">
        <f t="shared" si="57"/>
        <v/>
      </c>
      <c r="V113" s="65" t="str">
        <f t="shared" si="58"/>
        <v/>
      </c>
      <c r="W113" s="78" t="str">
        <f t="shared" si="59"/>
        <v/>
      </c>
      <c r="X113" s="66" t="str">
        <f t="shared" si="60"/>
        <v/>
      </c>
      <c r="Y113" s="66" t="str">
        <f t="shared" si="61"/>
        <v/>
      </c>
      <c r="Z113" s="67" t="str">
        <f t="shared" si="62"/>
        <v/>
      </c>
    </row>
    <row r="114" spans="1:26" s="5" customFormat="1" ht="17.25" customHeight="1">
      <c r="A114" s="84">
        <v>103</v>
      </c>
      <c r="B114" s="32"/>
      <c r="C114" s="33"/>
      <c r="D114" s="34"/>
      <c r="E114" s="35"/>
      <c r="F114" s="32"/>
      <c r="G114" s="111"/>
      <c r="H114" s="111"/>
      <c r="I114" s="112"/>
      <c r="J114" s="97"/>
      <c r="K114" s="62" t="str">
        <f t="shared" si="48"/>
        <v/>
      </c>
      <c r="L114" s="62" t="str">
        <f t="shared" si="49"/>
        <v/>
      </c>
      <c r="M114" s="62" t="str">
        <f t="shared" si="50"/>
        <v/>
      </c>
      <c r="N114" s="63" t="str">
        <f t="shared" si="51"/>
        <v/>
      </c>
      <c r="O114" s="64" t="str">
        <f t="shared" si="63"/>
        <v/>
      </c>
      <c r="P114" s="93" t="str">
        <f t="shared" si="52"/>
        <v/>
      </c>
      <c r="Q114" s="94" t="str">
        <f t="shared" si="53"/>
        <v/>
      </c>
      <c r="R114" s="64" t="str">
        <f t="shared" si="54"/>
        <v/>
      </c>
      <c r="S114" s="93" t="str">
        <f t="shared" si="55"/>
        <v/>
      </c>
      <c r="T114" s="94" t="str">
        <f t="shared" si="56"/>
        <v/>
      </c>
      <c r="U114" s="64" t="str">
        <f t="shared" si="57"/>
        <v/>
      </c>
      <c r="V114" s="65" t="str">
        <f t="shared" si="58"/>
        <v/>
      </c>
      <c r="W114" s="78" t="str">
        <f t="shared" si="59"/>
        <v/>
      </c>
      <c r="X114" s="66" t="str">
        <f t="shared" si="60"/>
        <v/>
      </c>
      <c r="Y114" s="66" t="str">
        <f t="shared" si="61"/>
        <v/>
      </c>
      <c r="Z114" s="67" t="str">
        <f t="shared" si="62"/>
        <v/>
      </c>
    </row>
    <row r="115" spans="1:26" s="5" customFormat="1" ht="17.25" customHeight="1">
      <c r="A115" s="84">
        <v>104</v>
      </c>
      <c r="B115" s="32"/>
      <c r="C115" s="33"/>
      <c r="D115" s="34"/>
      <c r="E115" s="35"/>
      <c r="F115" s="32"/>
      <c r="G115" s="111"/>
      <c r="H115" s="111"/>
      <c r="I115" s="112"/>
      <c r="J115" s="97"/>
      <c r="K115" s="62" t="str">
        <f t="shared" si="48"/>
        <v/>
      </c>
      <c r="L115" s="62" t="str">
        <f t="shared" si="49"/>
        <v/>
      </c>
      <c r="M115" s="62" t="str">
        <f t="shared" si="50"/>
        <v/>
      </c>
      <c r="N115" s="63" t="str">
        <f t="shared" si="51"/>
        <v/>
      </c>
      <c r="O115" s="64" t="str">
        <f t="shared" si="63"/>
        <v/>
      </c>
      <c r="P115" s="93" t="str">
        <f t="shared" si="52"/>
        <v/>
      </c>
      <c r="Q115" s="94" t="str">
        <f t="shared" si="53"/>
        <v/>
      </c>
      <c r="R115" s="64" t="str">
        <f t="shared" si="54"/>
        <v/>
      </c>
      <c r="S115" s="93" t="str">
        <f t="shared" si="55"/>
        <v/>
      </c>
      <c r="T115" s="94" t="str">
        <f t="shared" si="56"/>
        <v/>
      </c>
      <c r="U115" s="64" t="str">
        <f t="shared" si="57"/>
        <v/>
      </c>
      <c r="V115" s="65" t="str">
        <f t="shared" si="58"/>
        <v/>
      </c>
      <c r="W115" s="78" t="str">
        <f t="shared" si="59"/>
        <v/>
      </c>
      <c r="X115" s="66" t="str">
        <f t="shared" si="60"/>
        <v/>
      </c>
      <c r="Y115" s="66" t="str">
        <f t="shared" si="61"/>
        <v/>
      </c>
      <c r="Z115" s="67" t="str">
        <f t="shared" si="62"/>
        <v/>
      </c>
    </row>
    <row r="116" spans="1:26" s="5" customFormat="1" ht="17.25" customHeight="1">
      <c r="A116" s="84">
        <v>105</v>
      </c>
      <c r="B116" s="32"/>
      <c r="C116" s="33"/>
      <c r="D116" s="34"/>
      <c r="E116" s="35"/>
      <c r="F116" s="32"/>
      <c r="G116" s="111"/>
      <c r="H116" s="111"/>
      <c r="I116" s="112"/>
      <c r="J116" s="97"/>
      <c r="K116" s="62" t="str">
        <f t="shared" si="48"/>
        <v/>
      </c>
      <c r="L116" s="62" t="str">
        <f t="shared" si="49"/>
        <v/>
      </c>
      <c r="M116" s="62" t="str">
        <f t="shared" si="50"/>
        <v/>
      </c>
      <c r="N116" s="63" t="str">
        <f t="shared" si="51"/>
        <v/>
      </c>
      <c r="O116" s="64" t="str">
        <f t="shared" si="63"/>
        <v/>
      </c>
      <c r="P116" s="93" t="str">
        <f t="shared" si="52"/>
        <v/>
      </c>
      <c r="Q116" s="94" t="str">
        <f t="shared" si="53"/>
        <v/>
      </c>
      <c r="R116" s="64" t="str">
        <f t="shared" si="54"/>
        <v/>
      </c>
      <c r="S116" s="93" t="str">
        <f t="shared" si="55"/>
        <v/>
      </c>
      <c r="T116" s="94" t="str">
        <f t="shared" si="56"/>
        <v/>
      </c>
      <c r="U116" s="64" t="str">
        <f t="shared" si="57"/>
        <v/>
      </c>
      <c r="V116" s="65" t="str">
        <f t="shared" si="58"/>
        <v/>
      </c>
      <c r="W116" s="78" t="str">
        <f t="shared" si="59"/>
        <v/>
      </c>
      <c r="X116" s="66" t="str">
        <f t="shared" si="60"/>
        <v/>
      </c>
      <c r="Y116" s="66" t="str">
        <f t="shared" si="61"/>
        <v/>
      </c>
      <c r="Z116" s="67" t="str">
        <f t="shared" si="62"/>
        <v/>
      </c>
    </row>
    <row r="117" spans="1:26" s="5" customFormat="1" ht="17.25" customHeight="1">
      <c r="A117" s="84">
        <v>106</v>
      </c>
      <c r="B117" s="32"/>
      <c r="C117" s="33"/>
      <c r="D117" s="34"/>
      <c r="E117" s="35"/>
      <c r="F117" s="32"/>
      <c r="G117" s="111"/>
      <c r="H117" s="111"/>
      <c r="I117" s="112"/>
      <c r="J117" s="97"/>
      <c r="K117" s="62" t="str">
        <f t="shared" si="48"/>
        <v/>
      </c>
      <c r="L117" s="62" t="str">
        <f t="shared" si="49"/>
        <v/>
      </c>
      <c r="M117" s="62" t="str">
        <f t="shared" si="50"/>
        <v/>
      </c>
      <c r="N117" s="63" t="str">
        <f t="shared" si="51"/>
        <v/>
      </c>
      <c r="O117" s="64" t="str">
        <f t="shared" si="63"/>
        <v/>
      </c>
      <c r="P117" s="93" t="str">
        <f t="shared" si="52"/>
        <v/>
      </c>
      <c r="Q117" s="94" t="str">
        <f t="shared" si="53"/>
        <v/>
      </c>
      <c r="R117" s="64" t="str">
        <f t="shared" si="54"/>
        <v/>
      </c>
      <c r="S117" s="93" t="str">
        <f t="shared" si="55"/>
        <v/>
      </c>
      <c r="T117" s="94" t="str">
        <f t="shared" si="56"/>
        <v/>
      </c>
      <c r="U117" s="64" t="str">
        <f t="shared" si="57"/>
        <v/>
      </c>
      <c r="V117" s="65" t="str">
        <f t="shared" si="58"/>
        <v/>
      </c>
      <c r="W117" s="78" t="str">
        <f t="shared" si="59"/>
        <v/>
      </c>
      <c r="X117" s="66" t="str">
        <f t="shared" si="60"/>
        <v/>
      </c>
      <c r="Y117" s="66" t="str">
        <f t="shared" si="61"/>
        <v/>
      </c>
      <c r="Z117" s="67" t="str">
        <f t="shared" si="62"/>
        <v/>
      </c>
    </row>
    <row r="118" spans="1:26" s="5" customFormat="1" ht="17.25" customHeight="1">
      <c r="A118" s="84">
        <v>107</v>
      </c>
      <c r="B118" s="32"/>
      <c r="C118" s="33"/>
      <c r="D118" s="34"/>
      <c r="E118" s="35"/>
      <c r="F118" s="32"/>
      <c r="G118" s="111"/>
      <c r="H118" s="111"/>
      <c r="I118" s="112"/>
      <c r="J118" s="97"/>
      <c r="K118" s="62" t="str">
        <f t="shared" si="48"/>
        <v/>
      </c>
      <c r="L118" s="62" t="str">
        <f t="shared" si="49"/>
        <v/>
      </c>
      <c r="M118" s="62" t="str">
        <f t="shared" si="50"/>
        <v/>
      </c>
      <c r="N118" s="63" t="str">
        <f t="shared" si="51"/>
        <v/>
      </c>
      <c r="O118" s="64" t="str">
        <f t="shared" si="63"/>
        <v/>
      </c>
      <c r="P118" s="93" t="str">
        <f t="shared" si="52"/>
        <v/>
      </c>
      <c r="Q118" s="94" t="str">
        <f t="shared" si="53"/>
        <v/>
      </c>
      <c r="R118" s="64" t="str">
        <f t="shared" si="54"/>
        <v/>
      </c>
      <c r="S118" s="93" t="str">
        <f t="shared" si="55"/>
        <v/>
      </c>
      <c r="T118" s="94" t="str">
        <f t="shared" si="56"/>
        <v/>
      </c>
      <c r="U118" s="64" t="str">
        <f t="shared" si="57"/>
        <v/>
      </c>
      <c r="V118" s="65" t="str">
        <f t="shared" si="58"/>
        <v/>
      </c>
      <c r="W118" s="78" t="str">
        <f t="shared" si="59"/>
        <v/>
      </c>
      <c r="X118" s="66" t="str">
        <f t="shared" si="60"/>
        <v/>
      </c>
      <c r="Y118" s="66" t="str">
        <f t="shared" si="61"/>
        <v/>
      </c>
      <c r="Z118" s="67" t="str">
        <f t="shared" si="62"/>
        <v/>
      </c>
    </row>
    <row r="119" spans="1:26" s="5" customFormat="1" ht="17.25" customHeight="1">
      <c r="A119" s="84">
        <v>108</v>
      </c>
      <c r="B119" s="32"/>
      <c r="C119" s="33"/>
      <c r="D119" s="34"/>
      <c r="E119" s="35"/>
      <c r="F119" s="32"/>
      <c r="G119" s="111"/>
      <c r="H119" s="111"/>
      <c r="I119" s="112"/>
      <c r="J119" s="97"/>
      <c r="K119" s="62" t="str">
        <f t="shared" si="48"/>
        <v/>
      </c>
      <c r="L119" s="62" t="str">
        <f t="shared" si="49"/>
        <v/>
      </c>
      <c r="M119" s="62" t="str">
        <f t="shared" si="50"/>
        <v/>
      </c>
      <c r="N119" s="63" t="str">
        <f t="shared" si="51"/>
        <v/>
      </c>
      <c r="O119" s="64" t="str">
        <f t="shared" si="63"/>
        <v/>
      </c>
      <c r="P119" s="93" t="str">
        <f t="shared" si="52"/>
        <v/>
      </c>
      <c r="Q119" s="94" t="str">
        <f t="shared" si="53"/>
        <v/>
      </c>
      <c r="R119" s="64" t="str">
        <f t="shared" si="54"/>
        <v/>
      </c>
      <c r="S119" s="93" t="str">
        <f t="shared" si="55"/>
        <v/>
      </c>
      <c r="T119" s="94" t="str">
        <f t="shared" si="56"/>
        <v/>
      </c>
      <c r="U119" s="64" t="str">
        <f t="shared" si="57"/>
        <v/>
      </c>
      <c r="V119" s="65" t="str">
        <f t="shared" si="58"/>
        <v/>
      </c>
      <c r="W119" s="78" t="str">
        <f t="shared" si="59"/>
        <v/>
      </c>
      <c r="X119" s="66" t="str">
        <f t="shared" si="60"/>
        <v/>
      </c>
      <c r="Y119" s="66" t="str">
        <f t="shared" si="61"/>
        <v/>
      </c>
      <c r="Z119" s="67" t="str">
        <f t="shared" si="62"/>
        <v/>
      </c>
    </row>
    <row r="120" spans="1:26" s="5" customFormat="1" ht="17.25" customHeight="1">
      <c r="A120" s="84">
        <v>109</v>
      </c>
      <c r="B120" s="32"/>
      <c r="C120" s="33"/>
      <c r="D120" s="34"/>
      <c r="E120" s="35"/>
      <c r="F120" s="32"/>
      <c r="G120" s="111"/>
      <c r="H120" s="111"/>
      <c r="I120" s="112"/>
      <c r="J120" s="97"/>
      <c r="K120" s="62" t="str">
        <f t="shared" si="48"/>
        <v/>
      </c>
      <c r="L120" s="62" t="str">
        <f t="shared" si="49"/>
        <v/>
      </c>
      <c r="M120" s="62" t="str">
        <f t="shared" si="50"/>
        <v/>
      </c>
      <c r="N120" s="63" t="str">
        <f t="shared" si="51"/>
        <v/>
      </c>
      <c r="O120" s="64" t="str">
        <f t="shared" si="63"/>
        <v/>
      </c>
      <c r="P120" s="93" t="str">
        <f t="shared" si="52"/>
        <v/>
      </c>
      <c r="Q120" s="94" t="str">
        <f t="shared" si="53"/>
        <v/>
      </c>
      <c r="R120" s="64" t="str">
        <f t="shared" si="54"/>
        <v/>
      </c>
      <c r="S120" s="93" t="str">
        <f t="shared" si="55"/>
        <v/>
      </c>
      <c r="T120" s="94" t="str">
        <f t="shared" si="56"/>
        <v/>
      </c>
      <c r="U120" s="64" t="str">
        <f t="shared" si="57"/>
        <v/>
      </c>
      <c r="V120" s="65" t="str">
        <f t="shared" si="58"/>
        <v/>
      </c>
      <c r="W120" s="78" t="str">
        <f t="shared" si="59"/>
        <v/>
      </c>
      <c r="X120" s="66" t="str">
        <f t="shared" si="60"/>
        <v/>
      </c>
      <c r="Y120" s="66" t="str">
        <f t="shared" si="61"/>
        <v/>
      </c>
      <c r="Z120" s="67" t="str">
        <f t="shared" si="62"/>
        <v/>
      </c>
    </row>
    <row r="121" spans="1:26" s="5" customFormat="1" ht="17.25" customHeight="1">
      <c r="A121" s="84">
        <v>110</v>
      </c>
      <c r="B121" s="32"/>
      <c r="C121" s="33"/>
      <c r="D121" s="34"/>
      <c r="E121" s="35"/>
      <c r="F121" s="32"/>
      <c r="G121" s="111"/>
      <c r="H121" s="111"/>
      <c r="I121" s="112"/>
      <c r="J121" s="97"/>
      <c r="K121" s="62" t="str">
        <f t="shared" si="48"/>
        <v/>
      </c>
      <c r="L121" s="62" t="str">
        <f t="shared" si="49"/>
        <v/>
      </c>
      <c r="M121" s="62" t="str">
        <f t="shared" si="50"/>
        <v/>
      </c>
      <c r="N121" s="63" t="str">
        <f t="shared" si="51"/>
        <v/>
      </c>
      <c r="O121" s="64" t="str">
        <f t="shared" si="63"/>
        <v/>
      </c>
      <c r="P121" s="93" t="str">
        <f t="shared" si="52"/>
        <v/>
      </c>
      <c r="Q121" s="94" t="str">
        <f t="shared" si="53"/>
        <v/>
      </c>
      <c r="R121" s="64" t="str">
        <f t="shared" si="54"/>
        <v/>
      </c>
      <c r="S121" s="93" t="str">
        <f t="shared" si="55"/>
        <v/>
      </c>
      <c r="T121" s="94" t="str">
        <f t="shared" si="56"/>
        <v/>
      </c>
      <c r="U121" s="64" t="str">
        <f t="shared" si="57"/>
        <v/>
      </c>
      <c r="V121" s="65" t="str">
        <f t="shared" si="58"/>
        <v/>
      </c>
      <c r="W121" s="78" t="str">
        <f t="shared" si="59"/>
        <v/>
      </c>
      <c r="X121" s="66" t="str">
        <f t="shared" si="60"/>
        <v/>
      </c>
      <c r="Y121" s="66" t="str">
        <f t="shared" si="61"/>
        <v/>
      </c>
      <c r="Z121" s="67" t="str">
        <f t="shared" si="62"/>
        <v/>
      </c>
    </row>
    <row r="122" spans="1:26" s="5" customFormat="1" ht="17.25" customHeight="1">
      <c r="A122" s="84">
        <v>111</v>
      </c>
      <c r="B122" s="32"/>
      <c r="C122" s="33"/>
      <c r="D122" s="34"/>
      <c r="E122" s="35"/>
      <c r="F122" s="32"/>
      <c r="G122" s="111"/>
      <c r="H122" s="111"/>
      <c r="I122" s="112"/>
      <c r="J122" s="97"/>
      <c r="K122" s="62" t="str">
        <f t="shared" si="48"/>
        <v/>
      </c>
      <c r="L122" s="62" t="str">
        <f t="shared" si="49"/>
        <v/>
      </c>
      <c r="M122" s="62" t="str">
        <f t="shared" si="50"/>
        <v/>
      </c>
      <c r="N122" s="63" t="str">
        <f t="shared" si="51"/>
        <v/>
      </c>
      <c r="O122" s="64" t="str">
        <f t="shared" si="63"/>
        <v/>
      </c>
      <c r="P122" s="93" t="str">
        <f t="shared" si="52"/>
        <v/>
      </c>
      <c r="Q122" s="94" t="str">
        <f t="shared" si="53"/>
        <v/>
      </c>
      <c r="R122" s="64" t="str">
        <f t="shared" si="54"/>
        <v/>
      </c>
      <c r="S122" s="93" t="str">
        <f t="shared" si="55"/>
        <v/>
      </c>
      <c r="T122" s="94" t="str">
        <f t="shared" si="56"/>
        <v/>
      </c>
      <c r="U122" s="64" t="str">
        <f t="shared" si="57"/>
        <v/>
      </c>
      <c r="V122" s="65" t="str">
        <f t="shared" si="58"/>
        <v/>
      </c>
      <c r="W122" s="78" t="str">
        <f t="shared" si="59"/>
        <v/>
      </c>
      <c r="X122" s="66" t="str">
        <f t="shared" si="60"/>
        <v/>
      </c>
      <c r="Y122" s="66" t="str">
        <f t="shared" si="61"/>
        <v/>
      </c>
      <c r="Z122" s="67" t="str">
        <f t="shared" si="62"/>
        <v/>
      </c>
    </row>
    <row r="123" spans="1:26" s="5" customFormat="1" ht="17.25" customHeight="1">
      <c r="A123" s="84">
        <v>112</v>
      </c>
      <c r="B123" s="32"/>
      <c r="C123" s="33"/>
      <c r="D123" s="34"/>
      <c r="E123" s="35"/>
      <c r="F123" s="32"/>
      <c r="G123" s="111"/>
      <c r="H123" s="111"/>
      <c r="I123" s="112"/>
      <c r="J123" s="97"/>
      <c r="K123" s="62" t="str">
        <f t="shared" si="48"/>
        <v/>
      </c>
      <c r="L123" s="62" t="str">
        <f t="shared" si="49"/>
        <v/>
      </c>
      <c r="M123" s="62" t="str">
        <f t="shared" si="50"/>
        <v/>
      </c>
      <c r="N123" s="63" t="str">
        <f t="shared" si="51"/>
        <v/>
      </c>
      <c r="O123" s="64" t="str">
        <f t="shared" si="63"/>
        <v/>
      </c>
      <c r="P123" s="93" t="str">
        <f t="shared" si="52"/>
        <v/>
      </c>
      <c r="Q123" s="94" t="str">
        <f t="shared" si="53"/>
        <v/>
      </c>
      <c r="R123" s="64" t="str">
        <f t="shared" si="54"/>
        <v/>
      </c>
      <c r="S123" s="93" t="str">
        <f t="shared" si="55"/>
        <v/>
      </c>
      <c r="T123" s="94" t="str">
        <f t="shared" si="56"/>
        <v/>
      </c>
      <c r="U123" s="64" t="str">
        <f t="shared" si="57"/>
        <v/>
      </c>
      <c r="V123" s="65" t="str">
        <f t="shared" si="58"/>
        <v/>
      </c>
      <c r="W123" s="78" t="str">
        <f t="shared" si="59"/>
        <v/>
      </c>
      <c r="X123" s="66" t="str">
        <f t="shared" si="60"/>
        <v/>
      </c>
      <c r="Y123" s="66" t="str">
        <f t="shared" si="61"/>
        <v/>
      </c>
      <c r="Z123" s="67" t="str">
        <f t="shared" si="62"/>
        <v/>
      </c>
    </row>
    <row r="124" spans="1:26" s="5" customFormat="1" ht="17.25" customHeight="1">
      <c r="A124" s="84">
        <v>113</v>
      </c>
      <c r="B124" s="32"/>
      <c r="C124" s="33"/>
      <c r="D124" s="34"/>
      <c r="E124" s="35"/>
      <c r="F124" s="32"/>
      <c r="G124" s="111"/>
      <c r="H124" s="111"/>
      <c r="I124" s="112"/>
      <c r="J124" s="97"/>
      <c r="K124" s="62" t="str">
        <f t="shared" si="48"/>
        <v/>
      </c>
      <c r="L124" s="62" t="str">
        <f t="shared" si="49"/>
        <v/>
      </c>
      <c r="M124" s="62" t="str">
        <f t="shared" si="50"/>
        <v/>
      </c>
      <c r="N124" s="63" t="str">
        <f t="shared" si="51"/>
        <v/>
      </c>
      <c r="O124" s="64" t="str">
        <f t="shared" si="63"/>
        <v/>
      </c>
      <c r="P124" s="93" t="str">
        <f t="shared" si="52"/>
        <v/>
      </c>
      <c r="Q124" s="94" t="str">
        <f t="shared" si="53"/>
        <v/>
      </c>
      <c r="R124" s="64" t="str">
        <f t="shared" si="54"/>
        <v/>
      </c>
      <c r="S124" s="93" t="str">
        <f t="shared" si="55"/>
        <v/>
      </c>
      <c r="T124" s="94" t="str">
        <f t="shared" si="56"/>
        <v/>
      </c>
      <c r="U124" s="64" t="str">
        <f t="shared" si="57"/>
        <v/>
      </c>
      <c r="V124" s="65" t="str">
        <f t="shared" si="58"/>
        <v/>
      </c>
      <c r="W124" s="78" t="str">
        <f t="shared" si="59"/>
        <v/>
      </c>
      <c r="X124" s="66" t="str">
        <f t="shared" si="60"/>
        <v/>
      </c>
      <c r="Y124" s="66" t="str">
        <f t="shared" si="61"/>
        <v/>
      </c>
      <c r="Z124" s="67" t="str">
        <f t="shared" si="62"/>
        <v/>
      </c>
    </row>
    <row r="125" spans="1:26" s="5" customFormat="1" ht="17.25" customHeight="1">
      <c r="A125" s="84">
        <v>114</v>
      </c>
      <c r="B125" s="32"/>
      <c r="C125" s="33"/>
      <c r="D125" s="34"/>
      <c r="E125" s="35"/>
      <c r="F125" s="32"/>
      <c r="G125" s="111"/>
      <c r="H125" s="111"/>
      <c r="I125" s="112"/>
      <c r="J125" s="97"/>
      <c r="K125" s="62" t="str">
        <f t="shared" si="48"/>
        <v/>
      </c>
      <c r="L125" s="62" t="str">
        <f t="shared" si="49"/>
        <v/>
      </c>
      <c r="M125" s="62" t="str">
        <f t="shared" si="50"/>
        <v/>
      </c>
      <c r="N125" s="63" t="str">
        <f t="shared" si="51"/>
        <v/>
      </c>
      <c r="O125" s="64" t="str">
        <f t="shared" si="63"/>
        <v/>
      </c>
      <c r="P125" s="93" t="str">
        <f t="shared" si="52"/>
        <v/>
      </c>
      <c r="Q125" s="94" t="str">
        <f t="shared" si="53"/>
        <v/>
      </c>
      <c r="R125" s="64" t="str">
        <f t="shared" si="54"/>
        <v/>
      </c>
      <c r="S125" s="93" t="str">
        <f t="shared" si="55"/>
        <v/>
      </c>
      <c r="T125" s="94" t="str">
        <f t="shared" si="56"/>
        <v/>
      </c>
      <c r="U125" s="64" t="str">
        <f t="shared" si="57"/>
        <v/>
      </c>
      <c r="V125" s="65" t="str">
        <f t="shared" si="58"/>
        <v/>
      </c>
      <c r="W125" s="78" t="str">
        <f t="shared" si="59"/>
        <v/>
      </c>
      <c r="X125" s="66" t="str">
        <f t="shared" si="60"/>
        <v/>
      </c>
      <c r="Y125" s="66" t="str">
        <f t="shared" si="61"/>
        <v/>
      </c>
      <c r="Z125" s="67" t="str">
        <f t="shared" si="62"/>
        <v/>
      </c>
    </row>
    <row r="126" spans="1:26" s="5" customFormat="1" ht="17.25" customHeight="1">
      <c r="A126" s="84">
        <v>115</v>
      </c>
      <c r="B126" s="32"/>
      <c r="C126" s="33"/>
      <c r="D126" s="34"/>
      <c r="E126" s="35"/>
      <c r="F126" s="32"/>
      <c r="G126" s="111"/>
      <c r="H126" s="111"/>
      <c r="I126" s="112"/>
      <c r="J126" s="97"/>
      <c r="K126" s="62" t="str">
        <f t="shared" si="48"/>
        <v/>
      </c>
      <c r="L126" s="62" t="str">
        <f t="shared" si="49"/>
        <v/>
      </c>
      <c r="M126" s="62" t="str">
        <f t="shared" si="50"/>
        <v/>
      </c>
      <c r="N126" s="63" t="str">
        <f t="shared" si="51"/>
        <v/>
      </c>
      <c r="O126" s="64" t="str">
        <f t="shared" si="63"/>
        <v/>
      </c>
      <c r="P126" s="93" t="str">
        <f t="shared" si="52"/>
        <v/>
      </c>
      <c r="Q126" s="94" t="str">
        <f t="shared" si="53"/>
        <v/>
      </c>
      <c r="R126" s="64" t="str">
        <f t="shared" si="54"/>
        <v/>
      </c>
      <c r="S126" s="93" t="str">
        <f t="shared" si="55"/>
        <v/>
      </c>
      <c r="T126" s="94" t="str">
        <f t="shared" si="56"/>
        <v/>
      </c>
      <c r="U126" s="64" t="str">
        <f t="shared" si="57"/>
        <v/>
      </c>
      <c r="V126" s="65" t="str">
        <f t="shared" si="58"/>
        <v/>
      </c>
      <c r="W126" s="78" t="str">
        <f t="shared" si="59"/>
        <v/>
      </c>
      <c r="X126" s="66" t="str">
        <f t="shared" si="60"/>
        <v/>
      </c>
      <c r="Y126" s="66" t="str">
        <f t="shared" si="61"/>
        <v/>
      </c>
      <c r="Z126" s="67" t="str">
        <f t="shared" si="62"/>
        <v/>
      </c>
    </row>
    <row r="127" spans="1:26" s="5" customFormat="1" ht="17.25" customHeight="1">
      <c r="A127" s="84">
        <v>116</v>
      </c>
      <c r="B127" s="32"/>
      <c r="C127" s="33"/>
      <c r="D127" s="34"/>
      <c r="E127" s="35"/>
      <c r="F127" s="32"/>
      <c r="G127" s="111"/>
      <c r="H127" s="111"/>
      <c r="I127" s="112"/>
      <c r="J127" s="97"/>
      <c r="K127" s="62" t="str">
        <f t="shared" si="48"/>
        <v/>
      </c>
      <c r="L127" s="62" t="str">
        <f t="shared" si="49"/>
        <v/>
      </c>
      <c r="M127" s="62" t="str">
        <f t="shared" si="50"/>
        <v/>
      </c>
      <c r="N127" s="63" t="str">
        <f t="shared" si="51"/>
        <v/>
      </c>
      <c r="O127" s="64" t="str">
        <f t="shared" si="63"/>
        <v/>
      </c>
      <c r="P127" s="93" t="str">
        <f t="shared" si="52"/>
        <v/>
      </c>
      <c r="Q127" s="94" t="str">
        <f t="shared" si="53"/>
        <v/>
      </c>
      <c r="R127" s="64" t="str">
        <f t="shared" si="54"/>
        <v/>
      </c>
      <c r="S127" s="93" t="str">
        <f t="shared" si="55"/>
        <v/>
      </c>
      <c r="T127" s="94" t="str">
        <f t="shared" si="56"/>
        <v/>
      </c>
      <c r="U127" s="64" t="str">
        <f t="shared" si="57"/>
        <v/>
      </c>
      <c r="V127" s="65" t="str">
        <f t="shared" si="58"/>
        <v/>
      </c>
      <c r="W127" s="78" t="str">
        <f t="shared" si="59"/>
        <v/>
      </c>
      <c r="X127" s="66" t="str">
        <f t="shared" si="60"/>
        <v/>
      </c>
      <c r="Y127" s="66" t="str">
        <f t="shared" si="61"/>
        <v/>
      </c>
      <c r="Z127" s="67" t="str">
        <f t="shared" si="62"/>
        <v/>
      </c>
    </row>
    <row r="128" spans="1:26" s="5" customFormat="1" ht="17.25" customHeight="1">
      <c r="A128" s="84">
        <v>117</v>
      </c>
      <c r="B128" s="32"/>
      <c r="C128" s="33"/>
      <c r="D128" s="34"/>
      <c r="E128" s="35"/>
      <c r="F128" s="32"/>
      <c r="G128" s="111"/>
      <c r="H128" s="111"/>
      <c r="I128" s="112"/>
      <c r="J128" s="97"/>
      <c r="K128" s="62" t="str">
        <f t="shared" si="48"/>
        <v/>
      </c>
      <c r="L128" s="62" t="str">
        <f t="shared" si="49"/>
        <v/>
      </c>
      <c r="M128" s="62" t="str">
        <f t="shared" si="50"/>
        <v/>
      </c>
      <c r="N128" s="63" t="str">
        <f t="shared" si="51"/>
        <v/>
      </c>
      <c r="O128" s="64" t="str">
        <f t="shared" si="63"/>
        <v/>
      </c>
      <c r="P128" s="93" t="str">
        <f t="shared" si="52"/>
        <v/>
      </c>
      <c r="Q128" s="94" t="str">
        <f t="shared" si="53"/>
        <v/>
      </c>
      <c r="R128" s="64" t="str">
        <f t="shared" si="54"/>
        <v/>
      </c>
      <c r="S128" s="93" t="str">
        <f t="shared" si="55"/>
        <v/>
      </c>
      <c r="T128" s="94" t="str">
        <f t="shared" si="56"/>
        <v/>
      </c>
      <c r="U128" s="64" t="str">
        <f t="shared" si="57"/>
        <v/>
      </c>
      <c r="V128" s="65" t="str">
        <f t="shared" si="58"/>
        <v/>
      </c>
      <c r="W128" s="78" t="str">
        <f t="shared" si="59"/>
        <v/>
      </c>
      <c r="X128" s="66" t="str">
        <f t="shared" si="60"/>
        <v/>
      </c>
      <c r="Y128" s="66" t="str">
        <f t="shared" si="61"/>
        <v/>
      </c>
      <c r="Z128" s="67" t="str">
        <f t="shared" si="62"/>
        <v/>
      </c>
    </row>
    <row r="129" spans="1:26" s="5" customFormat="1" ht="17.25" customHeight="1">
      <c r="A129" s="84">
        <v>118</v>
      </c>
      <c r="B129" s="32"/>
      <c r="C129" s="33"/>
      <c r="D129" s="34"/>
      <c r="E129" s="35"/>
      <c r="F129" s="32"/>
      <c r="G129" s="111"/>
      <c r="H129" s="111"/>
      <c r="I129" s="112"/>
      <c r="J129" s="97"/>
      <c r="K129" s="62" t="str">
        <f t="shared" si="48"/>
        <v/>
      </c>
      <c r="L129" s="62" t="str">
        <f t="shared" si="49"/>
        <v/>
      </c>
      <c r="M129" s="62" t="str">
        <f t="shared" si="50"/>
        <v/>
      </c>
      <c r="N129" s="63" t="str">
        <f t="shared" si="51"/>
        <v/>
      </c>
      <c r="O129" s="64" t="str">
        <f t="shared" si="63"/>
        <v/>
      </c>
      <c r="P129" s="93" t="str">
        <f t="shared" si="52"/>
        <v/>
      </c>
      <c r="Q129" s="94" t="str">
        <f t="shared" si="53"/>
        <v/>
      </c>
      <c r="R129" s="64" t="str">
        <f t="shared" si="54"/>
        <v/>
      </c>
      <c r="S129" s="93" t="str">
        <f t="shared" si="55"/>
        <v/>
      </c>
      <c r="T129" s="94" t="str">
        <f t="shared" si="56"/>
        <v/>
      </c>
      <c r="U129" s="64" t="str">
        <f t="shared" si="57"/>
        <v/>
      </c>
      <c r="V129" s="65" t="str">
        <f t="shared" si="58"/>
        <v/>
      </c>
      <c r="W129" s="78" t="str">
        <f t="shared" si="59"/>
        <v/>
      </c>
      <c r="X129" s="66" t="str">
        <f t="shared" si="60"/>
        <v/>
      </c>
      <c r="Y129" s="66" t="str">
        <f t="shared" si="61"/>
        <v/>
      </c>
      <c r="Z129" s="67" t="str">
        <f t="shared" si="62"/>
        <v/>
      </c>
    </row>
    <row r="130" spans="1:26" s="5" customFormat="1" ht="17.25" customHeight="1">
      <c r="A130" s="84">
        <v>119</v>
      </c>
      <c r="B130" s="32"/>
      <c r="C130" s="33"/>
      <c r="D130" s="34"/>
      <c r="E130" s="35"/>
      <c r="F130" s="32"/>
      <c r="G130" s="111"/>
      <c r="H130" s="111"/>
      <c r="I130" s="112"/>
      <c r="J130" s="97"/>
      <c r="K130" s="62" t="str">
        <f t="shared" si="48"/>
        <v/>
      </c>
      <c r="L130" s="62" t="str">
        <f t="shared" si="49"/>
        <v/>
      </c>
      <c r="M130" s="62" t="str">
        <f t="shared" si="50"/>
        <v/>
      </c>
      <c r="N130" s="63" t="str">
        <f t="shared" si="51"/>
        <v/>
      </c>
      <c r="O130" s="64" t="str">
        <f t="shared" si="63"/>
        <v/>
      </c>
      <c r="P130" s="93" t="str">
        <f t="shared" si="52"/>
        <v/>
      </c>
      <c r="Q130" s="94" t="str">
        <f t="shared" si="53"/>
        <v/>
      </c>
      <c r="R130" s="64" t="str">
        <f t="shared" si="54"/>
        <v/>
      </c>
      <c r="S130" s="93" t="str">
        <f t="shared" si="55"/>
        <v/>
      </c>
      <c r="T130" s="94" t="str">
        <f t="shared" si="56"/>
        <v/>
      </c>
      <c r="U130" s="64" t="str">
        <f t="shared" si="57"/>
        <v/>
      </c>
      <c r="V130" s="65" t="str">
        <f t="shared" si="58"/>
        <v/>
      </c>
      <c r="W130" s="78" t="str">
        <f t="shared" si="59"/>
        <v/>
      </c>
      <c r="X130" s="66" t="str">
        <f t="shared" si="60"/>
        <v/>
      </c>
      <c r="Y130" s="66" t="str">
        <f t="shared" si="61"/>
        <v/>
      </c>
      <c r="Z130" s="67" t="str">
        <f t="shared" si="62"/>
        <v/>
      </c>
    </row>
    <row r="131" spans="1:26" s="5" customFormat="1" ht="17.25" customHeight="1">
      <c r="A131" s="84">
        <v>120</v>
      </c>
      <c r="B131" s="32"/>
      <c r="C131" s="33"/>
      <c r="D131" s="34"/>
      <c r="E131" s="35"/>
      <c r="F131" s="32"/>
      <c r="G131" s="111"/>
      <c r="H131" s="111"/>
      <c r="I131" s="112"/>
      <c r="J131" s="97"/>
      <c r="K131" s="62" t="str">
        <f t="shared" si="48"/>
        <v/>
      </c>
      <c r="L131" s="62" t="str">
        <f t="shared" si="49"/>
        <v/>
      </c>
      <c r="M131" s="62" t="str">
        <f t="shared" si="50"/>
        <v/>
      </c>
      <c r="N131" s="63" t="str">
        <f t="shared" si="51"/>
        <v/>
      </c>
      <c r="O131" s="64" t="str">
        <f t="shared" si="63"/>
        <v/>
      </c>
      <c r="P131" s="93" t="str">
        <f t="shared" si="52"/>
        <v/>
      </c>
      <c r="Q131" s="94" t="str">
        <f t="shared" si="53"/>
        <v/>
      </c>
      <c r="R131" s="64" t="str">
        <f t="shared" si="54"/>
        <v/>
      </c>
      <c r="S131" s="93" t="str">
        <f t="shared" si="55"/>
        <v/>
      </c>
      <c r="T131" s="94" t="str">
        <f t="shared" si="56"/>
        <v/>
      </c>
      <c r="U131" s="64" t="str">
        <f t="shared" si="57"/>
        <v/>
      </c>
      <c r="V131" s="65" t="str">
        <f t="shared" si="58"/>
        <v/>
      </c>
      <c r="W131" s="78" t="str">
        <f t="shared" si="59"/>
        <v/>
      </c>
      <c r="X131" s="66" t="str">
        <f t="shared" si="60"/>
        <v/>
      </c>
      <c r="Y131" s="66" t="str">
        <f t="shared" si="61"/>
        <v/>
      </c>
      <c r="Z131" s="67" t="str">
        <f t="shared" si="62"/>
        <v/>
      </c>
    </row>
    <row r="132" spans="1:26" s="5" customFormat="1" ht="17.25" customHeight="1">
      <c r="A132" s="84">
        <v>121</v>
      </c>
      <c r="B132" s="32"/>
      <c r="C132" s="33"/>
      <c r="D132" s="34"/>
      <c r="E132" s="35"/>
      <c r="F132" s="32"/>
      <c r="G132" s="111"/>
      <c r="H132" s="111"/>
      <c r="I132" s="112"/>
      <c r="J132" s="97"/>
      <c r="K132" s="62" t="str">
        <f t="shared" si="48"/>
        <v/>
      </c>
      <c r="L132" s="62" t="str">
        <f t="shared" si="49"/>
        <v/>
      </c>
      <c r="M132" s="62" t="str">
        <f t="shared" si="50"/>
        <v/>
      </c>
      <c r="N132" s="63" t="str">
        <f t="shared" si="51"/>
        <v/>
      </c>
      <c r="O132" s="64" t="str">
        <f t="shared" si="63"/>
        <v/>
      </c>
      <c r="P132" s="93" t="str">
        <f t="shared" si="52"/>
        <v/>
      </c>
      <c r="Q132" s="94" t="str">
        <f t="shared" si="53"/>
        <v/>
      </c>
      <c r="R132" s="64" t="str">
        <f t="shared" si="54"/>
        <v/>
      </c>
      <c r="S132" s="93" t="str">
        <f t="shared" si="55"/>
        <v/>
      </c>
      <c r="T132" s="94" t="str">
        <f t="shared" si="56"/>
        <v/>
      </c>
      <c r="U132" s="64" t="str">
        <f t="shared" si="57"/>
        <v/>
      </c>
      <c r="V132" s="65" t="str">
        <f t="shared" si="58"/>
        <v/>
      </c>
      <c r="W132" s="78" t="str">
        <f t="shared" si="59"/>
        <v/>
      </c>
      <c r="X132" s="66" t="str">
        <f t="shared" si="60"/>
        <v/>
      </c>
      <c r="Y132" s="66" t="str">
        <f t="shared" si="61"/>
        <v/>
      </c>
      <c r="Z132" s="67" t="str">
        <f t="shared" si="62"/>
        <v/>
      </c>
    </row>
    <row r="133" spans="1:26" s="5" customFormat="1" ht="17.25" customHeight="1">
      <c r="A133" s="84">
        <v>122</v>
      </c>
      <c r="B133" s="32"/>
      <c r="C133" s="33"/>
      <c r="D133" s="34"/>
      <c r="E133" s="35"/>
      <c r="F133" s="32"/>
      <c r="G133" s="111"/>
      <c r="H133" s="111"/>
      <c r="I133" s="112"/>
      <c r="J133" s="97"/>
      <c r="K133" s="62" t="str">
        <f t="shared" si="48"/>
        <v/>
      </c>
      <c r="L133" s="62" t="str">
        <f t="shared" si="49"/>
        <v/>
      </c>
      <c r="M133" s="62" t="str">
        <f t="shared" si="50"/>
        <v/>
      </c>
      <c r="N133" s="63" t="str">
        <f t="shared" si="51"/>
        <v/>
      </c>
      <c r="O133" s="64" t="str">
        <f t="shared" si="63"/>
        <v/>
      </c>
      <c r="P133" s="93" t="str">
        <f t="shared" si="52"/>
        <v/>
      </c>
      <c r="Q133" s="94" t="str">
        <f t="shared" si="53"/>
        <v/>
      </c>
      <c r="R133" s="64" t="str">
        <f t="shared" si="54"/>
        <v/>
      </c>
      <c r="S133" s="93" t="str">
        <f t="shared" si="55"/>
        <v/>
      </c>
      <c r="T133" s="94" t="str">
        <f t="shared" si="56"/>
        <v/>
      </c>
      <c r="U133" s="64" t="str">
        <f t="shared" si="57"/>
        <v/>
      </c>
      <c r="V133" s="65" t="str">
        <f t="shared" si="58"/>
        <v/>
      </c>
      <c r="W133" s="78" t="str">
        <f t="shared" si="59"/>
        <v/>
      </c>
      <c r="X133" s="66" t="str">
        <f t="shared" si="60"/>
        <v/>
      </c>
      <c r="Y133" s="66" t="str">
        <f t="shared" si="61"/>
        <v/>
      </c>
      <c r="Z133" s="67" t="str">
        <f t="shared" si="62"/>
        <v/>
      </c>
    </row>
    <row r="134" spans="1:26" s="5" customFormat="1" ht="17.25" customHeight="1">
      <c r="A134" s="84">
        <v>123</v>
      </c>
      <c r="B134" s="32"/>
      <c r="C134" s="33"/>
      <c r="D134" s="34"/>
      <c r="E134" s="35"/>
      <c r="F134" s="32"/>
      <c r="G134" s="111"/>
      <c r="H134" s="111"/>
      <c r="I134" s="112"/>
      <c r="J134" s="97"/>
      <c r="K134" s="62" t="str">
        <f t="shared" si="48"/>
        <v/>
      </c>
      <c r="L134" s="62" t="str">
        <f t="shared" si="49"/>
        <v/>
      </c>
      <c r="M134" s="62" t="str">
        <f t="shared" si="50"/>
        <v/>
      </c>
      <c r="N134" s="63" t="str">
        <f t="shared" si="51"/>
        <v/>
      </c>
      <c r="O134" s="64" t="str">
        <f t="shared" si="63"/>
        <v/>
      </c>
      <c r="P134" s="93" t="str">
        <f t="shared" si="52"/>
        <v/>
      </c>
      <c r="Q134" s="94" t="str">
        <f t="shared" si="53"/>
        <v/>
      </c>
      <c r="R134" s="64" t="str">
        <f t="shared" si="54"/>
        <v/>
      </c>
      <c r="S134" s="93" t="str">
        <f t="shared" si="55"/>
        <v/>
      </c>
      <c r="T134" s="94" t="str">
        <f t="shared" si="56"/>
        <v/>
      </c>
      <c r="U134" s="64" t="str">
        <f t="shared" si="57"/>
        <v/>
      </c>
      <c r="V134" s="65" t="str">
        <f t="shared" si="58"/>
        <v/>
      </c>
      <c r="W134" s="78" t="str">
        <f t="shared" si="59"/>
        <v/>
      </c>
      <c r="X134" s="66" t="str">
        <f t="shared" si="60"/>
        <v/>
      </c>
      <c r="Y134" s="66" t="str">
        <f t="shared" si="61"/>
        <v/>
      </c>
      <c r="Z134" s="67" t="str">
        <f t="shared" si="62"/>
        <v/>
      </c>
    </row>
    <row r="135" spans="1:26" s="5" customFormat="1" ht="17.25" customHeight="1">
      <c r="A135" s="84">
        <v>124</v>
      </c>
      <c r="B135" s="32"/>
      <c r="C135" s="33"/>
      <c r="D135" s="34"/>
      <c r="E135" s="35"/>
      <c r="F135" s="32"/>
      <c r="G135" s="111"/>
      <c r="H135" s="111"/>
      <c r="I135" s="112"/>
      <c r="J135" s="97"/>
      <c r="K135" s="62" t="str">
        <f t="shared" si="48"/>
        <v/>
      </c>
      <c r="L135" s="62" t="str">
        <f t="shared" si="49"/>
        <v/>
      </c>
      <c r="M135" s="62" t="str">
        <f t="shared" si="50"/>
        <v/>
      </c>
      <c r="N135" s="63" t="str">
        <f t="shared" si="51"/>
        <v/>
      </c>
      <c r="O135" s="64" t="str">
        <f t="shared" si="63"/>
        <v/>
      </c>
      <c r="P135" s="93" t="str">
        <f t="shared" si="52"/>
        <v/>
      </c>
      <c r="Q135" s="94" t="str">
        <f t="shared" si="53"/>
        <v/>
      </c>
      <c r="R135" s="64" t="str">
        <f t="shared" si="54"/>
        <v/>
      </c>
      <c r="S135" s="93" t="str">
        <f t="shared" si="55"/>
        <v/>
      </c>
      <c r="T135" s="94" t="str">
        <f t="shared" si="56"/>
        <v/>
      </c>
      <c r="U135" s="64" t="str">
        <f t="shared" si="57"/>
        <v/>
      </c>
      <c r="V135" s="65" t="str">
        <f t="shared" si="58"/>
        <v/>
      </c>
      <c r="W135" s="78" t="str">
        <f t="shared" si="59"/>
        <v/>
      </c>
      <c r="X135" s="66" t="str">
        <f t="shared" si="60"/>
        <v/>
      </c>
      <c r="Y135" s="66" t="str">
        <f t="shared" si="61"/>
        <v/>
      </c>
      <c r="Z135" s="67" t="str">
        <f t="shared" si="62"/>
        <v/>
      </c>
    </row>
    <row r="136" spans="1:26" s="17" customFormat="1" ht="17.25" customHeight="1" thickBot="1">
      <c r="A136" s="84">
        <v>125</v>
      </c>
      <c r="B136" s="32"/>
      <c r="C136" s="33"/>
      <c r="D136" s="34"/>
      <c r="E136" s="35"/>
      <c r="F136" s="32"/>
      <c r="G136" s="111"/>
      <c r="H136" s="111"/>
      <c r="I136" s="112"/>
      <c r="J136" s="101"/>
      <c r="K136" s="62" t="str">
        <f t="shared" si="48"/>
        <v/>
      </c>
      <c r="L136" s="62" t="str">
        <f t="shared" si="49"/>
        <v/>
      </c>
      <c r="M136" s="62" t="str">
        <f t="shared" si="50"/>
        <v/>
      </c>
      <c r="N136" s="63" t="str">
        <f t="shared" si="51"/>
        <v/>
      </c>
      <c r="O136" s="64" t="str">
        <f t="shared" si="63"/>
        <v/>
      </c>
      <c r="P136" s="93" t="str">
        <f t="shared" si="52"/>
        <v/>
      </c>
      <c r="Q136" s="94" t="str">
        <f t="shared" si="53"/>
        <v/>
      </c>
      <c r="R136" s="64" t="str">
        <f t="shared" si="54"/>
        <v/>
      </c>
      <c r="S136" s="93" t="str">
        <f t="shared" si="55"/>
        <v/>
      </c>
      <c r="T136" s="94" t="str">
        <f t="shared" si="56"/>
        <v/>
      </c>
      <c r="U136" s="64" t="str">
        <f t="shared" si="57"/>
        <v/>
      </c>
      <c r="V136" s="65" t="str">
        <f t="shared" si="58"/>
        <v/>
      </c>
      <c r="W136" s="78" t="str">
        <f t="shared" si="59"/>
        <v/>
      </c>
      <c r="X136" s="66" t="str">
        <f t="shared" si="60"/>
        <v/>
      </c>
      <c r="Y136" s="66" t="str">
        <f t="shared" si="61"/>
        <v/>
      </c>
      <c r="Z136" s="67" t="str">
        <f t="shared" si="62"/>
        <v/>
      </c>
    </row>
    <row r="137" spans="1:26" s="5" customFormat="1" ht="15">
      <c r="A137" s="27"/>
      <c r="B137" s="27"/>
      <c r="C137" s="27"/>
      <c r="D137" s="27"/>
      <c r="E137" s="27"/>
      <c r="F137" s="138"/>
      <c r="G137" s="27"/>
      <c r="H137" s="27"/>
      <c r="I137" s="27"/>
      <c r="J137" s="27"/>
      <c r="K137" s="27" t="str">
        <f t="shared" si="48"/>
        <v/>
      </c>
      <c r="L137" s="27" t="str">
        <f>IF($W$11=0,"",IF($D137="","",IF($G137="","",IF($H137="","",IF($H137/$F137&gt;=$L$11,"yes","NC")))))</f>
        <v/>
      </c>
      <c r="M137" s="27" t="str">
        <f>IF($W$11=0,"",IF($D137="","",IF($G137="","",IF($I137="","",IF($F137/$I137&lt;=$M$11,"yes","NC")))))</f>
        <v/>
      </c>
      <c r="N137" s="27" t="str">
        <f t="shared" si="51"/>
        <v/>
      </c>
      <c r="O137" s="27" t="str">
        <f t="shared" si="63"/>
        <v/>
      </c>
      <c r="P137" s="27" t="str">
        <f t="shared" si="52"/>
        <v/>
      </c>
      <c r="Q137" s="27" t="str">
        <f t="shared" si="53"/>
        <v/>
      </c>
      <c r="R137" s="27" t="str">
        <f t="shared" si="54"/>
        <v/>
      </c>
      <c r="S137" s="27" t="str">
        <f t="shared" si="55"/>
        <v/>
      </c>
      <c r="T137" s="27" t="str">
        <f t="shared" si="56"/>
        <v/>
      </c>
      <c r="U137" s="27" t="str">
        <f t="shared" si="57"/>
        <v/>
      </c>
      <c r="V137" s="27" t="str">
        <f>IF($D137="","",IF(T137="yes",(U137/U$8),IF(OR(U137&lt;$T108,U137&gt;V$8),(U137/U$8))))</f>
        <v/>
      </c>
      <c r="W137" s="27" t="str">
        <f t="shared" si="59"/>
        <v/>
      </c>
      <c r="X137" s="27" t="str">
        <f t="shared" si="60"/>
        <v/>
      </c>
      <c r="Y137" s="27" t="str">
        <f t="shared" si="61"/>
        <v/>
      </c>
      <c r="Z137" s="27" t="str">
        <f t="shared" si="62"/>
        <v/>
      </c>
    </row>
  </sheetData>
  <sheetProtection password="CF1D" sheet="1" objects="1" scenarios="1" selectLockedCells="1"/>
  <protectedRanges>
    <protectedRange password="CF1D" sqref="C6:E6 F6:G6" name="Input Ranges_1"/>
    <protectedRange password="CF1D" sqref="D37:E61" name="Input Ranges_1_1_1"/>
  </protectedRanges>
  <mergeCells count="43">
    <mergeCell ref="I5:J5"/>
    <mergeCell ref="I6:J6"/>
    <mergeCell ref="I1:J1"/>
    <mergeCell ref="I2:J2"/>
    <mergeCell ref="I7:I8"/>
    <mergeCell ref="I3:J3"/>
    <mergeCell ref="I4:J4"/>
    <mergeCell ref="C11:D11"/>
    <mergeCell ref="Z9:Z10"/>
    <mergeCell ref="N9:P9"/>
    <mergeCell ref="G9:G10"/>
    <mergeCell ref="H9:H10"/>
    <mergeCell ref="I9:I10"/>
    <mergeCell ref="W9:W10"/>
    <mergeCell ref="X9:X10"/>
    <mergeCell ref="Q9:S9"/>
    <mergeCell ref="Y9:Y10"/>
    <mergeCell ref="E9:E10"/>
    <mergeCell ref="Z7:Z8"/>
    <mergeCell ref="T9:V9"/>
    <mergeCell ref="B9:B10"/>
    <mergeCell ref="A9:A10"/>
    <mergeCell ref="J7:M8"/>
    <mergeCell ref="A7:D8"/>
    <mergeCell ref="H7:H8"/>
    <mergeCell ref="Y7:Y8"/>
    <mergeCell ref="W7:W8"/>
    <mergeCell ref="X7:X8"/>
    <mergeCell ref="G7:G8"/>
    <mergeCell ref="A1:C1"/>
    <mergeCell ref="A2:C2"/>
    <mergeCell ref="A3:C3"/>
    <mergeCell ref="C9:C10"/>
    <mergeCell ref="F9:F10"/>
    <mergeCell ref="D9:D10"/>
    <mergeCell ref="A4:C4"/>
    <mergeCell ref="C6:E6"/>
    <mergeCell ref="E7:E8"/>
    <mergeCell ref="F7:F8"/>
    <mergeCell ref="A6:B6"/>
    <mergeCell ref="E1:G1"/>
    <mergeCell ref="E2:G2"/>
    <mergeCell ref="G4:H4"/>
  </mergeCells>
  <phoneticPr fontId="3" type="noConversion"/>
  <conditionalFormatting sqref="Q12:Q136 T12:T136">
    <cfRule type="cellIs" dxfId="222" priority="1" stopIfTrue="1" operator="between">
      <formula>$Q$8</formula>
      <formula>$S$8</formula>
    </cfRule>
    <cfRule type="cellIs" dxfId="221" priority="2" stopIfTrue="1" operator="equal">
      <formula>"""yes"""</formula>
    </cfRule>
    <cfRule type="cellIs" dxfId="220" priority="3" stopIfTrue="1" operator="equal">
      <formula>"NC"</formula>
    </cfRule>
  </conditionalFormatting>
  <conditionalFormatting sqref="R12:R136 O12:O136 U12:U136">
    <cfRule type="cellIs" dxfId="219" priority="4" stopIfTrue="1" operator="equal">
      <formula>"""NC"""</formula>
    </cfRule>
  </conditionalFormatting>
  <conditionalFormatting sqref="N12:N136">
    <cfRule type="cellIs" dxfId="218" priority="5" stopIfTrue="1" operator="equal">
      <formula>"NC"</formula>
    </cfRule>
  </conditionalFormatting>
  <conditionalFormatting sqref="K12:M136">
    <cfRule type="cellIs" dxfId="217" priority="6" stopIfTrue="1" operator="equal">
      <formula>"NC"</formula>
    </cfRule>
  </conditionalFormatting>
  <conditionalFormatting sqref="S12:S136">
    <cfRule type="cellIs" dxfId="216" priority="7" stopIfTrue="1" operator="between">
      <formula>0.1</formula>
      <formula>0.9</formula>
    </cfRule>
    <cfRule type="cellIs" dxfId="215" priority="8" stopIfTrue="1" operator="between">
      <formula>1.100001</formula>
      <formula>5</formula>
    </cfRule>
  </conditionalFormatting>
  <conditionalFormatting sqref="P12:P136 V12:V136">
    <cfRule type="cellIs" dxfId="214" priority="9" stopIfTrue="1" operator="between">
      <formula>0.1</formula>
      <formula>0.9</formula>
    </cfRule>
    <cfRule type="cellIs" dxfId="213" priority="10" stopIfTrue="1" operator="between">
      <formula>1.1000001</formula>
      <formula>5</formula>
    </cfRule>
  </conditionalFormatting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&amp;C© Texas Education Agency&amp;R&amp;P</oddFooter>
  </headerFooter>
  <rowBreaks count="4" manualBreakCount="4">
    <brk id="36" max="26" man="1"/>
    <brk id="61" max="26" man="1"/>
    <brk id="86" max="26" man="1"/>
    <brk id="111" max="26" man="1"/>
  </rowBreaks>
  <colBreaks count="1" manualBreakCount="1">
    <brk id="13" max="136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5" enableFormatConditionsCalculation="0">
    <tabColor indexed="35"/>
  </sheetPr>
  <dimension ref="A1:AA236"/>
  <sheetViews>
    <sheetView showGridLines="0" tabSelected="1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43" si="2">IF($E12="","",IF($P$8="","",IF(OR($P12&lt;$O$8,$P12&gt;$Q$8),"NC","yes")))</f>
        <v/>
      </c>
      <c r="P12" s="64" t="str">
        <f>IF($E12="","",$H12/$G12)</f>
        <v/>
      </c>
      <c r="Q12" s="93" t="str">
        <f t="shared" ref="Q12:Q43" si="3">IF($E12=0,"",IF(O12="yes",($P12/$P$8),IF(OR($P12&lt;$O$8,$P12&gt;$Q$8),($P12/$P$8))))</f>
        <v/>
      </c>
      <c r="R12" s="94" t="str">
        <f t="shared" ref="R12:R43" si="4">IF($E12="","",IF($S$8="","",IF(OR($S12&lt;$R$8,$S12&gt;$T$8),"NC","yes")))</f>
        <v/>
      </c>
      <c r="S12" s="64" t="str">
        <f t="shared" ref="S12:S43" si="5">IF($E12="","",$I12/$G12)</f>
        <v/>
      </c>
      <c r="T12" s="93" t="str">
        <f t="shared" ref="T12:T43" si="6">IF($E12=0,"",IF(R12="yes",($S12/$S$8),IF(OR($S12&gt;$R$8,$S12&lt;$T$8),($S12/$S$8))))</f>
        <v/>
      </c>
      <c r="U12" s="94" t="str">
        <f t="shared" ref="U12:U43" si="7">IF($E12="","",IF($V$8="","",IF(OR($V12&lt;$U$8,V12&gt;$W$8),"NC","yes")))</f>
        <v/>
      </c>
      <c r="V12" s="64" t="str">
        <f t="shared" ref="V12:V43" si="8">IF($E12="","",$G12/$J12)</f>
        <v/>
      </c>
      <c r="W12" s="65" t="str">
        <f t="shared" ref="W12:W43" si="9">IF($E12="","",IF(U12="yes",(V12/V$8),IF(OR(V12&lt;$U$8,V12&gt;W$8),(V12/V$8))))</f>
        <v/>
      </c>
      <c r="X12" s="78" t="str">
        <f t="shared" ref="X12:X43" si="10">IF(D12="","",IF($E12="",$G12,""))</f>
        <v/>
      </c>
      <c r="Y12" s="66" t="str">
        <f t="shared" ref="Y12:Y43" si="11">IF($D12="","",IF($E12="",$H12,""))</f>
        <v/>
      </c>
      <c r="Z12" s="66" t="str">
        <f t="shared" ref="Z12:Z43" si="12">IF($D12="","",IF($E12="",$I12,""))</f>
        <v/>
      </c>
      <c r="AA12" s="67" t="str">
        <f t="shared" ref="AA12:AA43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44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ref="O44:O75" si="16">IF($E44="","",IF($P$8="","",IF(OR($P44&lt;$O$8,$P44&gt;$Q$8),"NC","yes")))</f>
        <v/>
      </c>
      <c r="P44" s="64" t="str">
        <f t="shared" si="15"/>
        <v/>
      </c>
      <c r="Q44" s="93" t="str">
        <f t="shared" ref="Q44:Q75" si="17">IF($E44=0,"",IF(O44="yes",($P44/$P$8),IF(OR($P44&lt;$O$8,$P44&gt;$Q$8),($P44/$P$8))))</f>
        <v/>
      </c>
      <c r="R44" s="94" t="str">
        <f t="shared" ref="R44:R75" si="18">IF($E44="","",IF($S$8="","",IF(OR($S44&lt;$R$8,$S44&gt;$T$8),"NC","yes")))</f>
        <v/>
      </c>
      <c r="S44" s="64" t="str">
        <f t="shared" ref="S44:S75" si="19">IF($E44="","",$I44/$G44)</f>
        <v/>
      </c>
      <c r="T44" s="93" t="str">
        <f t="shared" ref="T44:T75" si="20">IF($E44=0,"",IF(R44="yes",($S44/$S$8),IF(OR($S44&gt;$R$8,$S44&lt;$T$8),($S44/$S$8))))</f>
        <v/>
      </c>
      <c r="U44" s="94" t="str">
        <f t="shared" ref="U44:U75" si="21">IF($E44="","",IF($V$8="","",IF(OR($V44&lt;$U$8,V44&gt;$W$8),"NC","yes")))</f>
        <v/>
      </c>
      <c r="V44" s="64" t="str">
        <f t="shared" ref="V44:V75" si="22">IF($E44="","",$G44/$J44)</f>
        <v/>
      </c>
      <c r="W44" s="65" t="str">
        <f t="shared" ref="W44:W75" si="23">IF($E44="","",IF(U44="yes",(V44/V$8),IF(OR(V44&lt;$U$8,V44&gt;W$8),(V44/V$8))))</f>
        <v/>
      </c>
      <c r="X44" s="78" t="str">
        <f t="shared" ref="X44:X75" si="24">IF(D44="","",IF($E44="",$G44,""))</f>
        <v/>
      </c>
      <c r="Y44" s="66" t="str">
        <f t="shared" ref="Y44:Y75" si="25">IF($D44="","",IF($E44="",$H44,""))</f>
        <v/>
      </c>
      <c r="Z44" s="66" t="str">
        <f t="shared" ref="Z44:Z75" si="26">IF($D44="","",IF($E44="",$I44,""))</f>
        <v/>
      </c>
      <c r="AA44" s="67" t="str">
        <f t="shared" ref="AA44:AA75" si="27">IF($D44="","",IF($E44="",J44,""))</f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16"/>
        <v/>
      </c>
      <c r="P45" s="64" t="str">
        <f t="shared" ref="P45:P76" si="28">IF($E45="","",H45/$G45)</f>
        <v/>
      </c>
      <c r="Q45" s="93" t="str">
        <f t="shared" si="17"/>
        <v/>
      </c>
      <c r="R45" s="94" t="str">
        <f t="shared" si="18"/>
        <v/>
      </c>
      <c r="S45" s="64" t="str">
        <f t="shared" si="19"/>
        <v/>
      </c>
      <c r="T45" s="93" t="str">
        <f t="shared" si="20"/>
        <v/>
      </c>
      <c r="U45" s="94" t="str">
        <f t="shared" si="21"/>
        <v/>
      </c>
      <c r="V45" s="64" t="str">
        <f t="shared" si="22"/>
        <v/>
      </c>
      <c r="W45" s="65" t="str">
        <f t="shared" si="23"/>
        <v/>
      </c>
      <c r="X45" s="78" t="str">
        <f t="shared" si="24"/>
        <v/>
      </c>
      <c r="Y45" s="66" t="str">
        <f t="shared" si="25"/>
        <v/>
      </c>
      <c r="Z45" s="66" t="str">
        <f t="shared" si="26"/>
        <v/>
      </c>
      <c r="AA45" s="67" t="str">
        <f t="shared" si="27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16"/>
        <v/>
      </c>
      <c r="P46" s="64" t="str">
        <f t="shared" si="28"/>
        <v/>
      </c>
      <c r="Q46" s="93" t="str">
        <f t="shared" si="17"/>
        <v/>
      </c>
      <c r="R46" s="94" t="str">
        <f t="shared" si="18"/>
        <v/>
      </c>
      <c r="S46" s="64" t="str">
        <f t="shared" si="19"/>
        <v/>
      </c>
      <c r="T46" s="93" t="str">
        <f t="shared" si="20"/>
        <v/>
      </c>
      <c r="U46" s="94" t="str">
        <f t="shared" si="21"/>
        <v/>
      </c>
      <c r="V46" s="64" t="str">
        <f t="shared" si="22"/>
        <v/>
      </c>
      <c r="W46" s="65" t="str">
        <f t="shared" si="23"/>
        <v/>
      </c>
      <c r="X46" s="78" t="str">
        <f t="shared" si="24"/>
        <v/>
      </c>
      <c r="Y46" s="66" t="str">
        <f t="shared" si="25"/>
        <v/>
      </c>
      <c r="Z46" s="66" t="str">
        <f t="shared" si="26"/>
        <v/>
      </c>
      <c r="AA46" s="67" t="str">
        <f t="shared" si="27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16"/>
        <v/>
      </c>
      <c r="P47" s="64" t="str">
        <f t="shared" si="28"/>
        <v/>
      </c>
      <c r="Q47" s="93" t="str">
        <f t="shared" si="17"/>
        <v/>
      </c>
      <c r="R47" s="94" t="str">
        <f t="shared" si="18"/>
        <v/>
      </c>
      <c r="S47" s="64" t="str">
        <f t="shared" si="19"/>
        <v/>
      </c>
      <c r="T47" s="93" t="str">
        <f t="shared" si="20"/>
        <v/>
      </c>
      <c r="U47" s="94" t="str">
        <f t="shared" si="21"/>
        <v/>
      </c>
      <c r="V47" s="64" t="str">
        <f t="shared" si="22"/>
        <v/>
      </c>
      <c r="W47" s="65" t="str">
        <f t="shared" si="23"/>
        <v/>
      </c>
      <c r="X47" s="78" t="str">
        <f t="shared" si="24"/>
        <v/>
      </c>
      <c r="Y47" s="66" t="str">
        <f t="shared" si="25"/>
        <v/>
      </c>
      <c r="Z47" s="66" t="str">
        <f t="shared" si="26"/>
        <v/>
      </c>
      <c r="AA47" s="67" t="str">
        <f t="shared" si="27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16"/>
        <v/>
      </c>
      <c r="P48" s="64" t="str">
        <f t="shared" si="28"/>
        <v/>
      </c>
      <c r="Q48" s="93" t="str">
        <f t="shared" si="17"/>
        <v/>
      </c>
      <c r="R48" s="94" t="str">
        <f t="shared" si="18"/>
        <v/>
      </c>
      <c r="S48" s="64" t="str">
        <f t="shared" si="19"/>
        <v/>
      </c>
      <c r="T48" s="93" t="str">
        <f t="shared" si="20"/>
        <v/>
      </c>
      <c r="U48" s="94" t="str">
        <f t="shared" si="21"/>
        <v/>
      </c>
      <c r="V48" s="64" t="str">
        <f t="shared" si="22"/>
        <v/>
      </c>
      <c r="W48" s="65" t="str">
        <f t="shared" si="23"/>
        <v/>
      </c>
      <c r="X48" s="78" t="str">
        <f t="shared" si="24"/>
        <v/>
      </c>
      <c r="Y48" s="66" t="str">
        <f t="shared" si="25"/>
        <v/>
      </c>
      <c r="Z48" s="66" t="str">
        <f t="shared" si="26"/>
        <v/>
      </c>
      <c r="AA48" s="67" t="str">
        <f t="shared" si="27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16"/>
        <v/>
      </c>
      <c r="P49" s="64" t="str">
        <f t="shared" si="28"/>
        <v/>
      </c>
      <c r="Q49" s="93" t="str">
        <f t="shared" si="17"/>
        <v/>
      </c>
      <c r="R49" s="94" t="str">
        <f t="shared" si="18"/>
        <v/>
      </c>
      <c r="S49" s="64" t="str">
        <f t="shared" si="19"/>
        <v/>
      </c>
      <c r="T49" s="93" t="str">
        <f t="shared" si="20"/>
        <v/>
      </c>
      <c r="U49" s="94" t="str">
        <f t="shared" si="21"/>
        <v/>
      </c>
      <c r="V49" s="64" t="str">
        <f t="shared" si="22"/>
        <v/>
      </c>
      <c r="W49" s="65" t="str">
        <f t="shared" si="23"/>
        <v/>
      </c>
      <c r="X49" s="78" t="str">
        <f t="shared" si="24"/>
        <v/>
      </c>
      <c r="Y49" s="66" t="str">
        <f t="shared" si="25"/>
        <v/>
      </c>
      <c r="Z49" s="66" t="str">
        <f t="shared" si="26"/>
        <v/>
      </c>
      <c r="AA49" s="67" t="str">
        <f t="shared" si="27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16"/>
        <v/>
      </c>
      <c r="P50" s="64" t="str">
        <f t="shared" si="28"/>
        <v/>
      </c>
      <c r="Q50" s="93" t="str">
        <f t="shared" si="17"/>
        <v/>
      </c>
      <c r="R50" s="94" t="str">
        <f t="shared" si="18"/>
        <v/>
      </c>
      <c r="S50" s="64" t="str">
        <f t="shared" si="19"/>
        <v/>
      </c>
      <c r="T50" s="93" t="str">
        <f t="shared" si="20"/>
        <v/>
      </c>
      <c r="U50" s="94" t="str">
        <f t="shared" si="21"/>
        <v/>
      </c>
      <c r="V50" s="64" t="str">
        <f t="shared" si="22"/>
        <v/>
      </c>
      <c r="W50" s="65" t="str">
        <f t="shared" si="23"/>
        <v/>
      </c>
      <c r="X50" s="78" t="str">
        <f t="shared" si="24"/>
        <v/>
      </c>
      <c r="Y50" s="66" t="str">
        <f t="shared" si="25"/>
        <v/>
      </c>
      <c r="Z50" s="66" t="str">
        <f t="shared" si="26"/>
        <v/>
      </c>
      <c r="AA50" s="67" t="str">
        <f t="shared" si="27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16"/>
        <v/>
      </c>
      <c r="P51" s="64" t="str">
        <f t="shared" si="28"/>
        <v/>
      </c>
      <c r="Q51" s="93" t="str">
        <f t="shared" si="17"/>
        <v/>
      </c>
      <c r="R51" s="94" t="str">
        <f t="shared" si="18"/>
        <v/>
      </c>
      <c r="S51" s="64" t="str">
        <f t="shared" si="19"/>
        <v/>
      </c>
      <c r="T51" s="93" t="str">
        <f t="shared" si="20"/>
        <v/>
      </c>
      <c r="U51" s="94" t="str">
        <f t="shared" si="21"/>
        <v/>
      </c>
      <c r="V51" s="64" t="str">
        <f t="shared" si="22"/>
        <v/>
      </c>
      <c r="W51" s="65" t="str">
        <f t="shared" si="23"/>
        <v/>
      </c>
      <c r="X51" s="78" t="str">
        <f t="shared" si="24"/>
        <v/>
      </c>
      <c r="Y51" s="66" t="str">
        <f t="shared" si="25"/>
        <v/>
      </c>
      <c r="Z51" s="66" t="str">
        <f t="shared" si="26"/>
        <v/>
      </c>
      <c r="AA51" s="67" t="str">
        <f t="shared" si="27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16"/>
        <v/>
      </c>
      <c r="P52" s="64" t="str">
        <f t="shared" si="28"/>
        <v/>
      </c>
      <c r="Q52" s="93" t="str">
        <f t="shared" si="17"/>
        <v/>
      </c>
      <c r="R52" s="94" t="str">
        <f t="shared" si="18"/>
        <v/>
      </c>
      <c r="S52" s="64" t="str">
        <f t="shared" si="19"/>
        <v/>
      </c>
      <c r="T52" s="93" t="str">
        <f t="shared" si="20"/>
        <v/>
      </c>
      <c r="U52" s="94" t="str">
        <f t="shared" si="21"/>
        <v/>
      </c>
      <c r="V52" s="64" t="str">
        <f t="shared" si="22"/>
        <v/>
      </c>
      <c r="W52" s="65" t="str">
        <f t="shared" si="23"/>
        <v/>
      </c>
      <c r="X52" s="78" t="str">
        <f t="shared" si="24"/>
        <v/>
      </c>
      <c r="Y52" s="66" t="str">
        <f t="shared" si="25"/>
        <v/>
      </c>
      <c r="Z52" s="66" t="str">
        <f t="shared" si="26"/>
        <v/>
      </c>
      <c r="AA52" s="67" t="str">
        <f t="shared" si="27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16"/>
        <v/>
      </c>
      <c r="P53" s="64" t="str">
        <f t="shared" si="28"/>
        <v/>
      </c>
      <c r="Q53" s="93" t="str">
        <f t="shared" si="17"/>
        <v/>
      </c>
      <c r="R53" s="94" t="str">
        <f t="shared" si="18"/>
        <v/>
      </c>
      <c r="S53" s="64" t="str">
        <f t="shared" si="19"/>
        <v/>
      </c>
      <c r="T53" s="93" t="str">
        <f t="shared" si="20"/>
        <v/>
      </c>
      <c r="U53" s="94" t="str">
        <f t="shared" si="21"/>
        <v/>
      </c>
      <c r="V53" s="64" t="str">
        <f t="shared" si="22"/>
        <v/>
      </c>
      <c r="W53" s="65" t="str">
        <f t="shared" si="23"/>
        <v/>
      </c>
      <c r="X53" s="78" t="str">
        <f t="shared" si="24"/>
        <v/>
      </c>
      <c r="Y53" s="66" t="str">
        <f t="shared" si="25"/>
        <v/>
      </c>
      <c r="Z53" s="66" t="str">
        <f t="shared" si="26"/>
        <v/>
      </c>
      <c r="AA53" s="67" t="str">
        <f t="shared" si="27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16"/>
        <v/>
      </c>
      <c r="P54" s="64" t="str">
        <f t="shared" si="28"/>
        <v/>
      </c>
      <c r="Q54" s="93" t="str">
        <f t="shared" si="17"/>
        <v/>
      </c>
      <c r="R54" s="94" t="str">
        <f t="shared" si="18"/>
        <v/>
      </c>
      <c r="S54" s="64" t="str">
        <f t="shared" si="19"/>
        <v/>
      </c>
      <c r="T54" s="93" t="str">
        <f t="shared" si="20"/>
        <v/>
      </c>
      <c r="U54" s="94" t="str">
        <f t="shared" si="21"/>
        <v/>
      </c>
      <c r="V54" s="64" t="str">
        <f t="shared" si="22"/>
        <v/>
      </c>
      <c r="W54" s="65" t="str">
        <f t="shared" si="23"/>
        <v/>
      </c>
      <c r="X54" s="78" t="str">
        <f t="shared" si="24"/>
        <v/>
      </c>
      <c r="Y54" s="66" t="str">
        <f t="shared" si="25"/>
        <v/>
      </c>
      <c r="Z54" s="66" t="str">
        <f t="shared" si="26"/>
        <v/>
      </c>
      <c r="AA54" s="67" t="str">
        <f t="shared" si="27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16"/>
        <v/>
      </c>
      <c r="P55" s="64" t="str">
        <f t="shared" si="28"/>
        <v/>
      </c>
      <c r="Q55" s="93" t="str">
        <f t="shared" si="17"/>
        <v/>
      </c>
      <c r="R55" s="94" t="str">
        <f t="shared" si="18"/>
        <v/>
      </c>
      <c r="S55" s="64" t="str">
        <f t="shared" si="19"/>
        <v/>
      </c>
      <c r="T55" s="93" t="str">
        <f t="shared" si="20"/>
        <v/>
      </c>
      <c r="U55" s="94" t="str">
        <f t="shared" si="21"/>
        <v/>
      </c>
      <c r="V55" s="64" t="str">
        <f t="shared" si="22"/>
        <v/>
      </c>
      <c r="W55" s="65" t="str">
        <f t="shared" si="23"/>
        <v/>
      </c>
      <c r="X55" s="78" t="str">
        <f t="shared" si="24"/>
        <v/>
      </c>
      <c r="Y55" s="66" t="str">
        <f t="shared" si="25"/>
        <v/>
      </c>
      <c r="Z55" s="66" t="str">
        <f t="shared" si="26"/>
        <v/>
      </c>
      <c r="AA55" s="67" t="str">
        <f t="shared" si="27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16"/>
        <v/>
      </c>
      <c r="P56" s="64" t="str">
        <f t="shared" si="28"/>
        <v/>
      </c>
      <c r="Q56" s="93" t="str">
        <f t="shared" si="17"/>
        <v/>
      </c>
      <c r="R56" s="94" t="str">
        <f t="shared" si="18"/>
        <v/>
      </c>
      <c r="S56" s="64" t="str">
        <f t="shared" si="19"/>
        <v/>
      </c>
      <c r="T56" s="93" t="str">
        <f t="shared" si="20"/>
        <v/>
      </c>
      <c r="U56" s="94" t="str">
        <f t="shared" si="21"/>
        <v/>
      </c>
      <c r="V56" s="64" t="str">
        <f t="shared" si="22"/>
        <v/>
      </c>
      <c r="W56" s="65" t="str">
        <f t="shared" si="23"/>
        <v/>
      </c>
      <c r="X56" s="78" t="str">
        <f t="shared" si="24"/>
        <v/>
      </c>
      <c r="Y56" s="66" t="str">
        <f t="shared" si="25"/>
        <v/>
      </c>
      <c r="Z56" s="66" t="str">
        <f t="shared" si="26"/>
        <v/>
      </c>
      <c r="AA56" s="67" t="str">
        <f t="shared" si="27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16"/>
        <v/>
      </c>
      <c r="P57" s="64" t="str">
        <f t="shared" si="28"/>
        <v/>
      </c>
      <c r="Q57" s="93" t="str">
        <f t="shared" si="17"/>
        <v/>
      </c>
      <c r="R57" s="94" t="str">
        <f t="shared" si="18"/>
        <v/>
      </c>
      <c r="S57" s="64" t="str">
        <f t="shared" si="19"/>
        <v/>
      </c>
      <c r="T57" s="93" t="str">
        <f t="shared" si="20"/>
        <v/>
      </c>
      <c r="U57" s="94" t="str">
        <f t="shared" si="21"/>
        <v/>
      </c>
      <c r="V57" s="64" t="str">
        <f t="shared" si="22"/>
        <v/>
      </c>
      <c r="W57" s="65" t="str">
        <f t="shared" si="23"/>
        <v/>
      </c>
      <c r="X57" s="78" t="str">
        <f t="shared" si="24"/>
        <v/>
      </c>
      <c r="Y57" s="66" t="str">
        <f t="shared" si="25"/>
        <v/>
      </c>
      <c r="Z57" s="66" t="str">
        <f t="shared" si="26"/>
        <v/>
      </c>
      <c r="AA57" s="67" t="str">
        <f t="shared" si="27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16"/>
        <v/>
      </c>
      <c r="P58" s="64" t="str">
        <f t="shared" si="28"/>
        <v/>
      </c>
      <c r="Q58" s="93" t="str">
        <f t="shared" si="17"/>
        <v/>
      </c>
      <c r="R58" s="94" t="str">
        <f t="shared" si="18"/>
        <v/>
      </c>
      <c r="S58" s="64" t="str">
        <f t="shared" si="19"/>
        <v/>
      </c>
      <c r="T58" s="93" t="str">
        <f t="shared" si="20"/>
        <v/>
      </c>
      <c r="U58" s="94" t="str">
        <f t="shared" si="21"/>
        <v/>
      </c>
      <c r="V58" s="64" t="str">
        <f t="shared" si="22"/>
        <v/>
      </c>
      <c r="W58" s="65" t="str">
        <f t="shared" si="23"/>
        <v/>
      </c>
      <c r="X58" s="78" t="str">
        <f t="shared" si="24"/>
        <v/>
      </c>
      <c r="Y58" s="66" t="str">
        <f t="shared" si="25"/>
        <v/>
      </c>
      <c r="Z58" s="66" t="str">
        <f t="shared" si="26"/>
        <v/>
      </c>
      <c r="AA58" s="67" t="str">
        <f t="shared" si="27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16"/>
        <v/>
      </c>
      <c r="P59" s="64" t="str">
        <f t="shared" si="28"/>
        <v/>
      </c>
      <c r="Q59" s="93" t="str">
        <f t="shared" si="17"/>
        <v/>
      </c>
      <c r="R59" s="94" t="str">
        <f t="shared" si="18"/>
        <v/>
      </c>
      <c r="S59" s="64" t="str">
        <f t="shared" si="19"/>
        <v/>
      </c>
      <c r="T59" s="93" t="str">
        <f t="shared" si="20"/>
        <v/>
      </c>
      <c r="U59" s="94" t="str">
        <f t="shared" si="21"/>
        <v/>
      </c>
      <c r="V59" s="64" t="str">
        <f t="shared" si="22"/>
        <v/>
      </c>
      <c r="W59" s="65" t="str">
        <f t="shared" si="23"/>
        <v/>
      </c>
      <c r="X59" s="78" t="str">
        <f t="shared" si="24"/>
        <v/>
      </c>
      <c r="Y59" s="66" t="str">
        <f t="shared" si="25"/>
        <v/>
      </c>
      <c r="Z59" s="66" t="str">
        <f t="shared" si="26"/>
        <v/>
      </c>
      <c r="AA59" s="67" t="str">
        <f t="shared" si="27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16"/>
        <v/>
      </c>
      <c r="P60" s="64" t="str">
        <f t="shared" si="28"/>
        <v/>
      </c>
      <c r="Q60" s="93" t="str">
        <f t="shared" si="17"/>
        <v/>
      </c>
      <c r="R60" s="94" t="str">
        <f t="shared" si="18"/>
        <v/>
      </c>
      <c r="S60" s="64" t="str">
        <f t="shared" si="19"/>
        <v/>
      </c>
      <c r="T60" s="93" t="str">
        <f t="shared" si="20"/>
        <v/>
      </c>
      <c r="U60" s="94" t="str">
        <f t="shared" si="21"/>
        <v/>
      </c>
      <c r="V60" s="64" t="str">
        <f t="shared" si="22"/>
        <v/>
      </c>
      <c r="W60" s="65" t="str">
        <f t="shared" si="23"/>
        <v/>
      </c>
      <c r="X60" s="78" t="str">
        <f t="shared" si="24"/>
        <v/>
      </c>
      <c r="Y60" s="66" t="str">
        <f t="shared" si="25"/>
        <v/>
      </c>
      <c r="Z60" s="66" t="str">
        <f t="shared" si="26"/>
        <v/>
      </c>
      <c r="AA60" s="67" t="str">
        <f t="shared" si="27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16"/>
        <v/>
      </c>
      <c r="P61" s="64" t="str">
        <f t="shared" si="28"/>
        <v/>
      </c>
      <c r="Q61" s="93" t="str">
        <f t="shared" si="17"/>
        <v/>
      </c>
      <c r="R61" s="94" t="str">
        <f t="shared" si="18"/>
        <v/>
      </c>
      <c r="S61" s="64" t="str">
        <f t="shared" si="19"/>
        <v/>
      </c>
      <c r="T61" s="93" t="str">
        <f t="shared" si="20"/>
        <v/>
      </c>
      <c r="U61" s="94" t="str">
        <f t="shared" si="21"/>
        <v/>
      </c>
      <c r="V61" s="64" t="str">
        <f t="shared" si="22"/>
        <v/>
      </c>
      <c r="W61" s="65" t="str">
        <f t="shared" si="23"/>
        <v/>
      </c>
      <c r="X61" s="78" t="str">
        <f t="shared" si="24"/>
        <v/>
      </c>
      <c r="Y61" s="66" t="str">
        <f t="shared" si="25"/>
        <v/>
      </c>
      <c r="Z61" s="66" t="str">
        <f t="shared" si="26"/>
        <v/>
      </c>
      <c r="AA61" s="67" t="str">
        <f t="shared" si="27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16"/>
        <v/>
      </c>
      <c r="P62" s="64" t="str">
        <f t="shared" si="28"/>
        <v/>
      </c>
      <c r="Q62" s="93" t="str">
        <f t="shared" si="17"/>
        <v/>
      </c>
      <c r="R62" s="94" t="str">
        <f t="shared" si="18"/>
        <v/>
      </c>
      <c r="S62" s="64" t="str">
        <f t="shared" si="19"/>
        <v/>
      </c>
      <c r="T62" s="93" t="str">
        <f t="shared" si="20"/>
        <v/>
      </c>
      <c r="U62" s="94" t="str">
        <f t="shared" si="21"/>
        <v/>
      </c>
      <c r="V62" s="64" t="str">
        <f t="shared" si="22"/>
        <v/>
      </c>
      <c r="W62" s="65" t="str">
        <f t="shared" si="23"/>
        <v/>
      </c>
      <c r="X62" s="78" t="str">
        <f t="shared" si="24"/>
        <v/>
      </c>
      <c r="Y62" s="66" t="str">
        <f t="shared" si="25"/>
        <v/>
      </c>
      <c r="Z62" s="66" t="str">
        <f t="shared" si="26"/>
        <v/>
      </c>
      <c r="AA62" s="67" t="str">
        <f t="shared" si="27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16"/>
        <v/>
      </c>
      <c r="P63" s="64" t="str">
        <f t="shared" si="28"/>
        <v/>
      </c>
      <c r="Q63" s="93" t="str">
        <f t="shared" si="17"/>
        <v/>
      </c>
      <c r="R63" s="94" t="str">
        <f t="shared" si="18"/>
        <v/>
      </c>
      <c r="S63" s="64" t="str">
        <f t="shared" si="19"/>
        <v/>
      </c>
      <c r="T63" s="93" t="str">
        <f t="shared" si="20"/>
        <v/>
      </c>
      <c r="U63" s="94" t="str">
        <f t="shared" si="21"/>
        <v/>
      </c>
      <c r="V63" s="64" t="str">
        <f t="shared" si="22"/>
        <v/>
      </c>
      <c r="W63" s="65" t="str">
        <f t="shared" si="23"/>
        <v/>
      </c>
      <c r="X63" s="78" t="str">
        <f t="shared" si="24"/>
        <v/>
      </c>
      <c r="Y63" s="66" t="str">
        <f t="shared" si="25"/>
        <v/>
      </c>
      <c r="Z63" s="66" t="str">
        <f t="shared" si="26"/>
        <v/>
      </c>
      <c r="AA63" s="67" t="str">
        <f t="shared" si="27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16"/>
        <v/>
      </c>
      <c r="P64" s="64" t="str">
        <f t="shared" si="28"/>
        <v/>
      </c>
      <c r="Q64" s="93" t="str">
        <f t="shared" si="17"/>
        <v/>
      </c>
      <c r="R64" s="94" t="str">
        <f t="shared" si="18"/>
        <v/>
      </c>
      <c r="S64" s="64" t="str">
        <f t="shared" si="19"/>
        <v/>
      </c>
      <c r="T64" s="93" t="str">
        <f t="shared" si="20"/>
        <v/>
      </c>
      <c r="U64" s="94" t="str">
        <f t="shared" si="21"/>
        <v/>
      </c>
      <c r="V64" s="64" t="str">
        <f t="shared" si="22"/>
        <v/>
      </c>
      <c r="W64" s="65" t="str">
        <f t="shared" si="23"/>
        <v/>
      </c>
      <c r="X64" s="78" t="str">
        <f t="shared" si="24"/>
        <v/>
      </c>
      <c r="Y64" s="66" t="str">
        <f t="shared" si="25"/>
        <v/>
      </c>
      <c r="Z64" s="66" t="str">
        <f t="shared" si="26"/>
        <v/>
      </c>
      <c r="AA64" s="67" t="str">
        <f t="shared" si="27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16"/>
        <v/>
      </c>
      <c r="P65" s="64" t="str">
        <f t="shared" si="28"/>
        <v/>
      </c>
      <c r="Q65" s="93" t="str">
        <f t="shared" si="17"/>
        <v/>
      </c>
      <c r="R65" s="94" t="str">
        <f t="shared" si="18"/>
        <v/>
      </c>
      <c r="S65" s="64" t="str">
        <f t="shared" si="19"/>
        <v/>
      </c>
      <c r="T65" s="93" t="str">
        <f t="shared" si="20"/>
        <v/>
      </c>
      <c r="U65" s="94" t="str">
        <f t="shared" si="21"/>
        <v/>
      </c>
      <c r="V65" s="64" t="str">
        <f t="shared" si="22"/>
        <v/>
      </c>
      <c r="W65" s="65" t="str">
        <f t="shared" si="23"/>
        <v/>
      </c>
      <c r="X65" s="78" t="str">
        <f t="shared" si="24"/>
        <v/>
      </c>
      <c r="Y65" s="66" t="str">
        <f t="shared" si="25"/>
        <v/>
      </c>
      <c r="Z65" s="66" t="str">
        <f t="shared" si="26"/>
        <v/>
      </c>
      <c r="AA65" s="67" t="str">
        <f t="shared" si="27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16"/>
        <v/>
      </c>
      <c r="P66" s="64" t="str">
        <f t="shared" si="28"/>
        <v/>
      </c>
      <c r="Q66" s="93" t="str">
        <f t="shared" si="17"/>
        <v/>
      </c>
      <c r="R66" s="94" t="str">
        <f t="shared" si="18"/>
        <v/>
      </c>
      <c r="S66" s="64" t="str">
        <f t="shared" si="19"/>
        <v/>
      </c>
      <c r="T66" s="93" t="str">
        <f t="shared" si="20"/>
        <v/>
      </c>
      <c r="U66" s="94" t="str">
        <f t="shared" si="21"/>
        <v/>
      </c>
      <c r="V66" s="64" t="str">
        <f t="shared" si="22"/>
        <v/>
      </c>
      <c r="W66" s="65" t="str">
        <f t="shared" si="23"/>
        <v/>
      </c>
      <c r="X66" s="78" t="str">
        <f t="shared" si="24"/>
        <v/>
      </c>
      <c r="Y66" s="66" t="str">
        <f t="shared" si="25"/>
        <v/>
      </c>
      <c r="Z66" s="66" t="str">
        <f t="shared" si="26"/>
        <v/>
      </c>
      <c r="AA66" s="67" t="str">
        <f t="shared" si="27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16"/>
        <v/>
      </c>
      <c r="P67" s="64" t="str">
        <f t="shared" si="28"/>
        <v/>
      </c>
      <c r="Q67" s="93" t="str">
        <f t="shared" si="17"/>
        <v/>
      </c>
      <c r="R67" s="94" t="str">
        <f t="shared" si="18"/>
        <v/>
      </c>
      <c r="S67" s="64" t="str">
        <f t="shared" si="19"/>
        <v/>
      </c>
      <c r="T67" s="93" t="str">
        <f t="shared" si="20"/>
        <v/>
      </c>
      <c r="U67" s="94" t="str">
        <f t="shared" si="21"/>
        <v/>
      </c>
      <c r="V67" s="64" t="str">
        <f t="shared" si="22"/>
        <v/>
      </c>
      <c r="W67" s="65" t="str">
        <f t="shared" si="23"/>
        <v/>
      </c>
      <c r="X67" s="78" t="str">
        <f t="shared" si="24"/>
        <v/>
      </c>
      <c r="Y67" s="66" t="str">
        <f t="shared" si="25"/>
        <v/>
      </c>
      <c r="Z67" s="66" t="str">
        <f t="shared" si="26"/>
        <v/>
      </c>
      <c r="AA67" s="67" t="str">
        <f t="shared" si="27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16"/>
        <v/>
      </c>
      <c r="P68" s="64" t="str">
        <f t="shared" si="28"/>
        <v/>
      </c>
      <c r="Q68" s="93" t="str">
        <f t="shared" si="17"/>
        <v/>
      </c>
      <c r="R68" s="94" t="str">
        <f t="shared" si="18"/>
        <v/>
      </c>
      <c r="S68" s="64" t="str">
        <f t="shared" si="19"/>
        <v/>
      </c>
      <c r="T68" s="93" t="str">
        <f t="shared" si="20"/>
        <v/>
      </c>
      <c r="U68" s="94" t="str">
        <f t="shared" si="21"/>
        <v/>
      </c>
      <c r="V68" s="64" t="str">
        <f t="shared" si="22"/>
        <v/>
      </c>
      <c r="W68" s="65" t="str">
        <f t="shared" si="23"/>
        <v/>
      </c>
      <c r="X68" s="78" t="str">
        <f t="shared" si="24"/>
        <v/>
      </c>
      <c r="Y68" s="66" t="str">
        <f t="shared" si="25"/>
        <v/>
      </c>
      <c r="Z68" s="66" t="str">
        <f t="shared" si="26"/>
        <v/>
      </c>
      <c r="AA68" s="67" t="str">
        <f t="shared" si="27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16"/>
        <v/>
      </c>
      <c r="P69" s="64" t="str">
        <f t="shared" si="28"/>
        <v/>
      </c>
      <c r="Q69" s="93" t="str">
        <f t="shared" si="17"/>
        <v/>
      </c>
      <c r="R69" s="94" t="str">
        <f t="shared" si="18"/>
        <v/>
      </c>
      <c r="S69" s="64" t="str">
        <f t="shared" si="19"/>
        <v/>
      </c>
      <c r="T69" s="93" t="str">
        <f t="shared" si="20"/>
        <v/>
      </c>
      <c r="U69" s="94" t="str">
        <f t="shared" si="21"/>
        <v/>
      </c>
      <c r="V69" s="64" t="str">
        <f t="shared" si="22"/>
        <v/>
      </c>
      <c r="W69" s="65" t="str">
        <f t="shared" si="23"/>
        <v/>
      </c>
      <c r="X69" s="78" t="str">
        <f t="shared" si="24"/>
        <v/>
      </c>
      <c r="Y69" s="66" t="str">
        <f t="shared" si="25"/>
        <v/>
      </c>
      <c r="Z69" s="66" t="str">
        <f t="shared" si="26"/>
        <v/>
      </c>
      <c r="AA69" s="67" t="str">
        <f t="shared" si="27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16"/>
        <v/>
      </c>
      <c r="P70" s="64" t="str">
        <f t="shared" si="28"/>
        <v/>
      </c>
      <c r="Q70" s="93" t="str">
        <f t="shared" si="17"/>
        <v/>
      </c>
      <c r="R70" s="94" t="str">
        <f t="shared" si="18"/>
        <v/>
      </c>
      <c r="S70" s="64" t="str">
        <f t="shared" si="19"/>
        <v/>
      </c>
      <c r="T70" s="93" t="str">
        <f t="shared" si="20"/>
        <v/>
      </c>
      <c r="U70" s="94" t="str">
        <f t="shared" si="21"/>
        <v/>
      </c>
      <c r="V70" s="64" t="str">
        <f t="shared" si="22"/>
        <v/>
      </c>
      <c r="W70" s="65" t="str">
        <f t="shared" si="23"/>
        <v/>
      </c>
      <c r="X70" s="78" t="str">
        <f t="shared" si="24"/>
        <v/>
      </c>
      <c r="Y70" s="66" t="str">
        <f t="shared" si="25"/>
        <v/>
      </c>
      <c r="Z70" s="66" t="str">
        <f t="shared" si="26"/>
        <v/>
      </c>
      <c r="AA70" s="67" t="str">
        <f t="shared" si="27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16"/>
        <v/>
      </c>
      <c r="P71" s="64" t="str">
        <f t="shared" si="28"/>
        <v/>
      </c>
      <c r="Q71" s="93" t="str">
        <f t="shared" si="17"/>
        <v/>
      </c>
      <c r="R71" s="94" t="str">
        <f t="shared" si="18"/>
        <v/>
      </c>
      <c r="S71" s="64" t="str">
        <f t="shared" si="19"/>
        <v/>
      </c>
      <c r="T71" s="93" t="str">
        <f t="shared" si="20"/>
        <v/>
      </c>
      <c r="U71" s="94" t="str">
        <f t="shared" si="21"/>
        <v/>
      </c>
      <c r="V71" s="64" t="str">
        <f t="shared" si="22"/>
        <v/>
      </c>
      <c r="W71" s="65" t="str">
        <f t="shared" si="23"/>
        <v/>
      </c>
      <c r="X71" s="78" t="str">
        <f t="shared" si="24"/>
        <v/>
      </c>
      <c r="Y71" s="66" t="str">
        <f t="shared" si="25"/>
        <v/>
      </c>
      <c r="Z71" s="66" t="str">
        <f t="shared" si="26"/>
        <v/>
      </c>
      <c r="AA71" s="67" t="str">
        <f t="shared" si="27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16"/>
        <v/>
      </c>
      <c r="P72" s="64" t="str">
        <f t="shared" si="28"/>
        <v/>
      </c>
      <c r="Q72" s="93" t="str">
        <f t="shared" si="17"/>
        <v/>
      </c>
      <c r="R72" s="94" t="str">
        <f t="shared" si="18"/>
        <v/>
      </c>
      <c r="S72" s="64" t="str">
        <f t="shared" si="19"/>
        <v/>
      </c>
      <c r="T72" s="93" t="str">
        <f t="shared" si="20"/>
        <v/>
      </c>
      <c r="U72" s="94" t="str">
        <f t="shared" si="21"/>
        <v/>
      </c>
      <c r="V72" s="64" t="str">
        <f t="shared" si="22"/>
        <v/>
      </c>
      <c r="W72" s="65" t="str">
        <f t="shared" si="23"/>
        <v/>
      </c>
      <c r="X72" s="78" t="str">
        <f t="shared" si="24"/>
        <v/>
      </c>
      <c r="Y72" s="66" t="str">
        <f t="shared" si="25"/>
        <v/>
      </c>
      <c r="Z72" s="66" t="str">
        <f t="shared" si="26"/>
        <v/>
      </c>
      <c r="AA72" s="67" t="str">
        <f t="shared" si="27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16"/>
        <v/>
      </c>
      <c r="P73" s="64" t="str">
        <f t="shared" si="28"/>
        <v/>
      </c>
      <c r="Q73" s="93" t="str">
        <f t="shared" si="17"/>
        <v/>
      </c>
      <c r="R73" s="94" t="str">
        <f t="shared" si="18"/>
        <v/>
      </c>
      <c r="S73" s="64" t="str">
        <f t="shared" si="19"/>
        <v/>
      </c>
      <c r="T73" s="93" t="str">
        <f t="shared" si="20"/>
        <v/>
      </c>
      <c r="U73" s="94" t="str">
        <f t="shared" si="21"/>
        <v/>
      </c>
      <c r="V73" s="64" t="str">
        <f t="shared" si="22"/>
        <v/>
      </c>
      <c r="W73" s="65" t="str">
        <f t="shared" si="23"/>
        <v/>
      </c>
      <c r="X73" s="78" t="str">
        <f t="shared" si="24"/>
        <v/>
      </c>
      <c r="Y73" s="66" t="str">
        <f t="shared" si="25"/>
        <v/>
      </c>
      <c r="Z73" s="66" t="str">
        <f t="shared" si="26"/>
        <v/>
      </c>
      <c r="AA73" s="67" t="str">
        <f t="shared" si="27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16"/>
        <v/>
      </c>
      <c r="P74" s="64" t="str">
        <f t="shared" si="28"/>
        <v/>
      </c>
      <c r="Q74" s="93" t="str">
        <f t="shared" si="17"/>
        <v/>
      </c>
      <c r="R74" s="94" t="str">
        <f t="shared" si="18"/>
        <v/>
      </c>
      <c r="S74" s="64" t="str">
        <f t="shared" si="19"/>
        <v/>
      </c>
      <c r="T74" s="93" t="str">
        <f t="shared" si="20"/>
        <v/>
      </c>
      <c r="U74" s="94" t="str">
        <f t="shared" si="21"/>
        <v/>
      </c>
      <c r="V74" s="64" t="str">
        <f t="shared" si="22"/>
        <v/>
      </c>
      <c r="W74" s="65" t="str">
        <f t="shared" si="23"/>
        <v/>
      </c>
      <c r="X74" s="78" t="str">
        <f t="shared" si="24"/>
        <v/>
      </c>
      <c r="Y74" s="66" t="str">
        <f t="shared" si="25"/>
        <v/>
      </c>
      <c r="Z74" s="66" t="str">
        <f t="shared" si="26"/>
        <v/>
      </c>
      <c r="AA74" s="67" t="str">
        <f t="shared" si="27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16"/>
        <v/>
      </c>
      <c r="P75" s="64" t="str">
        <f t="shared" si="28"/>
        <v/>
      </c>
      <c r="Q75" s="93" t="str">
        <f t="shared" si="17"/>
        <v/>
      </c>
      <c r="R75" s="94" t="str">
        <f t="shared" si="18"/>
        <v/>
      </c>
      <c r="S75" s="64" t="str">
        <f t="shared" si="19"/>
        <v/>
      </c>
      <c r="T75" s="93" t="str">
        <f t="shared" si="20"/>
        <v/>
      </c>
      <c r="U75" s="94" t="str">
        <f t="shared" si="21"/>
        <v/>
      </c>
      <c r="V75" s="64" t="str">
        <f t="shared" si="22"/>
        <v/>
      </c>
      <c r="W75" s="65" t="str">
        <f t="shared" si="23"/>
        <v/>
      </c>
      <c r="X75" s="78" t="str">
        <f t="shared" si="24"/>
        <v/>
      </c>
      <c r="Y75" s="66" t="str">
        <f t="shared" si="25"/>
        <v/>
      </c>
      <c r="Z75" s="66" t="str">
        <f t="shared" si="26"/>
        <v/>
      </c>
      <c r="AA75" s="67" t="str">
        <f t="shared" si="27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29">IF($Z$11=0,"",IF($E76="","",IF($I76="","",IF($I76="","",IF($I76/$G76&gt;=$M$11,"yes","NC")))))</f>
        <v/>
      </c>
      <c r="N76" s="62" t="str">
        <f t="shared" ref="N76:N235" si="30">IF($AA$11=0,"",IF($E76="","",IF($J76="","",IF($J76="","",IF($G76/$J76&lt;=$N$11,"yes","NC")))))</f>
        <v/>
      </c>
      <c r="O76" s="63" t="str">
        <f t="shared" ref="O76:O107" si="31">IF($E76="","",IF($P$8="","",IF(OR($P76&lt;$O$8,$P76&gt;$Q$8),"NC","yes")))</f>
        <v/>
      </c>
      <c r="P76" s="64" t="str">
        <f t="shared" si="28"/>
        <v/>
      </c>
      <c r="Q76" s="93" t="str">
        <f t="shared" ref="Q76:Q107" si="32">IF($E76=0,"",IF(O76="yes",($P76/$P$8),IF(OR($P76&lt;$O$8,$P76&gt;$Q$8),($P76/$P$8))))</f>
        <v/>
      </c>
      <c r="R76" s="94" t="str">
        <f t="shared" ref="R76:R107" si="33">IF($E76="","",IF($S$8="","",IF(OR($S76&lt;$R$8,$S76&gt;$T$8),"NC","yes")))</f>
        <v/>
      </c>
      <c r="S76" s="64" t="str">
        <f t="shared" ref="S76:S107" si="34">IF($E76="","",$I76/$G76)</f>
        <v/>
      </c>
      <c r="T76" s="93" t="str">
        <f t="shared" ref="T76:T107" si="35">IF($E76=0,"",IF(R76="yes",($S76/$S$8),IF(OR($S76&gt;$R$8,$S76&lt;$T$8),($S76/$S$8))))</f>
        <v/>
      </c>
      <c r="U76" s="94" t="str">
        <f t="shared" ref="U76:U107" si="36">IF($E76="","",IF($V$8="","",IF(OR($V76&lt;$U$8,V76&gt;$W$8),"NC","yes")))</f>
        <v/>
      </c>
      <c r="V76" s="64" t="str">
        <f t="shared" ref="V76:V107" si="37">IF($E76="","",$G76/$J76)</f>
        <v/>
      </c>
      <c r="W76" s="65" t="str">
        <f t="shared" ref="W76:W107" si="38">IF($E76="","",IF(U76="yes",(V76/V$8),IF(OR(V76&lt;$U$8,V76&gt;W$8),(V76/V$8))))</f>
        <v/>
      </c>
      <c r="X76" s="78" t="str">
        <f t="shared" ref="X76:X107" si="39">IF(D76="","",IF($E76="",$G76,""))</f>
        <v/>
      </c>
      <c r="Y76" s="66" t="str">
        <f t="shared" ref="Y76:Y107" si="40">IF($D76="","",IF($E76="",$H76,""))</f>
        <v/>
      </c>
      <c r="Z76" s="66" t="str">
        <f t="shared" ref="Z76:Z107" si="41">IF($D76="","",IF($E76="",$I76,""))</f>
        <v/>
      </c>
      <c r="AA76" s="67" t="str">
        <f t="shared" ref="AA76:AA107" si="42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43">IF($Y$11=0,"",IF(E77="","",IF($H77="","",IF($G77="","",IF($H77/$G77&gt;=$L$11,"yes","NC")))))</f>
        <v/>
      </c>
      <c r="M77" s="62" t="str">
        <f t="shared" si="29"/>
        <v/>
      </c>
      <c r="N77" s="62" t="str">
        <f t="shared" si="30"/>
        <v/>
      </c>
      <c r="O77" s="63" t="str">
        <f t="shared" si="31"/>
        <v/>
      </c>
      <c r="P77" s="64" t="str">
        <f t="shared" ref="P77:P108" si="44">IF($E77="","",H77/$G77)</f>
        <v/>
      </c>
      <c r="Q77" s="93" t="str">
        <f t="shared" si="32"/>
        <v/>
      </c>
      <c r="R77" s="94" t="str">
        <f t="shared" si="33"/>
        <v/>
      </c>
      <c r="S77" s="64" t="str">
        <f t="shared" si="34"/>
        <v/>
      </c>
      <c r="T77" s="93" t="str">
        <f t="shared" si="35"/>
        <v/>
      </c>
      <c r="U77" s="94" t="str">
        <f t="shared" si="36"/>
        <v/>
      </c>
      <c r="V77" s="64" t="str">
        <f t="shared" si="37"/>
        <v/>
      </c>
      <c r="W77" s="65" t="str">
        <f t="shared" si="38"/>
        <v/>
      </c>
      <c r="X77" s="78" t="str">
        <f t="shared" si="39"/>
        <v/>
      </c>
      <c r="Y77" s="66" t="str">
        <f t="shared" si="40"/>
        <v/>
      </c>
      <c r="Z77" s="66" t="str">
        <f t="shared" si="41"/>
        <v/>
      </c>
      <c r="AA77" s="67" t="str">
        <f t="shared" si="42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43"/>
        <v/>
      </c>
      <c r="M78" s="62" t="str">
        <f t="shared" si="29"/>
        <v/>
      </c>
      <c r="N78" s="62" t="str">
        <f t="shared" si="30"/>
        <v/>
      </c>
      <c r="O78" s="63" t="str">
        <f t="shared" si="31"/>
        <v/>
      </c>
      <c r="P78" s="64" t="str">
        <f t="shared" si="44"/>
        <v/>
      </c>
      <c r="Q78" s="93" t="str">
        <f t="shared" si="32"/>
        <v/>
      </c>
      <c r="R78" s="94" t="str">
        <f t="shared" si="33"/>
        <v/>
      </c>
      <c r="S78" s="64" t="str">
        <f t="shared" si="34"/>
        <v/>
      </c>
      <c r="T78" s="93" t="str">
        <f t="shared" si="35"/>
        <v/>
      </c>
      <c r="U78" s="94" t="str">
        <f t="shared" si="36"/>
        <v/>
      </c>
      <c r="V78" s="64" t="str">
        <f t="shared" si="37"/>
        <v/>
      </c>
      <c r="W78" s="65" t="str">
        <f t="shared" si="38"/>
        <v/>
      </c>
      <c r="X78" s="78" t="str">
        <f t="shared" si="39"/>
        <v/>
      </c>
      <c r="Y78" s="66" t="str">
        <f t="shared" si="40"/>
        <v/>
      </c>
      <c r="Z78" s="66" t="str">
        <f t="shared" si="41"/>
        <v/>
      </c>
      <c r="AA78" s="67" t="str">
        <f t="shared" si="42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43"/>
        <v/>
      </c>
      <c r="M79" s="62" t="str">
        <f t="shared" si="29"/>
        <v/>
      </c>
      <c r="N79" s="62" t="str">
        <f t="shared" si="30"/>
        <v/>
      </c>
      <c r="O79" s="63" t="str">
        <f t="shared" si="31"/>
        <v/>
      </c>
      <c r="P79" s="64" t="str">
        <f t="shared" si="44"/>
        <v/>
      </c>
      <c r="Q79" s="93" t="str">
        <f t="shared" si="32"/>
        <v/>
      </c>
      <c r="R79" s="94" t="str">
        <f t="shared" si="33"/>
        <v/>
      </c>
      <c r="S79" s="64" t="str">
        <f t="shared" si="34"/>
        <v/>
      </c>
      <c r="T79" s="93" t="str">
        <f t="shared" si="35"/>
        <v/>
      </c>
      <c r="U79" s="94" t="str">
        <f t="shared" si="36"/>
        <v/>
      </c>
      <c r="V79" s="64" t="str">
        <f t="shared" si="37"/>
        <v/>
      </c>
      <c r="W79" s="65" t="str">
        <f t="shared" si="38"/>
        <v/>
      </c>
      <c r="X79" s="78" t="str">
        <f t="shared" si="39"/>
        <v/>
      </c>
      <c r="Y79" s="66" t="str">
        <f t="shared" si="40"/>
        <v/>
      </c>
      <c r="Z79" s="66" t="str">
        <f t="shared" si="41"/>
        <v/>
      </c>
      <c r="AA79" s="67" t="str">
        <f t="shared" si="42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43"/>
        <v/>
      </c>
      <c r="M80" s="62" t="str">
        <f t="shared" si="29"/>
        <v/>
      </c>
      <c r="N80" s="62" t="str">
        <f t="shared" si="30"/>
        <v/>
      </c>
      <c r="O80" s="63" t="str">
        <f t="shared" si="31"/>
        <v/>
      </c>
      <c r="P80" s="64" t="str">
        <f t="shared" si="44"/>
        <v/>
      </c>
      <c r="Q80" s="93" t="str">
        <f t="shared" si="32"/>
        <v/>
      </c>
      <c r="R80" s="94" t="str">
        <f t="shared" si="33"/>
        <v/>
      </c>
      <c r="S80" s="64" t="str">
        <f t="shared" si="34"/>
        <v/>
      </c>
      <c r="T80" s="93" t="str">
        <f t="shared" si="35"/>
        <v/>
      </c>
      <c r="U80" s="94" t="str">
        <f t="shared" si="36"/>
        <v/>
      </c>
      <c r="V80" s="64" t="str">
        <f t="shared" si="37"/>
        <v/>
      </c>
      <c r="W80" s="65" t="str">
        <f t="shared" si="38"/>
        <v/>
      </c>
      <c r="X80" s="78" t="str">
        <f t="shared" si="39"/>
        <v/>
      </c>
      <c r="Y80" s="66" t="str">
        <f t="shared" si="40"/>
        <v/>
      </c>
      <c r="Z80" s="66" t="str">
        <f t="shared" si="41"/>
        <v/>
      </c>
      <c r="AA80" s="67" t="str">
        <f t="shared" si="42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43"/>
        <v/>
      </c>
      <c r="M81" s="62" t="str">
        <f t="shared" si="29"/>
        <v/>
      </c>
      <c r="N81" s="62" t="str">
        <f t="shared" si="30"/>
        <v/>
      </c>
      <c r="O81" s="63" t="str">
        <f t="shared" si="31"/>
        <v/>
      </c>
      <c r="P81" s="64" t="str">
        <f t="shared" si="44"/>
        <v/>
      </c>
      <c r="Q81" s="93" t="str">
        <f t="shared" si="32"/>
        <v/>
      </c>
      <c r="R81" s="94" t="str">
        <f t="shared" si="33"/>
        <v/>
      </c>
      <c r="S81" s="64" t="str">
        <f t="shared" si="34"/>
        <v/>
      </c>
      <c r="T81" s="93" t="str">
        <f t="shared" si="35"/>
        <v/>
      </c>
      <c r="U81" s="94" t="str">
        <f t="shared" si="36"/>
        <v/>
      </c>
      <c r="V81" s="64" t="str">
        <f t="shared" si="37"/>
        <v/>
      </c>
      <c r="W81" s="65" t="str">
        <f t="shared" si="38"/>
        <v/>
      </c>
      <c r="X81" s="78" t="str">
        <f t="shared" si="39"/>
        <v/>
      </c>
      <c r="Y81" s="66" t="str">
        <f t="shared" si="40"/>
        <v/>
      </c>
      <c r="Z81" s="66" t="str">
        <f t="shared" si="41"/>
        <v/>
      </c>
      <c r="AA81" s="67" t="str">
        <f t="shared" si="42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43"/>
        <v/>
      </c>
      <c r="M82" s="62" t="str">
        <f t="shared" si="29"/>
        <v/>
      </c>
      <c r="N82" s="62" t="str">
        <f t="shared" si="30"/>
        <v/>
      </c>
      <c r="O82" s="63" t="str">
        <f t="shared" si="31"/>
        <v/>
      </c>
      <c r="P82" s="64" t="str">
        <f t="shared" si="44"/>
        <v/>
      </c>
      <c r="Q82" s="93" t="str">
        <f t="shared" si="32"/>
        <v/>
      </c>
      <c r="R82" s="94" t="str">
        <f t="shared" si="33"/>
        <v/>
      </c>
      <c r="S82" s="64" t="str">
        <f t="shared" si="34"/>
        <v/>
      </c>
      <c r="T82" s="93" t="str">
        <f t="shared" si="35"/>
        <v/>
      </c>
      <c r="U82" s="94" t="str">
        <f t="shared" si="36"/>
        <v/>
      </c>
      <c r="V82" s="64" t="str">
        <f t="shared" si="37"/>
        <v/>
      </c>
      <c r="W82" s="65" t="str">
        <f t="shared" si="38"/>
        <v/>
      </c>
      <c r="X82" s="78" t="str">
        <f t="shared" si="39"/>
        <v/>
      </c>
      <c r="Y82" s="66" t="str">
        <f t="shared" si="40"/>
        <v/>
      </c>
      <c r="Z82" s="66" t="str">
        <f t="shared" si="41"/>
        <v/>
      </c>
      <c r="AA82" s="67" t="str">
        <f t="shared" si="42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43"/>
        <v/>
      </c>
      <c r="M83" s="62" t="str">
        <f t="shared" si="29"/>
        <v/>
      </c>
      <c r="N83" s="62" t="str">
        <f t="shared" si="30"/>
        <v/>
      </c>
      <c r="O83" s="63" t="str">
        <f t="shared" si="31"/>
        <v/>
      </c>
      <c r="P83" s="64" t="str">
        <f t="shared" si="44"/>
        <v/>
      </c>
      <c r="Q83" s="93" t="str">
        <f t="shared" si="32"/>
        <v/>
      </c>
      <c r="R83" s="94" t="str">
        <f t="shared" si="33"/>
        <v/>
      </c>
      <c r="S83" s="64" t="str">
        <f t="shared" si="34"/>
        <v/>
      </c>
      <c r="T83" s="93" t="str">
        <f t="shared" si="35"/>
        <v/>
      </c>
      <c r="U83" s="94" t="str">
        <f t="shared" si="36"/>
        <v/>
      </c>
      <c r="V83" s="64" t="str">
        <f t="shared" si="37"/>
        <v/>
      </c>
      <c r="W83" s="65" t="str">
        <f t="shared" si="38"/>
        <v/>
      </c>
      <c r="X83" s="78" t="str">
        <f t="shared" si="39"/>
        <v/>
      </c>
      <c r="Y83" s="66" t="str">
        <f t="shared" si="40"/>
        <v/>
      </c>
      <c r="Z83" s="66" t="str">
        <f t="shared" si="41"/>
        <v/>
      </c>
      <c r="AA83" s="67" t="str">
        <f t="shared" si="42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43"/>
        <v/>
      </c>
      <c r="M84" s="62" t="str">
        <f t="shared" si="29"/>
        <v/>
      </c>
      <c r="N84" s="62" t="str">
        <f t="shared" si="30"/>
        <v/>
      </c>
      <c r="O84" s="63" t="str">
        <f t="shared" si="31"/>
        <v/>
      </c>
      <c r="P84" s="64" t="str">
        <f t="shared" si="44"/>
        <v/>
      </c>
      <c r="Q84" s="93" t="str">
        <f t="shared" si="32"/>
        <v/>
      </c>
      <c r="R84" s="94" t="str">
        <f t="shared" si="33"/>
        <v/>
      </c>
      <c r="S84" s="64" t="str">
        <f t="shared" si="34"/>
        <v/>
      </c>
      <c r="T84" s="93" t="str">
        <f t="shared" si="35"/>
        <v/>
      </c>
      <c r="U84" s="94" t="str">
        <f t="shared" si="36"/>
        <v/>
      </c>
      <c r="V84" s="64" t="str">
        <f t="shared" si="37"/>
        <v/>
      </c>
      <c r="W84" s="65" t="str">
        <f t="shared" si="38"/>
        <v/>
      </c>
      <c r="X84" s="78" t="str">
        <f t="shared" si="39"/>
        <v/>
      </c>
      <c r="Y84" s="66" t="str">
        <f t="shared" si="40"/>
        <v/>
      </c>
      <c r="Z84" s="66" t="str">
        <f t="shared" si="41"/>
        <v/>
      </c>
      <c r="AA84" s="67" t="str">
        <f t="shared" si="42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43"/>
        <v/>
      </c>
      <c r="M85" s="62" t="str">
        <f t="shared" si="29"/>
        <v/>
      </c>
      <c r="N85" s="62" t="str">
        <f t="shared" si="30"/>
        <v/>
      </c>
      <c r="O85" s="63" t="str">
        <f t="shared" si="31"/>
        <v/>
      </c>
      <c r="P85" s="64" t="str">
        <f t="shared" si="44"/>
        <v/>
      </c>
      <c r="Q85" s="93" t="str">
        <f t="shared" si="32"/>
        <v/>
      </c>
      <c r="R85" s="94" t="str">
        <f t="shared" si="33"/>
        <v/>
      </c>
      <c r="S85" s="64" t="str">
        <f t="shared" si="34"/>
        <v/>
      </c>
      <c r="T85" s="93" t="str">
        <f t="shared" si="35"/>
        <v/>
      </c>
      <c r="U85" s="94" t="str">
        <f t="shared" si="36"/>
        <v/>
      </c>
      <c r="V85" s="64" t="str">
        <f t="shared" si="37"/>
        <v/>
      </c>
      <c r="W85" s="65" t="str">
        <f t="shared" si="38"/>
        <v/>
      </c>
      <c r="X85" s="78" t="str">
        <f t="shared" si="39"/>
        <v/>
      </c>
      <c r="Y85" s="66" t="str">
        <f t="shared" si="40"/>
        <v/>
      </c>
      <c r="Z85" s="66" t="str">
        <f t="shared" si="41"/>
        <v/>
      </c>
      <c r="AA85" s="67" t="str">
        <f t="shared" si="42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43"/>
        <v/>
      </c>
      <c r="M86" s="62" t="str">
        <f t="shared" si="29"/>
        <v/>
      </c>
      <c r="N86" s="62" t="str">
        <f t="shared" si="30"/>
        <v/>
      </c>
      <c r="O86" s="63" t="str">
        <f t="shared" si="31"/>
        <v/>
      </c>
      <c r="P86" s="64" t="str">
        <f t="shared" si="44"/>
        <v/>
      </c>
      <c r="Q86" s="93" t="str">
        <f t="shared" si="32"/>
        <v/>
      </c>
      <c r="R86" s="94" t="str">
        <f t="shared" si="33"/>
        <v/>
      </c>
      <c r="S86" s="64" t="str">
        <f t="shared" si="34"/>
        <v/>
      </c>
      <c r="T86" s="93" t="str">
        <f t="shared" si="35"/>
        <v/>
      </c>
      <c r="U86" s="94" t="str">
        <f t="shared" si="36"/>
        <v/>
      </c>
      <c r="V86" s="64" t="str">
        <f t="shared" si="37"/>
        <v/>
      </c>
      <c r="W86" s="65" t="str">
        <f t="shared" si="38"/>
        <v/>
      </c>
      <c r="X86" s="78" t="str">
        <f t="shared" si="39"/>
        <v/>
      </c>
      <c r="Y86" s="66" t="str">
        <f t="shared" si="40"/>
        <v/>
      </c>
      <c r="Z86" s="66" t="str">
        <f t="shared" si="41"/>
        <v/>
      </c>
      <c r="AA86" s="67" t="str">
        <f t="shared" si="42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43"/>
        <v/>
      </c>
      <c r="M87" s="62" t="str">
        <f t="shared" si="29"/>
        <v/>
      </c>
      <c r="N87" s="62" t="str">
        <f t="shared" si="30"/>
        <v/>
      </c>
      <c r="O87" s="63" t="str">
        <f t="shared" si="31"/>
        <v/>
      </c>
      <c r="P87" s="64" t="str">
        <f t="shared" si="44"/>
        <v/>
      </c>
      <c r="Q87" s="93" t="str">
        <f t="shared" si="32"/>
        <v/>
      </c>
      <c r="R87" s="94" t="str">
        <f t="shared" si="33"/>
        <v/>
      </c>
      <c r="S87" s="64" t="str">
        <f t="shared" si="34"/>
        <v/>
      </c>
      <c r="T87" s="93" t="str">
        <f t="shared" si="35"/>
        <v/>
      </c>
      <c r="U87" s="94" t="str">
        <f t="shared" si="36"/>
        <v/>
      </c>
      <c r="V87" s="64" t="str">
        <f t="shared" si="37"/>
        <v/>
      </c>
      <c r="W87" s="65" t="str">
        <f t="shared" si="38"/>
        <v/>
      </c>
      <c r="X87" s="78" t="str">
        <f t="shared" si="39"/>
        <v/>
      </c>
      <c r="Y87" s="66" t="str">
        <f t="shared" si="40"/>
        <v/>
      </c>
      <c r="Z87" s="66" t="str">
        <f t="shared" si="41"/>
        <v/>
      </c>
      <c r="AA87" s="67" t="str">
        <f t="shared" si="42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43"/>
        <v/>
      </c>
      <c r="M88" s="62" t="str">
        <f t="shared" si="29"/>
        <v/>
      </c>
      <c r="N88" s="62" t="str">
        <f t="shared" si="30"/>
        <v/>
      </c>
      <c r="O88" s="63" t="str">
        <f t="shared" si="31"/>
        <v/>
      </c>
      <c r="P88" s="64" t="str">
        <f t="shared" si="44"/>
        <v/>
      </c>
      <c r="Q88" s="93" t="str">
        <f t="shared" si="32"/>
        <v/>
      </c>
      <c r="R88" s="94" t="str">
        <f t="shared" si="33"/>
        <v/>
      </c>
      <c r="S88" s="64" t="str">
        <f t="shared" si="34"/>
        <v/>
      </c>
      <c r="T88" s="93" t="str">
        <f t="shared" si="35"/>
        <v/>
      </c>
      <c r="U88" s="94" t="str">
        <f t="shared" si="36"/>
        <v/>
      </c>
      <c r="V88" s="64" t="str">
        <f t="shared" si="37"/>
        <v/>
      </c>
      <c r="W88" s="65" t="str">
        <f t="shared" si="38"/>
        <v/>
      </c>
      <c r="X88" s="78" t="str">
        <f t="shared" si="39"/>
        <v/>
      </c>
      <c r="Y88" s="66" t="str">
        <f t="shared" si="40"/>
        <v/>
      </c>
      <c r="Z88" s="66" t="str">
        <f t="shared" si="41"/>
        <v/>
      </c>
      <c r="AA88" s="67" t="str">
        <f t="shared" si="42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43"/>
        <v/>
      </c>
      <c r="M89" s="62" t="str">
        <f t="shared" si="29"/>
        <v/>
      </c>
      <c r="N89" s="62" t="str">
        <f t="shared" si="30"/>
        <v/>
      </c>
      <c r="O89" s="63" t="str">
        <f t="shared" si="31"/>
        <v/>
      </c>
      <c r="P89" s="64" t="str">
        <f t="shared" si="44"/>
        <v/>
      </c>
      <c r="Q89" s="93" t="str">
        <f t="shared" si="32"/>
        <v/>
      </c>
      <c r="R89" s="94" t="str">
        <f t="shared" si="33"/>
        <v/>
      </c>
      <c r="S89" s="64" t="str">
        <f t="shared" si="34"/>
        <v/>
      </c>
      <c r="T89" s="93" t="str">
        <f t="shared" si="35"/>
        <v/>
      </c>
      <c r="U89" s="94" t="str">
        <f t="shared" si="36"/>
        <v/>
      </c>
      <c r="V89" s="64" t="str">
        <f t="shared" si="37"/>
        <v/>
      </c>
      <c r="W89" s="65" t="str">
        <f t="shared" si="38"/>
        <v/>
      </c>
      <c r="X89" s="78" t="str">
        <f t="shared" si="39"/>
        <v/>
      </c>
      <c r="Y89" s="66" t="str">
        <f t="shared" si="40"/>
        <v/>
      </c>
      <c r="Z89" s="66" t="str">
        <f t="shared" si="41"/>
        <v/>
      </c>
      <c r="AA89" s="67" t="str">
        <f t="shared" si="42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43"/>
        <v/>
      </c>
      <c r="M90" s="62" t="str">
        <f t="shared" si="29"/>
        <v/>
      </c>
      <c r="N90" s="62" t="str">
        <f t="shared" si="30"/>
        <v/>
      </c>
      <c r="O90" s="63" t="str">
        <f t="shared" si="31"/>
        <v/>
      </c>
      <c r="P90" s="64" t="str">
        <f t="shared" si="44"/>
        <v/>
      </c>
      <c r="Q90" s="93" t="str">
        <f t="shared" si="32"/>
        <v/>
      </c>
      <c r="R90" s="94" t="str">
        <f t="shared" si="33"/>
        <v/>
      </c>
      <c r="S90" s="64" t="str">
        <f t="shared" si="34"/>
        <v/>
      </c>
      <c r="T90" s="93" t="str">
        <f t="shared" si="35"/>
        <v/>
      </c>
      <c r="U90" s="94" t="str">
        <f t="shared" si="36"/>
        <v/>
      </c>
      <c r="V90" s="64" t="str">
        <f t="shared" si="37"/>
        <v/>
      </c>
      <c r="W90" s="65" t="str">
        <f t="shared" si="38"/>
        <v/>
      </c>
      <c r="X90" s="78" t="str">
        <f t="shared" si="39"/>
        <v/>
      </c>
      <c r="Y90" s="66" t="str">
        <f t="shared" si="40"/>
        <v/>
      </c>
      <c r="Z90" s="66" t="str">
        <f t="shared" si="41"/>
        <v/>
      </c>
      <c r="AA90" s="67" t="str">
        <f t="shared" si="42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43"/>
        <v/>
      </c>
      <c r="M91" s="62" t="str">
        <f t="shared" si="29"/>
        <v/>
      </c>
      <c r="N91" s="62" t="str">
        <f t="shared" si="30"/>
        <v/>
      </c>
      <c r="O91" s="63" t="str">
        <f t="shared" si="31"/>
        <v/>
      </c>
      <c r="P91" s="64" t="str">
        <f t="shared" si="44"/>
        <v/>
      </c>
      <c r="Q91" s="93" t="str">
        <f t="shared" si="32"/>
        <v/>
      </c>
      <c r="R91" s="94" t="str">
        <f t="shared" si="33"/>
        <v/>
      </c>
      <c r="S91" s="64" t="str">
        <f t="shared" si="34"/>
        <v/>
      </c>
      <c r="T91" s="93" t="str">
        <f t="shared" si="35"/>
        <v/>
      </c>
      <c r="U91" s="94" t="str">
        <f t="shared" si="36"/>
        <v/>
      </c>
      <c r="V91" s="64" t="str">
        <f t="shared" si="37"/>
        <v/>
      </c>
      <c r="W91" s="65" t="str">
        <f t="shared" si="38"/>
        <v/>
      </c>
      <c r="X91" s="78" t="str">
        <f t="shared" si="39"/>
        <v/>
      </c>
      <c r="Y91" s="66" t="str">
        <f t="shared" si="40"/>
        <v/>
      </c>
      <c r="Z91" s="66" t="str">
        <f t="shared" si="41"/>
        <v/>
      </c>
      <c r="AA91" s="67" t="str">
        <f t="shared" si="42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43"/>
        <v/>
      </c>
      <c r="M92" s="62" t="str">
        <f t="shared" si="29"/>
        <v/>
      </c>
      <c r="N92" s="62" t="str">
        <f t="shared" si="30"/>
        <v/>
      </c>
      <c r="O92" s="63" t="str">
        <f t="shared" si="31"/>
        <v/>
      </c>
      <c r="P92" s="64" t="str">
        <f t="shared" si="44"/>
        <v/>
      </c>
      <c r="Q92" s="93" t="str">
        <f t="shared" si="32"/>
        <v/>
      </c>
      <c r="R92" s="94" t="str">
        <f t="shared" si="33"/>
        <v/>
      </c>
      <c r="S92" s="64" t="str">
        <f t="shared" si="34"/>
        <v/>
      </c>
      <c r="T92" s="93" t="str">
        <f t="shared" si="35"/>
        <v/>
      </c>
      <c r="U92" s="94" t="str">
        <f t="shared" si="36"/>
        <v/>
      </c>
      <c r="V92" s="64" t="str">
        <f t="shared" si="37"/>
        <v/>
      </c>
      <c r="W92" s="65" t="str">
        <f t="shared" si="38"/>
        <v/>
      </c>
      <c r="X92" s="78" t="str">
        <f t="shared" si="39"/>
        <v/>
      </c>
      <c r="Y92" s="66" t="str">
        <f t="shared" si="40"/>
        <v/>
      </c>
      <c r="Z92" s="66" t="str">
        <f t="shared" si="41"/>
        <v/>
      </c>
      <c r="AA92" s="67" t="str">
        <f t="shared" si="42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43"/>
        <v/>
      </c>
      <c r="M93" s="62" t="str">
        <f t="shared" si="29"/>
        <v/>
      </c>
      <c r="N93" s="62" t="str">
        <f t="shared" si="30"/>
        <v/>
      </c>
      <c r="O93" s="63" t="str">
        <f t="shared" si="31"/>
        <v/>
      </c>
      <c r="P93" s="64" t="str">
        <f t="shared" si="44"/>
        <v/>
      </c>
      <c r="Q93" s="93" t="str">
        <f t="shared" si="32"/>
        <v/>
      </c>
      <c r="R93" s="94" t="str">
        <f t="shared" si="33"/>
        <v/>
      </c>
      <c r="S93" s="64" t="str">
        <f t="shared" si="34"/>
        <v/>
      </c>
      <c r="T93" s="93" t="str">
        <f t="shared" si="35"/>
        <v/>
      </c>
      <c r="U93" s="94" t="str">
        <f t="shared" si="36"/>
        <v/>
      </c>
      <c r="V93" s="64" t="str">
        <f t="shared" si="37"/>
        <v/>
      </c>
      <c r="W93" s="65" t="str">
        <f t="shared" si="38"/>
        <v/>
      </c>
      <c r="X93" s="78" t="str">
        <f t="shared" si="39"/>
        <v/>
      </c>
      <c r="Y93" s="66" t="str">
        <f t="shared" si="40"/>
        <v/>
      </c>
      <c r="Z93" s="66" t="str">
        <f t="shared" si="41"/>
        <v/>
      </c>
      <c r="AA93" s="67" t="str">
        <f t="shared" si="42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43"/>
        <v/>
      </c>
      <c r="M94" s="62" t="str">
        <f t="shared" si="29"/>
        <v/>
      </c>
      <c r="N94" s="62" t="str">
        <f t="shared" si="30"/>
        <v/>
      </c>
      <c r="O94" s="63" t="str">
        <f t="shared" si="31"/>
        <v/>
      </c>
      <c r="P94" s="64" t="str">
        <f t="shared" si="44"/>
        <v/>
      </c>
      <c r="Q94" s="93" t="str">
        <f t="shared" si="32"/>
        <v/>
      </c>
      <c r="R94" s="94" t="str">
        <f t="shared" si="33"/>
        <v/>
      </c>
      <c r="S94" s="64" t="str">
        <f t="shared" si="34"/>
        <v/>
      </c>
      <c r="T94" s="93" t="str">
        <f t="shared" si="35"/>
        <v/>
      </c>
      <c r="U94" s="94" t="str">
        <f t="shared" si="36"/>
        <v/>
      </c>
      <c r="V94" s="64" t="str">
        <f t="shared" si="37"/>
        <v/>
      </c>
      <c r="W94" s="65" t="str">
        <f t="shared" si="38"/>
        <v/>
      </c>
      <c r="X94" s="78" t="str">
        <f t="shared" si="39"/>
        <v/>
      </c>
      <c r="Y94" s="66" t="str">
        <f t="shared" si="40"/>
        <v/>
      </c>
      <c r="Z94" s="66" t="str">
        <f t="shared" si="41"/>
        <v/>
      </c>
      <c r="AA94" s="67" t="str">
        <f t="shared" si="42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43"/>
        <v/>
      </c>
      <c r="M95" s="62" t="str">
        <f t="shared" si="29"/>
        <v/>
      </c>
      <c r="N95" s="62" t="str">
        <f t="shared" si="30"/>
        <v/>
      </c>
      <c r="O95" s="63" t="str">
        <f t="shared" si="31"/>
        <v/>
      </c>
      <c r="P95" s="64" t="str">
        <f t="shared" si="44"/>
        <v/>
      </c>
      <c r="Q95" s="93" t="str">
        <f t="shared" si="32"/>
        <v/>
      </c>
      <c r="R95" s="94" t="str">
        <f t="shared" si="33"/>
        <v/>
      </c>
      <c r="S95" s="64" t="str">
        <f t="shared" si="34"/>
        <v/>
      </c>
      <c r="T95" s="93" t="str">
        <f t="shared" si="35"/>
        <v/>
      </c>
      <c r="U95" s="94" t="str">
        <f t="shared" si="36"/>
        <v/>
      </c>
      <c r="V95" s="64" t="str">
        <f t="shared" si="37"/>
        <v/>
      </c>
      <c r="W95" s="65" t="str">
        <f t="shared" si="38"/>
        <v/>
      </c>
      <c r="X95" s="78" t="str">
        <f t="shared" si="39"/>
        <v/>
      </c>
      <c r="Y95" s="66" t="str">
        <f t="shared" si="40"/>
        <v/>
      </c>
      <c r="Z95" s="66" t="str">
        <f t="shared" si="41"/>
        <v/>
      </c>
      <c r="AA95" s="67" t="str">
        <f t="shared" si="42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43"/>
        <v/>
      </c>
      <c r="M96" s="62" t="str">
        <f t="shared" si="29"/>
        <v/>
      </c>
      <c r="N96" s="62" t="str">
        <f t="shared" si="30"/>
        <v/>
      </c>
      <c r="O96" s="63" t="str">
        <f t="shared" si="31"/>
        <v/>
      </c>
      <c r="P96" s="64" t="str">
        <f t="shared" si="44"/>
        <v/>
      </c>
      <c r="Q96" s="93" t="str">
        <f t="shared" si="32"/>
        <v/>
      </c>
      <c r="R96" s="94" t="str">
        <f t="shared" si="33"/>
        <v/>
      </c>
      <c r="S96" s="64" t="str">
        <f t="shared" si="34"/>
        <v/>
      </c>
      <c r="T96" s="93" t="str">
        <f t="shared" si="35"/>
        <v/>
      </c>
      <c r="U96" s="94" t="str">
        <f t="shared" si="36"/>
        <v/>
      </c>
      <c r="V96" s="64" t="str">
        <f t="shared" si="37"/>
        <v/>
      </c>
      <c r="W96" s="65" t="str">
        <f t="shared" si="38"/>
        <v/>
      </c>
      <c r="X96" s="78" t="str">
        <f t="shared" si="39"/>
        <v/>
      </c>
      <c r="Y96" s="66" t="str">
        <f t="shared" si="40"/>
        <v/>
      </c>
      <c r="Z96" s="66" t="str">
        <f t="shared" si="41"/>
        <v/>
      </c>
      <c r="AA96" s="67" t="str">
        <f t="shared" si="42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43"/>
        <v/>
      </c>
      <c r="M97" s="62" t="str">
        <f t="shared" si="29"/>
        <v/>
      </c>
      <c r="N97" s="62" t="str">
        <f t="shared" si="30"/>
        <v/>
      </c>
      <c r="O97" s="63" t="str">
        <f t="shared" si="31"/>
        <v/>
      </c>
      <c r="P97" s="64" t="str">
        <f t="shared" si="44"/>
        <v/>
      </c>
      <c r="Q97" s="93" t="str">
        <f t="shared" si="32"/>
        <v/>
      </c>
      <c r="R97" s="94" t="str">
        <f t="shared" si="33"/>
        <v/>
      </c>
      <c r="S97" s="64" t="str">
        <f t="shared" si="34"/>
        <v/>
      </c>
      <c r="T97" s="93" t="str">
        <f t="shared" si="35"/>
        <v/>
      </c>
      <c r="U97" s="94" t="str">
        <f t="shared" si="36"/>
        <v/>
      </c>
      <c r="V97" s="64" t="str">
        <f t="shared" si="37"/>
        <v/>
      </c>
      <c r="W97" s="65" t="str">
        <f t="shared" si="38"/>
        <v/>
      </c>
      <c r="X97" s="78" t="str">
        <f t="shared" si="39"/>
        <v/>
      </c>
      <c r="Y97" s="66" t="str">
        <f t="shared" si="40"/>
        <v/>
      </c>
      <c r="Z97" s="66" t="str">
        <f t="shared" si="41"/>
        <v/>
      </c>
      <c r="AA97" s="67" t="str">
        <f t="shared" si="42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43"/>
        <v/>
      </c>
      <c r="M98" s="62" t="str">
        <f t="shared" si="29"/>
        <v/>
      </c>
      <c r="N98" s="62" t="str">
        <f t="shared" si="30"/>
        <v/>
      </c>
      <c r="O98" s="63" t="str">
        <f t="shared" si="31"/>
        <v/>
      </c>
      <c r="P98" s="64" t="str">
        <f t="shared" si="44"/>
        <v/>
      </c>
      <c r="Q98" s="93" t="str">
        <f t="shared" si="32"/>
        <v/>
      </c>
      <c r="R98" s="94" t="str">
        <f t="shared" si="33"/>
        <v/>
      </c>
      <c r="S98" s="64" t="str">
        <f t="shared" si="34"/>
        <v/>
      </c>
      <c r="T98" s="93" t="str">
        <f t="shared" si="35"/>
        <v/>
      </c>
      <c r="U98" s="94" t="str">
        <f t="shared" si="36"/>
        <v/>
      </c>
      <c r="V98" s="64" t="str">
        <f t="shared" si="37"/>
        <v/>
      </c>
      <c r="W98" s="65" t="str">
        <f t="shared" si="38"/>
        <v/>
      </c>
      <c r="X98" s="78" t="str">
        <f t="shared" si="39"/>
        <v/>
      </c>
      <c r="Y98" s="66" t="str">
        <f t="shared" si="40"/>
        <v/>
      </c>
      <c r="Z98" s="66" t="str">
        <f t="shared" si="41"/>
        <v/>
      </c>
      <c r="AA98" s="67" t="str">
        <f t="shared" si="42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43"/>
        <v/>
      </c>
      <c r="M99" s="62" t="str">
        <f t="shared" si="29"/>
        <v/>
      </c>
      <c r="N99" s="62" t="str">
        <f t="shared" si="30"/>
        <v/>
      </c>
      <c r="O99" s="63" t="str">
        <f t="shared" si="31"/>
        <v/>
      </c>
      <c r="P99" s="64" t="str">
        <f t="shared" si="44"/>
        <v/>
      </c>
      <c r="Q99" s="93" t="str">
        <f t="shared" si="32"/>
        <v/>
      </c>
      <c r="R99" s="94" t="str">
        <f t="shared" si="33"/>
        <v/>
      </c>
      <c r="S99" s="64" t="str">
        <f t="shared" si="34"/>
        <v/>
      </c>
      <c r="T99" s="93" t="str">
        <f t="shared" si="35"/>
        <v/>
      </c>
      <c r="U99" s="94" t="str">
        <f t="shared" si="36"/>
        <v/>
      </c>
      <c r="V99" s="64" t="str">
        <f t="shared" si="37"/>
        <v/>
      </c>
      <c r="W99" s="65" t="str">
        <f t="shared" si="38"/>
        <v/>
      </c>
      <c r="X99" s="78" t="str">
        <f t="shared" si="39"/>
        <v/>
      </c>
      <c r="Y99" s="66" t="str">
        <f t="shared" si="40"/>
        <v/>
      </c>
      <c r="Z99" s="66" t="str">
        <f t="shared" si="41"/>
        <v/>
      </c>
      <c r="AA99" s="67" t="str">
        <f t="shared" si="42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43"/>
        <v/>
      </c>
      <c r="M100" s="62" t="str">
        <f t="shared" si="29"/>
        <v/>
      </c>
      <c r="N100" s="62" t="str">
        <f t="shared" si="30"/>
        <v/>
      </c>
      <c r="O100" s="63" t="str">
        <f t="shared" si="31"/>
        <v/>
      </c>
      <c r="P100" s="64" t="str">
        <f t="shared" si="44"/>
        <v/>
      </c>
      <c r="Q100" s="93" t="str">
        <f t="shared" si="32"/>
        <v/>
      </c>
      <c r="R100" s="94" t="str">
        <f t="shared" si="33"/>
        <v/>
      </c>
      <c r="S100" s="64" t="str">
        <f t="shared" si="34"/>
        <v/>
      </c>
      <c r="T100" s="93" t="str">
        <f t="shared" si="35"/>
        <v/>
      </c>
      <c r="U100" s="94" t="str">
        <f t="shared" si="36"/>
        <v/>
      </c>
      <c r="V100" s="64" t="str">
        <f t="shared" si="37"/>
        <v/>
      </c>
      <c r="W100" s="65" t="str">
        <f t="shared" si="38"/>
        <v/>
      </c>
      <c r="X100" s="78" t="str">
        <f t="shared" si="39"/>
        <v/>
      </c>
      <c r="Y100" s="66" t="str">
        <f t="shared" si="40"/>
        <v/>
      </c>
      <c r="Z100" s="66" t="str">
        <f t="shared" si="41"/>
        <v/>
      </c>
      <c r="AA100" s="67" t="str">
        <f t="shared" si="42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43"/>
        <v/>
      </c>
      <c r="M101" s="62" t="str">
        <f t="shared" si="29"/>
        <v/>
      </c>
      <c r="N101" s="62" t="str">
        <f t="shared" si="30"/>
        <v/>
      </c>
      <c r="O101" s="63" t="str">
        <f t="shared" si="31"/>
        <v/>
      </c>
      <c r="P101" s="64" t="str">
        <f t="shared" si="44"/>
        <v/>
      </c>
      <c r="Q101" s="93" t="str">
        <f t="shared" si="32"/>
        <v/>
      </c>
      <c r="R101" s="94" t="str">
        <f t="shared" si="33"/>
        <v/>
      </c>
      <c r="S101" s="64" t="str">
        <f t="shared" si="34"/>
        <v/>
      </c>
      <c r="T101" s="93" t="str">
        <f t="shared" si="35"/>
        <v/>
      </c>
      <c r="U101" s="94" t="str">
        <f t="shared" si="36"/>
        <v/>
      </c>
      <c r="V101" s="64" t="str">
        <f t="shared" si="37"/>
        <v/>
      </c>
      <c r="W101" s="65" t="str">
        <f t="shared" si="38"/>
        <v/>
      </c>
      <c r="X101" s="78" t="str">
        <f t="shared" si="39"/>
        <v/>
      </c>
      <c r="Y101" s="66" t="str">
        <f t="shared" si="40"/>
        <v/>
      </c>
      <c r="Z101" s="66" t="str">
        <f t="shared" si="41"/>
        <v/>
      </c>
      <c r="AA101" s="67" t="str">
        <f t="shared" si="42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43"/>
        <v/>
      </c>
      <c r="M102" s="62" t="str">
        <f t="shared" si="29"/>
        <v/>
      </c>
      <c r="N102" s="62" t="str">
        <f t="shared" si="30"/>
        <v/>
      </c>
      <c r="O102" s="63" t="str">
        <f t="shared" si="31"/>
        <v/>
      </c>
      <c r="P102" s="64" t="str">
        <f t="shared" si="44"/>
        <v/>
      </c>
      <c r="Q102" s="93" t="str">
        <f t="shared" si="32"/>
        <v/>
      </c>
      <c r="R102" s="94" t="str">
        <f t="shared" si="33"/>
        <v/>
      </c>
      <c r="S102" s="64" t="str">
        <f t="shared" si="34"/>
        <v/>
      </c>
      <c r="T102" s="93" t="str">
        <f t="shared" si="35"/>
        <v/>
      </c>
      <c r="U102" s="94" t="str">
        <f t="shared" si="36"/>
        <v/>
      </c>
      <c r="V102" s="64" t="str">
        <f t="shared" si="37"/>
        <v/>
      </c>
      <c r="W102" s="65" t="str">
        <f t="shared" si="38"/>
        <v/>
      </c>
      <c r="X102" s="78" t="str">
        <f t="shared" si="39"/>
        <v/>
      </c>
      <c r="Y102" s="66" t="str">
        <f t="shared" si="40"/>
        <v/>
      </c>
      <c r="Z102" s="66" t="str">
        <f t="shared" si="41"/>
        <v/>
      </c>
      <c r="AA102" s="67" t="str">
        <f t="shared" si="42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43"/>
        <v/>
      </c>
      <c r="M103" s="62" t="str">
        <f t="shared" si="29"/>
        <v/>
      </c>
      <c r="N103" s="62" t="str">
        <f t="shared" si="30"/>
        <v/>
      </c>
      <c r="O103" s="63" t="str">
        <f t="shared" si="31"/>
        <v/>
      </c>
      <c r="P103" s="64" t="str">
        <f t="shared" si="44"/>
        <v/>
      </c>
      <c r="Q103" s="93" t="str">
        <f t="shared" si="32"/>
        <v/>
      </c>
      <c r="R103" s="94" t="str">
        <f t="shared" si="33"/>
        <v/>
      </c>
      <c r="S103" s="64" t="str">
        <f t="shared" si="34"/>
        <v/>
      </c>
      <c r="T103" s="93" t="str">
        <f t="shared" si="35"/>
        <v/>
      </c>
      <c r="U103" s="94" t="str">
        <f t="shared" si="36"/>
        <v/>
      </c>
      <c r="V103" s="64" t="str">
        <f t="shared" si="37"/>
        <v/>
      </c>
      <c r="W103" s="65" t="str">
        <f t="shared" si="38"/>
        <v/>
      </c>
      <c r="X103" s="78" t="str">
        <f t="shared" si="39"/>
        <v/>
      </c>
      <c r="Y103" s="66" t="str">
        <f t="shared" si="40"/>
        <v/>
      </c>
      <c r="Z103" s="66" t="str">
        <f t="shared" si="41"/>
        <v/>
      </c>
      <c r="AA103" s="67" t="str">
        <f t="shared" si="42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43"/>
        <v/>
      </c>
      <c r="M104" s="62" t="str">
        <f t="shared" si="29"/>
        <v/>
      </c>
      <c r="N104" s="62" t="str">
        <f t="shared" si="30"/>
        <v/>
      </c>
      <c r="O104" s="63" t="str">
        <f t="shared" si="31"/>
        <v/>
      </c>
      <c r="P104" s="64" t="str">
        <f t="shared" si="44"/>
        <v/>
      </c>
      <c r="Q104" s="93" t="str">
        <f t="shared" si="32"/>
        <v/>
      </c>
      <c r="R104" s="94" t="str">
        <f t="shared" si="33"/>
        <v/>
      </c>
      <c r="S104" s="64" t="str">
        <f t="shared" si="34"/>
        <v/>
      </c>
      <c r="T104" s="93" t="str">
        <f t="shared" si="35"/>
        <v/>
      </c>
      <c r="U104" s="94" t="str">
        <f t="shared" si="36"/>
        <v/>
      </c>
      <c r="V104" s="64" t="str">
        <f t="shared" si="37"/>
        <v/>
      </c>
      <c r="W104" s="65" t="str">
        <f t="shared" si="38"/>
        <v/>
      </c>
      <c r="X104" s="78" t="str">
        <f t="shared" si="39"/>
        <v/>
      </c>
      <c r="Y104" s="66" t="str">
        <f t="shared" si="40"/>
        <v/>
      </c>
      <c r="Z104" s="66" t="str">
        <f t="shared" si="41"/>
        <v/>
      </c>
      <c r="AA104" s="67" t="str">
        <f t="shared" si="42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43"/>
        <v/>
      </c>
      <c r="M105" s="62" t="str">
        <f t="shared" si="29"/>
        <v/>
      </c>
      <c r="N105" s="62" t="str">
        <f t="shared" si="30"/>
        <v/>
      </c>
      <c r="O105" s="63" t="str">
        <f t="shared" si="31"/>
        <v/>
      </c>
      <c r="P105" s="64" t="str">
        <f t="shared" si="44"/>
        <v/>
      </c>
      <c r="Q105" s="93" t="str">
        <f t="shared" si="32"/>
        <v/>
      </c>
      <c r="R105" s="94" t="str">
        <f t="shared" si="33"/>
        <v/>
      </c>
      <c r="S105" s="64" t="str">
        <f t="shared" si="34"/>
        <v/>
      </c>
      <c r="T105" s="93" t="str">
        <f t="shared" si="35"/>
        <v/>
      </c>
      <c r="U105" s="94" t="str">
        <f t="shared" si="36"/>
        <v/>
      </c>
      <c r="V105" s="64" t="str">
        <f t="shared" si="37"/>
        <v/>
      </c>
      <c r="W105" s="65" t="str">
        <f t="shared" si="38"/>
        <v/>
      </c>
      <c r="X105" s="78" t="str">
        <f t="shared" si="39"/>
        <v/>
      </c>
      <c r="Y105" s="66" t="str">
        <f t="shared" si="40"/>
        <v/>
      </c>
      <c r="Z105" s="66" t="str">
        <f t="shared" si="41"/>
        <v/>
      </c>
      <c r="AA105" s="67" t="str">
        <f t="shared" si="42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43"/>
        <v/>
      </c>
      <c r="M106" s="62" t="str">
        <f t="shared" si="29"/>
        <v/>
      </c>
      <c r="N106" s="62" t="str">
        <f t="shared" si="30"/>
        <v/>
      </c>
      <c r="O106" s="63" t="str">
        <f t="shared" si="31"/>
        <v/>
      </c>
      <c r="P106" s="64" t="str">
        <f t="shared" si="44"/>
        <v/>
      </c>
      <c r="Q106" s="93" t="str">
        <f t="shared" si="32"/>
        <v/>
      </c>
      <c r="R106" s="94" t="str">
        <f t="shared" si="33"/>
        <v/>
      </c>
      <c r="S106" s="64" t="str">
        <f t="shared" si="34"/>
        <v/>
      </c>
      <c r="T106" s="93" t="str">
        <f t="shared" si="35"/>
        <v/>
      </c>
      <c r="U106" s="94" t="str">
        <f t="shared" si="36"/>
        <v/>
      </c>
      <c r="V106" s="64" t="str">
        <f t="shared" si="37"/>
        <v/>
      </c>
      <c r="W106" s="65" t="str">
        <f t="shared" si="38"/>
        <v/>
      </c>
      <c r="X106" s="78" t="str">
        <f t="shared" si="39"/>
        <v/>
      </c>
      <c r="Y106" s="66" t="str">
        <f t="shared" si="40"/>
        <v/>
      </c>
      <c r="Z106" s="66" t="str">
        <f t="shared" si="41"/>
        <v/>
      </c>
      <c r="AA106" s="67" t="str">
        <f t="shared" si="42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43"/>
        <v/>
      </c>
      <c r="M107" s="62" t="str">
        <f t="shared" si="29"/>
        <v/>
      </c>
      <c r="N107" s="62" t="str">
        <f t="shared" si="30"/>
        <v/>
      </c>
      <c r="O107" s="63" t="str">
        <f t="shared" si="31"/>
        <v/>
      </c>
      <c r="P107" s="64" t="str">
        <f t="shared" si="44"/>
        <v/>
      </c>
      <c r="Q107" s="93" t="str">
        <f t="shared" si="32"/>
        <v/>
      </c>
      <c r="R107" s="94" t="str">
        <f t="shared" si="33"/>
        <v/>
      </c>
      <c r="S107" s="64" t="str">
        <f t="shared" si="34"/>
        <v/>
      </c>
      <c r="T107" s="93" t="str">
        <f t="shared" si="35"/>
        <v/>
      </c>
      <c r="U107" s="94" t="str">
        <f t="shared" si="36"/>
        <v/>
      </c>
      <c r="V107" s="64" t="str">
        <f t="shared" si="37"/>
        <v/>
      </c>
      <c r="W107" s="65" t="str">
        <f t="shared" si="38"/>
        <v/>
      </c>
      <c r="X107" s="78" t="str">
        <f t="shared" si="39"/>
        <v/>
      </c>
      <c r="Y107" s="66" t="str">
        <f t="shared" si="40"/>
        <v/>
      </c>
      <c r="Z107" s="66" t="str">
        <f t="shared" si="41"/>
        <v/>
      </c>
      <c r="AA107" s="67" t="str">
        <f t="shared" si="42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43"/>
        <v/>
      </c>
      <c r="M108" s="62" t="str">
        <f t="shared" si="29"/>
        <v/>
      </c>
      <c r="N108" s="62" t="str">
        <f t="shared" si="30"/>
        <v/>
      </c>
      <c r="O108" s="63" t="str">
        <f t="shared" ref="O108:O236" si="45">IF($E108="","",IF($P$8="","",IF(OR($P108&lt;$O$8,$P108&gt;$Q$8),"NC","yes")))</f>
        <v/>
      </c>
      <c r="P108" s="64" t="str">
        <f t="shared" si="44"/>
        <v/>
      </c>
      <c r="Q108" s="93" t="str">
        <f t="shared" ref="Q108:Q236" si="46">IF($E108=0,"",IF(O108="yes",($P108/$P$8),IF(OR($P108&lt;$O$8,$P108&gt;$Q$8),($P108/$P$8))))</f>
        <v/>
      </c>
      <c r="R108" s="94" t="str">
        <f t="shared" ref="R108:R236" si="47">IF($E108="","",IF($S$8="","",IF(OR($S108&lt;$R$8,$S108&gt;$T$8),"NC","yes")))</f>
        <v/>
      </c>
      <c r="S108" s="64" t="str">
        <f t="shared" ref="S108:S236" si="48">IF($E108="","",$I108/$G108)</f>
        <v/>
      </c>
      <c r="T108" s="93" t="str">
        <f t="shared" ref="T108:T236" si="49">IF($E108=0,"",IF(R108="yes",($S108/$S$8),IF(OR($S108&gt;$R$8,$S108&lt;$T$8),($S108/$S$8))))</f>
        <v/>
      </c>
      <c r="U108" s="94" t="str">
        <f t="shared" ref="U108:U236" si="50">IF($E108="","",IF($V$8="","",IF(OR($V108&lt;$U$8,V108&gt;$W$8),"NC","yes")))</f>
        <v/>
      </c>
      <c r="V108" s="64" t="str">
        <f t="shared" ref="V108:V236" si="51">IF($E108="","",$G108/$J108)</f>
        <v/>
      </c>
      <c r="W108" s="65" t="str">
        <f t="shared" ref="W108:W235" si="52">IF($E108="","",IF(U108="yes",(V108/V$8),IF(OR(V108&lt;$U$8,V108&gt;W$8),(V108/V$8))))</f>
        <v/>
      </c>
      <c r="X108" s="78" t="str">
        <f t="shared" ref="X108:X236" si="53">IF(D108="","",IF($E108="",$G108,""))</f>
        <v/>
      </c>
      <c r="Y108" s="66" t="str">
        <f t="shared" ref="Y108:Y236" si="54">IF($D108="","",IF($E108="",$H108,""))</f>
        <v/>
      </c>
      <c r="Z108" s="66" t="str">
        <f t="shared" ref="Z108:Z236" si="55">IF($D108="","",IF($E108="",$I108,""))</f>
        <v/>
      </c>
      <c r="AA108" s="67" t="str">
        <f t="shared" ref="AA108:AA236" si="56">IF($D108="","",IF($E108="",J108,""))</f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43"/>
        <v/>
      </c>
      <c r="M109" s="62" t="str">
        <f t="shared" si="29"/>
        <v/>
      </c>
      <c r="N109" s="62" t="str">
        <f t="shared" si="30"/>
        <v/>
      </c>
      <c r="O109" s="63" t="str">
        <f t="shared" si="45"/>
        <v/>
      </c>
      <c r="P109" s="64" t="str">
        <f t="shared" ref="P109:P236" si="57">IF($E109="","",H109/$G109)</f>
        <v/>
      </c>
      <c r="Q109" s="93" t="str">
        <f t="shared" si="46"/>
        <v/>
      </c>
      <c r="R109" s="94" t="str">
        <f t="shared" si="47"/>
        <v/>
      </c>
      <c r="S109" s="64" t="str">
        <f t="shared" si="48"/>
        <v/>
      </c>
      <c r="T109" s="93" t="str">
        <f t="shared" si="49"/>
        <v/>
      </c>
      <c r="U109" s="94" t="str">
        <f t="shared" si="50"/>
        <v/>
      </c>
      <c r="V109" s="64" t="str">
        <f t="shared" si="51"/>
        <v/>
      </c>
      <c r="W109" s="65" t="str">
        <f t="shared" si="52"/>
        <v/>
      </c>
      <c r="X109" s="78" t="str">
        <f t="shared" si="53"/>
        <v/>
      </c>
      <c r="Y109" s="66" t="str">
        <f t="shared" si="54"/>
        <v/>
      </c>
      <c r="Z109" s="66" t="str">
        <f t="shared" si="55"/>
        <v/>
      </c>
      <c r="AA109" s="67" t="str">
        <f t="shared" si="56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43"/>
        <v/>
      </c>
      <c r="M110" s="62" t="str">
        <f t="shared" si="29"/>
        <v/>
      </c>
      <c r="N110" s="62" t="str">
        <f t="shared" si="30"/>
        <v/>
      </c>
      <c r="O110" s="63" t="str">
        <f t="shared" si="45"/>
        <v/>
      </c>
      <c r="P110" s="64" t="str">
        <f t="shared" si="57"/>
        <v/>
      </c>
      <c r="Q110" s="93" t="str">
        <f t="shared" si="46"/>
        <v/>
      </c>
      <c r="R110" s="94" t="str">
        <f t="shared" si="47"/>
        <v/>
      </c>
      <c r="S110" s="64" t="str">
        <f t="shared" si="48"/>
        <v/>
      </c>
      <c r="T110" s="93" t="str">
        <f t="shared" si="49"/>
        <v/>
      </c>
      <c r="U110" s="94" t="str">
        <f t="shared" si="50"/>
        <v/>
      </c>
      <c r="V110" s="64" t="str">
        <f t="shared" si="51"/>
        <v/>
      </c>
      <c r="W110" s="65" t="str">
        <f t="shared" si="52"/>
        <v/>
      </c>
      <c r="X110" s="78" t="str">
        <f t="shared" si="53"/>
        <v/>
      </c>
      <c r="Y110" s="66" t="str">
        <f t="shared" si="54"/>
        <v/>
      </c>
      <c r="Z110" s="66" t="str">
        <f t="shared" si="55"/>
        <v/>
      </c>
      <c r="AA110" s="67" t="str">
        <f t="shared" si="56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43"/>
        <v/>
      </c>
      <c r="M111" s="62" t="str">
        <f t="shared" si="29"/>
        <v/>
      </c>
      <c r="N111" s="62" t="str">
        <f t="shared" si="30"/>
        <v/>
      </c>
      <c r="O111" s="63" t="str">
        <f t="shared" si="45"/>
        <v/>
      </c>
      <c r="P111" s="64" t="str">
        <f t="shared" si="57"/>
        <v/>
      </c>
      <c r="Q111" s="93" t="str">
        <f t="shared" si="46"/>
        <v/>
      </c>
      <c r="R111" s="94" t="str">
        <f t="shared" si="47"/>
        <v/>
      </c>
      <c r="S111" s="64" t="str">
        <f t="shared" si="48"/>
        <v/>
      </c>
      <c r="T111" s="93" t="str">
        <f t="shared" si="49"/>
        <v/>
      </c>
      <c r="U111" s="94" t="str">
        <f t="shared" si="50"/>
        <v/>
      </c>
      <c r="V111" s="64" t="str">
        <f t="shared" si="51"/>
        <v/>
      </c>
      <c r="W111" s="65" t="str">
        <f t="shared" si="52"/>
        <v/>
      </c>
      <c r="X111" s="78" t="str">
        <f t="shared" si="53"/>
        <v/>
      </c>
      <c r="Y111" s="66" t="str">
        <f t="shared" si="54"/>
        <v/>
      </c>
      <c r="Z111" s="66" t="str">
        <f t="shared" si="55"/>
        <v/>
      </c>
      <c r="AA111" s="67" t="str">
        <f t="shared" si="56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ref="L112:L175" si="58">IF($Y$11=0,"",IF(E112="","",IF($H112="","",IF($G112="","",IF($H112/$G112&gt;=$L$11,"yes","NC")))))</f>
        <v/>
      </c>
      <c r="M112" s="62" t="str">
        <f t="shared" si="29"/>
        <v/>
      </c>
      <c r="N112" s="62" t="str">
        <f t="shared" si="30"/>
        <v/>
      </c>
      <c r="O112" s="63" t="str">
        <f t="shared" si="45"/>
        <v/>
      </c>
      <c r="P112" s="64" t="str">
        <f t="shared" ref="P112:P175" si="59">IF($E112="","",H112/$G112)</f>
        <v/>
      </c>
      <c r="Q112" s="93" t="str">
        <f t="shared" ref="Q112:Q175" si="60">IF($E112=0,"",IF(O112="yes",($P112/$P$8),IF(OR($P112&lt;$O$8,$P112&gt;$Q$8),($P112/$P$8))))</f>
        <v/>
      </c>
      <c r="R112" s="94" t="str">
        <f t="shared" si="47"/>
        <v/>
      </c>
      <c r="S112" s="64" t="str">
        <f t="shared" si="48"/>
        <v/>
      </c>
      <c r="T112" s="93" t="str">
        <f t="shared" ref="T112:T175" si="61">IF($E112=0,"",IF(R112="yes",($S112/$S$8),IF(OR($S112&gt;$R$8,$S112&lt;$T$8),($S112/$S$8))))</f>
        <v/>
      </c>
      <c r="U112" s="94" t="str">
        <f t="shared" ref="U112:U175" si="62">IF($E112="","",IF($V$8="","",IF(OR($V112&lt;$U$8,V112&gt;$W$8),"NC","yes")))</f>
        <v/>
      </c>
      <c r="V112" s="64" t="str">
        <f t="shared" si="51"/>
        <v/>
      </c>
      <c r="W112" s="65" t="str">
        <f t="shared" ref="W112:W175" si="63">IF($E112="","",IF(U112="yes",(V112/V$8),IF(OR(V112&lt;$U$8,V112&gt;W$8),(V112/V$8))))</f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58"/>
        <v/>
      </c>
      <c r="M113" s="62" t="str">
        <f t="shared" si="29"/>
        <v/>
      </c>
      <c r="N113" s="62" t="str">
        <f t="shared" si="30"/>
        <v/>
      </c>
      <c r="O113" s="63" t="str">
        <f t="shared" si="45"/>
        <v/>
      </c>
      <c r="P113" s="64" t="str">
        <f t="shared" si="59"/>
        <v/>
      </c>
      <c r="Q113" s="93" t="str">
        <f t="shared" si="60"/>
        <v/>
      </c>
      <c r="R113" s="94" t="str">
        <f t="shared" si="47"/>
        <v/>
      </c>
      <c r="S113" s="64" t="str">
        <f t="shared" si="48"/>
        <v/>
      </c>
      <c r="T113" s="93" t="str">
        <f t="shared" si="61"/>
        <v/>
      </c>
      <c r="U113" s="94" t="str">
        <f t="shared" si="62"/>
        <v/>
      </c>
      <c r="V113" s="64" t="str">
        <f t="shared" si="51"/>
        <v/>
      </c>
      <c r="W113" s="65" t="str">
        <f t="shared" si="63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58"/>
        <v/>
      </c>
      <c r="M114" s="62" t="str">
        <f t="shared" si="29"/>
        <v/>
      </c>
      <c r="N114" s="62" t="str">
        <f t="shared" si="30"/>
        <v/>
      </c>
      <c r="O114" s="63" t="str">
        <f t="shared" si="45"/>
        <v/>
      </c>
      <c r="P114" s="64" t="str">
        <f t="shared" si="59"/>
        <v/>
      </c>
      <c r="Q114" s="93" t="str">
        <f t="shared" si="60"/>
        <v/>
      </c>
      <c r="R114" s="94" t="str">
        <f t="shared" si="47"/>
        <v/>
      </c>
      <c r="S114" s="64" t="str">
        <f t="shared" si="48"/>
        <v/>
      </c>
      <c r="T114" s="93" t="str">
        <f t="shared" si="61"/>
        <v/>
      </c>
      <c r="U114" s="94" t="str">
        <f t="shared" si="62"/>
        <v/>
      </c>
      <c r="V114" s="64" t="str">
        <f t="shared" si="51"/>
        <v/>
      </c>
      <c r="W114" s="65" t="str">
        <f t="shared" si="63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58"/>
        <v/>
      </c>
      <c r="M115" s="62" t="str">
        <f t="shared" si="29"/>
        <v/>
      </c>
      <c r="N115" s="62" t="str">
        <f t="shared" si="30"/>
        <v/>
      </c>
      <c r="O115" s="63" t="str">
        <f t="shared" si="45"/>
        <v/>
      </c>
      <c r="P115" s="64" t="str">
        <f t="shared" si="59"/>
        <v/>
      </c>
      <c r="Q115" s="93" t="str">
        <f t="shared" si="60"/>
        <v/>
      </c>
      <c r="R115" s="94" t="str">
        <f t="shared" si="47"/>
        <v/>
      </c>
      <c r="S115" s="64" t="str">
        <f t="shared" si="48"/>
        <v/>
      </c>
      <c r="T115" s="93" t="str">
        <f t="shared" si="61"/>
        <v/>
      </c>
      <c r="U115" s="94" t="str">
        <f t="shared" si="62"/>
        <v/>
      </c>
      <c r="V115" s="64" t="str">
        <f t="shared" si="51"/>
        <v/>
      </c>
      <c r="W115" s="65" t="str">
        <f t="shared" si="63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58"/>
        <v/>
      </c>
      <c r="M116" s="62" t="str">
        <f t="shared" si="29"/>
        <v/>
      </c>
      <c r="N116" s="62" t="str">
        <f t="shared" si="30"/>
        <v/>
      </c>
      <c r="O116" s="63" t="str">
        <f t="shared" si="45"/>
        <v/>
      </c>
      <c r="P116" s="64" t="str">
        <f t="shared" si="59"/>
        <v/>
      </c>
      <c r="Q116" s="93" t="str">
        <f t="shared" si="60"/>
        <v/>
      </c>
      <c r="R116" s="94" t="str">
        <f t="shared" si="47"/>
        <v/>
      </c>
      <c r="S116" s="64" t="str">
        <f t="shared" si="48"/>
        <v/>
      </c>
      <c r="T116" s="93" t="str">
        <f t="shared" si="61"/>
        <v/>
      </c>
      <c r="U116" s="94" t="str">
        <f t="shared" si="62"/>
        <v/>
      </c>
      <c r="V116" s="64" t="str">
        <f t="shared" si="51"/>
        <v/>
      </c>
      <c r="W116" s="65" t="str">
        <f t="shared" si="63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58"/>
        <v/>
      </c>
      <c r="M117" s="62" t="str">
        <f t="shared" si="29"/>
        <v/>
      </c>
      <c r="N117" s="62" t="str">
        <f t="shared" si="30"/>
        <v/>
      </c>
      <c r="O117" s="63" t="str">
        <f t="shared" si="45"/>
        <v/>
      </c>
      <c r="P117" s="64" t="str">
        <f t="shared" si="59"/>
        <v/>
      </c>
      <c r="Q117" s="93" t="str">
        <f t="shared" si="60"/>
        <v/>
      </c>
      <c r="R117" s="94" t="str">
        <f t="shared" si="47"/>
        <v/>
      </c>
      <c r="S117" s="64" t="str">
        <f t="shared" si="48"/>
        <v/>
      </c>
      <c r="T117" s="93" t="str">
        <f t="shared" si="61"/>
        <v/>
      </c>
      <c r="U117" s="94" t="str">
        <f t="shared" si="62"/>
        <v/>
      </c>
      <c r="V117" s="64" t="str">
        <f t="shared" si="51"/>
        <v/>
      </c>
      <c r="W117" s="65" t="str">
        <f t="shared" si="63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58"/>
        <v/>
      </c>
      <c r="M118" s="62" t="str">
        <f t="shared" si="29"/>
        <v/>
      </c>
      <c r="N118" s="62" t="str">
        <f t="shared" si="30"/>
        <v/>
      </c>
      <c r="O118" s="63" t="str">
        <f t="shared" si="45"/>
        <v/>
      </c>
      <c r="P118" s="64" t="str">
        <f t="shared" si="59"/>
        <v/>
      </c>
      <c r="Q118" s="93" t="str">
        <f t="shared" si="60"/>
        <v/>
      </c>
      <c r="R118" s="94" t="str">
        <f t="shared" si="47"/>
        <v/>
      </c>
      <c r="S118" s="64" t="str">
        <f t="shared" si="48"/>
        <v/>
      </c>
      <c r="T118" s="93" t="str">
        <f t="shared" si="61"/>
        <v/>
      </c>
      <c r="U118" s="94" t="str">
        <f t="shared" si="62"/>
        <v/>
      </c>
      <c r="V118" s="64" t="str">
        <f t="shared" si="51"/>
        <v/>
      </c>
      <c r="W118" s="65" t="str">
        <f t="shared" si="63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58"/>
        <v/>
      </c>
      <c r="M119" s="62" t="str">
        <f t="shared" si="29"/>
        <v/>
      </c>
      <c r="N119" s="62" t="str">
        <f t="shared" si="30"/>
        <v/>
      </c>
      <c r="O119" s="63" t="str">
        <f t="shared" si="45"/>
        <v/>
      </c>
      <c r="P119" s="64" t="str">
        <f t="shared" si="59"/>
        <v/>
      </c>
      <c r="Q119" s="93" t="str">
        <f t="shared" si="60"/>
        <v/>
      </c>
      <c r="R119" s="94" t="str">
        <f t="shared" si="47"/>
        <v/>
      </c>
      <c r="S119" s="64" t="str">
        <f t="shared" si="48"/>
        <v/>
      </c>
      <c r="T119" s="93" t="str">
        <f t="shared" si="61"/>
        <v/>
      </c>
      <c r="U119" s="94" t="str">
        <f t="shared" si="62"/>
        <v/>
      </c>
      <c r="V119" s="64" t="str">
        <f t="shared" si="51"/>
        <v/>
      </c>
      <c r="W119" s="65" t="str">
        <f t="shared" si="63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58"/>
        <v/>
      </c>
      <c r="M120" s="62" t="str">
        <f t="shared" si="29"/>
        <v/>
      </c>
      <c r="N120" s="62" t="str">
        <f t="shared" si="30"/>
        <v/>
      </c>
      <c r="O120" s="63" t="str">
        <f t="shared" si="45"/>
        <v/>
      </c>
      <c r="P120" s="64" t="str">
        <f t="shared" si="59"/>
        <v/>
      </c>
      <c r="Q120" s="93" t="str">
        <f t="shared" si="60"/>
        <v/>
      </c>
      <c r="R120" s="94" t="str">
        <f t="shared" si="47"/>
        <v/>
      </c>
      <c r="S120" s="64" t="str">
        <f t="shared" si="48"/>
        <v/>
      </c>
      <c r="T120" s="93" t="str">
        <f t="shared" si="61"/>
        <v/>
      </c>
      <c r="U120" s="94" t="str">
        <f t="shared" si="62"/>
        <v/>
      </c>
      <c r="V120" s="64" t="str">
        <f t="shared" si="51"/>
        <v/>
      </c>
      <c r="W120" s="65" t="str">
        <f t="shared" si="63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58"/>
        <v/>
      </c>
      <c r="M121" s="62" t="str">
        <f t="shared" si="29"/>
        <v/>
      </c>
      <c r="N121" s="62" t="str">
        <f t="shared" si="30"/>
        <v/>
      </c>
      <c r="O121" s="63" t="str">
        <f t="shared" si="45"/>
        <v/>
      </c>
      <c r="P121" s="64" t="str">
        <f t="shared" si="59"/>
        <v/>
      </c>
      <c r="Q121" s="93" t="str">
        <f t="shared" si="60"/>
        <v/>
      </c>
      <c r="R121" s="94" t="str">
        <f t="shared" si="47"/>
        <v/>
      </c>
      <c r="S121" s="64" t="str">
        <f t="shared" si="48"/>
        <v/>
      </c>
      <c r="T121" s="93" t="str">
        <f t="shared" si="61"/>
        <v/>
      </c>
      <c r="U121" s="94" t="str">
        <f t="shared" si="62"/>
        <v/>
      </c>
      <c r="V121" s="64" t="str">
        <f t="shared" si="51"/>
        <v/>
      </c>
      <c r="W121" s="65" t="str">
        <f t="shared" si="63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58"/>
        <v/>
      </c>
      <c r="M122" s="62" t="str">
        <f t="shared" si="29"/>
        <v/>
      </c>
      <c r="N122" s="62" t="str">
        <f t="shared" si="30"/>
        <v/>
      </c>
      <c r="O122" s="63" t="str">
        <f t="shared" si="45"/>
        <v/>
      </c>
      <c r="P122" s="64" t="str">
        <f t="shared" si="59"/>
        <v/>
      </c>
      <c r="Q122" s="93" t="str">
        <f t="shared" si="60"/>
        <v/>
      </c>
      <c r="R122" s="94" t="str">
        <f t="shared" si="47"/>
        <v/>
      </c>
      <c r="S122" s="64" t="str">
        <f t="shared" si="48"/>
        <v/>
      </c>
      <c r="T122" s="93" t="str">
        <f t="shared" si="61"/>
        <v/>
      </c>
      <c r="U122" s="94" t="str">
        <f t="shared" si="62"/>
        <v/>
      </c>
      <c r="V122" s="64" t="str">
        <f t="shared" si="51"/>
        <v/>
      </c>
      <c r="W122" s="65" t="str">
        <f t="shared" si="63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58"/>
        <v/>
      </c>
      <c r="M123" s="62" t="str">
        <f t="shared" si="29"/>
        <v/>
      </c>
      <c r="N123" s="62" t="str">
        <f t="shared" si="30"/>
        <v/>
      </c>
      <c r="O123" s="63" t="str">
        <f t="shared" si="45"/>
        <v/>
      </c>
      <c r="P123" s="64" t="str">
        <f t="shared" si="59"/>
        <v/>
      </c>
      <c r="Q123" s="93" t="str">
        <f t="shared" si="60"/>
        <v/>
      </c>
      <c r="R123" s="94" t="str">
        <f t="shared" si="47"/>
        <v/>
      </c>
      <c r="S123" s="64" t="str">
        <f t="shared" si="48"/>
        <v/>
      </c>
      <c r="T123" s="93" t="str">
        <f t="shared" si="61"/>
        <v/>
      </c>
      <c r="U123" s="94" t="str">
        <f t="shared" si="62"/>
        <v/>
      </c>
      <c r="V123" s="64" t="str">
        <f t="shared" si="51"/>
        <v/>
      </c>
      <c r="W123" s="65" t="str">
        <f t="shared" si="63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58"/>
        <v/>
      </c>
      <c r="M124" s="62" t="str">
        <f t="shared" si="29"/>
        <v/>
      </c>
      <c r="N124" s="62" t="str">
        <f t="shared" si="30"/>
        <v/>
      </c>
      <c r="O124" s="63" t="str">
        <f t="shared" si="45"/>
        <v/>
      </c>
      <c r="P124" s="64" t="str">
        <f t="shared" si="59"/>
        <v/>
      </c>
      <c r="Q124" s="93" t="str">
        <f t="shared" si="60"/>
        <v/>
      </c>
      <c r="R124" s="94" t="str">
        <f t="shared" si="47"/>
        <v/>
      </c>
      <c r="S124" s="64" t="str">
        <f t="shared" si="48"/>
        <v/>
      </c>
      <c r="T124" s="93" t="str">
        <f t="shared" si="61"/>
        <v/>
      </c>
      <c r="U124" s="94" t="str">
        <f t="shared" si="62"/>
        <v/>
      </c>
      <c r="V124" s="64" t="str">
        <f t="shared" si="51"/>
        <v/>
      </c>
      <c r="W124" s="65" t="str">
        <f t="shared" si="63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58"/>
        <v/>
      </c>
      <c r="M125" s="62" t="str">
        <f t="shared" si="29"/>
        <v/>
      </c>
      <c r="N125" s="62" t="str">
        <f t="shared" si="30"/>
        <v/>
      </c>
      <c r="O125" s="63" t="str">
        <f t="shared" si="45"/>
        <v/>
      </c>
      <c r="P125" s="64" t="str">
        <f t="shared" si="59"/>
        <v/>
      </c>
      <c r="Q125" s="93" t="str">
        <f t="shared" si="60"/>
        <v/>
      </c>
      <c r="R125" s="94" t="str">
        <f t="shared" si="47"/>
        <v/>
      </c>
      <c r="S125" s="64" t="str">
        <f t="shared" si="48"/>
        <v/>
      </c>
      <c r="T125" s="93" t="str">
        <f t="shared" si="61"/>
        <v/>
      </c>
      <c r="U125" s="94" t="str">
        <f t="shared" si="62"/>
        <v/>
      </c>
      <c r="V125" s="64" t="str">
        <f t="shared" si="51"/>
        <v/>
      </c>
      <c r="W125" s="65" t="str">
        <f t="shared" si="63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58"/>
        <v/>
      </c>
      <c r="M126" s="62" t="str">
        <f t="shared" si="29"/>
        <v/>
      </c>
      <c r="N126" s="62" t="str">
        <f t="shared" si="30"/>
        <v/>
      </c>
      <c r="O126" s="63" t="str">
        <f t="shared" si="45"/>
        <v/>
      </c>
      <c r="P126" s="64" t="str">
        <f t="shared" si="59"/>
        <v/>
      </c>
      <c r="Q126" s="93" t="str">
        <f t="shared" si="60"/>
        <v/>
      </c>
      <c r="R126" s="94" t="str">
        <f t="shared" si="47"/>
        <v/>
      </c>
      <c r="S126" s="64" t="str">
        <f t="shared" si="48"/>
        <v/>
      </c>
      <c r="T126" s="93" t="str">
        <f t="shared" si="61"/>
        <v/>
      </c>
      <c r="U126" s="94" t="str">
        <f t="shared" si="62"/>
        <v/>
      </c>
      <c r="V126" s="64" t="str">
        <f t="shared" si="51"/>
        <v/>
      </c>
      <c r="W126" s="65" t="str">
        <f t="shared" si="63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58"/>
        <v/>
      </c>
      <c r="M127" s="62" t="str">
        <f t="shared" si="29"/>
        <v/>
      </c>
      <c r="N127" s="62" t="str">
        <f t="shared" si="30"/>
        <v/>
      </c>
      <c r="O127" s="63" t="str">
        <f t="shared" si="45"/>
        <v/>
      </c>
      <c r="P127" s="64" t="str">
        <f t="shared" si="59"/>
        <v/>
      </c>
      <c r="Q127" s="93" t="str">
        <f t="shared" si="60"/>
        <v/>
      </c>
      <c r="R127" s="94" t="str">
        <f t="shared" si="47"/>
        <v/>
      </c>
      <c r="S127" s="64" t="str">
        <f t="shared" si="48"/>
        <v/>
      </c>
      <c r="T127" s="93" t="str">
        <f t="shared" si="61"/>
        <v/>
      </c>
      <c r="U127" s="94" t="str">
        <f t="shared" si="62"/>
        <v/>
      </c>
      <c r="V127" s="64" t="str">
        <f t="shared" si="51"/>
        <v/>
      </c>
      <c r="W127" s="65" t="str">
        <f t="shared" si="63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58"/>
        <v/>
      </c>
      <c r="M128" s="62" t="str">
        <f t="shared" si="29"/>
        <v/>
      </c>
      <c r="N128" s="62" t="str">
        <f t="shared" si="30"/>
        <v/>
      </c>
      <c r="O128" s="63" t="str">
        <f t="shared" si="45"/>
        <v/>
      </c>
      <c r="P128" s="64" t="str">
        <f t="shared" si="59"/>
        <v/>
      </c>
      <c r="Q128" s="93" t="str">
        <f t="shared" si="60"/>
        <v/>
      </c>
      <c r="R128" s="94" t="str">
        <f t="shared" si="47"/>
        <v/>
      </c>
      <c r="S128" s="64" t="str">
        <f t="shared" si="48"/>
        <v/>
      </c>
      <c r="T128" s="93" t="str">
        <f t="shared" si="61"/>
        <v/>
      </c>
      <c r="U128" s="94" t="str">
        <f t="shared" si="62"/>
        <v/>
      </c>
      <c r="V128" s="64" t="str">
        <f t="shared" si="51"/>
        <v/>
      </c>
      <c r="W128" s="65" t="str">
        <f t="shared" si="63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58"/>
        <v/>
      </c>
      <c r="M129" s="62" t="str">
        <f t="shared" si="29"/>
        <v/>
      </c>
      <c r="N129" s="62" t="str">
        <f t="shared" si="30"/>
        <v/>
      </c>
      <c r="O129" s="63" t="str">
        <f t="shared" si="45"/>
        <v/>
      </c>
      <c r="P129" s="64" t="str">
        <f t="shared" si="59"/>
        <v/>
      </c>
      <c r="Q129" s="93" t="str">
        <f t="shared" si="60"/>
        <v/>
      </c>
      <c r="R129" s="94" t="str">
        <f t="shared" si="47"/>
        <v/>
      </c>
      <c r="S129" s="64" t="str">
        <f t="shared" si="48"/>
        <v/>
      </c>
      <c r="T129" s="93" t="str">
        <f t="shared" si="61"/>
        <v/>
      </c>
      <c r="U129" s="94" t="str">
        <f t="shared" si="62"/>
        <v/>
      </c>
      <c r="V129" s="64" t="str">
        <f t="shared" si="51"/>
        <v/>
      </c>
      <c r="W129" s="65" t="str">
        <f t="shared" si="63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58"/>
        <v/>
      </c>
      <c r="M130" s="62" t="str">
        <f t="shared" si="29"/>
        <v/>
      </c>
      <c r="N130" s="62" t="str">
        <f t="shared" si="30"/>
        <v/>
      </c>
      <c r="O130" s="63" t="str">
        <f t="shared" si="45"/>
        <v/>
      </c>
      <c r="P130" s="64" t="str">
        <f t="shared" si="59"/>
        <v/>
      </c>
      <c r="Q130" s="93" t="str">
        <f t="shared" si="60"/>
        <v/>
      </c>
      <c r="R130" s="94" t="str">
        <f t="shared" si="47"/>
        <v/>
      </c>
      <c r="S130" s="64" t="str">
        <f t="shared" si="48"/>
        <v/>
      </c>
      <c r="T130" s="93" t="str">
        <f t="shared" si="61"/>
        <v/>
      </c>
      <c r="U130" s="94" t="str">
        <f t="shared" si="62"/>
        <v/>
      </c>
      <c r="V130" s="64" t="str">
        <f t="shared" si="51"/>
        <v/>
      </c>
      <c r="W130" s="65" t="str">
        <f t="shared" si="63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58"/>
        <v/>
      </c>
      <c r="M131" s="62" t="str">
        <f t="shared" si="29"/>
        <v/>
      </c>
      <c r="N131" s="62" t="str">
        <f t="shared" si="30"/>
        <v/>
      </c>
      <c r="O131" s="63" t="str">
        <f t="shared" si="45"/>
        <v/>
      </c>
      <c r="P131" s="64" t="str">
        <f t="shared" si="59"/>
        <v/>
      </c>
      <c r="Q131" s="93" t="str">
        <f t="shared" si="60"/>
        <v/>
      </c>
      <c r="R131" s="94" t="str">
        <f t="shared" si="47"/>
        <v/>
      </c>
      <c r="S131" s="64" t="str">
        <f t="shared" si="48"/>
        <v/>
      </c>
      <c r="T131" s="93" t="str">
        <f t="shared" si="61"/>
        <v/>
      </c>
      <c r="U131" s="94" t="str">
        <f t="shared" si="62"/>
        <v/>
      </c>
      <c r="V131" s="64" t="str">
        <f t="shared" si="51"/>
        <v/>
      </c>
      <c r="W131" s="65" t="str">
        <f t="shared" si="63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58"/>
        <v/>
      </c>
      <c r="M132" s="62" t="str">
        <f t="shared" si="29"/>
        <v/>
      </c>
      <c r="N132" s="62" t="str">
        <f t="shared" si="30"/>
        <v/>
      </c>
      <c r="O132" s="63" t="str">
        <f t="shared" si="45"/>
        <v/>
      </c>
      <c r="P132" s="64" t="str">
        <f t="shared" si="59"/>
        <v/>
      </c>
      <c r="Q132" s="93" t="str">
        <f t="shared" si="60"/>
        <v/>
      </c>
      <c r="R132" s="94" t="str">
        <f t="shared" si="47"/>
        <v/>
      </c>
      <c r="S132" s="64" t="str">
        <f t="shared" si="48"/>
        <v/>
      </c>
      <c r="T132" s="93" t="str">
        <f t="shared" si="61"/>
        <v/>
      </c>
      <c r="U132" s="94" t="str">
        <f t="shared" si="62"/>
        <v/>
      </c>
      <c r="V132" s="64" t="str">
        <f t="shared" si="51"/>
        <v/>
      </c>
      <c r="W132" s="65" t="str">
        <f t="shared" si="63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58"/>
        <v/>
      </c>
      <c r="M133" s="62" t="str">
        <f t="shared" si="29"/>
        <v/>
      </c>
      <c r="N133" s="62" t="str">
        <f t="shared" si="30"/>
        <v/>
      </c>
      <c r="O133" s="63" t="str">
        <f t="shared" si="45"/>
        <v/>
      </c>
      <c r="P133" s="64" t="str">
        <f t="shared" si="59"/>
        <v/>
      </c>
      <c r="Q133" s="93" t="str">
        <f t="shared" si="60"/>
        <v/>
      </c>
      <c r="R133" s="94" t="str">
        <f t="shared" si="47"/>
        <v/>
      </c>
      <c r="S133" s="64" t="str">
        <f t="shared" si="48"/>
        <v/>
      </c>
      <c r="T133" s="93" t="str">
        <f t="shared" si="61"/>
        <v/>
      </c>
      <c r="U133" s="94" t="str">
        <f t="shared" si="62"/>
        <v/>
      </c>
      <c r="V133" s="64" t="str">
        <f t="shared" si="51"/>
        <v/>
      </c>
      <c r="W133" s="65" t="str">
        <f t="shared" si="63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58"/>
        <v/>
      </c>
      <c r="M134" s="62" t="str">
        <f t="shared" si="29"/>
        <v/>
      </c>
      <c r="N134" s="62" t="str">
        <f t="shared" si="30"/>
        <v/>
      </c>
      <c r="O134" s="63" t="str">
        <f t="shared" si="45"/>
        <v/>
      </c>
      <c r="P134" s="64" t="str">
        <f t="shared" si="59"/>
        <v/>
      </c>
      <c r="Q134" s="93" t="str">
        <f t="shared" si="60"/>
        <v/>
      </c>
      <c r="R134" s="94" t="str">
        <f t="shared" si="47"/>
        <v/>
      </c>
      <c r="S134" s="64" t="str">
        <f t="shared" si="48"/>
        <v/>
      </c>
      <c r="T134" s="93" t="str">
        <f t="shared" si="61"/>
        <v/>
      </c>
      <c r="U134" s="94" t="str">
        <f t="shared" si="62"/>
        <v/>
      </c>
      <c r="V134" s="64" t="str">
        <f t="shared" si="51"/>
        <v/>
      </c>
      <c r="W134" s="65" t="str">
        <f t="shared" si="63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58"/>
        <v/>
      </c>
      <c r="M135" s="62" t="str">
        <f t="shared" si="29"/>
        <v/>
      </c>
      <c r="N135" s="62" t="str">
        <f t="shared" si="30"/>
        <v/>
      </c>
      <c r="O135" s="63" t="str">
        <f t="shared" si="45"/>
        <v/>
      </c>
      <c r="P135" s="64" t="str">
        <f t="shared" si="59"/>
        <v/>
      </c>
      <c r="Q135" s="93" t="str">
        <f t="shared" si="60"/>
        <v/>
      </c>
      <c r="R135" s="94" t="str">
        <f t="shared" si="47"/>
        <v/>
      </c>
      <c r="S135" s="64" t="str">
        <f t="shared" si="48"/>
        <v/>
      </c>
      <c r="T135" s="93" t="str">
        <f t="shared" si="61"/>
        <v/>
      </c>
      <c r="U135" s="94" t="str">
        <f t="shared" si="62"/>
        <v/>
      </c>
      <c r="V135" s="64" t="str">
        <f t="shared" si="51"/>
        <v/>
      </c>
      <c r="W135" s="65" t="str">
        <f t="shared" si="63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58"/>
        <v/>
      </c>
      <c r="M136" s="62" t="str">
        <f t="shared" si="29"/>
        <v/>
      </c>
      <c r="N136" s="62" t="str">
        <f t="shared" si="30"/>
        <v/>
      </c>
      <c r="O136" s="63" t="str">
        <f t="shared" si="45"/>
        <v/>
      </c>
      <c r="P136" s="64" t="str">
        <f t="shared" si="59"/>
        <v/>
      </c>
      <c r="Q136" s="93" t="str">
        <f t="shared" si="60"/>
        <v/>
      </c>
      <c r="R136" s="94" t="str">
        <f t="shared" si="47"/>
        <v/>
      </c>
      <c r="S136" s="64" t="str">
        <f t="shared" si="48"/>
        <v/>
      </c>
      <c r="T136" s="93" t="str">
        <f t="shared" si="61"/>
        <v/>
      </c>
      <c r="U136" s="94" t="str">
        <f t="shared" si="62"/>
        <v/>
      </c>
      <c r="V136" s="64" t="str">
        <f t="shared" si="51"/>
        <v/>
      </c>
      <c r="W136" s="65" t="str">
        <f t="shared" si="63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58"/>
        <v/>
      </c>
      <c r="M137" s="62" t="str">
        <f t="shared" si="29"/>
        <v/>
      </c>
      <c r="N137" s="62" t="str">
        <f t="shared" si="30"/>
        <v/>
      </c>
      <c r="O137" s="63" t="str">
        <f t="shared" si="45"/>
        <v/>
      </c>
      <c r="P137" s="64" t="str">
        <f t="shared" si="59"/>
        <v/>
      </c>
      <c r="Q137" s="93" t="str">
        <f t="shared" si="60"/>
        <v/>
      </c>
      <c r="R137" s="94" t="str">
        <f t="shared" si="47"/>
        <v/>
      </c>
      <c r="S137" s="64" t="str">
        <f t="shared" si="48"/>
        <v/>
      </c>
      <c r="T137" s="93" t="str">
        <f t="shared" si="61"/>
        <v/>
      </c>
      <c r="U137" s="94" t="str">
        <f t="shared" si="62"/>
        <v/>
      </c>
      <c r="V137" s="64" t="str">
        <f t="shared" si="51"/>
        <v/>
      </c>
      <c r="W137" s="65" t="str">
        <f t="shared" si="63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58"/>
        <v/>
      </c>
      <c r="M138" s="62" t="str">
        <f t="shared" si="29"/>
        <v/>
      </c>
      <c r="N138" s="62" t="str">
        <f t="shared" si="30"/>
        <v/>
      </c>
      <c r="O138" s="63" t="str">
        <f t="shared" si="45"/>
        <v/>
      </c>
      <c r="P138" s="64" t="str">
        <f t="shared" si="59"/>
        <v/>
      </c>
      <c r="Q138" s="93" t="str">
        <f t="shared" si="60"/>
        <v/>
      </c>
      <c r="R138" s="94" t="str">
        <f t="shared" si="47"/>
        <v/>
      </c>
      <c r="S138" s="64" t="str">
        <f t="shared" si="48"/>
        <v/>
      </c>
      <c r="T138" s="93" t="str">
        <f t="shared" si="61"/>
        <v/>
      </c>
      <c r="U138" s="94" t="str">
        <f t="shared" si="62"/>
        <v/>
      </c>
      <c r="V138" s="64" t="str">
        <f t="shared" si="51"/>
        <v/>
      </c>
      <c r="W138" s="65" t="str">
        <f t="shared" si="63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58"/>
        <v/>
      </c>
      <c r="M139" s="62" t="str">
        <f t="shared" si="29"/>
        <v/>
      </c>
      <c r="N139" s="62" t="str">
        <f t="shared" si="30"/>
        <v/>
      </c>
      <c r="O139" s="63" t="str">
        <f t="shared" si="45"/>
        <v/>
      </c>
      <c r="P139" s="64" t="str">
        <f t="shared" si="59"/>
        <v/>
      </c>
      <c r="Q139" s="93" t="str">
        <f t="shared" si="60"/>
        <v/>
      </c>
      <c r="R139" s="94" t="str">
        <f t="shared" si="47"/>
        <v/>
      </c>
      <c r="S139" s="64" t="str">
        <f t="shared" si="48"/>
        <v/>
      </c>
      <c r="T139" s="93" t="str">
        <f t="shared" si="61"/>
        <v/>
      </c>
      <c r="U139" s="94" t="str">
        <f t="shared" si="62"/>
        <v/>
      </c>
      <c r="V139" s="64" t="str">
        <f t="shared" si="51"/>
        <v/>
      </c>
      <c r="W139" s="65" t="str">
        <f t="shared" si="63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58"/>
        <v/>
      </c>
      <c r="M140" s="62" t="str">
        <f t="shared" si="29"/>
        <v/>
      </c>
      <c r="N140" s="62" t="str">
        <f t="shared" si="30"/>
        <v/>
      </c>
      <c r="O140" s="63" t="str">
        <f t="shared" si="45"/>
        <v/>
      </c>
      <c r="P140" s="64" t="str">
        <f t="shared" si="59"/>
        <v/>
      </c>
      <c r="Q140" s="93" t="str">
        <f t="shared" si="60"/>
        <v/>
      </c>
      <c r="R140" s="94" t="str">
        <f t="shared" si="47"/>
        <v/>
      </c>
      <c r="S140" s="64" t="str">
        <f t="shared" si="48"/>
        <v/>
      </c>
      <c r="T140" s="93" t="str">
        <f t="shared" si="61"/>
        <v/>
      </c>
      <c r="U140" s="94" t="str">
        <f t="shared" si="62"/>
        <v/>
      </c>
      <c r="V140" s="64" t="str">
        <f t="shared" si="51"/>
        <v/>
      </c>
      <c r="W140" s="65" t="str">
        <f t="shared" si="63"/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58"/>
        <v/>
      </c>
      <c r="M141" s="62" t="str">
        <f t="shared" si="29"/>
        <v/>
      </c>
      <c r="N141" s="62" t="str">
        <f t="shared" si="30"/>
        <v/>
      </c>
      <c r="O141" s="63" t="str">
        <f t="shared" si="45"/>
        <v/>
      </c>
      <c r="P141" s="64" t="str">
        <f t="shared" si="59"/>
        <v/>
      </c>
      <c r="Q141" s="93" t="str">
        <f t="shared" si="60"/>
        <v/>
      </c>
      <c r="R141" s="94" t="str">
        <f t="shared" si="47"/>
        <v/>
      </c>
      <c r="S141" s="64" t="str">
        <f t="shared" si="48"/>
        <v/>
      </c>
      <c r="T141" s="93" t="str">
        <f t="shared" si="61"/>
        <v/>
      </c>
      <c r="U141" s="94" t="str">
        <f t="shared" si="62"/>
        <v/>
      </c>
      <c r="V141" s="64" t="str">
        <f t="shared" si="51"/>
        <v/>
      </c>
      <c r="W141" s="65" t="str">
        <f t="shared" si="63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58"/>
        <v/>
      </c>
      <c r="M142" s="62" t="str">
        <f t="shared" si="29"/>
        <v/>
      </c>
      <c r="N142" s="62" t="str">
        <f t="shared" si="30"/>
        <v/>
      </c>
      <c r="O142" s="63" t="str">
        <f t="shared" si="45"/>
        <v/>
      </c>
      <c r="P142" s="64" t="str">
        <f t="shared" si="59"/>
        <v/>
      </c>
      <c r="Q142" s="93" t="str">
        <f t="shared" si="60"/>
        <v/>
      </c>
      <c r="R142" s="94" t="str">
        <f t="shared" si="47"/>
        <v/>
      </c>
      <c r="S142" s="64" t="str">
        <f t="shared" si="48"/>
        <v/>
      </c>
      <c r="T142" s="93" t="str">
        <f t="shared" si="61"/>
        <v/>
      </c>
      <c r="U142" s="94" t="str">
        <f t="shared" si="62"/>
        <v/>
      </c>
      <c r="V142" s="64" t="str">
        <f t="shared" si="51"/>
        <v/>
      </c>
      <c r="W142" s="65" t="str">
        <f t="shared" si="63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58"/>
        <v/>
      </c>
      <c r="M143" s="62" t="str">
        <f t="shared" si="29"/>
        <v/>
      </c>
      <c r="N143" s="62" t="str">
        <f t="shared" si="30"/>
        <v/>
      </c>
      <c r="O143" s="63" t="str">
        <f t="shared" si="45"/>
        <v/>
      </c>
      <c r="P143" s="64" t="str">
        <f t="shared" si="59"/>
        <v/>
      </c>
      <c r="Q143" s="93" t="str">
        <f t="shared" si="60"/>
        <v/>
      </c>
      <c r="R143" s="94" t="str">
        <f t="shared" si="47"/>
        <v/>
      </c>
      <c r="S143" s="64" t="str">
        <f t="shared" si="48"/>
        <v/>
      </c>
      <c r="T143" s="93" t="str">
        <f t="shared" si="61"/>
        <v/>
      </c>
      <c r="U143" s="94" t="str">
        <f t="shared" si="62"/>
        <v/>
      </c>
      <c r="V143" s="64" t="str">
        <f t="shared" si="51"/>
        <v/>
      </c>
      <c r="W143" s="65" t="str">
        <f t="shared" si="63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58"/>
        <v/>
      </c>
      <c r="M144" s="62" t="str">
        <f t="shared" si="29"/>
        <v/>
      </c>
      <c r="N144" s="62" t="str">
        <f t="shared" si="30"/>
        <v/>
      </c>
      <c r="O144" s="63" t="str">
        <f t="shared" si="45"/>
        <v/>
      </c>
      <c r="P144" s="64" t="str">
        <f t="shared" si="59"/>
        <v/>
      </c>
      <c r="Q144" s="93" t="str">
        <f t="shared" si="60"/>
        <v/>
      </c>
      <c r="R144" s="94" t="str">
        <f t="shared" si="47"/>
        <v/>
      </c>
      <c r="S144" s="64" t="str">
        <f t="shared" si="48"/>
        <v/>
      </c>
      <c r="T144" s="93" t="str">
        <f t="shared" si="61"/>
        <v/>
      </c>
      <c r="U144" s="94" t="str">
        <f t="shared" si="62"/>
        <v/>
      </c>
      <c r="V144" s="64" t="str">
        <f t="shared" si="51"/>
        <v/>
      </c>
      <c r="W144" s="65" t="str">
        <f t="shared" si="63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58"/>
        <v/>
      </c>
      <c r="M145" s="62" t="str">
        <f t="shared" si="29"/>
        <v/>
      </c>
      <c r="N145" s="62" t="str">
        <f t="shared" si="30"/>
        <v/>
      </c>
      <c r="O145" s="63" t="str">
        <f t="shared" si="45"/>
        <v/>
      </c>
      <c r="P145" s="64" t="str">
        <f t="shared" si="59"/>
        <v/>
      </c>
      <c r="Q145" s="93" t="str">
        <f t="shared" si="60"/>
        <v/>
      </c>
      <c r="R145" s="94" t="str">
        <f t="shared" si="47"/>
        <v/>
      </c>
      <c r="S145" s="64" t="str">
        <f t="shared" si="48"/>
        <v/>
      </c>
      <c r="T145" s="93" t="str">
        <f t="shared" si="61"/>
        <v/>
      </c>
      <c r="U145" s="94" t="str">
        <f t="shared" si="62"/>
        <v/>
      </c>
      <c r="V145" s="64" t="str">
        <f t="shared" si="51"/>
        <v/>
      </c>
      <c r="W145" s="65" t="str">
        <f t="shared" si="63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58"/>
        <v/>
      </c>
      <c r="M146" s="62" t="str">
        <f t="shared" si="29"/>
        <v/>
      </c>
      <c r="N146" s="62" t="str">
        <f t="shared" si="30"/>
        <v/>
      </c>
      <c r="O146" s="63" t="str">
        <f t="shared" si="45"/>
        <v/>
      </c>
      <c r="P146" s="64" t="str">
        <f t="shared" si="59"/>
        <v/>
      </c>
      <c r="Q146" s="93" t="str">
        <f t="shared" si="60"/>
        <v/>
      </c>
      <c r="R146" s="94" t="str">
        <f t="shared" si="47"/>
        <v/>
      </c>
      <c r="S146" s="64" t="str">
        <f t="shared" si="48"/>
        <v/>
      </c>
      <c r="T146" s="93" t="str">
        <f t="shared" si="61"/>
        <v/>
      </c>
      <c r="U146" s="94" t="str">
        <f t="shared" si="62"/>
        <v/>
      </c>
      <c r="V146" s="64" t="str">
        <f t="shared" si="51"/>
        <v/>
      </c>
      <c r="W146" s="65" t="str">
        <f t="shared" si="63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58"/>
        <v/>
      </c>
      <c r="M147" s="62" t="str">
        <f t="shared" si="29"/>
        <v/>
      </c>
      <c r="N147" s="62" t="str">
        <f t="shared" si="30"/>
        <v/>
      </c>
      <c r="O147" s="63" t="str">
        <f t="shared" si="45"/>
        <v/>
      </c>
      <c r="P147" s="64" t="str">
        <f t="shared" si="59"/>
        <v/>
      </c>
      <c r="Q147" s="93" t="str">
        <f t="shared" si="60"/>
        <v/>
      </c>
      <c r="R147" s="94" t="str">
        <f t="shared" si="47"/>
        <v/>
      </c>
      <c r="S147" s="64" t="str">
        <f t="shared" si="48"/>
        <v/>
      </c>
      <c r="T147" s="93" t="str">
        <f t="shared" si="61"/>
        <v/>
      </c>
      <c r="U147" s="94" t="str">
        <f t="shared" si="62"/>
        <v/>
      </c>
      <c r="V147" s="64" t="str">
        <f t="shared" si="51"/>
        <v/>
      </c>
      <c r="W147" s="65" t="str">
        <f t="shared" si="63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58"/>
        <v/>
      </c>
      <c r="M148" s="62" t="str">
        <f t="shared" si="29"/>
        <v/>
      </c>
      <c r="N148" s="62" t="str">
        <f t="shared" si="30"/>
        <v/>
      </c>
      <c r="O148" s="63" t="str">
        <f t="shared" si="45"/>
        <v/>
      </c>
      <c r="P148" s="64" t="str">
        <f t="shared" si="59"/>
        <v/>
      </c>
      <c r="Q148" s="93" t="str">
        <f t="shared" si="60"/>
        <v/>
      </c>
      <c r="R148" s="94" t="str">
        <f t="shared" si="47"/>
        <v/>
      </c>
      <c r="S148" s="64" t="str">
        <f t="shared" si="48"/>
        <v/>
      </c>
      <c r="T148" s="93" t="str">
        <f t="shared" si="61"/>
        <v/>
      </c>
      <c r="U148" s="94" t="str">
        <f t="shared" si="62"/>
        <v/>
      </c>
      <c r="V148" s="64" t="str">
        <f t="shared" si="51"/>
        <v/>
      </c>
      <c r="W148" s="65" t="str">
        <f t="shared" si="63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58"/>
        <v/>
      </c>
      <c r="M149" s="62" t="str">
        <f t="shared" si="29"/>
        <v/>
      </c>
      <c r="N149" s="62" t="str">
        <f t="shared" si="30"/>
        <v/>
      </c>
      <c r="O149" s="63" t="str">
        <f t="shared" si="45"/>
        <v/>
      </c>
      <c r="P149" s="64" t="str">
        <f t="shared" si="59"/>
        <v/>
      </c>
      <c r="Q149" s="93" t="str">
        <f t="shared" si="60"/>
        <v/>
      </c>
      <c r="R149" s="94" t="str">
        <f t="shared" si="47"/>
        <v/>
      </c>
      <c r="S149" s="64" t="str">
        <f t="shared" si="48"/>
        <v/>
      </c>
      <c r="T149" s="93" t="str">
        <f t="shared" si="61"/>
        <v/>
      </c>
      <c r="U149" s="94" t="str">
        <f t="shared" si="62"/>
        <v/>
      </c>
      <c r="V149" s="64" t="str">
        <f t="shared" si="51"/>
        <v/>
      </c>
      <c r="W149" s="65" t="str">
        <f t="shared" si="63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58"/>
        <v/>
      </c>
      <c r="M150" s="62" t="str">
        <f t="shared" si="29"/>
        <v/>
      </c>
      <c r="N150" s="62" t="str">
        <f t="shared" si="30"/>
        <v/>
      </c>
      <c r="O150" s="63" t="str">
        <f t="shared" si="45"/>
        <v/>
      </c>
      <c r="P150" s="64" t="str">
        <f t="shared" si="59"/>
        <v/>
      </c>
      <c r="Q150" s="93" t="str">
        <f t="shared" si="60"/>
        <v/>
      </c>
      <c r="R150" s="94" t="str">
        <f t="shared" si="47"/>
        <v/>
      </c>
      <c r="S150" s="64" t="str">
        <f t="shared" si="48"/>
        <v/>
      </c>
      <c r="T150" s="93" t="str">
        <f t="shared" si="61"/>
        <v/>
      </c>
      <c r="U150" s="94" t="str">
        <f t="shared" si="62"/>
        <v/>
      </c>
      <c r="V150" s="64" t="str">
        <f t="shared" si="51"/>
        <v/>
      </c>
      <c r="W150" s="65" t="str">
        <f t="shared" si="63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58"/>
        <v/>
      </c>
      <c r="M151" s="62" t="str">
        <f t="shared" si="29"/>
        <v/>
      </c>
      <c r="N151" s="62" t="str">
        <f t="shared" si="30"/>
        <v/>
      </c>
      <c r="O151" s="63" t="str">
        <f t="shared" si="45"/>
        <v/>
      </c>
      <c r="P151" s="64" t="str">
        <f t="shared" si="59"/>
        <v/>
      </c>
      <c r="Q151" s="93" t="str">
        <f t="shared" si="60"/>
        <v/>
      </c>
      <c r="R151" s="94" t="str">
        <f t="shared" si="47"/>
        <v/>
      </c>
      <c r="S151" s="64" t="str">
        <f t="shared" si="48"/>
        <v/>
      </c>
      <c r="T151" s="93" t="str">
        <f t="shared" si="61"/>
        <v/>
      </c>
      <c r="U151" s="94" t="str">
        <f t="shared" si="62"/>
        <v/>
      </c>
      <c r="V151" s="64" t="str">
        <f t="shared" si="51"/>
        <v/>
      </c>
      <c r="W151" s="65" t="str">
        <f t="shared" si="63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58"/>
        <v/>
      </c>
      <c r="M152" s="62" t="str">
        <f t="shared" si="29"/>
        <v/>
      </c>
      <c r="N152" s="62" t="str">
        <f t="shared" si="30"/>
        <v/>
      </c>
      <c r="O152" s="63" t="str">
        <f t="shared" si="45"/>
        <v/>
      </c>
      <c r="P152" s="64" t="str">
        <f t="shared" si="59"/>
        <v/>
      </c>
      <c r="Q152" s="93" t="str">
        <f t="shared" si="60"/>
        <v/>
      </c>
      <c r="R152" s="94" t="str">
        <f t="shared" si="47"/>
        <v/>
      </c>
      <c r="S152" s="64" t="str">
        <f t="shared" si="48"/>
        <v/>
      </c>
      <c r="T152" s="93" t="str">
        <f t="shared" si="61"/>
        <v/>
      </c>
      <c r="U152" s="94" t="str">
        <f t="shared" si="62"/>
        <v/>
      </c>
      <c r="V152" s="64" t="str">
        <f t="shared" si="51"/>
        <v/>
      </c>
      <c r="W152" s="65" t="str">
        <f t="shared" si="63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58"/>
        <v/>
      </c>
      <c r="M153" s="62" t="str">
        <f t="shared" si="29"/>
        <v/>
      </c>
      <c r="N153" s="62" t="str">
        <f t="shared" si="30"/>
        <v/>
      </c>
      <c r="O153" s="63" t="str">
        <f t="shared" si="45"/>
        <v/>
      </c>
      <c r="P153" s="64" t="str">
        <f t="shared" si="59"/>
        <v/>
      </c>
      <c r="Q153" s="93" t="str">
        <f t="shared" si="60"/>
        <v/>
      </c>
      <c r="R153" s="94" t="str">
        <f t="shared" si="47"/>
        <v/>
      </c>
      <c r="S153" s="64" t="str">
        <f t="shared" si="48"/>
        <v/>
      </c>
      <c r="T153" s="93" t="str">
        <f t="shared" si="61"/>
        <v/>
      </c>
      <c r="U153" s="94" t="str">
        <f t="shared" si="62"/>
        <v/>
      </c>
      <c r="V153" s="64" t="str">
        <f t="shared" si="51"/>
        <v/>
      </c>
      <c r="W153" s="65" t="str">
        <f t="shared" si="63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58"/>
        <v/>
      </c>
      <c r="M154" s="62" t="str">
        <f t="shared" si="29"/>
        <v/>
      </c>
      <c r="N154" s="62" t="str">
        <f t="shared" si="30"/>
        <v/>
      </c>
      <c r="O154" s="63" t="str">
        <f t="shared" si="45"/>
        <v/>
      </c>
      <c r="P154" s="64" t="str">
        <f t="shared" si="59"/>
        <v/>
      </c>
      <c r="Q154" s="93" t="str">
        <f t="shared" si="60"/>
        <v/>
      </c>
      <c r="R154" s="94" t="str">
        <f t="shared" si="47"/>
        <v/>
      </c>
      <c r="S154" s="64" t="str">
        <f t="shared" si="48"/>
        <v/>
      </c>
      <c r="T154" s="93" t="str">
        <f t="shared" si="61"/>
        <v/>
      </c>
      <c r="U154" s="94" t="str">
        <f t="shared" si="62"/>
        <v/>
      </c>
      <c r="V154" s="64" t="str">
        <f t="shared" si="51"/>
        <v/>
      </c>
      <c r="W154" s="65" t="str">
        <f t="shared" si="63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58"/>
        <v/>
      </c>
      <c r="M155" s="62" t="str">
        <f t="shared" si="29"/>
        <v/>
      </c>
      <c r="N155" s="62" t="str">
        <f t="shared" si="30"/>
        <v/>
      </c>
      <c r="O155" s="63" t="str">
        <f t="shared" si="45"/>
        <v/>
      </c>
      <c r="P155" s="64" t="str">
        <f t="shared" si="59"/>
        <v/>
      </c>
      <c r="Q155" s="93" t="str">
        <f t="shared" si="60"/>
        <v/>
      </c>
      <c r="R155" s="94" t="str">
        <f t="shared" si="47"/>
        <v/>
      </c>
      <c r="S155" s="64" t="str">
        <f t="shared" si="48"/>
        <v/>
      </c>
      <c r="T155" s="93" t="str">
        <f t="shared" si="61"/>
        <v/>
      </c>
      <c r="U155" s="94" t="str">
        <f t="shared" si="62"/>
        <v/>
      </c>
      <c r="V155" s="64" t="str">
        <f t="shared" si="51"/>
        <v/>
      </c>
      <c r="W155" s="65" t="str">
        <f t="shared" si="63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58"/>
        <v/>
      </c>
      <c r="M156" s="62" t="str">
        <f t="shared" si="29"/>
        <v/>
      </c>
      <c r="N156" s="62" t="str">
        <f t="shared" si="30"/>
        <v/>
      </c>
      <c r="O156" s="63" t="str">
        <f t="shared" si="45"/>
        <v/>
      </c>
      <c r="P156" s="64" t="str">
        <f t="shared" si="59"/>
        <v/>
      </c>
      <c r="Q156" s="93" t="str">
        <f t="shared" si="60"/>
        <v/>
      </c>
      <c r="R156" s="94" t="str">
        <f t="shared" si="47"/>
        <v/>
      </c>
      <c r="S156" s="64" t="str">
        <f t="shared" si="48"/>
        <v/>
      </c>
      <c r="T156" s="93" t="str">
        <f t="shared" si="61"/>
        <v/>
      </c>
      <c r="U156" s="94" t="str">
        <f t="shared" si="62"/>
        <v/>
      </c>
      <c r="V156" s="64" t="str">
        <f t="shared" si="51"/>
        <v/>
      </c>
      <c r="W156" s="65" t="str">
        <f t="shared" si="63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58"/>
        <v/>
      </c>
      <c r="M157" s="62" t="str">
        <f t="shared" si="29"/>
        <v/>
      </c>
      <c r="N157" s="62" t="str">
        <f t="shared" si="30"/>
        <v/>
      </c>
      <c r="O157" s="63" t="str">
        <f t="shared" si="45"/>
        <v/>
      </c>
      <c r="P157" s="64" t="str">
        <f t="shared" si="59"/>
        <v/>
      </c>
      <c r="Q157" s="93" t="str">
        <f t="shared" si="60"/>
        <v/>
      </c>
      <c r="R157" s="94" t="str">
        <f t="shared" si="47"/>
        <v/>
      </c>
      <c r="S157" s="64" t="str">
        <f t="shared" si="48"/>
        <v/>
      </c>
      <c r="T157" s="93" t="str">
        <f t="shared" si="61"/>
        <v/>
      </c>
      <c r="U157" s="94" t="str">
        <f t="shared" si="62"/>
        <v/>
      </c>
      <c r="V157" s="64" t="str">
        <f t="shared" si="51"/>
        <v/>
      </c>
      <c r="W157" s="65" t="str">
        <f t="shared" si="63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58"/>
        <v/>
      </c>
      <c r="M158" s="62" t="str">
        <f t="shared" si="29"/>
        <v/>
      </c>
      <c r="N158" s="62" t="str">
        <f t="shared" si="30"/>
        <v/>
      </c>
      <c r="O158" s="63" t="str">
        <f t="shared" si="45"/>
        <v/>
      </c>
      <c r="P158" s="64" t="str">
        <f t="shared" si="59"/>
        <v/>
      </c>
      <c r="Q158" s="93" t="str">
        <f t="shared" si="60"/>
        <v/>
      </c>
      <c r="R158" s="94" t="str">
        <f t="shared" si="47"/>
        <v/>
      </c>
      <c r="S158" s="64" t="str">
        <f t="shared" si="48"/>
        <v/>
      </c>
      <c r="T158" s="93" t="str">
        <f t="shared" si="61"/>
        <v/>
      </c>
      <c r="U158" s="94" t="str">
        <f t="shared" si="62"/>
        <v/>
      </c>
      <c r="V158" s="64" t="str">
        <f t="shared" si="51"/>
        <v/>
      </c>
      <c r="W158" s="65" t="str">
        <f t="shared" si="63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58"/>
        <v/>
      </c>
      <c r="M159" s="62" t="str">
        <f t="shared" si="29"/>
        <v/>
      </c>
      <c r="N159" s="62" t="str">
        <f t="shared" si="30"/>
        <v/>
      </c>
      <c r="O159" s="63" t="str">
        <f t="shared" si="45"/>
        <v/>
      </c>
      <c r="P159" s="64" t="str">
        <f t="shared" si="59"/>
        <v/>
      </c>
      <c r="Q159" s="93" t="str">
        <f t="shared" si="60"/>
        <v/>
      </c>
      <c r="R159" s="94" t="str">
        <f t="shared" si="47"/>
        <v/>
      </c>
      <c r="S159" s="64" t="str">
        <f t="shared" si="48"/>
        <v/>
      </c>
      <c r="T159" s="93" t="str">
        <f t="shared" si="61"/>
        <v/>
      </c>
      <c r="U159" s="94" t="str">
        <f t="shared" si="62"/>
        <v/>
      </c>
      <c r="V159" s="64" t="str">
        <f t="shared" si="51"/>
        <v/>
      </c>
      <c r="W159" s="65" t="str">
        <f t="shared" si="63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58"/>
        <v/>
      </c>
      <c r="M160" s="62" t="str">
        <f t="shared" si="29"/>
        <v/>
      </c>
      <c r="N160" s="62" t="str">
        <f t="shared" si="30"/>
        <v/>
      </c>
      <c r="O160" s="63" t="str">
        <f t="shared" si="45"/>
        <v/>
      </c>
      <c r="P160" s="64" t="str">
        <f t="shared" si="59"/>
        <v/>
      </c>
      <c r="Q160" s="93" t="str">
        <f t="shared" si="60"/>
        <v/>
      </c>
      <c r="R160" s="94" t="str">
        <f t="shared" si="47"/>
        <v/>
      </c>
      <c r="S160" s="64" t="str">
        <f t="shared" si="48"/>
        <v/>
      </c>
      <c r="T160" s="93" t="str">
        <f t="shared" si="61"/>
        <v/>
      </c>
      <c r="U160" s="94" t="str">
        <f t="shared" si="62"/>
        <v/>
      </c>
      <c r="V160" s="64" t="str">
        <f t="shared" si="51"/>
        <v/>
      </c>
      <c r="W160" s="65" t="str">
        <f t="shared" si="63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58"/>
        <v/>
      </c>
      <c r="M161" s="62" t="str">
        <f t="shared" si="29"/>
        <v/>
      </c>
      <c r="N161" s="62" t="str">
        <f t="shared" si="30"/>
        <v/>
      </c>
      <c r="O161" s="63" t="str">
        <f t="shared" si="45"/>
        <v/>
      </c>
      <c r="P161" s="64" t="str">
        <f t="shared" si="59"/>
        <v/>
      </c>
      <c r="Q161" s="93" t="str">
        <f t="shared" si="60"/>
        <v/>
      </c>
      <c r="R161" s="94" t="str">
        <f t="shared" si="47"/>
        <v/>
      </c>
      <c r="S161" s="64" t="str">
        <f t="shared" si="48"/>
        <v/>
      </c>
      <c r="T161" s="93" t="str">
        <f t="shared" si="61"/>
        <v/>
      </c>
      <c r="U161" s="94" t="str">
        <f t="shared" si="62"/>
        <v/>
      </c>
      <c r="V161" s="64" t="str">
        <f t="shared" si="51"/>
        <v/>
      </c>
      <c r="W161" s="65" t="str">
        <f t="shared" si="63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58"/>
        <v/>
      </c>
      <c r="M162" s="62" t="str">
        <f t="shared" si="29"/>
        <v/>
      </c>
      <c r="N162" s="62" t="str">
        <f t="shared" si="30"/>
        <v/>
      </c>
      <c r="O162" s="63" t="str">
        <f t="shared" si="45"/>
        <v/>
      </c>
      <c r="P162" s="64" t="str">
        <f t="shared" si="59"/>
        <v/>
      </c>
      <c r="Q162" s="93" t="str">
        <f t="shared" si="60"/>
        <v/>
      </c>
      <c r="R162" s="94" t="str">
        <f t="shared" si="47"/>
        <v/>
      </c>
      <c r="S162" s="64" t="str">
        <f t="shared" si="48"/>
        <v/>
      </c>
      <c r="T162" s="93" t="str">
        <f t="shared" si="61"/>
        <v/>
      </c>
      <c r="U162" s="94" t="str">
        <f t="shared" si="62"/>
        <v/>
      </c>
      <c r="V162" s="64" t="str">
        <f t="shared" si="51"/>
        <v/>
      </c>
      <c r="W162" s="65" t="str">
        <f t="shared" si="63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58"/>
        <v/>
      </c>
      <c r="M163" s="62" t="str">
        <f t="shared" si="29"/>
        <v/>
      </c>
      <c r="N163" s="62" t="str">
        <f t="shared" si="30"/>
        <v/>
      </c>
      <c r="O163" s="63" t="str">
        <f t="shared" si="45"/>
        <v/>
      </c>
      <c r="P163" s="64" t="str">
        <f t="shared" si="59"/>
        <v/>
      </c>
      <c r="Q163" s="93" t="str">
        <f t="shared" si="60"/>
        <v/>
      </c>
      <c r="R163" s="94" t="str">
        <f t="shared" si="47"/>
        <v/>
      </c>
      <c r="S163" s="64" t="str">
        <f t="shared" si="48"/>
        <v/>
      </c>
      <c r="T163" s="93" t="str">
        <f t="shared" si="61"/>
        <v/>
      </c>
      <c r="U163" s="94" t="str">
        <f t="shared" si="62"/>
        <v/>
      </c>
      <c r="V163" s="64" t="str">
        <f t="shared" si="51"/>
        <v/>
      </c>
      <c r="W163" s="65" t="str">
        <f t="shared" si="63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58"/>
        <v/>
      </c>
      <c r="M164" s="62" t="str">
        <f t="shared" si="29"/>
        <v/>
      </c>
      <c r="N164" s="62" t="str">
        <f t="shared" si="30"/>
        <v/>
      </c>
      <c r="O164" s="63" t="str">
        <f t="shared" si="45"/>
        <v/>
      </c>
      <c r="P164" s="64" t="str">
        <f t="shared" si="59"/>
        <v/>
      </c>
      <c r="Q164" s="93" t="str">
        <f t="shared" si="60"/>
        <v/>
      </c>
      <c r="R164" s="94" t="str">
        <f t="shared" si="47"/>
        <v/>
      </c>
      <c r="S164" s="64" t="str">
        <f t="shared" si="48"/>
        <v/>
      </c>
      <c r="T164" s="93" t="str">
        <f t="shared" si="61"/>
        <v/>
      </c>
      <c r="U164" s="94" t="str">
        <f t="shared" si="62"/>
        <v/>
      </c>
      <c r="V164" s="64" t="str">
        <f t="shared" si="51"/>
        <v/>
      </c>
      <c r="W164" s="65" t="str">
        <f t="shared" si="63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58"/>
        <v/>
      </c>
      <c r="M165" s="62" t="str">
        <f t="shared" si="29"/>
        <v/>
      </c>
      <c r="N165" s="62" t="str">
        <f t="shared" si="30"/>
        <v/>
      </c>
      <c r="O165" s="63" t="str">
        <f t="shared" si="45"/>
        <v/>
      </c>
      <c r="P165" s="64" t="str">
        <f t="shared" si="59"/>
        <v/>
      </c>
      <c r="Q165" s="93" t="str">
        <f t="shared" si="60"/>
        <v/>
      </c>
      <c r="R165" s="94" t="str">
        <f t="shared" si="47"/>
        <v/>
      </c>
      <c r="S165" s="64" t="str">
        <f t="shared" si="48"/>
        <v/>
      </c>
      <c r="T165" s="93" t="str">
        <f t="shared" si="61"/>
        <v/>
      </c>
      <c r="U165" s="94" t="str">
        <f t="shared" si="62"/>
        <v/>
      </c>
      <c r="V165" s="64" t="str">
        <f t="shared" si="51"/>
        <v/>
      </c>
      <c r="W165" s="65" t="str">
        <f t="shared" si="63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58"/>
        <v/>
      </c>
      <c r="M166" s="62" t="str">
        <f t="shared" si="29"/>
        <v/>
      </c>
      <c r="N166" s="62" t="str">
        <f t="shared" si="30"/>
        <v/>
      </c>
      <c r="O166" s="63" t="str">
        <f t="shared" si="45"/>
        <v/>
      </c>
      <c r="P166" s="64" t="str">
        <f t="shared" si="59"/>
        <v/>
      </c>
      <c r="Q166" s="93" t="str">
        <f t="shared" si="60"/>
        <v/>
      </c>
      <c r="R166" s="94" t="str">
        <f t="shared" si="47"/>
        <v/>
      </c>
      <c r="S166" s="64" t="str">
        <f t="shared" si="48"/>
        <v/>
      </c>
      <c r="T166" s="93" t="str">
        <f t="shared" si="61"/>
        <v/>
      </c>
      <c r="U166" s="94" t="str">
        <f t="shared" si="62"/>
        <v/>
      </c>
      <c r="V166" s="64" t="str">
        <f t="shared" si="51"/>
        <v/>
      </c>
      <c r="W166" s="65" t="str">
        <f t="shared" si="63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58"/>
        <v/>
      </c>
      <c r="M167" s="62" t="str">
        <f t="shared" si="29"/>
        <v/>
      </c>
      <c r="N167" s="62" t="str">
        <f t="shared" si="30"/>
        <v/>
      </c>
      <c r="O167" s="63" t="str">
        <f t="shared" si="45"/>
        <v/>
      </c>
      <c r="P167" s="64" t="str">
        <f t="shared" si="59"/>
        <v/>
      </c>
      <c r="Q167" s="93" t="str">
        <f t="shared" si="60"/>
        <v/>
      </c>
      <c r="R167" s="94" t="str">
        <f t="shared" si="47"/>
        <v/>
      </c>
      <c r="S167" s="64" t="str">
        <f t="shared" si="48"/>
        <v/>
      </c>
      <c r="T167" s="93" t="str">
        <f t="shared" si="61"/>
        <v/>
      </c>
      <c r="U167" s="94" t="str">
        <f t="shared" si="62"/>
        <v/>
      </c>
      <c r="V167" s="64" t="str">
        <f t="shared" si="51"/>
        <v/>
      </c>
      <c r="W167" s="65" t="str">
        <f t="shared" si="63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58"/>
        <v/>
      </c>
      <c r="M168" s="62" t="str">
        <f t="shared" si="29"/>
        <v/>
      </c>
      <c r="N168" s="62" t="str">
        <f t="shared" si="30"/>
        <v/>
      </c>
      <c r="O168" s="63" t="str">
        <f t="shared" si="45"/>
        <v/>
      </c>
      <c r="P168" s="64" t="str">
        <f t="shared" si="59"/>
        <v/>
      </c>
      <c r="Q168" s="93" t="str">
        <f t="shared" si="60"/>
        <v/>
      </c>
      <c r="R168" s="94" t="str">
        <f t="shared" si="47"/>
        <v/>
      </c>
      <c r="S168" s="64" t="str">
        <f t="shared" si="48"/>
        <v/>
      </c>
      <c r="T168" s="93" t="str">
        <f t="shared" si="61"/>
        <v/>
      </c>
      <c r="U168" s="94" t="str">
        <f t="shared" si="62"/>
        <v/>
      </c>
      <c r="V168" s="64" t="str">
        <f t="shared" si="51"/>
        <v/>
      </c>
      <c r="W168" s="65" t="str">
        <f t="shared" si="63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58"/>
        <v/>
      </c>
      <c r="M169" s="62" t="str">
        <f t="shared" si="29"/>
        <v/>
      </c>
      <c r="N169" s="62" t="str">
        <f t="shared" si="30"/>
        <v/>
      </c>
      <c r="O169" s="63" t="str">
        <f t="shared" si="45"/>
        <v/>
      </c>
      <c r="P169" s="64" t="str">
        <f t="shared" si="59"/>
        <v/>
      </c>
      <c r="Q169" s="93" t="str">
        <f t="shared" si="60"/>
        <v/>
      </c>
      <c r="R169" s="94" t="str">
        <f t="shared" si="47"/>
        <v/>
      </c>
      <c r="S169" s="64" t="str">
        <f t="shared" si="48"/>
        <v/>
      </c>
      <c r="T169" s="93" t="str">
        <f t="shared" si="61"/>
        <v/>
      </c>
      <c r="U169" s="94" t="str">
        <f t="shared" si="62"/>
        <v/>
      </c>
      <c r="V169" s="64" t="str">
        <f t="shared" si="51"/>
        <v/>
      </c>
      <c r="W169" s="65" t="str">
        <f t="shared" si="63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58"/>
        <v/>
      </c>
      <c r="M170" s="62" t="str">
        <f t="shared" si="29"/>
        <v/>
      </c>
      <c r="N170" s="62" t="str">
        <f t="shared" si="30"/>
        <v/>
      </c>
      <c r="O170" s="63" t="str">
        <f t="shared" si="45"/>
        <v/>
      </c>
      <c r="P170" s="64" t="str">
        <f t="shared" si="59"/>
        <v/>
      </c>
      <c r="Q170" s="93" t="str">
        <f t="shared" si="60"/>
        <v/>
      </c>
      <c r="R170" s="94" t="str">
        <f t="shared" si="47"/>
        <v/>
      </c>
      <c r="S170" s="64" t="str">
        <f t="shared" si="48"/>
        <v/>
      </c>
      <c r="T170" s="93" t="str">
        <f t="shared" si="61"/>
        <v/>
      </c>
      <c r="U170" s="94" t="str">
        <f t="shared" si="62"/>
        <v/>
      </c>
      <c r="V170" s="64" t="str">
        <f t="shared" si="51"/>
        <v/>
      </c>
      <c r="W170" s="65" t="str">
        <f t="shared" si="63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58"/>
        <v/>
      </c>
      <c r="M171" s="62" t="str">
        <f t="shared" si="29"/>
        <v/>
      </c>
      <c r="N171" s="62" t="str">
        <f t="shared" si="30"/>
        <v/>
      </c>
      <c r="O171" s="63" t="str">
        <f t="shared" si="45"/>
        <v/>
      </c>
      <c r="P171" s="64" t="str">
        <f t="shared" si="59"/>
        <v/>
      </c>
      <c r="Q171" s="93" t="str">
        <f t="shared" si="60"/>
        <v/>
      </c>
      <c r="R171" s="94" t="str">
        <f t="shared" si="47"/>
        <v/>
      </c>
      <c r="S171" s="64" t="str">
        <f t="shared" si="48"/>
        <v/>
      </c>
      <c r="T171" s="93" t="str">
        <f t="shared" si="61"/>
        <v/>
      </c>
      <c r="U171" s="94" t="str">
        <f t="shared" si="62"/>
        <v/>
      </c>
      <c r="V171" s="64" t="str">
        <f t="shared" si="51"/>
        <v/>
      </c>
      <c r="W171" s="65" t="str">
        <f t="shared" si="63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58"/>
        <v/>
      </c>
      <c r="M172" s="62" t="str">
        <f t="shared" si="29"/>
        <v/>
      </c>
      <c r="N172" s="62" t="str">
        <f t="shared" si="30"/>
        <v/>
      </c>
      <c r="O172" s="63" t="str">
        <f t="shared" si="45"/>
        <v/>
      </c>
      <c r="P172" s="64" t="str">
        <f t="shared" si="59"/>
        <v/>
      </c>
      <c r="Q172" s="93" t="str">
        <f t="shared" si="60"/>
        <v/>
      </c>
      <c r="R172" s="94" t="str">
        <f t="shared" si="47"/>
        <v/>
      </c>
      <c r="S172" s="64" t="str">
        <f t="shared" si="48"/>
        <v/>
      </c>
      <c r="T172" s="93" t="str">
        <f t="shared" si="61"/>
        <v/>
      </c>
      <c r="U172" s="94" t="str">
        <f t="shared" si="62"/>
        <v/>
      </c>
      <c r="V172" s="64" t="str">
        <f t="shared" si="51"/>
        <v/>
      </c>
      <c r="W172" s="65" t="str">
        <f t="shared" si="63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58"/>
        <v/>
      </c>
      <c r="M173" s="62" t="str">
        <f t="shared" si="29"/>
        <v/>
      </c>
      <c r="N173" s="62" t="str">
        <f t="shared" si="30"/>
        <v/>
      </c>
      <c r="O173" s="63" t="str">
        <f t="shared" si="45"/>
        <v/>
      </c>
      <c r="P173" s="64" t="str">
        <f t="shared" si="59"/>
        <v/>
      </c>
      <c r="Q173" s="93" t="str">
        <f t="shared" si="60"/>
        <v/>
      </c>
      <c r="R173" s="94" t="str">
        <f t="shared" si="47"/>
        <v/>
      </c>
      <c r="S173" s="64" t="str">
        <f t="shared" si="48"/>
        <v/>
      </c>
      <c r="T173" s="93" t="str">
        <f t="shared" si="61"/>
        <v/>
      </c>
      <c r="U173" s="94" t="str">
        <f t="shared" si="62"/>
        <v/>
      </c>
      <c r="V173" s="64" t="str">
        <f t="shared" si="51"/>
        <v/>
      </c>
      <c r="W173" s="65" t="str">
        <f t="shared" si="63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58"/>
        <v/>
      </c>
      <c r="M174" s="62" t="str">
        <f t="shared" si="29"/>
        <v/>
      </c>
      <c r="N174" s="62" t="str">
        <f t="shared" si="30"/>
        <v/>
      </c>
      <c r="O174" s="63" t="str">
        <f t="shared" si="45"/>
        <v/>
      </c>
      <c r="P174" s="64" t="str">
        <f t="shared" si="59"/>
        <v/>
      </c>
      <c r="Q174" s="93" t="str">
        <f t="shared" si="60"/>
        <v/>
      </c>
      <c r="R174" s="94" t="str">
        <f t="shared" si="47"/>
        <v/>
      </c>
      <c r="S174" s="64" t="str">
        <f t="shared" si="48"/>
        <v/>
      </c>
      <c r="T174" s="93" t="str">
        <f t="shared" si="61"/>
        <v/>
      </c>
      <c r="U174" s="94" t="str">
        <f t="shared" si="62"/>
        <v/>
      </c>
      <c r="V174" s="64" t="str">
        <f t="shared" si="51"/>
        <v/>
      </c>
      <c r="W174" s="65" t="str">
        <f t="shared" si="63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58"/>
        <v/>
      </c>
      <c r="M175" s="62" t="str">
        <f t="shared" si="29"/>
        <v/>
      </c>
      <c r="N175" s="62" t="str">
        <f t="shared" si="30"/>
        <v/>
      </c>
      <c r="O175" s="63" t="str">
        <f t="shared" si="45"/>
        <v/>
      </c>
      <c r="P175" s="64" t="str">
        <f t="shared" si="59"/>
        <v/>
      </c>
      <c r="Q175" s="93" t="str">
        <f t="shared" si="60"/>
        <v/>
      </c>
      <c r="R175" s="94" t="str">
        <f t="shared" si="47"/>
        <v/>
      </c>
      <c r="S175" s="64" t="str">
        <f t="shared" si="48"/>
        <v/>
      </c>
      <c r="T175" s="93" t="str">
        <f t="shared" si="61"/>
        <v/>
      </c>
      <c r="U175" s="94" t="str">
        <f t="shared" si="62"/>
        <v/>
      </c>
      <c r="V175" s="64" t="str">
        <f t="shared" si="51"/>
        <v/>
      </c>
      <c r="W175" s="65" t="str">
        <f t="shared" si="63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ref="L176:L211" si="64">IF($Y$11=0,"",IF(E176="","",IF($H176="","",IF($G176="","",IF($H176/$G176&gt;=$L$11,"yes","NC")))))</f>
        <v/>
      </c>
      <c r="M176" s="62" t="str">
        <f t="shared" si="29"/>
        <v/>
      </c>
      <c r="N176" s="62" t="str">
        <f t="shared" si="30"/>
        <v/>
      </c>
      <c r="O176" s="63" t="str">
        <f t="shared" si="45"/>
        <v/>
      </c>
      <c r="P176" s="64" t="str">
        <f t="shared" ref="P176:P211" si="65">IF($E176="","",H176/$G176)</f>
        <v/>
      </c>
      <c r="Q176" s="93" t="str">
        <f t="shared" ref="Q176:Q211" si="66">IF($E176=0,"",IF(O176="yes",($P176/$P$8),IF(OR($P176&lt;$O$8,$P176&gt;$Q$8),($P176/$P$8))))</f>
        <v/>
      </c>
      <c r="R176" s="94" t="str">
        <f t="shared" si="47"/>
        <v/>
      </c>
      <c r="S176" s="64" t="str">
        <f t="shared" si="48"/>
        <v/>
      </c>
      <c r="T176" s="93" t="str">
        <f t="shared" ref="T176:T211" si="67">IF($E176=0,"",IF(R176="yes",($S176/$S$8),IF(OR($S176&gt;$R$8,$S176&lt;$T$8),($S176/$S$8))))</f>
        <v/>
      </c>
      <c r="U176" s="94" t="str">
        <f t="shared" ref="U176:U211" si="68">IF($E176="","",IF($V$8="","",IF(OR($V176&lt;$U$8,V176&gt;$W$8),"NC","yes")))</f>
        <v/>
      </c>
      <c r="V176" s="64" t="str">
        <f t="shared" si="51"/>
        <v/>
      </c>
      <c r="W176" s="65" t="str">
        <f t="shared" ref="W176:W211" si="69">IF($E176="","",IF(U176="yes",(V176/V$8),IF(OR(V176&lt;$U$8,V176&gt;W$8),(V176/V$8))))</f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64"/>
        <v/>
      </c>
      <c r="M177" s="62" t="str">
        <f t="shared" si="29"/>
        <v/>
      </c>
      <c r="N177" s="62" t="str">
        <f t="shared" si="30"/>
        <v/>
      </c>
      <c r="O177" s="63" t="str">
        <f t="shared" si="45"/>
        <v/>
      </c>
      <c r="P177" s="64" t="str">
        <f t="shared" si="65"/>
        <v/>
      </c>
      <c r="Q177" s="93" t="str">
        <f t="shared" si="66"/>
        <v/>
      </c>
      <c r="R177" s="94" t="str">
        <f t="shared" si="47"/>
        <v/>
      </c>
      <c r="S177" s="64" t="str">
        <f t="shared" si="48"/>
        <v/>
      </c>
      <c r="T177" s="93" t="str">
        <f t="shared" si="67"/>
        <v/>
      </c>
      <c r="U177" s="94" t="str">
        <f t="shared" si="68"/>
        <v/>
      </c>
      <c r="V177" s="64" t="str">
        <f t="shared" si="51"/>
        <v/>
      </c>
      <c r="W177" s="65" t="str">
        <f t="shared" si="6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64"/>
        <v/>
      </c>
      <c r="M178" s="62" t="str">
        <f t="shared" si="29"/>
        <v/>
      </c>
      <c r="N178" s="62" t="str">
        <f t="shared" si="30"/>
        <v/>
      </c>
      <c r="O178" s="63" t="str">
        <f t="shared" si="45"/>
        <v/>
      </c>
      <c r="P178" s="64" t="str">
        <f t="shared" si="65"/>
        <v/>
      </c>
      <c r="Q178" s="93" t="str">
        <f t="shared" si="66"/>
        <v/>
      </c>
      <c r="R178" s="94" t="str">
        <f t="shared" si="47"/>
        <v/>
      </c>
      <c r="S178" s="64" t="str">
        <f t="shared" si="48"/>
        <v/>
      </c>
      <c r="T178" s="93" t="str">
        <f t="shared" si="67"/>
        <v/>
      </c>
      <c r="U178" s="94" t="str">
        <f t="shared" si="68"/>
        <v/>
      </c>
      <c r="V178" s="64" t="str">
        <f t="shared" si="51"/>
        <v/>
      </c>
      <c r="W178" s="65" t="str">
        <f t="shared" si="6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64"/>
        <v/>
      </c>
      <c r="M179" s="62" t="str">
        <f t="shared" si="29"/>
        <v/>
      </c>
      <c r="N179" s="62" t="str">
        <f t="shared" si="30"/>
        <v/>
      </c>
      <c r="O179" s="63" t="str">
        <f t="shared" si="45"/>
        <v/>
      </c>
      <c r="P179" s="64" t="str">
        <f t="shared" si="65"/>
        <v/>
      </c>
      <c r="Q179" s="93" t="str">
        <f t="shared" si="66"/>
        <v/>
      </c>
      <c r="R179" s="94" t="str">
        <f t="shared" si="47"/>
        <v/>
      </c>
      <c r="S179" s="64" t="str">
        <f t="shared" si="48"/>
        <v/>
      </c>
      <c r="T179" s="93" t="str">
        <f t="shared" si="67"/>
        <v/>
      </c>
      <c r="U179" s="94" t="str">
        <f t="shared" si="68"/>
        <v/>
      </c>
      <c r="V179" s="64" t="str">
        <f t="shared" si="51"/>
        <v/>
      </c>
      <c r="W179" s="65" t="str">
        <f t="shared" si="6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64"/>
        <v/>
      </c>
      <c r="M180" s="62" t="str">
        <f t="shared" si="29"/>
        <v/>
      </c>
      <c r="N180" s="62" t="str">
        <f t="shared" si="30"/>
        <v/>
      </c>
      <c r="O180" s="63" t="str">
        <f t="shared" si="45"/>
        <v/>
      </c>
      <c r="P180" s="64" t="str">
        <f t="shared" si="65"/>
        <v/>
      </c>
      <c r="Q180" s="93" t="str">
        <f t="shared" si="66"/>
        <v/>
      </c>
      <c r="R180" s="94" t="str">
        <f t="shared" si="47"/>
        <v/>
      </c>
      <c r="S180" s="64" t="str">
        <f t="shared" si="48"/>
        <v/>
      </c>
      <c r="T180" s="93" t="str">
        <f t="shared" si="67"/>
        <v/>
      </c>
      <c r="U180" s="94" t="str">
        <f t="shared" si="68"/>
        <v/>
      </c>
      <c r="V180" s="64" t="str">
        <f t="shared" si="51"/>
        <v/>
      </c>
      <c r="W180" s="65" t="str">
        <f t="shared" si="6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64"/>
        <v/>
      </c>
      <c r="M181" s="62" t="str">
        <f t="shared" si="29"/>
        <v/>
      </c>
      <c r="N181" s="62" t="str">
        <f t="shared" si="30"/>
        <v/>
      </c>
      <c r="O181" s="63" t="str">
        <f t="shared" si="45"/>
        <v/>
      </c>
      <c r="P181" s="64" t="str">
        <f t="shared" si="65"/>
        <v/>
      </c>
      <c r="Q181" s="93" t="str">
        <f t="shared" si="66"/>
        <v/>
      </c>
      <c r="R181" s="94" t="str">
        <f t="shared" si="47"/>
        <v/>
      </c>
      <c r="S181" s="64" t="str">
        <f t="shared" si="48"/>
        <v/>
      </c>
      <c r="T181" s="93" t="str">
        <f t="shared" si="67"/>
        <v/>
      </c>
      <c r="U181" s="94" t="str">
        <f t="shared" si="68"/>
        <v/>
      </c>
      <c r="V181" s="64" t="str">
        <f t="shared" si="51"/>
        <v/>
      </c>
      <c r="W181" s="65" t="str">
        <f t="shared" si="6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64"/>
        <v/>
      </c>
      <c r="M182" s="62" t="str">
        <f t="shared" si="29"/>
        <v/>
      </c>
      <c r="N182" s="62" t="str">
        <f t="shared" si="30"/>
        <v/>
      </c>
      <c r="O182" s="63" t="str">
        <f t="shared" si="45"/>
        <v/>
      </c>
      <c r="P182" s="64" t="str">
        <f t="shared" si="65"/>
        <v/>
      </c>
      <c r="Q182" s="93" t="str">
        <f t="shared" si="66"/>
        <v/>
      </c>
      <c r="R182" s="94" t="str">
        <f t="shared" si="47"/>
        <v/>
      </c>
      <c r="S182" s="64" t="str">
        <f t="shared" si="48"/>
        <v/>
      </c>
      <c r="T182" s="93" t="str">
        <f t="shared" si="67"/>
        <v/>
      </c>
      <c r="U182" s="94" t="str">
        <f t="shared" si="68"/>
        <v/>
      </c>
      <c r="V182" s="64" t="str">
        <f t="shared" si="51"/>
        <v/>
      </c>
      <c r="W182" s="65" t="str">
        <f t="shared" si="6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64"/>
        <v/>
      </c>
      <c r="M183" s="62" t="str">
        <f t="shared" si="29"/>
        <v/>
      </c>
      <c r="N183" s="62" t="str">
        <f t="shared" si="30"/>
        <v/>
      </c>
      <c r="O183" s="63" t="str">
        <f t="shared" si="45"/>
        <v/>
      </c>
      <c r="P183" s="64" t="str">
        <f t="shared" si="65"/>
        <v/>
      </c>
      <c r="Q183" s="93" t="str">
        <f t="shared" si="66"/>
        <v/>
      </c>
      <c r="R183" s="94" t="str">
        <f t="shared" si="47"/>
        <v/>
      </c>
      <c r="S183" s="64" t="str">
        <f t="shared" si="48"/>
        <v/>
      </c>
      <c r="T183" s="93" t="str">
        <f t="shared" si="67"/>
        <v/>
      </c>
      <c r="U183" s="94" t="str">
        <f t="shared" si="68"/>
        <v/>
      </c>
      <c r="V183" s="64" t="str">
        <f t="shared" si="51"/>
        <v/>
      </c>
      <c r="W183" s="65" t="str">
        <f t="shared" si="6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64"/>
        <v/>
      </c>
      <c r="M184" s="62" t="str">
        <f t="shared" si="29"/>
        <v/>
      </c>
      <c r="N184" s="62" t="str">
        <f t="shared" si="30"/>
        <v/>
      </c>
      <c r="O184" s="63" t="str">
        <f t="shared" si="45"/>
        <v/>
      </c>
      <c r="P184" s="64" t="str">
        <f t="shared" si="65"/>
        <v/>
      </c>
      <c r="Q184" s="93" t="str">
        <f t="shared" si="66"/>
        <v/>
      </c>
      <c r="R184" s="94" t="str">
        <f t="shared" si="47"/>
        <v/>
      </c>
      <c r="S184" s="64" t="str">
        <f t="shared" si="48"/>
        <v/>
      </c>
      <c r="T184" s="93" t="str">
        <f t="shared" si="67"/>
        <v/>
      </c>
      <c r="U184" s="94" t="str">
        <f t="shared" si="68"/>
        <v/>
      </c>
      <c r="V184" s="64" t="str">
        <f t="shared" si="51"/>
        <v/>
      </c>
      <c r="W184" s="65" t="str">
        <f t="shared" si="6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64"/>
        <v/>
      </c>
      <c r="M185" s="62" t="str">
        <f t="shared" si="29"/>
        <v/>
      </c>
      <c r="N185" s="62" t="str">
        <f t="shared" si="30"/>
        <v/>
      </c>
      <c r="O185" s="63" t="str">
        <f t="shared" si="45"/>
        <v/>
      </c>
      <c r="P185" s="64" t="str">
        <f t="shared" si="65"/>
        <v/>
      </c>
      <c r="Q185" s="93" t="str">
        <f t="shared" si="66"/>
        <v/>
      </c>
      <c r="R185" s="94" t="str">
        <f t="shared" si="47"/>
        <v/>
      </c>
      <c r="S185" s="64" t="str">
        <f t="shared" si="48"/>
        <v/>
      </c>
      <c r="T185" s="93" t="str">
        <f t="shared" si="67"/>
        <v/>
      </c>
      <c r="U185" s="94" t="str">
        <f t="shared" si="68"/>
        <v/>
      </c>
      <c r="V185" s="64" t="str">
        <f t="shared" si="51"/>
        <v/>
      </c>
      <c r="W185" s="65" t="str">
        <f t="shared" si="6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64"/>
        <v/>
      </c>
      <c r="M186" s="62" t="str">
        <f t="shared" si="29"/>
        <v/>
      </c>
      <c r="N186" s="62" t="str">
        <f t="shared" si="30"/>
        <v/>
      </c>
      <c r="O186" s="63" t="str">
        <f t="shared" si="45"/>
        <v/>
      </c>
      <c r="P186" s="64" t="str">
        <f t="shared" si="65"/>
        <v/>
      </c>
      <c r="Q186" s="93" t="str">
        <f t="shared" si="66"/>
        <v/>
      </c>
      <c r="R186" s="94" t="str">
        <f t="shared" si="47"/>
        <v/>
      </c>
      <c r="S186" s="64" t="str">
        <f t="shared" si="48"/>
        <v/>
      </c>
      <c r="T186" s="93" t="str">
        <f t="shared" si="67"/>
        <v/>
      </c>
      <c r="U186" s="94" t="str">
        <f t="shared" si="68"/>
        <v/>
      </c>
      <c r="V186" s="64" t="str">
        <f t="shared" si="51"/>
        <v/>
      </c>
      <c r="W186" s="65" t="str">
        <f t="shared" si="6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64"/>
        <v/>
      </c>
      <c r="M187" s="62" t="str">
        <f t="shared" si="29"/>
        <v/>
      </c>
      <c r="N187" s="62" t="str">
        <f t="shared" si="30"/>
        <v/>
      </c>
      <c r="O187" s="63" t="str">
        <f t="shared" si="45"/>
        <v/>
      </c>
      <c r="P187" s="64" t="str">
        <f t="shared" si="65"/>
        <v/>
      </c>
      <c r="Q187" s="93" t="str">
        <f t="shared" si="66"/>
        <v/>
      </c>
      <c r="R187" s="94" t="str">
        <f t="shared" si="47"/>
        <v/>
      </c>
      <c r="S187" s="64" t="str">
        <f t="shared" si="48"/>
        <v/>
      </c>
      <c r="T187" s="93" t="str">
        <f t="shared" si="67"/>
        <v/>
      </c>
      <c r="U187" s="94" t="str">
        <f t="shared" si="68"/>
        <v/>
      </c>
      <c r="V187" s="64" t="str">
        <f t="shared" si="51"/>
        <v/>
      </c>
      <c r="W187" s="65" t="str">
        <f t="shared" si="6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64"/>
        <v/>
      </c>
      <c r="M188" s="62" t="str">
        <f t="shared" si="29"/>
        <v/>
      </c>
      <c r="N188" s="62" t="str">
        <f t="shared" si="30"/>
        <v/>
      </c>
      <c r="O188" s="63" t="str">
        <f t="shared" si="45"/>
        <v/>
      </c>
      <c r="P188" s="64" t="str">
        <f t="shared" si="65"/>
        <v/>
      </c>
      <c r="Q188" s="93" t="str">
        <f t="shared" si="66"/>
        <v/>
      </c>
      <c r="R188" s="94" t="str">
        <f t="shared" si="47"/>
        <v/>
      </c>
      <c r="S188" s="64" t="str">
        <f t="shared" si="48"/>
        <v/>
      </c>
      <c r="T188" s="93" t="str">
        <f t="shared" si="67"/>
        <v/>
      </c>
      <c r="U188" s="94" t="str">
        <f t="shared" si="68"/>
        <v/>
      </c>
      <c r="V188" s="64" t="str">
        <f t="shared" si="51"/>
        <v/>
      </c>
      <c r="W188" s="65" t="str">
        <f t="shared" si="6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64"/>
        <v/>
      </c>
      <c r="M189" s="62" t="str">
        <f t="shared" si="29"/>
        <v/>
      </c>
      <c r="N189" s="62" t="str">
        <f t="shared" si="30"/>
        <v/>
      </c>
      <c r="O189" s="63" t="str">
        <f t="shared" si="45"/>
        <v/>
      </c>
      <c r="P189" s="64" t="str">
        <f t="shared" si="65"/>
        <v/>
      </c>
      <c r="Q189" s="93" t="str">
        <f t="shared" si="66"/>
        <v/>
      </c>
      <c r="R189" s="94" t="str">
        <f t="shared" si="47"/>
        <v/>
      </c>
      <c r="S189" s="64" t="str">
        <f t="shared" si="48"/>
        <v/>
      </c>
      <c r="T189" s="93" t="str">
        <f t="shared" si="67"/>
        <v/>
      </c>
      <c r="U189" s="94" t="str">
        <f t="shared" si="68"/>
        <v/>
      </c>
      <c r="V189" s="64" t="str">
        <f t="shared" si="51"/>
        <v/>
      </c>
      <c r="W189" s="65" t="str">
        <f t="shared" si="6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64"/>
        <v/>
      </c>
      <c r="M190" s="62" t="str">
        <f t="shared" si="29"/>
        <v/>
      </c>
      <c r="N190" s="62" t="str">
        <f t="shared" si="30"/>
        <v/>
      </c>
      <c r="O190" s="63" t="str">
        <f t="shared" si="45"/>
        <v/>
      </c>
      <c r="P190" s="64" t="str">
        <f t="shared" si="65"/>
        <v/>
      </c>
      <c r="Q190" s="93" t="str">
        <f t="shared" si="66"/>
        <v/>
      </c>
      <c r="R190" s="94" t="str">
        <f t="shared" si="47"/>
        <v/>
      </c>
      <c r="S190" s="64" t="str">
        <f t="shared" si="48"/>
        <v/>
      </c>
      <c r="T190" s="93" t="str">
        <f t="shared" si="67"/>
        <v/>
      </c>
      <c r="U190" s="94" t="str">
        <f t="shared" si="68"/>
        <v/>
      </c>
      <c r="V190" s="64" t="str">
        <f t="shared" si="51"/>
        <v/>
      </c>
      <c r="W190" s="65" t="str">
        <f t="shared" si="6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64"/>
        <v/>
      </c>
      <c r="M191" s="62" t="str">
        <f t="shared" si="29"/>
        <v/>
      </c>
      <c r="N191" s="62" t="str">
        <f t="shared" si="30"/>
        <v/>
      </c>
      <c r="O191" s="63" t="str">
        <f t="shared" si="45"/>
        <v/>
      </c>
      <c r="P191" s="64" t="str">
        <f t="shared" si="65"/>
        <v/>
      </c>
      <c r="Q191" s="93" t="str">
        <f t="shared" si="66"/>
        <v/>
      </c>
      <c r="R191" s="94" t="str">
        <f t="shared" si="47"/>
        <v/>
      </c>
      <c r="S191" s="64" t="str">
        <f t="shared" si="48"/>
        <v/>
      </c>
      <c r="T191" s="93" t="str">
        <f t="shared" si="67"/>
        <v/>
      </c>
      <c r="U191" s="94" t="str">
        <f t="shared" si="68"/>
        <v/>
      </c>
      <c r="V191" s="64" t="str">
        <f t="shared" si="51"/>
        <v/>
      </c>
      <c r="W191" s="65" t="str">
        <f t="shared" si="6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64"/>
        <v/>
      </c>
      <c r="M192" s="62" t="str">
        <f t="shared" si="29"/>
        <v/>
      </c>
      <c r="N192" s="62" t="str">
        <f t="shared" si="30"/>
        <v/>
      </c>
      <c r="O192" s="63" t="str">
        <f t="shared" si="45"/>
        <v/>
      </c>
      <c r="P192" s="64" t="str">
        <f t="shared" si="65"/>
        <v/>
      </c>
      <c r="Q192" s="93" t="str">
        <f t="shared" si="66"/>
        <v/>
      </c>
      <c r="R192" s="94" t="str">
        <f t="shared" si="47"/>
        <v/>
      </c>
      <c r="S192" s="64" t="str">
        <f t="shared" si="48"/>
        <v/>
      </c>
      <c r="T192" s="93" t="str">
        <f t="shared" si="67"/>
        <v/>
      </c>
      <c r="U192" s="94" t="str">
        <f t="shared" si="68"/>
        <v/>
      </c>
      <c r="V192" s="64" t="str">
        <f t="shared" si="51"/>
        <v/>
      </c>
      <c r="W192" s="65" t="str">
        <f t="shared" si="6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64"/>
        <v/>
      </c>
      <c r="M193" s="62" t="str">
        <f t="shared" si="29"/>
        <v/>
      </c>
      <c r="N193" s="62" t="str">
        <f t="shared" si="30"/>
        <v/>
      </c>
      <c r="O193" s="63" t="str">
        <f t="shared" si="45"/>
        <v/>
      </c>
      <c r="P193" s="64" t="str">
        <f t="shared" si="65"/>
        <v/>
      </c>
      <c r="Q193" s="93" t="str">
        <f t="shared" si="66"/>
        <v/>
      </c>
      <c r="R193" s="94" t="str">
        <f t="shared" si="47"/>
        <v/>
      </c>
      <c r="S193" s="64" t="str">
        <f t="shared" si="48"/>
        <v/>
      </c>
      <c r="T193" s="93" t="str">
        <f t="shared" si="67"/>
        <v/>
      </c>
      <c r="U193" s="94" t="str">
        <f t="shared" si="68"/>
        <v/>
      </c>
      <c r="V193" s="64" t="str">
        <f t="shared" si="51"/>
        <v/>
      </c>
      <c r="W193" s="65" t="str">
        <f t="shared" si="6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64"/>
        <v/>
      </c>
      <c r="M194" s="62" t="str">
        <f t="shared" si="29"/>
        <v/>
      </c>
      <c r="N194" s="62" t="str">
        <f t="shared" si="30"/>
        <v/>
      </c>
      <c r="O194" s="63" t="str">
        <f t="shared" si="45"/>
        <v/>
      </c>
      <c r="P194" s="64" t="str">
        <f t="shared" si="65"/>
        <v/>
      </c>
      <c r="Q194" s="93" t="str">
        <f t="shared" si="66"/>
        <v/>
      </c>
      <c r="R194" s="94" t="str">
        <f t="shared" si="47"/>
        <v/>
      </c>
      <c r="S194" s="64" t="str">
        <f t="shared" si="48"/>
        <v/>
      </c>
      <c r="T194" s="93" t="str">
        <f t="shared" si="67"/>
        <v/>
      </c>
      <c r="U194" s="94" t="str">
        <f t="shared" si="68"/>
        <v/>
      </c>
      <c r="V194" s="64" t="str">
        <f t="shared" si="51"/>
        <v/>
      </c>
      <c r="W194" s="65" t="str">
        <f t="shared" si="6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64"/>
        <v/>
      </c>
      <c r="M195" s="62" t="str">
        <f t="shared" si="29"/>
        <v/>
      </c>
      <c r="N195" s="62" t="str">
        <f t="shared" si="30"/>
        <v/>
      </c>
      <c r="O195" s="63" t="str">
        <f t="shared" si="45"/>
        <v/>
      </c>
      <c r="P195" s="64" t="str">
        <f t="shared" si="65"/>
        <v/>
      </c>
      <c r="Q195" s="93" t="str">
        <f t="shared" si="66"/>
        <v/>
      </c>
      <c r="R195" s="94" t="str">
        <f t="shared" si="47"/>
        <v/>
      </c>
      <c r="S195" s="64" t="str">
        <f t="shared" si="48"/>
        <v/>
      </c>
      <c r="T195" s="93" t="str">
        <f t="shared" si="67"/>
        <v/>
      </c>
      <c r="U195" s="94" t="str">
        <f t="shared" si="68"/>
        <v/>
      </c>
      <c r="V195" s="64" t="str">
        <f t="shared" si="51"/>
        <v/>
      </c>
      <c r="W195" s="65" t="str">
        <f t="shared" si="6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64"/>
        <v/>
      </c>
      <c r="M196" s="62" t="str">
        <f t="shared" si="29"/>
        <v/>
      </c>
      <c r="N196" s="62" t="str">
        <f t="shared" si="30"/>
        <v/>
      </c>
      <c r="O196" s="63" t="str">
        <f t="shared" si="45"/>
        <v/>
      </c>
      <c r="P196" s="64" t="str">
        <f t="shared" si="65"/>
        <v/>
      </c>
      <c r="Q196" s="93" t="str">
        <f t="shared" si="66"/>
        <v/>
      </c>
      <c r="R196" s="94" t="str">
        <f t="shared" si="47"/>
        <v/>
      </c>
      <c r="S196" s="64" t="str">
        <f t="shared" si="48"/>
        <v/>
      </c>
      <c r="T196" s="93" t="str">
        <f t="shared" si="67"/>
        <v/>
      </c>
      <c r="U196" s="94" t="str">
        <f t="shared" si="68"/>
        <v/>
      </c>
      <c r="V196" s="64" t="str">
        <f t="shared" si="51"/>
        <v/>
      </c>
      <c r="W196" s="65" t="str">
        <f t="shared" si="6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64"/>
        <v/>
      </c>
      <c r="M197" s="62" t="str">
        <f t="shared" si="29"/>
        <v/>
      </c>
      <c r="N197" s="62" t="str">
        <f t="shared" si="30"/>
        <v/>
      </c>
      <c r="O197" s="63" t="str">
        <f t="shared" si="45"/>
        <v/>
      </c>
      <c r="P197" s="64" t="str">
        <f t="shared" si="65"/>
        <v/>
      </c>
      <c r="Q197" s="93" t="str">
        <f t="shared" si="66"/>
        <v/>
      </c>
      <c r="R197" s="94" t="str">
        <f t="shared" si="47"/>
        <v/>
      </c>
      <c r="S197" s="64" t="str">
        <f t="shared" si="48"/>
        <v/>
      </c>
      <c r="T197" s="93" t="str">
        <f t="shared" si="67"/>
        <v/>
      </c>
      <c r="U197" s="94" t="str">
        <f t="shared" si="68"/>
        <v/>
      </c>
      <c r="V197" s="64" t="str">
        <f t="shared" si="51"/>
        <v/>
      </c>
      <c r="W197" s="65" t="str">
        <f t="shared" si="6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64"/>
        <v/>
      </c>
      <c r="M198" s="62" t="str">
        <f t="shared" si="29"/>
        <v/>
      </c>
      <c r="N198" s="62" t="str">
        <f t="shared" si="30"/>
        <v/>
      </c>
      <c r="O198" s="63" t="str">
        <f t="shared" si="45"/>
        <v/>
      </c>
      <c r="P198" s="64" t="str">
        <f t="shared" si="65"/>
        <v/>
      </c>
      <c r="Q198" s="93" t="str">
        <f t="shared" si="66"/>
        <v/>
      </c>
      <c r="R198" s="94" t="str">
        <f t="shared" si="47"/>
        <v/>
      </c>
      <c r="S198" s="64" t="str">
        <f t="shared" si="48"/>
        <v/>
      </c>
      <c r="T198" s="93" t="str">
        <f t="shared" si="67"/>
        <v/>
      </c>
      <c r="U198" s="94" t="str">
        <f t="shared" si="68"/>
        <v/>
      </c>
      <c r="V198" s="64" t="str">
        <f t="shared" si="51"/>
        <v/>
      </c>
      <c r="W198" s="65" t="str">
        <f t="shared" si="6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64"/>
        <v/>
      </c>
      <c r="M199" s="62" t="str">
        <f t="shared" si="29"/>
        <v/>
      </c>
      <c r="N199" s="62" t="str">
        <f t="shared" si="30"/>
        <v/>
      </c>
      <c r="O199" s="63" t="str">
        <f t="shared" si="45"/>
        <v/>
      </c>
      <c r="P199" s="64" t="str">
        <f t="shared" si="65"/>
        <v/>
      </c>
      <c r="Q199" s="93" t="str">
        <f t="shared" si="66"/>
        <v/>
      </c>
      <c r="R199" s="94" t="str">
        <f t="shared" si="47"/>
        <v/>
      </c>
      <c r="S199" s="64" t="str">
        <f t="shared" si="48"/>
        <v/>
      </c>
      <c r="T199" s="93" t="str">
        <f t="shared" si="67"/>
        <v/>
      </c>
      <c r="U199" s="94" t="str">
        <f t="shared" si="68"/>
        <v/>
      </c>
      <c r="V199" s="64" t="str">
        <f t="shared" si="51"/>
        <v/>
      </c>
      <c r="W199" s="65" t="str">
        <f t="shared" si="6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64"/>
        <v/>
      </c>
      <c r="M200" s="62" t="str">
        <f t="shared" si="29"/>
        <v/>
      </c>
      <c r="N200" s="62" t="str">
        <f t="shared" si="30"/>
        <v/>
      </c>
      <c r="O200" s="63" t="str">
        <f t="shared" si="45"/>
        <v/>
      </c>
      <c r="P200" s="64" t="str">
        <f t="shared" si="65"/>
        <v/>
      </c>
      <c r="Q200" s="93" t="str">
        <f t="shared" si="66"/>
        <v/>
      </c>
      <c r="R200" s="94" t="str">
        <f t="shared" si="47"/>
        <v/>
      </c>
      <c r="S200" s="64" t="str">
        <f t="shared" si="48"/>
        <v/>
      </c>
      <c r="T200" s="93" t="str">
        <f t="shared" si="67"/>
        <v/>
      </c>
      <c r="U200" s="94" t="str">
        <f t="shared" si="68"/>
        <v/>
      </c>
      <c r="V200" s="64" t="str">
        <f t="shared" si="51"/>
        <v/>
      </c>
      <c r="W200" s="65" t="str">
        <f t="shared" si="6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64"/>
        <v/>
      </c>
      <c r="M201" s="62" t="str">
        <f t="shared" si="29"/>
        <v/>
      </c>
      <c r="N201" s="62" t="str">
        <f t="shared" si="30"/>
        <v/>
      </c>
      <c r="O201" s="63" t="str">
        <f t="shared" si="45"/>
        <v/>
      </c>
      <c r="P201" s="64" t="str">
        <f t="shared" si="65"/>
        <v/>
      </c>
      <c r="Q201" s="93" t="str">
        <f t="shared" si="66"/>
        <v/>
      </c>
      <c r="R201" s="94" t="str">
        <f t="shared" si="47"/>
        <v/>
      </c>
      <c r="S201" s="64" t="str">
        <f t="shared" si="48"/>
        <v/>
      </c>
      <c r="T201" s="93" t="str">
        <f t="shared" si="67"/>
        <v/>
      </c>
      <c r="U201" s="94" t="str">
        <f t="shared" si="68"/>
        <v/>
      </c>
      <c r="V201" s="64" t="str">
        <f t="shared" si="51"/>
        <v/>
      </c>
      <c r="W201" s="65" t="str">
        <f t="shared" si="6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64"/>
        <v/>
      </c>
      <c r="M202" s="62" t="str">
        <f t="shared" si="29"/>
        <v/>
      </c>
      <c r="N202" s="62" t="str">
        <f t="shared" si="30"/>
        <v/>
      </c>
      <c r="O202" s="63" t="str">
        <f t="shared" si="45"/>
        <v/>
      </c>
      <c r="P202" s="64" t="str">
        <f t="shared" si="65"/>
        <v/>
      </c>
      <c r="Q202" s="93" t="str">
        <f t="shared" si="66"/>
        <v/>
      </c>
      <c r="R202" s="94" t="str">
        <f t="shared" si="47"/>
        <v/>
      </c>
      <c r="S202" s="64" t="str">
        <f t="shared" si="48"/>
        <v/>
      </c>
      <c r="T202" s="93" t="str">
        <f t="shared" si="67"/>
        <v/>
      </c>
      <c r="U202" s="94" t="str">
        <f t="shared" si="68"/>
        <v/>
      </c>
      <c r="V202" s="64" t="str">
        <f t="shared" si="51"/>
        <v/>
      </c>
      <c r="W202" s="65" t="str">
        <f t="shared" si="6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64"/>
        <v/>
      </c>
      <c r="M203" s="62" t="str">
        <f t="shared" si="29"/>
        <v/>
      </c>
      <c r="N203" s="62" t="str">
        <f t="shared" si="30"/>
        <v/>
      </c>
      <c r="O203" s="63" t="str">
        <f t="shared" si="45"/>
        <v/>
      </c>
      <c r="P203" s="64" t="str">
        <f t="shared" si="65"/>
        <v/>
      </c>
      <c r="Q203" s="93" t="str">
        <f t="shared" si="66"/>
        <v/>
      </c>
      <c r="R203" s="94" t="str">
        <f t="shared" si="47"/>
        <v/>
      </c>
      <c r="S203" s="64" t="str">
        <f t="shared" si="48"/>
        <v/>
      </c>
      <c r="T203" s="93" t="str">
        <f t="shared" si="67"/>
        <v/>
      </c>
      <c r="U203" s="94" t="str">
        <f t="shared" si="68"/>
        <v/>
      </c>
      <c r="V203" s="64" t="str">
        <f t="shared" si="51"/>
        <v/>
      </c>
      <c r="W203" s="65" t="str">
        <f t="shared" si="6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64"/>
        <v/>
      </c>
      <c r="M204" s="62" t="str">
        <f t="shared" si="29"/>
        <v/>
      </c>
      <c r="N204" s="62" t="str">
        <f t="shared" si="30"/>
        <v/>
      </c>
      <c r="O204" s="63" t="str">
        <f t="shared" si="45"/>
        <v/>
      </c>
      <c r="P204" s="64" t="str">
        <f t="shared" si="65"/>
        <v/>
      </c>
      <c r="Q204" s="93" t="str">
        <f t="shared" si="66"/>
        <v/>
      </c>
      <c r="R204" s="94" t="str">
        <f t="shared" si="47"/>
        <v/>
      </c>
      <c r="S204" s="64" t="str">
        <f t="shared" si="48"/>
        <v/>
      </c>
      <c r="T204" s="93" t="str">
        <f t="shared" si="67"/>
        <v/>
      </c>
      <c r="U204" s="94" t="str">
        <f t="shared" si="68"/>
        <v/>
      </c>
      <c r="V204" s="64" t="str">
        <f t="shared" si="51"/>
        <v/>
      </c>
      <c r="W204" s="65" t="str">
        <f t="shared" si="69"/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64"/>
        <v/>
      </c>
      <c r="M205" s="62" t="str">
        <f t="shared" si="29"/>
        <v/>
      </c>
      <c r="N205" s="62" t="str">
        <f t="shared" si="30"/>
        <v/>
      </c>
      <c r="O205" s="63" t="str">
        <f t="shared" si="45"/>
        <v/>
      </c>
      <c r="P205" s="64" t="str">
        <f t="shared" si="65"/>
        <v/>
      </c>
      <c r="Q205" s="93" t="str">
        <f t="shared" si="66"/>
        <v/>
      </c>
      <c r="R205" s="94" t="str">
        <f t="shared" si="47"/>
        <v/>
      </c>
      <c r="S205" s="64" t="str">
        <f t="shared" si="48"/>
        <v/>
      </c>
      <c r="T205" s="93" t="str">
        <f t="shared" si="67"/>
        <v/>
      </c>
      <c r="U205" s="94" t="str">
        <f t="shared" si="68"/>
        <v/>
      </c>
      <c r="V205" s="64" t="str">
        <f t="shared" si="51"/>
        <v/>
      </c>
      <c r="W205" s="65" t="str">
        <f t="shared" si="69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64"/>
        <v/>
      </c>
      <c r="M206" s="62" t="str">
        <f t="shared" si="29"/>
        <v/>
      </c>
      <c r="N206" s="62" t="str">
        <f t="shared" si="30"/>
        <v/>
      </c>
      <c r="O206" s="63" t="str">
        <f t="shared" si="45"/>
        <v/>
      </c>
      <c r="P206" s="64" t="str">
        <f t="shared" si="65"/>
        <v/>
      </c>
      <c r="Q206" s="93" t="str">
        <f t="shared" si="66"/>
        <v/>
      </c>
      <c r="R206" s="94" t="str">
        <f t="shared" si="47"/>
        <v/>
      </c>
      <c r="S206" s="64" t="str">
        <f t="shared" si="48"/>
        <v/>
      </c>
      <c r="T206" s="93" t="str">
        <f t="shared" si="67"/>
        <v/>
      </c>
      <c r="U206" s="94" t="str">
        <f t="shared" si="68"/>
        <v/>
      </c>
      <c r="V206" s="64" t="str">
        <f t="shared" si="51"/>
        <v/>
      </c>
      <c r="W206" s="65" t="str">
        <f t="shared" si="69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64"/>
        <v/>
      </c>
      <c r="M207" s="62" t="str">
        <f t="shared" si="29"/>
        <v/>
      </c>
      <c r="N207" s="62" t="str">
        <f t="shared" si="30"/>
        <v/>
      </c>
      <c r="O207" s="63" t="str">
        <f t="shared" si="45"/>
        <v/>
      </c>
      <c r="P207" s="64" t="str">
        <f t="shared" si="65"/>
        <v/>
      </c>
      <c r="Q207" s="93" t="str">
        <f t="shared" si="66"/>
        <v/>
      </c>
      <c r="R207" s="94" t="str">
        <f t="shared" si="47"/>
        <v/>
      </c>
      <c r="S207" s="64" t="str">
        <f t="shared" si="48"/>
        <v/>
      </c>
      <c r="T207" s="93" t="str">
        <f t="shared" si="67"/>
        <v/>
      </c>
      <c r="U207" s="94" t="str">
        <f t="shared" si="68"/>
        <v/>
      </c>
      <c r="V207" s="64" t="str">
        <f t="shared" si="51"/>
        <v/>
      </c>
      <c r="W207" s="65" t="str">
        <f t="shared" si="69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64"/>
        <v/>
      </c>
      <c r="M208" s="62" t="str">
        <f t="shared" si="29"/>
        <v/>
      </c>
      <c r="N208" s="62" t="str">
        <f t="shared" si="30"/>
        <v/>
      </c>
      <c r="O208" s="63" t="str">
        <f t="shared" si="45"/>
        <v/>
      </c>
      <c r="P208" s="64" t="str">
        <f t="shared" si="65"/>
        <v/>
      </c>
      <c r="Q208" s="93" t="str">
        <f t="shared" si="66"/>
        <v/>
      </c>
      <c r="R208" s="94" t="str">
        <f t="shared" si="47"/>
        <v/>
      </c>
      <c r="S208" s="64" t="str">
        <f t="shared" si="48"/>
        <v/>
      </c>
      <c r="T208" s="93" t="str">
        <f t="shared" si="67"/>
        <v/>
      </c>
      <c r="U208" s="94" t="str">
        <f t="shared" si="68"/>
        <v/>
      </c>
      <c r="V208" s="64" t="str">
        <f t="shared" si="51"/>
        <v/>
      </c>
      <c r="W208" s="65" t="str">
        <f t="shared" si="69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64"/>
        <v/>
      </c>
      <c r="M209" s="62" t="str">
        <f t="shared" si="29"/>
        <v/>
      </c>
      <c r="N209" s="62" t="str">
        <f t="shared" si="30"/>
        <v/>
      </c>
      <c r="O209" s="63" t="str">
        <f t="shared" si="45"/>
        <v/>
      </c>
      <c r="P209" s="64" t="str">
        <f t="shared" si="65"/>
        <v/>
      </c>
      <c r="Q209" s="93" t="str">
        <f t="shared" si="66"/>
        <v/>
      </c>
      <c r="R209" s="94" t="str">
        <f t="shared" si="47"/>
        <v/>
      </c>
      <c r="S209" s="64" t="str">
        <f t="shared" si="48"/>
        <v/>
      </c>
      <c r="T209" s="93" t="str">
        <f t="shared" si="67"/>
        <v/>
      </c>
      <c r="U209" s="94" t="str">
        <f t="shared" si="68"/>
        <v/>
      </c>
      <c r="V209" s="64" t="str">
        <f t="shared" si="51"/>
        <v/>
      </c>
      <c r="W209" s="65" t="str">
        <f t="shared" si="69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64"/>
        <v/>
      </c>
      <c r="M210" s="62" t="str">
        <f t="shared" si="29"/>
        <v/>
      </c>
      <c r="N210" s="62" t="str">
        <f t="shared" si="30"/>
        <v/>
      </c>
      <c r="O210" s="63" t="str">
        <f t="shared" si="45"/>
        <v/>
      </c>
      <c r="P210" s="64" t="str">
        <f t="shared" si="65"/>
        <v/>
      </c>
      <c r="Q210" s="93" t="str">
        <f t="shared" si="66"/>
        <v/>
      </c>
      <c r="R210" s="94" t="str">
        <f t="shared" si="47"/>
        <v/>
      </c>
      <c r="S210" s="64" t="str">
        <f t="shared" si="48"/>
        <v/>
      </c>
      <c r="T210" s="93" t="str">
        <f t="shared" si="67"/>
        <v/>
      </c>
      <c r="U210" s="94" t="str">
        <f t="shared" si="68"/>
        <v/>
      </c>
      <c r="V210" s="64" t="str">
        <f t="shared" si="51"/>
        <v/>
      </c>
      <c r="W210" s="65" t="str">
        <f t="shared" si="69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64"/>
        <v/>
      </c>
      <c r="M211" s="62" t="str">
        <f t="shared" si="29"/>
        <v/>
      </c>
      <c r="N211" s="62" t="str">
        <f t="shared" si="30"/>
        <v/>
      </c>
      <c r="O211" s="63" t="str">
        <f t="shared" si="45"/>
        <v/>
      </c>
      <c r="P211" s="64" t="str">
        <f t="shared" si="65"/>
        <v/>
      </c>
      <c r="Q211" s="93" t="str">
        <f t="shared" si="66"/>
        <v/>
      </c>
      <c r="R211" s="94" t="str">
        <f t="shared" si="47"/>
        <v/>
      </c>
      <c r="S211" s="64" t="str">
        <f t="shared" si="48"/>
        <v/>
      </c>
      <c r="T211" s="93" t="str">
        <f t="shared" si="67"/>
        <v/>
      </c>
      <c r="U211" s="94" t="str">
        <f t="shared" si="68"/>
        <v/>
      </c>
      <c r="V211" s="64" t="str">
        <f t="shared" si="51"/>
        <v/>
      </c>
      <c r="W211" s="65" t="str">
        <f t="shared" si="69"/>
        <v/>
      </c>
      <c r="X211" s="78" t="str">
        <f t="shared" si="53"/>
        <v/>
      </c>
      <c r="Y211" s="66" t="str">
        <f t="shared" si="54"/>
        <v/>
      </c>
      <c r="Z211" s="66" t="str">
        <f t="shared" si="55"/>
        <v/>
      </c>
      <c r="AA211" s="67" t="str">
        <f t="shared" si="56"/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43"/>
        <v/>
      </c>
      <c r="M212" s="62" t="str">
        <f t="shared" si="29"/>
        <v/>
      </c>
      <c r="N212" s="62" t="str">
        <f t="shared" si="30"/>
        <v/>
      </c>
      <c r="O212" s="63" t="str">
        <f t="shared" si="45"/>
        <v/>
      </c>
      <c r="P212" s="64" t="str">
        <f t="shared" si="57"/>
        <v/>
      </c>
      <c r="Q212" s="93" t="str">
        <f t="shared" si="46"/>
        <v/>
      </c>
      <c r="R212" s="94" t="str">
        <f t="shared" si="47"/>
        <v/>
      </c>
      <c r="S212" s="64" t="str">
        <f t="shared" si="48"/>
        <v/>
      </c>
      <c r="T212" s="93" t="str">
        <f t="shared" si="49"/>
        <v/>
      </c>
      <c r="U212" s="94" t="str">
        <f t="shared" si="50"/>
        <v/>
      </c>
      <c r="V212" s="64" t="str">
        <f t="shared" si="51"/>
        <v/>
      </c>
      <c r="W212" s="65" t="str">
        <f t="shared" si="52"/>
        <v/>
      </c>
      <c r="X212" s="78" t="str">
        <f t="shared" si="53"/>
        <v/>
      </c>
      <c r="Y212" s="66" t="str">
        <f t="shared" si="54"/>
        <v/>
      </c>
      <c r="Z212" s="66" t="str">
        <f t="shared" si="55"/>
        <v/>
      </c>
      <c r="AA212" s="67" t="str">
        <f t="shared" si="56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43"/>
        <v/>
      </c>
      <c r="M213" s="62" t="str">
        <f t="shared" si="29"/>
        <v/>
      </c>
      <c r="N213" s="62" t="str">
        <f t="shared" si="30"/>
        <v/>
      </c>
      <c r="O213" s="63" t="str">
        <f t="shared" si="45"/>
        <v/>
      </c>
      <c r="P213" s="64" t="str">
        <f t="shared" si="57"/>
        <v/>
      </c>
      <c r="Q213" s="93" t="str">
        <f t="shared" si="46"/>
        <v/>
      </c>
      <c r="R213" s="94" t="str">
        <f t="shared" si="47"/>
        <v/>
      </c>
      <c r="S213" s="64" t="str">
        <f t="shared" si="48"/>
        <v/>
      </c>
      <c r="T213" s="93" t="str">
        <f t="shared" si="49"/>
        <v/>
      </c>
      <c r="U213" s="94" t="str">
        <f t="shared" si="50"/>
        <v/>
      </c>
      <c r="V213" s="64" t="str">
        <f t="shared" si="51"/>
        <v/>
      </c>
      <c r="W213" s="65" t="str">
        <f t="shared" si="52"/>
        <v/>
      </c>
      <c r="X213" s="78" t="str">
        <f t="shared" si="53"/>
        <v/>
      </c>
      <c r="Y213" s="66" t="str">
        <f t="shared" si="54"/>
        <v/>
      </c>
      <c r="Z213" s="66" t="str">
        <f t="shared" si="55"/>
        <v/>
      </c>
      <c r="AA213" s="67" t="str">
        <f t="shared" si="56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43"/>
        <v/>
      </c>
      <c r="M214" s="62" t="str">
        <f t="shared" si="29"/>
        <v/>
      </c>
      <c r="N214" s="62" t="str">
        <f t="shared" si="30"/>
        <v/>
      </c>
      <c r="O214" s="63" t="str">
        <f t="shared" si="45"/>
        <v/>
      </c>
      <c r="P214" s="64" t="str">
        <f t="shared" si="57"/>
        <v/>
      </c>
      <c r="Q214" s="93" t="str">
        <f t="shared" si="46"/>
        <v/>
      </c>
      <c r="R214" s="94" t="str">
        <f t="shared" si="47"/>
        <v/>
      </c>
      <c r="S214" s="64" t="str">
        <f t="shared" si="48"/>
        <v/>
      </c>
      <c r="T214" s="93" t="str">
        <f t="shared" si="49"/>
        <v/>
      </c>
      <c r="U214" s="94" t="str">
        <f t="shared" si="50"/>
        <v/>
      </c>
      <c r="V214" s="64" t="str">
        <f t="shared" si="51"/>
        <v/>
      </c>
      <c r="W214" s="65" t="str">
        <f t="shared" si="52"/>
        <v/>
      </c>
      <c r="X214" s="78" t="str">
        <f t="shared" si="53"/>
        <v/>
      </c>
      <c r="Y214" s="66" t="str">
        <f t="shared" si="54"/>
        <v/>
      </c>
      <c r="Z214" s="66" t="str">
        <f t="shared" si="55"/>
        <v/>
      </c>
      <c r="AA214" s="67" t="str">
        <f t="shared" si="56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43"/>
        <v/>
      </c>
      <c r="M215" s="62" t="str">
        <f t="shared" si="29"/>
        <v/>
      </c>
      <c r="N215" s="62" t="str">
        <f t="shared" si="30"/>
        <v/>
      </c>
      <c r="O215" s="63" t="str">
        <f t="shared" si="45"/>
        <v/>
      </c>
      <c r="P215" s="64" t="str">
        <f t="shared" si="57"/>
        <v/>
      </c>
      <c r="Q215" s="93" t="str">
        <f t="shared" si="46"/>
        <v/>
      </c>
      <c r="R215" s="94" t="str">
        <f t="shared" si="47"/>
        <v/>
      </c>
      <c r="S215" s="64" t="str">
        <f t="shared" si="48"/>
        <v/>
      </c>
      <c r="T215" s="93" t="str">
        <f t="shared" si="49"/>
        <v/>
      </c>
      <c r="U215" s="94" t="str">
        <f t="shared" si="50"/>
        <v/>
      </c>
      <c r="V215" s="64" t="str">
        <f t="shared" si="51"/>
        <v/>
      </c>
      <c r="W215" s="65" t="str">
        <f t="shared" si="52"/>
        <v/>
      </c>
      <c r="X215" s="78" t="str">
        <f t="shared" si="53"/>
        <v/>
      </c>
      <c r="Y215" s="66" t="str">
        <f t="shared" si="54"/>
        <v/>
      </c>
      <c r="Z215" s="66" t="str">
        <f t="shared" si="55"/>
        <v/>
      </c>
      <c r="AA215" s="67" t="str">
        <f t="shared" si="56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43"/>
        <v/>
      </c>
      <c r="M216" s="62" t="str">
        <f t="shared" si="29"/>
        <v/>
      </c>
      <c r="N216" s="62" t="str">
        <f t="shared" si="30"/>
        <v/>
      </c>
      <c r="O216" s="63" t="str">
        <f t="shared" si="45"/>
        <v/>
      </c>
      <c r="P216" s="64" t="str">
        <f t="shared" si="57"/>
        <v/>
      </c>
      <c r="Q216" s="93" t="str">
        <f t="shared" si="46"/>
        <v/>
      </c>
      <c r="R216" s="94" t="str">
        <f t="shared" si="47"/>
        <v/>
      </c>
      <c r="S216" s="64" t="str">
        <f t="shared" si="48"/>
        <v/>
      </c>
      <c r="T216" s="93" t="str">
        <f t="shared" si="49"/>
        <v/>
      </c>
      <c r="U216" s="94" t="str">
        <f t="shared" si="50"/>
        <v/>
      </c>
      <c r="V216" s="64" t="str">
        <f t="shared" si="51"/>
        <v/>
      </c>
      <c r="W216" s="65" t="str">
        <f t="shared" si="52"/>
        <v/>
      </c>
      <c r="X216" s="78" t="str">
        <f t="shared" si="53"/>
        <v/>
      </c>
      <c r="Y216" s="66" t="str">
        <f t="shared" si="54"/>
        <v/>
      </c>
      <c r="Z216" s="66" t="str">
        <f t="shared" si="55"/>
        <v/>
      </c>
      <c r="AA216" s="67" t="str">
        <f t="shared" si="56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43"/>
        <v/>
      </c>
      <c r="M217" s="62" t="str">
        <f t="shared" si="29"/>
        <v/>
      </c>
      <c r="N217" s="62" t="str">
        <f t="shared" si="30"/>
        <v/>
      </c>
      <c r="O217" s="63" t="str">
        <f t="shared" si="45"/>
        <v/>
      </c>
      <c r="P217" s="64" t="str">
        <f t="shared" si="57"/>
        <v/>
      </c>
      <c r="Q217" s="93" t="str">
        <f t="shared" si="46"/>
        <v/>
      </c>
      <c r="R217" s="94" t="str">
        <f t="shared" si="47"/>
        <v/>
      </c>
      <c r="S217" s="64" t="str">
        <f t="shared" si="48"/>
        <v/>
      </c>
      <c r="T217" s="93" t="str">
        <f t="shared" si="49"/>
        <v/>
      </c>
      <c r="U217" s="94" t="str">
        <f t="shared" si="50"/>
        <v/>
      </c>
      <c r="V217" s="64" t="str">
        <f t="shared" si="51"/>
        <v/>
      </c>
      <c r="W217" s="65" t="str">
        <f t="shared" si="52"/>
        <v/>
      </c>
      <c r="X217" s="78" t="str">
        <f t="shared" si="53"/>
        <v/>
      </c>
      <c r="Y217" s="66" t="str">
        <f t="shared" si="54"/>
        <v/>
      </c>
      <c r="Z217" s="66" t="str">
        <f t="shared" si="55"/>
        <v/>
      </c>
      <c r="AA217" s="67" t="str">
        <f t="shared" si="56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43"/>
        <v/>
      </c>
      <c r="M218" s="62" t="str">
        <f t="shared" si="29"/>
        <v/>
      </c>
      <c r="N218" s="62" t="str">
        <f t="shared" si="30"/>
        <v/>
      </c>
      <c r="O218" s="63" t="str">
        <f t="shared" si="45"/>
        <v/>
      </c>
      <c r="P218" s="64" t="str">
        <f t="shared" si="57"/>
        <v/>
      </c>
      <c r="Q218" s="93" t="str">
        <f t="shared" si="46"/>
        <v/>
      </c>
      <c r="R218" s="94" t="str">
        <f t="shared" si="47"/>
        <v/>
      </c>
      <c r="S218" s="64" t="str">
        <f t="shared" si="48"/>
        <v/>
      </c>
      <c r="T218" s="93" t="str">
        <f t="shared" si="49"/>
        <v/>
      </c>
      <c r="U218" s="94" t="str">
        <f t="shared" si="50"/>
        <v/>
      </c>
      <c r="V218" s="64" t="str">
        <f t="shared" si="51"/>
        <v/>
      </c>
      <c r="W218" s="65" t="str">
        <f t="shared" si="52"/>
        <v/>
      </c>
      <c r="X218" s="78" t="str">
        <f t="shared" si="53"/>
        <v/>
      </c>
      <c r="Y218" s="66" t="str">
        <f t="shared" si="54"/>
        <v/>
      </c>
      <c r="Z218" s="66" t="str">
        <f t="shared" si="55"/>
        <v/>
      </c>
      <c r="AA218" s="67" t="str">
        <f t="shared" si="56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43"/>
        <v/>
      </c>
      <c r="M219" s="62" t="str">
        <f t="shared" si="29"/>
        <v/>
      </c>
      <c r="N219" s="62" t="str">
        <f t="shared" si="30"/>
        <v/>
      </c>
      <c r="O219" s="63" t="str">
        <f t="shared" si="45"/>
        <v/>
      </c>
      <c r="P219" s="64" t="str">
        <f t="shared" si="57"/>
        <v/>
      </c>
      <c r="Q219" s="93" t="str">
        <f t="shared" si="46"/>
        <v/>
      </c>
      <c r="R219" s="94" t="str">
        <f t="shared" si="47"/>
        <v/>
      </c>
      <c r="S219" s="64" t="str">
        <f t="shared" si="48"/>
        <v/>
      </c>
      <c r="T219" s="93" t="str">
        <f t="shared" si="49"/>
        <v/>
      </c>
      <c r="U219" s="94" t="str">
        <f t="shared" si="50"/>
        <v/>
      </c>
      <c r="V219" s="64" t="str">
        <f t="shared" si="51"/>
        <v/>
      </c>
      <c r="W219" s="65" t="str">
        <f t="shared" si="52"/>
        <v/>
      </c>
      <c r="X219" s="78" t="str">
        <f t="shared" si="53"/>
        <v/>
      </c>
      <c r="Y219" s="66" t="str">
        <f t="shared" si="54"/>
        <v/>
      </c>
      <c r="Z219" s="66" t="str">
        <f t="shared" si="55"/>
        <v/>
      </c>
      <c r="AA219" s="67" t="str">
        <f t="shared" si="56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43"/>
        <v/>
      </c>
      <c r="M220" s="62" t="str">
        <f t="shared" si="29"/>
        <v/>
      </c>
      <c r="N220" s="62" t="str">
        <f t="shared" si="30"/>
        <v/>
      </c>
      <c r="O220" s="63" t="str">
        <f t="shared" si="45"/>
        <v/>
      </c>
      <c r="P220" s="64" t="str">
        <f t="shared" si="57"/>
        <v/>
      </c>
      <c r="Q220" s="93" t="str">
        <f t="shared" si="46"/>
        <v/>
      </c>
      <c r="R220" s="94" t="str">
        <f t="shared" si="47"/>
        <v/>
      </c>
      <c r="S220" s="64" t="str">
        <f t="shared" si="48"/>
        <v/>
      </c>
      <c r="T220" s="93" t="str">
        <f t="shared" si="49"/>
        <v/>
      </c>
      <c r="U220" s="94" t="str">
        <f t="shared" si="50"/>
        <v/>
      </c>
      <c r="V220" s="64" t="str">
        <f t="shared" si="51"/>
        <v/>
      </c>
      <c r="W220" s="65" t="str">
        <f t="shared" si="52"/>
        <v/>
      </c>
      <c r="X220" s="78" t="str">
        <f t="shared" si="53"/>
        <v/>
      </c>
      <c r="Y220" s="66" t="str">
        <f t="shared" si="54"/>
        <v/>
      </c>
      <c r="Z220" s="66" t="str">
        <f t="shared" si="55"/>
        <v/>
      </c>
      <c r="AA220" s="67" t="str">
        <f t="shared" si="56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43"/>
        <v/>
      </c>
      <c r="M221" s="62" t="str">
        <f t="shared" si="29"/>
        <v/>
      </c>
      <c r="N221" s="62" t="str">
        <f t="shared" si="30"/>
        <v/>
      </c>
      <c r="O221" s="63" t="str">
        <f t="shared" si="45"/>
        <v/>
      </c>
      <c r="P221" s="64" t="str">
        <f t="shared" si="57"/>
        <v/>
      </c>
      <c r="Q221" s="93" t="str">
        <f t="shared" si="46"/>
        <v/>
      </c>
      <c r="R221" s="94" t="str">
        <f t="shared" si="47"/>
        <v/>
      </c>
      <c r="S221" s="64" t="str">
        <f t="shared" si="48"/>
        <v/>
      </c>
      <c r="T221" s="93" t="str">
        <f t="shared" si="49"/>
        <v/>
      </c>
      <c r="U221" s="94" t="str">
        <f t="shared" si="50"/>
        <v/>
      </c>
      <c r="V221" s="64" t="str">
        <f t="shared" si="51"/>
        <v/>
      </c>
      <c r="W221" s="65" t="str">
        <f t="shared" si="52"/>
        <v/>
      </c>
      <c r="X221" s="78" t="str">
        <f t="shared" si="53"/>
        <v/>
      </c>
      <c r="Y221" s="66" t="str">
        <f t="shared" si="54"/>
        <v/>
      </c>
      <c r="Z221" s="66" t="str">
        <f t="shared" si="55"/>
        <v/>
      </c>
      <c r="AA221" s="67" t="str">
        <f t="shared" si="56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43"/>
        <v/>
      </c>
      <c r="M222" s="62" t="str">
        <f t="shared" si="29"/>
        <v/>
      </c>
      <c r="N222" s="62" t="str">
        <f t="shared" si="30"/>
        <v/>
      </c>
      <c r="O222" s="63" t="str">
        <f t="shared" si="45"/>
        <v/>
      </c>
      <c r="P222" s="64" t="str">
        <f t="shared" si="57"/>
        <v/>
      </c>
      <c r="Q222" s="93" t="str">
        <f t="shared" si="46"/>
        <v/>
      </c>
      <c r="R222" s="94" t="str">
        <f t="shared" si="47"/>
        <v/>
      </c>
      <c r="S222" s="64" t="str">
        <f t="shared" si="48"/>
        <v/>
      </c>
      <c r="T222" s="93" t="str">
        <f t="shared" si="49"/>
        <v/>
      </c>
      <c r="U222" s="94" t="str">
        <f t="shared" si="50"/>
        <v/>
      </c>
      <c r="V222" s="64" t="str">
        <f t="shared" si="51"/>
        <v/>
      </c>
      <c r="W222" s="65" t="str">
        <f t="shared" si="52"/>
        <v/>
      </c>
      <c r="X222" s="78" t="str">
        <f t="shared" si="53"/>
        <v/>
      </c>
      <c r="Y222" s="66" t="str">
        <f t="shared" si="54"/>
        <v/>
      </c>
      <c r="Z222" s="66" t="str">
        <f t="shared" si="55"/>
        <v/>
      </c>
      <c r="AA222" s="67" t="str">
        <f t="shared" si="56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43"/>
        <v/>
      </c>
      <c r="M223" s="62" t="str">
        <f t="shared" si="29"/>
        <v/>
      </c>
      <c r="N223" s="62" t="str">
        <f t="shared" si="30"/>
        <v/>
      </c>
      <c r="O223" s="63" t="str">
        <f t="shared" si="45"/>
        <v/>
      </c>
      <c r="P223" s="64" t="str">
        <f t="shared" si="57"/>
        <v/>
      </c>
      <c r="Q223" s="93" t="str">
        <f t="shared" si="46"/>
        <v/>
      </c>
      <c r="R223" s="94" t="str">
        <f t="shared" si="47"/>
        <v/>
      </c>
      <c r="S223" s="64" t="str">
        <f t="shared" si="48"/>
        <v/>
      </c>
      <c r="T223" s="93" t="str">
        <f t="shared" si="49"/>
        <v/>
      </c>
      <c r="U223" s="94" t="str">
        <f t="shared" si="50"/>
        <v/>
      </c>
      <c r="V223" s="64" t="str">
        <f t="shared" si="51"/>
        <v/>
      </c>
      <c r="W223" s="65" t="str">
        <f t="shared" si="52"/>
        <v/>
      </c>
      <c r="X223" s="78" t="str">
        <f t="shared" si="53"/>
        <v/>
      </c>
      <c r="Y223" s="66" t="str">
        <f t="shared" si="54"/>
        <v/>
      </c>
      <c r="Z223" s="66" t="str">
        <f t="shared" si="55"/>
        <v/>
      </c>
      <c r="AA223" s="67" t="str">
        <f t="shared" si="56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43"/>
        <v/>
      </c>
      <c r="M224" s="62" t="str">
        <f t="shared" si="29"/>
        <v/>
      </c>
      <c r="N224" s="62" t="str">
        <f t="shared" si="30"/>
        <v/>
      </c>
      <c r="O224" s="63" t="str">
        <f t="shared" si="45"/>
        <v/>
      </c>
      <c r="P224" s="64" t="str">
        <f t="shared" si="57"/>
        <v/>
      </c>
      <c r="Q224" s="93" t="str">
        <f t="shared" si="46"/>
        <v/>
      </c>
      <c r="R224" s="94" t="str">
        <f t="shared" si="47"/>
        <v/>
      </c>
      <c r="S224" s="64" t="str">
        <f t="shared" si="48"/>
        <v/>
      </c>
      <c r="T224" s="93" t="str">
        <f t="shared" si="49"/>
        <v/>
      </c>
      <c r="U224" s="94" t="str">
        <f t="shared" si="50"/>
        <v/>
      </c>
      <c r="V224" s="64" t="str">
        <f t="shared" si="51"/>
        <v/>
      </c>
      <c r="W224" s="65" t="str">
        <f t="shared" si="52"/>
        <v/>
      </c>
      <c r="X224" s="78" t="str">
        <f t="shared" si="53"/>
        <v/>
      </c>
      <c r="Y224" s="66" t="str">
        <f t="shared" si="54"/>
        <v/>
      </c>
      <c r="Z224" s="66" t="str">
        <f t="shared" si="55"/>
        <v/>
      </c>
      <c r="AA224" s="67" t="str">
        <f t="shared" si="56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43"/>
        <v/>
      </c>
      <c r="M225" s="62" t="str">
        <f t="shared" si="29"/>
        <v/>
      </c>
      <c r="N225" s="62" t="str">
        <f t="shared" si="30"/>
        <v/>
      </c>
      <c r="O225" s="63" t="str">
        <f t="shared" si="45"/>
        <v/>
      </c>
      <c r="P225" s="64" t="str">
        <f t="shared" si="57"/>
        <v/>
      </c>
      <c r="Q225" s="93" t="str">
        <f t="shared" si="46"/>
        <v/>
      </c>
      <c r="R225" s="94" t="str">
        <f t="shared" si="47"/>
        <v/>
      </c>
      <c r="S225" s="64" t="str">
        <f t="shared" si="48"/>
        <v/>
      </c>
      <c r="T225" s="93" t="str">
        <f t="shared" si="49"/>
        <v/>
      </c>
      <c r="U225" s="94" t="str">
        <f t="shared" si="50"/>
        <v/>
      </c>
      <c r="V225" s="64" t="str">
        <f t="shared" si="51"/>
        <v/>
      </c>
      <c r="W225" s="65" t="str">
        <f t="shared" si="52"/>
        <v/>
      </c>
      <c r="X225" s="78" t="str">
        <f t="shared" si="53"/>
        <v/>
      </c>
      <c r="Y225" s="66" t="str">
        <f t="shared" si="54"/>
        <v/>
      </c>
      <c r="Z225" s="66" t="str">
        <f t="shared" si="55"/>
        <v/>
      </c>
      <c r="AA225" s="67" t="str">
        <f t="shared" si="56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43"/>
        <v/>
      </c>
      <c r="M226" s="62" t="str">
        <f t="shared" si="29"/>
        <v/>
      </c>
      <c r="N226" s="62" t="str">
        <f t="shared" si="30"/>
        <v/>
      </c>
      <c r="O226" s="63" t="str">
        <f t="shared" si="45"/>
        <v/>
      </c>
      <c r="P226" s="64" t="str">
        <f t="shared" si="57"/>
        <v/>
      </c>
      <c r="Q226" s="93" t="str">
        <f t="shared" si="46"/>
        <v/>
      </c>
      <c r="R226" s="94" t="str">
        <f t="shared" si="47"/>
        <v/>
      </c>
      <c r="S226" s="64" t="str">
        <f t="shared" si="48"/>
        <v/>
      </c>
      <c r="T226" s="93" t="str">
        <f t="shared" si="49"/>
        <v/>
      </c>
      <c r="U226" s="94" t="str">
        <f t="shared" si="50"/>
        <v/>
      </c>
      <c r="V226" s="64" t="str">
        <f t="shared" si="51"/>
        <v/>
      </c>
      <c r="W226" s="65" t="str">
        <f t="shared" si="52"/>
        <v/>
      </c>
      <c r="X226" s="78" t="str">
        <f t="shared" si="53"/>
        <v/>
      </c>
      <c r="Y226" s="66" t="str">
        <f t="shared" si="54"/>
        <v/>
      </c>
      <c r="Z226" s="66" t="str">
        <f t="shared" si="55"/>
        <v/>
      </c>
      <c r="AA226" s="67" t="str">
        <f t="shared" si="56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43"/>
        <v/>
      </c>
      <c r="M227" s="152" t="str">
        <f t="shared" si="29"/>
        <v/>
      </c>
      <c r="N227" s="152" t="str">
        <f t="shared" si="30"/>
        <v/>
      </c>
      <c r="O227" s="153" t="str">
        <f t="shared" si="45"/>
        <v/>
      </c>
      <c r="P227" s="154" t="str">
        <f t="shared" si="57"/>
        <v/>
      </c>
      <c r="Q227" s="155" t="str">
        <f t="shared" si="46"/>
        <v/>
      </c>
      <c r="R227" s="156" t="str">
        <f t="shared" si="47"/>
        <v/>
      </c>
      <c r="S227" s="154" t="str">
        <f t="shared" si="48"/>
        <v/>
      </c>
      <c r="T227" s="155" t="str">
        <f t="shared" si="49"/>
        <v/>
      </c>
      <c r="U227" s="156" t="str">
        <f t="shared" si="50"/>
        <v/>
      </c>
      <c r="V227" s="154" t="str">
        <f t="shared" si="51"/>
        <v/>
      </c>
      <c r="W227" s="157" t="str">
        <f t="shared" si="52"/>
        <v/>
      </c>
      <c r="X227" s="158">
        <f t="shared" si="53"/>
        <v>0</v>
      </c>
      <c r="Y227" s="159">
        <f t="shared" si="54"/>
        <v>0</v>
      </c>
      <c r="Z227" s="159">
        <f t="shared" si="55"/>
        <v>0</v>
      </c>
      <c r="AA227" s="160">
        <f t="shared" si="56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43"/>
        <v/>
      </c>
      <c r="M228" s="152" t="str">
        <f t="shared" si="29"/>
        <v/>
      </c>
      <c r="N228" s="152" t="str">
        <f t="shared" si="30"/>
        <v/>
      </c>
      <c r="O228" s="153" t="str">
        <f t="shared" si="45"/>
        <v/>
      </c>
      <c r="P228" s="154" t="str">
        <f t="shared" si="57"/>
        <v/>
      </c>
      <c r="Q228" s="155" t="str">
        <f t="shared" si="46"/>
        <v/>
      </c>
      <c r="R228" s="156" t="str">
        <f t="shared" si="47"/>
        <v/>
      </c>
      <c r="S228" s="154" t="str">
        <f t="shared" si="48"/>
        <v/>
      </c>
      <c r="T228" s="155" t="str">
        <f t="shared" si="49"/>
        <v/>
      </c>
      <c r="U228" s="156" t="str">
        <f t="shared" si="50"/>
        <v/>
      </c>
      <c r="V228" s="154" t="str">
        <f t="shared" si="51"/>
        <v/>
      </c>
      <c r="W228" s="157" t="str">
        <f t="shared" si="52"/>
        <v/>
      </c>
      <c r="X228" s="158">
        <f t="shared" si="53"/>
        <v>0</v>
      </c>
      <c r="Y228" s="159">
        <f t="shared" si="54"/>
        <v>0</v>
      </c>
      <c r="Z228" s="159">
        <f t="shared" si="55"/>
        <v>0</v>
      </c>
      <c r="AA228" s="160">
        <f t="shared" si="56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43"/>
        <v/>
      </c>
      <c r="M229" s="152" t="str">
        <f t="shared" si="29"/>
        <v/>
      </c>
      <c r="N229" s="152" t="str">
        <f t="shared" si="30"/>
        <v/>
      </c>
      <c r="O229" s="153" t="str">
        <f t="shared" si="45"/>
        <v/>
      </c>
      <c r="P229" s="154" t="str">
        <f t="shared" si="57"/>
        <v/>
      </c>
      <c r="Q229" s="155" t="str">
        <f t="shared" si="46"/>
        <v/>
      </c>
      <c r="R229" s="156" t="str">
        <f t="shared" si="47"/>
        <v/>
      </c>
      <c r="S229" s="154" t="str">
        <f t="shared" si="48"/>
        <v/>
      </c>
      <c r="T229" s="155" t="str">
        <f t="shared" si="49"/>
        <v/>
      </c>
      <c r="U229" s="156" t="str">
        <f t="shared" si="50"/>
        <v/>
      </c>
      <c r="V229" s="154" t="str">
        <f t="shared" si="51"/>
        <v/>
      </c>
      <c r="W229" s="157" t="str">
        <f t="shared" si="52"/>
        <v/>
      </c>
      <c r="X229" s="158">
        <f t="shared" si="53"/>
        <v>0</v>
      </c>
      <c r="Y229" s="159">
        <f t="shared" si="54"/>
        <v>0</v>
      </c>
      <c r="Z229" s="159">
        <f t="shared" si="55"/>
        <v>0</v>
      </c>
      <c r="AA229" s="160">
        <f t="shared" si="56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43"/>
        <v/>
      </c>
      <c r="M230" s="152" t="str">
        <f t="shared" si="29"/>
        <v/>
      </c>
      <c r="N230" s="152" t="str">
        <f t="shared" si="30"/>
        <v/>
      </c>
      <c r="O230" s="153" t="str">
        <f t="shared" si="45"/>
        <v/>
      </c>
      <c r="P230" s="154" t="str">
        <f t="shared" si="57"/>
        <v/>
      </c>
      <c r="Q230" s="155" t="str">
        <f t="shared" si="46"/>
        <v/>
      </c>
      <c r="R230" s="156" t="str">
        <f t="shared" si="47"/>
        <v/>
      </c>
      <c r="S230" s="154" t="str">
        <f t="shared" si="48"/>
        <v/>
      </c>
      <c r="T230" s="155" t="str">
        <f t="shared" si="49"/>
        <v/>
      </c>
      <c r="U230" s="156" t="str">
        <f t="shared" si="50"/>
        <v/>
      </c>
      <c r="V230" s="154" t="str">
        <f t="shared" si="51"/>
        <v/>
      </c>
      <c r="W230" s="157" t="str">
        <f t="shared" si="52"/>
        <v/>
      </c>
      <c r="X230" s="158">
        <f t="shared" si="53"/>
        <v>0</v>
      </c>
      <c r="Y230" s="159">
        <f t="shared" si="54"/>
        <v>0</v>
      </c>
      <c r="Z230" s="159">
        <f t="shared" si="55"/>
        <v>0</v>
      </c>
      <c r="AA230" s="160">
        <f t="shared" si="56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43"/>
        <v/>
      </c>
      <c r="M231" s="152" t="str">
        <f t="shared" si="29"/>
        <v/>
      </c>
      <c r="N231" s="152" t="str">
        <f t="shared" si="30"/>
        <v/>
      </c>
      <c r="O231" s="153" t="str">
        <f t="shared" si="45"/>
        <v/>
      </c>
      <c r="P231" s="154" t="str">
        <f t="shared" si="57"/>
        <v/>
      </c>
      <c r="Q231" s="155" t="str">
        <f t="shared" si="46"/>
        <v/>
      </c>
      <c r="R231" s="156" t="str">
        <f t="shared" si="47"/>
        <v/>
      </c>
      <c r="S231" s="154" t="str">
        <f t="shared" si="48"/>
        <v/>
      </c>
      <c r="T231" s="155" t="str">
        <f t="shared" si="49"/>
        <v/>
      </c>
      <c r="U231" s="156" t="str">
        <f t="shared" si="50"/>
        <v/>
      </c>
      <c r="V231" s="154" t="str">
        <f t="shared" si="51"/>
        <v/>
      </c>
      <c r="W231" s="157" t="str">
        <f t="shared" si="52"/>
        <v/>
      </c>
      <c r="X231" s="158">
        <f t="shared" si="53"/>
        <v>0</v>
      </c>
      <c r="Y231" s="159">
        <f t="shared" si="54"/>
        <v>0</v>
      </c>
      <c r="Z231" s="159">
        <f t="shared" si="55"/>
        <v>0</v>
      </c>
      <c r="AA231" s="160">
        <f t="shared" si="56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43"/>
        <v/>
      </c>
      <c r="M232" s="152" t="str">
        <f t="shared" si="29"/>
        <v/>
      </c>
      <c r="N232" s="152" t="str">
        <f t="shared" si="30"/>
        <v/>
      </c>
      <c r="O232" s="153" t="str">
        <f t="shared" si="45"/>
        <v/>
      </c>
      <c r="P232" s="154" t="str">
        <f t="shared" si="57"/>
        <v/>
      </c>
      <c r="Q232" s="155" t="str">
        <f t="shared" si="46"/>
        <v/>
      </c>
      <c r="R232" s="156" t="str">
        <f t="shared" si="47"/>
        <v/>
      </c>
      <c r="S232" s="154" t="str">
        <f t="shared" si="48"/>
        <v/>
      </c>
      <c r="T232" s="155" t="str">
        <f t="shared" si="49"/>
        <v/>
      </c>
      <c r="U232" s="156" t="str">
        <f t="shared" si="50"/>
        <v/>
      </c>
      <c r="V232" s="154" t="str">
        <f t="shared" si="51"/>
        <v/>
      </c>
      <c r="W232" s="157" t="str">
        <f t="shared" si="52"/>
        <v/>
      </c>
      <c r="X232" s="158">
        <f t="shared" si="53"/>
        <v>0</v>
      </c>
      <c r="Y232" s="159">
        <f t="shared" si="54"/>
        <v>0</v>
      </c>
      <c r="Z232" s="159">
        <f t="shared" si="55"/>
        <v>0</v>
      </c>
      <c r="AA232" s="160">
        <f t="shared" si="56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43"/>
        <v/>
      </c>
      <c r="M233" s="152" t="str">
        <f t="shared" si="29"/>
        <v/>
      </c>
      <c r="N233" s="152" t="str">
        <f t="shared" si="30"/>
        <v/>
      </c>
      <c r="O233" s="153" t="str">
        <f t="shared" si="45"/>
        <v/>
      </c>
      <c r="P233" s="154" t="str">
        <f t="shared" si="57"/>
        <v/>
      </c>
      <c r="Q233" s="155" t="str">
        <f t="shared" si="46"/>
        <v/>
      </c>
      <c r="R233" s="156" t="str">
        <f t="shared" si="47"/>
        <v/>
      </c>
      <c r="S233" s="154" t="str">
        <f t="shared" si="48"/>
        <v/>
      </c>
      <c r="T233" s="155" t="str">
        <f t="shared" si="49"/>
        <v/>
      </c>
      <c r="U233" s="156" t="str">
        <f t="shared" si="50"/>
        <v/>
      </c>
      <c r="V233" s="154" t="str">
        <f t="shared" si="51"/>
        <v/>
      </c>
      <c r="W233" s="157" t="str">
        <f t="shared" si="52"/>
        <v/>
      </c>
      <c r="X233" s="158">
        <f t="shared" si="53"/>
        <v>0</v>
      </c>
      <c r="Y233" s="159">
        <f t="shared" si="54"/>
        <v>0</v>
      </c>
      <c r="Z233" s="159">
        <f t="shared" si="55"/>
        <v>0</v>
      </c>
      <c r="AA233" s="160">
        <f t="shared" si="56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43"/>
        <v/>
      </c>
      <c r="M234" s="152" t="str">
        <f t="shared" si="29"/>
        <v/>
      </c>
      <c r="N234" s="152" t="str">
        <f t="shared" si="30"/>
        <v/>
      </c>
      <c r="O234" s="153" t="str">
        <f t="shared" si="45"/>
        <v/>
      </c>
      <c r="P234" s="154" t="str">
        <f t="shared" si="57"/>
        <v/>
      </c>
      <c r="Q234" s="155" t="str">
        <f t="shared" si="46"/>
        <v/>
      </c>
      <c r="R234" s="156" t="str">
        <f t="shared" si="47"/>
        <v/>
      </c>
      <c r="S234" s="154" t="str">
        <f t="shared" si="48"/>
        <v/>
      </c>
      <c r="T234" s="155" t="str">
        <f t="shared" si="49"/>
        <v/>
      </c>
      <c r="U234" s="156" t="str">
        <f t="shared" si="50"/>
        <v/>
      </c>
      <c r="V234" s="154" t="str">
        <f t="shared" si="51"/>
        <v/>
      </c>
      <c r="W234" s="157" t="str">
        <f t="shared" si="52"/>
        <v/>
      </c>
      <c r="X234" s="158">
        <f t="shared" si="53"/>
        <v>0</v>
      </c>
      <c r="Y234" s="159">
        <f t="shared" si="54"/>
        <v>0</v>
      </c>
      <c r="Z234" s="159">
        <f t="shared" si="55"/>
        <v>0</v>
      </c>
      <c r="AA234" s="160">
        <f t="shared" si="56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43"/>
        <v/>
      </c>
      <c r="M235" s="152" t="str">
        <f t="shared" si="29"/>
        <v/>
      </c>
      <c r="N235" s="152" t="str">
        <f t="shared" si="30"/>
        <v/>
      </c>
      <c r="O235" s="153" t="str">
        <f t="shared" si="45"/>
        <v/>
      </c>
      <c r="P235" s="154" t="str">
        <f t="shared" si="57"/>
        <v/>
      </c>
      <c r="Q235" s="155" t="str">
        <f t="shared" si="46"/>
        <v/>
      </c>
      <c r="R235" s="156" t="str">
        <f t="shared" si="47"/>
        <v/>
      </c>
      <c r="S235" s="154" t="str">
        <f t="shared" si="48"/>
        <v/>
      </c>
      <c r="T235" s="155" t="str">
        <f t="shared" si="49"/>
        <v/>
      </c>
      <c r="U235" s="156" t="str">
        <f t="shared" si="50"/>
        <v/>
      </c>
      <c r="V235" s="154" t="str">
        <f t="shared" si="51"/>
        <v/>
      </c>
      <c r="W235" s="157" t="str">
        <f t="shared" si="52"/>
        <v/>
      </c>
      <c r="X235" s="158">
        <f t="shared" si="53"/>
        <v>0</v>
      </c>
      <c r="Y235" s="159">
        <f t="shared" si="54"/>
        <v>0</v>
      </c>
      <c r="Z235" s="159">
        <f t="shared" si="55"/>
        <v>0</v>
      </c>
      <c r="AA235" s="160">
        <f t="shared" si="56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45"/>
        <v/>
      </c>
      <c r="P236" s="27" t="str">
        <f t="shared" si="57"/>
        <v/>
      </c>
      <c r="Q236" s="27" t="str">
        <f t="shared" si="46"/>
        <v/>
      </c>
      <c r="R236" s="27" t="str">
        <f t="shared" si="47"/>
        <v/>
      </c>
      <c r="S236" s="27" t="str">
        <f t="shared" si="48"/>
        <v/>
      </c>
      <c r="T236" s="27" t="str">
        <f t="shared" si="49"/>
        <v/>
      </c>
      <c r="U236" s="27" t="str">
        <f t="shared" si="50"/>
        <v/>
      </c>
      <c r="V236" s="27" t="str">
        <f t="shared" si="51"/>
        <v/>
      </c>
      <c r="W236" s="27" t="str">
        <f>IF($E236="","",IF(U236="yes",(V236/V$8),IF(OR(V236&lt;$U108,V236&gt;W$8),(V236/V$8))))</f>
        <v/>
      </c>
      <c r="X236" s="27" t="str">
        <f t="shared" si="53"/>
        <v/>
      </c>
      <c r="Y236" s="27" t="str">
        <f t="shared" si="54"/>
        <v/>
      </c>
      <c r="Z236" s="27" t="str">
        <f t="shared" si="55"/>
        <v/>
      </c>
      <c r="AA236" s="27" t="str">
        <f t="shared" si="56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J1:K1"/>
    <mergeCell ref="H4:I4"/>
    <mergeCell ref="H7:H8"/>
    <mergeCell ref="AA7:AA8"/>
    <mergeCell ref="F1:H1"/>
    <mergeCell ref="F2:H2"/>
    <mergeCell ref="Z7:Z8"/>
    <mergeCell ref="X7:X8"/>
    <mergeCell ref="Y7:Y8"/>
    <mergeCell ref="J7:J8"/>
    <mergeCell ref="J5:K5"/>
    <mergeCell ref="H6:I6"/>
    <mergeCell ref="J2:K2"/>
    <mergeCell ref="J3:K3"/>
    <mergeCell ref="J4:K4"/>
    <mergeCell ref="J6:K6"/>
    <mergeCell ref="G7:G8"/>
    <mergeCell ref="K7:N8"/>
    <mergeCell ref="AA9:AA10"/>
    <mergeCell ref="O9:Q9"/>
    <mergeCell ref="H9:H10"/>
    <mergeCell ref="I9:I10"/>
    <mergeCell ref="J9:J10"/>
    <mergeCell ref="X9:X10"/>
    <mergeCell ref="Y9:Y10"/>
    <mergeCell ref="R9:T9"/>
    <mergeCell ref="Z9:Z10"/>
    <mergeCell ref="U9:W9"/>
    <mergeCell ref="B1:D1"/>
    <mergeCell ref="B2:D2"/>
    <mergeCell ref="B3:D3"/>
    <mergeCell ref="D9:D10"/>
    <mergeCell ref="G9:G10"/>
    <mergeCell ref="E9:E10"/>
    <mergeCell ref="F9:F10"/>
    <mergeCell ref="C9:C10"/>
    <mergeCell ref="B9:B10"/>
    <mergeCell ref="B4:D4"/>
    <mergeCell ref="B6:C6"/>
    <mergeCell ref="B7:E8"/>
    <mergeCell ref="D6:F6"/>
    <mergeCell ref="F3:I3"/>
    <mergeCell ref="I7:I8"/>
    <mergeCell ref="F7:F8"/>
  </mergeCells>
  <phoneticPr fontId="3" type="noConversion"/>
  <conditionalFormatting sqref="R12:R235 U12:U235">
    <cfRule type="cellIs" dxfId="212" priority="4" stopIfTrue="1" operator="between">
      <formula>$R$8</formula>
      <formula>$T$8</formula>
    </cfRule>
    <cfRule type="cellIs" dxfId="211" priority="5" stopIfTrue="1" operator="equal">
      <formula>"""yes"""</formula>
    </cfRule>
    <cfRule type="cellIs" dxfId="210" priority="6" stopIfTrue="1" operator="equal">
      <formula>"NC"</formula>
    </cfRule>
  </conditionalFormatting>
  <conditionalFormatting sqref="S12:S235 P12:P235 V12:V235">
    <cfRule type="cellIs" dxfId="209" priority="7" stopIfTrue="1" operator="equal">
      <formula>"""NC"""</formula>
    </cfRule>
  </conditionalFormatting>
  <conditionalFormatting sqref="O12:O235">
    <cfRule type="cellIs" dxfId="208" priority="8" stopIfTrue="1" operator="equal">
      <formula>"NC"</formula>
    </cfRule>
  </conditionalFormatting>
  <conditionalFormatting sqref="L12:N235">
    <cfRule type="cellIs" dxfId="207" priority="9" stopIfTrue="1" operator="equal">
      <formula>"NC"</formula>
    </cfRule>
  </conditionalFormatting>
  <conditionalFormatting sqref="T12:T235">
    <cfRule type="cellIs" dxfId="206" priority="10" stopIfTrue="1" operator="between">
      <formula>0.1</formula>
      <formula>0.9</formula>
    </cfRule>
    <cfRule type="cellIs" dxfId="205" priority="11" stopIfTrue="1" operator="between">
      <formula>1.100001</formula>
      <formula>5</formula>
    </cfRule>
  </conditionalFormatting>
  <conditionalFormatting sqref="Q12:Q235 W12:W235">
    <cfRule type="cellIs" dxfId="204" priority="12" stopIfTrue="1" operator="between">
      <formula>0.1</formula>
      <formula>0.9</formula>
    </cfRule>
    <cfRule type="cellIs" dxfId="203" priority="13" stopIfTrue="1" operator="between">
      <formula>1.1000001</formula>
      <formula>5</formula>
    </cfRule>
  </conditionalFormatting>
  <conditionalFormatting sqref="O12:W226">
    <cfRule type="expression" dxfId="202" priority="2">
      <formula>$A$11&gt;0</formula>
    </cfRule>
  </conditionalFormatting>
  <conditionalFormatting sqref="L12:N226">
    <cfRule type="expression" dxfId="201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200" priority="10" stopIfTrue="1" operator="between">
      <formula>$R$8</formula>
      <formula>$T$8</formula>
    </cfRule>
    <cfRule type="cellIs" dxfId="199" priority="11" stopIfTrue="1" operator="equal">
      <formula>"""yes"""</formula>
    </cfRule>
    <cfRule type="cellIs" dxfId="198" priority="12" stopIfTrue="1" operator="equal">
      <formula>"NC"</formula>
    </cfRule>
  </conditionalFormatting>
  <conditionalFormatting sqref="S12:S235 P12:P235 V12:V235">
    <cfRule type="cellIs" dxfId="197" priority="9" stopIfTrue="1" operator="equal">
      <formula>"""NC"""</formula>
    </cfRule>
  </conditionalFormatting>
  <conditionalFormatting sqref="O12:O235">
    <cfRule type="cellIs" dxfId="196" priority="8" stopIfTrue="1" operator="equal">
      <formula>"NC"</formula>
    </cfRule>
  </conditionalFormatting>
  <conditionalFormatting sqref="L12:N235">
    <cfRule type="cellIs" dxfId="195" priority="7" stopIfTrue="1" operator="equal">
      <formula>"NC"</formula>
    </cfRule>
  </conditionalFormatting>
  <conditionalFormatting sqref="T12:T235">
    <cfRule type="cellIs" dxfId="194" priority="5" stopIfTrue="1" operator="between">
      <formula>0.1</formula>
      <formula>0.9</formula>
    </cfRule>
    <cfRule type="cellIs" dxfId="193" priority="6" stopIfTrue="1" operator="between">
      <formula>1.100001</formula>
      <formula>5</formula>
    </cfRule>
  </conditionalFormatting>
  <conditionalFormatting sqref="Q12:Q235 W12:W235">
    <cfRule type="cellIs" dxfId="192" priority="3" stopIfTrue="1" operator="between">
      <formula>0.1</formula>
      <formula>0.9</formula>
    </cfRule>
    <cfRule type="cellIs" dxfId="191" priority="4" stopIfTrue="1" operator="between">
      <formula>1.1000001</formula>
      <formula>5</formula>
    </cfRule>
  </conditionalFormatting>
  <conditionalFormatting sqref="O12:W226">
    <cfRule type="expression" dxfId="190" priority="2">
      <formula>$A$11&gt;0</formula>
    </cfRule>
  </conditionalFormatting>
  <conditionalFormatting sqref="L12:N226">
    <cfRule type="expression" dxfId="189" priority="1">
      <formula>$A$11=0</formula>
    </cfRule>
  </conditionalFormatting>
  <dataValidations count="6"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88" priority="10" stopIfTrue="1" operator="between">
      <formula>$R$8</formula>
      <formula>$T$8</formula>
    </cfRule>
    <cfRule type="cellIs" dxfId="187" priority="11" stopIfTrue="1" operator="equal">
      <formula>"""yes"""</formula>
    </cfRule>
    <cfRule type="cellIs" dxfId="186" priority="12" stopIfTrue="1" operator="equal">
      <formula>"NC"</formula>
    </cfRule>
  </conditionalFormatting>
  <conditionalFormatting sqref="S12:S235 P12:P235 V12:V235">
    <cfRule type="cellIs" dxfId="185" priority="9" stopIfTrue="1" operator="equal">
      <formula>"""NC"""</formula>
    </cfRule>
  </conditionalFormatting>
  <conditionalFormatting sqref="O12:O235">
    <cfRule type="cellIs" dxfId="184" priority="8" stopIfTrue="1" operator="equal">
      <formula>"NC"</formula>
    </cfRule>
  </conditionalFormatting>
  <conditionalFormatting sqref="L12:N235">
    <cfRule type="cellIs" dxfId="183" priority="7" stopIfTrue="1" operator="equal">
      <formula>"NC"</formula>
    </cfRule>
  </conditionalFormatting>
  <conditionalFormatting sqref="T12:T235">
    <cfRule type="cellIs" dxfId="182" priority="5" stopIfTrue="1" operator="between">
      <formula>0.1</formula>
      <formula>0.9</formula>
    </cfRule>
    <cfRule type="cellIs" dxfId="181" priority="6" stopIfTrue="1" operator="between">
      <formula>1.100001</formula>
      <formula>5</formula>
    </cfRule>
  </conditionalFormatting>
  <conditionalFormatting sqref="Q12:Q235 W12:W235">
    <cfRule type="cellIs" dxfId="180" priority="3" stopIfTrue="1" operator="between">
      <formula>0.1</formula>
      <formula>0.9</formula>
    </cfRule>
    <cfRule type="cellIs" dxfId="179" priority="4" stopIfTrue="1" operator="between">
      <formula>1.1000001</formula>
      <formula>5</formula>
    </cfRule>
  </conditionalFormatting>
  <conditionalFormatting sqref="O12:W226">
    <cfRule type="expression" dxfId="178" priority="2">
      <formula>$A$11&gt;0</formula>
    </cfRule>
  </conditionalFormatting>
  <conditionalFormatting sqref="L12:N226">
    <cfRule type="expression" dxfId="177" priority="1">
      <formula>$A$11=0</formula>
    </cfRule>
  </conditionalFormatting>
  <dataValidations count="6"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76" priority="10" stopIfTrue="1" operator="between">
      <formula>$R$8</formula>
      <formula>$T$8</formula>
    </cfRule>
    <cfRule type="cellIs" dxfId="175" priority="11" stopIfTrue="1" operator="equal">
      <formula>"""yes"""</formula>
    </cfRule>
    <cfRule type="cellIs" dxfId="174" priority="12" stopIfTrue="1" operator="equal">
      <formula>"NC"</formula>
    </cfRule>
  </conditionalFormatting>
  <conditionalFormatting sqref="S12:S235 P12:P235 V12:V235">
    <cfRule type="cellIs" dxfId="173" priority="9" stopIfTrue="1" operator="equal">
      <formula>"""NC"""</formula>
    </cfRule>
  </conditionalFormatting>
  <conditionalFormatting sqref="O12:O235">
    <cfRule type="cellIs" dxfId="172" priority="8" stopIfTrue="1" operator="equal">
      <formula>"NC"</formula>
    </cfRule>
  </conditionalFormatting>
  <conditionalFormatting sqref="L12:N235">
    <cfRule type="cellIs" dxfId="171" priority="7" stopIfTrue="1" operator="equal">
      <formula>"NC"</formula>
    </cfRule>
  </conditionalFormatting>
  <conditionalFormatting sqref="T12:T235">
    <cfRule type="cellIs" dxfId="170" priority="5" stopIfTrue="1" operator="between">
      <formula>0.1</formula>
      <formula>0.9</formula>
    </cfRule>
    <cfRule type="cellIs" dxfId="169" priority="6" stopIfTrue="1" operator="between">
      <formula>1.100001</formula>
      <formula>5</formula>
    </cfRule>
  </conditionalFormatting>
  <conditionalFormatting sqref="Q12:Q235 W12:W235">
    <cfRule type="cellIs" dxfId="168" priority="3" stopIfTrue="1" operator="between">
      <formula>0.1</formula>
      <formula>0.9</formula>
    </cfRule>
    <cfRule type="cellIs" dxfId="167" priority="4" stopIfTrue="1" operator="between">
      <formula>1.1000001</formula>
      <formula>5</formula>
    </cfRule>
  </conditionalFormatting>
  <conditionalFormatting sqref="O12:W226">
    <cfRule type="expression" dxfId="166" priority="2">
      <formula>$A$11&gt;0</formula>
    </cfRule>
  </conditionalFormatting>
  <conditionalFormatting sqref="L12:N226">
    <cfRule type="expression" dxfId="165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64" priority="10" stopIfTrue="1" operator="between">
      <formula>$R$8</formula>
      <formula>$T$8</formula>
    </cfRule>
    <cfRule type="cellIs" dxfId="163" priority="11" stopIfTrue="1" operator="equal">
      <formula>"""yes"""</formula>
    </cfRule>
    <cfRule type="cellIs" dxfId="162" priority="12" stopIfTrue="1" operator="equal">
      <formula>"NC"</formula>
    </cfRule>
  </conditionalFormatting>
  <conditionalFormatting sqref="S12:S235 P12:P235 V12:V235">
    <cfRule type="cellIs" dxfId="161" priority="9" stopIfTrue="1" operator="equal">
      <formula>"""NC"""</formula>
    </cfRule>
  </conditionalFormatting>
  <conditionalFormatting sqref="O12:O235">
    <cfRule type="cellIs" dxfId="160" priority="8" stopIfTrue="1" operator="equal">
      <formula>"NC"</formula>
    </cfRule>
  </conditionalFormatting>
  <conditionalFormatting sqref="L12:N235">
    <cfRule type="cellIs" dxfId="159" priority="7" stopIfTrue="1" operator="equal">
      <formula>"NC"</formula>
    </cfRule>
  </conditionalFormatting>
  <conditionalFormatting sqref="T12:T235">
    <cfRule type="cellIs" dxfId="158" priority="5" stopIfTrue="1" operator="between">
      <formula>0.1</formula>
      <formula>0.9</formula>
    </cfRule>
    <cfRule type="cellIs" dxfId="157" priority="6" stopIfTrue="1" operator="between">
      <formula>1.100001</formula>
      <formula>5</formula>
    </cfRule>
  </conditionalFormatting>
  <conditionalFormatting sqref="Q12:Q235 W12:W235">
    <cfRule type="cellIs" dxfId="156" priority="3" stopIfTrue="1" operator="between">
      <formula>0.1</formula>
      <formula>0.9</formula>
    </cfRule>
    <cfRule type="cellIs" dxfId="155" priority="4" stopIfTrue="1" operator="between">
      <formula>1.1000001</formula>
      <formula>5</formula>
    </cfRule>
  </conditionalFormatting>
  <conditionalFormatting sqref="O12:W226">
    <cfRule type="expression" dxfId="154" priority="2">
      <formula>$A$11&gt;0</formula>
    </cfRule>
  </conditionalFormatting>
  <conditionalFormatting sqref="L12:N226">
    <cfRule type="expression" dxfId="153" priority="1">
      <formula>$A$11=0</formula>
    </cfRule>
  </conditionalFormatting>
  <dataValidations count="6"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52" priority="10" stopIfTrue="1" operator="between">
      <formula>$R$8</formula>
      <formula>$T$8</formula>
    </cfRule>
    <cfRule type="cellIs" dxfId="151" priority="11" stopIfTrue="1" operator="equal">
      <formula>"""yes"""</formula>
    </cfRule>
    <cfRule type="cellIs" dxfId="150" priority="12" stopIfTrue="1" operator="equal">
      <formula>"NC"</formula>
    </cfRule>
  </conditionalFormatting>
  <conditionalFormatting sqref="S12:S235 P12:P235 V12:V235">
    <cfRule type="cellIs" dxfId="149" priority="9" stopIfTrue="1" operator="equal">
      <formula>"""NC"""</formula>
    </cfRule>
  </conditionalFormatting>
  <conditionalFormatting sqref="O12:O235">
    <cfRule type="cellIs" dxfId="148" priority="8" stopIfTrue="1" operator="equal">
      <formula>"NC"</formula>
    </cfRule>
  </conditionalFormatting>
  <conditionalFormatting sqref="L12:N235">
    <cfRule type="cellIs" dxfId="147" priority="7" stopIfTrue="1" operator="equal">
      <formula>"NC"</formula>
    </cfRule>
  </conditionalFormatting>
  <conditionalFormatting sqref="T12:T235">
    <cfRule type="cellIs" dxfId="146" priority="5" stopIfTrue="1" operator="between">
      <formula>0.1</formula>
      <formula>0.9</formula>
    </cfRule>
    <cfRule type="cellIs" dxfId="145" priority="6" stopIfTrue="1" operator="between">
      <formula>1.100001</formula>
      <formula>5</formula>
    </cfRule>
  </conditionalFormatting>
  <conditionalFormatting sqref="Q12:Q235 W12:W235">
    <cfRule type="cellIs" dxfId="144" priority="3" stopIfTrue="1" operator="between">
      <formula>0.1</formula>
      <formula>0.9</formula>
    </cfRule>
    <cfRule type="cellIs" dxfId="143" priority="4" stopIfTrue="1" operator="between">
      <formula>1.1000001</formula>
      <formula>5</formula>
    </cfRule>
  </conditionalFormatting>
  <conditionalFormatting sqref="O12:W226">
    <cfRule type="expression" dxfId="142" priority="2">
      <formula>$A$11&gt;0</formula>
    </cfRule>
  </conditionalFormatting>
  <conditionalFormatting sqref="L12:N226">
    <cfRule type="expression" dxfId="141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40" priority="10" stopIfTrue="1" operator="between">
      <formula>$R$8</formula>
      <formula>$T$8</formula>
    </cfRule>
    <cfRule type="cellIs" dxfId="139" priority="11" stopIfTrue="1" operator="equal">
      <formula>"""yes"""</formula>
    </cfRule>
    <cfRule type="cellIs" dxfId="138" priority="12" stopIfTrue="1" operator="equal">
      <formula>"NC"</formula>
    </cfRule>
  </conditionalFormatting>
  <conditionalFormatting sqref="S12:S235 P12:P235 V12:V235">
    <cfRule type="cellIs" dxfId="137" priority="9" stopIfTrue="1" operator="equal">
      <formula>"""NC"""</formula>
    </cfRule>
  </conditionalFormatting>
  <conditionalFormatting sqref="O12:O235">
    <cfRule type="cellIs" dxfId="136" priority="8" stopIfTrue="1" operator="equal">
      <formula>"NC"</formula>
    </cfRule>
  </conditionalFormatting>
  <conditionalFormatting sqref="L12:N235">
    <cfRule type="cellIs" dxfId="135" priority="7" stopIfTrue="1" operator="equal">
      <formula>"NC"</formula>
    </cfRule>
  </conditionalFormatting>
  <conditionalFormatting sqref="T12:T235">
    <cfRule type="cellIs" dxfId="134" priority="5" stopIfTrue="1" operator="between">
      <formula>0.1</formula>
      <formula>0.9</formula>
    </cfRule>
    <cfRule type="cellIs" dxfId="133" priority="6" stopIfTrue="1" operator="between">
      <formula>1.100001</formula>
      <formula>5</formula>
    </cfRule>
  </conditionalFormatting>
  <conditionalFormatting sqref="Q12:Q235 W12:W235">
    <cfRule type="cellIs" dxfId="132" priority="3" stopIfTrue="1" operator="between">
      <formula>0.1</formula>
      <formula>0.9</formula>
    </cfRule>
    <cfRule type="cellIs" dxfId="131" priority="4" stopIfTrue="1" operator="between">
      <formula>1.1000001</formula>
      <formula>5</formula>
    </cfRule>
  </conditionalFormatting>
  <conditionalFormatting sqref="O12:W226">
    <cfRule type="expression" dxfId="130" priority="2">
      <formula>$A$11&gt;0</formula>
    </cfRule>
  </conditionalFormatting>
  <conditionalFormatting sqref="L12:N226">
    <cfRule type="expression" dxfId="129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28" priority="10" stopIfTrue="1" operator="between">
      <formula>$R$8</formula>
      <formula>$T$8</formula>
    </cfRule>
    <cfRule type="cellIs" dxfId="127" priority="11" stopIfTrue="1" operator="equal">
      <formula>"""yes"""</formula>
    </cfRule>
    <cfRule type="cellIs" dxfId="126" priority="12" stopIfTrue="1" operator="equal">
      <formula>"NC"</formula>
    </cfRule>
  </conditionalFormatting>
  <conditionalFormatting sqref="S12:S235 P12:P235 V12:V235">
    <cfRule type="cellIs" dxfId="125" priority="9" stopIfTrue="1" operator="equal">
      <formula>"""NC"""</formula>
    </cfRule>
  </conditionalFormatting>
  <conditionalFormatting sqref="O12:O235">
    <cfRule type="cellIs" dxfId="124" priority="8" stopIfTrue="1" operator="equal">
      <formula>"NC"</formula>
    </cfRule>
  </conditionalFormatting>
  <conditionalFormatting sqref="L12:N235">
    <cfRule type="cellIs" dxfId="123" priority="7" stopIfTrue="1" operator="equal">
      <formula>"NC"</formula>
    </cfRule>
  </conditionalFormatting>
  <conditionalFormatting sqref="T12:T235">
    <cfRule type="cellIs" dxfId="122" priority="5" stopIfTrue="1" operator="between">
      <formula>0.1</formula>
      <formula>0.9</formula>
    </cfRule>
    <cfRule type="cellIs" dxfId="121" priority="6" stopIfTrue="1" operator="between">
      <formula>1.100001</formula>
      <formula>5</formula>
    </cfRule>
  </conditionalFormatting>
  <conditionalFormatting sqref="Q12:Q235 W12:W235">
    <cfRule type="cellIs" dxfId="120" priority="3" stopIfTrue="1" operator="between">
      <formula>0.1</formula>
      <formula>0.9</formula>
    </cfRule>
    <cfRule type="cellIs" dxfId="119" priority="4" stopIfTrue="1" operator="between">
      <formula>1.1000001</formula>
      <formula>5</formula>
    </cfRule>
  </conditionalFormatting>
  <conditionalFormatting sqref="O12:W226">
    <cfRule type="expression" dxfId="118" priority="2">
      <formula>$A$11&gt;0</formula>
    </cfRule>
  </conditionalFormatting>
  <conditionalFormatting sqref="L12:N226">
    <cfRule type="expression" dxfId="117" priority="1">
      <formula>$A$11=0</formula>
    </cfRule>
  </conditionalFormatting>
  <dataValidations count="6"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16" priority="10" stopIfTrue="1" operator="between">
      <formula>$R$8</formula>
      <formula>$T$8</formula>
    </cfRule>
    <cfRule type="cellIs" dxfId="115" priority="11" stopIfTrue="1" operator="equal">
      <formula>"""yes"""</formula>
    </cfRule>
    <cfRule type="cellIs" dxfId="114" priority="12" stopIfTrue="1" operator="equal">
      <formula>"NC"</formula>
    </cfRule>
  </conditionalFormatting>
  <conditionalFormatting sqref="S12:S235 P12:P235 V12:V235">
    <cfRule type="cellIs" dxfId="113" priority="9" stopIfTrue="1" operator="equal">
      <formula>"""NC"""</formula>
    </cfRule>
  </conditionalFormatting>
  <conditionalFormatting sqref="O12:O235">
    <cfRule type="cellIs" dxfId="112" priority="8" stopIfTrue="1" operator="equal">
      <formula>"NC"</formula>
    </cfRule>
  </conditionalFormatting>
  <conditionalFormatting sqref="L12:N235">
    <cfRule type="cellIs" dxfId="111" priority="7" stopIfTrue="1" operator="equal">
      <formula>"NC"</formula>
    </cfRule>
  </conditionalFormatting>
  <conditionalFormatting sqref="T12:T235">
    <cfRule type="cellIs" dxfId="110" priority="5" stopIfTrue="1" operator="between">
      <formula>0.1</formula>
      <formula>0.9</formula>
    </cfRule>
    <cfRule type="cellIs" dxfId="109" priority="6" stopIfTrue="1" operator="between">
      <formula>1.100001</formula>
      <formula>5</formula>
    </cfRule>
  </conditionalFormatting>
  <conditionalFormatting sqref="Q12:Q235 W12:W235">
    <cfRule type="cellIs" dxfId="108" priority="3" stopIfTrue="1" operator="between">
      <formula>0.1</formula>
      <formula>0.9</formula>
    </cfRule>
    <cfRule type="cellIs" dxfId="107" priority="4" stopIfTrue="1" operator="between">
      <formula>1.1000001</formula>
      <formula>5</formula>
    </cfRule>
  </conditionalFormatting>
  <conditionalFormatting sqref="O12:W226">
    <cfRule type="expression" dxfId="106" priority="2">
      <formula>$A$11&gt;0</formula>
    </cfRule>
  </conditionalFormatting>
  <conditionalFormatting sqref="L12:N226">
    <cfRule type="expression" dxfId="105" priority="1">
      <formula>$A$11=0</formula>
    </cfRule>
  </conditionalFormatting>
  <dataValidations count="6"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04" priority="10" stopIfTrue="1" operator="between">
      <formula>$R$8</formula>
      <formula>$T$8</formula>
    </cfRule>
    <cfRule type="cellIs" dxfId="103" priority="11" stopIfTrue="1" operator="equal">
      <formula>"""yes"""</formula>
    </cfRule>
    <cfRule type="cellIs" dxfId="102" priority="12" stopIfTrue="1" operator="equal">
      <formula>"NC"</formula>
    </cfRule>
  </conditionalFormatting>
  <conditionalFormatting sqref="S12:S235 P12:P235 V12:V235">
    <cfRule type="cellIs" dxfId="101" priority="9" stopIfTrue="1" operator="equal">
      <formula>"""NC"""</formula>
    </cfRule>
  </conditionalFormatting>
  <conditionalFormatting sqref="O12:O235">
    <cfRule type="cellIs" dxfId="100" priority="8" stopIfTrue="1" operator="equal">
      <formula>"NC"</formula>
    </cfRule>
  </conditionalFormatting>
  <conditionalFormatting sqref="L12:N235">
    <cfRule type="cellIs" dxfId="99" priority="7" stopIfTrue="1" operator="equal">
      <formula>"NC"</formula>
    </cfRule>
  </conditionalFormatting>
  <conditionalFormatting sqref="T12:T235">
    <cfRule type="cellIs" dxfId="98" priority="5" stopIfTrue="1" operator="between">
      <formula>0.1</formula>
      <formula>0.9</formula>
    </cfRule>
    <cfRule type="cellIs" dxfId="97" priority="6" stopIfTrue="1" operator="between">
      <formula>1.100001</formula>
      <formula>5</formula>
    </cfRule>
  </conditionalFormatting>
  <conditionalFormatting sqref="Q12:Q235 W12:W235">
    <cfRule type="cellIs" dxfId="96" priority="3" stopIfTrue="1" operator="between">
      <formula>0.1</formula>
      <formula>0.9</formula>
    </cfRule>
    <cfRule type="cellIs" dxfId="95" priority="4" stopIfTrue="1" operator="between">
      <formula>1.1000001</formula>
      <formula>5</formula>
    </cfRule>
  </conditionalFormatting>
  <conditionalFormatting sqref="O12:W226">
    <cfRule type="expression" dxfId="94" priority="2">
      <formula>$A$11&gt;0</formula>
    </cfRule>
  </conditionalFormatting>
  <conditionalFormatting sqref="L12:N226">
    <cfRule type="expression" dxfId="93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92" priority="10" stopIfTrue="1" operator="between">
      <formula>$R$8</formula>
      <formula>$T$8</formula>
    </cfRule>
    <cfRule type="cellIs" dxfId="91" priority="11" stopIfTrue="1" operator="equal">
      <formula>"""yes"""</formula>
    </cfRule>
    <cfRule type="cellIs" dxfId="90" priority="12" stopIfTrue="1" operator="equal">
      <formula>"NC"</formula>
    </cfRule>
  </conditionalFormatting>
  <conditionalFormatting sqref="S12:S235 P12:P235 V12:V235">
    <cfRule type="cellIs" dxfId="89" priority="9" stopIfTrue="1" operator="equal">
      <formula>"""NC"""</formula>
    </cfRule>
  </conditionalFormatting>
  <conditionalFormatting sqref="O12:O235">
    <cfRule type="cellIs" dxfId="88" priority="8" stopIfTrue="1" operator="equal">
      <formula>"NC"</formula>
    </cfRule>
  </conditionalFormatting>
  <conditionalFormatting sqref="L12:N235">
    <cfRule type="cellIs" dxfId="87" priority="7" stopIfTrue="1" operator="equal">
      <formula>"NC"</formula>
    </cfRule>
  </conditionalFormatting>
  <conditionalFormatting sqref="T12:T235">
    <cfRule type="cellIs" dxfId="86" priority="5" stopIfTrue="1" operator="between">
      <formula>0.1</formula>
      <formula>0.9</formula>
    </cfRule>
    <cfRule type="cellIs" dxfId="85" priority="6" stopIfTrue="1" operator="between">
      <formula>1.100001</formula>
      <formula>5</formula>
    </cfRule>
  </conditionalFormatting>
  <conditionalFormatting sqref="Q12:Q235 W12:W235">
    <cfRule type="cellIs" dxfId="84" priority="3" stopIfTrue="1" operator="between">
      <formula>0.1</formula>
      <formula>0.9</formula>
    </cfRule>
    <cfRule type="cellIs" dxfId="83" priority="4" stopIfTrue="1" operator="between">
      <formula>1.1000001</formula>
      <formula>5</formula>
    </cfRule>
  </conditionalFormatting>
  <conditionalFormatting sqref="O12:W226">
    <cfRule type="expression" dxfId="82" priority="2">
      <formula>$A$11&gt;0</formula>
    </cfRule>
  </conditionalFormatting>
  <conditionalFormatting sqref="L12:N226">
    <cfRule type="expression" dxfId="81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80" priority="10" stopIfTrue="1" operator="between">
      <formula>$R$8</formula>
      <formula>$T$8</formula>
    </cfRule>
    <cfRule type="cellIs" dxfId="79" priority="11" stopIfTrue="1" operator="equal">
      <formula>"""yes"""</formula>
    </cfRule>
    <cfRule type="cellIs" dxfId="78" priority="12" stopIfTrue="1" operator="equal">
      <formula>"NC"</formula>
    </cfRule>
  </conditionalFormatting>
  <conditionalFormatting sqref="S12:S235 P12:P235 V12:V235">
    <cfRule type="cellIs" dxfId="77" priority="9" stopIfTrue="1" operator="equal">
      <formula>"""NC"""</formula>
    </cfRule>
  </conditionalFormatting>
  <conditionalFormatting sqref="O12:O235">
    <cfRule type="cellIs" dxfId="76" priority="8" stopIfTrue="1" operator="equal">
      <formula>"NC"</formula>
    </cfRule>
  </conditionalFormatting>
  <conditionalFormatting sqref="L12:N235">
    <cfRule type="cellIs" dxfId="75" priority="7" stopIfTrue="1" operator="equal">
      <formula>"NC"</formula>
    </cfRule>
  </conditionalFormatting>
  <conditionalFormatting sqref="T12:T235">
    <cfRule type="cellIs" dxfId="74" priority="5" stopIfTrue="1" operator="between">
      <formula>0.1</formula>
      <formula>0.9</formula>
    </cfRule>
    <cfRule type="cellIs" dxfId="73" priority="6" stopIfTrue="1" operator="between">
      <formula>1.100001</formula>
      <formula>5</formula>
    </cfRule>
  </conditionalFormatting>
  <conditionalFormatting sqref="Q12:Q235 W12:W235">
    <cfRule type="cellIs" dxfId="72" priority="3" stopIfTrue="1" operator="between">
      <formula>0.1</formula>
      <formula>0.9</formula>
    </cfRule>
    <cfRule type="cellIs" dxfId="71" priority="4" stopIfTrue="1" operator="between">
      <formula>1.1000001</formula>
      <formula>5</formula>
    </cfRule>
  </conditionalFormatting>
  <conditionalFormatting sqref="O12:W226">
    <cfRule type="expression" dxfId="70" priority="2">
      <formula>$A$11&gt;0</formula>
    </cfRule>
  </conditionalFormatting>
  <conditionalFormatting sqref="L12:N226">
    <cfRule type="expression" dxfId="69" priority="1">
      <formula>$A$11=0</formula>
    </cfRule>
  </conditionalFormatting>
  <dataValidations count="6"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68" priority="10" stopIfTrue="1" operator="between">
      <formula>$R$8</formula>
      <formula>$T$8</formula>
    </cfRule>
    <cfRule type="cellIs" dxfId="67" priority="11" stopIfTrue="1" operator="equal">
      <formula>"""yes"""</formula>
    </cfRule>
    <cfRule type="cellIs" dxfId="66" priority="12" stopIfTrue="1" operator="equal">
      <formula>"NC"</formula>
    </cfRule>
  </conditionalFormatting>
  <conditionalFormatting sqref="S12:S235 P12:P235 V12:V235">
    <cfRule type="cellIs" dxfId="65" priority="9" stopIfTrue="1" operator="equal">
      <formula>"""NC"""</formula>
    </cfRule>
  </conditionalFormatting>
  <conditionalFormatting sqref="O12:O235">
    <cfRule type="cellIs" dxfId="64" priority="8" stopIfTrue="1" operator="equal">
      <formula>"NC"</formula>
    </cfRule>
  </conditionalFormatting>
  <conditionalFormatting sqref="L12:N235">
    <cfRule type="cellIs" dxfId="63" priority="7" stopIfTrue="1" operator="equal">
      <formula>"NC"</formula>
    </cfRule>
  </conditionalFormatting>
  <conditionalFormatting sqref="T12:T235">
    <cfRule type="cellIs" dxfId="62" priority="5" stopIfTrue="1" operator="between">
      <formula>0.1</formula>
      <formula>0.9</formula>
    </cfRule>
    <cfRule type="cellIs" dxfId="61" priority="6" stopIfTrue="1" operator="between">
      <formula>1.100001</formula>
      <formula>5</formula>
    </cfRule>
  </conditionalFormatting>
  <conditionalFormatting sqref="Q12:Q235 W12:W235">
    <cfRule type="cellIs" dxfId="60" priority="3" stopIfTrue="1" operator="between">
      <formula>0.1</formula>
      <formula>0.9</formula>
    </cfRule>
    <cfRule type="cellIs" dxfId="59" priority="4" stopIfTrue="1" operator="between">
      <formula>1.1000001</formula>
      <formula>5</formula>
    </cfRule>
  </conditionalFormatting>
  <conditionalFormatting sqref="O12:W226">
    <cfRule type="expression" dxfId="58" priority="2">
      <formula>$A$11&gt;0</formula>
    </cfRule>
  </conditionalFormatting>
  <conditionalFormatting sqref="L12:N226">
    <cfRule type="expression" dxfId="57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56" priority="10" stopIfTrue="1" operator="between">
      <formula>$R$8</formula>
      <formula>$T$8</formula>
    </cfRule>
    <cfRule type="cellIs" dxfId="55" priority="11" stopIfTrue="1" operator="equal">
      <formula>"""yes"""</formula>
    </cfRule>
    <cfRule type="cellIs" dxfId="54" priority="12" stopIfTrue="1" operator="equal">
      <formula>"NC"</formula>
    </cfRule>
  </conditionalFormatting>
  <conditionalFormatting sqref="S12:S235 P12:P235 V12:V235">
    <cfRule type="cellIs" dxfId="53" priority="9" stopIfTrue="1" operator="equal">
      <formula>"""NC"""</formula>
    </cfRule>
  </conditionalFormatting>
  <conditionalFormatting sqref="O12:O235">
    <cfRule type="cellIs" dxfId="52" priority="8" stopIfTrue="1" operator="equal">
      <formula>"NC"</formula>
    </cfRule>
  </conditionalFormatting>
  <conditionalFormatting sqref="L12:N235">
    <cfRule type="cellIs" dxfId="51" priority="7" stopIfTrue="1" operator="equal">
      <formula>"NC"</formula>
    </cfRule>
  </conditionalFormatting>
  <conditionalFormatting sqref="T12:T235">
    <cfRule type="cellIs" dxfId="50" priority="5" stopIfTrue="1" operator="between">
      <formula>0.1</formula>
      <formula>0.9</formula>
    </cfRule>
    <cfRule type="cellIs" dxfId="49" priority="6" stopIfTrue="1" operator="between">
      <formula>1.100001</formula>
      <formula>5</formula>
    </cfRule>
  </conditionalFormatting>
  <conditionalFormatting sqref="Q12:Q235 W12:W235">
    <cfRule type="cellIs" dxfId="48" priority="3" stopIfTrue="1" operator="between">
      <formula>0.1</formula>
      <formula>0.9</formula>
    </cfRule>
    <cfRule type="cellIs" dxfId="47" priority="4" stopIfTrue="1" operator="between">
      <formula>1.1000001</formula>
      <formula>5</formula>
    </cfRule>
  </conditionalFormatting>
  <conditionalFormatting sqref="O12:W226">
    <cfRule type="expression" dxfId="46" priority="2">
      <formula>$A$11&gt;0</formula>
    </cfRule>
  </conditionalFormatting>
  <conditionalFormatting sqref="L12:N226">
    <cfRule type="expression" dxfId="45" priority="1">
      <formula>$A$11=0</formula>
    </cfRule>
  </conditionalFormatting>
  <dataValidations count="6"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44" priority="10" stopIfTrue="1" operator="between">
      <formula>$R$8</formula>
      <formula>$T$8</formula>
    </cfRule>
    <cfRule type="cellIs" dxfId="43" priority="11" stopIfTrue="1" operator="equal">
      <formula>"""yes"""</formula>
    </cfRule>
    <cfRule type="cellIs" dxfId="42" priority="12" stopIfTrue="1" operator="equal">
      <formula>"NC"</formula>
    </cfRule>
  </conditionalFormatting>
  <conditionalFormatting sqref="S12:S235 P12:P235 V12:V235">
    <cfRule type="cellIs" dxfId="41" priority="9" stopIfTrue="1" operator="equal">
      <formula>"""NC"""</formula>
    </cfRule>
  </conditionalFormatting>
  <conditionalFormatting sqref="O12:O235">
    <cfRule type="cellIs" dxfId="40" priority="8" stopIfTrue="1" operator="equal">
      <formula>"NC"</formula>
    </cfRule>
  </conditionalFormatting>
  <conditionalFormatting sqref="L12:N235">
    <cfRule type="cellIs" dxfId="39" priority="7" stopIfTrue="1" operator="equal">
      <formula>"NC"</formula>
    </cfRule>
  </conditionalFormatting>
  <conditionalFormatting sqref="T12:T235">
    <cfRule type="cellIs" dxfId="38" priority="5" stopIfTrue="1" operator="between">
      <formula>0.1</formula>
      <formula>0.9</formula>
    </cfRule>
    <cfRule type="cellIs" dxfId="37" priority="6" stopIfTrue="1" operator="between">
      <formula>1.100001</formula>
      <formula>5</formula>
    </cfRule>
  </conditionalFormatting>
  <conditionalFormatting sqref="Q12:Q235 W12:W235">
    <cfRule type="cellIs" dxfId="36" priority="3" stopIfTrue="1" operator="between">
      <formula>0.1</formula>
      <formula>0.9</formula>
    </cfRule>
    <cfRule type="cellIs" dxfId="35" priority="4" stopIfTrue="1" operator="between">
      <formula>1.1000001</formula>
      <formula>5</formula>
    </cfRule>
  </conditionalFormatting>
  <conditionalFormatting sqref="O12:W226">
    <cfRule type="expression" dxfId="34" priority="2">
      <formula>$A$11&gt;0</formula>
    </cfRule>
  </conditionalFormatting>
  <conditionalFormatting sqref="L12:N226">
    <cfRule type="expression" dxfId="33" priority="1">
      <formula>$A$11=0</formula>
    </cfRule>
  </conditionalFormatting>
  <dataValidations count="6"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27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3.44140625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177" t="s">
        <v>19</v>
      </c>
      <c r="C1" s="178"/>
      <c r="D1" s="178"/>
      <c r="E1" s="79"/>
      <c r="F1" s="200" t="s">
        <v>54</v>
      </c>
      <c r="G1" s="200"/>
      <c r="H1" s="200"/>
      <c r="I1" s="80"/>
      <c r="J1" s="245" t="s">
        <v>79</v>
      </c>
      <c r="K1" s="246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179" t="s">
        <v>110</v>
      </c>
      <c r="C2" s="180"/>
      <c r="D2" s="180"/>
      <c r="E2" s="36"/>
      <c r="F2" s="201" t="s">
        <v>111</v>
      </c>
      <c r="G2" s="201"/>
      <c r="H2" s="201"/>
      <c r="I2" s="105"/>
      <c r="J2" s="245" t="s">
        <v>80</v>
      </c>
      <c r="K2" s="247"/>
      <c r="L2" s="70">
        <f>COUNTA($C$12:$C$236)</f>
        <v>0</v>
      </c>
      <c r="M2" s="70">
        <f>COUNTA($C$12:$C$236)</f>
        <v>0</v>
      </c>
      <c r="N2" s="70">
        <f>COUNTA($C$12:$C$236)</f>
        <v>0</v>
      </c>
      <c r="O2" s="70"/>
      <c r="P2" s="70">
        <f>COUNTA($C$12:$C$236)</f>
        <v>0</v>
      </c>
      <c r="Q2" s="86"/>
      <c r="R2" s="122"/>
      <c r="S2" s="70">
        <f>COUNTA($C$12:$C$236)</f>
        <v>0</v>
      </c>
      <c r="T2" s="86"/>
      <c r="U2" s="122"/>
      <c r="V2" s="70">
        <f>COUNTA($C$12:$C$236)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181" t="s">
        <v>115</v>
      </c>
      <c r="C3" s="182"/>
      <c r="D3" s="182"/>
      <c r="E3" s="38"/>
      <c r="F3" s="255" t="s">
        <v>116</v>
      </c>
      <c r="G3" s="256"/>
      <c r="H3" s="256"/>
      <c r="I3" s="257"/>
      <c r="J3" s="243" t="s">
        <v>81</v>
      </c>
      <c r="K3" s="244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02" t="s">
        <v>73</v>
      </c>
      <c r="I4" s="202"/>
      <c r="J4" s="243" t="s">
        <v>82</v>
      </c>
      <c r="K4" s="244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243" t="s">
        <v>83</v>
      </c>
      <c r="K5" s="244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198" t="s">
        <v>55</v>
      </c>
      <c r="C6" s="199"/>
      <c r="D6" s="252"/>
      <c r="E6" s="253"/>
      <c r="F6" s="254"/>
      <c r="G6" s="104"/>
      <c r="H6" s="258"/>
      <c r="I6" s="259"/>
      <c r="J6" s="243" t="s">
        <v>84</v>
      </c>
      <c r="K6" s="244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7"/>
      <c r="C7" s="218"/>
      <c r="D7" s="218"/>
      <c r="E7" s="219"/>
      <c r="F7" s="194" t="s">
        <v>9</v>
      </c>
      <c r="G7" s="196" t="s">
        <v>9</v>
      </c>
      <c r="H7" s="194" t="s">
        <v>1</v>
      </c>
      <c r="I7" s="195" t="s">
        <v>2</v>
      </c>
      <c r="J7" s="248" t="s">
        <v>46</v>
      </c>
      <c r="K7" s="211"/>
      <c r="L7" s="212"/>
      <c r="M7" s="212"/>
      <c r="N7" s="213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3" t="s">
        <v>58</v>
      </c>
      <c r="Y7" s="203" t="s">
        <v>57</v>
      </c>
      <c r="Z7" s="203" t="s">
        <v>57</v>
      </c>
      <c r="AA7" s="203" t="s">
        <v>57</v>
      </c>
    </row>
    <row r="8" spans="1:27" s="1" customFormat="1" ht="23.25" customHeight="1">
      <c r="A8" s="165">
        <f>COUNTIF(E$12:E$226,"Y")</f>
        <v>0</v>
      </c>
      <c r="B8" s="220"/>
      <c r="C8" s="221"/>
      <c r="D8" s="221"/>
      <c r="E8" s="222"/>
      <c r="F8" s="195"/>
      <c r="G8" s="197"/>
      <c r="H8" s="195"/>
      <c r="I8" s="195"/>
      <c r="J8" s="248"/>
      <c r="K8" s="214"/>
      <c r="L8" s="215"/>
      <c r="M8" s="215"/>
      <c r="N8" s="216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4"/>
      <c r="Y8" s="204"/>
      <c r="Z8" s="204"/>
      <c r="AA8" s="204"/>
    </row>
    <row r="9" spans="1:27" s="6" customFormat="1" ht="16.5" customHeight="1" thickBot="1">
      <c r="A9" s="166"/>
      <c r="B9" s="209" t="s">
        <v>50</v>
      </c>
      <c r="C9" s="207" t="s">
        <v>51</v>
      </c>
      <c r="D9" s="183" t="s">
        <v>0</v>
      </c>
      <c r="E9" s="249" t="s">
        <v>117</v>
      </c>
      <c r="F9" s="231" t="s">
        <v>49</v>
      </c>
      <c r="G9" s="185" t="s">
        <v>59</v>
      </c>
      <c r="H9" s="231" t="s">
        <v>60</v>
      </c>
      <c r="I9" s="233" t="s">
        <v>86</v>
      </c>
      <c r="J9" s="233" t="s">
        <v>61</v>
      </c>
      <c r="K9" s="98"/>
      <c r="L9" s="85" t="s">
        <v>3</v>
      </c>
      <c r="M9" s="85" t="s">
        <v>4</v>
      </c>
      <c r="N9" s="85" t="s">
        <v>5</v>
      </c>
      <c r="O9" s="229" t="s">
        <v>6</v>
      </c>
      <c r="P9" s="229"/>
      <c r="Q9" s="230"/>
      <c r="R9" s="240" t="s">
        <v>7</v>
      </c>
      <c r="S9" s="206"/>
      <c r="T9" s="241"/>
      <c r="U9" s="205" t="s">
        <v>8</v>
      </c>
      <c r="V9" s="206"/>
      <c r="W9" s="206"/>
      <c r="X9" s="236" t="s">
        <v>68</v>
      </c>
      <c r="Y9" s="238" t="s">
        <v>69</v>
      </c>
      <c r="Z9" s="238" t="s">
        <v>70</v>
      </c>
      <c r="AA9" s="227" t="s">
        <v>71</v>
      </c>
    </row>
    <row r="10" spans="1:27" s="6" customFormat="1" ht="102.75" customHeight="1">
      <c r="A10" s="165" t="s">
        <v>114</v>
      </c>
      <c r="B10" s="210"/>
      <c r="C10" s="208"/>
      <c r="D10" s="184"/>
      <c r="E10" s="188"/>
      <c r="F10" s="242"/>
      <c r="G10" s="186"/>
      <c r="H10" s="232"/>
      <c r="I10" s="234"/>
      <c r="J10" s="235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237"/>
      <c r="Y10" s="239"/>
      <c r="Z10" s="239"/>
      <c r="AA10" s="228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4"/>
      <c r="D12" s="32"/>
      <c r="E12" s="175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6"/>
      <c r="D13" s="102"/>
      <c r="E13" s="108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6"/>
      <c r="D14" s="102"/>
      <c r="E14" s="108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6"/>
      <c r="D15" s="102"/>
      <c r="E15" s="108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6"/>
      <c r="D16" s="102"/>
      <c r="E16" s="108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6"/>
      <c r="D17" s="102"/>
      <c r="E17" s="108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6"/>
      <c r="D18" s="102"/>
      <c r="E18" s="108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6"/>
      <c r="D19" s="102"/>
      <c r="E19" s="108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6"/>
      <c r="D20" s="102"/>
      <c r="E20" s="108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6"/>
      <c r="D21" s="102"/>
      <c r="E21" s="108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6"/>
      <c r="D22" s="102"/>
      <c r="E22" s="108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6"/>
      <c r="D23" s="102"/>
      <c r="E23" s="108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6"/>
      <c r="D24" s="102"/>
      <c r="E24" s="108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6"/>
      <c r="D25" s="102"/>
      <c r="E25" s="108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6"/>
      <c r="D26" s="102"/>
      <c r="E26" s="108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6"/>
      <c r="D27" s="102"/>
      <c r="E27" s="108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2"/>
      <c r="D28" s="172"/>
      <c r="E28" s="172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2"/>
      <c r="D29" s="172"/>
      <c r="E29" s="172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2"/>
      <c r="D30" s="172"/>
      <c r="E30" s="172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2"/>
      <c r="D31" s="172"/>
      <c r="E31" s="172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2"/>
      <c r="D32" s="172"/>
      <c r="E32" s="172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2"/>
      <c r="D33" s="172"/>
      <c r="E33" s="172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2"/>
      <c r="D34" s="172"/>
      <c r="E34" s="172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2"/>
      <c r="D35" s="172"/>
      <c r="E35" s="172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2"/>
      <c r="D36" s="172"/>
      <c r="E36" s="172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2"/>
      <c r="D37" s="172"/>
      <c r="E37" s="172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2"/>
      <c r="D38" s="172"/>
      <c r="E38" s="172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2"/>
      <c r="D39" s="172"/>
      <c r="E39" s="172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2"/>
      <c r="D40" s="172"/>
      <c r="E40" s="172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2"/>
      <c r="D41" s="172"/>
      <c r="E41" s="172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2"/>
      <c r="D42" s="172"/>
      <c r="E42" s="172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2"/>
      <c r="D43" s="172"/>
      <c r="E43" s="172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2"/>
      <c r="D44" s="172"/>
      <c r="E44" s="172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2"/>
      <c r="D45" s="172"/>
      <c r="E45" s="172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2"/>
      <c r="D46" s="172"/>
      <c r="E46" s="172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2"/>
      <c r="D47" s="172"/>
      <c r="E47" s="172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2"/>
      <c r="D48" s="172"/>
      <c r="E48" s="172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2"/>
      <c r="D49" s="172"/>
      <c r="E49" s="172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2"/>
      <c r="D50" s="172"/>
      <c r="E50" s="172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2"/>
      <c r="D51" s="172"/>
      <c r="E51" s="172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2"/>
      <c r="D52" s="172"/>
      <c r="E52" s="172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2"/>
      <c r="D53" s="172"/>
      <c r="E53" s="172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2"/>
      <c r="D54" s="172"/>
      <c r="E54" s="172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2"/>
      <c r="D55" s="172"/>
      <c r="E55" s="172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2"/>
      <c r="D56" s="172"/>
      <c r="E56" s="172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2"/>
      <c r="D57" s="172"/>
      <c r="E57" s="172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2"/>
      <c r="D58" s="172"/>
      <c r="E58" s="172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2"/>
      <c r="D59" s="172"/>
      <c r="E59" s="172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2"/>
      <c r="D60" s="172"/>
      <c r="E60" s="172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2"/>
      <c r="D61" s="172"/>
      <c r="E61" s="172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2"/>
      <c r="D62" s="172"/>
      <c r="E62" s="172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2"/>
      <c r="D63" s="172"/>
      <c r="E63" s="172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2"/>
      <c r="D64" s="172"/>
      <c r="E64" s="172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2"/>
      <c r="D65" s="172"/>
      <c r="E65" s="172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2"/>
      <c r="D66" s="172"/>
      <c r="E66" s="172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2"/>
      <c r="D67" s="172"/>
      <c r="E67" s="172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2"/>
      <c r="D68" s="172"/>
      <c r="E68" s="172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2"/>
      <c r="D69" s="172"/>
      <c r="E69" s="172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2"/>
      <c r="D70" s="172"/>
      <c r="E70" s="172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2"/>
      <c r="D71" s="172"/>
      <c r="E71" s="172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2"/>
      <c r="D72" s="172"/>
      <c r="E72" s="172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2"/>
      <c r="D73" s="172"/>
      <c r="E73" s="172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2"/>
      <c r="D74" s="172"/>
      <c r="E74" s="172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2"/>
      <c r="D75" s="172"/>
      <c r="E75" s="172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2"/>
      <c r="D76" s="172"/>
      <c r="E76" s="172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2"/>
      <c r="D77" s="172"/>
      <c r="E77" s="172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2"/>
      <c r="D78" s="172"/>
      <c r="E78" s="172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2"/>
      <c r="D79" s="172"/>
      <c r="E79" s="172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2"/>
      <c r="D80" s="172"/>
      <c r="E80" s="172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2"/>
      <c r="D81" s="172"/>
      <c r="E81" s="172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2"/>
      <c r="D82" s="172"/>
      <c r="E82" s="172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2"/>
      <c r="D83" s="172"/>
      <c r="E83" s="172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2"/>
      <c r="D84" s="172"/>
      <c r="E84" s="172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2"/>
      <c r="D85" s="172"/>
      <c r="E85" s="172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2"/>
      <c r="D86" s="172"/>
      <c r="E86" s="172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2"/>
      <c r="D87" s="172"/>
      <c r="E87" s="172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2"/>
      <c r="D88" s="172"/>
      <c r="E88" s="172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2"/>
      <c r="D89" s="172"/>
      <c r="E89" s="172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2"/>
      <c r="D90" s="172"/>
      <c r="E90" s="172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2"/>
      <c r="D91" s="172"/>
      <c r="E91" s="172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2"/>
      <c r="D92" s="172"/>
      <c r="E92" s="172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2"/>
      <c r="D93" s="172"/>
      <c r="E93" s="172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2"/>
      <c r="D94" s="172"/>
      <c r="E94" s="172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2"/>
      <c r="D95" s="172"/>
      <c r="E95" s="172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2"/>
      <c r="D96" s="172"/>
      <c r="E96" s="172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2"/>
      <c r="D97" s="172"/>
      <c r="E97" s="172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2"/>
      <c r="D98" s="172"/>
      <c r="E98" s="172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2"/>
      <c r="D99" s="172"/>
      <c r="E99" s="172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2"/>
      <c r="D100" s="172"/>
      <c r="E100" s="172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2"/>
      <c r="D101" s="172"/>
      <c r="E101" s="172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2"/>
      <c r="D102" s="172"/>
      <c r="E102" s="172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2"/>
      <c r="D103" s="172"/>
      <c r="E103" s="172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2"/>
      <c r="D104" s="172"/>
      <c r="E104" s="172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2"/>
      <c r="D105" s="172"/>
      <c r="E105" s="172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2"/>
      <c r="D106" s="172"/>
      <c r="E106" s="172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2"/>
      <c r="D107" s="172"/>
      <c r="E107" s="172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2"/>
      <c r="D108" s="172"/>
      <c r="E108" s="172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2"/>
      <c r="D109" s="172"/>
      <c r="E109" s="172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2"/>
      <c r="D110" s="172"/>
      <c r="E110" s="172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2"/>
      <c r="D111" s="172"/>
      <c r="E111" s="172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2"/>
      <c r="D112" s="172"/>
      <c r="E112" s="172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2"/>
      <c r="D113" s="172"/>
      <c r="E113" s="172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2"/>
      <c r="D114" s="172"/>
      <c r="E114" s="172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2"/>
      <c r="D115" s="172"/>
      <c r="E115" s="172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2"/>
      <c r="D116" s="172"/>
      <c r="E116" s="172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2"/>
      <c r="D117" s="172"/>
      <c r="E117" s="172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2"/>
      <c r="D118" s="172"/>
      <c r="E118" s="172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2"/>
      <c r="D119" s="172"/>
      <c r="E119" s="172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2"/>
      <c r="D120" s="172"/>
      <c r="E120" s="172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2"/>
      <c r="D121" s="172"/>
      <c r="E121" s="172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2"/>
      <c r="D122" s="172"/>
      <c r="E122" s="172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2"/>
      <c r="D123" s="172"/>
      <c r="E123" s="172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2"/>
      <c r="D124" s="172"/>
      <c r="E124" s="172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2"/>
      <c r="D125" s="172"/>
      <c r="E125" s="172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2"/>
      <c r="D126" s="172"/>
      <c r="E126" s="172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2"/>
      <c r="D127" s="172"/>
      <c r="E127" s="172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2"/>
      <c r="D128" s="172"/>
      <c r="E128" s="172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3"/>
      <c r="D129" s="173"/>
      <c r="E129" s="173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3"/>
      <c r="D130" s="173"/>
      <c r="E130" s="173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3"/>
      <c r="D131" s="173"/>
      <c r="E131" s="173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3"/>
      <c r="D132" s="173"/>
      <c r="E132" s="173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3"/>
      <c r="D133" s="173"/>
      <c r="E133" s="173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3"/>
      <c r="D134" s="173"/>
      <c r="E134" s="173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3"/>
      <c r="D135" s="173"/>
      <c r="E135" s="173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3"/>
      <c r="D136" s="173"/>
      <c r="E136" s="173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3"/>
      <c r="D137" s="173"/>
      <c r="E137" s="173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3"/>
      <c r="D138" s="173"/>
      <c r="E138" s="173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3"/>
      <c r="D139" s="173"/>
      <c r="E139" s="173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3"/>
      <c r="D140" s="173"/>
      <c r="E140" s="173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3"/>
      <c r="D141" s="173"/>
      <c r="E141" s="173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3"/>
      <c r="D142" s="173"/>
      <c r="E142" s="173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3"/>
      <c r="D143" s="173"/>
      <c r="E143" s="173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3"/>
      <c r="D144" s="173"/>
      <c r="E144" s="173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3"/>
      <c r="D145" s="173"/>
      <c r="E145" s="173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3"/>
      <c r="D146" s="173"/>
      <c r="E146" s="173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3"/>
      <c r="D147" s="173"/>
      <c r="E147" s="173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3"/>
      <c r="D148" s="173"/>
      <c r="E148" s="173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3"/>
      <c r="D149" s="173"/>
      <c r="E149" s="173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3"/>
      <c r="D150" s="173"/>
      <c r="E150" s="173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3"/>
      <c r="D151" s="173"/>
      <c r="E151" s="173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3"/>
      <c r="D152" s="173"/>
      <c r="E152" s="173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3"/>
      <c r="D153" s="173"/>
      <c r="E153" s="173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3"/>
      <c r="D154" s="173"/>
      <c r="E154" s="173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3"/>
      <c r="D155" s="173"/>
      <c r="E155" s="173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3"/>
      <c r="D156" s="173"/>
      <c r="E156" s="173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3"/>
      <c r="D157" s="173"/>
      <c r="E157" s="173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3"/>
      <c r="D158" s="173"/>
      <c r="E158" s="173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3"/>
      <c r="D159" s="173"/>
      <c r="E159" s="173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3"/>
      <c r="D160" s="173"/>
      <c r="E160" s="173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3"/>
      <c r="D161" s="173"/>
      <c r="E161" s="173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3"/>
      <c r="D162" s="173"/>
      <c r="E162" s="173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3"/>
      <c r="D163" s="173"/>
      <c r="E163" s="173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3"/>
      <c r="D164" s="173"/>
      <c r="E164" s="173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3"/>
      <c r="D165" s="173"/>
      <c r="E165" s="173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3"/>
      <c r="D166" s="173"/>
      <c r="E166" s="173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3"/>
      <c r="D167" s="173"/>
      <c r="E167" s="173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3"/>
      <c r="D168" s="173"/>
      <c r="E168" s="173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3"/>
      <c r="D169" s="173"/>
      <c r="E169" s="173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3"/>
      <c r="D170" s="173"/>
      <c r="E170" s="173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3"/>
      <c r="D171" s="173"/>
      <c r="E171" s="173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3"/>
      <c r="D172" s="173"/>
      <c r="E172" s="173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3"/>
      <c r="D173" s="173"/>
      <c r="E173" s="173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3"/>
      <c r="D174" s="173"/>
      <c r="E174" s="173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3"/>
      <c r="D175" s="173"/>
      <c r="E175" s="173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3"/>
      <c r="D176" s="173"/>
      <c r="E176" s="173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3"/>
      <c r="D177" s="173"/>
      <c r="E177" s="173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3"/>
      <c r="D178" s="173"/>
      <c r="E178" s="173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3"/>
      <c r="D179" s="173"/>
      <c r="E179" s="173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3"/>
      <c r="D180" s="173"/>
      <c r="E180" s="173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3"/>
      <c r="D181" s="173"/>
      <c r="E181" s="173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3"/>
      <c r="D182" s="173"/>
      <c r="E182" s="173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3"/>
      <c r="D183" s="173"/>
      <c r="E183" s="173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3"/>
      <c r="D184" s="173"/>
      <c r="E184" s="173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3"/>
      <c r="D185" s="173"/>
      <c r="E185" s="173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3"/>
      <c r="D186" s="173"/>
      <c r="E186" s="173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3"/>
      <c r="D187" s="173"/>
      <c r="E187" s="173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3"/>
      <c r="D188" s="173"/>
      <c r="E188" s="173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3"/>
      <c r="D189" s="173"/>
      <c r="E189" s="173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3"/>
      <c r="D190" s="173"/>
      <c r="E190" s="173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3"/>
      <c r="D191" s="173"/>
      <c r="E191" s="173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3"/>
      <c r="D192" s="173"/>
      <c r="E192" s="173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3"/>
      <c r="D193" s="173"/>
      <c r="E193" s="173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3"/>
      <c r="D194" s="173"/>
      <c r="E194" s="173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3"/>
      <c r="D195" s="173"/>
      <c r="E195" s="173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3"/>
      <c r="D196" s="173"/>
      <c r="E196" s="173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3"/>
      <c r="D197" s="173"/>
      <c r="E197" s="173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3"/>
      <c r="D198" s="173"/>
      <c r="E198" s="173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3"/>
      <c r="D199" s="173"/>
      <c r="E199" s="173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3"/>
      <c r="D200" s="173"/>
      <c r="E200" s="173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3"/>
      <c r="D201" s="173"/>
      <c r="E201" s="173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3"/>
      <c r="D202" s="173"/>
      <c r="E202" s="173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3"/>
      <c r="D203" s="173"/>
      <c r="E203" s="173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3"/>
      <c r="D204" s="173"/>
      <c r="E204" s="173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3"/>
      <c r="D205" s="173"/>
      <c r="E205" s="173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3"/>
      <c r="D206" s="173"/>
      <c r="E206" s="173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3"/>
      <c r="D207" s="173"/>
      <c r="E207" s="173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3"/>
      <c r="D208" s="173"/>
      <c r="E208" s="173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3"/>
      <c r="D209" s="173"/>
      <c r="E209" s="173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3"/>
      <c r="D210" s="173"/>
      <c r="E210" s="173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3"/>
      <c r="D211" s="173"/>
      <c r="E211" s="173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3"/>
      <c r="D212" s="173"/>
      <c r="E212" s="173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3"/>
      <c r="D213" s="173"/>
      <c r="E213" s="173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3"/>
      <c r="D214" s="173"/>
      <c r="E214" s="173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3"/>
      <c r="D215" s="173"/>
      <c r="E215" s="173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3"/>
      <c r="D216" s="173"/>
      <c r="E216" s="173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3"/>
      <c r="D217" s="173"/>
      <c r="E217" s="173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3"/>
      <c r="D218" s="173"/>
      <c r="E218" s="173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3"/>
      <c r="D219" s="173"/>
      <c r="E219" s="173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3"/>
      <c r="D220" s="173"/>
      <c r="E220" s="173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3"/>
      <c r="D221" s="173"/>
      <c r="E221" s="173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3"/>
      <c r="D222" s="173"/>
      <c r="E222" s="173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3"/>
      <c r="D223" s="173"/>
      <c r="E223" s="173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3"/>
      <c r="D224" s="173"/>
      <c r="E224" s="173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3"/>
      <c r="D225" s="173"/>
      <c r="E225" s="173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3"/>
      <c r="D226" s="173"/>
      <c r="E226" s="173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I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32" priority="10" stopIfTrue="1" operator="between">
      <formula>$R$8</formula>
      <formula>$T$8</formula>
    </cfRule>
    <cfRule type="cellIs" dxfId="31" priority="11" stopIfTrue="1" operator="equal">
      <formula>"""yes"""</formula>
    </cfRule>
    <cfRule type="cellIs" dxfId="30" priority="12" stopIfTrue="1" operator="equal">
      <formula>"NC"</formula>
    </cfRule>
  </conditionalFormatting>
  <conditionalFormatting sqref="S12:S235 P12:P235 V12:V235">
    <cfRule type="cellIs" dxfId="29" priority="9" stopIfTrue="1" operator="equal">
      <formula>"""NC"""</formula>
    </cfRule>
  </conditionalFormatting>
  <conditionalFormatting sqref="O12:O235">
    <cfRule type="cellIs" dxfId="28" priority="8" stopIfTrue="1" operator="equal">
      <formula>"NC"</formula>
    </cfRule>
  </conditionalFormatting>
  <conditionalFormatting sqref="L12:N235">
    <cfRule type="cellIs" dxfId="27" priority="7" stopIfTrue="1" operator="equal">
      <formula>"NC"</formula>
    </cfRule>
  </conditionalFormatting>
  <conditionalFormatting sqref="T12:T235">
    <cfRule type="cellIs" dxfId="26" priority="5" stopIfTrue="1" operator="between">
      <formula>0.1</formula>
      <formula>0.9</formula>
    </cfRule>
    <cfRule type="cellIs" dxfId="25" priority="6" stopIfTrue="1" operator="between">
      <formula>1.100001</formula>
      <formula>5</formula>
    </cfRule>
  </conditionalFormatting>
  <conditionalFormatting sqref="Q12:Q235 W12:W235">
    <cfRule type="cellIs" dxfId="24" priority="3" stopIfTrue="1" operator="between">
      <formula>0.1</formula>
      <formula>0.9</formula>
    </cfRule>
    <cfRule type="cellIs" dxfId="23" priority="4" stopIfTrue="1" operator="between">
      <formula>1.1000001</formula>
      <formula>5</formula>
    </cfRule>
  </conditionalFormatting>
  <conditionalFormatting sqref="O12:W226">
    <cfRule type="expression" dxfId="22" priority="2">
      <formula>$A$11&gt;0</formula>
    </cfRule>
  </conditionalFormatting>
  <conditionalFormatting sqref="L12:N226">
    <cfRule type="expression" dxfId="21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type="textLength" operator="equal" allowBlank="1" showInputMessage="1" showErrorMessage="1" errorTitle="Only enter Y-leave blank for No" error="If the campus is Title I, enter a Y for Yes_x000a_If the campus is non-Title I, leave blank_x000a_If the campus is Skipped, enter Y for Yes (yes to the question is it Title I or Skipped)" sqref="E12:E226">
      <formula1>1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49" enableFormatConditionsCalculation="0">
    <tabColor indexed="35"/>
  </sheetPr>
  <dimension ref="A1:Z137"/>
  <sheetViews>
    <sheetView showGridLines="0" zoomScale="50" zoomScaleNormal="50" zoomScaleSheetLayoutView="50" workbookViewId="0">
      <pane xSplit="10" ySplit="11" topLeftCell="K122" activePane="bottomRight" state="frozen"/>
      <selection activeCell="C6" sqref="C6:E6"/>
      <selection pane="topRight" activeCell="C6" sqref="C6:E6"/>
      <selection pane="bottomLeft" activeCell="C6" sqref="C6:E6"/>
      <selection pane="bottomRight" activeCell="C6" sqref="C6:E6"/>
    </sheetView>
  </sheetViews>
  <sheetFormatPr defaultColWidth="27" defaultRowHeight="0" customHeight="1" zeroHeight="1"/>
  <cols>
    <col min="1" max="1" width="6" style="19" customWidth="1"/>
    <col min="2" max="2" width="10.109375" style="20" customWidth="1"/>
    <col min="3" max="3" width="45.5546875" style="21" customWidth="1"/>
    <col min="4" max="4" width="12" style="22" customWidth="1"/>
    <col min="5" max="5" width="18" style="24" customWidth="1"/>
    <col min="6" max="6" width="14.88671875" style="139" customWidth="1"/>
    <col min="7" max="7" width="17.6640625" style="23" customWidth="1"/>
    <col min="8" max="8" width="15.109375" style="3" customWidth="1"/>
    <col min="9" max="9" width="17.5546875" style="3" customWidth="1"/>
    <col min="10" max="10" width="3.44140625" style="3" customWidth="1"/>
    <col min="11" max="11" width="13.33203125" style="3" customWidth="1"/>
    <col min="12" max="12" width="14.88671875" style="3" customWidth="1"/>
    <col min="13" max="13" width="15.33203125" style="15" customWidth="1"/>
    <col min="14" max="14" width="12" style="3" customWidth="1"/>
    <col min="15" max="15" width="16.44140625" style="13" customWidth="1"/>
    <col min="16" max="16" width="13.6640625" style="3" customWidth="1"/>
    <col min="17" max="17" width="14.33203125" style="4" customWidth="1"/>
    <col min="18" max="18" width="18.5546875" style="13" customWidth="1"/>
    <col min="19" max="19" width="13.109375" style="4" customWidth="1"/>
    <col min="20" max="20" width="10.44140625" style="4" customWidth="1"/>
    <col min="21" max="21" width="11" style="13" customWidth="1"/>
    <col min="22" max="22" width="18.88671875" style="16" customWidth="1"/>
    <col min="23" max="23" width="18.88671875" style="25" hidden="1" customWidth="1"/>
    <col min="24" max="26" width="18.88671875" style="26" hidden="1" customWidth="1"/>
    <col min="27" max="27" width="18.88671875" style="2" customWidth="1"/>
    <col min="28" max="16384" width="27" style="2"/>
  </cols>
  <sheetData>
    <row r="1" spans="1:26" ht="39" customHeight="1">
      <c r="A1" s="177" t="s">
        <v>19</v>
      </c>
      <c r="B1" s="178"/>
      <c r="C1" s="178"/>
      <c r="D1" s="79"/>
      <c r="E1" s="200" t="s">
        <v>54</v>
      </c>
      <c r="F1" s="200"/>
      <c r="G1" s="200"/>
      <c r="H1" s="80"/>
      <c r="I1" s="245" t="s">
        <v>79</v>
      </c>
      <c r="J1" s="246"/>
      <c r="K1" s="75"/>
      <c r="L1" s="75"/>
      <c r="M1" s="76"/>
      <c r="N1" s="69"/>
      <c r="O1" s="69"/>
      <c r="P1" s="69"/>
      <c r="Q1" s="73"/>
      <c r="R1" s="69"/>
      <c r="S1" s="73"/>
      <c r="T1" s="73"/>
      <c r="U1" s="69"/>
      <c r="V1" s="81"/>
      <c r="W1" s="54"/>
      <c r="X1" s="54"/>
      <c r="Y1" s="55"/>
      <c r="Z1" s="55"/>
    </row>
    <row r="2" spans="1:26" s="37" customFormat="1" ht="30" customHeight="1">
      <c r="A2" s="179" t="s">
        <v>76</v>
      </c>
      <c r="B2" s="180"/>
      <c r="C2" s="180"/>
      <c r="D2" s="36"/>
      <c r="E2" s="201" t="s">
        <v>72</v>
      </c>
      <c r="F2" s="201"/>
      <c r="G2" s="201"/>
      <c r="H2" s="105"/>
      <c r="I2" s="245" t="s">
        <v>80</v>
      </c>
      <c r="J2" s="247"/>
      <c r="K2" s="70">
        <f>COUNT($B$12:$B$137)</f>
        <v>0</v>
      </c>
      <c r="L2" s="70">
        <f>COUNT($B$12:$B$137)</f>
        <v>0</v>
      </c>
      <c r="M2" s="70">
        <f>COUNT($B$12:$B$137)</f>
        <v>0</v>
      </c>
      <c r="N2" s="70"/>
      <c r="O2" s="70">
        <f>COUNT($B$12:$B$137)</f>
        <v>0</v>
      </c>
      <c r="P2" s="86"/>
      <c r="Q2" s="122"/>
      <c r="R2" s="70">
        <f>COUNT($B$12:$B$137)</f>
        <v>0</v>
      </c>
      <c r="S2" s="86"/>
      <c r="T2" s="122"/>
      <c r="U2" s="70">
        <f>COUNT($B$12:$B$137)</f>
        <v>0</v>
      </c>
      <c r="V2" s="70"/>
      <c r="W2" s="43"/>
      <c r="X2" s="43"/>
      <c r="Y2" s="44"/>
      <c r="Z2" s="44"/>
    </row>
    <row r="3" spans="1:26" s="40" customFormat="1" ht="30" customHeight="1">
      <c r="A3" s="181" t="s">
        <v>77</v>
      </c>
      <c r="B3" s="182"/>
      <c r="C3" s="182"/>
      <c r="D3" s="38"/>
      <c r="E3" s="39"/>
      <c r="F3" s="135"/>
      <c r="G3" s="41"/>
      <c r="H3" s="106"/>
      <c r="I3" s="243" t="s">
        <v>81</v>
      </c>
      <c r="J3" s="244"/>
      <c r="K3" s="71">
        <f>COUNTIF($D$12:$D$137,"Y")</f>
        <v>0</v>
      </c>
      <c r="L3" s="71">
        <f>COUNTIF($D$12:$D$137,"Y")</f>
        <v>0</v>
      </c>
      <c r="M3" s="71">
        <f>COUNTIF($D$12:$D$137,"Y")</f>
        <v>0</v>
      </c>
      <c r="N3" s="71"/>
      <c r="O3" s="71">
        <f>COUNTIF($D$12:$D$137,"Y")</f>
        <v>0</v>
      </c>
      <c r="P3" s="87"/>
      <c r="Q3" s="123"/>
      <c r="R3" s="71">
        <f>COUNTIF($D$12:$D$137,"Y")</f>
        <v>0</v>
      </c>
      <c r="S3" s="87"/>
      <c r="T3" s="123"/>
      <c r="U3" s="71">
        <f>COUNTIF($D$12:$D$137,"Y")</f>
        <v>0</v>
      </c>
      <c r="V3" s="71"/>
      <c r="W3" s="45"/>
      <c r="X3" s="46"/>
      <c r="Y3" s="44"/>
      <c r="Z3" s="44"/>
    </row>
    <row r="4" spans="1:26" s="40" customFormat="1" ht="30" customHeight="1" thickBot="1">
      <c r="A4" s="189"/>
      <c r="B4" s="190"/>
      <c r="C4" s="190"/>
      <c r="D4" s="11"/>
      <c r="E4" s="39"/>
      <c r="F4" s="136"/>
      <c r="G4" s="202" t="s">
        <v>73</v>
      </c>
      <c r="H4" s="202"/>
      <c r="I4" s="243" t="s">
        <v>82</v>
      </c>
      <c r="J4" s="244"/>
      <c r="K4" s="70">
        <f>K2-K3</f>
        <v>0</v>
      </c>
      <c r="L4" s="70">
        <f>L2-L3</f>
        <v>0</v>
      </c>
      <c r="M4" s="70">
        <f>M2-M3</f>
        <v>0</v>
      </c>
      <c r="N4" s="70"/>
      <c r="O4" s="70">
        <f>O2-O3</f>
        <v>0</v>
      </c>
      <c r="P4" s="86"/>
      <c r="Q4" s="122"/>
      <c r="R4" s="70">
        <f>R2-R3</f>
        <v>0</v>
      </c>
      <c r="S4" s="86"/>
      <c r="T4" s="122"/>
      <c r="U4" s="70">
        <f>U2-U3</f>
        <v>0</v>
      </c>
      <c r="V4" s="70"/>
      <c r="W4" s="47"/>
      <c r="X4" s="48"/>
      <c r="Y4" s="44"/>
      <c r="Z4" s="44"/>
    </row>
    <row r="5" spans="1:26" s="40" customFormat="1" ht="30" customHeight="1" thickBot="1">
      <c r="A5" s="82"/>
      <c r="B5" s="68"/>
      <c r="C5" s="68" t="s">
        <v>74</v>
      </c>
      <c r="D5" s="113"/>
      <c r="E5" s="39"/>
      <c r="F5" s="18"/>
      <c r="G5" s="51" t="s">
        <v>47</v>
      </c>
      <c r="H5" s="51" t="s">
        <v>48</v>
      </c>
      <c r="I5" s="243" t="s">
        <v>83</v>
      </c>
      <c r="J5" s="244"/>
      <c r="K5" s="71">
        <f>COUNTIF(K12:K137,"Yes")</f>
        <v>0</v>
      </c>
      <c r="L5" s="71">
        <f>COUNTIF(L12:L137,"Yes")</f>
        <v>0</v>
      </c>
      <c r="M5" s="71">
        <f>COUNTIF(M12:M137,"Yes")</f>
        <v>0</v>
      </c>
      <c r="N5" s="71"/>
      <c r="O5" s="71">
        <f>COUNTIF($N12:$N137,"Yes")</f>
        <v>0</v>
      </c>
      <c r="P5" s="87"/>
      <c r="Q5" s="123"/>
      <c r="R5" s="71">
        <f>COUNTIF($Q12:$Q137,"Yes")</f>
        <v>0</v>
      </c>
      <c r="S5" s="87"/>
      <c r="T5" s="123"/>
      <c r="U5" s="71">
        <f>COUNTIF($T12:$T137,"Yes")</f>
        <v>0</v>
      </c>
      <c r="V5" s="71"/>
      <c r="W5" s="49"/>
      <c r="X5" s="50"/>
      <c r="Y5" s="44"/>
      <c r="Z5" s="44"/>
    </row>
    <row r="6" spans="1:26" s="42" customFormat="1" ht="30" customHeight="1" thickBot="1">
      <c r="A6" s="198" t="s">
        <v>55</v>
      </c>
      <c r="B6" s="199"/>
      <c r="C6" s="191"/>
      <c r="D6" s="192"/>
      <c r="E6" s="193"/>
      <c r="F6" s="104"/>
      <c r="G6" s="56" t="s">
        <v>78</v>
      </c>
      <c r="H6" s="57" t="s">
        <v>87</v>
      </c>
      <c r="I6" s="243" t="s">
        <v>84</v>
      </c>
      <c r="J6" s="244"/>
      <c r="K6" s="72">
        <f>COUNTIF(K12:K137,"NC")</f>
        <v>0</v>
      </c>
      <c r="L6" s="72">
        <f>COUNTIF(L12:L137,"NC")</f>
        <v>0</v>
      </c>
      <c r="M6" s="72">
        <f>COUNTIF(M12:M137,"NC")</f>
        <v>0</v>
      </c>
      <c r="N6" s="72"/>
      <c r="O6" s="72">
        <f>COUNTIF($N12:$N137,"NC")</f>
        <v>0</v>
      </c>
      <c r="P6" s="88"/>
      <c r="Q6" s="124"/>
      <c r="R6" s="72">
        <f>COUNTIF($Q12:$Q137,"NC")</f>
        <v>0</v>
      </c>
      <c r="S6" s="88"/>
      <c r="T6" s="124"/>
      <c r="U6" s="72">
        <f>COUNTIF($T12:$T137,"NC")</f>
        <v>0</v>
      </c>
      <c r="V6" s="72"/>
      <c r="W6" s="49"/>
      <c r="X6" s="50"/>
      <c r="Y6" s="44"/>
      <c r="Z6" s="44"/>
    </row>
    <row r="7" spans="1:26" s="1" customFormat="1" ht="36.75" customHeight="1">
      <c r="A7" s="217"/>
      <c r="B7" s="218"/>
      <c r="C7" s="218"/>
      <c r="D7" s="219"/>
      <c r="E7" s="194" t="s">
        <v>9</v>
      </c>
      <c r="F7" s="196" t="s">
        <v>9</v>
      </c>
      <c r="G7" s="194" t="s">
        <v>1</v>
      </c>
      <c r="H7" s="195" t="s">
        <v>2</v>
      </c>
      <c r="I7" s="248" t="s">
        <v>46</v>
      </c>
      <c r="J7" s="211"/>
      <c r="K7" s="212"/>
      <c r="L7" s="212"/>
      <c r="M7" s="213"/>
      <c r="N7" s="52">
        <v>0.9</v>
      </c>
      <c r="O7" s="53" t="s">
        <v>53</v>
      </c>
      <c r="P7" s="89">
        <v>1.1000000000000001</v>
      </c>
      <c r="Q7" s="90">
        <v>0.9</v>
      </c>
      <c r="R7" s="53" t="s">
        <v>53</v>
      </c>
      <c r="S7" s="89">
        <v>1.1000000000000001</v>
      </c>
      <c r="T7" s="90">
        <v>0.9</v>
      </c>
      <c r="U7" s="53" t="s">
        <v>53</v>
      </c>
      <c r="V7" s="52">
        <v>1.1000000000000001</v>
      </c>
      <c r="W7" s="223" t="s">
        <v>58</v>
      </c>
      <c r="X7" s="203" t="s">
        <v>57</v>
      </c>
      <c r="Y7" s="203" t="s">
        <v>57</v>
      </c>
      <c r="Z7" s="203" t="s">
        <v>57</v>
      </c>
    </row>
    <row r="8" spans="1:26" s="1" customFormat="1" ht="23.25" customHeight="1">
      <c r="A8" s="220"/>
      <c r="B8" s="221"/>
      <c r="C8" s="221"/>
      <c r="D8" s="222"/>
      <c r="E8" s="195"/>
      <c r="F8" s="197"/>
      <c r="G8" s="195"/>
      <c r="H8" s="195"/>
      <c r="I8" s="248"/>
      <c r="J8" s="214"/>
      <c r="K8" s="215"/>
      <c r="L8" s="215"/>
      <c r="M8" s="216"/>
      <c r="N8" s="114" t="str">
        <f>IF($O8="","",($O$8*0.9))</f>
        <v/>
      </c>
      <c r="O8" s="115" t="str">
        <f>IF($F11=0,"",$G$11/$F$11)</f>
        <v/>
      </c>
      <c r="P8" s="116" t="str">
        <f>IF(O8="","",($O$8*1.1))</f>
        <v/>
      </c>
      <c r="Q8" s="117" t="str">
        <f>IF($R$8="","",($R$8*0.9))</f>
        <v/>
      </c>
      <c r="R8" s="115" t="str">
        <f>IF($F11=0,"",$H$11/$F$11)</f>
        <v/>
      </c>
      <c r="S8" s="116" t="str">
        <f>IF($R$8="","",($R$8*1.1))</f>
        <v/>
      </c>
      <c r="T8" s="118" t="str">
        <f>IF($U8="","",($U$8*0.9))</f>
        <v/>
      </c>
      <c r="U8" s="119" t="str">
        <f>IF($F11=0,"",$F$11/$I$11)</f>
        <v/>
      </c>
      <c r="V8" s="120" t="str">
        <f>IF(U8="","",($U$8*1.1))</f>
        <v/>
      </c>
      <c r="W8" s="224"/>
      <c r="X8" s="204"/>
      <c r="Y8" s="204"/>
      <c r="Z8" s="204"/>
    </row>
    <row r="9" spans="1:26" s="6" customFormat="1" ht="16.5" customHeight="1" thickBot="1">
      <c r="A9" s="209" t="s">
        <v>50</v>
      </c>
      <c r="B9" s="207" t="s">
        <v>51</v>
      </c>
      <c r="C9" s="183" t="s">
        <v>0</v>
      </c>
      <c r="D9" s="187" t="s">
        <v>85</v>
      </c>
      <c r="E9" s="231" t="s">
        <v>49</v>
      </c>
      <c r="F9" s="185" t="s">
        <v>59</v>
      </c>
      <c r="G9" s="231" t="s">
        <v>60</v>
      </c>
      <c r="H9" s="233" t="s">
        <v>86</v>
      </c>
      <c r="I9" s="233" t="s">
        <v>61</v>
      </c>
      <c r="J9" s="98"/>
      <c r="K9" s="85" t="s">
        <v>3</v>
      </c>
      <c r="L9" s="85" t="s">
        <v>4</v>
      </c>
      <c r="M9" s="85" t="s">
        <v>5</v>
      </c>
      <c r="N9" s="229" t="s">
        <v>6</v>
      </c>
      <c r="O9" s="229"/>
      <c r="P9" s="230"/>
      <c r="Q9" s="240" t="s">
        <v>7</v>
      </c>
      <c r="R9" s="206"/>
      <c r="S9" s="241"/>
      <c r="T9" s="205" t="s">
        <v>8</v>
      </c>
      <c r="U9" s="206"/>
      <c r="V9" s="206"/>
      <c r="W9" s="236" t="s">
        <v>68</v>
      </c>
      <c r="X9" s="238" t="s">
        <v>69</v>
      </c>
      <c r="Y9" s="238" t="s">
        <v>70</v>
      </c>
      <c r="Z9" s="227" t="s">
        <v>71</v>
      </c>
    </row>
    <row r="10" spans="1:26" s="6" customFormat="1" ht="102.75" customHeight="1">
      <c r="A10" s="210"/>
      <c r="B10" s="208"/>
      <c r="C10" s="184"/>
      <c r="D10" s="188"/>
      <c r="E10" s="242"/>
      <c r="F10" s="186"/>
      <c r="G10" s="232"/>
      <c r="H10" s="234"/>
      <c r="I10" s="235"/>
      <c r="J10" s="99"/>
      <c r="K10" s="85" t="s">
        <v>62</v>
      </c>
      <c r="L10" s="85" t="s">
        <v>63</v>
      </c>
      <c r="M10" s="85" t="s">
        <v>64</v>
      </c>
      <c r="N10" s="30" t="s">
        <v>52</v>
      </c>
      <c r="O10" s="83" t="s">
        <v>65</v>
      </c>
      <c r="P10" s="29" t="s">
        <v>56</v>
      </c>
      <c r="Q10" s="30" t="s">
        <v>52</v>
      </c>
      <c r="R10" s="83" t="s">
        <v>66</v>
      </c>
      <c r="S10" s="31" t="s">
        <v>56</v>
      </c>
      <c r="T10" s="28" t="s">
        <v>52</v>
      </c>
      <c r="U10" s="83" t="s">
        <v>67</v>
      </c>
      <c r="V10" s="83" t="s">
        <v>56</v>
      </c>
      <c r="W10" s="237"/>
      <c r="X10" s="239"/>
      <c r="Y10" s="239"/>
      <c r="Z10" s="228"/>
    </row>
    <row r="11" spans="1:26" s="14" customFormat="1" ht="16.5" customHeight="1" thickBot="1">
      <c r="A11" s="74"/>
      <c r="B11" s="74"/>
      <c r="C11" s="225" t="s">
        <v>75</v>
      </c>
      <c r="D11" s="226"/>
      <c r="E11" s="58">
        <f>SUM($E12:$E137)</f>
        <v>0</v>
      </c>
      <c r="F11" s="58">
        <f>SUM($F12:$F137)</f>
        <v>0</v>
      </c>
      <c r="G11" s="121">
        <f>SUM($G12:$G137)</f>
        <v>0</v>
      </c>
      <c r="H11" s="121">
        <f>SUM($H12:$H137)</f>
        <v>0</v>
      </c>
      <c r="I11" s="59">
        <f>SUM(I12:I137)</f>
        <v>0</v>
      </c>
      <c r="J11" s="100"/>
      <c r="K11" s="59" t="str">
        <f>IF( $D$5="","",SUM($X12:$X136)/SUM($W12:$W136)*0.9)</f>
        <v/>
      </c>
      <c r="L11" s="59" t="str">
        <f>IF( $D$5="","",SUM($Y12:$Y136)/SUM($W12:$W136)*0.9)</f>
        <v/>
      </c>
      <c r="M11" s="59" t="str">
        <f>IF( $D$5="","",SUM($W12:$W136)/SUM($Z12:$Z136)*1.1)</f>
        <v/>
      </c>
      <c r="N11" s="60"/>
      <c r="O11" s="60" t="str">
        <f>IF( $D$5="","",AVERAGE(O12:O136))</f>
        <v/>
      </c>
      <c r="P11" s="91"/>
      <c r="Q11" s="92"/>
      <c r="R11" s="92" t="str">
        <f>IF($D$5="","",AVERAGE(R12:R136))</f>
        <v/>
      </c>
      <c r="S11" s="91"/>
      <c r="T11" s="92"/>
      <c r="U11" s="60" t="str">
        <f>IF($D$5="","",AVERAGE(U12:U136))</f>
        <v/>
      </c>
      <c r="V11" s="60"/>
      <c r="W11" s="77">
        <f>SUM($W$12:$W$136)</f>
        <v>0</v>
      </c>
      <c r="X11" s="59">
        <f>SUM($X$12:$X$136)</f>
        <v>0</v>
      </c>
      <c r="Y11" s="59">
        <f>SUM($Y$12:$Y$136)</f>
        <v>0</v>
      </c>
      <c r="Z11" s="59">
        <f>SUM($Z$12:$Z$136)</f>
        <v>0</v>
      </c>
    </row>
    <row r="12" spans="1:26" s="12" customFormat="1" ht="17.25" customHeight="1">
      <c r="A12" s="103">
        <v>1</v>
      </c>
      <c r="B12" s="125"/>
      <c r="C12" s="125"/>
      <c r="D12" s="126"/>
      <c r="E12" s="95"/>
      <c r="F12" s="95"/>
      <c r="G12" s="127"/>
      <c r="H12" s="128"/>
      <c r="I12" s="129"/>
      <c r="J12" s="97"/>
      <c r="K12" s="62" t="str">
        <f t="shared" ref="K12:K43" si="0">IF($W$11=0,"",IF(D12="","",IF($G12="","",IF($F12="","",IF($G12/$F12&gt;=$K$11,"yes","NC")))))</f>
        <v/>
      </c>
      <c r="L12" s="62" t="str">
        <f t="shared" ref="L12:L43" si="1">IF($X$11=0,"",IF($D12="","",IF($G12="","",IF($H12="","",IF($H12/$F12&gt;=$L$11,"yes","NC")))))</f>
        <v/>
      </c>
      <c r="M12" s="62" t="str">
        <f t="shared" ref="M12:M43" si="2">IF($Y$11=0,"",IF($D12="","",IF($G12="","",IF($I12="","",IF($F12/$I12&lt;=$M$11,"yes","NC")))))</f>
        <v/>
      </c>
      <c r="N12" s="63" t="str">
        <f t="shared" ref="N12:N43" si="3">IF($D12="","",IF($O$8="","",IF(OR($O12&lt;$N$8,$O12&gt;$P$8),"NC","yes")))</f>
        <v/>
      </c>
      <c r="O12" s="64" t="str">
        <f>IF($D12="","",$G12/$F12)</f>
        <v/>
      </c>
      <c r="P12" s="93" t="str">
        <f t="shared" ref="P12:P43" si="4">IF($D12=0,"",IF(N12="yes",($O12/$O$8),IF(OR($O12&lt;$N$8,$O12&gt;$P$8),($O12/$O$8))))</f>
        <v/>
      </c>
      <c r="Q12" s="94" t="str">
        <f t="shared" ref="Q12:Q43" si="5">IF($D12="","",IF($R$8="","",IF(OR($R12&lt;$Q$8,$R12&gt;$S$8),"NC","yes")))</f>
        <v/>
      </c>
      <c r="R12" s="64" t="str">
        <f t="shared" ref="R12:R43" si="6">IF($D12="","",$H12/$F12)</f>
        <v/>
      </c>
      <c r="S12" s="93" t="str">
        <f t="shared" ref="S12:S43" si="7">IF($D12=0,"",IF(Q12="yes",($R12/$R$8),IF(OR($R12&gt;$Q$8,$R12&lt;$S$8),($R12/$R$8))))</f>
        <v/>
      </c>
      <c r="T12" s="94" t="str">
        <f t="shared" ref="T12:T43" si="8">IF($D12="","",IF($U$8="","",IF(OR($U12&lt;$T$8,U12&gt;$V$8),"NC","yes")))</f>
        <v/>
      </c>
      <c r="U12" s="64" t="str">
        <f t="shared" ref="U12:U43" si="9">IF($D12="","",$F12/$I12)</f>
        <v/>
      </c>
      <c r="V12" s="65" t="str">
        <f t="shared" ref="V12:V43" si="10">IF($D12="","",IF(T12="yes",(U12/U$8),IF(OR(U12&lt;$T$8,U12&gt;V$8),(U12/U$8))))</f>
        <v/>
      </c>
      <c r="W12" s="78" t="str">
        <f t="shared" ref="W12:W43" si="11">IF(C12="","",IF($D12="",$F12,""))</f>
        <v/>
      </c>
      <c r="X12" s="66" t="str">
        <f t="shared" ref="X12:X43" si="12">IF($C12="","",IF($D12="",$G12,""))</f>
        <v/>
      </c>
      <c r="Y12" s="66" t="str">
        <f t="shared" ref="Y12:Y43" si="13">IF($C12="","",IF($D12="",$H12,""))</f>
        <v/>
      </c>
      <c r="Z12" s="67" t="str">
        <f t="shared" ref="Z12:Z43" si="14">IF($C12="","",IF($D12="",I12,""))</f>
        <v/>
      </c>
    </row>
    <row r="13" spans="1:26" s="12" customFormat="1" ht="17.25" customHeight="1">
      <c r="A13" s="84">
        <v>2</v>
      </c>
      <c r="B13" s="130"/>
      <c r="C13" s="130"/>
      <c r="D13" s="131"/>
      <c r="E13" s="96"/>
      <c r="F13" s="96"/>
      <c r="G13" s="132"/>
      <c r="H13" s="133"/>
      <c r="I13" s="134"/>
      <c r="J13" s="97"/>
      <c r="K13" s="62" t="str">
        <f t="shared" si="0"/>
        <v/>
      </c>
      <c r="L13" s="62" t="str">
        <f t="shared" si="1"/>
        <v/>
      </c>
      <c r="M13" s="62" t="str">
        <f t="shared" si="2"/>
        <v/>
      </c>
      <c r="N13" s="63" t="str">
        <f t="shared" si="3"/>
        <v/>
      </c>
      <c r="O13" s="64" t="str">
        <f t="shared" ref="O13:O44" si="15">IF($D13="","",G13/$F13)</f>
        <v/>
      </c>
      <c r="P13" s="93" t="str">
        <f t="shared" si="4"/>
        <v/>
      </c>
      <c r="Q13" s="94" t="str">
        <f t="shared" si="5"/>
        <v/>
      </c>
      <c r="R13" s="64" t="str">
        <f t="shared" si="6"/>
        <v/>
      </c>
      <c r="S13" s="93" t="str">
        <f t="shared" si="7"/>
        <v/>
      </c>
      <c r="T13" s="94" t="str">
        <f t="shared" si="8"/>
        <v/>
      </c>
      <c r="U13" s="64" t="str">
        <f t="shared" si="9"/>
        <v/>
      </c>
      <c r="V13" s="65" t="str">
        <f t="shared" si="10"/>
        <v/>
      </c>
      <c r="W13" s="78" t="str">
        <f t="shared" si="11"/>
        <v/>
      </c>
      <c r="X13" s="66" t="str">
        <f t="shared" si="12"/>
        <v/>
      </c>
      <c r="Y13" s="66" t="str">
        <f t="shared" si="13"/>
        <v/>
      </c>
      <c r="Z13" s="67" t="str">
        <f t="shared" si="14"/>
        <v/>
      </c>
    </row>
    <row r="14" spans="1:26" s="12" customFormat="1" ht="17.25" customHeight="1">
      <c r="A14" s="84">
        <v>3</v>
      </c>
      <c r="B14" s="130"/>
      <c r="C14" s="130"/>
      <c r="D14" s="131"/>
      <c r="E14" s="96"/>
      <c r="F14" s="96"/>
      <c r="G14" s="132"/>
      <c r="H14" s="133"/>
      <c r="I14" s="134"/>
      <c r="J14" s="97"/>
      <c r="K14" s="62" t="str">
        <f t="shared" si="0"/>
        <v/>
      </c>
      <c r="L14" s="62" t="str">
        <f t="shared" si="1"/>
        <v/>
      </c>
      <c r="M14" s="62" t="str">
        <f t="shared" si="2"/>
        <v/>
      </c>
      <c r="N14" s="63" t="str">
        <f t="shared" si="3"/>
        <v/>
      </c>
      <c r="O14" s="64" t="str">
        <f t="shared" si="15"/>
        <v/>
      </c>
      <c r="P14" s="93" t="str">
        <f t="shared" si="4"/>
        <v/>
      </c>
      <c r="Q14" s="94" t="str">
        <f t="shared" si="5"/>
        <v/>
      </c>
      <c r="R14" s="64" t="str">
        <f t="shared" si="6"/>
        <v/>
      </c>
      <c r="S14" s="93" t="str">
        <f t="shared" si="7"/>
        <v/>
      </c>
      <c r="T14" s="94" t="str">
        <f t="shared" si="8"/>
        <v/>
      </c>
      <c r="U14" s="64" t="str">
        <f t="shared" si="9"/>
        <v/>
      </c>
      <c r="V14" s="65" t="str">
        <f t="shared" si="10"/>
        <v/>
      </c>
      <c r="W14" s="78" t="str">
        <f t="shared" si="11"/>
        <v/>
      </c>
      <c r="X14" s="66" t="str">
        <f t="shared" si="12"/>
        <v/>
      </c>
      <c r="Y14" s="66" t="str">
        <f t="shared" si="13"/>
        <v/>
      </c>
      <c r="Z14" s="67" t="str">
        <f t="shared" si="14"/>
        <v/>
      </c>
    </row>
    <row r="15" spans="1:26" s="12" customFormat="1" ht="17.25" customHeight="1">
      <c r="A15" s="84">
        <v>4</v>
      </c>
      <c r="B15" s="130"/>
      <c r="C15" s="130"/>
      <c r="D15" s="131"/>
      <c r="E15" s="96"/>
      <c r="F15" s="96"/>
      <c r="G15" s="132"/>
      <c r="H15" s="132"/>
      <c r="I15" s="132"/>
      <c r="J15" s="97"/>
      <c r="K15" s="62" t="str">
        <f t="shared" si="0"/>
        <v/>
      </c>
      <c r="L15" s="62" t="str">
        <f t="shared" si="1"/>
        <v/>
      </c>
      <c r="M15" s="62" t="str">
        <f t="shared" si="2"/>
        <v/>
      </c>
      <c r="N15" s="63" t="str">
        <f t="shared" si="3"/>
        <v/>
      </c>
      <c r="O15" s="64" t="str">
        <f t="shared" si="15"/>
        <v/>
      </c>
      <c r="P15" s="93" t="str">
        <f t="shared" si="4"/>
        <v/>
      </c>
      <c r="Q15" s="94" t="str">
        <f t="shared" si="5"/>
        <v/>
      </c>
      <c r="R15" s="64" t="str">
        <f t="shared" si="6"/>
        <v/>
      </c>
      <c r="S15" s="93" t="str">
        <f t="shared" si="7"/>
        <v/>
      </c>
      <c r="T15" s="94" t="str">
        <f t="shared" si="8"/>
        <v/>
      </c>
      <c r="U15" s="64" t="str">
        <f t="shared" si="9"/>
        <v/>
      </c>
      <c r="V15" s="65" t="str">
        <f t="shared" si="10"/>
        <v/>
      </c>
      <c r="W15" s="78" t="str">
        <f t="shared" si="11"/>
        <v/>
      </c>
      <c r="X15" s="66" t="str">
        <f t="shared" si="12"/>
        <v/>
      </c>
      <c r="Y15" s="66" t="str">
        <f t="shared" si="13"/>
        <v/>
      </c>
      <c r="Z15" s="67" t="str">
        <f t="shared" si="14"/>
        <v/>
      </c>
    </row>
    <row r="16" spans="1:26" s="5" customFormat="1" ht="17.25" customHeight="1">
      <c r="A16" s="84">
        <v>5</v>
      </c>
      <c r="B16" s="130"/>
      <c r="C16" s="130"/>
      <c r="D16" s="131"/>
      <c r="E16" s="96"/>
      <c r="F16" s="96"/>
      <c r="G16" s="132"/>
      <c r="H16" s="132"/>
      <c r="I16" s="132"/>
      <c r="J16" s="97"/>
      <c r="K16" s="62" t="str">
        <f t="shared" si="0"/>
        <v/>
      </c>
      <c r="L16" s="62" t="str">
        <f t="shared" si="1"/>
        <v/>
      </c>
      <c r="M16" s="62" t="str">
        <f t="shared" si="2"/>
        <v/>
      </c>
      <c r="N16" s="63" t="str">
        <f t="shared" si="3"/>
        <v/>
      </c>
      <c r="O16" s="64" t="str">
        <f t="shared" si="15"/>
        <v/>
      </c>
      <c r="P16" s="93" t="str">
        <f t="shared" si="4"/>
        <v/>
      </c>
      <c r="Q16" s="94" t="str">
        <f t="shared" si="5"/>
        <v/>
      </c>
      <c r="R16" s="64" t="str">
        <f t="shared" si="6"/>
        <v/>
      </c>
      <c r="S16" s="93" t="str">
        <f t="shared" si="7"/>
        <v/>
      </c>
      <c r="T16" s="94" t="str">
        <f t="shared" si="8"/>
        <v/>
      </c>
      <c r="U16" s="64" t="str">
        <f t="shared" si="9"/>
        <v/>
      </c>
      <c r="V16" s="65" t="str">
        <f t="shared" si="10"/>
        <v/>
      </c>
      <c r="W16" s="78" t="str">
        <f t="shared" si="11"/>
        <v/>
      </c>
      <c r="X16" s="66" t="str">
        <f t="shared" si="12"/>
        <v/>
      </c>
      <c r="Y16" s="66" t="str">
        <f t="shared" si="13"/>
        <v/>
      </c>
      <c r="Z16" s="67" t="str">
        <f t="shared" si="14"/>
        <v/>
      </c>
    </row>
    <row r="17" spans="1:26" s="5" customFormat="1" ht="17.25" customHeight="1">
      <c r="A17" s="84">
        <v>6</v>
      </c>
      <c r="B17" s="130"/>
      <c r="C17" s="130"/>
      <c r="D17" s="131"/>
      <c r="E17" s="96"/>
      <c r="F17" s="96"/>
      <c r="G17" s="132"/>
      <c r="H17" s="132"/>
      <c r="I17" s="132"/>
      <c r="J17" s="97"/>
      <c r="K17" s="62" t="str">
        <f t="shared" si="0"/>
        <v/>
      </c>
      <c r="L17" s="62" t="str">
        <f t="shared" si="1"/>
        <v/>
      </c>
      <c r="M17" s="62" t="str">
        <f t="shared" si="2"/>
        <v/>
      </c>
      <c r="N17" s="63" t="str">
        <f t="shared" si="3"/>
        <v/>
      </c>
      <c r="O17" s="64" t="str">
        <f t="shared" si="15"/>
        <v/>
      </c>
      <c r="P17" s="93" t="str">
        <f t="shared" si="4"/>
        <v/>
      </c>
      <c r="Q17" s="94" t="str">
        <f t="shared" si="5"/>
        <v/>
      </c>
      <c r="R17" s="64" t="str">
        <f t="shared" si="6"/>
        <v/>
      </c>
      <c r="S17" s="93" t="str">
        <f t="shared" si="7"/>
        <v/>
      </c>
      <c r="T17" s="94" t="str">
        <f t="shared" si="8"/>
        <v/>
      </c>
      <c r="U17" s="64" t="str">
        <f t="shared" si="9"/>
        <v/>
      </c>
      <c r="V17" s="65" t="str">
        <f t="shared" si="10"/>
        <v/>
      </c>
      <c r="W17" s="78" t="str">
        <f t="shared" si="11"/>
        <v/>
      </c>
      <c r="X17" s="66" t="str">
        <f t="shared" si="12"/>
        <v/>
      </c>
      <c r="Y17" s="66" t="str">
        <f t="shared" si="13"/>
        <v/>
      </c>
      <c r="Z17" s="67" t="str">
        <f t="shared" si="14"/>
        <v/>
      </c>
    </row>
    <row r="18" spans="1:26" s="5" customFormat="1" ht="17.25" customHeight="1">
      <c r="A18" s="84">
        <v>7</v>
      </c>
      <c r="B18" s="130"/>
      <c r="C18" s="130"/>
      <c r="D18" s="131"/>
      <c r="E18" s="96"/>
      <c r="F18" s="96"/>
      <c r="G18" s="132"/>
      <c r="H18" s="132"/>
      <c r="I18" s="132"/>
      <c r="J18" s="97"/>
      <c r="K18" s="62" t="str">
        <f t="shared" si="0"/>
        <v/>
      </c>
      <c r="L18" s="62" t="str">
        <f t="shared" si="1"/>
        <v/>
      </c>
      <c r="M18" s="62" t="str">
        <f t="shared" si="2"/>
        <v/>
      </c>
      <c r="N18" s="63" t="str">
        <f t="shared" si="3"/>
        <v/>
      </c>
      <c r="O18" s="64" t="str">
        <f t="shared" si="15"/>
        <v/>
      </c>
      <c r="P18" s="93" t="str">
        <f t="shared" si="4"/>
        <v/>
      </c>
      <c r="Q18" s="94" t="str">
        <f t="shared" si="5"/>
        <v/>
      </c>
      <c r="R18" s="64" t="str">
        <f t="shared" si="6"/>
        <v/>
      </c>
      <c r="S18" s="93" t="str">
        <f t="shared" si="7"/>
        <v/>
      </c>
      <c r="T18" s="94" t="str">
        <f t="shared" si="8"/>
        <v/>
      </c>
      <c r="U18" s="64" t="str">
        <f t="shared" si="9"/>
        <v/>
      </c>
      <c r="V18" s="65" t="str">
        <f t="shared" si="10"/>
        <v/>
      </c>
      <c r="W18" s="78" t="str">
        <f t="shared" si="11"/>
        <v/>
      </c>
      <c r="X18" s="66" t="str">
        <f t="shared" si="12"/>
        <v/>
      </c>
      <c r="Y18" s="66" t="str">
        <f t="shared" si="13"/>
        <v/>
      </c>
      <c r="Z18" s="67" t="str">
        <f t="shared" si="14"/>
        <v/>
      </c>
    </row>
    <row r="19" spans="1:26" s="5" customFormat="1" ht="17.25" customHeight="1">
      <c r="A19" s="84">
        <v>8</v>
      </c>
      <c r="B19" s="130"/>
      <c r="C19" s="130"/>
      <c r="D19" s="131"/>
      <c r="E19" s="96"/>
      <c r="F19" s="96"/>
      <c r="G19" s="132"/>
      <c r="H19" s="132"/>
      <c r="I19" s="132"/>
      <c r="J19" s="97"/>
      <c r="K19" s="62" t="str">
        <f t="shared" si="0"/>
        <v/>
      </c>
      <c r="L19" s="62" t="str">
        <f t="shared" si="1"/>
        <v/>
      </c>
      <c r="M19" s="62" t="str">
        <f t="shared" si="2"/>
        <v/>
      </c>
      <c r="N19" s="63" t="str">
        <f t="shared" si="3"/>
        <v/>
      </c>
      <c r="O19" s="64" t="str">
        <f t="shared" si="15"/>
        <v/>
      </c>
      <c r="P19" s="93" t="str">
        <f t="shared" si="4"/>
        <v/>
      </c>
      <c r="Q19" s="94" t="str">
        <f t="shared" si="5"/>
        <v/>
      </c>
      <c r="R19" s="64" t="str">
        <f t="shared" si="6"/>
        <v/>
      </c>
      <c r="S19" s="93" t="str">
        <f t="shared" si="7"/>
        <v/>
      </c>
      <c r="T19" s="94" t="str">
        <f t="shared" si="8"/>
        <v/>
      </c>
      <c r="U19" s="64" t="str">
        <f t="shared" si="9"/>
        <v/>
      </c>
      <c r="V19" s="65" t="str">
        <f t="shared" si="10"/>
        <v/>
      </c>
      <c r="W19" s="78" t="str">
        <f t="shared" si="11"/>
        <v/>
      </c>
      <c r="X19" s="66" t="str">
        <f t="shared" si="12"/>
        <v/>
      </c>
      <c r="Y19" s="66" t="str">
        <f t="shared" si="13"/>
        <v/>
      </c>
      <c r="Z19" s="67" t="str">
        <f t="shared" si="14"/>
        <v/>
      </c>
    </row>
    <row r="20" spans="1:26" s="5" customFormat="1" ht="17.25" customHeight="1">
      <c r="A20" s="84">
        <v>9</v>
      </c>
      <c r="B20" s="130"/>
      <c r="C20" s="130"/>
      <c r="D20" s="131"/>
      <c r="E20" s="96"/>
      <c r="F20" s="96"/>
      <c r="G20" s="132"/>
      <c r="H20" s="132"/>
      <c r="I20" s="132"/>
      <c r="J20" s="97"/>
      <c r="K20" s="62" t="str">
        <f t="shared" si="0"/>
        <v/>
      </c>
      <c r="L20" s="62" t="str">
        <f t="shared" si="1"/>
        <v/>
      </c>
      <c r="M20" s="62" t="str">
        <f t="shared" si="2"/>
        <v/>
      </c>
      <c r="N20" s="63" t="str">
        <f t="shared" si="3"/>
        <v/>
      </c>
      <c r="O20" s="64" t="str">
        <f t="shared" si="15"/>
        <v/>
      </c>
      <c r="P20" s="93" t="str">
        <f t="shared" si="4"/>
        <v/>
      </c>
      <c r="Q20" s="94" t="str">
        <f t="shared" si="5"/>
        <v/>
      </c>
      <c r="R20" s="64" t="str">
        <f t="shared" si="6"/>
        <v/>
      </c>
      <c r="S20" s="93" t="str">
        <f t="shared" si="7"/>
        <v/>
      </c>
      <c r="T20" s="94" t="str">
        <f t="shared" si="8"/>
        <v/>
      </c>
      <c r="U20" s="64" t="str">
        <f t="shared" si="9"/>
        <v/>
      </c>
      <c r="V20" s="65" t="str">
        <f t="shared" si="10"/>
        <v/>
      </c>
      <c r="W20" s="78" t="str">
        <f t="shared" si="11"/>
        <v/>
      </c>
      <c r="X20" s="66" t="str">
        <f t="shared" si="12"/>
        <v/>
      </c>
      <c r="Y20" s="66" t="str">
        <f t="shared" si="13"/>
        <v/>
      </c>
      <c r="Z20" s="67" t="str">
        <f t="shared" si="14"/>
        <v/>
      </c>
    </row>
    <row r="21" spans="1:26" s="5" customFormat="1" ht="17.25" customHeight="1">
      <c r="A21" s="84">
        <v>10</v>
      </c>
      <c r="B21" s="130"/>
      <c r="C21" s="130"/>
      <c r="D21" s="131"/>
      <c r="E21" s="96"/>
      <c r="F21" s="96"/>
      <c r="G21" s="132"/>
      <c r="H21" s="132"/>
      <c r="I21" s="132"/>
      <c r="J21" s="97"/>
      <c r="K21" s="62" t="str">
        <f t="shared" si="0"/>
        <v/>
      </c>
      <c r="L21" s="62" t="str">
        <f t="shared" si="1"/>
        <v/>
      </c>
      <c r="M21" s="62" t="str">
        <f t="shared" si="2"/>
        <v/>
      </c>
      <c r="N21" s="63" t="str">
        <f t="shared" si="3"/>
        <v/>
      </c>
      <c r="O21" s="64" t="str">
        <f t="shared" si="15"/>
        <v/>
      </c>
      <c r="P21" s="93" t="str">
        <f t="shared" si="4"/>
        <v/>
      </c>
      <c r="Q21" s="94" t="str">
        <f t="shared" si="5"/>
        <v/>
      </c>
      <c r="R21" s="64" t="str">
        <f t="shared" si="6"/>
        <v/>
      </c>
      <c r="S21" s="93" t="str">
        <f t="shared" si="7"/>
        <v/>
      </c>
      <c r="T21" s="94" t="str">
        <f t="shared" si="8"/>
        <v/>
      </c>
      <c r="U21" s="64" t="str">
        <f t="shared" si="9"/>
        <v/>
      </c>
      <c r="V21" s="65" t="str">
        <f t="shared" si="10"/>
        <v/>
      </c>
      <c r="W21" s="78" t="str">
        <f t="shared" si="11"/>
        <v/>
      </c>
      <c r="X21" s="66" t="str">
        <f t="shared" si="12"/>
        <v/>
      </c>
      <c r="Y21" s="66" t="str">
        <f t="shared" si="13"/>
        <v/>
      </c>
      <c r="Z21" s="67" t="str">
        <f t="shared" si="14"/>
        <v/>
      </c>
    </row>
    <row r="22" spans="1:26" s="5" customFormat="1" ht="17.25" customHeight="1">
      <c r="A22" s="84">
        <v>11</v>
      </c>
      <c r="B22" s="130"/>
      <c r="C22" s="130"/>
      <c r="D22" s="131"/>
      <c r="E22" s="96"/>
      <c r="F22" s="96"/>
      <c r="G22" s="132"/>
      <c r="H22" s="132"/>
      <c r="I22" s="132"/>
      <c r="J22" s="97"/>
      <c r="K22" s="62" t="str">
        <f t="shared" si="0"/>
        <v/>
      </c>
      <c r="L22" s="62" t="str">
        <f t="shared" si="1"/>
        <v/>
      </c>
      <c r="M22" s="62" t="str">
        <f t="shared" si="2"/>
        <v/>
      </c>
      <c r="N22" s="63" t="str">
        <f t="shared" si="3"/>
        <v/>
      </c>
      <c r="O22" s="64" t="str">
        <f t="shared" si="15"/>
        <v/>
      </c>
      <c r="P22" s="93" t="str">
        <f t="shared" si="4"/>
        <v/>
      </c>
      <c r="Q22" s="94" t="str">
        <f t="shared" si="5"/>
        <v/>
      </c>
      <c r="R22" s="64" t="str">
        <f t="shared" si="6"/>
        <v/>
      </c>
      <c r="S22" s="93" t="str">
        <f t="shared" si="7"/>
        <v/>
      </c>
      <c r="T22" s="94" t="str">
        <f t="shared" si="8"/>
        <v/>
      </c>
      <c r="U22" s="64" t="str">
        <f t="shared" si="9"/>
        <v/>
      </c>
      <c r="V22" s="65" t="str">
        <f t="shared" si="10"/>
        <v/>
      </c>
      <c r="W22" s="78" t="str">
        <f t="shared" si="11"/>
        <v/>
      </c>
      <c r="X22" s="66" t="str">
        <f t="shared" si="12"/>
        <v/>
      </c>
      <c r="Y22" s="66" t="str">
        <f t="shared" si="13"/>
        <v/>
      </c>
      <c r="Z22" s="67" t="str">
        <f t="shared" si="14"/>
        <v/>
      </c>
    </row>
    <row r="23" spans="1:26" s="5" customFormat="1" ht="17.25" customHeight="1">
      <c r="A23" s="84">
        <v>12</v>
      </c>
      <c r="B23" s="130"/>
      <c r="C23" s="130"/>
      <c r="D23" s="131"/>
      <c r="E23" s="96"/>
      <c r="F23" s="96"/>
      <c r="G23" s="132"/>
      <c r="H23" s="132"/>
      <c r="I23" s="132"/>
      <c r="J23" s="97"/>
      <c r="K23" s="62" t="str">
        <f t="shared" si="0"/>
        <v/>
      </c>
      <c r="L23" s="62" t="str">
        <f t="shared" si="1"/>
        <v/>
      </c>
      <c r="M23" s="62" t="str">
        <f t="shared" si="2"/>
        <v/>
      </c>
      <c r="N23" s="63" t="str">
        <f t="shared" si="3"/>
        <v/>
      </c>
      <c r="O23" s="64" t="str">
        <f t="shared" si="15"/>
        <v/>
      </c>
      <c r="P23" s="93" t="str">
        <f t="shared" si="4"/>
        <v/>
      </c>
      <c r="Q23" s="94" t="str">
        <f t="shared" si="5"/>
        <v/>
      </c>
      <c r="R23" s="64" t="str">
        <f t="shared" si="6"/>
        <v/>
      </c>
      <c r="S23" s="93" t="str">
        <f t="shared" si="7"/>
        <v/>
      </c>
      <c r="T23" s="94" t="str">
        <f t="shared" si="8"/>
        <v/>
      </c>
      <c r="U23" s="64" t="str">
        <f t="shared" si="9"/>
        <v/>
      </c>
      <c r="V23" s="65" t="str">
        <f t="shared" si="10"/>
        <v/>
      </c>
      <c r="W23" s="78" t="str">
        <f t="shared" si="11"/>
        <v/>
      </c>
      <c r="X23" s="66" t="str">
        <f t="shared" si="12"/>
        <v/>
      </c>
      <c r="Y23" s="66" t="str">
        <f t="shared" si="13"/>
        <v/>
      </c>
      <c r="Z23" s="67" t="str">
        <f t="shared" si="14"/>
        <v/>
      </c>
    </row>
    <row r="24" spans="1:26" s="5" customFormat="1" ht="17.25" customHeight="1">
      <c r="A24" s="84">
        <v>13</v>
      </c>
      <c r="B24" s="130"/>
      <c r="C24" s="130"/>
      <c r="D24" s="131"/>
      <c r="E24" s="96"/>
      <c r="F24" s="96"/>
      <c r="G24" s="132"/>
      <c r="H24" s="132"/>
      <c r="I24" s="132"/>
      <c r="J24" s="97"/>
      <c r="K24" s="62" t="str">
        <f t="shared" si="0"/>
        <v/>
      </c>
      <c r="L24" s="62" t="str">
        <f t="shared" si="1"/>
        <v/>
      </c>
      <c r="M24" s="62" t="str">
        <f t="shared" si="2"/>
        <v/>
      </c>
      <c r="N24" s="63" t="str">
        <f t="shared" si="3"/>
        <v/>
      </c>
      <c r="O24" s="64" t="str">
        <f t="shared" si="15"/>
        <v/>
      </c>
      <c r="P24" s="93" t="str">
        <f t="shared" si="4"/>
        <v/>
      </c>
      <c r="Q24" s="94" t="str">
        <f t="shared" si="5"/>
        <v/>
      </c>
      <c r="R24" s="64" t="str">
        <f t="shared" si="6"/>
        <v/>
      </c>
      <c r="S24" s="93" t="str">
        <f t="shared" si="7"/>
        <v/>
      </c>
      <c r="T24" s="94" t="str">
        <f t="shared" si="8"/>
        <v/>
      </c>
      <c r="U24" s="64" t="str">
        <f t="shared" si="9"/>
        <v/>
      </c>
      <c r="V24" s="65" t="str">
        <f t="shared" si="10"/>
        <v/>
      </c>
      <c r="W24" s="78" t="str">
        <f t="shared" si="11"/>
        <v/>
      </c>
      <c r="X24" s="66" t="str">
        <f t="shared" si="12"/>
        <v/>
      </c>
      <c r="Y24" s="66" t="str">
        <f t="shared" si="13"/>
        <v/>
      </c>
      <c r="Z24" s="67" t="str">
        <f t="shared" si="14"/>
        <v/>
      </c>
    </row>
    <row r="25" spans="1:26" s="5" customFormat="1" ht="17.25" customHeight="1">
      <c r="A25" s="84">
        <v>14</v>
      </c>
      <c r="B25" s="130"/>
      <c r="C25" s="130"/>
      <c r="D25" s="131"/>
      <c r="E25" s="96"/>
      <c r="F25" s="96"/>
      <c r="G25" s="132"/>
      <c r="H25" s="132"/>
      <c r="I25" s="132"/>
      <c r="J25" s="97"/>
      <c r="K25" s="62" t="str">
        <f t="shared" si="0"/>
        <v/>
      </c>
      <c r="L25" s="62" t="str">
        <f t="shared" si="1"/>
        <v/>
      </c>
      <c r="M25" s="62" t="str">
        <f t="shared" si="2"/>
        <v/>
      </c>
      <c r="N25" s="63" t="str">
        <f t="shared" si="3"/>
        <v/>
      </c>
      <c r="O25" s="64" t="str">
        <f t="shared" si="15"/>
        <v/>
      </c>
      <c r="P25" s="93" t="str">
        <f t="shared" si="4"/>
        <v/>
      </c>
      <c r="Q25" s="94" t="str">
        <f t="shared" si="5"/>
        <v/>
      </c>
      <c r="R25" s="64" t="str">
        <f t="shared" si="6"/>
        <v/>
      </c>
      <c r="S25" s="93" t="str">
        <f t="shared" si="7"/>
        <v/>
      </c>
      <c r="T25" s="94" t="str">
        <f t="shared" si="8"/>
        <v/>
      </c>
      <c r="U25" s="64" t="str">
        <f t="shared" si="9"/>
        <v/>
      </c>
      <c r="V25" s="65" t="str">
        <f t="shared" si="10"/>
        <v/>
      </c>
      <c r="W25" s="78" t="str">
        <f t="shared" si="11"/>
        <v/>
      </c>
      <c r="X25" s="66" t="str">
        <f t="shared" si="12"/>
        <v/>
      </c>
      <c r="Y25" s="66" t="str">
        <f t="shared" si="13"/>
        <v/>
      </c>
      <c r="Z25" s="67" t="str">
        <f t="shared" si="14"/>
        <v/>
      </c>
    </row>
    <row r="26" spans="1:26" s="5" customFormat="1" ht="17.25" customHeight="1">
      <c r="A26" s="84">
        <v>15</v>
      </c>
      <c r="B26" s="130"/>
      <c r="C26" s="130"/>
      <c r="D26" s="131"/>
      <c r="E26" s="96"/>
      <c r="F26" s="96"/>
      <c r="G26" s="132"/>
      <c r="H26" s="132"/>
      <c r="I26" s="132"/>
      <c r="J26" s="97"/>
      <c r="K26" s="62" t="str">
        <f t="shared" si="0"/>
        <v/>
      </c>
      <c r="L26" s="62" t="str">
        <f t="shared" si="1"/>
        <v/>
      </c>
      <c r="M26" s="62" t="str">
        <f t="shared" si="2"/>
        <v/>
      </c>
      <c r="N26" s="63" t="str">
        <f t="shared" si="3"/>
        <v/>
      </c>
      <c r="O26" s="64" t="str">
        <f t="shared" si="15"/>
        <v/>
      </c>
      <c r="P26" s="93" t="str">
        <f t="shared" si="4"/>
        <v/>
      </c>
      <c r="Q26" s="94" t="str">
        <f t="shared" si="5"/>
        <v/>
      </c>
      <c r="R26" s="64" t="str">
        <f t="shared" si="6"/>
        <v/>
      </c>
      <c r="S26" s="93" t="str">
        <f t="shared" si="7"/>
        <v/>
      </c>
      <c r="T26" s="94" t="str">
        <f t="shared" si="8"/>
        <v/>
      </c>
      <c r="U26" s="64" t="str">
        <f t="shared" si="9"/>
        <v/>
      </c>
      <c r="V26" s="65" t="str">
        <f t="shared" si="10"/>
        <v/>
      </c>
      <c r="W26" s="78" t="str">
        <f t="shared" si="11"/>
        <v/>
      </c>
      <c r="X26" s="66" t="str">
        <f t="shared" si="12"/>
        <v/>
      </c>
      <c r="Y26" s="66" t="str">
        <f t="shared" si="13"/>
        <v/>
      </c>
      <c r="Z26" s="67" t="str">
        <f t="shared" si="14"/>
        <v/>
      </c>
    </row>
    <row r="27" spans="1:26" s="5" customFormat="1" ht="17.25" customHeight="1">
      <c r="A27" s="84">
        <v>16</v>
      </c>
      <c r="B27" s="130"/>
      <c r="C27" s="130"/>
      <c r="D27" s="131"/>
      <c r="E27" s="96"/>
      <c r="F27" s="96"/>
      <c r="G27" s="132"/>
      <c r="H27" s="132"/>
      <c r="I27" s="132"/>
      <c r="J27" s="97"/>
      <c r="K27" s="62" t="str">
        <f t="shared" si="0"/>
        <v/>
      </c>
      <c r="L27" s="62" t="str">
        <f t="shared" si="1"/>
        <v/>
      </c>
      <c r="M27" s="62" t="str">
        <f t="shared" si="2"/>
        <v/>
      </c>
      <c r="N27" s="63" t="str">
        <f t="shared" si="3"/>
        <v/>
      </c>
      <c r="O27" s="64" t="str">
        <f t="shared" si="15"/>
        <v/>
      </c>
      <c r="P27" s="93" t="str">
        <f t="shared" si="4"/>
        <v/>
      </c>
      <c r="Q27" s="94" t="str">
        <f t="shared" si="5"/>
        <v/>
      </c>
      <c r="R27" s="64" t="str">
        <f t="shared" si="6"/>
        <v/>
      </c>
      <c r="S27" s="93" t="str">
        <f t="shared" si="7"/>
        <v/>
      </c>
      <c r="T27" s="94" t="str">
        <f t="shared" si="8"/>
        <v/>
      </c>
      <c r="U27" s="64" t="str">
        <f t="shared" si="9"/>
        <v/>
      </c>
      <c r="V27" s="65" t="str">
        <f t="shared" si="10"/>
        <v/>
      </c>
      <c r="W27" s="78" t="str">
        <f t="shared" si="11"/>
        <v/>
      </c>
      <c r="X27" s="66" t="str">
        <f t="shared" si="12"/>
        <v/>
      </c>
      <c r="Y27" s="66" t="str">
        <f t="shared" si="13"/>
        <v/>
      </c>
      <c r="Z27" s="67" t="str">
        <f t="shared" si="14"/>
        <v/>
      </c>
    </row>
    <row r="28" spans="1:26" s="5" customFormat="1" ht="17.25" customHeight="1">
      <c r="A28" s="84">
        <v>17</v>
      </c>
      <c r="B28" s="130"/>
      <c r="C28" s="130"/>
      <c r="D28" s="131"/>
      <c r="E28" s="96"/>
      <c r="F28" s="96"/>
      <c r="G28" s="132"/>
      <c r="H28" s="132"/>
      <c r="I28" s="132"/>
      <c r="J28" s="97"/>
      <c r="K28" s="62" t="str">
        <f t="shared" si="0"/>
        <v/>
      </c>
      <c r="L28" s="62" t="str">
        <f t="shared" si="1"/>
        <v/>
      </c>
      <c r="M28" s="62" t="str">
        <f t="shared" si="2"/>
        <v/>
      </c>
      <c r="N28" s="63" t="str">
        <f t="shared" si="3"/>
        <v/>
      </c>
      <c r="O28" s="64" t="str">
        <f t="shared" si="15"/>
        <v/>
      </c>
      <c r="P28" s="93" t="str">
        <f t="shared" si="4"/>
        <v/>
      </c>
      <c r="Q28" s="94" t="str">
        <f t="shared" si="5"/>
        <v/>
      </c>
      <c r="R28" s="64" t="str">
        <f t="shared" si="6"/>
        <v/>
      </c>
      <c r="S28" s="93" t="str">
        <f t="shared" si="7"/>
        <v/>
      </c>
      <c r="T28" s="94" t="str">
        <f t="shared" si="8"/>
        <v/>
      </c>
      <c r="U28" s="64" t="str">
        <f t="shared" si="9"/>
        <v/>
      </c>
      <c r="V28" s="65" t="str">
        <f t="shared" si="10"/>
        <v/>
      </c>
      <c r="W28" s="78" t="str">
        <f t="shared" si="11"/>
        <v/>
      </c>
      <c r="X28" s="66" t="str">
        <f t="shared" si="12"/>
        <v/>
      </c>
      <c r="Y28" s="66" t="str">
        <f t="shared" si="13"/>
        <v/>
      </c>
      <c r="Z28" s="67" t="str">
        <f t="shared" si="14"/>
        <v/>
      </c>
    </row>
    <row r="29" spans="1:26" s="5" customFormat="1" ht="17.25" customHeight="1">
      <c r="A29" s="84">
        <v>18</v>
      </c>
      <c r="B29" s="130"/>
      <c r="C29" s="130"/>
      <c r="D29" s="131"/>
      <c r="E29" s="96"/>
      <c r="F29" s="96"/>
      <c r="G29" s="132"/>
      <c r="H29" s="132"/>
      <c r="I29" s="132"/>
      <c r="J29" s="97"/>
      <c r="K29" s="62" t="str">
        <f t="shared" si="0"/>
        <v/>
      </c>
      <c r="L29" s="62" t="str">
        <f t="shared" si="1"/>
        <v/>
      </c>
      <c r="M29" s="62" t="str">
        <f t="shared" si="2"/>
        <v/>
      </c>
      <c r="N29" s="63" t="str">
        <f t="shared" si="3"/>
        <v/>
      </c>
      <c r="O29" s="64" t="str">
        <f t="shared" si="15"/>
        <v/>
      </c>
      <c r="P29" s="93" t="str">
        <f t="shared" si="4"/>
        <v/>
      </c>
      <c r="Q29" s="94" t="str">
        <f t="shared" si="5"/>
        <v/>
      </c>
      <c r="R29" s="64" t="str">
        <f t="shared" si="6"/>
        <v/>
      </c>
      <c r="S29" s="93" t="str">
        <f t="shared" si="7"/>
        <v/>
      </c>
      <c r="T29" s="94" t="str">
        <f t="shared" si="8"/>
        <v/>
      </c>
      <c r="U29" s="64" t="str">
        <f t="shared" si="9"/>
        <v/>
      </c>
      <c r="V29" s="65" t="str">
        <f t="shared" si="10"/>
        <v/>
      </c>
      <c r="W29" s="78" t="str">
        <f t="shared" si="11"/>
        <v/>
      </c>
      <c r="X29" s="66" t="str">
        <f t="shared" si="12"/>
        <v/>
      </c>
      <c r="Y29" s="66" t="str">
        <f t="shared" si="13"/>
        <v/>
      </c>
      <c r="Z29" s="67" t="str">
        <f t="shared" si="14"/>
        <v/>
      </c>
    </row>
    <row r="30" spans="1:26" s="5" customFormat="1" ht="17.25" customHeight="1">
      <c r="A30" s="84">
        <v>19</v>
      </c>
      <c r="B30" s="130"/>
      <c r="C30" s="130"/>
      <c r="D30" s="131"/>
      <c r="E30" s="96"/>
      <c r="F30" s="96"/>
      <c r="G30" s="132"/>
      <c r="H30" s="132"/>
      <c r="I30" s="132"/>
      <c r="J30" s="97"/>
      <c r="K30" s="62" t="str">
        <f t="shared" si="0"/>
        <v/>
      </c>
      <c r="L30" s="62" t="str">
        <f t="shared" si="1"/>
        <v/>
      </c>
      <c r="M30" s="62" t="str">
        <f t="shared" si="2"/>
        <v/>
      </c>
      <c r="N30" s="63" t="str">
        <f t="shared" si="3"/>
        <v/>
      </c>
      <c r="O30" s="64" t="str">
        <f t="shared" si="15"/>
        <v/>
      </c>
      <c r="P30" s="93" t="str">
        <f t="shared" si="4"/>
        <v/>
      </c>
      <c r="Q30" s="94" t="str">
        <f t="shared" si="5"/>
        <v/>
      </c>
      <c r="R30" s="64" t="str">
        <f t="shared" si="6"/>
        <v/>
      </c>
      <c r="S30" s="93" t="str">
        <f t="shared" si="7"/>
        <v/>
      </c>
      <c r="T30" s="94" t="str">
        <f t="shared" si="8"/>
        <v/>
      </c>
      <c r="U30" s="64" t="str">
        <f t="shared" si="9"/>
        <v/>
      </c>
      <c r="V30" s="65" t="str">
        <f t="shared" si="10"/>
        <v/>
      </c>
      <c r="W30" s="78" t="str">
        <f t="shared" si="11"/>
        <v/>
      </c>
      <c r="X30" s="66" t="str">
        <f t="shared" si="12"/>
        <v/>
      </c>
      <c r="Y30" s="66" t="str">
        <f t="shared" si="13"/>
        <v/>
      </c>
      <c r="Z30" s="67" t="str">
        <f t="shared" si="14"/>
        <v/>
      </c>
    </row>
    <row r="31" spans="1:26" s="5" customFormat="1" ht="17.25" customHeight="1">
      <c r="A31" s="84">
        <v>20</v>
      </c>
      <c r="B31" s="130"/>
      <c r="C31" s="130"/>
      <c r="D31" s="131"/>
      <c r="E31" s="96"/>
      <c r="F31" s="96"/>
      <c r="G31" s="132"/>
      <c r="H31" s="132"/>
      <c r="I31" s="132"/>
      <c r="J31" s="97"/>
      <c r="K31" s="62" t="str">
        <f t="shared" si="0"/>
        <v/>
      </c>
      <c r="L31" s="62" t="str">
        <f t="shared" si="1"/>
        <v/>
      </c>
      <c r="M31" s="62" t="str">
        <f t="shared" si="2"/>
        <v/>
      </c>
      <c r="N31" s="63" t="str">
        <f t="shared" si="3"/>
        <v/>
      </c>
      <c r="O31" s="64" t="str">
        <f t="shared" si="15"/>
        <v/>
      </c>
      <c r="P31" s="93" t="str">
        <f t="shared" si="4"/>
        <v/>
      </c>
      <c r="Q31" s="94" t="str">
        <f t="shared" si="5"/>
        <v/>
      </c>
      <c r="R31" s="64" t="str">
        <f t="shared" si="6"/>
        <v/>
      </c>
      <c r="S31" s="93" t="str">
        <f t="shared" si="7"/>
        <v/>
      </c>
      <c r="T31" s="94" t="str">
        <f t="shared" si="8"/>
        <v/>
      </c>
      <c r="U31" s="64" t="str">
        <f t="shared" si="9"/>
        <v/>
      </c>
      <c r="V31" s="65" t="str">
        <f t="shared" si="10"/>
        <v/>
      </c>
      <c r="W31" s="78" t="str">
        <f t="shared" si="11"/>
        <v/>
      </c>
      <c r="X31" s="66" t="str">
        <f t="shared" si="12"/>
        <v/>
      </c>
      <c r="Y31" s="66" t="str">
        <f t="shared" si="13"/>
        <v/>
      </c>
      <c r="Z31" s="67" t="str">
        <f t="shared" si="14"/>
        <v/>
      </c>
    </row>
    <row r="32" spans="1:26" s="5" customFormat="1" ht="17.25" customHeight="1">
      <c r="A32" s="84">
        <v>21</v>
      </c>
      <c r="B32" s="130"/>
      <c r="C32" s="130"/>
      <c r="D32" s="131"/>
      <c r="E32" s="96"/>
      <c r="F32" s="96"/>
      <c r="G32" s="132"/>
      <c r="H32" s="132"/>
      <c r="I32" s="132"/>
      <c r="J32" s="97"/>
      <c r="K32" s="62" t="str">
        <f t="shared" si="0"/>
        <v/>
      </c>
      <c r="L32" s="62" t="str">
        <f t="shared" si="1"/>
        <v/>
      </c>
      <c r="M32" s="62" t="str">
        <f t="shared" si="2"/>
        <v/>
      </c>
      <c r="N32" s="63" t="str">
        <f t="shared" si="3"/>
        <v/>
      </c>
      <c r="O32" s="64" t="str">
        <f t="shared" si="15"/>
        <v/>
      </c>
      <c r="P32" s="93" t="str">
        <f t="shared" si="4"/>
        <v/>
      </c>
      <c r="Q32" s="94" t="str">
        <f t="shared" si="5"/>
        <v/>
      </c>
      <c r="R32" s="64" t="str">
        <f t="shared" si="6"/>
        <v/>
      </c>
      <c r="S32" s="93" t="str">
        <f t="shared" si="7"/>
        <v/>
      </c>
      <c r="T32" s="94" t="str">
        <f t="shared" si="8"/>
        <v/>
      </c>
      <c r="U32" s="64" t="str">
        <f t="shared" si="9"/>
        <v/>
      </c>
      <c r="V32" s="65" t="str">
        <f t="shared" si="10"/>
        <v/>
      </c>
      <c r="W32" s="78" t="str">
        <f t="shared" si="11"/>
        <v/>
      </c>
      <c r="X32" s="66" t="str">
        <f t="shared" si="12"/>
        <v/>
      </c>
      <c r="Y32" s="66" t="str">
        <f t="shared" si="13"/>
        <v/>
      </c>
      <c r="Z32" s="67" t="str">
        <f t="shared" si="14"/>
        <v/>
      </c>
    </row>
    <row r="33" spans="1:26" s="5" customFormat="1" ht="17.25" customHeight="1">
      <c r="A33" s="84">
        <v>22</v>
      </c>
      <c r="B33" s="130"/>
      <c r="C33" s="130"/>
      <c r="D33" s="131"/>
      <c r="E33" s="96"/>
      <c r="F33" s="96"/>
      <c r="G33" s="132"/>
      <c r="H33" s="133"/>
      <c r="I33" s="134"/>
      <c r="J33" s="97"/>
      <c r="K33" s="62" t="str">
        <f t="shared" si="0"/>
        <v/>
      </c>
      <c r="L33" s="62" t="str">
        <f t="shared" si="1"/>
        <v/>
      </c>
      <c r="M33" s="62" t="str">
        <f t="shared" si="2"/>
        <v/>
      </c>
      <c r="N33" s="63" t="str">
        <f t="shared" si="3"/>
        <v/>
      </c>
      <c r="O33" s="64" t="str">
        <f t="shared" si="15"/>
        <v/>
      </c>
      <c r="P33" s="93" t="str">
        <f t="shared" si="4"/>
        <v/>
      </c>
      <c r="Q33" s="94" t="str">
        <f t="shared" si="5"/>
        <v/>
      </c>
      <c r="R33" s="64" t="str">
        <f t="shared" si="6"/>
        <v/>
      </c>
      <c r="S33" s="93" t="str">
        <f t="shared" si="7"/>
        <v/>
      </c>
      <c r="T33" s="94" t="str">
        <f t="shared" si="8"/>
        <v/>
      </c>
      <c r="U33" s="64" t="str">
        <f t="shared" si="9"/>
        <v/>
      </c>
      <c r="V33" s="65" t="str">
        <f t="shared" si="10"/>
        <v/>
      </c>
      <c r="W33" s="78" t="str">
        <f t="shared" si="11"/>
        <v/>
      </c>
      <c r="X33" s="66" t="str">
        <f t="shared" si="12"/>
        <v/>
      </c>
      <c r="Y33" s="66" t="str">
        <f t="shared" si="13"/>
        <v/>
      </c>
      <c r="Z33" s="67" t="str">
        <f t="shared" si="14"/>
        <v/>
      </c>
    </row>
    <row r="34" spans="1:26" s="5" customFormat="1" ht="17.25" customHeight="1">
      <c r="A34" s="84">
        <v>23</v>
      </c>
      <c r="B34" s="130"/>
      <c r="C34" s="130"/>
      <c r="D34" s="131"/>
      <c r="E34" s="96"/>
      <c r="F34" s="96"/>
      <c r="G34" s="132"/>
      <c r="H34" s="133"/>
      <c r="I34" s="134"/>
      <c r="J34" s="97"/>
      <c r="K34" s="62" t="str">
        <f t="shared" si="0"/>
        <v/>
      </c>
      <c r="L34" s="62" t="str">
        <f t="shared" si="1"/>
        <v/>
      </c>
      <c r="M34" s="62" t="str">
        <f t="shared" si="2"/>
        <v/>
      </c>
      <c r="N34" s="63" t="str">
        <f t="shared" si="3"/>
        <v/>
      </c>
      <c r="O34" s="64" t="str">
        <f t="shared" si="15"/>
        <v/>
      </c>
      <c r="P34" s="93" t="str">
        <f t="shared" si="4"/>
        <v/>
      </c>
      <c r="Q34" s="94" t="str">
        <f t="shared" si="5"/>
        <v/>
      </c>
      <c r="R34" s="64" t="str">
        <f t="shared" si="6"/>
        <v/>
      </c>
      <c r="S34" s="93" t="str">
        <f t="shared" si="7"/>
        <v/>
      </c>
      <c r="T34" s="94" t="str">
        <f t="shared" si="8"/>
        <v/>
      </c>
      <c r="U34" s="64" t="str">
        <f t="shared" si="9"/>
        <v/>
      </c>
      <c r="V34" s="65" t="str">
        <f t="shared" si="10"/>
        <v/>
      </c>
      <c r="W34" s="78" t="str">
        <f t="shared" si="11"/>
        <v/>
      </c>
      <c r="X34" s="66" t="str">
        <f t="shared" si="12"/>
        <v/>
      </c>
      <c r="Y34" s="66" t="str">
        <f t="shared" si="13"/>
        <v/>
      </c>
      <c r="Z34" s="67" t="str">
        <f t="shared" si="14"/>
        <v/>
      </c>
    </row>
    <row r="35" spans="1:26" s="5" customFormat="1" ht="17.25" customHeight="1">
      <c r="A35" s="84">
        <v>24</v>
      </c>
      <c r="B35" s="130"/>
      <c r="C35" s="130"/>
      <c r="D35" s="131"/>
      <c r="E35" s="96"/>
      <c r="F35" s="96"/>
      <c r="G35" s="132"/>
      <c r="H35" s="133"/>
      <c r="I35" s="134"/>
      <c r="J35" s="97"/>
      <c r="K35" s="62" t="str">
        <f t="shared" si="0"/>
        <v/>
      </c>
      <c r="L35" s="62" t="str">
        <f t="shared" si="1"/>
        <v/>
      </c>
      <c r="M35" s="62" t="str">
        <f t="shared" si="2"/>
        <v/>
      </c>
      <c r="N35" s="63" t="str">
        <f t="shared" si="3"/>
        <v/>
      </c>
      <c r="O35" s="64" t="str">
        <f t="shared" si="15"/>
        <v/>
      </c>
      <c r="P35" s="93" t="str">
        <f t="shared" si="4"/>
        <v/>
      </c>
      <c r="Q35" s="94" t="str">
        <f t="shared" si="5"/>
        <v/>
      </c>
      <c r="R35" s="64" t="str">
        <f t="shared" si="6"/>
        <v/>
      </c>
      <c r="S35" s="93" t="str">
        <f t="shared" si="7"/>
        <v/>
      </c>
      <c r="T35" s="94" t="str">
        <f t="shared" si="8"/>
        <v/>
      </c>
      <c r="U35" s="64" t="str">
        <f t="shared" si="9"/>
        <v/>
      </c>
      <c r="V35" s="65" t="str">
        <f t="shared" si="10"/>
        <v/>
      </c>
      <c r="W35" s="78" t="str">
        <f t="shared" si="11"/>
        <v/>
      </c>
      <c r="X35" s="66" t="str">
        <f t="shared" si="12"/>
        <v/>
      </c>
      <c r="Y35" s="66" t="str">
        <f t="shared" si="13"/>
        <v/>
      </c>
      <c r="Z35" s="67" t="str">
        <f t="shared" si="14"/>
        <v/>
      </c>
    </row>
    <row r="36" spans="1:26" s="17" customFormat="1" ht="17.25" customHeight="1" thickBot="1">
      <c r="A36" s="84">
        <v>25</v>
      </c>
      <c r="B36" s="130"/>
      <c r="C36" s="130"/>
      <c r="D36" s="131"/>
      <c r="E36" s="96"/>
      <c r="F36" s="96"/>
      <c r="G36" s="132"/>
      <c r="H36" s="133"/>
      <c r="I36" s="134"/>
      <c r="J36" s="97"/>
      <c r="K36" s="62" t="str">
        <f t="shared" si="0"/>
        <v/>
      </c>
      <c r="L36" s="62" t="str">
        <f t="shared" si="1"/>
        <v/>
      </c>
      <c r="M36" s="62" t="str">
        <f t="shared" si="2"/>
        <v/>
      </c>
      <c r="N36" s="63" t="str">
        <f t="shared" si="3"/>
        <v/>
      </c>
      <c r="O36" s="64" t="str">
        <f t="shared" si="15"/>
        <v/>
      </c>
      <c r="P36" s="93" t="str">
        <f t="shared" si="4"/>
        <v/>
      </c>
      <c r="Q36" s="94" t="str">
        <f t="shared" si="5"/>
        <v/>
      </c>
      <c r="R36" s="64" t="str">
        <f t="shared" si="6"/>
        <v/>
      </c>
      <c r="S36" s="93" t="str">
        <f t="shared" si="7"/>
        <v/>
      </c>
      <c r="T36" s="94" t="str">
        <f t="shared" si="8"/>
        <v/>
      </c>
      <c r="U36" s="64" t="str">
        <f t="shared" si="9"/>
        <v/>
      </c>
      <c r="V36" s="65" t="str">
        <f t="shared" si="10"/>
        <v/>
      </c>
      <c r="W36" s="78" t="str">
        <f t="shared" si="11"/>
        <v/>
      </c>
      <c r="X36" s="66" t="str">
        <f t="shared" si="12"/>
        <v/>
      </c>
      <c r="Y36" s="66" t="str">
        <f t="shared" si="13"/>
        <v/>
      </c>
      <c r="Z36" s="67" t="str">
        <f t="shared" si="14"/>
        <v/>
      </c>
    </row>
    <row r="37" spans="1:26" s="5" customFormat="1" ht="17.25" customHeight="1">
      <c r="A37" s="84">
        <v>26</v>
      </c>
      <c r="B37" s="32"/>
      <c r="C37" s="107"/>
      <c r="D37" s="108"/>
      <c r="E37" s="110"/>
      <c r="F37" s="137"/>
      <c r="G37" s="61"/>
      <c r="H37" s="61"/>
      <c r="I37" s="112"/>
      <c r="J37" s="97"/>
      <c r="K37" s="62" t="str">
        <f t="shared" si="0"/>
        <v/>
      </c>
      <c r="L37" s="62" t="str">
        <f t="shared" si="1"/>
        <v/>
      </c>
      <c r="M37" s="62" t="str">
        <f t="shared" si="2"/>
        <v/>
      </c>
      <c r="N37" s="63" t="str">
        <f t="shared" si="3"/>
        <v/>
      </c>
      <c r="O37" s="64" t="str">
        <f t="shared" si="15"/>
        <v/>
      </c>
      <c r="P37" s="93" t="str">
        <f t="shared" si="4"/>
        <v/>
      </c>
      <c r="Q37" s="94" t="str">
        <f t="shared" si="5"/>
        <v/>
      </c>
      <c r="R37" s="64" t="str">
        <f t="shared" si="6"/>
        <v/>
      </c>
      <c r="S37" s="93" t="str">
        <f t="shared" si="7"/>
        <v/>
      </c>
      <c r="T37" s="94" t="str">
        <f t="shared" si="8"/>
        <v/>
      </c>
      <c r="U37" s="64" t="str">
        <f t="shared" si="9"/>
        <v/>
      </c>
      <c r="V37" s="65" t="str">
        <f t="shared" si="10"/>
        <v/>
      </c>
      <c r="W37" s="78" t="str">
        <f t="shared" si="11"/>
        <v/>
      </c>
      <c r="X37" s="66" t="str">
        <f t="shared" si="12"/>
        <v/>
      </c>
      <c r="Y37" s="66" t="str">
        <f t="shared" si="13"/>
        <v/>
      </c>
      <c r="Z37" s="67" t="str">
        <f t="shared" si="14"/>
        <v/>
      </c>
    </row>
    <row r="38" spans="1:26" s="5" customFormat="1" ht="17.25" customHeight="1">
      <c r="A38" s="84">
        <v>27</v>
      </c>
      <c r="B38" s="32"/>
      <c r="C38" s="107"/>
      <c r="D38" s="108"/>
      <c r="E38" s="109"/>
      <c r="F38" s="137"/>
      <c r="G38" s="61"/>
      <c r="H38" s="61"/>
      <c r="I38" s="112"/>
      <c r="J38" s="97"/>
      <c r="K38" s="62" t="str">
        <f t="shared" si="0"/>
        <v/>
      </c>
      <c r="L38" s="62" t="str">
        <f t="shared" si="1"/>
        <v/>
      </c>
      <c r="M38" s="62" t="str">
        <f t="shared" si="2"/>
        <v/>
      </c>
      <c r="N38" s="63" t="str">
        <f t="shared" si="3"/>
        <v/>
      </c>
      <c r="O38" s="64" t="str">
        <f t="shared" si="15"/>
        <v/>
      </c>
      <c r="P38" s="93" t="str">
        <f t="shared" si="4"/>
        <v/>
      </c>
      <c r="Q38" s="94" t="str">
        <f t="shared" si="5"/>
        <v/>
      </c>
      <c r="R38" s="64" t="str">
        <f t="shared" si="6"/>
        <v/>
      </c>
      <c r="S38" s="93" t="str">
        <f t="shared" si="7"/>
        <v/>
      </c>
      <c r="T38" s="94" t="str">
        <f t="shared" si="8"/>
        <v/>
      </c>
      <c r="U38" s="64" t="str">
        <f t="shared" si="9"/>
        <v/>
      </c>
      <c r="V38" s="65" t="str">
        <f t="shared" si="10"/>
        <v/>
      </c>
      <c r="W38" s="78" t="str">
        <f t="shared" si="11"/>
        <v/>
      </c>
      <c r="X38" s="66" t="str">
        <f t="shared" si="12"/>
        <v/>
      </c>
      <c r="Y38" s="66" t="str">
        <f t="shared" si="13"/>
        <v/>
      </c>
      <c r="Z38" s="67" t="str">
        <f t="shared" si="14"/>
        <v/>
      </c>
    </row>
    <row r="39" spans="1:26" s="5" customFormat="1" ht="17.25" customHeight="1">
      <c r="A39" s="84">
        <v>28</v>
      </c>
      <c r="B39" s="32"/>
      <c r="C39" s="107"/>
      <c r="D39" s="108"/>
      <c r="E39" s="109"/>
      <c r="F39" s="137"/>
      <c r="G39" s="61"/>
      <c r="H39" s="61"/>
      <c r="I39" s="112"/>
      <c r="J39" s="97"/>
      <c r="K39" s="62" t="str">
        <f t="shared" si="0"/>
        <v/>
      </c>
      <c r="L39" s="62" t="str">
        <f t="shared" si="1"/>
        <v/>
      </c>
      <c r="M39" s="62" t="str">
        <f t="shared" si="2"/>
        <v/>
      </c>
      <c r="N39" s="63" t="str">
        <f t="shared" si="3"/>
        <v/>
      </c>
      <c r="O39" s="64" t="str">
        <f t="shared" si="15"/>
        <v/>
      </c>
      <c r="P39" s="93" t="str">
        <f t="shared" si="4"/>
        <v/>
      </c>
      <c r="Q39" s="94" t="str">
        <f t="shared" si="5"/>
        <v/>
      </c>
      <c r="R39" s="64" t="str">
        <f t="shared" si="6"/>
        <v/>
      </c>
      <c r="S39" s="93" t="str">
        <f t="shared" si="7"/>
        <v/>
      </c>
      <c r="T39" s="94" t="str">
        <f t="shared" si="8"/>
        <v/>
      </c>
      <c r="U39" s="64" t="str">
        <f t="shared" si="9"/>
        <v/>
      </c>
      <c r="V39" s="65" t="str">
        <f t="shared" si="10"/>
        <v/>
      </c>
      <c r="W39" s="78" t="str">
        <f t="shared" si="11"/>
        <v/>
      </c>
      <c r="X39" s="66" t="str">
        <f t="shared" si="12"/>
        <v/>
      </c>
      <c r="Y39" s="66" t="str">
        <f t="shared" si="13"/>
        <v/>
      </c>
      <c r="Z39" s="67" t="str">
        <f t="shared" si="14"/>
        <v/>
      </c>
    </row>
    <row r="40" spans="1:26" s="5" customFormat="1" ht="17.25" customHeight="1">
      <c r="A40" s="84">
        <v>29</v>
      </c>
      <c r="B40" s="32"/>
      <c r="C40" s="107"/>
      <c r="D40" s="108"/>
      <c r="E40" s="109"/>
      <c r="F40" s="137"/>
      <c r="G40" s="61"/>
      <c r="H40" s="61"/>
      <c r="I40" s="112"/>
      <c r="J40" s="97"/>
      <c r="K40" s="62" t="str">
        <f t="shared" si="0"/>
        <v/>
      </c>
      <c r="L40" s="62" t="str">
        <f t="shared" si="1"/>
        <v/>
      </c>
      <c r="M40" s="62" t="str">
        <f t="shared" si="2"/>
        <v/>
      </c>
      <c r="N40" s="63" t="str">
        <f t="shared" si="3"/>
        <v/>
      </c>
      <c r="O40" s="64" t="str">
        <f t="shared" si="15"/>
        <v/>
      </c>
      <c r="P40" s="93" t="str">
        <f t="shared" si="4"/>
        <v/>
      </c>
      <c r="Q40" s="94" t="str">
        <f t="shared" si="5"/>
        <v/>
      </c>
      <c r="R40" s="64" t="str">
        <f t="shared" si="6"/>
        <v/>
      </c>
      <c r="S40" s="93" t="str">
        <f t="shared" si="7"/>
        <v/>
      </c>
      <c r="T40" s="94" t="str">
        <f t="shared" si="8"/>
        <v/>
      </c>
      <c r="U40" s="64" t="str">
        <f t="shared" si="9"/>
        <v/>
      </c>
      <c r="V40" s="65" t="str">
        <f t="shared" si="10"/>
        <v/>
      </c>
      <c r="W40" s="78" t="str">
        <f t="shared" si="11"/>
        <v/>
      </c>
      <c r="X40" s="66" t="str">
        <f t="shared" si="12"/>
        <v/>
      </c>
      <c r="Y40" s="66" t="str">
        <f t="shared" si="13"/>
        <v/>
      </c>
      <c r="Z40" s="67" t="str">
        <f t="shared" si="14"/>
        <v/>
      </c>
    </row>
    <row r="41" spans="1:26" s="5" customFormat="1" ht="17.25" customHeight="1">
      <c r="A41" s="84">
        <v>30</v>
      </c>
      <c r="B41" s="32"/>
      <c r="C41" s="107"/>
      <c r="D41" s="108"/>
      <c r="E41" s="109"/>
      <c r="F41" s="137"/>
      <c r="G41" s="61"/>
      <c r="H41" s="61"/>
      <c r="I41" s="112"/>
      <c r="J41" s="97"/>
      <c r="K41" s="62" t="str">
        <f t="shared" si="0"/>
        <v/>
      </c>
      <c r="L41" s="62" t="str">
        <f t="shared" si="1"/>
        <v/>
      </c>
      <c r="M41" s="62" t="str">
        <f t="shared" si="2"/>
        <v/>
      </c>
      <c r="N41" s="63" t="str">
        <f t="shared" si="3"/>
        <v/>
      </c>
      <c r="O41" s="64" t="str">
        <f t="shared" si="15"/>
        <v/>
      </c>
      <c r="P41" s="93" t="str">
        <f t="shared" si="4"/>
        <v/>
      </c>
      <c r="Q41" s="94" t="str">
        <f t="shared" si="5"/>
        <v/>
      </c>
      <c r="R41" s="64" t="str">
        <f t="shared" si="6"/>
        <v/>
      </c>
      <c r="S41" s="93" t="str">
        <f t="shared" si="7"/>
        <v/>
      </c>
      <c r="T41" s="94" t="str">
        <f t="shared" si="8"/>
        <v/>
      </c>
      <c r="U41" s="64" t="str">
        <f t="shared" si="9"/>
        <v/>
      </c>
      <c r="V41" s="65" t="str">
        <f t="shared" si="10"/>
        <v/>
      </c>
      <c r="W41" s="78" t="str">
        <f t="shared" si="11"/>
        <v/>
      </c>
      <c r="X41" s="66" t="str">
        <f t="shared" si="12"/>
        <v/>
      </c>
      <c r="Y41" s="66" t="str">
        <f t="shared" si="13"/>
        <v/>
      </c>
      <c r="Z41" s="67" t="str">
        <f t="shared" si="14"/>
        <v/>
      </c>
    </row>
    <row r="42" spans="1:26" s="5" customFormat="1" ht="17.25" customHeight="1">
      <c r="A42" s="84">
        <v>31</v>
      </c>
      <c r="B42" s="102"/>
      <c r="C42" s="107"/>
      <c r="D42" s="108"/>
      <c r="E42" s="110"/>
      <c r="F42" s="137"/>
      <c r="G42" s="61"/>
      <c r="H42" s="61"/>
      <c r="I42" s="112"/>
      <c r="J42" s="97"/>
      <c r="K42" s="62" t="str">
        <f t="shared" si="0"/>
        <v/>
      </c>
      <c r="L42" s="62" t="str">
        <f t="shared" si="1"/>
        <v/>
      </c>
      <c r="M42" s="62" t="str">
        <f t="shared" si="2"/>
        <v/>
      </c>
      <c r="N42" s="63" t="str">
        <f t="shared" si="3"/>
        <v/>
      </c>
      <c r="O42" s="64" t="str">
        <f t="shared" si="15"/>
        <v/>
      </c>
      <c r="P42" s="93" t="str">
        <f t="shared" si="4"/>
        <v/>
      </c>
      <c r="Q42" s="94" t="str">
        <f t="shared" si="5"/>
        <v/>
      </c>
      <c r="R42" s="64" t="str">
        <f t="shared" si="6"/>
        <v/>
      </c>
      <c r="S42" s="93" t="str">
        <f t="shared" si="7"/>
        <v/>
      </c>
      <c r="T42" s="94" t="str">
        <f t="shared" si="8"/>
        <v/>
      </c>
      <c r="U42" s="64" t="str">
        <f t="shared" si="9"/>
        <v/>
      </c>
      <c r="V42" s="65" t="str">
        <f t="shared" si="10"/>
        <v/>
      </c>
      <c r="W42" s="78" t="str">
        <f t="shared" si="11"/>
        <v/>
      </c>
      <c r="X42" s="66" t="str">
        <f t="shared" si="12"/>
        <v/>
      </c>
      <c r="Y42" s="66" t="str">
        <f t="shared" si="13"/>
        <v/>
      </c>
      <c r="Z42" s="67" t="str">
        <f t="shared" si="14"/>
        <v/>
      </c>
    </row>
    <row r="43" spans="1:26" s="5" customFormat="1" ht="17.25" customHeight="1">
      <c r="A43" s="84">
        <v>32</v>
      </c>
      <c r="B43" s="102"/>
      <c r="C43" s="107"/>
      <c r="D43" s="108"/>
      <c r="E43" s="110"/>
      <c r="F43" s="137"/>
      <c r="G43" s="61"/>
      <c r="H43" s="61"/>
      <c r="I43" s="112"/>
      <c r="J43" s="97"/>
      <c r="K43" s="62" t="str">
        <f t="shared" si="0"/>
        <v/>
      </c>
      <c r="L43" s="62" t="str">
        <f t="shared" si="1"/>
        <v/>
      </c>
      <c r="M43" s="62" t="str">
        <f t="shared" si="2"/>
        <v/>
      </c>
      <c r="N43" s="63" t="str">
        <f t="shared" si="3"/>
        <v/>
      </c>
      <c r="O43" s="64" t="str">
        <f t="shared" si="15"/>
        <v/>
      </c>
      <c r="P43" s="93" t="str">
        <f t="shared" si="4"/>
        <v/>
      </c>
      <c r="Q43" s="94" t="str">
        <f t="shared" si="5"/>
        <v/>
      </c>
      <c r="R43" s="64" t="str">
        <f t="shared" si="6"/>
        <v/>
      </c>
      <c r="S43" s="93" t="str">
        <f t="shared" si="7"/>
        <v/>
      </c>
      <c r="T43" s="94" t="str">
        <f t="shared" si="8"/>
        <v/>
      </c>
      <c r="U43" s="64" t="str">
        <f t="shared" si="9"/>
        <v/>
      </c>
      <c r="V43" s="65" t="str">
        <f t="shared" si="10"/>
        <v/>
      </c>
      <c r="W43" s="78" t="str">
        <f t="shared" si="11"/>
        <v/>
      </c>
      <c r="X43" s="66" t="str">
        <f t="shared" si="12"/>
        <v/>
      </c>
      <c r="Y43" s="66" t="str">
        <f t="shared" si="13"/>
        <v/>
      </c>
      <c r="Z43" s="67" t="str">
        <f t="shared" si="14"/>
        <v/>
      </c>
    </row>
    <row r="44" spans="1:26" s="5" customFormat="1" ht="17.25" customHeight="1">
      <c r="A44" s="84">
        <v>33</v>
      </c>
      <c r="B44" s="102"/>
      <c r="C44" s="107"/>
      <c r="D44" s="108"/>
      <c r="E44" s="110"/>
      <c r="F44" s="137"/>
      <c r="G44" s="61"/>
      <c r="H44" s="61"/>
      <c r="I44" s="112"/>
      <c r="J44" s="97"/>
      <c r="K44" s="62" t="str">
        <f t="shared" ref="K44:K75" si="16">IF($W$11=0,"",IF(D44="","",IF($G44="","",IF($F44="","",IF($G44/$F44&gt;=$K$11,"yes","NC")))))</f>
        <v/>
      </c>
      <c r="L44" s="62" t="str">
        <f t="shared" ref="L44:L75" si="17">IF($X$11=0,"",IF($D44="","",IF($G44="","",IF($H44="","",IF($H44/$F44&gt;=$L$11,"yes","NC")))))</f>
        <v/>
      </c>
      <c r="M44" s="62" t="str">
        <f t="shared" ref="M44:M75" si="18">IF($Y$11=0,"",IF($D44="","",IF($G44="","",IF($I44="","",IF($F44/$I44&lt;=$M$11,"yes","NC")))))</f>
        <v/>
      </c>
      <c r="N44" s="63" t="str">
        <f t="shared" ref="N44:N75" si="19">IF($D44="","",IF($O$8="","",IF(OR($O44&lt;$N$8,$O44&gt;$P$8),"NC","yes")))</f>
        <v/>
      </c>
      <c r="O44" s="64" t="str">
        <f t="shared" si="15"/>
        <v/>
      </c>
      <c r="P44" s="93" t="str">
        <f t="shared" ref="P44:P75" si="20">IF($D44=0,"",IF(N44="yes",($O44/$O$8),IF(OR($O44&lt;$N$8,$O44&gt;$P$8),($O44/$O$8))))</f>
        <v/>
      </c>
      <c r="Q44" s="94" t="str">
        <f t="shared" ref="Q44:Q75" si="21">IF($D44="","",IF($R$8="","",IF(OR($R44&lt;$Q$8,$R44&gt;$S$8),"NC","yes")))</f>
        <v/>
      </c>
      <c r="R44" s="64" t="str">
        <f t="shared" ref="R44:R75" si="22">IF($D44="","",$H44/$F44)</f>
        <v/>
      </c>
      <c r="S44" s="93" t="str">
        <f t="shared" ref="S44:S75" si="23">IF($D44=0,"",IF(Q44="yes",($R44/$R$8),IF(OR($R44&gt;$Q$8,$R44&lt;$S$8),($R44/$R$8))))</f>
        <v/>
      </c>
      <c r="T44" s="94" t="str">
        <f t="shared" ref="T44:T75" si="24">IF($D44="","",IF($U$8="","",IF(OR($U44&lt;$T$8,U44&gt;$V$8),"NC","yes")))</f>
        <v/>
      </c>
      <c r="U44" s="64" t="str">
        <f t="shared" ref="U44:U75" si="25">IF($D44="","",$F44/$I44)</f>
        <v/>
      </c>
      <c r="V44" s="65" t="str">
        <f t="shared" ref="V44:V75" si="26">IF($D44="","",IF(T44="yes",(U44/U$8),IF(OR(U44&lt;$T$8,U44&gt;V$8),(U44/U$8))))</f>
        <v/>
      </c>
      <c r="W44" s="78" t="str">
        <f t="shared" ref="W44:W75" si="27">IF(C44="","",IF($D44="",$F44,""))</f>
        <v/>
      </c>
      <c r="X44" s="66" t="str">
        <f t="shared" ref="X44:X75" si="28">IF($C44="","",IF($D44="",$G44,""))</f>
        <v/>
      </c>
      <c r="Y44" s="66" t="str">
        <f t="shared" ref="Y44:Y75" si="29">IF($C44="","",IF($D44="",$H44,""))</f>
        <v/>
      </c>
      <c r="Z44" s="67" t="str">
        <f t="shared" ref="Z44:Z75" si="30">IF($C44="","",IF($D44="",I44,""))</f>
        <v/>
      </c>
    </row>
    <row r="45" spans="1:26" s="5" customFormat="1" ht="17.25" customHeight="1">
      <c r="A45" s="84">
        <v>34</v>
      </c>
      <c r="B45" s="102"/>
      <c r="C45" s="33"/>
      <c r="D45" s="108"/>
      <c r="E45" s="110"/>
      <c r="F45" s="137"/>
      <c r="G45" s="111"/>
      <c r="H45" s="111"/>
      <c r="I45" s="112"/>
      <c r="J45" s="97"/>
      <c r="K45" s="62" t="str">
        <f t="shared" si="16"/>
        <v/>
      </c>
      <c r="L45" s="62" t="str">
        <f t="shared" si="17"/>
        <v/>
      </c>
      <c r="M45" s="62" t="str">
        <f t="shared" si="18"/>
        <v/>
      </c>
      <c r="N45" s="63" t="str">
        <f t="shared" si="19"/>
        <v/>
      </c>
      <c r="O45" s="64" t="str">
        <f t="shared" ref="O45:O76" si="31">IF($D45="","",G45/$F45)</f>
        <v/>
      </c>
      <c r="P45" s="93" t="str">
        <f t="shared" si="20"/>
        <v/>
      </c>
      <c r="Q45" s="94" t="str">
        <f t="shared" si="21"/>
        <v/>
      </c>
      <c r="R45" s="64" t="str">
        <f t="shared" si="22"/>
        <v/>
      </c>
      <c r="S45" s="93" t="str">
        <f t="shared" si="23"/>
        <v/>
      </c>
      <c r="T45" s="94" t="str">
        <f t="shared" si="24"/>
        <v/>
      </c>
      <c r="U45" s="64" t="str">
        <f t="shared" si="25"/>
        <v/>
      </c>
      <c r="V45" s="65" t="str">
        <f t="shared" si="26"/>
        <v/>
      </c>
      <c r="W45" s="78" t="str">
        <f t="shared" si="27"/>
        <v/>
      </c>
      <c r="X45" s="66" t="str">
        <f t="shared" si="28"/>
        <v/>
      </c>
      <c r="Y45" s="66" t="str">
        <f t="shared" si="29"/>
        <v/>
      </c>
      <c r="Z45" s="67" t="str">
        <f t="shared" si="30"/>
        <v/>
      </c>
    </row>
    <row r="46" spans="1:26" s="5" customFormat="1" ht="17.25" customHeight="1">
      <c r="A46" s="84">
        <v>35</v>
      </c>
      <c r="B46" s="32"/>
      <c r="C46" s="107"/>
      <c r="D46" s="108"/>
      <c r="E46" s="110"/>
      <c r="F46" s="137"/>
      <c r="G46" s="61"/>
      <c r="H46" s="61"/>
      <c r="I46" s="112"/>
      <c r="J46" s="97"/>
      <c r="K46" s="62" t="str">
        <f t="shared" si="16"/>
        <v/>
      </c>
      <c r="L46" s="62" t="str">
        <f t="shared" si="17"/>
        <v/>
      </c>
      <c r="M46" s="62" t="str">
        <f t="shared" si="18"/>
        <v/>
      </c>
      <c r="N46" s="63" t="str">
        <f t="shared" si="19"/>
        <v/>
      </c>
      <c r="O46" s="64" t="str">
        <f t="shared" si="31"/>
        <v/>
      </c>
      <c r="P46" s="93" t="str">
        <f t="shared" si="20"/>
        <v/>
      </c>
      <c r="Q46" s="94" t="str">
        <f t="shared" si="21"/>
        <v/>
      </c>
      <c r="R46" s="64" t="str">
        <f t="shared" si="22"/>
        <v/>
      </c>
      <c r="S46" s="93" t="str">
        <f t="shared" si="23"/>
        <v/>
      </c>
      <c r="T46" s="94" t="str">
        <f t="shared" si="24"/>
        <v/>
      </c>
      <c r="U46" s="64" t="str">
        <f t="shared" si="25"/>
        <v/>
      </c>
      <c r="V46" s="65" t="str">
        <f t="shared" si="26"/>
        <v/>
      </c>
      <c r="W46" s="78" t="str">
        <f t="shared" si="27"/>
        <v/>
      </c>
      <c r="X46" s="66" t="str">
        <f t="shared" si="28"/>
        <v/>
      </c>
      <c r="Y46" s="66" t="str">
        <f t="shared" si="29"/>
        <v/>
      </c>
      <c r="Z46" s="67" t="str">
        <f t="shared" si="30"/>
        <v/>
      </c>
    </row>
    <row r="47" spans="1:26" s="5" customFormat="1" ht="17.25" customHeight="1">
      <c r="A47" s="84">
        <v>36</v>
      </c>
      <c r="B47" s="32"/>
      <c r="C47" s="107"/>
      <c r="D47" s="108"/>
      <c r="E47" s="110"/>
      <c r="F47" s="137"/>
      <c r="G47" s="61"/>
      <c r="H47" s="61"/>
      <c r="I47" s="112"/>
      <c r="J47" s="97"/>
      <c r="K47" s="62" t="str">
        <f t="shared" si="16"/>
        <v/>
      </c>
      <c r="L47" s="62" t="str">
        <f t="shared" si="17"/>
        <v/>
      </c>
      <c r="M47" s="62" t="str">
        <f t="shared" si="18"/>
        <v/>
      </c>
      <c r="N47" s="63" t="str">
        <f t="shared" si="19"/>
        <v/>
      </c>
      <c r="O47" s="64" t="str">
        <f t="shared" si="31"/>
        <v/>
      </c>
      <c r="P47" s="93" t="str">
        <f t="shared" si="20"/>
        <v/>
      </c>
      <c r="Q47" s="94" t="str">
        <f t="shared" si="21"/>
        <v/>
      </c>
      <c r="R47" s="64" t="str">
        <f t="shared" si="22"/>
        <v/>
      </c>
      <c r="S47" s="93" t="str">
        <f t="shared" si="23"/>
        <v/>
      </c>
      <c r="T47" s="94" t="str">
        <f t="shared" si="24"/>
        <v/>
      </c>
      <c r="U47" s="64" t="str">
        <f t="shared" si="25"/>
        <v/>
      </c>
      <c r="V47" s="65" t="str">
        <f t="shared" si="26"/>
        <v/>
      </c>
      <c r="W47" s="78" t="str">
        <f t="shared" si="27"/>
        <v/>
      </c>
      <c r="X47" s="66" t="str">
        <f t="shared" si="28"/>
        <v/>
      </c>
      <c r="Y47" s="66" t="str">
        <f t="shared" si="29"/>
        <v/>
      </c>
      <c r="Z47" s="67" t="str">
        <f t="shared" si="30"/>
        <v/>
      </c>
    </row>
    <row r="48" spans="1:26" s="5" customFormat="1" ht="17.25" customHeight="1">
      <c r="A48" s="84">
        <v>37</v>
      </c>
      <c r="B48" s="32"/>
      <c r="C48" s="107"/>
      <c r="D48" s="108"/>
      <c r="E48" s="110"/>
      <c r="F48" s="137"/>
      <c r="G48" s="61"/>
      <c r="H48" s="61"/>
      <c r="I48" s="112"/>
      <c r="J48" s="97"/>
      <c r="K48" s="62" t="str">
        <f t="shared" si="16"/>
        <v/>
      </c>
      <c r="L48" s="62" t="str">
        <f t="shared" si="17"/>
        <v/>
      </c>
      <c r="M48" s="62" t="str">
        <f t="shared" si="18"/>
        <v/>
      </c>
      <c r="N48" s="63" t="str">
        <f t="shared" si="19"/>
        <v/>
      </c>
      <c r="O48" s="64" t="str">
        <f t="shared" si="31"/>
        <v/>
      </c>
      <c r="P48" s="93" t="str">
        <f t="shared" si="20"/>
        <v/>
      </c>
      <c r="Q48" s="94" t="str">
        <f t="shared" si="21"/>
        <v/>
      </c>
      <c r="R48" s="64" t="str">
        <f t="shared" si="22"/>
        <v/>
      </c>
      <c r="S48" s="93" t="str">
        <f t="shared" si="23"/>
        <v/>
      </c>
      <c r="T48" s="94" t="str">
        <f t="shared" si="24"/>
        <v/>
      </c>
      <c r="U48" s="64" t="str">
        <f t="shared" si="25"/>
        <v/>
      </c>
      <c r="V48" s="65" t="str">
        <f t="shared" si="26"/>
        <v/>
      </c>
      <c r="W48" s="78" t="str">
        <f t="shared" si="27"/>
        <v/>
      </c>
      <c r="X48" s="66" t="str">
        <f t="shared" si="28"/>
        <v/>
      </c>
      <c r="Y48" s="66" t="str">
        <f t="shared" si="29"/>
        <v/>
      </c>
      <c r="Z48" s="67" t="str">
        <f t="shared" si="30"/>
        <v/>
      </c>
    </row>
    <row r="49" spans="1:26" s="5" customFormat="1" ht="17.25" customHeight="1">
      <c r="A49" s="84">
        <v>38</v>
      </c>
      <c r="B49" s="32"/>
      <c r="C49" s="107"/>
      <c r="D49" s="108"/>
      <c r="E49" s="109"/>
      <c r="F49" s="137"/>
      <c r="G49" s="61"/>
      <c r="H49" s="61"/>
      <c r="I49" s="112"/>
      <c r="J49" s="97"/>
      <c r="K49" s="62" t="str">
        <f t="shared" si="16"/>
        <v/>
      </c>
      <c r="L49" s="62" t="str">
        <f t="shared" si="17"/>
        <v/>
      </c>
      <c r="M49" s="62" t="str">
        <f t="shared" si="18"/>
        <v/>
      </c>
      <c r="N49" s="63" t="str">
        <f t="shared" si="19"/>
        <v/>
      </c>
      <c r="O49" s="64" t="str">
        <f t="shared" si="31"/>
        <v/>
      </c>
      <c r="P49" s="93" t="str">
        <f t="shared" si="20"/>
        <v/>
      </c>
      <c r="Q49" s="94" t="str">
        <f t="shared" si="21"/>
        <v/>
      </c>
      <c r="R49" s="64" t="str">
        <f t="shared" si="22"/>
        <v/>
      </c>
      <c r="S49" s="93" t="str">
        <f t="shared" si="23"/>
        <v/>
      </c>
      <c r="T49" s="94" t="str">
        <f t="shared" si="24"/>
        <v/>
      </c>
      <c r="U49" s="64" t="str">
        <f t="shared" si="25"/>
        <v/>
      </c>
      <c r="V49" s="65" t="str">
        <f t="shared" si="26"/>
        <v/>
      </c>
      <c r="W49" s="78" t="str">
        <f t="shared" si="27"/>
        <v/>
      </c>
      <c r="X49" s="66" t="str">
        <f t="shared" si="28"/>
        <v/>
      </c>
      <c r="Y49" s="66" t="str">
        <f t="shared" si="29"/>
        <v/>
      </c>
      <c r="Z49" s="67" t="str">
        <f t="shared" si="30"/>
        <v/>
      </c>
    </row>
    <row r="50" spans="1:26" s="5" customFormat="1" ht="17.25" customHeight="1">
      <c r="A50" s="84">
        <v>39</v>
      </c>
      <c r="B50" s="32"/>
      <c r="C50" s="107"/>
      <c r="D50" s="108"/>
      <c r="E50" s="109"/>
      <c r="F50" s="137"/>
      <c r="G50" s="61"/>
      <c r="H50" s="61"/>
      <c r="I50" s="112"/>
      <c r="J50" s="97"/>
      <c r="K50" s="62" t="str">
        <f t="shared" si="16"/>
        <v/>
      </c>
      <c r="L50" s="62" t="str">
        <f t="shared" si="17"/>
        <v/>
      </c>
      <c r="M50" s="62" t="str">
        <f t="shared" si="18"/>
        <v/>
      </c>
      <c r="N50" s="63" t="str">
        <f t="shared" si="19"/>
        <v/>
      </c>
      <c r="O50" s="64" t="str">
        <f t="shared" si="31"/>
        <v/>
      </c>
      <c r="P50" s="93" t="str">
        <f t="shared" si="20"/>
        <v/>
      </c>
      <c r="Q50" s="94" t="str">
        <f t="shared" si="21"/>
        <v/>
      </c>
      <c r="R50" s="64" t="str">
        <f t="shared" si="22"/>
        <v/>
      </c>
      <c r="S50" s="93" t="str">
        <f t="shared" si="23"/>
        <v/>
      </c>
      <c r="T50" s="94" t="str">
        <f t="shared" si="24"/>
        <v/>
      </c>
      <c r="U50" s="64" t="str">
        <f t="shared" si="25"/>
        <v/>
      </c>
      <c r="V50" s="65" t="str">
        <f t="shared" si="26"/>
        <v/>
      </c>
      <c r="W50" s="78" t="str">
        <f t="shared" si="27"/>
        <v/>
      </c>
      <c r="X50" s="66" t="str">
        <f t="shared" si="28"/>
        <v/>
      </c>
      <c r="Y50" s="66" t="str">
        <f t="shared" si="29"/>
        <v/>
      </c>
      <c r="Z50" s="67" t="str">
        <f t="shared" si="30"/>
        <v/>
      </c>
    </row>
    <row r="51" spans="1:26" s="5" customFormat="1" ht="17.25" customHeight="1">
      <c r="A51" s="84">
        <v>40</v>
      </c>
      <c r="B51" s="32"/>
      <c r="C51" s="107"/>
      <c r="D51" s="108"/>
      <c r="E51" s="109"/>
      <c r="F51" s="137"/>
      <c r="G51" s="61"/>
      <c r="H51" s="61"/>
      <c r="I51" s="112"/>
      <c r="J51" s="97"/>
      <c r="K51" s="62" t="str">
        <f t="shared" si="16"/>
        <v/>
      </c>
      <c r="L51" s="62" t="str">
        <f t="shared" si="17"/>
        <v/>
      </c>
      <c r="M51" s="62" t="str">
        <f t="shared" si="18"/>
        <v/>
      </c>
      <c r="N51" s="63" t="str">
        <f t="shared" si="19"/>
        <v/>
      </c>
      <c r="O51" s="64" t="str">
        <f t="shared" si="31"/>
        <v/>
      </c>
      <c r="P51" s="93" t="str">
        <f t="shared" si="20"/>
        <v/>
      </c>
      <c r="Q51" s="94" t="str">
        <f t="shared" si="21"/>
        <v/>
      </c>
      <c r="R51" s="64" t="str">
        <f t="shared" si="22"/>
        <v/>
      </c>
      <c r="S51" s="93" t="str">
        <f t="shared" si="23"/>
        <v/>
      </c>
      <c r="T51" s="94" t="str">
        <f t="shared" si="24"/>
        <v/>
      </c>
      <c r="U51" s="64" t="str">
        <f t="shared" si="25"/>
        <v/>
      </c>
      <c r="V51" s="65" t="str">
        <f t="shared" si="26"/>
        <v/>
      </c>
      <c r="W51" s="78" t="str">
        <f t="shared" si="27"/>
        <v/>
      </c>
      <c r="X51" s="66" t="str">
        <f t="shared" si="28"/>
        <v/>
      </c>
      <c r="Y51" s="66" t="str">
        <f t="shared" si="29"/>
        <v/>
      </c>
      <c r="Z51" s="67" t="str">
        <f t="shared" si="30"/>
        <v/>
      </c>
    </row>
    <row r="52" spans="1:26" s="5" customFormat="1" ht="17.25" customHeight="1">
      <c r="A52" s="84">
        <v>41</v>
      </c>
      <c r="B52" s="102"/>
      <c r="C52" s="107"/>
      <c r="D52" s="108"/>
      <c r="E52" s="109"/>
      <c r="F52" s="137"/>
      <c r="G52" s="61"/>
      <c r="H52" s="61"/>
      <c r="I52" s="112"/>
      <c r="J52" s="97"/>
      <c r="K52" s="62" t="str">
        <f t="shared" si="16"/>
        <v/>
      </c>
      <c r="L52" s="62" t="str">
        <f t="shared" si="17"/>
        <v/>
      </c>
      <c r="M52" s="62" t="str">
        <f t="shared" si="18"/>
        <v/>
      </c>
      <c r="N52" s="63" t="str">
        <f t="shared" si="19"/>
        <v/>
      </c>
      <c r="O52" s="64" t="str">
        <f t="shared" si="31"/>
        <v/>
      </c>
      <c r="P52" s="93" t="str">
        <f t="shared" si="20"/>
        <v/>
      </c>
      <c r="Q52" s="94" t="str">
        <f t="shared" si="21"/>
        <v/>
      </c>
      <c r="R52" s="64" t="str">
        <f t="shared" si="22"/>
        <v/>
      </c>
      <c r="S52" s="93" t="str">
        <f t="shared" si="23"/>
        <v/>
      </c>
      <c r="T52" s="94" t="str">
        <f t="shared" si="24"/>
        <v/>
      </c>
      <c r="U52" s="64" t="str">
        <f t="shared" si="25"/>
        <v/>
      </c>
      <c r="V52" s="65" t="str">
        <f t="shared" si="26"/>
        <v/>
      </c>
      <c r="W52" s="78" t="str">
        <f t="shared" si="27"/>
        <v/>
      </c>
      <c r="X52" s="66" t="str">
        <f t="shared" si="28"/>
        <v/>
      </c>
      <c r="Y52" s="66" t="str">
        <f t="shared" si="29"/>
        <v/>
      </c>
      <c r="Z52" s="67" t="str">
        <f t="shared" si="30"/>
        <v/>
      </c>
    </row>
    <row r="53" spans="1:26" s="5" customFormat="1" ht="17.25" customHeight="1">
      <c r="A53" s="84">
        <v>42</v>
      </c>
      <c r="B53" s="102"/>
      <c r="C53" s="107"/>
      <c r="D53" s="108"/>
      <c r="E53" s="110"/>
      <c r="F53" s="137"/>
      <c r="G53" s="61"/>
      <c r="H53" s="61"/>
      <c r="I53" s="112"/>
      <c r="J53" s="97"/>
      <c r="K53" s="62" t="str">
        <f t="shared" si="16"/>
        <v/>
      </c>
      <c r="L53" s="62" t="str">
        <f t="shared" si="17"/>
        <v/>
      </c>
      <c r="M53" s="62" t="str">
        <f t="shared" si="18"/>
        <v/>
      </c>
      <c r="N53" s="63" t="str">
        <f t="shared" si="19"/>
        <v/>
      </c>
      <c r="O53" s="64" t="str">
        <f t="shared" si="31"/>
        <v/>
      </c>
      <c r="P53" s="93" t="str">
        <f t="shared" si="20"/>
        <v/>
      </c>
      <c r="Q53" s="94" t="str">
        <f t="shared" si="21"/>
        <v/>
      </c>
      <c r="R53" s="64" t="str">
        <f t="shared" si="22"/>
        <v/>
      </c>
      <c r="S53" s="93" t="str">
        <f t="shared" si="23"/>
        <v/>
      </c>
      <c r="T53" s="94" t="str">
        <f t="shared" si="24"/>
        <v/>
      </c>
      <c r="U53" s="64" t="str">
        <f t="shared" si="25"/>
        <v/>
      </c>
      <c r="V53" s="65" t="str">
        <f t="shared" si="26"/>
        <v/>
      </c>
      <c r="W53" s="78" t="str">
        <f t="shared" si="27"/>
        <v/>
      </c>
      <c r="X53" s="66" t="str">
        <f t="shared" si="28"/>
        <v/>
      </c>
      <c r="Y53" s="66" t="str">
        <f t="shared" si="29"/>
        <v/>
      </c>
      <c r="Z53" s="67" t="str">
        <f t="shared" si="30"/>
        <v/>
      </c>
    </row>
    <row r="54" spans="1:26" s="5" customFormat="1" ht="17.25" customHeight="1">
      <c r="A54" s="84">
        <v>43</v>
      </c>
      <c r="B54" s="102"/>
      <c r="C54" s="107"/>
      <c r="D54" s="108"/>
      <c r="E54" s="110"/>
      <c r="F54" s="137"/>
      <c r="G54" s="61"/>
      <c r="H54" s="61"/>
      <c r="I54" s="112"/>
      <c r="J54" s="97"/>
      <c r="K54" s="62" t="str">
        <f t="shared" si="16"/>
        <v/>
      </c>
      <c r="L54" s="62" t="str">
        <f t="shared" si="17"/>
        <v/>
      </c>
      <c r="M54" s="62" t="str">
        <f t="shared" si="18"/>
        <v/>
      </c>
      <c r="N54" s="63" t="str">
        <f t="shared" si="19"/>
        <v/>
      </c>
      <c r="O54" s="64" t="str">
        <f t="shared" si="31"/>
        <v/>
      </c>
      <c r="P54" s="93" t="str">
        <f t="shared" si="20"/>
        <v/>
      </c>
      <c r="Q54" s="94" t="str">
        <f t="shared" si="21"/>
        <v/>
      </c>
      <c r="R54" s="64" t="str">
        <f t="shared" si="22"/>
        <v/>
      </c>
      <c r="S54" s="93" t="str">
        <f t="shared" si="23"/>
        <v/>
      </c>
      <c r="T54" s="94" t="str">
        <f t="shared" si="24"/>
        <v/>
      </c>
      <c r="U54" s="64" t="str">
        <f t="shared" si="25"/>
        <v/>
      </c>
      <c r="V54" s="65" t="str">
        <f t="shared" si="26"/>
        <v/>
      </c>
      <c r="W54" s="78" t="str">
        <f t="shared" si="27"/>
        <v/>
      </c>
      <c r="X54" s="66" t="str">
        <f t="shared" si="28"/>
        <v/>
      </c>
      <c r="Y54" s="66" t="str">
        <f t="shared" si="29"/>
        <v/>
      </c>
      <c r="Z54" s="67" t="str">
        <f t="shared" si="30"/>
        <v/>
      </c>
    </row>
    <row r="55" spans="1:26" s="5" customFormat="1" ht="17.25" customHeight="1">
      <c r="A55" s="84">
        <v>44</v>
      </c>
      <c r="B55" s="32"/>
      <c r="C55" s="107"/>
      <c r="D55" s="108"/>
      <c r="E55" s="110"/>
      <c r="F55" s="137"/>
      <c r="G55" s="61"/>
      <c r="H55" s="61"/>
      <c r="I55" s="112"/>
      <c r="J55" s="97"/>
      <c r="K55" s="62" t="str">
        <f t="shared" si="16"/>
        <v/>
      </c>
      <c r="L55" s="62" t="str">
        <f t="shared" si="17"/>
        <v/>
      </c>
      <c r="M55" s="62" t="str">
        <f t="shared" si="18"/>
        <v/>
      </c>
      <c r="N55" s="63" t="str">
        <f t="shared" si="19"/>
        <v/>
      </c>
      <c r="O55" s="64" t="str">
        <f t="shared" si="31"/>
        <v/>
      </c>
      <c r="P55" s="93" t="str">
        <f t="shared" si="20"/>
        <v/>
      </c>
      <c r="Q55" s="94" t="str">
        <f t="shared" si="21"/>
        <v/>
      </c>
      <c r="R55" s="64" t="str">
        <f t="shared" si="22"/>
        <v/>
      </c>
      <c r="S55" s="93" t="str">
        <f t="shared" si="23"/>
        <v/>
      </c>
      <c r="T55" s="94" t="str">
        <f t="shared" si="24"/>
        <v/>
      </c>
      <c r="U55" s="64" t="str">
        <f t="shared" si="25"/>
        <v/>
      </c>
      <c r="V55" s="65" t="str">
        <f t="shared" si="26"/>
        <v/>
      </c>
      <c r="W55" s="78" t="str">
        <f t="shared" si="27"/>
        <v/>
      </c>
      <c r="X55" s="66" t="str">
        <f t="shared" si="28"/>
        <v/>
      </c>
      <c r="Y55" s="66" t="str">
        <f t="shared" si="29"/>
        <v/>
      </c>
      <c r="Z55" s="67" t="str">
        <f t="shared" si="30"/>
        <v/>
      </c>
    </row>
    <row r="56" spans="1:26" s="5" customFormat="1" ht="17.25" customHeight="1">
      <c r="A56" s="84">
        <v>45</v>
      </c>
      <c r="B56" s="32"/>
      <c r="C56" s="33"/>
      <c r="D56" s="108"/>
      <c r="E56" s="110"/>
      <c r="F56" s="137"/>
      <c r="G56" s="111"/>
      <c r="H56" s="111"/>
      <c r="I56" s="112"/>
      <c r="J56" s="97"/>
      <c r="K56" s="62" t="str">
        <f t="shared" si="16"/>
        <v/>
      </c>
      <c r="L56" s="62" t="str">
        <f t="shared" si="17"/>
        <v/>
      </c>
      <c r="M56" s="62" t="str">
        <f t="shared" si="18"/>
        <v/>
      </c>
      <c r="N56" s="63" t="str">
        <f t="shared" si="19"/>
        <v/>
      </c>
      <c r="O56" s="64" t="str">
        <f t="shared" si="31"/>
        <v/>
      </c>
      <c r="P56" s="93" t="str">
        <f t="shared" si="20"/>
        <v/>
      </c>
      <c r="Q56" s="94" t="str">
        <f t="shared" si="21"/>
        <v/>
      </c>
      <c r="R56" s="64" t="str">
        <f t="shared" si="22"/>
        <v/>
      </c>
      <c r="S56" s="93" t="str">
        <f t="shared" si="23"/>
        <v/>
      </c>
      <c r="T56" s="94" t="str">
        <f t="shared" si="24"/>
        <v/>
      </c>
      <c r="U56" s="64" t="str">
        <f t="shared" si="25"/>
        <v/>
      </c>
      <c r="V56" s="65" t="str">
        <f t="shared" si="26"/>
        <v/>
      </c>
      <c r="W56" s="78" t="str">
        <f t="shared" si="27"/>
        <v/>
      </c>
      <c r="X56" s="66" t="str">
        <f t="shared" si="28"/>
        <v/>
      </c>
      <c r="Y56" s="66" t="str">
        <f t="shared" si="29"/>
        <v/>
      </c>
      <c r="Z56" s="67" t="str">
        <f t="shared" si="30"/>
        <v/>
      </c>
    </row>
    <row r="57" spans="1:26" s="5" customFormat="1" ht="17.25" customHeight="1">
      <c r="A57" s="84">
        <v>46</v>
      </c>
      <c r="B57" s="32"/>
      <c r="C57" s="107"/>
      <c r="D57" s="108"/>
      <c r="E57" s="110"/>
      <c r="F57" s="137"/>
      <c r="G57" s="61"/>
      <c r="H57" s="61"/>
      <c r="I57" s="112"/>
      <c r="J57" s="97"/>
      <c r="K57" s="62" t="str">
        <f t="shared" si="16"/>
        <v/>
      </c>
      <c r="L57" s="62" t="str">
        <f t="shared" si="17"/>
        <v/>
      </c>
      <c r="M57" s="62" t="str">
        <f t="shared" si="18"/>
        <v/>
      </c>
      <c r="N57" s="63" t="str">
        <f t="shared" si="19"/>
        <v/>
      </c>
      <c r="O57" s="64" t="str">
        <f t="shared" si="31"/>
        <v/>
      </c>
      <c r="P57" s="93" t="str">
        <f t="shared" si="20"/>
        <v/>
      </c>
      <c r="Q57" s="94" t="str">
        <f t="shared" si="21"/>
        <v/>
      </c>
      <c r="R57" s="64" t="str">
        <f t="shared" si="22"/>
        <v/>
      </c>
      <c r="S57" s="93" t="str">
        <f t="shared" si="23"/>
        <v/>
      </c>
      <c r="T57" s="94" t="str">
        <f t="shared" si="24"/>
        <v/>
      </c>
      <c r="U57" s="64" t="str">
        <f t="shared" si="25"/>
        <v/>
      </c>
      <c r="V57" s="65" t="str">
        <f t="shared" si="26"/>
        <v/>
      </c>
      <c r="W57" s="78" t="str">
        <f t="shared" si="27"/>
        <v/>
      </c>
      <c r="X57" s="66" t="str">
        <f t="shared" si="28"/>
        <v/>
      </c>
      <c r="Y57" s="66" t="str">
        <f t="shared" si="29"/>
        <v/>
      </c>
      <c r="Z57" s="67" t="str">
        <f t="shared" si="30"/>
        <v/>
      </c>
    </row>
    <row r="58" spans="1:26" s="5" customFormat="1" ht="17.25" customHeight="1">
      <c r="A58" s="84">
        <v>47</v>
      </c>
      <c r="B58" s="102"/>
      <c r="C58" s="107"/>
      <c r="D58" s="108"/>
      <c r="E58" s="110"/>
      <c r="F58" s="137"/>
      <c r="G58" s="61"/>
      <c r="H58" s="61"/>
      <c r="I58" s="112"/>
      <c r="J58" s="97"/>
      <c r="K58" s="62" t="str">
        <f t="shared" si="16"/>
        <v/>
      </c>
      <c r="L58" s="62" t="str">
        <f t="shared" si="17"/>
        <v/>
      </c>
      <c r="M58" s="62" t="str">
        <f t="shared" si="18"/>
        <v/>
      </c>
      <c r="N58" s="63" t="str">
        <f t="shared" si="19"/>
        <v/>
      </c>
      <c r="O58" s="64" t="str">
        <f t="shared" si="31"/>
        <v/>
      </c>
      <c r="P58" s="93" t="str">
        <f t="shared" si="20"/>
        <v/>
      </c>
      <c r="Q58" s="94" t="str">
        <f t="shared" si="21"/>
        <v/>
      </c>
      <c r="R58" s="64" t="str">
        <f t="shared" si="22"/>
        <v/>
      </c>
      <c r="S58" s="93" t="str">
        <f t="shared" si="23"/>
        <v/>
      </c>
      <c r="T58" s="94" t="str">
        <f t="shared" si="24"/>
        <v/>
      </c>
      <c r="U58" s="64" t="str">
        <f t="shared" si="25"/>
        <v/>
      </c>
      <c r="V58" s="65" t="str">
        <f t="shared" si="26"/>
        <v/>
      </c>
      <c r="W58" s="78" t="str">
        <f t="shared" si="27"/>
        <v/>
      </c>
      <c r="X58" s="66" t="str">
        <f t="shared" si="28"/>
        <v/>
      </c>
      <c r="Y58" s="66" t="str">
        <f t="shared" si="29"/>
        <v/>
      </c>
      <c r="Z58" s="67" t="str">
        <f t="shared" si="30"/>
        <v/>
      </c>
    </row>
    <row r="59" spans="1:26" s="5" customFormat="1" ht="17.25" customHeight="1">
      <c r="A59" s="84">
        <v>48</v>
      </c>
      <c r="B59" s="102"/>
      <c r="C59" s="107"/>
      <c r="D59" s="108"/>
      <c r="E59" s="110"/>
      <c r="F59" s="137"/>
      <c r="G59" s="61"/>
      <c r="H59" s="61"/>
      <c r="I59" s="112"/>
      <c r="J59" s="97"/>
      <c r="K59" s="62" t="str">
        <f t="shared" si="16"/>
        <v/>
      </c>
      <c r="L59" s="62" t="str">
        <f t="shared" si="17"/>
        <v/>
      </c>
      <c r="M59" s="62" t="str">
        <f t="shared" si="18"/>
        <v/>
      </c>
      <c r="N59" s="63" t="str">
        <f t="shared" si="19"/>
        <v/>
      </c>
      <c r="O59" s="64" t="str">
        <f t="shared" si="31"/>
        <v/>
      </c>
      <c r="P59" s="93" t="str">
        <f t="shared" si="20"/>
        <v/>
      </c>
      <c r="Q59" s="94" t="str">
        <f t="shared" si="21"/>
        <v/>
      </c>
      <c r="R59" s="64" t="str">
        <f t="shared" si="22"/>
        <v/>
      </c>
      <c r="S59" s="93" t="str">
        <f t="shared" si="23"/>
        <v/>
      </c>
      <c r="T59" s="94" t="str">
        <f t="shared" si="24"/>
        <v/>
      </c>
      <c r="U59" s="64" t="str">
        <f t="shared" si="25"/>
        <v/>
      </c>
      <c r="V59" s="65" t="str">
        <f t="shared" si="26"/>
        <v/>
      </c>
      <c r="W59" s="78" t="str">
        <f t="shared" si="27"/>
        <v/>
      </c>
      <c r="X59" s="66" t="str">
        <f t="shared" si="28"/>
        <v/>
      </c>
      <c r="Y59" s="66" t="str">
        <f t="shared" si="29"/>
        <v/>
      </c>
      <c r="Z59" s="67" t="str">
        <f t="shared" si="30"/>
        <v/>
      </c>
    </row>
    <row r="60" spans="1:26" s="5" customFormat="1" ht="17.25" customHeight="1">
      <c r="A60" s="84">
        <v>49</v>
      </c>
      <c r="B60" s="102"/>
      <c r="C60" s="107"/>
      <c r="D60" s="108"/>
      <c r="E60" s="109"/>
      <c r="F60" s="137"/>
      <c r="G60" s="61"/>
      <c r="H60" s="61"/>
      <c r="I60" s="112"/>
      <c r="J60" s="97"/>
      <c r="K60" s="62" t="str">
        <f t="shared" si="16"/>
        <v/>
      </c>
      <c r="L60" s="62" t="str">
        <f t="shared" si="17"/>
        <v/>
      </c>
      <c r="M60" s="62" t="str">
        <f t="shared" si="18"/>
        <v/>
      </c>
      <c r="N60" s="63" t="str">
        <f t="shared" si="19"/>
        <v/>
      </c>
      <c r="O60" s="64" t="str">
        <f t="shared" si="31"/>
        <v/>
      </c>
      <c r="P60" s="93" t="str">
        <f t="shared" si="20"/>
        <v/>
      </c>
      <c r="Q60" s="94" t="str">
        <f t="shared" si="21"/>
        <v/>
      </c>
      <c r="R60" s="64" t="str">
        <f t="shared" si="22"/>
        <v/>
      </c>
      <c r="S60" s="93" t="str">
        <f t="shared" si="23"/>
        <v/>
      </c>
      <c r="T60" s="94" t="str">
        <f t="shared" si="24"/>
        <v/>
      </c>
      <c r="U60" s="64" t="str">
        <f t="shared" si="25"/>
        <v/>
      </c>
      <c r="V60" s="65" t="str">
        <f t="shared" si="26"/>
        <v/>
      </c>
      <c r="W60" s="78" t="str">
        <f t="shared" si="27"/>
        <v/>
      </c>
      <c r="X60" s="66" t="str">
        <f t="shared" si="28"/>
        <v/>
      </c>
      <c r="Y60" s="66" t="str">
        <f t="shared" si="29"/>
        <v/>
      </c>
      <c r="Z60" s="67" t="str">
        <f t="shared" si="30"/>
        <v/>
      </c>
    </row>
    <row r="61" spans="1:26" s="5" customFormat="1" ht="17.25" customHeight="1">
      <c r="A61" s="84">
        <v>50</v>
      </c>
      <c r="B61" s="102"/>
      <c r="C61" s="107"/>
      <c r="D61" s="108"/>
      <c r="E61" s="109"/>
      <c r="F61" s="137"/>
      <c r="G61" s="61"/>
      <c r="H61" s="61"/>
      <c r="I61" s="112"/>
      <c r="J61" s="97"/>
      <c r="K61" s="62" t="str">
        <f t="shared" si="16"/>
        <v/>
      </c>
      <c r="L61" s="62" t="str">
        <f t="shared" si="17"/>
        <v/>
      </c>
      <c r="M61" s="62" t="str">
        <f t="shared" si="18"/>
        <v/>
      </c>
      <c r="N61" s="63" t="str">
        <f t="shared" si="19"/>
        <v/>
      </c>
      <c r="O61" s="64" t="str">
        <f t="shared" si="31"/>
        <v/>
      </c>
      <c r="P61" s="93" t="str">
        <f t="shared" si="20"/>
        <v/>
      </c>
      <c r="Q61" s="94" t="str">
        <f t="shared" si="21"/>
        <v/>
      </c>
      <c r="R61" s="64" t="str">
        <f t="shared" si="22"/>
        <v/>
      </c>
      <c r="S61" s="93" t="str">
        <f t="shared" si="23"/>
        <v/>
      </c>
      <c r="T61" s="94" t="str">
        <f t="shared" si="24"/>
        <v/>
      </c>
      <c r="U61" s="64" t="str">
        <f t="shared" si="25"/>
        <v/>
      </c>
      <c r="V61" s="65" t="str">
        <f t="shared" si="26"/>
        <v/>
      </c>
      <c r="W61" s="78" t="str">
        <f t="shared" si="27"/>
        <v/>
      </c>
      <c r="X61" s="66" t="str">
        <f t="shared" si="28"/>
        <v/>
      </c>
      <c r="Y61" s="66" t="str">
        <f t="shared" si="29"/>
        <v/>
      </c>
      <c r="Z61" s="67" t="str">
        <f t="shared" si="30"/>
        <v/>
      </c>
    </row>
    <row r="62" spans="1:26" s="5" customFormat="1" ht="17.25" customHeight="1">
      <c r="A62" s="84">
        <v>51</v>
      </c>
      <c r="B62" s="32"/>
      <c r="C62" s="33"/>
      <c r="D62" s="34"/>
      <c r="E62" s="35"/>
      <c r="F62" s="32"/>
      <c r="G62" s="111"/>
      <c r="H62" s="111"/>
      <c r="I62" s="112"/>
      <c r="J62" s="97"/>
      <c r="K62" s="62" t="str">
        <f t="shared" si="16"/>
        <v/>
      </c>
      <c r="L62" s="62" t="str">
        <f t="shared" si="17"/>
        <v/>
      </c>
      <c r="M62" s="62" t="str">
        <f t="shared" si="18"/>
        <v/>
      </c>
      <c r="N62" s="63" t="str">
        <f t="shared" si="19"/>
        <v/>
      </c>
      <c r="O62" s="64" t="str">
        <f t="shared" si="31"/>
        <v/>
      </c>
      <c r="P62" s="93" t="str">
        <f t="shared" si="20"/>
        <v/>
      </c>
      <c r="Q62" s="94" t="str">
        <f t="shared" si="21"/>
        <v/>
      </c>
      <c r="R62" s="64" t="str">
        <f t="shared" si="22"/>
        <v/>
      </c>
      <c r="S62" s="93" t="str">
        <f t="shared" si="23"/>
        <v/>
      </c>
      <c r="T62" s="94" t="str">
        <f t="shared" si="24"/>
        <v/>
      </c>
      <c r="U62" s="64" t="str">
        <f t="shared" si="25"/>
        <v/>
      </c>
      <c r="V62" s="65" t="str">
        <f t="shared" si="26"/>
        <v/>
      </c>
      <c r="W62" s="78" t="str">
        <f t="shared" si="27"/>
        <v/>
      </c>
      <c r="X62" s="66" t="str">
        <f t="shared" si="28"/>
        <v/>
      </c>
      <c r="Y62" s="66" t="str">
        <f t="shared" si="29"/>
        <v/>
      </c>
      <c r="Z62" s="67" t="str">
        <f t="shared" si="30"/>
        <v/>
      </c>
    </row>
    <row r="63" spans="1:26" s="5" customFormat="1" ht="17.25" customHeight="1">
      <c r="A63" s="84">
        <v>52</v>
      </c>
      <c r="B63" s="32"/>
      <c r="C63" s="33"/>
      <c r="D63" s="34"/>
      <c r="E63" s="35"/>
      <c r="F63" s="32"/>
      <c r="G63" s="111"/>
      <c r="H63" s="111"/>
      <c r="I63" s="112"/>
      <c r="J63" s="97"/>
      <c r="K63" s="62" t="str">
        <f t="shared" si="16"/>
        <v/>
      </c>
      <c r="L63" s="62" t="str">
        <f t="shared" si="17"/>
        <v/>
      </c>
      <c r="M63" s="62" t="str">
        <f t="shared" si="18"/>
        <v/>
      </c>
      <c r="N63" s="63" t="str">
        <f t="shared" si="19"/>
        <v/>
      </c>
      <c r="O63" s="64" t="str">
        <f t="shared" si="31"/>
        <v/>
      </c>
      <c r="P63" s="93" t="str">
        <f t="shared" si="20"/>
        <v/>
      </c>
      <c r="Q63" s="94" t="str">
        <f t="shared" si="21"/>
        <v/>
      </c>
      <c r="R63" s="64" t="str">
        <f t="shared" si="22"/>
        <v/>
      </c>
      <c r="S63" s="93" t="str">
        <f t="shared" si="23"/>
        <v/>
      </c>
      <c r="T63" s="94" t="str">
        <f t="shared" si="24"/>
        <v/>
      </c>
      <c r="U63" s="64" t="str">
        <f t="shared" si="25"/>
        <v/>
      </c>
      <c r="V63" s="65" t="str">
        <f t="shared" si="26"/>
        <v/>
      </c>
      <c r="W63" s="78" t="str">
        <f t="shared" si="27"/>
        <v/>
      </c>
      <c r="X63" s="66" t="str">
        <f t="shared" si="28"/>
        <v/>
      </c>
      <c r="Y63" s="66" t="str">
        <f t="shared" si="29"/>
        <v/>
      </c>
      <c r="Z63" s="67" t="str">
        <f t="shared" si="30"/>
        <v/>
      </c>
    </row>
    <row r="64" spans="1:26" s="5" customFormat="1" ht="17.25" customHeight="1">
      <c r="A64" s="84">
        <v>53</v>
      </c>
      <c r="B64" s="32"/>
      <c r="C64" s="33"/>
      <c r="D64" s="34"/>
      <c r="E64" s="35"/>
      <c r="F64" s="32"/>
      <c r="G64" s="111"/>
      <c r="H64" s="111"/>
      <c r="I64" s="112"/>
      <c r="J64" s="97"/>
      <c r="K64" s="62" t="str">
        <f t="shared" si="16"/>
        <v/>
      </c>
      <c r="L64" s="62" t="str">
        <f t="shared" si="17"/>
        <v/>
      </c>
      <c r="M64" s="62" t="str">
        <f t="shared" si="18"/>
        <v/>
      </c>
      <c r="N64" s="63" t="str">
        <f t="shared" si="19"/>
        <v/>
      </c>
      <c r="O64" s="64" t="str">
        <f t="shared" si="31"/>
        <v/>
      </c>
      <c r="P64" s="93" t="str">
        <f t="shared" si="20"/>
        <v/>
      </c>
      <c r="Q64" s="94" t="str">
        <f t="shared" si="21"/>
        <v/>
      </c>
      <c r="R64" s="64" t="str">
        <f t="shared" si="22"/>
        <v/>
      </c>
      <c r="S64" s="93" t="str">
        <f t="shared" si="23"/>
        <v/>
      </c>
      <c r="T64" s="94" t="str">
        <f t="shared" si="24"/>
        <v/>
      </c>
      <c r="U64" s="64" t="str">
        <f t="shared" si="25"/>
        <v/>
      </c>
      <c r="V64" s="65" t="str">
        <f t="shared" si="26"/>
        <v/>
      </c>
      <c r="W64" s="78" t="str">
        <f t="shared" si="27"/>
        <v/>
      </c>
      <c r="X64" s="66" t="str">
        <f t="shared" si="28"/>
        <v/>
      </c>
      <c r="Y64" s="66" t="str">
        <f t="shared" si="29"/>
        <v/>
      </c>
      <c r="Z64" s="67" t="str">
        <f t="shared" si="30"/>
        <v/>
      </c>
    </row>
    <row r="65" spans="1:26" s="5" customFormat="1" ht="17.25" customHeight="1">
      <c r="A65" s="84">
        <v>54</v>
      </c>
      <c r="B65" s="32"/>
      <c r="C65" s="33"/>
      <c r="D65" s="34"/>
      <c r="E65" s="35"/>
      <c r="F65" s="32"/>
      <c r="G65" s="111"/>
      <c r="H65" s="111"/>
      <c r="I65" s="112"/>
      <c r="J65" s="97"/>
      <c r="K65" s="62" t="str">
        <f t="shared" si="16"/>
        <v/>
      </c>
      <c r="L65" s="62" t="str">
        <f t="shared" si="17"/>
        <v/>
      </c>
      <c r="M65" s="62" t="str">
        <f t="shared" si="18"/>
        <v/>
      </c>
      <c r="N65" s="63" t="str">
        <f t="shared" si="19"/>
        <v/>
      </c>
      <c r="O65" s="64" t="str">
        <f t="shared" si="31"/>
        <v/>
      </c>
      <c r="P65" s="93" t="str">
        <f t="shared" si="20"/>
        <v/>
      </c>
      <c r="Q65" s="94" t="str">
        <f t="shared" si="21"/>
        <v/>
      </c>
      <c r="R65" s="64" t="str">
        <f t="shared" si="22"/>
        <v/>
      </c>
      <c r="S65" s="93" t="str">
        <f t="shared" si="23"/>
        <v/>
      </c>
      <c r="T65" s="94" t="str">
        <f t="shared" si="24"/>
        <v/>
      </c>
      <c r="U65" s="64" t="str">
        <f t="shared" si="25"/>
        <v/>
      </c>
      <c r="V65" s="65" t="str">
        <f t="shared" si="26"/>
        <v/>
      </c>
      <c r="W65" s="78" t="str">
        <f t="shared" si="27"/>
        <v/>
      </c>
      <c r="X65" s="66" t="str">
        <f t="shared" si="28"/>
        <v/>
      </c>
      <c r="Y65" s="66" t="str">
        <f t="shared" si="29"/>
        <v/>
      </c>
      <c r="Z65" s="67" t="str">
        <f t="shared" si="30"/>
        <v/>
      </c>
    </row>
    <row r="66" spans="1:26" s="5" customFormat="1" ht="17.25" customHeight="1">
      <c r="A66" s="84">
        <v>55</v>
      </c>
      <c r="B66" s="32"/>
      <c r="C66" s="33"/>
      <c r="D66" s="34"/>
      <c r="E66" s="35"/>
      <c r="F66" s="32"/>
      <c r="G66" s="111"/>
      <c r="H66" s="111"/>
      <c r="I66" s="112"/>
      <c r="J66" s="97"/>
      <c r="K66" s="62" t="str">
        <f t="shared" si="16"/>
        <v/>
      </c>
      <c r="L66" s="62" t="str">
        <f t="shared" si="17"/>
        <v/>
      </c>
      <c r="M66" s="62" t="str">
        <f t="shared" si="18"/>
        <v/>
      </c>
      <c r="N66" s="63" t="str">
        <f t="shared" si="19"/>
        <v/>
      </c>
      <c r="O66" s="64" t="str">
        <f t="shared" si="31"/>
        <v/>
      </c>
      <c r="P66" s="93" t="str">
        <f t="shared" si="20"/>
        <v/>
      </c>
      <c r="Q66" s="94" t="str">
        <f t="shared" si="21"/>
        <v/>
      </c>
      <c r="R66" s="64" t="str">
        <f t="shared" si="22"/>
        <v/>
      </c>
      <c r="S66" s="93" t="str">
        <f t="shared" si="23"/>
        <v/>
      </c>
      <c r="T66" s="94" t="str">
        <f t="shared" si="24"/>
        <v/>
      </c>
      <c r="U66" s="64" t="str">
        <f t="shared" si="25"/>
        <v/>
      </c>
      <c r="V66" s="65" t="str">
        <f t="shared" si="26"/>
        <v/>
      </c>
      <c r="W66" s="78" t="str">
        <f t="shared" si="27"/>
        <v/>
      </c>
      <c r="X66" s="66" t="str">
        <f t="shared" si="28"/>
        <v/>
      </c>
      <c r="Y66" s="66" t="str">
        <f t="shared" si="29"/>
        <v/>
      </c>
      <c r="Z66" s="67" t="str">
        <f t="shared" si="30"/>
        <v/>
      </c>
    </row>
    <row r="67" spans="1:26" s="5" customFormat="1" ht="17.25" customHeight="1">
      <c r="A67" s="84">
        <v>56</v>
      </c>
      <c r="B67" s="32"/>
      <c r="C67" s="33"/>
      <c r="D67" s="34"/>
      <c r="E67" s="35"/>
      <c r="F67" s="32"/>
      <c r="G67" s="111"/>
      <c r="H67" s="111"/>
      <c r="I67" s="112"/>
      <c r="J67" s="97"/>
      <c r="K67" s="62" t="str">
        <f t="shared" si="16"/>
        <v/>
      </c>
      <c r="L67" s="62" t="str">
        <f t="shared" si="17"/>
        <v/>
      </c>
      <c r="M67" s="62" t="str">
        <f t="shared" si="18"/>
        <v/>
      </c>
      <c r="N67" s="63" t="str">
        <f t="shared" si="19"/>
        <v/>
      </c>
      <c r="O67" s="64" t="str">
        <f t="shared" si="31"/>
        <v/>
      </c>
      <c r="P67" s="93" t="str">
        <f t="shared" si="20"/>
        <v/>
      </c>
      <c r="Q67" s="94" t="str">
        <f t="shared" si="21"/>
        <v/>
      </c>
      <c r="R67" s="64" t="str">
        <f t="shared" si="22"/>
        <v/>
      </c>
      <c r="S67" s="93" t="str">
        <f t="shared" si="23"/>
        <v/>
      </c>
      <c r="T67" s="94" t="str">
        <f t="shared" si="24"/>
        <v/>
      </c>
      <c r="U67" s="64" t="str">
        <f t="shared" si="25"/>
        <v/>
      </c>
      <c r="V67" s="65" t="str">
        <f t="shared" si="26"/>
        <v/>
      </c>
      <c r="W67" s="78" t="str">
        <f t="shared" si="27"/>
        <v/>
      </c>
      <c r="X67" s="66" t="str">
        <f t="shared" si="28"/>
        <v/>
      </c>
      <c r="Y67" s="66" t="str">
        <f t="shared" si="29"/>
        <v/>
      </c>
      <c r="Z67" s="67" t="str">
        <f t="shared" si="30"/>
        <v/>
      </c>
    </row>
    <row r="68" spans="1:26" s="5" customFormat="1" ht="17.25" customHeight="1">
      <c r="A68" s="84">
        <v>57</v>
      </c>
      <c r="B68" s="32"/>
      <c r="C68" s="33"/>
      <c r="D68" s="34"/>
      <c r="E68" s="35"/>
      <c r="F68" s="32"/>
      <c r="G68" s="111"/>
      <c r="H68" s="111"/>
      <c r="I68" s="112"/>
      <c r="J68" s="97"/>
      <c r="K68" s="62" t="str">
        <f t="shared" si="16"/>
        <v/>
      </c>
      <c r="L68" s="62" t="str">
        <f t="shared" si="17"/>
        <v/>
      </c>
      <c r="M68" s="62" t="str">
        <f t="shared" si="18"/>
        <v/>
      </c>
      <c r="N68" s="63" t="str">
        <f t="shared" si="19"/>
        <v/>
      </c>
      <c r="O68" s="64" t="str">
        <f t="shared" si="31"/>
        <v/>
      </c>
      <c r="P68" s="93" t="str">
        <f t="shared" si="20"/>
        <v/>
      </c>
      <c r="Q68" s="94" t="str">
        <f t="shared" si="21"/>
        <v/>
      </c>
      <c r="R68" s="64" t="str">
        <f t="shared" si="22"/>
        <v/>
      </c>
      <c r="S68" s="93" t="str">
        <f t="shared" si="23"/>
        <v/>
      </c>
      <c r="T68" s="94" t="str">
        <f t="shared" si="24"/>
        <v/>
      </c>
      <c r="U68" s="64" t="str">
        <f t="shared" si="25"/>
        <v/>
      </c>
      <c r="V68" s="65" t="str">
        <f t="shared" si="26"/>
        <v/>
      </c>
      <c r="W68" s="78" t="str">
        <f t="shared" si="27"/>
        <v/>
      </c>
      <c r="X68" s="66" t="str">
        <f t="shared" si="28"/>
        <v/>
      </c>
      <c r="Y68" s="66" t="str">
        <f t="shared" si="29"/>
        <v/>
      </c>
      <c r="Z68" s="67" t="str">
        <f t="shared" si="30"/>
        <v/>
      </c>
    </row>
    <row r="69" spans="1:26" s="5" customFormat="1" ht="17.25" customHeight="1">
      <c r="A69" s="84">
        <v>58</v>
      </c>
      <c r="B69" s="32"/>
      <c r="C69" s="33"/>
      <c r="D69" s="34"/>
      <c r="E69" s="35"/>
      <c r="F69" s="32"/>
      <c r="G69" s="111"/>
      <c r="H69" s="111"/>
      <c r="I69" s="112"/>
      <c r="J69" s="97"/>
      <c r="K69" s="62" t="str">
        <f t="shared" si="16"/>
        <v/>
      </c>
      <c r="L69" s="62" t="str">
        <f t="shared" si="17"/>
        <v/>
      </c>
      <c r="M69" s="62" t="str">
        <f t="shared" si="18"/>
        <v/>
      </c>
      <c r="N69" s="63" t="str">
        <f t="shared" si="19"/>
        <v/>
      </c>
      <c r="O69" s="64" t="str">
        <f t="shared" si="31"/>
        <v/>
      </c>
      <c r="P69" s="93" t="str">
        <f t="shared" si="20"/>
        <v/>
      </c>
      <c r="Q69" s="94" t="str">
        <f t="shared" si="21"/>
        <v/>
      </c>
      <c r="R69" s="64" t="str">
        <f t="shared" si="22"/>
        <v/>
      </c>
      <c r="S69" s="93" t="str">
        <f t="shared" si="23"/>
        <v/>
      </c>
      <c r="T69" s="94" t="str">
        <f t="shared" si="24"/>
        <v/>
      </c>
      <c r="U69" s="64" t="str">
        <f t="shared" si="25"/>
        <v/>
      </c>
      <c r="V69" s="65" t="str">
        <f t="shared" si="26"/>
        <v/>
      </c>
      <c r="W69" s="78" t="str">
        <f t="shared" si="27"/>
        <v/>
      </c>
      <c r="X69" s="66" t="str">
        <f t="shared" si="28"/>
        <v/>
      </c>
      <c r="Y69" s="66" t="str">
        <f t="shared" si="29"/>
        <v/>
      </c>
      <c r="Z69" s="67" t="str">
        <f t="shared" si="30"/>
        <v/>
      </c>
    </row>
    <row r="70" spans="1:26" s="5" customFormat="1" ht="17.25" customHeight="1">
      <c r="A70" s="84">
        <v>59</v>
      </c>
      <c r="B70" s="32"/>
      <c r="C70" s="33"/>
      <c r="D70" s="34"/>
      <c r="E70" s="35"/>
      <c r="F70" s="32"/>
      <c r="G70" s="111"/>
      <c r="H70" s="111"/>
      <c r="I70" s="112"/>
      <c r="J70" s="97"/>
      <c r="K70" s="62" t="str">
        <f t="shared" si="16"/>
        <v/>
      </c>
      <c r="L70" s="62" t="str">
        <f t="shared" si="17"/>
        <v/>
      </c>
      <c r="M70" s="62" t="str">
        <f t="shared" si="18"/>
        <v/>
      </c>
      <c r="N70" s="63" t="str">
        <f t="shared" si="19"/>
        <v/>
      </c>
      <c r="O70" s="64" t="str">
        <f t="shared" si="31"/>
        <v/>
      </c>
      <c r="P70" s="93" t="str">
        <f t="shared" si="20"/>
        <v/>
      </c>
      <c r="Q70" s="94" t="str">
        <f t="shared" si="21"/>
        <v/>
      </c>
      <c r="R70" s="64" t="str">
        <f t="shared" si="22"/>
        <v/>
      </c>
      <c r="S70" s="93" t="str">
        <f t="shared" si="23"/>
        <v/>
      </c>
      <c r="T70" s="94" t="str">
        <f t="shared" si="24"/>
        <v/>
      </c>
      <c r="U70" s="64" t="str">
        <f t="shared" si="25"/>
        <v/>
      </c>
      <c r="V70" s="65" t="str">
        <f t="shared" si="26"/>
        <v/>
      </c>
      <c r="W70" s="78" t="str">
        <f t="shared" si="27"/>
        <v/>
      </c>
      <c r="X70" s="66" t="str">
        <f t="shared" si="28"/>
        <v/>
      </c>
      <c r="Y70" s="66" t="str">
        <f t="shared" si="29"/>
        <v/>
      </c>
      <c r="Z70" s="67" t="str">
        <f t="shared" si="30"/>
        <v/>
      </c>
    </row>
    <row r="71" spans="1:26" s="5" customFormat="1" ht="17.25" customHeight="1">
      <c r="A71" s="84">
        <v>60</v>
      </c>
      <c r="B71" s="32"/>
      <c r="C71" s="33"/>
      <c r="D71" s="34"/>
      <c r="E71" s="35"/>
      <c r="F71" s="32"/>
      <c r="G71" s="111"/>
      <c r="H71" s="111"/>
      <c r="I71" s="112"/>
      <c r="J71" s="97"/>
      <c r="K71" s="62" t="str">
        <f t="shared" si="16"/>
        <v/>
      </c>
      <c r="L71" s="62" t="str">
        <f t="shared" si="17"/>
        <v/>
      </c>
      <c r="M71" s="62" t="str">
        <f t="shared" si="18"/>
        <v/>
      </c>
      <c r="N71" s="63" t="str">
        <f t="shared" si="19"/>
        <v/>
      </c>
      <c r="O71" s="64" t="str">
        <f t="shared" si="31"/>
        <v/>
      </c>
      <c r="P71" s="93" t="str">
        <f t="shared" si="20"/>
        <v/>
      </c>
      <c r="Q71" s="94" t="str">
        <f t="shared" si="21"/>
        <v/>
      </c>
      <c r="R71" s="64" t="str">
        <f t="shared" si="22"/>
        <v/>
      </c>
      <c r="S71" s="93" t="str">
        <f t="shared" si="23"/>
        <v/>
      </c>
      <c r="T71" s="94" t="str">
        <f t="shared" si="24"/>
        <v/>
      </c>
      <c r="U71" s="64" t="str">
        <f t="shared" si="25"/>
        <v/>
      </c>
      <c r="V71" s="65" t="str">
        <f t="shared" si="26"/>
        <v/>
      </c>
      <c r="W71" s="78" t="str">
        <f t="shared" si="27"/>
        <v/>
      </c>
      <c r="X71" s="66" t="str">
        <f t="shared" si="28"/>
        <v/>
      </c>
      <c r="Y71" s="66" t="str">
        <f t="shared" si="29"/>
        <v/>
      </c>
      <c r="Z71" s="67" t="str">
        <f t="shared" si="30"/>
        <v/>
      </c>
    </row>
    <row r="72" spans="1:26" s="5" customFormat="1" ht="17.25" customHeight="1">
      <c r="A72" s="84">
        <v>61</v>
      </c>
      <c r="B72" s="32"/>
      <c r="C72" s="33"/>
      <c r="D72" s="34"/>
      <c r="E72" s="35"/>
      <c r="F72" s="32"/>
      <c r="G72" s="111"/>
      <c r="H72" s="111"/>
      <c r="I72" s="112"/>
      <c r="J72" s="97"/>
      <c r="K72" s="62" t="str">
        <f t="shared" si="16"/>
        <v/>
      </c>
      <c r="L72" s="62" t="str">
        <f t="shared" si="17"/>
        <v/>
      </c>
      <c r="M72" s="62" t="str">
        <f t="shared" si="18"/>
        <v/>
      </c>
      <c r="N72" s="63" t="str">
        <f t="shared" si="19"/>
        <v/>
      </c>
      <c r="O72" s="64" t="str">
        <f t="shared" si="31"/>
        <v/>
      </c>
      <c r="P72" s="93" t="str">
        <f t="shared" si="20"/>
        <v/>
      </c>
      <c r="Q72" s="94" t="str">
        <f t="shared" si="21"/>
        <v/>
      </c>
      <c r="R72" s="64" t="str">
        <f t="shared" si="22"/>
        <v/>
      </c>
      <c r="S72" s="93" t="str">
        <f t="shared" si="23"/>
        <v/>
      </c>
      <c r="T72" s="94" t="str">
        <f t="shared" si="24"/>
        <v/>
      </c>
      <c r="U72" s="64" t="str">
        <f t="shared" si="25"/>
        <v/>
      </c>
      <c r="V72" s="65" t="str">
        <f t="shared" si="26"/>
        <v/>
      </c>
      <c r="W72" s="78" t="str">
        <f t="shared" si="27"/>
        <v/>
      </c>
      <c r="X72" s="66" t="str">
        <f t="shared" si="28"/>
        <v/>
      </c>
      <c r="Y72" s="66" t="str">
        <f t="shared" si="29"/>
        <v/>
      </c>
      <c r="Z72" s="67" t="str">
        <f t="shared" si="30"/>
        <v/>
      </c>
    </row>
    <row r="73" spans="1:26" s="5" customFormat="1" ht="17.25" customHeight="1">
      <c r="A73" s="84">
        <v>62</v>
      </c>
      <c r="B73" s="32"/>
      <c r="C73" s="33"/>
      <c r="D73" s="34"/>
      <c r="E73" s="35"/>
      <c r="F73" s="32"/>
      <c r="G73" s="111"/>
      <c r="H73" s="111"/>
      <c r="I73" s="112"/>
      <c r="J73" s="97"/>
      <c r="K73" s="62" t="str">
        <f t="shared" si="16"/>
        <v/>
      </c>
      <c r="L73" s="62" t="str">
        <f t="shared" si="17"/>
        <v/>
      </c>
      <c r="M73" s="62" t="str">
        <f t="shared" si="18"/>
        <v/>
      </c>
      <c r="N73" s="63" t="str">
        <f t="shared" si="19"/>
        <v/>
      </c>
      <c r="O73" s="64" t="str">
        <f t="shared" si="31"/>
        <v/>
      </c>
      <c r="P73" s="93" t="str">
        <f t="shared" si="20"/>
        <v/>
      </c>
      <c r="Q73" s="94" t="str">
        <f t="shared" si="21"/>
        <v/>
      </c>
      <c r="R73" s="64" t="str">
        <f t="shared" si="22"/>
        <v/>
      </c>
      <c r="S73" s="93" t="str">
        <f t="shared" si="23"/>
        <v/>
      </c>
      <c r="T73" s="94" t="str">
        <f t="shared" si="24"/>
        <v/>
      </c>
      <c r="U73" s="64" t="str">
        <f t="shared" si="25"/>
        <v/>
      </c>
      <c r="V73" s="65" t="str">
        <f t="shared" si="26"/>
        <v/>
      </c>
      <c r="W73" s="78" t="str">
        <f t="shared" si="27"/>
        <v/>
      </c>
      <c r="X73" s="66" t="str">
        <f t="shared" si="28"/>
        <v/>
      </c>
      <c r="Y73" s="66" t="str">
        <f t="shared" si="29"/>
        <v/>
      </c>
      <c r="Z73" s="67" t="str">
        <f t="shared" si="30"/>
        <v/>
      </c>
    </row>
    <row r="74" spans="1:26" s="5" customFormat="1" ht="17.25" customHeight="1">
      <c r="A74" s="84">
        <v>63</v>
      </c>
      <c r="B74" s="32"/>
      <c r="C74" s="33"/>
      <c r="D74" s="34"/>
      <c r="E74" s="35"/>
      <c r="F74" s="32"/>
      <c r="G74" s="111"/>
      <c r="H74" s="111"/>
      <c r="I74" s="112"/>
      <c r="J74" s="97"/>
      <c r="K74" s="62" t="str">
        <f t="shared" si="16"/>
        <v/>
      </c>
      <c r="L74" s="62" t="str">
        <f t="shared" si="17"/>
        <v/>
      </c>
      <c r="M74" s="62" t="str">
        <f t="shared" si="18"/>
        <v/>
      </c>
      <c r="N74" s="63" t="str">
        <f t="shared" si="19"/>
        <v/>
      </c>
      <c r="O74" s="64" t="str">
        <f t="shared" si="31"/>
        <v/>
      </c>
      <c r="P74" s="93" t="str">
        <f t="shared" si="20"/>
        <v/>
      </c>
      <c r="Q74" s="94" t="str">
        <f t="shared" si="21"/>
        <v/>
      </c>
      <c r="R74" s="64" t="str">
        <f t="shared" si="22"/>
        <v/>
      </c>
      <c r="S74" s="93" t="str">
        <f t="shared" si="23"/>
        <v/>
      </c>
      <c r="T74" s="94" t="str">
        <f t="shared" si="24"/>
        <v/>
      </c>
      <c r="U74" s="64" t="str">
        <f t="shared" si="25"/>
        <v/>
      </c>
      <c r="V74" s="65" t="str">
        <f t="shared" si="26"/>
        <v/>
      </c>
      <c r="W74" s="78" t="str">
        <f t="shared" si="27"/>
        <v/>
      </c>
      <c r="X74" s="66" t="str">
        <f t="shared" si="28"/>
        <v/>
      </c>
      <c r="Y74" s="66" t="str">
        <f t="shared" si="29"/>
        <v/>
      </c>
      <c r="Z74" s="67" t="str">
        <f t="shared" si="30"/>
        <v/>
      </c>
    </row>
    <row r="75" spans="1:26" s="5" customFormat="1" ht="17.25" customHeight="1">
      <c r="A75" s="84">
        <v>64</v>
      </c>
      <c r="B75" s="32"/>
      <c r="C75" s="33"/>
      <c r="D75" s="34"/>
      <c r="E75" s="35"/>
      <c r="F75" s="32"/>
      <c r="G75" s="111"/>
      <c r="H75" s="111"/>
      <c r="I75" s="112"/>
      <c r="J75" s="97"/>
      <c r="K75" s="62" t="str">
        <f t="shared" si="16"/>
        <v/>
      </c>
      <c r="L75" s="62" t="str">
        <f t="shared" si="17"/>
        <v/>
      </c>
      <c r="M75" s="62" t="str">
        <f t="shared" si="18"/>
        <v/>
      </c>
      <c r="N75" s="63" t="str">
        <f t="shared" si="19"/>
        <v/>
      </c>
      <c r="O75" s="64" t="str">
        <f t="shared" si="31"/>
        <v/>
      </c>
      <c r="P75" s="93" t="str">
        <f t="shared" si="20"/>
        <v/>
      </c>
      <c r="Q75" s="94" t="str">
        <f t="shared" si="21"/>
        <v/>
      </c>
      <c r="R75" s="64" t="str">
        <f t="shared" si="22"/>
        <v/>
      </c>
      <c r="S75" s="93" t="str">
        <f t="shared" si="23"/>
        <v/>
      </c>
      <c r="T75" s="94" t="str">
        <f t="shared" si="24"/>
        <v/>
      </c>
      <c r="U75" s="64" t="str">
        <f t="shared" si="25"/>
        <v/>
      </c>
      <c r="V75" s="65" t="str">
        <f t="shared" si="26"/>
        <v/>
      </c>
      <c r="W75" s="78" t="str">
        <f t="shared" si="27"/>
        <v/>
      </c>
      <c r="X75" s="66" t="str">
        <f t="shared" si="28"/>
        <v/>
      </c>
      <c r="Y75" s="66" t="str">
        <f t="shared" si="29"/>
        <v/>
      </c>
      <c r="Z75" s="67" t="str">
        <f t="shared" si="30"/>
        <v/>
      </c>
    </row>
    <row r="76" spans="1:26" s="5" customFormat="1" ht="17.25" customHeight="1">
      <c r="A76" s="84">
        <v>65</v>
      </c>
      <c r="B76" s="32"/>
      <c r="C76" s="33"/>
      <c r="D76" s="34"/>
      <c r="E76" s="35"/>
      <c r="F76" s="32"/>
      <c r="G76" s="111"/>
      <c r="H76" s="111"/>
      <c r="I76" s="112"/>
      <c r="J76" s="97"/>
      <c r="K76" s="62" t="str">
        <f t="shared" ref="K76:K107" si="32">IF($W$11=0,"",IF(D76="","",IF($G76="","",IF($F76="","",IF($G76/$F76&gt;=$K$11,"yes","NC")))))</f>
        <v/>
      </c>
      <c r="L76" s="62" t="str">
        <f t="shared" ref="L76:L107" si="33">IF($X$11=0,"",IF($D76="","",IF($G76="","",IF($H76="","",IF($H76/$F76&gt;=$L$11,"yes","NC")))))</f>
        <v/>
      </c>
      <c r="M76" s="62" t="str">
        <f t="shared" ref="M76:M107" si="34">IF($Y$11=0,"",IF($D76="","",IF($G76="","",IF($I76="","",IF($F76/$I76&lt;=$M$11,"yes","NC")))))</f>
        <v/>
      </c>
      <c r="N76" s="63" t="str">
        <f t="shared" ref="N76:N107" si="35">IF($D76="","",IF($O$8="","",IF(OR($O76&lt;$N$8,$O76&gt;$P$8),"NC","yes")))</f>
        <v/>
      </c>
      <c r="O76" s="64" t="str">
        <f t="shared" si="31"/>
        <v/>
      </c>
      <c r="P76" s="93" t="str">
        <f t="shared" ref="P76:P107" si="36">IF($D76=0,"",IF(N76="yes",($O76/$O$8),IF(OR($O76&lt;$N$8,$O76&gt;$P$8),($O76/$O$8))))</f>
        <v/>
      </c>
      <c r="Q76" s="94" t="str">
        <f t="shared" ref="Q76:Q107" si="37">IF($D76="","",IF($R$8="","",IF(OR($R76&lt;$Q$8,$R76&gt;$S$8),"NC","yes")))</f>
        <v/>
      </c>
      <c r="R76" s="64" t="str">
        <f t="shared" ref="R76:R107" si="38">IF($D76="","",$H76/$F76)</f>
        <v/>
      </c>
      <c r="S76" s="93" t="str">
        <f t="shared" ref="S76:S107" si="39">IF($D76=0,"",IF(Q76="yes",($R76/$R$8),IF(OR($R76&gt;$Q$8,$R76&lt;$S$8),($R76/$R$8))))</f>
        <v/>
      </c>
      <c r="T76" s="94" t="str">
        <f t="shared" ref="T76:T107" si="40">IF($D76="","",IF($U$8="","",IF(OR($U76&lt;$T$8,U76&gt;$V$8),"NC","yes")))</f>
        <v/>
      </c>
      <c r="U76" s="64" t="str">
        <f t="shared" ref="U76:U107" si="41">IF($D76="","",$F76/$I76)</f>
        <v/>
      </c>
      <c r="V76" s="65" t="str">
        <f t="shared" ref="V76:V107" si="42">IF($D76="","",IF(T76="yes",(U76/U$8),IF(OR(U76&lt;$T$8,U76&gt;V$8),(U76/U$8))))</f>
        <v/>
      </c>
      <c r="W76" s="78" t="str">
        <f t="shared" ref="W76:W107" si="43">IF(C76="","",IF($D76="",$F76,""))</f>
        <v/>
      </c>
      <c r="X76" s="66" t="str">
        <f t="shared" ref="X76:X107" si="44">IF($C76="","",IF($D76="",$G76,""))</f>
        <v/>
      </c>
      <c r="Y76" s="66" t="str">
        <f t="shared" ref="Y76:Y107" si="45">IF($C76="","",IF($D76="",$H76,""))</f>
        <v/>
      </c>
      <c r="Z76" s="67" t="str">
        <f t="shared" ref="Z76:Z107" si="46">IF($C76="","",IF($D76="",I76,""))</f>
        <v/>
      </c>
    </row>
    <row r="77" spans="1:26" s="5" customFormat="1" ht="17.25" customHeight="1">
      <c r="A77" s="84">
        <v>66</v>
      </c>
      <c r="B77" s="32"/>
      <c r="C77" s="33"/>
      <c r="D77" s="34"/>
      <c r="E77" s="35"/>
      <c r="F77" s="32"/>
      <c r="G77" s="111"/>
      <c r="H77" s="111"/>
      <c r="I77" s="112"/>
      <c r="J77" s="97"/>
      <c r="K77" s="62" t="str">
        <f t="shared" si="32"/>
        <v/>
      </c>
      <c r="L77" s="62" t="str">
        <f t="shared" si="33"/>
        <v/>
      </c>
      <c r="M77" s="62" t="str">
        <f t="shared" si="34"/>
        <v/>
      </c>
      <c r="N77" s="63" t="str">
        <f t="shared" si="35"/>
        <v/>
      </c>
      <c r="O77" s="64" t="str">
        <f t="shared" ref="O77:O108" si="47">IF($D77="","",G77/$F77)</f>
        <v/>
      </c>
      <c r="P77" s="93" t="str">
        <f t="shared" si="36"/>
        <v/>
      </c>
      <c r="Q77" s="94" t="str">
        <f t="shared" si="37"/>
        <v/>
      </c>
      <c r="R77" s="64" t="str">
        <f t="shared" si="38"/>
        <v/>
      </c>
      <c r="S77" s="93" t="str">
        <f t="shared" si="39"/>
        <v/>
      </c>
      <c r="T77" s="94" t="str">
        <f t="shared" si="40"/>
        <v/>
      </c>
      <c r="U77" s="64" t="str">
        <f t="shared" si="41"/>
        <v/>
      </c>
      <c r="V77" s="65" t="str">
        <f t="shared" si="42"/>
        <v/>
      </c>
      <c r="W77" s="78" t="str">
        <f t="shared" si="43"/>
        <v/>
      </c>
      <c r="X77" s="66" t="str">
        <f t="shared" si="44"/>
        <v/>
      </c>
      <c r="Y77" s="66" t="str">
        <f t="shared" si="45"/>
        <v/>
      </c>
      <c r="Z77" s="67" t="str">
        <f t="shared" si="46"/>
        <v/>
      </c>
    </row>
    <row r="78" spans="1:26" s="5" customFormat="1" ht="17.25" customHeight="1">
      <c r="A78" s="84">
        <v>67</v>
      </c>
      <c r="B78" s="32"/>
      <c r="C78" s="33"/>
      <c r="D78" s="34"/>
      <c r="E78" s="35"/>
      <c r="F78" s="32"/>
      <c r="G78" s="111"/>
      <c r="H78" s="111"/>
      <c r="I78" s="112"/>
      <c r="J78" s="97"/>
      <c r="K78" s="62" t="str">
        <f t="shared" si="32"/>
        <v/>
      </c>
      <c r="L78" s="62" t="str">
        <f t="shared" si="33"/>
        <v/>
      </c>
      <c r="M78" s="62" t="str">
        <f t="shared" si="34"/>
        <v/>
      </c>
      <c r="N78" s="63" t="str">
        <f t="shared" si="35"/>
        <v/>
      </c>
      <c r="O78" s="64" t="str">
        <f t="shared" si="47"/>
        <v/>
      </c>
      <c r="P78" s="93" t="str">
        <f t="shared" si="36"/>
        <v/>
      </c>
      <c r="Q78" s="94" t="str">
        <f t="shared" si="37"/>
        <v/>
      </c>
      <c r="R78" s="64" t="str">
        <f t="shared" si="38"/>
        <v/>
      </c>
      <c r="S78" s="93" t="str">
        <f t="shared" si="39"/>
        <v/>
      </c>
      <c r="T78" s="94" t="str">
        <f t="shared" si="40"/>
        <v/>
      </c>
      <c r="U78" s="64" t="str">
        <f t="shared" si="41"/>
        <v/>
      </c>
      <c r="V78" s="65" t="str">
        <f t="shared" si="42"/>
        <v/>
      </c>
      <c r="W78" s="78" t="str">
        <f t="shared" si="43"/>
        <v/>
      </c>
      <c r="X78" s="66" t="str">
        <f t="shared" si="44"/>
        <v/>
      </c>
      <c r="Y78" s="66" t="str">
        <f t="shared" si="45"/>
        <v/>
      </c>
      <c r="Z78" s="67" t="str">
        <f t="shared" si="46"/>
        <v/>
      </c>
    </row>
    <row r="79" spans="1:26" s="5" customFormat="1" ht="17.25" customHeight="1">
      <c r="A79" s="84">
        <v>68</v>
      </c>
      <c r="B79" s="32"/>
      <c r="C79" s="33"/>
      <c r="D79" s="34"/>
      <c r="E79" s="35"/>
      <c r="F79" s="32"/>
      <c r="G79" s="111"/>
      <c r="H79" s="111"/>
      <c r="I79" s="112"/>
      <c r="J79" s="97"/>
      <c r="K79" s="62" t="str">
        <f t="shared" si="32"/>
        <v/>
      </c>
      <c r="L79" s="62" t="str">
        <f t="shared" si="33"/>
        <v/>
      </c>
      <c r="M79" s="62" t="str">
        <f t="shared" si="34"/>
        <v/>
      </c>
      <c r="N79" s="63" t="str">
        <f t="shared" si="35"/>
        <v/>
      </c>
      <c r="O79" s="64" t="str">
        <f t="shared" si="47"/>
        <v/>
      </c>
      <c r="P79" s="93" t="str">
        <f t="shared" si="36"/>
        <v/>
      </c>
      <c r="Q79" s="94" t="str">
        <f t="shared" si="37"/>
        <v/>
      </c>
      <c r="R79" s="64" t="str">
        <f t="shared" si="38"/>
        <v/>
      </c>
      <c r="S79" s="93" t="str">
        <f t="shared" si="39"/>
        <v/>
      </c>
      <c r="T79" s="94" t="str">
        <f t="shared" si="40"/>
        <v/>
      </c>
      <c r="U79" s="64" t="str">
        <f t="shared" si="41"/>
        <v/>
      </c>
      <c r="V79" s="65" t="str">
        <f t="shared" si="42"/>
        <v/>
      </c>
      <c r="W79" s="78" t="str">
        <f t="shared" si="43"/>
        <v/>
      </c>
      <c r="X79" s="66" t="str">
        <f t="shared" si="44"/>
        <v/>
      </c>
      <c r="Y79" s="66" t="str">
        <f t="shared" si="45"/>
        <v/>
      </c>
      <c r="Z79" s="67" t="str">
        <f t="shared" si="46"/>
        <v/>
      </c>
    </row>
    <row r="80" spans="1:26" s="5" customFormat="1" ht="17.25" customHeight="1">
      <c r="A80" s="84">
        <v>69</v>
      </c>
      <c r="B80" s="32"/>
      <c r="C80" s="33"/>
      <c r="D80" s="34"/>
      <c r="E80" s="35"/>
      <c r="F80" s="32"/>
      <c r="G80" s="111"/>
      <c r="H80" s="111"/>
      <c r="I80" s="112"/>
      <c r="J80" s="97"/>
      <c r="K80" s="62" t="str">
        <f t="shared" si="32"/>
        <v/>
      </c>
      <c r="L80" s="62" t="str">
        <f t="shared" si="33"/>
        <v/>
      </c>
      <c r="M80" s="62" t="str">
        <f t="shared" si="34"/>
        <v/>
      </c>
      <c r="N80" s="63" t="str">
        <f t="shared" si="35"/>
        <v/>
      </c>
      <c r="O80" s="64" t="str">
        <f t="shared" si="47"/>
        <v/>
      </c>
      <c r="P80" s="93" t="str">
        <f t="shared" si="36"/>
        <v/>
      </c>
      <c r="Q80" s="94" t="str">
        <f t="shared" si="37"/>
        <v/>
      </c>
      <c r="R80" s="64" t="str">
        <f t="shared" si="38"/>
        <v/>
      </c>
      <c r="S80" s="93" t="str">
        <f t="shared" si="39"/>
        <v/>
      </c>
      <c r="T80" s="94" t="str">
        <f t="shared" si="40"/>
        <v/>
      </c>
      <c r="U80" s="64" t="str">
        <f t="shared" si="41"/>
        <v/>
      </c>
      <c r="V80" s="65" t="str">
        <f t="shared" si="42"/>
        <v/>
      </c>
      <c r="W80" s="78" t="str">
        <f t="shared" si="43"/>
        <v/>
      </c>
      <c r="X80" s="66" t="str">
        <f t="shared" si="44"/>
        <v/>
      </c>
      <c r="Y80" s="66" t="str">
        <f t="shared" si="45"/>
        <v/>
      </c>
      <c r="Z80" s="67" t="str">
        <f t="shared" si="46"/>
        <v/>
      </c>
    </row>
    <row r="81" spans="1:26" s="5" customFormat="1" ht="17.25" customHeight="1">
      <c r="A81" s="84">
        <v>70</v>
      </c>
      <c r="B81" s="32"/>
      <c r="C81" s="33"/>
      <c r="D81" s="34"/>
      <c r="E81" s="35"/>
      <c r="F81" s="32"/>
      <c r="G81" s="111"/>
      <c r="H81" s="111"/>
      <c r="I81" s="112"/>
      <c r="J81" s="97"/>
      <c r="K81" s="62" t="str">
        <f t="shared" si="32"/>
        <v/>
      </c>
      <c r="L81" s="62" t="str">
        <f t="shared" si="33"/>
        <v/>
      </c>
      <c r="M81" s="62" t="str">
        <f t="shared" si="34"/>
        <v/>
      </c>
      <c r="N81" s="63" t="str">
        <f t="shared" si="35"/>
        <v/>
      </c>
      <c r="O81" s="64" t="str">
        <f t="shared" si="47"/>
        <v/>
      </c>
      <c r="P81" s="93" t="str">
        <f t="shared" si="36"/>
        <v/>
      </c>
      <c r="Q81" s="94" t="str">
        <f t="shared" si="37"/>
        <v/>
      </c>
      <c r="R81" s="64" t="str">
        <f t="shared" si="38"/>
        <v/>
      </c>
      <c r="S81" s="93" t="str">
        <f t="shared" si="39"/>
        <v/>
      </c>
      <c r="T81" s="94" t="str">
        <f t="shared" si="40"/>
        <v/>
      </c>
      <c r="U81" s="64" t="str">
        <f t="shared" si="41"/>
        <v/>
      </c>
      <c r="V81" s="65" t="str">
        <f t="shared" si="42"/>
        <v/>
      </c>
      <c r="W81" s="78" t="str">
        <f t="shared" si="43"/>
        <v/>
      </c>
      <c r="X81" s="66" t="str">
        <f t="shared" si="44"/>
        <v/>
      </c>
      <c r="Y81" s="66" t="str">
        <f t="shared" si="45"/>
        <v/>
      </c>
      <c r="Z81" s="67" t="str">
        <f t="shared" si="46"/>
        <v/>
      </c>
    </row>
    <row r="82" spans="1:26" s="5" customFormat="1" ht="17.25" customHeight="1">
      <c r="A82" s="84">
        <v>71</v>
      </c>
      <c r="B82" s="32"/>
      <c r="C82" s="33"/>
      <c r="D82" s="34"/>
      <c r="E82" s="35"/>
      <c r="F82" s="32"/>
      <c r="G82" s="111"/>
      <c r="H82" s="111"/>
      <c r="I82" s="112"/>
      <c r="J82" s="97"/>
      <c r="K82" s="62" t="str">
        <f t="shared" si="32"/>
        <v/>
      </c>
      <c r="L82" s="62" t="str">
        <f t="shared" si="33"/>
        <v/>
      </c>
      <c r="M82" s="62" t="str">
        <f t="shared" si="34"/>
        <v/>
      </c>
      <c r="N82" s="63" t="str">
        <f t="shared" si="35"/>
        <v/>
      </c>
      <c r="O82" s="64" t="str">
        <f t="shared" si="47"/>
        <v/>
      </c>
      <c r="P82" s="93" t="str">
        <f t="shared" si="36"/>
        <v/>
      </c>
      <c r="Q82" s="94" t="str">
        <f t="shared" si="37"/>
        <v/>
      </c>
      <c r="R82" s="64" t="str">
        <f t="shared" si="38"/>
        <v/>
      </c>
      <c r="S82" s="93" t="str">
        <f t="shared" si="39"/>
        <v/>
      </c>
      <c r="T82" s="94" t="str">
        <f t="shared" si="40"/>
        <v/>
      </c>
      <c r="U82" s="64" t="str">
        <f t="shared" si="41"/>
        <v/>
      </c>
      <c r="V82" s="65" t="str">
        <f t="shared" si="42"/>
        <v/>
      </c>
      <c r="W82" s="78" t="str">
        <f t="shared" si="43"/>
        <v/>
      </c>
      <c r="X82" s="66" t="str">
        <f t="shared" si="44"/>
        <v/>
      </c>
      <c r="Y82" s="66" t="str">
        <f t="shared" si="45"/>
        <v/>
      </c>
      <c r="Z82" s="67" t="str">
        <f t="shared" si="46"/>
        <v/>
      </c>
    </row>
    <row r="83" spans="1:26" s="5" customFormat="1" ht="17.25" customHeight="1">
      <c r="A83" s="84">
        <v>72</v>
      </c>
      <c r="B83" s="32"/>
      <c r="C83" s="33"/>
      <c r="D83" s="34"/>
      <c r="E83" s="35"/>
      <c r="F83" s="32"/>
      <c r="G83" s="111"/>
      <c r="H83" s="111"/>
      <c r="I83" s="112"/>
      <c r="J83" s="97"/>
      <c r="K83" s="62" t="str">
        <f t="shared" si="32"/>
        <v/>
      </c>
      <c r="L83" s="62" t="str">
        <f t="shared" si="33"/>
        <v/>
      </c>
      <c r="M83" s="62" t="str">
        <f t="shared" si="34"/>
        <v/>
      </c>
      <c r="N83" s="63" t="str">
        <f t="shared" si="35"/>
        <v/>
      </c>
      <c r="O83" s="64" t="str">
        <f t="shared" si="47"/>
        <v/>
      </c>
      <c r="P83" s="93" t="str">
        <f t="shared" si="36"/>
        <v/>
      </c>
      <c r="Q83" s="94" t="str">
        <f t="shared" si="37"/>
        <v/>
      </c>
      <c r="R83" s="64" t="str">
        <f t="shared" si="38"/>
        <v/>
      </c>
      <c r="S83" s="93" t="str">
        <f t="shared" si="39"/>
        <v/>
      </c>
      <c r="T83" s="94" t="str">
        <f t="shared" si="40"/>
        <v/>
      </c>
      <c r="U83" s="64" t="str">
        <f t="shared" si="41"/>
        <v/>
      </c>
      <c r="V83" s="65" t="str">
        <f t="shared" si="42"/>
        <v/>
      </c>
      <c r="W83" s="78" t="str">
        <f t="shared" si="43"/>
        <v/>
      </c>
      <c r="X83" s="66" t="str">
        <f t="shared" si="44"/>
        <v/>
      </c>
      <c r="Y83" s="66" t="str">
        <f t="shared" si="45"/>
        <v/>
      </c>
      <c r="Z83" s="67" t="str">
        <f t="shared" si="46"/>
        <v/>
      </c>
    </row>
    <row r="84" spans="1:26" s="5" customFormat="1" ht="17.25" customHeight="1">
      <c r="A84" s="84">
        <v>73</v>
      </c>
      <c r="B84" s="32"/>
      <c r="C84" s="33"/>
      <c r="D84" s="34"/>
      <c r="E84" s="35"/>
      <c r="F84" s="32"/>
      <c r="G84" s="111"/>
      <c r="H84" s="111"/>
      <c r="I84" s="112"/>
      <c r="J84" s="97"/>
      <c r="K84" s="62" t="str">
        <f t="shared" si="32"/>
        <v/>
      </c>
      <c r="L84" s="62" t="str">
        <f t="shared" si="33"/>
        <v/>
      </c>
      <c r="M84" s="62" t="str">
        <f t="shared" si="34"/>
        <v/>
      </c>
      <c r="N84" s="63" t="str">
        <f t="shared" si="35"/>
        <v/>
      </c>
      <c r="O84" s="64" t="str">
        <f t="shared" si="47"/>
        <v/>
      </c>
      <c r="P84" s="93" t="str">
        <f t="shared" si="36"/>
        <v/>
      </c>
      <c r="Q84" s="94" t="str">
        <f t="shared" si="37"/>
        <v/>
      </c>
      <c r="R84" s="64" t="str">
        <f t="shared" si="38"/>
        <v/>
      </c>
      <c r="S84" s="93" t="str">
        <f t="shared" si="39"/>
        <v/>
      </c>
      <c r="T84" s="94" t="str">
        <f t="shared" si="40"/>
        <v/>
      </c>
      <c r="U84" s="64" t="str">
        <f t="shared" si="41"/>
        <v/>
      </c>
      <c r="V84" s="65" t="str">
        <f t="shared" si="42"/>
        <v/>
      </c>
      <c r="W84" s="78" t="str">
        <f t="shared" si="43"/>
        <v/>
      </c>
      <c r="X84" s="66" t="str">
        <f t="shared" si="44"/>
        <v/>
      </c>
      <c r="Y84" s="66" t="str">
        <f t="shared" si="45"/>
        <v/>
      </c>
      <c r="Z84" s="67" t="str">
        <f t="shared" si="46"/>
        <v/>
      </c>
    </row>
    <row r="85" spans="1:26" s="5" customFormat="1" ht="17.25" customHeight="1">
      <c r="A85" s="84">
        <v>74</v>
      </c>
      <c r="B85" s="32"/>
      <c r="C85" s="33"/>
      <c r="D85" s="34"/>
      <c r="E85" s="35"/>
      <c r="F85" s="32"/>
      <c r="G85" s="111"/>
      <c r="H85" s="111"/>
      <c r="I85" s="112"/>
      <c r="J85" s="97"/>
      <c r="K85" s="62" t="str">
        <f t="shared" si="32"/>
        <v/>
      </c>
      <c r="L85" s="62" t="str">
        <f t="shared" si="33"/>
        <v/>
      </c>
      <c r="M85" s="62" t="str">
        <f t="shared" si="34"/>
        <v/>
      </c>
      <c r="N85" s="63" t="str">
        <f t="shared" si="35"/>
        <v/>
      </c>
      <c r="O85" s="64" t="str">
        <f t="shared" si="47"/>
        <v/>
      </c>
      <c r="P85" s="93" t="str">
        <f t="shared" si="36"/>
        <v/>
      </c>
      <c r="Q85" s="94" t="str">
        <f t="shared" si="37"/>
        <v/>
      </c>
      <c r="R85" s="64" t="str">
        <f t="shared" si="38"/>
        <v/>
      </c>
      <c r="S85" s="93" t="str">
        <f t="shared" si="39"/>
        <v/>
      </c>
      <c r="T85" s="94" t="str">
        <f t="shared" si="40"/>
        <v/>
      </c>
      <c r="U85" s="64" t="str">
        <f t="shared" si="41"/>
        <v/>
      </c>
      <c r="V85" s="65" t="str">
        <f t="shared" si="42"/>
        <v/>
      </c>
      <c r="W85" s="78" t="str">
        <f t="shared" si="43"/>
        <v/>
      </c>
      <c r="X85" s="66" t="str">
        <f t="shared" si="44"/>
        <v/>
      </c>
      <c r="Y85" s="66" t="str">
        <f t="shared" si="45"/>
        <v/>
      </c>
      <c r="Z85" s="67" t="str">
        <f t="shared" si="46"/>
        <v/>
      </c>
    </row>
    <row r="86" spans="1:26" s="17" customFormat="1" ht="17.25" customHeight="1" thickBot="1">
      <c r="A86" s="84">
        <v>75</v>
      </c>
      <c r="B86" s="32"/>
      <c r="C86" s="33"/>
      <c r="D86" s="34"/>
      <c r="E86" s="35"/>
      <c r="F86" s="32"/>
      <c r="G86" s="111"/>
      <c r="H86" s="111"/>
      <c r="I86" s="112"/>
      <c r="J86" s="97"/>
      <c r="K86" s="62" t="str">
        <f t="shared" si="32"/>
        <v/>
      </c>
      <c r="L86" s="62" t="str">
        <f t="shared" si="33"/>
        <v/>
      </c>
      <c r="M86" s="62" t="str">
        <f t="shared" si="34"/>
        <v/>
      </c>
      <c r="N86" s="63" t="str">
        <f t="shared" si="35"/>
        <v/>
      </c>
      <c r="O86" s="64" t="str">
        <f t="shared" si="47"/>
        <v/>
      </c>
      <c r="P86" s="93" t="str">
        <f t="shared" si="36"/>
        <v/>
      </c>
      <c r="Q86" s="94" t="str">
        <f t="shared" si="37"/>
        <v/>
      </c>
      <c r="R86" s="64" t="str">
        <f t="shared" si="38"/>
        <v/>
      </c>
      <c r="S86" s="93" t="str">
        <f t="shared" si="39"/>
        <v/>
      </c>
      <c r="T86" s="94" t="str">
        <f t="shared" si="40"/>
        <v/>
      </c>
      <c r="U86" s="64" t="str">
        <f t="shared" si="41"/>
        <v/>
      </c>
      <c r="V86" s="65" t="str">
        <f t="shared" si="42"/>
        <v/>
      </c>
      <c r="W86" s="78" t="str">
        <f t="shared" si="43"/>
        <v/>
      </c>
      <c r="X86" s="66" t="str">
        <f t="shared" si="44"/>
        <v/>
      </c>
      <c r="Y86" s="66" t="str">
        <f t="shared" si="45"/>
        <v/>
      </c>
      <c r="Z86" s="67" t="str">
        <f t="shared" si="46"/>
        <v/>
      </c>
    </row>
    <row r="87" spans="1:26" s="5" customFormat="1" ht="17.25" customHeight="1">
      <c r="A87" s="84">
        <v>76</v>
      </c>
      <c r="B87" s="32"/>
      <c r="C87" s="33"/>
      <c r="D87" s="34"/>
      <c r="E87" s="35"/>
      <c r="F87" s="32"/>
      <c r="G87" s="111"/>
      <c r="H87" s="111"/>
      <c r="I87" s="112"/>
      <c r="J87" s="97"/>
      <c r="K87" s="62" t="str">
        <f t="shared" si="32"/>
        <v/>
      </c>
      <c r="L87" s="62" t="str">
        <f t="shared" si="33"/>
        <v/>
      </c>
      <c r="M87" s="62" t="str">
        <f t="shared" si="34"/>
        <v/>
      </c>
      <c r="N87" s="63" t="str">
        <f t="shared" si="35"/>
        <v/>
      </c>
      <c r="O87" s="64" t="str">
        <f t="shared" si="47"/>
        <v/>
      </c>
      <c r="P87" s="93" t="str">
        <f t="shared" si="36"/>
        <v/>
      </c>
      <c r="Q87" s="94" t="str">
        <f t="shared" si="37"/>
        <v/>
      </c>
      <c r="R87" s="64" t="str">
        <f t="shared" si="38"/>
        <v/>
      </c>
      <c r="S87" s="93" t="str">
        <f t="shared" si="39"/>
        <v/>
      </c>
      <c r="T87" s="94" t="str">
        <f t="shared" si="40"/>
        <v/>
      </c>
      <c r="U87" s="64" t="str">
        <f t="shared" si="41"/>
        <v/>
      </c>
      <c r="V87" s="65" t="str">
        <f t="shared" si="42"/>
        <v/>
      </c>
      <c r="W87" s="78" t="str">
        <f t="shared" si="43"/>
        <v/>
      </c>
      <c r="X87" s="66" t="str">
        <f t="shared" si="44"/>
        <v/>
      </c>
      <c r="Y87" s="66" t="str">
        <f t="shared" si="45"/>
        <v/>
      </c>
      <c r="Z87" s="67" t="str">
        <f t="shared" si="46"/>
        <v/>
      </c>
    </row>
    <row r="88" spans="1:26" s="5" customFormat="1" ht="17.25" customHeight="1">
      <c r="A88" s="84">
        <v>77</v>
      </c>
      <c r="B88" s="32"/>
      <c r="C88" s="33"/>
      <c r="D88" s="34"/>
      <c r="E88" s="35"/>
      <c r="F88" s="32"/>
      <c r="G88" s="111"/>
      <c r="H88" s="111"/>
      <c r="I88" s="112"/>
      <c r="J88" s="97"/>
      <c r="K88" s="62" t="str">
        <f t="shared" si="32"/>
        <v/>
      </c>
      <c r="L88" s="62" t="str">
        <f t="shared" si="33"/>
        <v/>
      </c>
      <c r="M88" s="62" t="str">
        <f t="shared" si="34"/>
        <v/>
      </c>
      <c r="N88" s="63" t="str">
        <f t="shared" si="35"/>
        <v/>
      </c>
      <c r="O88" s="64" t="str">
        <f t="shared" si="47"/>
        <v/>
      </c>
      <c r="P88" s="93" t="str">
        <f t="shared" si="36"/>
        <v/>
      </c>
      <c r="Q88" s="94" t="str">
        <f t="shared" si="37"/>
        <v/>
      </c>
      <c r="R88" s="64" t="str">
        <f t="shared" si="38"/>
        <v/>
      </c>
      <c r="S88" s="93" t="str">
        <f t="shared" si="39"/>
        <v/>
      </c>
      <c r="T88" s="94" t="str">
        <f t="shared" si="40"/>
        <v/>
      </c>
      <c r="U88" s="64" t="str">
        <f t="shared" si="41"/>
        <v/>
      </c>
      <c r="V88" s="65" t="str">
        <f t="shared" si="42"/>
        <v/>
      </c>
      <c r="W88" s="78" t="str">
        <f t="shared" si="43"/>
        <v/>
      </c>
      <c r="X88" s="66" t="str">
        <f t="shared" si="44"/>
        <v/>
      </c>
      <c r="Y88" s="66" t="str">
        <f t="shared" si="45"/>
        <v/>
      </c>
      <c r="Z88" s="67" t="str">
        <f t="shared" si="46"/>
        <v/>
      </c>
    </row>
    <row r="89" spans="1:26" s="5" customFormat="1" ht="17.25" customHeight="1">
      <c r="A89" s="84">
        <v>78</v>
      </c>
      <c r="B89" s="32"/>
      <c r="C89" s="33"/>
      <c r="D89" s="34"/>
      <c r="E89" s="35"/>
      <c r="F89" s="32"/>
      <c r="G89" s="111"/>
      <c r="H89" s="111"/>
      <c r="I89" s="112"/>
      <c r="J89" s="97"/>
      <c r="K89" s="62" t="str">
        <f t="shared" si="32"/>
        <v/>
      </c>
      <c r="L89" s="62" t="str">
        <f t="shared" si="33"/>
        <v/>
      </c>
      <c r="M89" s="62" t="str">
        <f t="shared" si="34"/>
        <v/>
      </c>
      <c r="N89" s="63" t="str">
        <f t="shared" si="35"/>
        <v/>
      </c>
      <c r="O89" s="64" t="str">
        <f t="shared" si="47"/>
        <v/>
      </c>
      <c r="P89" s="93" t="str">
        <f t="shared" si="36"/>
        <v/>
      </c>
      <c r="Q89" s="94" t="str">
        <f t="shared" si="37"/>
        <v/>
      </c>
      <c r="R89" s="64" t="str">
        <f t="shared" si="38"/>
        <v/>
      </c>
      <c r="S89" s="93" t="str">
        <f t="shared" si="39"/>
        <v/>
      </c>
      <c r="T89" s="94" t="str">
        <f t="shared" si="40"/>
        <v/>
      </c>
      <c r="U89" s="64" t="str">
        <f t="shared" si="41"/>
        <v/>
      </c>
      <c r="V89" s="65" t="str">
        <f t="shared" si="42"/>
        <v/>
      </c>
      <c r="W89" s="78" t="str">
        <f t="shared" si="43"/>
        <v/>
      </c>
      <c r="X89" s="66" t="str">
        <f t="shared" si="44"/>
        <v/>
      </c>
      <c r="Y89" s="66" t="str">
        <f t="shared" si="45"/>
        <v/>
      </c>
      <c r="Z89" s="67" t="str">
        <f t="shared" si="46"/>
        <v/>
      </c>
    </row>
    <row r="90" spans="1:26" s="5" customFormat="1" ht="17.25" customHeight="1">
      <c r="A90" s="84">
        <v>79</v>
      </c>
      <c r="B90" s="32"/>
      <c r="C90" s="33"/>
      <c r="D90" s="34"/>
      <c r="E90" s="35"/>
      <c r="F90" s="32"/>
      <c r="G90" s="111"/>
      <c r="H90" s="111"/>
      <c r="I90" s="112"/>
      <c r="J90" s="97"/>
      <c r="K90" s="62" t="str">
        <f t="shared" si="32"/>
        <v/>
      </c>
      <c r="L90" s="62" t="str">
        <f t="shared" si="33"/>
        <v/>
      </c>
      <c r="M90" s="62" t="str">
        <f t="shared" si="34"/>
        <v/>
      </c>
      <c r="N90" s="63" t="str">
        <f t="shared" si="35"/>
        <v/>
      </c>
      <c r="O90" s="64" t="str">
        <f t="shared" si="47"/>
        <v/>
      </c>
      <c r="P90" s="93" t="str">
        <f t="shared" si="36"/>
        <v/>
      </c>
      <c r="Q90" s="94" t="str">
        <f t="shared" si="37"/>
        <v/>
      </c>
      <c r="R90" s="64" t="str">
        <f t="shared" si="38"/>
        <v/>
      </c>
      <c r="S90" s="93" t="str">
        <f t="shared" si="39"/>
        <v/>
      </c>
      <c r="T90" s="94" t="str">
        <f t="shared" si="40"/>
        <v/>
      </c>
      <c r="U90" s="64" t="str">
        <f t="shared" si="41"/>
        <v/>
      </c>
      <c r="V90" s="65" t="str">
        <f t="shared" si="42"/>
        <v/>
      </c>
      <c r="W90" s="78" t="str">
        <f t="shared" si="43"/>
        <v/>
      </c>
      <c r="X90" s="66" t="str">
        <f t="shared" si="44"/>
        <v/>
      </c>
      <c r="Y90" s="66" t="str">
        <f t="shared" si="45"/>
        <v/>
      </c>
      <c r="Z90" s="67" t="str">
        <f t="shared" si="46"/>
        <v/>
      </c>
    </row>
    <row r="91" spans="1:26" s="5" customFormat="1" ht="17.25" customHeight="1">
      <c r="A91" s="84">
        <v>80</v>
      </c>
      <c r="B91" s="32"/>
      <c r="C91" s="33"/>
      <c r="D91" s="34"/>
      <c r="E91" s="35"/>
      <c r="F91" s="32"/>
      <c r="G91" s="111"/>
      <c r="H91" s="111"/>
      <c r="I91" s="112"/>
      <c r="J91" s="97"/>
      <c r="K91" s="62" t="str">
        <f t="shared" si="32"/>
        <v/>
      </c>
      <c r="L91" s="62" t="str">
        <f t="shared" si="33"/>
        <v/>
      </c>
      <c r="M91" s="62" t="str">
        <f t="shared" si="34"/>
        <v/>
      </c>
      <c r="N91" s="63" t="str">
        <f t="shared" si="35"/>
        <v/>
      </c>
      <c r="O91" s="64" t="str">
        <f t="shared" si="47"/>
        <v/>
      </c>
      <c r="P91" s="93" t="str">
        <f t="shared" si="36"/>
        <v/>
      </c>
      <c r="Q91" s="94" t="str">
        <f t="shared" si="37"/>
        <v/>
      </c>
      <c r="R91" s="64" t="str">
        <f t="shared" si="38"/>
        <v/>
      </c>
      <c r="S91" s="93" t="str">
        <f t="shared" si="39"/>
        <v/>
      </c>
      <c r="T91" s="94" t="str">
        <f t="shared" si="40"/>
        <v/>
      </c>
      <c r="U91" s="64" t="str">
        <f t="shared" si="41"/>
        <v/>
      </c>
      <c r="V91" s="65" t="str">
        <f t="shared" si="42"/>
        <v/>
      </c>
      <c r="W91" s="78" t="str">
        <f t="shared" si="43"/>
        <v/>
      </c>
      <c r="X91" s="66" t="str">
        <f t="shared" si="44"/>
        <v/>
      </c>
      <c r="Y91" s="66" t="str">
        <f t="shared" si="45"/>
        <v/>
      </c>
      <c r="Z91" s="67" t="str">
        <f t="shared" si="46"/>
        <v/>
      </c>
    </row>
    <row r="92" spans="1:26" s="5" customFormat="1" ht="17.25" customHeight="1">
      <c r="A92" s="84">
        <v>81</v>
      </c>
      <c r="B92" s="32"/>
      <c r="C92" s="33"/>
      <c r="D92" s="34"/>
      <c r="E92" s="35"/>
      <c r="F92" s="32"/>
      <c r="G92" s="111"/>
      <c r="H92" s="111"/>
      <c r="I92" s="112"/>
      <c r="J92" s="97"/>
      <c r="K92" s="62" t="str">
        <f t="shared" si="32"/>
        <v/>
      </c>
      <c r="L92" s="62" t="str">
        <f t="shared" si="33"/>
        <v/>
      </c>
      <c r="M92" s="62" t="str">
        <f t="shared" si="34"/>
        <v/>
      </c>
      <c r="N92" s="63" t="str">
        <f t="shared" si="35"/>
        <v/>
      </c>
      <c r="O92" s="64" t="str">
        <f t="shared" si="47"/>
        <v/>
      </c>
      <c r="P92" s="93" t="str">
        <f t="shared" si="36"/>
        <v/>
      </c>
      <c r="Q92" s="94" t="str">
        <f t="shared" si="37"/>
        <v/>
      </c>
      <c r="R92" s="64" t="str">
        <f t="shared" si="38"/>
        <v/>
      </c>
      <c r="S92" s="93" t="str">
        <f t="shared" si="39"/>
        <v/>
      </c>
      <c r="T92" s="94" t="str">
        <f t="shared" si="40"/>
        <v/>
      </c>
      <c r="U92" s="64" t="str">
        <f t="shared" si="41"/>
        <v/>
      </c>
      <c r="V92" s="65" t="str">
        <f t="shared" si="42"/>
        <v/>
      </c>
      <c r="W92" s="78" t="str">
        <f t="shared" si="43"/>
        <v/>
      </c>
      <c r="X92" s="66" t="str">
        <f t="shared" si="44"/>
        <v/>
      </c>
      <c r="Y92" s="66" t="str">
        <f t="shared" si="45"/>
        <v/>
      </c>
      <c r="Z92" s="67" t="str">
        <f t="shared" si="46"/>
        <v/>
      </c>
    </row>
    <row r="93" spans="1:26" s="5" customFormat="1" ht="17.25" customHeight="1">
      <c r="A93" s="84">
        <v>82</v>
      </c>
      <c r="B93" s="32"/>
      <c r="C93" s="33"/>
      <c r="D93" s="34"/>
      <c r="E93" s="35"/>
      <c r="F93" s="32"/>
      <c r="G93" s="111"/>
      <c r="H93" s="111"/>
      <c r="I93" s="112"/>
      <c r="J93" s="97"/>
      <c r="K93" s="62" t="str">
        <f t="shared" si="32"/>
        <v/>
      </c>
      <c r="L93" s="62" t="str">
        <f t="shared" si="33"/>
        <v/>
      </c>
      <c r="M93" s="62" t="str">
        <f t="shared" si="34"/>
        <v/>
      </c>
      <c r="N93" s="63" t="str">
        <f t="shared" si="35"/>
        <v/>
      </c>
      <c r="O93" s="64" t="str">
        <f t="shared" si="47"/>
        <v/>
      </c>
      <c r="P93" s="93" t="str">
        <f t="shared" si="36"/>
        <v/>
      </c>
      <c r="Q93" s="94" t="str">
        <f t="shared" si="37"/>
        <v/>
      </c>
      <c r="R93" s="64" t="str">
        <f t="shared" si="38"/>
        <v/>
      </c>
      <c r="S93" s="93" t="str">
        <f t="shared" si="39"/>
        <v/>
      </c>
      <c r="T93" s="94" t="str">
        <f t="shared" si="40"/>
        <v/>
      </c>
      <c r="U93" s="64" t="str">
        <f t="shared" si="41"/>
        <v/>
      </c>
      <c r="V93" s="65" t="str">
        <f t="shared" si="42"/>
        <v/>
      </c>
      <c r="W93" s="78" t="str">
        <f t="shared" si="43"/>
        <v/>
      </c>
      <c r="X93" s="66" t="str">
        <f t="shared" si="44"/>
        <v/>
      </c>
      <c r="Y93" s="66" t="str">
        <f t="shared" si="45"/>
        <v/>
      </c>
      <c r="Z93" s="67" t="str">
        <f t="shared" si="46"/>
        <v/>
      </c>
    </row>
    <row r="94" spans="1:26" s="5" customFormat="1" ht="17.25" customHeight="1">
      <c r="A94" s="84">
        <v>83</v>
      </c>
      <c r="B94" s="32"/>
      <c r="C94" s="33"/>
      <c r="D94" s="34"/>
      <c r="E94" s="35"/>
      <c r="F94" s="32"/>
      <c r="G94" s="111"/>
      <c r="H94" s="111"/>
      <c r="I94" s="112"/>
      <c r="J94" s="97"/>
      <c r="K94" s="62" t="str">
        <f t="shared" si="32"/>
        <v/>
      </c>
      <c r="L94" s="62" t="str">
        <f t="shared" si="33"/>
        <v/>
      </c>
      <c r="M94" s="62" t="str">
        <f t="shared" si="34"/>
        <v/>
      </c>
      <c r="N94" s="63" t="str">
        <f t="shared" si="35"/>
        <v/>
      </c>
      <c r="O94" s="64" t="str">
        <f t="shared" si="47"/>
        <v/>
      </c>
      <c r="P94" s="93" t="str">
        <f t="shared" si="36"/>
        <v/>
      </c>
      <c r="Q94" s="94" t="str">
        <f t="shared" si="37"/>
        <v/>
      </c>
      <c r="R94" s="64" t="str">
        <f t="shared" si="38"/>
        <v/>
      </c>
      <c r="S94" s="93" t="str">
        <f t="shared" si="39"/>
        <v/>
      </c>
      <c r="T94" s="94" t="str">
        <f t="shared" si="40"/>
        <v/>
      </c>
      <c r="U94" s="64" t="str">
        <f t="shared" si="41"/>
        <v/>
      </c>
      <c r="V94" s="65" t="str">
        <f t="shared" si="42"/>
        <v/>
      </c>
      <c r="W94" s="78" t="str">
        <f t="shared" si="43"/>
        <v/>
      </c>
      <c r="X94" s="66" t="str">
        <f t="shared" si="44"/>
        <v/>
      </c>
      <c r="Y94" s="66" t="str">
        <f t="shared" si="45"/>
        <v/>
      </c>
      <c r="Z94" s="67" t="str">
        <f t="shared" si="46"/>
        <v/>
      </c>
    </row>
    <row r="95" spans="1:26" s="5" customFormat="1" ht="17.25" customHeight="1">
      <c r="A95" s="84">
        <v>84</v>
      </c>
      <c r="B95" s="32"/>
      <c r="C95" s="33"/>
      <c r="D95" s="34"/>
      <c r="E95" s="35"/>
      <c r="F95" s="32"/>
      <c r="G95" s="111"/>
      <c r="H95" s="111"/>
      <c r="I95" s="112"/>
      <c r="J95" s="97"/>
      <c r="K95" s="62" t="str">
        <f t="shared" si="32"/>
        <v/>
      </c>
      <c r="L95" s="62" t="str">
        <f t="shared" si="33"/>
        <v/>
      </c>
      <c r="M95" s="62" t="str">
        <f t="shared" si="34"/>
        <v/>
      </c>
      <c r="N95" s="63" t="str">
        <f t="shared" si="35"/>
        <v/>
      </c>
      <c r="O95" s="64" t="str">
        <f t="shared" si="47"/>
        <v/>
      </c>
      <c r="P95" s="93" t="str">
        <f t="shared" si="36"/>
        <v/>
      </c>
      <c r="Q95" s="94" t="str">
        <f t="shared" si="37"/>
        <v/>
      </c>
      <c r="R95" s="64" t="str">
        <f t="shared" si="38"/>
        <v/>
      </c>
      <c r="S95" s="93" t="str">
        <f t="shared" si="39"/>
        <v/>
      </c>
      <c r="T95" s="94" t="str">
        <f t="shared" si="40"/>
        <v/>
      </c>
      <c r="U95" s="64" t="str">
        <f t="shared" si="41"/>
        <v/>
      </c>
      <c r="V95" s="65" t="str">
        <f t="shared" si="42"/>
        <v/>
      </c>
      <c r="W95" s="78" t="str">
        <f t="shared" si="43"/>
        <v/>
      </c>
      <c r="X95" s="66" t="str">
        <f t="shared" si="44"/>
        <v/>
      </c>
      <c r="Y95" s="66" t="str">
        <f t="shared" si="45"/>
        <v/>
      </c>
      <c r="Z95" s="67" t="str">
        <f t="shared" si="46"/>
        <v/>
      </c>
    </row>
    <row r="96" spans="1:26" s="5" customFormat="1" ht="17.25" customHeight="1">
      <c r="A96" s="84">
        <v>85</v>
      </c>
      <c r="B96" s="32"/>
      <c r="C96" s="33"/>
      <c r="D96" s="34"/>
      <c r="E96" s="35"/>
      <c r="F96" s="32"/>
      <c r="G96" s="111"/>
      <c r="H96" s="111"/>
      <c r="I96" s="112"/>
      <c r="J96" s="97"/>
      <c r="K96" s="62" t="str">
        <f t="shared" si="32"/>
        <v/>
      </c>
      <c r="L96" s="62" t="str">
        <f t="shared" si="33"/>
        <v/>
      </c>
      <c r="M96" s="62" t="str">
        <f t="shared" si="34"/>
        <v/>
      </c>
      <c r="N96" s="63" t="str">
        <f t="shared" si="35"/>
        <v/>
      </c>
      <c r="O96" s="64" t="str">
        <f t="shared" si="47"/>
        <v/>
      </c>
      <c r="P96" s="93" t="str">
        <f t="shared" si="36"/>
        <v/>
      </c>
      <c r="Q96" s="94" t="str">
        <f t="shared" si="37"/>
        <v/>
      </c>
      <c r="R96" s="64" t="str">
        <f t="shared" si="38"/>
        <v/>
      </c>
      <c r="S96" s="93" t="str">
        <f t="shared" si="39"/>
        <v/>
      </c>
      <c r="T96" s="94" t="str">
        <f t="shared" si="40"/>
        <v/>
      </c>
      <c r="U96" s="64" t="str">
        <f t="shared" si="41"/>
        <v/>
      </c>
      <c r="V96" s="65" t="str">
        <f t="shared" si="42"/>
        <v/>
      </c>
      <c r="W96" s="78" t="str">
        <f t="shared" si="43"/>
        <v/>
      </c>
      <c r="X96" s="66" t="str">
        <f t="shared" si="44"/>
        <v/>
      </c>
      <c r="Y96" s="66" t="str">
        <f t="shared" si="45"/>
        <v/>
      </c>
      <c r="Z96" s="67" t="str">
        <f t="shared" si="46"/>
        <v/>
      </c>
    </row>
    <row r="97" spans="1:26" s="5" customFormat="1" ht="17.25" customHeight="1">
      <c r="A97" s="84">
        <v>86</v>
      </c>
      <c r="B97" s="32"/>
      <c r="C97" s="33"/>
      <c r="D97" s="34"/>
      <c r="E97" s="35"/>
      <c r="F97" s="32"/>
      <c r="G97" s="111"/>
      <c r="H97" s="111"/>
      <c r="I97" s="112"/>
      <c r="J97" s="97"/>
      <c r="K97" s="62" t="str">
        <f t="shared" si="32"/>
        <v/>
      </c>
      <c r="L97" s="62" t="str">
        <f t="shared" si="33"/>
        <v/>
      </c>
      <c r="M97" s="62" t="str">
        <f t="shared" si="34"/>
        <v/>
      </c>
      <c r="N97" s="63" t="str">
        <f t="shared" si="35"/>
        <v/>
      </c>
      <c r="O97" s="64" t="str">
        <f t="shared" si="47"/>
        <v/>
      </c>
      <c r="P97" s="93" t="str">
        <f t="shared" si="36"/>
        <v/>
      </c>
      <c r="Q97" s="94" t="str">
        <f t="shared" si="37"/>
        <v/>
      </c>
      <c r="R97" s="64" t="str">
        <f t="shared" si="38"/>
        <v/>
      </c>
      <c r="S97" s="93" t="str">
        <f t="shared" si="39"/>
        <v/>
      </c>
      <c r="T97" s="94" t="str">
        <f t="shared" si="40"/>
        <v/>
      </c>
      <c r="U97" s="64" t="str">
        <f t="shared" si="41"/>
        <v/>
      </c>
      <c r="V97" s="65" t="str">
        <f t="shared" si="42"/>
        <v/>
      </c>
      <c r="W97" s="78" t="str">
        <f t="shared" si="43"/>
        <v/>
      </c>
      <c r="X97" s="66" t="str">
        <f t="shared" si="44"/>
        <v/>
      </c>
      <c r="Y97" s="66" t="str">
        <f t="shared" si="45"/>
        <v/>
      </c>
      <c r="Z97" s="67" t="str">
        <f t="shared" si="46"/>
        <v/>
      </c>
    </row>
    <row r="98" spans="1:26" s="5" customFormat="1" ht="17.25" customHeight="1">
      <c r="A98" s="84">
        <v>87</v>
      </c>
      <c r="B98" s="32"/>
      <c r="C98" s="33"/>
      <c r="D98" s="34"/>
      <c r="E98" s="35"/>
      <c r="F98" s="32"/>
      <c r="G98" s="111"/>
      <c r="H98" s="111"/>
      <c r="I98" s="112"/>
      <c r="J98" s="97"/>
      <c r="K98" s="62" t="str">
        <f t="shared" si="32"/>
        <v/>
      </c>
      <c r="L98" s="62" t="str">
        <f t="shared" si="33"/>
        <v/>
      </c>
      <c r="M98" s="62" t="str">
        <f t="shared" si="34"/>
        <v/>
      </c>
      <c r="N98" s="63" t="str">
        <f t="shared" si="35"/>
        <v/>
      </c>
      <c r="O98" s="64" t="str">
        <f t="shared" si="47"/>
        <v/>
      </c>
      <c r="P98" s="93" t="str">
        <f t="shared" si="36"/>
        <v/>
      </c>
      <c r="Q98" s="94" t="str">
        <f t="shared" si="37"/>
        <v/>
      </c>
      <c r="R98" s="64" t="str">
        <f t="shared" si="38"/>
        <v/>
      </c>
      <c r="S98" s="93" t="str">
        <f t="shared" si="39"/>
        <v/>
      </c>
      <c r="T98" s="94" t="str">
        <f t="shared" si="40"/>
        <v/>
      </c>
      <c r="U98" s="64" t="str">
        <f t="shared" si="41"/>
        <v/>
      </c>
      <c r="V98" s="65" t="str">
        <f t="shared" si="42"/>
        <v/>
      </c>
      <c r="W98" s="78" t="str">
        <f t="shared" si="43"/>
        <v/>
      </c>
      <c r="X98" s="66" t="str">
        <f t="shared" si="44"/>
        <v/>
      </c>
      <c r="Y98" s="66" t="str">
        <f t="shared" si="45"/>
        <v/>
      </c>
      <c r="Z98" s="67" t="str">
        <f t="shared" si="46"/>
        <v/>
      </c>
    </row>
    <row r="99" spans="1:26" s="5" customFormat="1" ht="17.25" customHeight="1">
      <c r="A99" s="84">
        <v>88</v>
      </c>
      <c r="B99" s="32"/>
      <c r="C99" s="33"/>
      <c r="D99" s="34"/>
      <c r="E99" s="35"/>
      <c r="F99" s="32"/>
      <c r="G99" s="111"/>
      <c r="H99" s="111"/>
      <c r="I99" s="112"/>
      <c r="J99" s="97"/>
      <c r="K99" s="62" t="str">
        <f t="shared" si="32"/>
        <v/>
      </c>
      <c r="L99" s="62" t="str">
        <f t="shared" si="33"/>
        <v/>
      </c>
      <c r="M99" s="62" t="str">
        <f t="shared" si="34"/>
        <v/>
      </c>
      <c r="N99" s="63" t="str">
        <f t="shared" si="35"/>
        <v/>
      </c>
      <c r="O99" s="64" t="str">
        <f t="shared" si="47"/>
        <v/>
      </c>
      <c r="P99" s="93" t="str">
        <f t="shared" si="36"/>
        <v/>
      </c>
      <c r="Q99" s="94" t="str">
        <f t="shared" si="37"/>
        <v/>
      </c>
      <c r="R99" s="64" t="str">
        <f t="shared" si="38"/>
        <v/>
      </c>
      <c r="S99" s="93" t="str">
        <f t="shared" si="39"/>
        <v/>
      </c>
      <c r="T99" s="94" t="str">
        <f t="shared" si="40"/>
        <v/>
      </c>
      <c r="U99" s="64" t="str">
        <f t="shared" si="41"/>
        <v/>
      </c>
      <c r="V99" s="65" t="str">
        <f t="shared" si="42"/>
        <v/>
      </c>
      <c r="W99" s="78" t="str">
        <f t="shared" si="43"/>
        <v/>
      </c>
      <c r="X99" s="66" t="str">
        <f t="shared" si="44"/>
        <v/>
      </c>
      <c r="Y99" s="66" t="str">
        <f t="shared" si="45"/>
        <v/>
      </c>
      <c r="Z99" s="67" t="str">
        <f t="shared" si="46"/>
        <v/>
      </c>
    </row>
    <row r="100" spans="1:26" s="5" customFormat="1" ht="17.25" customHeight="1">
      <c r="A100" s="84">
        <v>89</v>
      </c>
      <c r="B100" s="32"/>
      <c r="C100" s="33"/>
      <c r="D100" s="34"/>
      <c r="E100" s="35"/>
      <c r="F100" s="32"/>
      <c r="G100" s="111"/>
      <c r="H100" s="111"/>
      <c r="I100" s="112"/>
      <c r="J100" s="97"/>
      <c r="K100" s="62" t="str">
        <f t="shared" si="32"/>
        <v/>
      </c>
      <c r="L100" s="62" t="str">
        <f t="shared" si="33"/>
        <v/>
      </c>
      <c r="M100" s="62" t="str">
        <f t="shared" si="34"/>
        <v/>
      </c>
      <c r="N100" s="63" t="str">
        <f t="shared" si="35"/>
        <v/>
      </c>
      <c r="O100" s="64" t="str">
        <f t="shared" si="47"/>
        <v/>
      </c>
      <c r="P100" s="93" t="str">
        <f t="shared" si="36"/>
        <v/>
      </c>
      <c r="Q100" s="94" t="str">
        <f t="shared" si="37"/>
        <v/>
      </c>
      <c r="R100" s="64" t="str">
        <f t="shared" si="38"/>
        <v/>
      </c>
      <c r="S100" s="93" t="str">
        <f t="shared" si="39"/>
        <v/>
      </c>
      <c r="T100" s="94" t="str">
        <f t="shared" si="40"/>
        <v/>
      </c>
      <c r="U100" s="64" t="str">
        <f t="shared" si="41"/>
        <v/>
      </c>
      <c r="V100" s="65" t="str">
        <f t="shared" si="42"/>
        <v/>
      </c>
      <c r="W100" s="78" t="str">
        <f t="shared" si="43"/>
        <v/>
      </c>
      <c r="X100" s="66" t="str">
        <f t="shared" si="44"/>
        <v/>
      </c>
      <c r="Y100" s="66" t="str">
        <f t="shared" si="45"/>
        <v/>
      </c>
      <c r="Z100" s="67" t="str">
        <f t="shared" si="46"/>
        <v/>
      </c>
    </row>
    <row r="101" spans="1:26" s="5" customFormat="1" ht="17.25" customHeight="1">
      <c r="A101" s="84">
        <v>90</v>
      </c>
      <c r="B101" s="32"/>
      <c r="C101" s="33"/>
      <c r="D101" s="34"/>
      <c r="E101" s="35"/>
      <c r="F101" s="32"/>
      <c r="G101" s="111"/>
      <c r="H101" s="111"/>
      <c r="I101" s="112"/>
      <c r="J101" s="97"/>
      <c r="K101" s="62" t="str">
        <f t="shared" si="32"/>
        <v/>
      </c>
      <c r="L101" s="62" t="str">
        <f t="shared" si="33"/>
        <v/>
      </c>
      <c r="M101" s="62" t="str">
        <f t="shared" si="34"/>
        <v/>
      </c>
      <c r="N101" s="63" t="str">
        <f t="shared" si="35"/>
        <v/>
      </c>
      <c r="O101" s="64" t="str">
        <f t="shared" si="47"/>
        <v/>
      </c>
      <c r="P101" s="93" t="str">
        <f t="shared" si="36"/>
        <v/>
      </c>
      <c r="Q101" s="94" t="str">
        <f t="shared" si="37"/>
        <v/>
      </c>
      <c r="R101" s="64" t="str">
        <f t="shared" si="38"/>
        <v/>
      </c>
      <c r="S101" s="93" t="str">
        <f t="shared" si="39"/>
        <v/>
      </c>
      <c r="T101" s="94" t="str">
        <f t="shared" si="40"/>
        <v/>
      </c>
      <c r="U101" s="64" t="str">
        <f t="shared" si="41"/>
        <v/>
      </c>
      <c r="V101" s="65" t="str">
        <f t="shared" si="42"/>
        <v/>
      </c>
      <c r="W101" s="78" t="str">
        <f t="shared" si="43"/>
        <v/>
      </c>
      <c r="X101" s="66" t="str">
        <f t="shared" si="44"/>
        <v/>
      </c>
      <c r="Y101" s="66" t="str">
        <f t="shared" si="45"/>
        <v/>
      </c>
      <c r="Z101" s="67" t="str">
        <f t="shared" si="46"/>
        <v/>
      </c>
    </row>
    <row r="102" spans="1:26" s="5" customFormat="1" ht="17.25" customHeight="1">
      <c r="A102" s="84">
        <v>91</v>
      </c>
      <c r="B102" s="32"/>
      <c r="C102" s="33"/>
      <c r="D102" s="34"/>
      <c r="E102" s="35"/>
      <c r="F102" s="32"/>
      <c r="G102" s="111"/>
      <c r="H102" s="111"/>
      <c r="I102" s="112"/>
      <c r="J102" s="97"/>
      <c r="K102" s="62" t="str">
        <f t="shared" si="32"/>
        <v/>
      </c>
      <c r="L102" s="62" t="str">
        <f t="shared" si="33"/>
        <v/>
      </c>
      <c r="M102" s="62" t="str">
        <f t="shared" si="34"/>
        <v/>
      </c>
      <c r="N102" s="63" t="str">
        <f t="shared" si="35"/>
        <v/>
      </c>
      <c r="O102" s="64" t="str">
        <f t="shared" si="47"/>
        <v/>
      </c>
      <c r="P102" s="93" t="str">
        <f t="shared" si="36"/>
        <v/>
      </c>
      <c r="Q102" s="94" t="str">
        <f t="shared" si="37"/>
        <v/>
      </c>
      <c r="R102" s="64" t="str">
        <f t="shared" si="38"/>
        <v/>
      </c>
      <c r="S102" s="93" t="str">
        <f t="shared" si="39"/>
        <v/>
      </c>
      <c r="T102" s="94" t="str">
        <f t="shared" si="40"/>
        <v/>
      </c>
      <c r="U102" s="64" t="str">
        <f t="shared" si="41"/>
        <v/>
      </c>
      <c r="V102" s="65" t="str">
        <f t="shared" si="42"/>
        <v/>
      </c>
      <c r="W102" s="78" t="str">
        <f t="shared" si="43"/>
        <v/>
      </c>
      <c r="X102" s="66" t="str">
        <f t="shared" si="44"/>
        <v/>
      </c>
      <c r="Y102" s="66" t="str">
        <f t="shared" si="45"/>
        <v/>
      </c>
      <c r="Z102" s="67" t="str">
        <f t="shared" si="46"/>
        <v/>
      </c>
    </row>
    <row r="103" spans="1:26" s="5" customFormat="1" ht="17.25" customHeight="1">
      <c r="A103" s="84">
        <v>92</v>
      </c>
      <c r="B103" s="32"/>
      <c r="C103" s="33"/>
      <c r="D103" s="34"/>
      <c r="E103" s="35"/>
      <c r="F103" s="32"/>
      <c r="G103" s="111"/>
      <c r="H103" s="111"/>
      <c r="I103" s="112"/>
      <c r="J103" s="97"/>
      <c r="K103" s="62" t="str">
        <f t="shared" si="32"/>
        <v/>
      </c>
      <c r="L103" s="62" t="str">
        <f t="shared" si="33"/>
        <v/>
      </c>
      <c r="M103" s="62" t="str">
        <f t="shared" si="34"/>
        <v/>
      </c>
      <c r="N103" s="63" t="str">
        <f t="shared" si="35"/>
        <v/>
      </c>
      <c r="O103" s="64" t="str">
        <f t="shared" si="47"/>
        <v/>
      </c>
      <c r="P103" s="93" t="str">
        <f t="shared" si="36"/>
        <v/>
      </c>
      <c r="Q103" s="94" t="str">
        <f t="shared" si="37"/>
        <v/>
      </c>
      <c r="R103" s="64" t="str">
        <f t="shared" si="38"/>
        <v/>
      </c>
      <c r="S103" s="93" t="str">
        <f t="shared" si="39"/>
        <v/>
      </c>
      <c r="T103" s="94" t="str">
        <f t="shared" si="40"/>
        <v/>
      </c>
      <c r="U103" s="64" t="str">
        <f t="shared" si="41"/>
        <v/>
      </c>
      <c r="V103" s="65" t="str">
        <f t="shared" si="42"/>
        <v/>
      </c>
      <c r="W103" s="78" t="str">
        <f t="shared" si="43"/>
        <v/>
      </c>
      <c r="X103" s="66" t="str">
        <f t="shared" si="44"/>
        <v/>
      </c>
      <c r="Y103" s="66" t="str">
        <f t="shared" si="45"/>
        <v/>
      </c>
      <c r="Z103" s="67" t="str">
        <f t="shared" si="46"/>
        <v/>
      </c>
    </row>
    <row r="104" spans="1:26" s="5" customFormat="1" ht="17.25" customHeight="1">
      <c r="A104" s="84">
        <v>93</v>
      </c>
      <c r="B104" s="32"/>
      <c r="C104" s="33"/>
      <c r="D104" s="34"/>
      <c r="E104" s="35"/>
      <c r="F104" s="32"/>
      <c r="G104" s="111"/>
      <c r="H104" s="111"/>
      <c r="I104" s="112"/>
      <c r="J104" s="97"/>
      <c r="K104" s="62" t="str">
        <f t="shared" si="32"/>
        <v/>
      </c>
      <c r="L104" s="62" t="str">
        <f t="shared" si="33"/>
        <v/>
      </c>
      <c r="M104" s="62" t="str">
        <f t="shared" si="34"/>
        <v/>
      </c>
      <c r="N104" s="63" t="str">
        <f t="shared" si="35"/>
        <v/>
      </c>
      <c r="O104" s="64" t="str">
        <f t="shared" si="47"/>
        <v/>
      </c>
      <c r="P104" s="93" t="str">
        <f t="shared" si="36"/>
        <v/>
      </c>
      <c r="Q104" s="94" t="str">
        <f t="shared" si="37"/>
        <v/>
      </c>
      <c r="R104" s="64" t="str">
        <f t="shared" si="38"/>
        <v/>
      </c>
      <c r="S104" s="93" t="str">
        <f t="shared" si="39"/>
        <v/>
      </c>
      <c r="T104" s="94" t="str">
        <f t="shared" si="40"/>
        <v/>
      </c>
      <c r="U104" s="64" t="str">
        <f t="shared" si="41"/>
        <v/>
      </c>
      <c r="V104" s="65" t="str">
        <f t="shared" si="42"/>
        <v/>
      </c>
      <c r="W104" s="78" t="str">
        <f t="shared" si="43"/>
        <v/>
      </c>
      <c r="X104" s="66" t="str">
        <f t="shared" si="44"/>
        <v/>
      </c>
      <c r="Y104" s="66" t="str">
        <f t="shared" si="45"/>
        <v/>
      </c>
      <c r="Z104" s="67" t="str">
        <f t="shared" si="46"/>
        <v/>
      </c>
    </row>
    <row r="105" spans="1:26" s="5" customFormat="1" ht="17.25" customHeight="1">
      <c r="A105" s="84">
        <v>94</v>
      </c>
      <c r="B105" s="32"/>
      <c r="C105" s="33"/>
      <c r="D105" s="34"/>
      <c r="E105" s="35"/>
      <c r="F105" s="32"/>
      <c r="G105" s="111"/>
      <c r="H105" s="111"/>
      <c r="I105" s="112"/>
      <c r="J105" s="97"/>
      <c r="K105" s="62" t="str">
        <f t="shared" si="32"/>
        <v/>
      </c>
      <c r="L105" s="62" t="str">
        <f t="shared" si="33"/>
        <v/>
      </c>
      <c r="M105" s="62" t="str">
        <f t="shared" si="34"/>
        <v/>
      </c>
      <c r="N105" s="63" t="str">
        <f t="shared" si="35"/>
        <v/>
      </c>
      <c r="O105" s="64" t="str">
        <f t="shared" si="47"/>
        <v/>
      </c>
      <c r="P105" s="93" t="str">
        <f t="shared" si="36"/>
        <v/>
      </c>
      <c r="Q105" s="94" t="str">
        <f t="shared" si="37"/>
        <v/>
      </c>
      <c r="R105" s="64" t="str">
        <f t="shared" si="38"/>
        <v/>
      </c>
      <c r="S105" s="93" t="str">
        <f t="shared" si="39"/>
        <v/>
      </c>
      <c r="T105" s="94" t="str">
        <f t="shared" si="40"/>
        <v/>
      </c>
      <c r="U105" s="64" t="str">
        <f t="shared" si="41"/>
        <v/>
      </c>
      <c r="V105" s="65" t="str">
        <f t="shared" si="42"/>
        <v/>
      </c>
      <c r="W105" s="78" t="str">
        <f t="shared" si="43"/>
        <v/>
      </c>
      <c r="X105" s="66" t="str">
        <f t="shared" si="44"/>
        <v/>
      </c>
      <c r="Y105" s="66" t="str">
        <f t="shared" si="45"/>
        <v/>
      </c>
      <c r="Z105" s="67" t="str">
        <f t="shared" si="46"/>
        <v/>
      </c>
    </row>
    <row r="106" spans="1:26" s="5" customFormat="1" ht="17.25" customHeight="1">
      <c r="A106" s="84">
        <v>95</v>
      </c>
      <c r="B106" s="32"/>
      <c r="C106" s="33"/>
      <c r="D106" s="34"/>
      <c r="E106" s="35"/>
      <c r="F106" s="32"/>
      <c r="G106" s="111"/>
      <c r="H106" s="111"/>
      <c r="I106" s="112"/>
      <c r="J106" s="97"/>
      <c r="K106" s="62" t="str">
        <f t="shared" si="32"/>
        <v/>
      </c>
      <c r="L106" s="62" t="str">
        <f t="shared" si="33"/>
        <v/>
      </c>
      <c r="M106" s="62" t="str">
        <f t="shared" si="34"/>
        <v/>
      </c>
      <c r="N106" s="63" t="str">
        <f t="shared" si="35"/>
        <v/>
      </c>
      <c r="O106" s="64" t="str">
        <f t="shared" si="47"/>
        <v/>
      </c>
      <c r="P106" s="93" t="str">
        <f t="shared" si="36"/>
        <v/>
      </c>
      <c r="Q106" s="94" t="str">
        <f t="shared" si="37"/>
        <v/>
      </c>
      <c r="R106" s="64" t="str">
        <f t="shared" si="38"/>
        <v/>
      </c>
      <c r="S106" s="93" t="str">
        <f t="shared" si="39"/>
        <v/>
      </c>
      <c r="T106" s="94" t="str">
        <f t="shared" si="40"/>
        <v/>
      </c>
      <c r="U106" s="64" t="str">
        <f t="shared" si="41"/>
        <v/>
      </c>
      <c r="V106" s="65" t="str">
        <f t="shared" si="42"/>
        <v/>
      </c>
      <c r="W106" s="78" t="str">
        <f t="shared" si="43"/>
        <v/>
      </c>
      <c r="X106" s="66" t="str">
        <f t="shared" si="44"/>
        <v/>
      </c>
      <c r="Y106" s="66" t="str">
        <f t="shared" si="45"/>
        <v/>
      </c>
      <c r="Z106" s="67" t="str">
        <f t="shared" si="46"/>
        <v/>
      </c>
    </row>
    <row r="107" spans="1:26" s="5" customFormat="1" ht="17.25" customHeight="1">
      <c r="A107" s="84">
        <v>96</v>
      </c>
      <c r="B107" s="32"/>
      <c r="C107" s="33"/>
      <c r="D107" s="34"/>
      <c r="E107" s="35"/>
      <c r="F107" s="32"/>
      <c r="G107" s="111"/>
      <c r="H107" s="111"/>
      <c r="I107" s="112"/>
      <c r="J107" s="97"/>
      <c r="K107" s="62" t="str">
        <f t="shared" si="32"/>
        <v/>
      </c>
      <c r="L107" s="62" t="str">
        <f t="shared" si="33"/>
        <v/>
      </c>
      <c r="M107" s="62" t="str">
        <f t="shared" si="34"/>
        <v/>
      </c>
      <c r="N107" s="63" t="str">
        <f t="shared" si="35"/>
        <v/>
      </c>
      <c r="O107" s="64" t="str">
        <f t="shared" si="47"/>
        <v/>
      </c>
      <c r="P107" s="93" t="str">
        <f t="shared" si="36"/>
        <v/>
      </c>
      <c r="Q107" s="94" t="str">
        <f t="shared" si="37"/>
        <v/>
      </c>
      <c r="R107" s="64" t="str">
        <f t="shared" si="38"/>
        <v/>
      </c>
      <c r="S107" s="93" t="str">
        <f t="shared" si="39"/>
        <v/>
      </c>
      <c r="T107" s="94" t="str">
        <f t="shared" si="40"/>
        <v/>
      </c>
      <c r="U107" s="64" t="str">
        <f t="shared" si="41"/>
        <v/>
      </c>
      <c r="V107" s="65" t="str">
        <f t="shared" si="42"/>
        <v/>
      </c>
      <c r="W107" s="78" t="str">
        <f t="shared" si="43"/>
        <v/>
      </c>
      <c r="X107" s="66" t="str">
        <f t="shared" si="44"/>
        <v/>
      </c>
      <c r="Y107" s="66" t="str">
        <f t="shared" si="45"/>
        <v/>
      </c>
      <c r="Z107" s="67" t="str">
        <f t="shared" si="46"/>
        <v/>
      </c>
    </row>
    <row r="108" spans="1:26" s="5" customFormat="1" ht="17.25" customHeight="1">
      <c r="A108" s="84">
        <v>97</v>
      </c>
      <c r="B108" s="32"/>
      <c r="C108" s="33"/>
      <c r="D108" s="34"/>
      <c r="E108" s="35"/>
      <c r="F108" s="32"/>
      <c r="G108" s="111"/>
      <c r="H108" s="111"/>
      <c r="I108" s="112"/>
      <c r="J108" s="97"/>
      <c r="K108" s="62" t="str">
        <f t="shared" ref="K108:K137" si="48">IF($W$11=0,"",IF(D108="","",IF($G108="","",IF($F108="","",IF($G108/$F108&gt;=$K$11,"yes","NC")))))</f>
        <v/>
      </c>
      <c r="L108" s="62" t="str">
        <f t="shared" ref="L108:L136" si="49">IF($X$11=0,"",IF($D108="","",IF($G108="","",IF($H108="","",IF($H108/$F108&gt;=$L$11,"yes","NC")))))</f>
        <v/>
      </c>
      <c r="M108" s="62" t="str">
        <f t="shared" ref="M108:M136" si="50">IF($Y$11=0,"",IF($D108="","",IF($G108="","",IF($I108="","",IF($F108/$I108&lt;=$M$11,"yes","NC")))))</f>
        <v/>
      </c>
      <c r="N108" s="63" t="str">
        <f t="shared" ref="N108:N137" si="51">IF($D108="","",IF($O$8="","",IF(OR($O108&lt;$N$8,$O108&gt;$P$8),"NC","yes")))</f>
        <v/>
      </c>
      <c r="O108" s="64" t="str">
        <f t="shared" si="47"/>
        <v/>
      </c>
      <c r="P108" s="93" t="str">
        <f t="shared" ref="P108:P137" si="52">IF($D108=0,"",IF(N108="yes",($O108/$O$8),IF(OR($O108&lt;$N$8,$O108&gt;$P$8),($O108/$O$8))))</f>
        <v/>
      </c>
      <c r="Q108" s="94" t="str">
        <f t="shared" ref="Q108:Q137" si="53">IF($D108="","",IF($R$8="","",IF(OR($R108&lt;$Q$8,$R108&gt;$S$8),"NC","yes")))</f>
        <v/>
      </c>
      <c r="R108" s="64" t="str">
        <f t="shared" ref="R108:R137" si="54">IF($D108="","",$H108/$F108)</f>
        <v/>
      </c>
      <c r="S108" s="93" t="str">
        <f t="shared" ref="S108:S137" si="55">IF($D108=0,"",IF(Q108="yes",($R108/$R$8),IF(OR($R108&gt;$Q$8,$R108&lt;$S$8),($R108/$R$8))))</f>
        <v/>
      </c>
      <c r="T108" s="94" t="str">
        <f t="shared" ref="T108:T137" si="56">IF($D108="","",IF($U$8="","",IF(OR($U108&lt;$T$8,U108&gt;$V$8),"NC","yes")))</f>
        <v/>
      </c>
      <c r="U108" s="64" t="str">
        <f t="shared" ref="U108:U137" si="57">IF($D108="","",$F108/$I108)</f>
        <v/>
      </c>
      <c r="V108" s="65" t="str">
        <f t="shared" ref="V108:V136" si="58">IF($D108="","",IF(T108="yes",(U108/U$8),IF(OR(U108&lt;$T$8,U108&gt;V$8),(U108/U$8))))</f>
        <v/>
      </c>
      <c r="W108" s="78" t="str">
        <f t="shared" ref="W108:W137" si="59">IF(C108="","",IF($D108="",$F108,""))</f>
        <v/>
      </c>
      <c r="X108" s="66" t="str">
        <f t="shared" ref="X108:X137" si="60">IF($C108="","",IF($D108="",$G108,""))</f>
        <v/>
      </c>
      <c r="Y108" s="66" t="str">
        <f t="shared" ref="Y108:Y137" si="61">IF($C108="","",IF($D108="",$H108,""))</f>
        <v/>
      </c>
      <c r="Z108" s="67" t="str">
        <f t="shared" ref="Z108:Z137" si="62">IF($C108="","",IF($D108="",I108,""))</f>
        <v/>
      </c>
    </row>
    <row r="109" spans="1:26" s="5" customFormat="1" ht="17.25" customHeight="1">
      <c r="A109" s="84">
        <v>98</v>
      </c>
      <c r="B109" s="32"/>
      <c r="C109" s="33"/>
      <c r="D109" s="34"/>
      <c r="E109" s="35"/>
      <c r="F109" s="32"/>
      <c r="G109" s="111"/>
      <c r="H109" s="111"/>
      <c r="I109" s="112"/>
      <c r="J109" s="97"/>
      <c r="K109" s="62" t="str">
        <f t="shared" si="48"/>
        <v/>
      </c>
      <c r="L109" s="62" t="str">
        <f t="shared" si="49"/>
        <v/>
      </c>
      <c r="M109" s="62" t="str">
        <f t="shared" si="50"/>
        <v/>
      </c>
      <c r="N109" s="63" t="str">
        <f t="shared" si="51"/>
        <v/>
      </c>
      <c r="O109" s="64" t="str">
        <f t="shared" ref="O109:O137" si="63">IF($D109="","",G109/$F109)</f>
        <v/>
      </c>
      <c r="P109" s="93" t="str">
        <f t="shared" si="52"/>
        <v/>
      </c>
      <c r="Q109" s="94" t="str">
        <f t="shared" si="53"/>
        <v/>
      </c>
      <c r="R109" s="64" t="str">
        <f t="shared" si="54"/>
        <v/>
      </c>
      <c r="S109" s="93" t="str">
        <f t="shared" si="55"/>
        <v/>
      </c>
      <c r="T109" s="94" t="str">
        <f t="shared" si="56"/>
        <v/>
      </c>
      <c r="U109" s="64" t="str">
        <f t="shared" si="57"/>
        <v/>
      </c>
      <c r="V109" s="65" t="str">
        <f t="shared" si="58"/>
        <v/>
      </c>
      <c r="W109" s="78" t="str">
        <f t="shared" si="59"/>
        <v/>
      </c>
      <c r="X109" s="66" t="str">
        <f t="shared" si="60"/>
        <v/>
      </c>
      <c r="Y109" s="66" t="str">
        <f t="shared" si="61"/>
        <v/>
      </c>
      <c r="Z109" s="67" t="str">
        <f t="shared" si="62"/>
        <v/>
      </c>
    </row>
    <row r="110" spans="1:26" s="5" customFormat="1" ht="17.25" customHeight="1">
      <c r="A110" s="84">
        <v>99</v>
      </c>
      <c r="B110" s="32"/>
      <c r="C110" s="33"/>
      <c r="D110" s="34"/>
      <c r="E110" s="35"/>
      <c r="F110" s="32"/>
      <c r="G110" s="111"/>
      <c r="H110" s="111"/>
      <c r="I110" s="112"/>
      <c r="J110" s="97"/>
      <c r="K110" s="62" t="str">
        <f t="shared" si="48"/>
        <v/>
      </c>
      <c r="L110" s="62" t="str">
        <f t="shared" si="49"/>
        <v/>
      </c>
      <c r="M110" s="62" t="str">
        <f t="shared" si="50"/>
        <v/>
      </c>
      <c r="N110" s="63" t="str">
        <f t="shared" si="51"/>
        <v/>
      </c>
      <c r="O110" s="64" t="str">
        <f t="shared" si="63"/>
        <v/>
      </c>
      <c r="P110" s="93" t="str">
        <f t="shared" si="52"/>
        <v/>
      </c>
      <c r="Q110" s="94" t="str">
        <f t="shared" si="53"/>
        <v/>
      </c>
      <c r="R110" s="64" t="str">
        <f t="shared" si="54"/>
        <v/>
      </c>
      <c r="S110" s="93" t="str">
        <f t="shared" si="55"/>
        <v/>
      </c>
      <c r="T110" s="94" t="str">
        <f t="shared" si="56"/>
        <v/>
      </c>
      <c r="U110" s="64" t="str">
        <f t="shared" si="57"/>
        <v/>
      </c>
      <c r="V110" s="65" t="str">
        <f t="shared" si="58"/>
        <v/>
      </c>
      <c r="W110" s="78" t="str">
        <f t="shared" si="59"/>
        <v/>
      </c>
      <c r="X110" s="66" t="str">
        <f t="shared" si="60"/>
        <v/>
      </c>
      <c r="Y110" s="66" t="str">
        <f t="shared" si="61"/>
        <v/>
      </c>
      <c r="Z110" s="67" t="str">
        <f t="shared" si="62"/>
        <v/>
      </c>
    </row>
    <row r="111" spans="1:26" s="5" customFormat="1" ht="17.25" customHeight="1">
      <c r="A111" s="84">
        <v>100</v>
      </c>
      <c r="B111" s="32"/>
      <c r="C111" s="33"/>
      <c r="D111" s="34"/>
      <c r="E111" s="35"/>
      <c r="F111" s="32"/>
      <c r="G111" s="111"/>
      <c r="H111" s="111"/>
      <c r="I111" s="112"/>
      <c r="J111" s="97"/>
      <c r="K111" s="62" t="str">
        <f t="shared" si="48"/>
        <v/>
      </c>
      <c r="L111" s="62" t="str">
        <f t="shared" si="49"/>
        <v/>
      </c>
      <c r="M111" s="62" t="str">
        <f t="shared" si="50"/>
        <v/>
      </c>
      <c r="N111" s="63" t="str">
        <f t="shared" si="51"/>
        <v/>
      </c>
      <c r="O111" s="64" t="str">
        <f t="shared" si="63"/>
        <v/>
      </c>
      <c r="P111" s="93" t="str">
        <f t="shared" si="52"/>
        <v/>
      </c>
      <c r="Q111" s="94" t="str">
        <f t="shared" si="53"/>
        <v/>
      </c>
      <c r="R111" s="64" t="str">
        <f t="shared" si="54"/>
        <v/>
      </c>
      <c r="S111" s="93" t="str">
        <f t="shared" si="55"/>
        <v/>
      </c>
      <c r="T111" s="94" t="str">
        <f t="shared" si="56"/>
        <v/>
      </c>
      <c r="U111" s="64" t="str">
        <f t="shared" si="57"/>
        <v/>
      </c>
      <c r="V111" s="65" t="str">
        <f t="shared" si="58"/>
        <v/>
      </c>
      <c r="W111" s="78" t="str">
        <f t="shared" si="59"/>
        <v/>
      </c>
      <c r="X111" s="66" t="str">
        <f t="shared" si="60"/>
        <v/>
      </c>
      <c r="Y111" s="66" t="str">
        <f t="shared" si="61"/>
        <v/>
      </c>
      <c r="Z111" s="67" t="str">
        <f t="shared" si="62"/>
        <v/>
      </c>
    </row>
    <row r="112" spans="1:26" s="5" customFormat="1" ht="17.25" customHeight="1">
      <c r="A112" s="84">
        <v>101</v>
      </c>
      <c r="B112" s="32"/>
      <c r="C112" s="33"/>
      <c r="D112" s="34"/>
      <c r="E112" s="35"/>
      <c r="F112" s="32"/>
      <c r="G112" s="111"/>
      <c r="H112" s="111"/>
      <c r="I112" s="112"/>
      <c r="J112" s="97"/>
      <c r="K112" s="62" t="str">
        <f t="shared" si="48"/>
        <v/>
      </c>
      <c r="L112" s="62" t="str">
        <f t="shared" si="49"/>
        <v/>
      </c>
      <c r="M112" s="62" t="str">
        <f t="shared" si="50"/>
        <v/>
      </c>
      <c r="N112" s="63" t="str">
        <f t="shared" si="51"/>
        <v/>
      </c>
      <c r="O112" s="64" t="str">
        <f t="shared" si="63"/>
        <v/>
      </c>
      <c r="P112" s="93" t="str">
        <f t="shared" si="52"/>
        <v/>
      </c>
      <c r="Q112" s="94" t="str">
        <f t="shared" si="53"/>
        <v/>
      </c>
      <c r="R112" s="64" t="str">
        <f t="shared" si="54"/>
        <v/>
      </c>
      <c r="S112" s="93" t="str">
        <f t="shared" si="55"/>
        <v/>
      </c>
      <c r="T112" s="94" t="str">
        <f t="shared" si="56"/>
        <v/>
      </c>
      <c r="U112" s="64" t="str">
        <f t="shared" si="57"/>
        <v/>
      </c>
      <c r="V112" s="65" t="str">
        <f t="shared" si="58"/>
        <v/>
      </c>
      <c r="W112" s="78" t="str">
        <f t="shared" si="59"/>
        <v/>
      </c>
      <c r="X112" s="66" t="str">
        <f t="shared" si="60"/>
        <v/>
      </c>
      <c r="Y112" s="66" t="str">
        <f t="shared" si="61"/>
        <v/>
      </c>
      <c r="Z112" s="67" t="str">
        <f t="shared" si="62"/>
        <v/>
      </c>
    </row>
    <row r="113" spans="1:26" s="5" customFormat="1" ht="17.25" customHeight="1">
      <c r="A113" s="84">
        <v>102</v>
      </c>
      <c r="B113" s="32"/>
      <c r="C113" s="33"/>
      <c r="D113" s="34"/>
      <c r="E113" s="35"/>
      <c r="F113" s="32"/>
      <c r="G113" s="111"/>
      <c r="H113" s="111"/>
      <c r="I113" s="112"/>
      <c r="J113" s="97"/>
      <c r="K113" s="62" t="str">
        <f t="shared" si="48"/>
        <v/>
      </c>
      <c r="L113" s="62" t="str">
        <f t="shared" si="49"/>
        <v/>
      </c>
      <c r="M113" s="62" t="str">
        <f t="shared" si="50"/>
        <v/>
      </c>
      <c r="N113" s="63" t="str">
        <f t="shared" si="51"/>
        <v/>
      </c>
      <c r="O113" s="64" t="str">
        <f t="shared" si="63"/>
        <v/>
      </c>
      <c r="P113" s="93" t="str">
        <f t="shared" si="52"/>
        <v/>
      </c>
      <c r="Q113" s="94" t="str">
        <f t="shared" si="53"/>
        <v/>
      </c>
      <c r="R113" s="64" t="str">
        <f t="shared" si="54"/>
        <v/>
      </c>
      <c r="S113" s="93" t="str">
        <f t="shared" si="55"/>
        <v/>
      </c>
      <c r="T113" s="94" t="str">
        <f t="shared" si="56"/>
        <v/>
      </c>
      <c r="U113" s="64" t="str">
        <f t="shared" si="57"/>
        <v/>
      </c>
      <c r="V113" s="65" t="str">
        <f t="shared" si="58"/>
        <v/>
      </c>
      <c r="W113" s="78" t="str">
        <f t="shared" si="59"/>
        <v/>
      </c>
      <c r="X113" s="66" t="str">
        <f t="shared" si="60"/>
        <v/>
      </c>
      <c r="Y113" s="66" t="str">
        <f t="shared" si="61"/>
        <v/>
      </c>
      <c r="Z113" s="67" t="str">
        <f t="shared" si="62"/>
        <v/>
      </c>
    </row>
    <row r="114" spans="1:26" s="5" customFormat="1" ht="17.25" customHeight="1">
      <c r="A114" s="84">
        <v>103</v>
      </c>
      <c r="B114" s="32"/>
      <c r="C114" s="33"/>
      <c r="D114" s="34"/>
      <c r="E114" s="35"/>
      <c r="F114" s="32"/>
      <c r="G114" s="111"/>
      <c r="H114" s="111"/>
      <c r="I114" s="112"/>
      <c r="J114" s="97"/>
      <c r="K114" s="62" t="str">
        <f t="shared" si="48"/>
        <v/>
      </c>
      <c r="L114" s="62" t="str">
        <f t="shared" si="49"/>
        <v/>
      </c>
      <c r="M114" s="62" t="str">
        <f t="shared" si="50"/>
        <v/>
      </c>
      <c r="N114" s="63" t="str">
        <f t="shared" si="51"/>
        <v/>
      </c>
      <c r="O114" s="64" t="str">
        <f t="shared" si="63"/>
        <v/>
      </c>
      <c r="P114" s="93" t="str">
        <f t="shared" si="52"/>
        <v/>
      </c>
      <c r="Q114" s="94" t="str">
        <f t="shared" si="53"/>
        <v/>
      </c>
      <c r="R114" s="64" t="str">
        <f t="shared" si="54"/>
        <v/>
      </c>
      <c r="S114" s="93" t="str">
        <f t="shared" si="55"/>
        <v/>
      </c>
      <c r="T114" s="94" t="str">
        <f t="shared" si="56"/>
        <v/>
      </c>
      <c r="U114" s="64" t="str">
        <f t="shared" si="57"/>
        <v/>
      </c>
      <c r="V114" s="65" t="str">
        <f t="shared" si="58"/>
        <v/>
      </c>
      <c r="W114" s="78" t="str">
        <f t="shared" si="59"/>
        <v/>
      </c>
      <c r="X114" s="66" t="str">
        <f t="shared" si="60"/>
        <v/>
      </c>
      <c r="Y114" s="66" t="str">
        <f t="shared" si="61"/>
        <v/>
      </c>
      <c r="Z114" s="67" t="str">
        <f t="shared" si="62"/>
        <v/>
      </c>
    </row>
    <row r="115" spans="1:26" s="5" customFormat="1" ht="17.25" customHeight="1">
      <c r="A115" s="84">
        <v>104</v>
      </c>
      <c r="B115" s="32"/>
      <c r="C115" s="33"/>
      <c r="D115" s="34"/>
      <c r="E115" s="35"/>
      <c r="F115" s="32"/>
      <c r="G115" s="111"/>
      <c r="H115" s="111"/>
      <c r="I115" s="112"/>
      <c r="J115" s="97"/>
      <c r="K115" s="62" t="str">
        <f t="shared" si="48"/>
        <v/>
      </c>
      <c r="L115" s="62" t="str">
        <f t="shared" si="49"/>
        <v/>
      </c>
      <c r="M115" s="62" t="str">
        <f t="shared" si="50"/>
        <v/>
      </c>
      <c r="N115" s="63" t="str">
        <f t="shared" si="51"/>
        <v/>
      </c>
      <c r="O115" s="64" t="str">
        <f t="shared" si="63"/>
        <v/>
      </c>
      <c r="P115" s="93" t="str">
        <f t="shared" si="52"/>
        <v/>
      </c>
      <c r="Q115" s="94" t="str">
        <f t="shared" si="53"/>
        <v/>
      </c>
      <c r="R115" s="64" t="str">
        <f t="shared" si="54"/>
        <v/>
      </c>
      <c r="S115" s="93" t="str">
        <f t="shared" si="55"/>
        <v/>
      </c>
      <c r="T115" s="94" t="str">
        <f t="shared" si="56"/>
        <v/>
      </c>
      <c r="U115" s="64" t="str">
        <f t="shared" si="57"/>
        <v/>
      </c>
      <c r="V115" s="65" t="str">
        <f t="shared" si="58"/>
        <v/>
      </c>
      <c r="W115" s="78" t="str">
        <f t="shared" si="59"/>
        <v/>
      </c>
      <c r="X115" s="66" t="str">
        <f t="shared" si="60"/>
        <v/>
      </c>
      <c r="Y115" s="66" t="str">
        <f t="shared" si="61"/>
        <v/>
      </c>
      <c r="Z115" s="67" t="str">
        <f t="shared" si="62"/>
        <v/>
      </c>
    </row>
    <row r="116" spans="1:26" s="5" customFormat="1" ht="17.25" customHeight="1">
      <c r="A116" s="84">
        <v>105</v>
      </c>
      <c r="B116" s="32"/>
      <c r="C116" s="33"/>
      <c r="D116" s="34"/>
      <c r="E116" s="35"/>
      <c r="F116" s="32"/>
      <c r="G116" s="111"/>
      <c r="H116" s="111"/>
      <c r="I116" s="112"/>
      <c r="J116" s="97"/>
      <c r="K116" s="62" t="str">
        <f t="shared" si="48"/>
        <v/>
      </c>
      <c r="L116" s="62" t="str">
        <f t="shared" si="49"/>
        <v/>
      </c>
      <c r="M116" s="62" t="str">
        <f t="shared" si="50"/>
        <v/>
      </c>
      <c r="N116" s="63" t="str">
        <f t="shared" si="51"/>
        <v/>
      </c>
      <c r="O116" s="64" t="str">
        <f t="shared" si="63"/>
        <v/>
      </c>
      <c r="P116" s="93" t="str">
        <f t="shared" si="52"/>
        <v/>
      </c>
      <c r="Q116" s="94" t="str">
        <f t="shared" si="53"/>
        <v/>
      </c>
      <c r="R116" s="64" t="str">
        <f t="shared" si="54"/>
        <v/>
      </c>
      <c r="S116" s="93" t="str">
        <f t="shared" si="55"/>
        <v/>
      </c>
      <c r="T116" s="94" t="str">
        <f t="shared" si="56"/>
        <v/>
      </c>
      <c r="U116" s="64" t="str">
        <f t="shared" si="57"/>
        <v/>
      </c>
      <c r="V116" s="65" t="str">
        <f t="shared" si="58"/>
        <v/>
      </c>
      <c r="W116" s="78" t="str">
        <f t="shared" si="59"/>
        <v/>
      </c>
      <c r="X116" s="66" t="str">
        <f t="shared" si="60"/>
        <v/>
      </c>
      <c r="Y116" s="66" t="str">
        <f t="shared" si="61"/>
        <v/>
      </c>
      <c r="Z116" s="67" t="str">
        <f t="shared" si="62"/>
        <v/>
      </c>
    </row>
    <row r="117" spans="1:26" s="5" customFormat="1" ht="17.25" customHeight="1">
      <c r="A117" s="84">
        <v>106</v>
      </c>
      <c r="B117" s="32"/>
      <c r="C117" s="33"/>
      <c r="D117" s="34"/>
      <c r="E117" s="35"/>
      <c r="F117" s="32"/>
      <c r="G117" s="111"/>
      <c r="H117" s="111"/>
      <c r="I117" s="112"/>
      <c r="J117" s="97"/>
      <c r="K117" s="62" t="str">
        <f t="shared" si="48"/>
        <v/>
      </c>
      <c r="L117" s="62" t="str">
        <f t="shared" si="49"/>
        <v/>
      </c>
      <c r="M117" s="62" t="str">
        <f t="shared" si="50"/>
        <v/>
      </c>
      <c r="N117" s="63" t="str">
        <f t="shared" si="51"/>
        <v/>
      </c>
      <c r="O117" s="64" t="str">
        <f t="shared" si="63"/>
        <v/>
      </c>
      <c r="P117" s="93" t="str">
        <f t="shared" si="52"/>
        <v/>
      </c>
      <c r="Q117" s="94" t="str">
        <f t="shared" si="53"/>
        <v/>
      </c>
      <c r="R117" s="64" t="str">
        <f t="shared" si="54"/>
        <v/>
      </c>
      <c r="S117" s="93" t="str">
        <f t="shared" si="55"/>
        <v/>
      </c>
      <c r="T117" s="94" t="str">
        <f t="shared" si="56"/>
        <v/>
      </c>
      <c r="U117" s="64" t="str">
        <f t="shared" si="57"/>
        <v/>
      </c>
      <c r="V117" s="65" t="str">
        <f t="shared" si="58"/>
        <v/>
      </c>
      <c r="W117" s="78" t="str">
        <f t="shared" si="59"/>
        <v/>
      </c>
      <c r="X117" s="66" t="str">
        <f t="shared" si="60"/>
        <v/>
      </c>
      <c r="Y117" s="66" t="str">
        <f t="shared" si="61"/>
        <v/>
      </c>
      <c r="Z117" s="67" t="str">
        <f t="shared" si="62"/>
        <v/>
      </c>
    </row>
    <row r="118" spans="1:26" s="5" customFormat="1" ht="17.25" customHeight="1">
      <c r="A118" s="84">
        <v>107</v>
      </c>
      <c r="B118" s="32"/>
      <c r="C118" s="33"/>
      <c r="D118" s="34"/>
      <c r="E118" s="35"/>
      <c r="F118" s="32"/>
      <c r="G118" s="111"/>
      <c r="H118" s="111"/>
      <c r="I118" s="112"/>
      <c r="J118" s="97"/>
      <c r="K118" s="62" t="str">
        <f t="shared" si="48"/>
        <v/>
      </c>
      <c r="L118" s="62" t="str">
        <f t="shared" si="49"/>
        <v/>
      </c>
      <c r="M118" s="62" t="str">
        <f t="shared" si="50"/>
        <v/>
      </c>
      <c r="N118" s="63" t="str">
        <f t="shared" si="51"/>
        <v/>
      </c>
      <c r="O118" s="64" t="str">
        <f t="shared" si="63"/>
        <v/>
      </c>
      <c r="P118" s="93" t="str">
        <f t="shared" si="52"/>
        <v/>
      </c>
      <c r="Q118" s="94" t="str">
        <f t="shared" si="53"/>
        <v/>
      </c>
      <c r="R118" s="64" t="str">
        <f t="shared" si="54"/>
        <v/>
      </c>
      <c r="S118" s="93" t="str">
        <f t="shared" si="55"/>
        <v/>
      </c>
      <c r="T118" s="94" t="str">
        <f t="shared" si="56"/>
        <v/>
      </c>
      <c r="U118" s="64" t="str">
        <f t="shared" si="57"/>
        <v/>
      </c>
      <c r="V118" s="65" t="str">
        <f t="shared" si="58"/>
        <v/>
      </c>
      <c r="W118" s="78" t="str">
        <f t="shared" si="59"/>
        <v/>
      </c>
      <c r="X118" s="66" t="str">
        <f t="shared" si="60"/>
        <v/>
      </c>
      <c r="Y118" s="66" t="str">
        <f t="shared" si="61"/>
        <v/>
      </c>
      <c r="Z118" s="67" t="str">
        <f t="shared" si="62"/>
        <v/>
      </c>
    </row>
    <row r="119" spans="1:26" s="5" customFormat="1" ht="17.25" customHeight="1">
      <c r="A119" s="84">
        <v>108</v>
      </c>
      <c r="B119" s="32"/>
      <c r="C119" s="33"/>
      <c r="D119" s="34"/>
      <c r="E119" s="35"/>
      <c r="F119" s="32"/>
      <c r="G119" s="111"/>
      <c r="H119" s="111"/>
      <c r="I119" s="112"/>
      <c r="J119" s="97"/>
      <c r="K119" s="62" t="str">
        <f t="shared" si="48"/>
        <v/>
      </c>
      <c r="L119" s="62" t="str">
        <f t="shared" si="49"/>
        <v/>
      </c>
      <c r="M119" s="62" t="str">
        <f t="shared" si="50"/>
        <v/>
      </c>
      <c r="N119" s="63" t="str">
        <f t="shared" si="51"/>
        <v/>
      </c>
      <c r="O119" s="64" t="str">
        <f t="shared" si="63"/>
        <v/>
      </c>
      <c r="P119" s="93" t="str">
        <f t="shared" si="52"/>
        <v/>
      </c>
      <c r="Q119" s="94" t="str">
        <f t="shared" si="53"/>
        <v/>
      </c>
      <c r="R119" s="64" t="str">
        <f t="shared" si="54"/>
        <v/>
      </c>
      <c r="S119" s="93" t="str">
        <f t="shared" si="55"/>
        <v/>
      </c>
      <c r="T119" s="94" t="str">
        <f t="shared" si="56"/>
        <v/>
      </c>
      <c r="U119" s="64" t="str">
        <f t="shared" si="57"/>
        <v/>
      </c>
      <c r="V119" s="65" t="str">
        <f t="shared" si="58"/>
        <v/>
      </c>
      <c r="W119" s="78" t="str">
        <f t="shared" si="59"/>
        <v/>
      </c>
      <c r="X119" s="66" t="str">
        <f t="shared" si="60"/>
        <v/>
      </c>
      <c r="Y119" s="66" t="str">
        <f t="shared" si="61"/>
        <v/>
      </c>
      <c r="Z119" s="67" t="str">
        <f t="shared" si="62"/>
        <v/>
      </c>
    </row>
    <row r="120" spans="1:26" s="5" customFormat="1" ht="17.25" customHeight="1">
      <c r="A120" s="84">
        <v>109</v>
      </c>
      <c r="B120" s="32"/>
      <c r="C120" s="33"/>
      <c r="D120" s="34"/>
      <c r="E120" s="35"/>
      <c r="F120" s="32"/>
      <c r="G120" s="111"/>
      <c r="H120" s="111"/>
      <c r="I120" s="112"/>
      <c r="J120" s="97"/>
      <c r="K120" s="62" t="str">
        <f t="shared" si="48"/>
        <v/>
      </c>
      <c r="L120" s="62" t="str">
        <f t="shared" si="49"/>
        <v/>
      </c>
      <c r="M120" s="62" t="str">
        <f t="shared" si="50"/>
        <v/>
      </c>
      <c r="N120" s="63" t="str">
        <f t="shared" si="51"/>
        <v/>
      </c>
      <c r="O120" s="64" t="str">
        <f t="shared" si="63"/>
        <v/>
      </c>
      <c r="P120" s="93" t="str">
        <f t="shared" si="52"/>
        <v/>
      </c>
      <c r="Q120" s="94" t="str">
        <f t="shared" si="53"/>
        <v/>
      </c>
      <c r="R120" s="64" t="str">
        <f t="shared" si="54"/>
        <v/>
      </c>
      <c r="S120" s="93" t="str">
        <f t="shared" si="55"/>
        <v/>
      </c>
      <c r="T120" s="94" t="str">
        <f t="shared" si="56"/>
        <v/>
      </c>
      <c r="U120" s="64" t="str">
        <f t="shared" si="57"/>
        <v/>
      </c>
      <c r="V120" s="65" t="str">
        <f t="shared" si="58"/>
        <v/>
      </c>
      <c r="W120" s="78" t="str">
        <f t="shared" si="59"/>
        <v/>
      </c>
      <c r="X120" s="66" t="str">
        <f t="shared" si="60"/>
        <v/>
      </c>
      <c r="Y120" s="66" t="str">
        <f t="shared" si="61"/>
        <v/>
      </c>
      <c r="Z120" s="67" t="str">
        <f t="shared" si="62"/>
        <v/>
      </c>
    </row>
    <row r="121" spans="1:26" s="5" customFormat="1" ht="17.25" customHeight="1">
      <c r="A121" s="84">
        <v>110</v>
      </c>
      <c r="B121" s="32"/>
      <c r="C121" s="33"/>
      <c r="D121" s="34"/>
      <c r="E121" s="35"/>
      <c r="F121" s="32"/>
      <c r="G121" s="111"/>
      <c r="H121" s="111"/>
      <c r="I121" s="112"/>
      <c r="J121" s="97"/>
      <c r="K121" s="62" t="str">
        <f t="shared" si="48"/>
        <v/>
      </c>
      <c r="L121" s="62" t="str">
        <f t="shared" si="49"/>
        <v/>
      </c>
      <c r="M121" s="62" t="str">
        <f t="shared" si="50"/>
        <v/>
      </c>
      <c r="N121" s="63" t="str">
        <f t="shared" si="51"/>
        <v/>
      </c>
      <c r="O121" s="64" t="str">
        <f t="shared" si="63"/>
        <v/>
      </c>
      <c r="P121" s="93" t="str">
        <f t="shared" si="52"/>
        <v/>
      </c>
      <c r="Q121" s="94" t="str">
        <f t="shared" si="53"/>
        <v/>
      </c>
      <c r="R121" s="64" t="str">
        <f t="shared" si="54"/>
        <v/>
      </c>
      <c r="S121" s="93" t="str">
        <f t="shared" si="55"/>
        <v/>
      </c>
      <c r="T121" s="94" t="str">
        <f t="shared" si="56"/>
        <v/>
      </c>
      <c r="U121" s="64" t="str">
        <f t="shared" si="57"/>
        <v/>
      </c>
      <c r="V121" s="65" t="str">
        <f t="shared" si="58"/>
        <v/>
      </c>
      <c r="W121" s="78" t="str">
        <f t="shared" si="59"/>
        <v/>
      </c>
      <c r="X121" s="66" t="str">
        <f t="shared" si="60"/>
        <v/>
      </c>
      <c r="Y121" s="66" t="str">
        <f t="shared" si="61"/>
        <v/>
      </c>
      <c r="Z121" s="67" t="str">
        <f t="shared" si="62"/>
        <v/>
      </c>
    </row>
    <row r="122" spans="1:26" s="5" customFormat="1" ht="17.25" customHeight="1">
      <c r="A122" s="84">
        <v>111</v>
      </c>
      <c r="B122" s="32"/>
      <c r="C122" s="33"/>
      <c r="D122" s="34"/>
      <c r="E122" s="35"/>
      <c r="F122" s="32"/>
      <c r="G122" s="111"/>
      <c r="H122" s="111"/>
      <c r="I122" s="112"/>
      <c r="J122" s="97"/>
      <c r="K122" s="62" t="str">
        <f t="shared" si="48"/>
        <v/>
      </c>
      <c r="L122" s="62" t="str">
        <f t="shared" si="49"/>
        <v/>
      </c>
      <c r="M122" s="62" t="str">
        <f t="shared" si="50"/>
        <v/>
      </c>
      <c r="N122" s="63" t="str">
        <f t="shared" si="51"/>
        <v/>
      </c>
      <c r="O122" s="64" t="str">
        <f t="shared" si="63"/>
        <v/>
      </c>
      <c r="P122" s="93" t="str">
        <f t="shared" si="52"/>
        <v/>
      </c>
      <c r="Q122" s="94" t="str">
        <f t="shared" si="53"/>
        <v/>
      </c>
      <c r="R122" s="64" t="str">
        <f t="shared" si="54"/>
        <v/>
      </c>
      <c r="S122" s="93" t="str">
        <f t="shared" si="55"/>
        <v/>
      </c>
      <c r="T122" s="94" t="str">
        <f t="shared" si="56"/>
        <v/>
      </c>
      <c r="U122" s="64" t="str">
        <f t="shared" si="57"/>
        <v/>
      </c>
      <c r="V122" s="65" t="str">
        <f t="shared" si="58"/>
        <v/>
      </c>
      <c r="W122" s="78" t="str">
        <f t="shared" si="59"/>
        <v/>
      </c>
      <c r="X122" s="66" t="str">
        <f t="shared" si="60"/>
        <v/>
      </c>
      <c r="Y122" s="66" t="str">
        <f t="shared" si="61"/>
        <v/>
      </c>
      <c r="Z122" s="67" t="str">
        <f t="shared" si="62"/>
        <v/>
      </c>
    </row>
    <row r="123" spans="1:26" s="5" customFormat="1" ht="17.25" customHeight="1">
      <c r="A123" s="84">
        <v>112</v>
      </c>
      <c r="B123" s="32"/>
      <c r="C123" s="33"/>
      <c r="D123" s="34"/>
      <c r="E123" s="35"/>
      <c r="F123" s="32"/>
      <c r="G123" s="111"/>
      <c r="H123" s="111"/>
      <c r="I123" s="112"/>
      <c r="J123" s="97"/>
      <c r="K123" s="62" t="str">
        <f t="shared" si="48"/>
        <v/>
      </c>
      <c r="L123" s="62" t="str">
        <f t="shared" si="49"/>
        <v/>
      </c>
      <c r="M123" s="62" t="str">
        <f t="shared" si="50"/>
        <v/>
      </c>
      <c r="N123" s="63" t="str">
        <f t="shared" si="51"/>
        <v/>
      </c>
      <c r="O123" s="64" t="str">
        <f t="shared" si="63"/>
        <v/>
      </c>
      <c r="P123" s="93" t="str">
        <f t="shared" si="52"/>
        <v/>
      </c>
      <c r="Q123" s="94" t="str">
        <f t="shared" si="53"/>
        <v/>
      </c>
      <c r="R123" s="64" t="str">
        <f t="shared" si="54"/>
        <v/>
      </c>
      <c r="S123" s="93" t="str">
        <f t="shared" si="55"/>
        <v/>
      </c>
      <c r="T123" s="94" t="str">
        <f t="shared" si="56"/>
        <v/>
      </c>
      <c r="U123" s="64" t="str">
        <f t="shared" si="57"/>
        <v/>
      </c>
      <c r="V123" s="65" t="str">
        <f t="shared" si="58"/>
        <v/>
      </c>
      <c r="W123" s="78" t="str">
        <f t="shared" si="59"/>
        <v/>
      </c>
      <c r="X123" s="66" t="str">
        <f t="shared" si="60"/>
        <v/>
      </c>
      <c r="Y123" s="66" t="str">
        <f t="shared" si="61"/>
        <v/>
      </c>
      <c r="Z123" s="67" t="str">
        <f t="shared" si="62"/>
        <v/>
      </c>
    </row>
    <row r="124" spans="1:26" s="5" customFormat="1" ht="17.25" customHeight="1">
      <c r="A124" s="84">
        <v>113</v>
      </c>
      <c r="B124" s="32"/>
      <c r="C124" s="33"/>
      <c r="D124" s="34"/>
      <c r="E124" s="35"/>
      <c r="F124" s="32"/>
      <c r="G124" s="111"/>
      <c r="H124" s="111"/>
      <c r="I124" s="112"/>
      <c r="J124" s="97"/>
      <c r="K124" s="62" t="str">
        <f t="shared" si="48"/>
        <v/>
      </c>
      <c r="L124" s="62" t="str">
        <f t="shared" si="49"/>
        <v/>
      </c>
      <c r="M124" s="62" t="str">
        <f t="shared" si="50"/>
        <v/>
      </c>
      <c r="N124" s="63" t="str">
        <f t="shared" si="51"/>
        <v/>
      </c>
      <c r="O124" s="64" t="str">
        <f t="shared" si="63"/>
        <v/>
      </c>
      <c r="P124" s="93" t="str">
        <f t="shared" si="52"/>
        <v/>
      </c>
      <c r="Q124" s="94" t="str">
        <f t="shared" si="53"/>
        <v/>
      </c>
      <c r="R124" s="64" t="str">
        <f t="shared" si="54"/>
        <v/>
      </c>
      <c r="S124" s="93" t="str">
        <f t="shared" si="55"/>
        <v/>
      </c>
      <c r="T124" s="94" t="str">
        <f t="shared" si="56"/>
        <v/>
      </c>
      <c r="U124" s="64" t="str">
        <f t="shared" si="57"/>
        <v/>
      </c>
      <c r="V124" s="65" t="str">
        <f t="shared" si="58"/>
        <v/>
      </c>
      <c r="W124" s="78" t="str">
        <f t="shared" si="59"/>
        <v/>
      </c>
      <c r="X124" s="66" t="str">
        <f t="shared" si="60"/>
        <v/>
      </c>
      <c r="Y124" s="66" t="str">
        <f t="shared" si="61"/>
        <v/>
      </c>
      <c r="Z124" s="67" t="str">
        <f t="shared" si="62"/>
        <v/>
      </c>
    </row>
    <row r="125" spans="1:26" s="5" customFormat="1" ht="17.25" customHeight="1">
      <c r="A125" s="84">
        <v>114</v>
      </c>
      <c r="B125" s="32"/>
      <c r="C125" s="33"/>
      <c r="D125" s="34"/>
      <c r="E125" s="35"/>
      <c r="F125" s="32"/>
      <c r="G125" s="111"/>
      <c r="H125" s="111"/>
      <c r="I125" s="112"/>
      <c r="J125" s="97"/>
      <c r="K125" s="62" t="str">
        <f t="shared" si="48"/>
        <v/>
      </c>
      <c r="L125" s="62" t="str">
        <f t="shared" si="49"/>
        <v/>
      </c>
      <c r="M125" s="62" t="str">
        <f t="shared" si="50"/>
        <v/>
      </c>
      <c r="N125" s="63" t="str">
        <f t="shared" si="51"/>
        <v/>
      </c>
      <c r="O125" s="64" t="str">
        <f t="shared" si="63"/>
        <v/>
      </c>
      <c r="P125" s="93" t="str">
        <f t="shared" si="52"/>
        <v/>
      </c>
      <c r="Q125" s="94" t="str">
        <f t="shared" si="53"/>
        <v/>
      </c>
      <c r="R125" s="64" t="str">
        <f t="shared" si="54"/>
        <v/>
      </c>
      <c r="S125" s="93" t="str">
        <f t="shared" si="55"/>
        <v/>
      </c>
      <c r="T125" s="94" t="str">
        <f t="shared" si="56"/>
        <v/>
      </c>
      <c r="U125" s="64" t="str">
        <f t="shared" si="57"/>
        <v/>
      </c>
      <c r="V125" s="65" t="str">
        <f t="shared" si="58"/>
        <v/>
      </c>
      <c r="W125" s="78" t="str">
        <f t="shared" si="59"/>
        <v/>
      </c>
      <c r="X125" s="66" t="str">
        <f t="shared" si="60"/>
        <v/>
      </c>
      <c r="Y125" s="66" t="str">
        <f t="shared" si="61"/>
        <v/>
      </c>
      <c r="Z125" s="67" t="str">
        <f t="shared" si="62"/>
        <v/>
      </c>
    </row>
    <row r="126" spans="1:26" s="5" customFormat="1" ht="17.25" customHeight="1">
      <c r="A126" s="84">
        <v>115</v>
      </c>
      <c r="B126" s="32"/>
      <c r="C126" s="33"/>
      <c r="D126" s="34"/>
      <c r="E126" s="35"/>
      <c r="F126" s="32"/>
      <c r="G126" s="111"/>
      <c r="H126" s="111"/>
      <c r="I126" s="112"/>
      <c r="J126" s="97"/>
      <c r="K126" s="62" t="str">
        <f t="shared" si="48"/>
        <v/>
      </c>
      <c r="L126" s="62" t="str">
        <f t="shared" si="49"/>
        <v/>
      </c>
      <c r="M126" s="62" t="str">
        <f t="shared" si="50"/>
        <v/>
      </c>
      <c r="N126" s="63" t="str">
        <f t="shared" si="51"/>
        <v/>
      </c>
      <c r="O126" s="64" t="str">
        <f t="shared" si="63"/>
        <v/>
      </c>
      <c r="P126" s="93" t="str">
        <f t="shared" si="52"/>
        <v/>
      </c>
      <c r="Q126" s="94" t="str">
        <f t="shared" si="53"/>
        <v/>
      </c>
      <c r="R126" s="64" t="str">
        <f t="shared" si="54"/>
        <v/>
      </c>
      <c r="S126" s="93" t="str">
        <f t="shared" si="55"/>
        <v/>
      </c>
      <c r="T126" s="94" t="str">
        <f t="shared" si="56"/>
        <v/>
      </c>
      <c r="U126" s="64" t="str">
        <f t="shared" si="57"/>
        <v/>
      </c>
      <c r="V126" s="65" t="str">
        <f t="shared" si="58"/>
        <v/>
      </c>
      <c r="W126" s="78" t="str">
        <f t="shared" si="59"/>
        <v/>
      </c>
      <c r="X126" s="66" t="str">
        <f t="shared" si="60"/>
        <v/>
      </c>
      <c r="Y126" s="66" t="str">
        <f t="shared" si="61"/>
        <v/>
      </c>
      <c r="Z126" s="67" t="str">
        <f t="shared" si="62"/>
        <v/>
      </c>
    </row>
    <row r="127" spans="1:26" s="5" customFormat="1" ht="17.25" customHeight="1">
      <c r="A127" s="84">
        <v>116</v>
      </c>
      <c r="B127" s="32"/>
      <c r="C127" s="33"/>
      <c r="D127" s="34"/>
      <c r="E127" s="35"/>
      <c r="F127" s="32"/>
      <c r="G127" s="111"/>
      <c r="H127" s="111"/>
      <c r="I127" s="112"/>
      <c r="J127" s="97"/>
      <c r="K127" s="62" t="str">
        <f t="shared" si="48"/>
        <v/>
      </c>
      <c r="L127" s="62" t="str">
        <f t="shared" si="49"/>
        <v/>
      </c>
      <c r="M127" s="62" t="str">
        <f t="shared" si="50"/>
        <v/>
      </c>
      <c r="N127" s="63" t="str">
        <f t="shared" si="51"/>
        <v/>
      </c>
      <c r="O127" s="64" t="str">
        <f t="shared" si="63"/>
        <v/>
      </c>
      <c r="P127" s="93" t="str">
        <f t="shared" si="52"/>
        <v/>
      </c>
      <c r="Q127" s="94" t="str">
        <f t="shared" si="53"/>
        <v/>
      </c>
      <c r="R127" s="64" t="str">
        <f t="shared" si="54"/>
        <v/>
      </c>
      <c r="S127" s="93" t="str">
        <f t="shared" si="55"/>
        <v/>
      </c>
      <c r="T127" s="94" t="str">
        <f t="shared" si="56"/>
        <v/>
      </c>
      <c r="U127" s="64" t="str">
        <f t="shared" si="57"/>
        <v/>
      </c>
      <c r="V127" s="65" t="str">
        <f t="shared" si="58"/>
        <v/>
      </c>
      <c r="W127" s="78" t="str">
        <f t="shared" si="59"/>
        <v/>
      </c>
      <c r="X127" s="66" t="str">
        <f t="shared" si="60"/>
        <v/>
      </c>
      <c r="Y127" s="66" t="str">
        <f t="shared" si="61"/>
        <v/>
      </c>
      <c r="Z127" s="67" t="str">
        <f t="shared" si="62"/>
        <v/>
      </c>
    </row>
    <row r="128" spans="1:26" s="5" customFormat="1" ht="17.25" customHeight="1">
      <c r="A128" s="84">
        <v>117</v>
      </c>
      <c r="B128" s="32"/>
      <c r="C128" s="33"/>
      <c r="D128" s="34"/>
      <c r="E128" s="35"/>
      <c r="F128" s="32"/>
      <c r="G128" s="111"/>
      <c r="H128" s="111"/>
      <c r="I128" s="112"/>
      <c r="J128" s="97"/>
      <c r="K128" s="62" t="str">
        <f t="shared" si="48"/>
        <v/>
      </c>
      <c r="L128" s="62" t="str">
        <f t="shared" si="49"/>
        <v/>
      </c>
      <c r="M128" s="62" t="str">
        <f t="shared" si="50"/>
        <v/>
      </c>
      <c r="N128" s="63" t="str">
        <f t="shared" si="51"/>
        <v/>
      </c>
      <c r="O128" s="64" t="str">
        <f t="shared" si="63"/>
        <v/>
      </c>
      <c r="P128" s="93" t="str">
        <f t="shared" si="52"/>
        <v/>
      </c>
      <c r="Q128" s="94" t="str">
        <f t="shared" si="53"/>
        <v/>
      </c>
      <c r="R128" s="64" t="str">
        <f t="shared" si="54"/>
        <v/>
      </c>
      <c r="S128" s="93" t="str">
        <f t="shared" si="55"/>
        <v/>
      </c>
      <c r="T128" s="94" t="str">
        <f t="shared" si="56"/>
        <v/>
      </c>
      <c r="U128" s="64" t="str">
        <f t="shared" si="57"/>
        <v/>
      </c>
      <c r="V128" s="65" t="str">
        <f t="shared" si="58"/>
        <v/>
      </c>
      <c r="W128" s="78" t="str">
        <f t="shared" si="59"/>
        <v/>
      </c>
      <c r="X128" s="66" t="str">
        <f t="shared" si="60"/>
        <v/>
      </c>
      <c r="Y128" s="66" t="str">
        <f t="shared" si="61"/>
        <v/>
      </c>
      <c r="Z128" s="67" t="str">
        <f t="shared" si="62"/>
        <v/>
      </c>
    </row>
    <row r="129" spans="1:26" s="5" customFormat="1" ht="17.25" customHeight="1">
      <c r="A129" s="84">
        <v>118</v>
      </c>
      <c r="B129" s="32"/>
      <c r="C129" s="33"/>
      <c r="D129" s="34"/>
      <c r="E129" s="35"/>
      <c r="F129" s="32"/>
      <c r="G129" s="111"/>
      <c r="H129" s="111"/>
      <c r="I129" s="112"/>
      <c r="J129" s="97"/>
      <c r="K129" s="62" t="str">
        <f t="shared" si="48"/>
        <v/>
      </c>
      <c r="L129" s="62" t="str">
        <f t="shared" si="49"/>
        <v/>
      </c>
      <c r="M129" s="62" t="str">
        <f t="shared" si="50"/>
        <v/>
      </c>
      <c r="N129" s="63" t="str">
        <f t="shared" si="51"/>
        <v/>
      </c>
      <c r="O129" s="64" t="str">
        <f t="shared" si="63"/>
        <v/>
      </c>
      <c r="P129" s="93" t="str">
        <f t="shared" si="52"/>
        <v/>
      </c>
      <c r="Q129" s="94" t="str">
        <f t="shared" si="53"/>
        <v/>
      </c>
      <c r="R129" s="64" t="str">
        <f t="shared" si="54"/>
        <v/>
      </c>
      <c r="S129" s="93" t="str">
        <f t="shared" si="55"/>
        <v/>
      </c>
      <c r="T129" s="94" t="str">
        <f t="shared" si="56"/>
        <v/>
      </c>
      <c r="U129" s="64" t="str">
        <f t="shared" si="57"/>
        <v/>
      </c>
      <c r="V129" s="65" t="str">
        <f t="shared" si="58"/>
        <v/>
      </c>
      <c r="W129" s="78" t="str">
        <f t="shared" si="59"/>
        <v/>
      </c>
      <c r="X129" s="66" t="str">
        <f t="shared" si="60"/>
        <v/>
      </c>
      <c r="Y129" s="66" t="str">
        <f t="shared" si="61"/>
        <v/>
      </c>
      <c r="Z129" s="67" t="str">
        <f t="shared" si="62"/>
        <v/>
      </c>
    </row>
    <row r="130" spans="1:26" s="5" customFormat="1" ht="17.25" customHeight="1">
      <c r="A130" s="84">
        <v>119</v>
      </c>
      <c r="B130" s="32"/>
      <c r="C130" s="33"/>
      <c r="D130" s="34"/>
      <c r="E130" s="35"/>
      <c r="F130" s="32"/>
      <c r="G130" s="111"/>
      <c r="H130" s="111"/>
      <c r="I130" s="112"/>
      <c r="J130" s="97"/>
      <c r="K130" s="62" t="str">
        <f t="shared" si="48"/>
        <v/>
      </c>
      <c r="L130" s="62" t="str">
        <f t="shared" si="49"/>
        <v/>
      </c>
      <c r="M130" s="62" t="str">
        <f t="shared" si="50"/>
        <v/>
      </c>
      <c r="N130" s="63" t="str">
        <f t="shared" si="51"/>
        <v/>
      </c>
      <c r="O130" s="64" t="str">
        <f t="shared" si="63"/>
        <v/>
      </c>
      <c r="P130" s="93" t="str">
        <f t="shared" si="52"/>
        <v/>
      </c>
      <c r="Q130" s="94" t="str">
        <f t="shared" si="53"/>
        <v/>
      </c>
      <c r="R130" s="64" t="str">
        <f t="shared" si="54"/>
        <v/>
      </c>
      <c r="S130" s="93" t="str">
        <f t="shared" si="55"/>
        <v/>
      </c>
      <c r="T130" s="94" t="str">
        <f t="shared" si="56"/>
        <v/>
      </c>
      <c r="U130" s="64" t="str">
        <f t="shared" si="57"/>
        <v/>
      </c>
      <c r="V130" s="65" t="str">
        <f t="shared" si="58"/>
        <v/>
      </c>
      <c r="W130" s="78" t="str">
        <f t="shared" si="59"/>
        <v/>
      </c>
      <c r="X130" s="66" t="str">
        <f t="shared" si="60"/>
        <v/>
      </c>
      <c r="Y130" s="66" t="str">
        <f t="shared" si="61"/>
        <v/>
      </c>
      <c r="Z130" s="67" t="str">
        <f t="shared" si="62"/>
        <v/>
      </c>
    </row>
    <row r="131" spans="1:26" s="5" customFormat="1" ht="17.25" customHeight="1">
      <c r="A131" s="84">
        <v>120</v>
      </c>
      <c r="B131" s="32"/>
      <c r="C131" s="33"/>
      <c r="D131" s="34"/>
      <c r="E131" s="35"/>
      <c r="F131" s="32"/>
      <c r="G131" s="111"/>
      <c r="H131" s="111"/>
      <c r="I131" s="112"/>
      <c r="J131" s="97"/>
      <c r="K131" s="62" t="str">
        <f t="shared" si="48"/>
        <v/>
      </c>
      <c r="L131" s="62" t="str">
        <f t="shared" si="49"/>
        <v/>
      </c>
      <c r="M131" s="62" t="str">
        <f t="shared" si="50"/>
        <v/>
      </c>
      <c r="N131" s="63" t="str">
        <f t="shared" si="51"/>
        <v/>
      </c>
      <c r="O131" s="64" t="str">
        <f t="shared" si="63"/>
        <v/>
      </c>
      <c r="P131" s="93" t="str">
        <f t="shared" si="52"/>
        <v/>
      </c>
      <c r="Q131" s="94" t="str">
        <f t="shared" si="53"/>
        <v/>
      </c>
      <c r="R131" s="64" t="str">
        <f t="shared" si="54"/>
        <v/>
      </c>
      <c r="S131" s="93" t="str">
        <f t="shared" si="55"/>
        <v/>
      </c>
      <c r="T131" s="94" t="str">
        <f t="shared" si="56"/>
        <v/>
      </c>
      <c r="U131" s="64" t="str">
        <f t="shared" si="57"/>
        <v/>
      </c>
      <c r="V131" s="65" t="str">
        <f t="shared" si="58"/>
        <v/>
      </c>
      <c r="W131" s="78" t="str">
        <f t="shared" si="59"/>
        <v/>
      </c>
      <c r="X131" s="66" t="str">
        <f t="shared" si="60"/>
        <v/>
      </c>
      <c r="Y131" s="66" t="str">
        <f t="shared" si="61"/>
        <v/>
      </c>
      <c r="Z131" s="67" t="str">
        <f t="shared" si="62"/>
        <v/>
      </c>
    </row>
    <row r="132" spans="1:26" s="5" customFormat="1" ht="17.25" customHeight="1">
      <c r="A132" s="84">
        <v>121</v>
      </c>
      <c r="B132" s="32"/>
      <c r="C132" s="33"/>
      <c r="D132" s="34"/>
      <c r="E132" s="35"/>
      <c r="F132" s="32"/>
      <c r="G132" s="111"/>
      <c r="H132" s="111"/>
      <c r="I132" s="112"/>
      <c r="J132" s="97"/>
      <c r="K132" s="62" t="str">
        <f t="shared" si="48"/>
        <v/>
      </c>
      <c r="L132" s="62" t="str">
        <f t="shared" si="49"/>
        <v/>
      </c>
      <c r="M132" s="62" t="str">
        <f t="shared" si="50"/>
        <v/>
      </c>
      <c r="N132" s="63" t="str">
        <f t="shared" si="51"/>
        <v/>
      </c>
      <c r="O132" s="64" t="str">
        <f t="shared" si="63"/>
        <v/>
      </c>
      <c r="P132" s="93" t="str">
        <f t="shared" si="52"/>
        <v/>
      </c>
      <c r="Q132" s="94" t="str">
        <f t="shared" si="53"/>
        <v/>
      </c>
      <c r="R132" s="64" t="str">
        <f t="shared" si="54"/>
        <v/>
      </c>
      <c r="S132" s="93" t="str">
        <f t="shared" si="55"/>
        <v/>
      </c>
      <c r="T132" s="94" t="str">
        <f t="shared" si="56"/>
        <v/>
      </c>
      <c r="U132" s="64" t="str">
        <f t="shared" si="57"/>
        <v/>
      </c>
      <c r="V132" s="65" t="str">
        <f t="shared" si="58"/>
        <v/>
      </c>
      <c r="W132" s="78" t="str">
        <f t="shared" si="59"/>
        <v/>
      </c>
      <c r="X132" s="66" t="str">
        <f t="shared" si="60"/>
        <v/>
      </c>
      <c r="Y132" s="66" t="str">
        <f t="shared" si="61"/>
        <v/>
      </c>
      <c r="Z132" s="67" t="str">
        <f t="shared" si="62"/>
        <v/>
      </c>
    </row>
    <row r="133" spans="1:26" s="5" customFormat="1" ht="17.25" customHeight="1">
      <c r="A133" s="84">
        <v>122</v>
      </c>
      <c r="B133" s="32"/>
      <c r="C133" s="33"/>
      <c r="D133" s="34"/>
      <c r="E133" s="35"/>
      <c r="F133" s="32"/>
      <c r="G133" s="111"/>
      <c r="H133" s="111"/>
      <c r="I133" s="112"/>
      <c r="J133" s="97"/>
      <c r="K133" s="62" t="str">
        <f t="shared" si="48"/>
        <v/>
      </c>
      <c r="L133" s="62" t="str">
        <f t="shared" si="49"/>
        <v/>
      </c>
      <c r="M133" s="62" t="str">
        <f t="shared" si="50"/>
        <v/>
      </c>
      <c r="N133" s="63" t="str">
        <f t="shared" si="51"/>
        <v/>
      </c>
      <c r="O133" s="64" t="str">
        <f t="shared" si="63"/>
        <v/>
      </c>
      <c r="P133" s="93" t="str">
        <f t="shared" si="52"/>
        <v/>
      </c>
      <c r="Q133" s="94" t="str">
        <f t="shared" si="53"/>
        <v/>
      </c>
      <c r="R133" s="64" t="str">
        <f t="shared" si="54"/>
        <v/>
      </c>
      <c r="S133" s="93" t="str">
        <f t="shared" si="55"/>
        <v/>
      </c>
      <c r="T133" s="94" t="str">
        <f t="shared" si="56"/>
        <v/>
      </c>
      <c r="U133" s="64" t="str">
        <f t="shared" si="57"/>
        <v/>
      </c>
      <c r="V133" s="65" t="str">
        <f t="shared" si="58"/>
        <v/>
      </c>
      <c r="W133" s="78" t="str">
        <f t="shared" si="59"/>
        <v/>
      </c>
      <c r="X133" s="66" t="str">
        <f t="shared" si="60"/>
        <v/>
      </c>
      <c r="Y133" s="66" t="str">
        <f t="shared" si="61"/>
        <v/>
      </c>
      <c r="Z133" s="67" t="str">
        <f t="shared" si="62"/>
        <v/>
      </c>
    </row>
    <row r="134" spans="1:26" s="5" customFormat="1" ht="17.25" customHeight="1">
      <c r="A134" s="84">
        <v>123</v>
      </c>
      <c r="B134" s="32"/>
      <c r="C134" s="33"/>
      <c r="D134" s="34"/>
      <c r="E134" s="35"/>
      <c r="F134" s="32"/>
      <c r="G134" s="111"/>
      <c r="H134" s="111"/>
      <c r="I134" s="112"/>
      <c r="J134" s="97"/>
      <c r="K134" s="62" t="str">
        <f t="shared" si="48"/>
        <v/>
      </c>
      <c r="L134" s="62" t="str">
        <f t="shared" si="49"/>
        <v/>
      </c>
      <c r="M134" s="62" t="str">
        <f t="shared" si="50"/>
        <v/>
      </c>
      <c r="N134" s="63" t="str">
        <f t="shared" si="51"/>
        <v/>
      </c>
      <c r="O134" s="64" t="str">
        <f t="shared" si="63"/>
        <v/>
      </c>
      <c r="P134" s="93" t="str">
        <f t="shared" si="52"/>
        <v/>
      </c>
      <c r="Q134" s="94" t="str">
        <f t="shared" si="53"/>
        <v/>
      </c>
      <c r="R134" s="64" t="str">
        <f t="shared" si="54"/>
        <v/>
      </c>
      <c r="S134" s="93" t="str">
        <f t="shared" si="55"/>
        <v/>
      </c>
      <c r="T134" s="94" t="str">
        <f t="shared" si="56"/>
        <v/>
      </c>
      <c r="U134" s="64" t="str">
        <f t="shared" si="57"/>
        <v/>
      </c>
      <c r="V134" s="65" t="str">
        <f t="shared" si="58"/>
        <v/>
      </c>
      <c r="W134" s="78" t="str">
        <f t="shared" si="59"/>
        <v/>
      </c>
      <c r="X134" s="66" t="str">
        <f t="shared" si="60"/>
        <v/>
      </c>
      <c r="Y134" s="66" t="str">
        <f t="shared" si="61"/>
        <v/>
      </c>
      <c r="Z134" s="67" t="str">
        <f t="shared" si="62"/>
        <v/>
      </c>
    </row>
    <row r="135" spans="1:26" s="5" customFormat="1" ht="17.25" customHeight="1">
      <c r="A135" s="84">
        <v>124</v>
      </c>
      <c r="B135" s="32"/>
      <c r="C135" s="33"/>
      <c r="D135" s="34"/>
      <c r="E135" s="35"/>
      <c r="F135" s="32"/>
      <c r="G135" s="111"/>
      <c r="H135" s="111"/>
      <c r="I135" s="112"/>
      <c r="J135" s="97"/>
      <c r="K135" s="62" t="str">
        <f t="shared" si="48"/>
        <v/>
      </c>
      <c r="L135" s="62" t="str">
        <f t="shared" si="49"/>
        <v/>
      </c>
      <c r="M135" s="62" t="str">
        <f t="shared" si="50"/>
        <v/>
      </c>
      <c r="N135" s="63" t="str">
        <f t="shared" si="51"/>
        <v/>
      </c>
      <c r="O135" s="64" t="str">
        <f t="shared" si="63"/>
        <v/>
      </c>
      <c r="P135" s="93" t="str">
        <f t="shared" si="52"/>
        <v/>
      </c>
      <c r="Q135" s="94" t="str">
        <f t="shared" si="53"/>
        <v/>
      </c>
      <c r="R135" s="64" t="str">
        <f t="shared" si="54"/>
        <v/>
      </c>
      <c r="S135" s="93" t="str">
        <f t="shared" si="55"/>
        <v/>
      </c>
      <c r="T135" s="94" t="str">
        <f t="shared" si="56"/>
        <v/>
      </c>
      <c r="U135" s="64" t="str">
        <f t="shared" si="57"/>
        <v/>
      </c>
      <c r="V135" s="65" t="str">
        <f t="shared" si="58"/>
        <v/>
      </c>
      <c r="W135" s="78" t="str">
        <f t="shared" si="59"/>
        <v/>
      </c>
      <c r="X135" s="66" t="str">
        <f t="shared" si="60"/>
        <v/>
      </c>
      <c r="Y135" s="66" t="str">
        <f t="shared" si="61"/>
        <v/>
      </c>
      <c r="Z135" s="67" t="str">
        <f t="shared" si="62"/>
        <v/>
      </c>
    </row>
    <row r="136" spans="1:26" s="17" customFormat="1" ht="17.25" customHeight="1" thickBot="1">
      <c r="A136" s="84">
        <v>125</v>
      </c>
      <c r="B136" s="32"/>
      <c r="C136" s="33"/>
      <c r="D136" s="34"/>
      <c r="E136" s="35"/>
      <c r="F136" s="32"/>
      <c r="G136" s="111"/>
      <c r="H136" s="111"/>
      <c r="I136" s="112"/>
      <c r="J136" s="101"/>
      <c r="K136" s="62" t="str">
        <f t="shared" si="48"/>
        <v/>
      </c>
      <c r="L136" s="62" t="str">
        <f t="shared" si="49"/>
        <v/>
      </c>
      <c r="M136" s="62" t="str">
        <f t="shared" si="50"/>
        <v/>
      </c>
      <c r="N136" s="63" t="str">
        <f t="shared" si="51"/>
        <v/>
      </c>
      <c r="O136" s="64" t="str">
        <f t="shared" si="63"/>
        <v/>
      </c>
      <c r="P136" s="93" t="str">
        <f t="shared" si="52"/>
        <v/>
      </c>
      <c r="Q136" s="94" t="str">
        <f t="shared" si="53"/>
        <v/>
      </c>
      <c r="R136" s="64" t="str">
        <f t="shared" si="54"/>
        <v/>
      </c>
      <c r="S136" s="93" t="str">
        <f t="shared" si="55"/>
        <v/>
      </c>
      <c r="T136" s="94" t="str">
        <f t="shared" si="56"/>
        <v/>
      </c>
      <c r="U136" s="64" t="str">
        <f t="shared" si="57"/>
        <v/>
      </c>
      <c r="V136" s="65" t="str">
        <f t="shared" si="58"/>
        <v/>
      </c>
      <c r="W136" s="78" t="str">
        <f t="shared" si="59"/>
        <v/>
      </c>
      <c r="X136" s="66" t="str">
        <f t="shared" si="60"/>
        <v/>
      </c>
      <c r="Y136" s="66" t="str">
        <f t="shared" si="61"/>
        <v/>
      </c>
      <c r="Z136" s="67" t="str">
        <f t="shared" si="62"/>
        <v/>
      </c>
    </row>
    <row r="137" spans="1:26" s="5" customFormat="1" ht="15">
      <c r="A137" s="27"/>
      <c r="B137" s="27"/>
      <c r="C137" s="27"/>
      <c r="D137" s="27"/>
      <c r="E137" s="27"/>
      <c r="F137" s="138"/>
      <c r="G137" s="27"/>
      <c r="H137" s="27"/>
      <c r="I137" s="27"/>
      <c r="J137" s="27"/>
      <c r="K137" s="27" t="str">
        <f t="shared" si="48"/>
        <v/>
      </c>
      <c r="L137" s="27" t="str">
        <f>IF($W$11=0,"",IF($D137="","",IF($G137="","",IF($H137="","",IF($H137/$F137&gt;=$L$11,"yes","NC")))))</f>
        <v/>
      </c>
      <c r="M137" s="27" t="str">
        <f>IF($W$11=0,"",IF($D137="","",IF($G137="","",IF($I137="","",IF($F137/$I137&lt;=$M$11,"yes","NC")))))</f>
        <v/>
      </c>
      <c r="N137" s="27" t="str">
        <f t="shared" si="51"/>
        <v/>
      </c>
      <c r="O137" s="27" t="str">
        <f t="shared" si="63"/>
        <v/>
      </c>
      <c r="P137" s="27" t="str">
        <f t="shared" si="52"/>
        <v/>
      </c>
      <c r="Q137" s="27" t="str">
        <f t="shared" si="53"/>
        <v/>
      </c>
      <c r="R137" s="27" t="str">
        <f t="shared" si="54"/>
        <v/>
      </c>
      <c r="S137" s="27" t="str">
        <f t="shared" si="55"/>
        <v/>
      </c>
      <c r="T137" s="27" t="str">
        <f t="shared" si="56"/>
        <v/>
      </c>
      <c r="U137" s="27" t="str">
        <f t="shared" si="57"/>
        <v/>
      </c>
      <c r="V137" s="27" t="str">
        <f>IF($D137="","",IF(T137="yes",(U137/U$8),IF(OR(U137&lt;$T108,U137&gt;V$8),(U137/U$8))))</f>
        <v/>
      </c>
      <c r="W137" s="27" t="str">
        <f t="shared" si="59"/>
        <v/>
      </c>
      <c r="X137" s="27" t="str">
        <f t="shared" si="60"/>
        <v/>
      </c>
      <c r="Y137" s="27" t="str">
        <f t="shared" si="61"/>
        <v/>
      </c>
      <c r="Z137" s="27" t="str">
        <f t="shared" si="62"/>
        <v/>
      </c>
    </row>
  </sheetData>
  <sheetProtection password="CF1D" sheet="1" objects="1" scenarios="1" selectLockedCells="1"/>
  <protectedRanges>
    <protectedRange password="CF1D" sqref="C6:E6 F6:G6" name="Input Ranges_1"/>
    <protectedRange password="CF1D" sqref="D37:E61" name="Input Ranges_1_1_1"/>
  </protectedRanges>
  <mergeCells count="43">
    <mergeCell ref="I5:J5"/>
    <mergeCell ref="I6:J6"/>
    <mergeCell ref="I1:J1"/>
    <mergeCell ref="I2:J2"/>
    <mergeCell ref="I7:I8"/>
    <mergeCell ref="I3:J3"/>
    <mergeCell ref="I4:J4"/>
    <mergeCell ref="C11:D11"/>
    <mergeCell ref="Z9:Z10"/>
    <mergeCell ref="N9:P9"/>
    <mergeCell ref="G9:G10"/>
    <mergeCell ref="H9:H10"/>
    <mergeCell ref="I9:I10"/>
    <mergeCell ref="W9:W10"/>
    <mergeCell ref="X9:X10"/>
    <mergeCell ref="Q9:S9"/>
    <mergeCell ref="Y9:Y10"/>
    <mergeCell ref="E9:E10"/>
    <mergeCell ref="Z7:Z8"/>
    <mergeCell ref="T9:V9"/>
    <mergeCell ref="B9:B10"/>
    <mergeCell ref="A9:A10"/>
    <mergeCell ref="J7:M8"/>
    <mergeCell ref="A7:D8"/>
    <mergeCell ref="H7:H8"/>
    <mergeCell ref="Y7:Y8"/>
    <mergeCell ref="W7:W8"/>
    <mergeCell ref="X7:X8"/>
    <mergeCell ref="G7:G8"/>
    <mergeCell ref="A1:C1"/>
    <mergeCell ref="A2:C2"/>
    <mergeCell ref="A3:C3"/>
    <mergeCell ref="C9:C10"/>
    <mergeCell ref="F9:F10"/>
    <mergeCell ref="D9:D10"/>
    <mergeCell ref="A4:C4"/>
    <mergeCell ref="C6:E6"/>
    <mergeCell ref="E7:E8"/>
    <mergeCell ref="F7:F8"/>
    <mergeCell ref="A6:B6"/>
    <mergeCell ref="E1:G1"/>
    <mergeCell ref="E2:G2"/>
    <mergeCell ref="G4:H4"/>
  </mergeCells>
  <phoneticPr fontId="3" type="noConversion"/>
  <conditionalFormatting sqref="Q12:Q136 T12:T136">
    <cfRule type="cellIs" dxfId="20" priority="1" stopIfTrue="1" operator="between">
      <formula>$Q$8</formula>
      <formula>$S$8</formula>
    </cfRule>
    <cfRule type="cellIs" dxfId="19" priority="2" stopIfTrue="1" operator="equal">
      <formula>"""yes"""</formula>
    </cfRule>
    <cfRule type="cellIs" dxfId="18" priority="3" stopIfTrue="1" operator="equal">
      <formula>"NC"</formula>
    </cfRule>
  </conditionalFormatting>
  <conditionalFormatting sqref="R12:R136 O12:O136 U12:U136">
    <cfRule type="cellIs" dxfId="17" priority="4" stopIfTrue="1" operator="equal">
      <formula>"""NC"""</formula>
    </cfRule>
  </conditionalFormatting>
  <conditionalFormatting sqref="N12:N136">
    <cfRule type="cellIs" dxfId="16" priority="5" stopIfTrue="1" operator="equal">
      <formula>"NC"</formula>
    </cfRule>
  </conditionalFormatting>
  <conditionalFormatting sqref="K12:M136">
    <cfRule type="cellIs" dxfId="15" priority="6" stopIfTrue="1" operator="equal">
      <formula>"NC"</formula>
    </cfRule>
  </conditionalFormatting>
  <conditionalFormatting sqref="S12:S136">
    <cfRule type="cellIs" dxfId="14" priority="7" stopIfTrue="1" operator="between">
      <formula>0.1</formula>
      <formula>0.9</formula>
    </cfRule>
    <cfRule type="cellIs" dxfId="13" priority="8" stopIfTrue="1" operator="between">
      <formula>1.100001</formula>
      <formula>5</formula>
    </cfRule>
  </conditionalFormatting>
  <conditionalFormatting sqref="P12:P136 V12:V136">
    <cfRule type="cellIs" dxfId="12" priority="9" stopIfTrue="1" operator="between">
      <formula>0.1</formula>
      <formula>0.9</formula>
    </cfRule>
    <cfRule type="cellIs" dxfId="11" priority="10" stopIfTrue="1" operator="between">
      <formula>1.1000001</formula>
      <formula>5</formula>
    </cfRule>
  </conditionalFormatting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&amp;C© Texas Education Agency&amp;R&amp;P</oddFooter>
  </headerFooter>
  <rowBreaks count="4" manualBreakCount="4">
    <brk id="36" max="26" man="1"/>
    <brk id="61" max="26" man="1"/>
    <brk id="86" max="26" man="1"/>
    <brk id="111" max="26" man="1"/>
  </rowBreaks>
  <colBreaks count="1" manualBreakCount="1">
    <brk id="13" max="136" man="1"/>
  </colBreaks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58" enableFormatConditionsCalculation="0">
    <tabColor indexed="35"/>
  </sheetPr>
  <dimension ref="A1:Z137"/>
  <sheetViews>
    <sheetView showGridLines="0" zoomScale="75" zoomScaleNormal="50" zoomScaleSheetLayoutView="50" workbookViewId="0">
      <pane xSplit="10" ySplit="11" topLeftCell="K13" activePane="bottomRight" state="frozen"/>
      <selection activeCell="C6" sqref="C6:E6"/>
      <selection pane="topRight" activeCell="C6" sqref="C6:E6"/>
      <selection pane="bottomLeft" activeCell="C6" sqref="C6:E6"/>
      <selection pane="bottomRight" activeCell="C6" sqref="C6:E6"/>
    </sheetView>
  </sheetViews>
  <sheetFormatPr defaultColWidth="27" defaultRowHeight="0" customHeight="1" zeroHeight="1"/>
  <cols>
    <col min="1" max="1" width="6" style="19" customWidth="1"/>
    <col min="2" max="2" width="10.109375" style="20" customWidth="1"/>
    <col min="3" max="3" width="45.5546875" style="21" customWidth="1"/>
    <col min="4" max="4" width="12" style="22" customWidth="1"/>
    <col min="5" max="5" width="18" style="24" customWidth="1"/>
    <col min="6" max="6" width="14.88671875" style="139" customWidth="1"/>
    <col min="7" max="7" width="17.6640625" style="23" customWidth="1"/>
    <col min="8" max="8" width="15.109375" style="3" customWidth="1"/>
    <col min="9" max="9" width="17.5546875" style="3" customWidth="1"/>
    <col min="10" max="10" width="3.44140625" style="3" customWidth="1"/>
    <col min="11" max="11" width="13.33203125" style="3" customWidth="1"/>
    <col min="12" max="12" width="14.88671875" style="3" customWidth="1"/>
    <col min="13" max="13" width="15.33203125" style="15" customWidth="1"/>
    <col min="14" max="14" width="12.6640625" style="3" customWidth="1"/>
    <col min="15" max="15" width="16.44140625" style="13" customWidth="1"/>
    <col min="16" max="16" width="14.6640625" style="3" customWidth="1"/>
    <col min="17" max="17" width="12.6640625" style="4" customWidth="1"/>
    <col min="18" max="18" width="18.6640625" style="13" customWidth="1"/>
    <col min="19" max="19" width="14.6640625" style="4" customWidth="1"/>
    <col min="20" max="20" width="12.6640625" style="4" customWidth="1"/>
    <col min="21" max="21" width="12.6640625" style="13" customWidth="1"/>
    <col min="22" max="22" width="14.6640625" style="16" customWidth="1"/>
    <col min="23" max="23" width="18.88671875" style="25" hidden="1" customWidth="1"/>
    <col min="24" max="25" width="18.88671875" style="26" hidden="1" customWidth="1"/>
    <col min="26" max="26" width="18.88671875" style="26" customWidth="1"/>
    <col min="27" max="27" width="18.88671875" style="2" customWidth="1"/>
    <col min="28" max="16384" width="27" style="2"/>
  </cols>
  <sheetData>
    <row r="1" spans="1:26" ht="39" customHeight="1">
      <c r="A1" s="177" t="s">
        <v>19</v>
      </c>
      <c r="B1" s="178"/>
      <c r="C1" s="178"/>
      <c r="D1" s="79"/>
      <c r="E1" s="200" t="s">
        <v>54</v>
      </c>
      <c r="F1" s="200"/>
      <c r="G1" s="200"/>
      <c r="H1" s="80"/>
      <c r="I1" s="245" t="s">
        <v>79</v>
      </c>
      <c r="J1" s="246"/>
      <c r="K1" s="75"/>
      <c r="L1" s="75"/>
      <c r="M1" s="76"/>
      <c r="N1" s="69"/>
      <c r="O1" s="69"/>
      <c r="P1" s="69"/>
      <c r="Q1" s="73"/>
      <c r="R1" s="69"/>
      <c r="S1" s="73"/>
      <c r="T1" s="73"/>
      <c r="U1" s="69"/>
      <c r="V1" s="81"/>
      <c r="W1" s="54"/>
      <c r="X1" s="54"/>
      <c r="Y1" s="55"/>
      <c r="Z1" s="55"/>
    </row>
    <row r="2" spans="1:26" s="37" customFormat="1" ht="30" customHeight="1">
      <c r="A2" s="179" t="s">
        <v>76</v>
      </c>
      <c r="B2" s="180"/>
      <c r="C2" s="180"/>
      <c r="D2" s="36"/>
      <c r="E2" s="201" t="s">
        <v>72</v>
      </c>
      <c r="F2" s="201"/>
      <c r="G2" s="201"/>
      <c r="H2" s="105"/>
      <c r="I2" s="245" t="s">
        <v>80</v>
      </c>
      <c r="J2" s="247"/>
      <c r="K2" s="70">
        <f>COUNT($B$12:$B$137)</f>
        <v>0</v>
      </c>
      <c r="L2" s="70">
        <f>COUNT($B$12:$B$137)</f>
        <v>0</v>
      </c>
      <c r="M2" s="70">
        <f>COUNT($B$12:$B$137)</f>
        <v>0</v>
      </c>
      <c r="N2" s="70"/>
      <c r="O2" s="70">
        <f>COUNT($B$12:$B$137)</f>
        <v>0</v>
      </c>
      <c r="P2" s="86"/>
      <c r="Q2" s="122"/>
      <c r="R2" s="70">
        <f>COUNT($B$12:$B$137)</f>
        <v>0</v>
      </c>
      <c r="S2" s="86"/>
      <c r="T2" s="122"/>
      <c r="U2" s="70">
        <f>COUNT($B$12:$B$137)</f>
        <v>0</v>
      </c>
      <c r="V2" s="70"/>
      <c r="W2" s="43"/>
      <c r="X2" s="43"/>
      <c r="Y2" s="44"/>
      <c r="Z2" s="44"/>
    </row>
    <row r="3" spans="1:26" s="40" customFormat="1" ht="30" customHeight="1">
      <c r="A3" s="181" t="s">
        <v>77</v>
      </c>
      <c r="B3" s="182"/>
      <c r="C3" s="182"/>
      <c r="D3" s="38"/>
      <c r="E3" s="39"/>
      <c r="F3" s="135"/>
      <c r="G3" s="41"/>
      <c r="H3" s="106"/>
      <c r="I3" s="243" t="s">
        <v>81</v>
      </c>
      <c r="J3" s="244"/>
      <c r="K3" s="71">
        <f>COUNTIF($D$12:$D$137,"Y")</f>
        <v>0</v>
      </c>
      <c r="L3" s="71">
        <f>COUNTIF($D$12:$D$137,"Y")</f>
        <v>0</v>
      </c>
      <c r="M3" s="71">
        <f>COUNTIF($D$12:$D$137,"Y")</f>
        <v>0</v>
      </c>
      <c r="N3" s="71"/>
      <c r="O3" s="71">
        <f>COUNTIF($D$12:$D$137,"Y")</f>
        <v>0</v>
      </c>
      <c r="P3" s="87"/>
      <c r="Q3" s="123"/>
      <c r="R3" s="71">
        <f>COUNTIF($D$12:$D$137,"Y")</f>
        <v>0</v>
      </c>
      <c r="S3" s="87"/>
      <c r="T3" s="123"/>
      <c r="U3" s="71">
        <f>COUNTIF($D$12:$D$137,"Y")</f>
        <v>0</v>
      </c>
      <c r="V3" s="71"/>
      <c r="W3" s="45"/>
      <c r="X3" s="46"/>
      <c r="Y3" s="44"/>
      <c r="Z3" s="44"/>
    </row>
    <row r="4" spans="1:26" s="40" customFormat="1" ht="30" customHeight="1" thickBot="1">
      <c r="A4" s="189"/>
      <c r="B4" s="190"/>
      <c r="C4" s="190"/>
      <c r="D4" s="11"/>
      <c r="E4" s="39"/>
      <c r="F4" s="136"/>
      <c r="G4" s="202" t="s">
        <v>73</v>
      </c>
      <c r="H4" s="202"/>
      <c r="I4" s="243" t="s">
        <v>82</v>
      </c>
      <c r="J4" s="244"/>
      <c r="K4" s="70">
        <f>K2-K3</f>
        <v>0</v>
      </c>
      <c r="L4" s="70">
        <f>L2-L3</f>
        <v>0</v>
      </c>
      <c r="M4" s="70">
        <f>M2-M3</f>
        <v>0</v>
      </c>
      <c r="N4" s="70"/>
      <c r="O4" s="70">
        <f>O2-O3</f>
        <v>0</v>
      </c>
      <c r="P4" s="86"/>
      <c r="Q4" s="122"/>
      <c r="R4" s="70">
        <f>R2-R3</f>
        <v>0</v>
      </c>
      <c r="S4" s="86"/>
      <c r="T4" s="122"/>
      <c r="U4" s="70">
        <f>U2-U3</f>
        <v>0</v>
      </c>
      <c r="V4" s="70"/>
      <c r="W4" s="47"/>
      <c r="X4" s="48"/>
      <c r="Y4" s="44"/>
      <c r="Z4" s="44"/>
    </row>
    <row r="5" spans="1:26" s="40" customFormat="1" ht="30" customHeight="1" thickBot="1">
      <c r="A5" s="82"/>
      <c r="B5" s="68"/>
      <c r="C5" s="68" t="s">
        <v>74</v>
      </c>
      <c r="D5" s="113">
        <v>220905</v>
      </c>
      <c r="E5" s="39"/>
      <c r="F5" s="18"/>
      <c r="G5" s="51" t="s">
        <v>47</v>
      </c>
      <c r="H5" s="51" t="s">
        <v>48</v>
      </c>
      <c r="I5" s="243" t="s">
        <v>83</v>
      </c>
      <c r="J5" s="244"/>
      <c r="K5" s="71">
        <f>COUNTIF(K12:K137,"Yes")</f>
        <v>0</v>
      </c>
      <c r="L5" s="71">
        <f>COUNTIF(L12:L137,"Yes")</f>
        <v>0</v>
      </c>
      <c r="M5" s="71">
        <f>COUNTIF(M12:M137,"Yes")</f>
        <v>0</v>
      </c>
      <c r="N5" s="71"/>
      <c r="O5" s="71">
        <f>COUNTIF($N12:$N137,"Yes")</f>
        <v>0</v>
      </c>
      <c r="P5" s="87"/>
      <c r="Q5" s="123"/>
      <c r="R5" s="71">
        <f>COUNTIF($Q12:$Q137,"Yes")</f>
        <v>0</v>
      </c>
      <c r="S5" s="87"/>
      <c r="T5" s="123"/>
      <c r="U5" s="71">
        <f>COUNTIF($T12:$T137,"Yes")</f>
        <v>0</v>
      </c>
      <c r="V5" s="71"/>
      <c r="W5" s="49"/>
      <c r="X5" s="50"/>
      <c r="Y5" s="44"/>
      <c r="Z5" s="44"/>
    </row>
    <row r="6" spans="1:26" s="42" customFormat="1" ht="30" customHeight="1" thickBot="1">
      <c r="A6" s="198" t="s">
        <v>55</v>
      </c>
      <c r="B6" s="199"/>
      <c r="C6" s="191" t="s">
        <v>89</v>
      </c>
      <c r="D6" s="192"/>
      <c r="E6" s="193"/>
      <c r="F6" s="104"/>
      <c r="G6" s="56"/>
      <c r="H6" s="57"/>
      <c r="I6" s="243" t="s">
        <v>84</v>
      </c>
      <c r="J6" s="244"/>
      <c r="K6" s="72">
        <f>COUNTIF(K12:K137,"NC")</f>
        <v>0</v>
      </c>
      <c r="L6" s="72">
        <f>COUNTIF(L12:L137,"NC")</f>
        <v>0</v>
      </c>
      <c r="M6" s="72">
        <f>COUNTIF(M12:M137,"NC")</f>
        <v>0</v>
      </c>
      <c r="N6" s="72"/>
      <c r="O6" s="72">
        <f>COUNTIF($N12:$N137,"NC")</f>
        <v>0</v>
      </c>
      <c r="P6" s="88"/>
      <c r="Q6" s="124"/>
      <c r="R6" s="72">
        <f>COUNTIF($Q12:$Q137,"NC")</f>
        <v>0</v>
      </c>
      <c r="S6" s="88"/>
      <c r="T6" s="124"/>
      <c r="U6" s="72">
        <f>COUNTIF($T12:$T137,"NC")</f>
        <v>0</v>
      </c>
      <c r="V6" s="72"/>
      <c r="W6" s="49"/>
      <c r="X6" s="50"/>
      <c r="Y6" s="44"/>
      <c r="Z6" s="44"/>
    </row>
    <row r="7" spans="1:26" s="1" customFormat="1" ht="36.75" customHeight="1">
      <c r="A7" s="217"/>
      <c r="B7" s="218"/>
      <c r="C7" s="218"/>
      <c r="D7" s="219"/>
      <c r="E7" s="194" t="s">
        <v>9</v>
      </c>
      <c r="F7" s="196" t="s">
        <v>9</v>
      </c>
      <c r="G7" s="194" t="s">
        <v>1</v>
      </c>
      <c r="H7" s="195" t="s">
        <v>2</v>
      </c>
      <c r="I7" s="248" t="s">
        <v>46</v>
      </c>
      <c r="J7" s="211"/>
      <c r="K7" s="212"/>
      <c r="L7" s="212"/>
      <c r="M7" s="213"/>
      <c r="N7" s="52">
        <v>0.9</v>
      </c>
      <c r="O7" s="53" t="s">
        <v>53</v>
      </c>
      <c r="P7" s="89">
        <v>1.1000000000000001</v>
      </c>
      <c r="Q7" s="90">
        <v>0.9</v>
      </c>
      <c r="R7" s="53" t="s">
        <v>53</v>
      </c>
      <c r="S7" s="89">
        <v>1.1000000000000001</v>
      </c>
      <c r="T7" s="90">
        <v>0.9</v>
      </c>
      <c r="U7" s="53" t="s">
        <v>53</v>
      </c>
      <c r="V7" s="52">
        <v>1.1000000000000001</v>
      </c>
      <c r="W7" s="223" t="s">
        <v>58</v>
      </c>
      <c r="X7" s="203" t="s">
        <v>57</v>
      </c>
      <c r="Y7" s="203" t="s">
        <v>57</v>
      </c>
      <c r="Z7" s="203" t="s">
        <v>57</v>
      </c>
    </row>
    <row r="8" spans="1:26" s="1" customFormat="1" ht="23.25" customHeight="1">
      <c r="A8" s="220"/>
      <c r="B8" s="221"/>
      <c r="C8" s="221"/>
      <c r="D8" s="222"/>
      <c r="E8" s="195"/>
      <c r="F8" s="197"/>
      <c r="G8" s="195"/>
      <c r="H8" s="195"/>
      <c r="I8" s="248"/>
      <c r="J8" s="214"/>
      <c r="K8" s="215"/>
      <c r="L8" s="215"/>
      <c r="M8" s="216"/>
      <c r="N8" s="114" t="str">
        <f>IF($O8="","",($O$8*0.9))</f>
        <v/>
      </c>
      <c r="O8" s="115" t="str">
        <f>IF($F11=0,"",$G$11/$F$11)</f>
        <v/>
      </c>
      <c r="P8" s="116" t="str">
        <f>IF(O8="","",($O$8*1.1))</f>
        <v/>
      </c>
      <c r="Q8" s="117" t="str">
        <f>IF($R$8="","",($R$8*0.9))</f>
        <v/>
      </c>
      <c r="R8" s="115" t="str">
        <f>IF($F11=0,"",$H$11/$F$11)</f>
        <v/>
      </c>
      <c r="S8" s="116" t="str">
        <f>IF($R$8="","",($R$8*1.1))</f>
        <v/>
      </c>
      <c r="T8" s="118" t="str">
        <f>IF($U8="","",($U$8*0.9))</f>
        <v/>
      </c>
      <c r="U8" s="119" t="str">
        <f>IF($F11=0,"",$F$11/$I$11)</f>
        <v/>
      </c>
      <c r="V8" s="120" t="str">
        <f>IF(U8="","",($U$8*1.1))</f>
        <v/>
      </c>
      <c r="W8" s="224"/>
      <c r="X8" s="204"/>
      <c r="Y8" s="204"/>
      <c r="Z8" s="204"/>
    </row>
    <row r="9" spans="1:26" s="6" customFormat="1" ht="16.5" customHeight="1" thickBot="1">
      <c r="A9" s="209" t="s">
        <v>50</v>
      </c>
      <c r="B9" s="207" t="s">
        <v>51</v>
      </c>
      <c r="C9" s="183" t="s">
        <v>0</v>
      </c>
      <c r="D9" s="187" t="s">
        <v>85</v>
      </c>
      <c r="E9" s="231" t="s">
        <v>49</v>
      </c>
      <c r="F9" s="185" t="s">
        <v>59</v>
      </c>
      <c r="G9" s="231" t="s">
        <v>60</v>
      </c>
      <c r="H9" s="233" t="s">
        <v>86</v>
      </c>
      <c r="I9" s="233" t="s">
        <v>61</v>
      </c>
      <c r="J9" s="98"/>
      <c r="K9" s="85" t="s">
        <v>3</v>
      </c>
      <c r="L9" s="85" t="s">
        <v>4</v>
      </c>
      <c r="M9" s="85" t="s">
        <v>5</v>
      </c>
      <c r="N9" s="229" t="s">
        <v>6</v>
      </c>
      <c r="O9" s="229"/>
      <c r="P9" s="230"/>
      <c r="Q9" s="240" t="s">
        <v>7</v>
      </c>
      <c r="R9" s="206"/>
      <c r="S9" s="241"/>
      <c r="T9" s="205" t="s">
        <v>8</v>
      </c>
      <c r="U9" s="206"/>
      <c r="V9" s="206"/>
      <c r="W9" s="236" t="s">
        <v>68</v>
      </c>
      <c r="X9" s="238" t="s">
        <v>69</v>
      </c>
      <c r="Y9" s="238" t="s">
        <v>70</v>
      </c>
      <c r="Z9" s="227" t="s">
        <v>71</v>
      </c>
    </row>
    <row r="10" spans="1:26" s="6" customFormat="1" ht="102.75" customHeight="1">
      <c r="A10" s="210"/>
      <c r="B10" s="208"/>
      <c r="C10" s="184"/>
      <c r="D10" s="188"/>
      <c r="E10" s="242"/>
      <c r="F10" s="186"/>
      <c r="G10" s="232"/>
      <c r="H10" s="234"/>
      <c r="I10" s="235"/>
      <c r="J10" s="99"/>
      <c r="K10" s="85" t="s">
        <v>62</v>
      </c>
      <c r="L10" s="85" t="s">
        <v>63</v>
      </c>
      <c r="M10" s="85" t="s">
        <v>64</v>
      </c>
      <c r="N10" s="30" t="s">
        <v>52</v>
      </c>
      <c r="O10" s="83" t="s">
        <v>65</v>
      </c>
      <c r="P10" s="29" t="s">
        <v>56</v>
      </c>
      <c r="Q10" s="30" t="s">
        <v>52</v>
      </c>
      <c r="R10" s="83" t="s">
        <v>66</v>
      </c>
      <c r="S10" s="31" t="s">
        <v>56</v>
      </c>
      <c r="T10" s="28" t="s">
        <v>52</v>
      </c>
      <c r="U10" s="83" t="s">
        <v>67</v>
      </c>
      <c r="V10" s="83" t="s">
        <v>56</v>
      </c>
      <c r="W10" s="237"/>
      <c r="X10" s="239"/>
      <c r="Y10" s="239"/>
      <c r="Z10" s="228"/>
    </row>
    <row r="11" spans="1:26" s="14" customFormat="1" ht="16.5" customHeight="1" thickBot="1">
      <c r="A11" s="141"/>
      <c r="B11" s="74"/>
      <c r="C11" s="141" t="s">
        <v>88</v>
      </c>
      <c r="D11" s="74"/>
      <c r="E11" s="58">
        <f>SUM($E12:$E137)</f>
        <v>0</v>
      </c>
      <c r="F11" s="58">
        <f>SUM($F12:$F137)</f>
        <v>0</v>
      </c>
      <c r="G11" s="121">
        <f>SUM($G12:$G137)</f>
        <v>0</v>
      </c>
      <c r="H11" s="59">
        <f>SUM($H12:$H137)</f>
        <v>0</v>
      </c>
      <c r="I11" s="59">
        <f>SUM(I12:I137)</f>
        <v>0</v>
      </c>
      <c r="J11" s="100"/>
      <c r="K11" s="59" t="e">
        <f>IF( $D$5="","",SUM($X12:$X136)/SUM($W12:$W136)*0.9)</f>
        <v>#DIV/0!</v>
      </c>
      <c r="L11" s="59" t="e">
        <f>IF( $D$5="","",SUM($Y12:$Y136)/SUM($W12:$W136)*0.9)</f>
        <v>#DIV/0!</v>
      </c>
      <c r="M11" s="59" t="e">
        <f>IF( $D$5="","",SUM($W12:$W136)/SUM($Z12:$Z136)*1.1)</f>
        <v>#DIV/0!</v>
      </c>
      <c r="N11" s="60"/>
      <c r="O11" s="60" t="e">
        <f>IF( $D$5="","",AVERAGE(O12:O136))</f>
        <v>#DIV/0!</v>
      </c>
      <c r="P11" s="91"/>
      <c r="Q11" s="92"/>
      <c r="R11" s="92" t="e">
        <f>IF($D$5="","",AVERAGE(R12:R136))</f>
        <v>#DIV/0!</v>
      </c>
      <c r="S11" s="91"/>
      <c r="T11" s="92"/>
      <c r="U11" s="60" t="e">
        <f>IF($D$5="","",AVERAGE(U12:U136))</f>
        <v>#DIV/0!</v>
      </c>
      <c r="V11" s="60"/>
      <c r="W11" s="77">
        <f>SUM($W$12:$W$136)</f>
        <v>0</v>
      </c>
      <c r="X11" s="59">
        <f>SUM($X$12:$X$136)</f>
        <v>0</v>
      </c>
      <c r="Y11" s="59">
        <f>SUM($Y$12:$Y$136)</f>
        <v>0</v>
      </c>
      <c r="Z11" s="59">
        <f>SUM($Z$12:$Z$136)</f>
        <v>0</v>
      </c>
    </row>
    <row r="12" spans="1:26" s="12" customFormat="1" ht="17.25" customHeight="1">
      <c r="A12" s="103">
        <v>1</v>
      </c>
      <c r="B12" s="125"/>
      <c r="C12" s="140"/>
      <c r="D12" s="126"/>
      <c r="E12" s="95"/>
      <c r="F12" s="95"/>
      <c r="G12" s="127"/>
      <c r="H12" s="133"/>
      <c r="I12" s="129"/>
      <c r="J12" s="97"/>
      <c r="K12" s="62" t="str">
        <f t="shared" ref="K12:K43" si="0">IF($X$11=0,"",IF(D12="","",IF($G12="","",IF($F12="","",IF($G12/$F12&gt;=$K$11,"yes","NC")))))</f>
        <v/>
      </c>
      <c r="L12" s="62" t="str">
        <f t="shared" ref="L12:L43" si="1">IF($Y$11=0,"",IF($D12="","",IF($H12="","",IF($H12="","",IF($H12/$F12&gt;=$L$11,"yes","NC")))))</f>
        <v/>
      </c>
      <c r="M12" s="62" t="str">
        <f t="shared" ref="M12:M43" si="2">IF($Z$11=0,"",IF($D12="","",IF($I12="","",IF($I12="","",IF($F12/$I12&lt;=$M$11,"yes","NC")))))</f>
        <v/>
      </c>
      <c r="N12" s="63" t="str">
        <f t="shared" ref="N12:N43" si="3">IF($D12="","",IF($O$8="","",IF(OR($O12&lt;$N$8,$O12&gt;$P$8),"NC","yes")))</f>
        <v/>
      </c>
      <c r="O12" s="64" t="str">
        <f>IF($D12="","",$G12/$F12)</f>
        <v/>
      </c>
      <c r="P12" s="93" t="str">
        <f t="shared" ref="P12:P43" si="4">IF($D12=0,"",IF(N12="yes",($O12/$O$8),IF(OR($O12&lt;$N$8,$O12&gt;$P$8),($O12/$O$8))))</f>
        <v/>
      </c>
      <c r="Q12" s="94" t="str">
        <f t="shared" ref="Q12:Q43" si="5">IF($D12="","",IF($R$8="","",IF(OR($R12&lt;$Q$8,$R12&gt;$S$8),"NC","yes")))</f>
        <v/>
      </c>
      <c r="R12" s="64" t="str">
        <f t="shared" ref="R12:R43" si="6">IF($D12="","",$H12/$F12)</f>
        <v/>
      </c>
      <c r="S12" s="93" t="str">
        <f t="shared" ref="S12:S43" si="7">IF($D12=0,"",IF(Q12="yes",($R12/$R$8),IF(OR($R12&gt;$Q$8,$R12&lt;$S$8),($R12/$R$8))))</f>
        <v/>
      </c>
      <c r="T12" s="94" t="str">
        <f t="shared" ref="T12:T43" si="8">IF($D12="","",IF($U$8="","",IF(OR($U12&lt;$T$8,U12&gt;$V$8),"NC","yes")))</f>
        <v/>
      </c>
      <c r="U12" s="64" t="str">
        <f t="shared" ref="U12:U43" si="9">IF($D12="","",$F12/$I12)</f>
        <v/>
      </c>
      <c r="V12" s="65" t="str">
        <f t="shared" ref="V12:V43" si="10">IF($D12="","",IF(T12="yes",(U12/U$8),IF(OR(U12&lt;$T$8,U12&gt;V$8),(U12/U$8))))</f>
        <v/>
      </c>
      <c r="W12" s="78" t="str">
        <f t="shared" ref="W12:W43" si="11">IF(C12="","",IF($D12="",$F12,""))</f>
        <v/>
      </c>
      <c r="X12" s="66" t="str">
        <f t="shared" ref="X12:X43" si="12">IF($C12="","",IF($D12="",$G12,""))</f>
        <v/>
      </c>
      <c r="Y12" s="66" t="str">
        <f t="shared" ref="Y12:Y43" si="13">IF($C12="","",IF($D12="",$H12,""))</f>
        <v/>
      </c>
      <c r="Z12" s="67" t="str">
        <f t="shared" ref="Z12:Z43" si="14">IF($C12="","",IF($D12="",I12,""))</f>
        <v/>
      </c>
    </row>
    <row r="13" spans="1:26" s="12" customFormat="1" ht="17.25" customHeight="1">
      <c r="A13" s="84">
        <v>2</v>
      </c>
      <c r="B13" s="130"/>
      <c r="C13" s="130"/>
      <c r="D13" s="131"/>
      <c r="E13" s="96"/>
      <c r="F13" s="96"/>
      <c r="G13" s="132"/>
      <c r="H13" s="133"/>
      <c r="I13" s="134"/>
      <c r="J13" s="97"/>
      <c r="K13" s="62" t="str">
        <f t="shared" si="0"/>
        <v/>
      </c>
      <c r="L13" s="62" t="str">
        <f t="shared" si="1"/>
        <v/>
      </c>
      <c r="M13" s="62" t="str">
        <f t="shared" si="2"/>
        <v/>
      </c>
      <c r="N13" s="63" t="str">
        <f t="shared" si="3"/>
        <v/>
      </c>
      <c r="O13" s="64" t="str">
        <f t="shared" ref="O13:O44" si="15">IF($D13="","",G13/$F13)</f>
        <v/>
      </c>
      <c r="P13" s="93" t="str">
        <f t="shared" si="4"/>
        <v/>
      </c>
      <c r="Q13" s="94" t="str">
        <f t="shared" si="5"/>
        <v/>
      </c>
      <c r="R13" s="64" t="str">
        <f t="shared" si="6"/>
        <v/>
      </c>
      <c r="S13" s="93" t="str">
        <f t="shared" si="7"/>
        <v/>
      </c>
      <c r="T13" s="94" t="str">
        <f t="shared" si="8"/>
        <v/>
      </c>
      <c r="U13" s="64" t="str">
        <f t="shared" si="9"/>
        <v/>
      </c>
      <c r="V13" s="65" t="str">
        <f t="shared" si="10"/>
        <v/>
      </c>
      <c r="W13" s="78" t="str">
        <f t="shared" si="11"/>
        <v/>
      </c>
      <c r="X13" s="66" t="str">
        <f t="shared" si="12"/>
        <v/>
      </c>
      <c r="Y13" s="66" t="str">
        <f t="shared" si="13"/>
        <v/>
      </c>
      <c r="Z13" s="67" t="str">
        <f t="shared" si="14"/>
        <v/>
      </c>
    </row>
    <row r="14" spans="1:26" s="12" customFormat="1" ht="17.25" customHeight="1">
      <c r="A14" s="84">
        <v>3</v>
      </c>
      <c r="B14" s="130"/>
      <c r="C14" s="130"/>
      <c r="D14" s="131"/>
      <c r="E14" s="96"/>
      <c r="F14" s="96"/>
      <c r="G14" s="132"/>
      <c r="H14" s="133"/>
      <c r="I14" s="134"/>
      <c r="J14" s="97"/>
      <c r="K14" s="62" t="str">
        <f t="shared" si="0"/>
        <v/>
      </c>
      <c r="L14" s="62" t="str">
        <f t="shared" si="1"/>
        <v/>
      </c>
      <c r="M14" s="62" t="str">
        <f t="shared" si="2"/>
        <v/>
      </c>
      <c r="N14" s="63" t="str">
        <f t="shared" si="3"/>
        <v/>
      </c>
      <c r="O14" s="64" t="str">
        <f t="shared" si="15"/>
        <v/>
      </c>
      <c r="P14" s="93" t="str">
        <f t="shared" si="4"/>
        <v/>
      </c>
      <c r="Q14" s="94" t="str">
        <f t="shared" si="5"/>
        <v/>
      </c>
      <c r="R14" s="64" t="str">
        <f t="shared" si="6"/>
        <v/>
      </c>
      <c r="S14" s="93" t="str">
        <f t="shared" si="7"/>
        <v/>
      </c>
      <c r="T14" s="94" t="str">
        <f t="shared" si="8"/>
        <v/>
      </c>
      <c r="U14" s="64" t="str">
        <f t="shared" si="9"/>
        <v/>
      </c>
      <c r="V14" s="65" t="str">
        <f t="shared" si="10"/>
        <v/>
      </c>
      <c r="W14" s="78" t="str">
        <f t="shared" si="11"/>
        <v/>
      </c>
      <c r="X14" s="66" t="str">
        <f t="shared" si="12"/>
        <v/>
      </c>
      <c r="Y14" s="66" t="str">
        <f t="shared" si="13"/>
        <v/>
      </c>
      <c r="Z14" s="67" t="str">
        <f t="shared" si="14"/>
        <v/>
      </c>
    </row>
    <row r="15" spans="1:26" s="12" customFormat="1" ht="17.25" customHeight="1">
      <c r="A15" s="84">
        <v>4</v>
      </c>
      <c r="B15" s="130"/>
      <c r="C15" s="130"/>
      <c r="D15" s="131"/>
      <c r="E15" s="96"/>
      <c r="F15" s="96"/>
      <c r="G15" s="132"/>
      <c r="H15" s="133"/>
      <c r="I15" s="134"/>
      <c r="J15" s="97"/>
      <c r="K15" s="62" t="str">
        <f t="shared" si="0"/>
        <v/>
      </c>
      <c r="L15" s="62" t="str">
        <f t="shared" si="1"/>
        <v/>
      </c>
      <c r="M15" s="62" t="str">
        <f t="shared" si="2"/>
        <v/>
      </c>
      <c r="N15" s="63" t="str">
        <f t="shared" si="3"/>
        <v/>
      </c>
      <c r="O15" s="64" t="str">
        <f t="shared" si="15"/>
        <v/>
      </c>
      <c r="P15" s="93" t="str">
        <f t="shared" si="4"/>
        <v/>
      </c>
      <c r="Q15" s="94" t="str">
        <f t="shared" si="5"/>
        <v/>
      </c>
      <c r="R15" s="64" t="str">
        <f t="shared" si="6"/>
        <v/>
      </c>
      <c r="S15" s="93" t="str">
        <f t="shared" si="7"/>
        <v/>
      </c>
      <c r="T15" s="94" t="str">
        <f t="shared" si="8"/>
        <v/>
      </c>
      <c r="U15" s="64" t="str">
        <f t="shared" si="9"/>
        <v/>
      </c>
      <c r="V15" s="65" t="str">
        <f t="shared" si="10"/>
        <v/>
      </c>
      <c r="W15" s="78" t="str">
        <f t="shared" si="11"/>
        <v/>
      </c>
      <c r="X15" s="66" t="str">
        <f t="shared" si="12"/>
        <v/>
      </c>
      <c r="Y15" s="66" t="str">
        <f t="shared" si="13"/>
        <v/>
      </c>
      <c r="Z15" s="67" t="str">
        <f t="shared" si="14"/>
        <v/>
      </c>
    </row>
    <row r="16" spans="1:26" s="5" customFormat="1" ht="17.25" customHeight="1">
      <c r="A16" s="84">
        <v>5</v>
      </c>
      <c r="B16" s="130"/>
      <c r="C16" s="130"/>
      <c r="D16" s="131"/>
      <c r="E16" s="96"/>
      <c r="F16" s="96"/>
      <c r="G16" s="132"/>
      <c r="H16" s="133"/>
      <c r="I16" s="134"/>
      <c r="J16" s="97"/>
      <c r="K16" s="62" t="str">
        <f t="shared" si="0"/>
        <v/>
      </c>
      <c r="L16" s="62" t="str">
        <f t="shared" si="1"/>
        <v/>
      </c>
      <c r="M16" s="62" t="str">
        <f t="shared" si="2"/>
        <v/>
      </c>
      <c r="N16" s="63" t="str">
        <f t="shared" si="3"/>
        <v/>
      </c>
      <c r="O16" s="64" t="str">
        <f t="shared" si="15"/>
        <v/>
      </c>
      <c r="P16" s="93" t="str">
        <f t="shared" si="4"/>
        <v/>
      </c>
      <c r="Q16" s="94" t="str">
        <f t="shared" si="5"/>
        <v/>
      </c>
      <c r="R16" s="64" t="str">
        <f t="shared" si="6"/>
        <v/>
      </c>
      <c r="S16" s="93" t="str">
        <f t="shared" si="7"/>
        <v/>
      </c>
      <c r="T16" s="94" t="str">
        <f t="shared" si="8"/>
        <v/>
      </c>
      <c r="U16" s="64" t="str">
        <f t="shared" si="9"/>
        <v/>
      </c>
      <c r="V16" s="65" t="str">
        <f t="shared" si="10"/>
        <v/>
      </c>
      <c r="W16" s="78" t="str">
        <f t="shared" si="11"/>
        <v/>
      </c>
      <c r="X16" s="66" t="str">
        <f t="shared" si="12"/>
        <v/>
      </c>
      <c r="Y16" s="66" t="str">
        <f t="shared" si="13"/>
        <v/>
      </c>
      <c r="Z16" s="67" t="str">
        <f t="shared" si="14"/>
        <v/>
      </c>
    </row>
    <row r="17" spans="1:26" s="5" customFormat="1" ht="17.25" customHeight="1">
      <c r="A17" s="84">
        <v>6</v>
      </c>
      <c r="B17" s="130"/>
      <c r="C17" s="130"/>
      <c r="D17" s="131"/>
      <c r="E17" s="96"/>
      <c r="F17" s="96"/>
      <c r="G17" s="132"/>
      <c r="H17" s="133"/>
      <c r="I17" s="134"/>
      <c r="J17" s="97"/>
      <c r="K17" s="62" t="str">
        <f t="shared" si="0"/>
        <v/>
      </c>
      <c r="L17" s="62" t="str">
        <f t="shared" si="1"/>
        <v/>
      </c>
      <c r="M17" s="62" t="str">
        <f t="shared" si="2"/>
        <v/>
      </c>
      <c r="N17" s="63" t="str">
        <f t="shared" si="3"/>
        <v/>
      </c>
      <c r="O17" s="64" t="str">
        <f t="shared" si="15"/>
        <v/>
      </c>
      <c r="P17" s="93" t="str">
        <f t="shared" si="4"/>
        <v/>
      </c>
      <c r="Q17" s="94" t="str">
        <f t="shared" si="5"/>
        <v/>
      </c>
      <c r="R17" s="64" t="str">
        <f t="shared" si="6"/>
        <v/>
      </c>
      <c r="S17" s="93" t="str">
        <f t="shared" si="7"/>
        <v/>
      </c>
      <c r="T17" s="94" t="str">
        <f t="shared" si="8"/>
        <v/>
      </c>
      <c r="U17" s="64" t="str">
        <f t="shared" si="9"/>
        <v/>
      </c>
      <c r="V17" s="65" t="str">
        <f t="shared" si="10"/>
        <v/>
      </c>
      <c r="W17" s="78" t="str">
        <f t="shared" si="11"/>
        <v/>
      </c>
      <c r="X17" s="66" t="str">
        <f t="shared" si="12"/>
        <v/>
      </c>
      <c r="Y17" s="66" t="str">
        <f t="shared" si="13"/>
        <v/>
      </c>
      <c r="Z17" s="67" t="str">
        <f t="shared" si="14"/>
        <v/>
      </c>
    </row>
    <row r="18" spans="1:26" s="5" customFormat="1" ht="17.25" customHeight="1">
      <c r="A18" s="84">
        <v>7</v>
      </c>
      <c r="B18" s="130"/>
      <c r="C18" s="130"/>
      <c r="D18" s="131"/>
      <c r="E18" s="96"/>
      <c r="F18" s="96"/>
      <c r="G18" s="132"/>
      <c r="H18" s="133"/>
      <c r="I18" s="134"/>
      <c r="J18" s="97"/>
      <c r="K18" s="62" t="str">
        <f t="shared" si="0"/>
        <v/>
      </c>
      <c r="L18" s="62" t="str">
        <f t="shared" si="1"/>
        <v/>
      </c>
      <c r="M18" s="62" t="str">
        <f t="shared" si="2"/>
        <v/>
      </c>
      <c r="N18" s="63" t="str">
        <f t="shared" si="3"/>
        <v/>
      </c>
      <c r="O18" s="64" t="str">
        <f t="shared" si="15"/>
        <v/>
      </c>
      <c r="P18" s="93" t="str">
        <f t="shared" si="4"/>
        <v/>
      </c>
      <c r="Q18" s="94" t="str">
        <f t="shared" si="5"/>
        <v/>
      </c>
      <c r="R18" s="64" t="str">
        <f t="shared" si="6"/>
        <v/>
      </c>
      <c r="S18" s="93" t="str">
        <f t="shared" si="7"/>
        <v/>
      </c>
      <c r="T18" s="94" t="str">
        <f t="shared" si="8"/>
        <v/>
      </c>
      <c r="U18" s="64" t="str">
        <f t="shared" si="9"/>
        <v/>
      </c>
      <c r="V18" s="65" t="str">
        <f t="shared" si="10"/>
        <v/>
      </c>
      <c r="W18" s="78" t="str">
        <f t="shared" si="11"/>
        <v/>
      </c>
      <c r="X18" s="66" t="str">
        <f t="shared" si="12"/>
        <v/>
      </c>
      <c r="Y18" s="66" t="str">
        <f t="shared" si="13"/>
        <v/>
      </c>
      <c r="Z18" s="67" t="str">
        <f t="shared" si="14"/>
        <v/>
      </c>
    </row>
    <row r="19" spans="1:26" s="5" customFormat="1" ht="17.25" customHeight="1">
      <c r="A19" s="84">
        <v>8</v>
      </c>
      <c r="B19" s="130"/>
      <c r="C19" s="130"/>
      <c r="D19" s="131"/>
      <c r="E19" s="96"/>
      <c r="F19" s="96"/>
      <c r="G19" s="132"/>
      <c r="H19" s="133"/>
      <c r="I19" s="134"/>
      <c r="J19" s="97"/>
      <c r="K19" s="62" t="str">
        <f t="shared" si="0"/>
        <v/>
      </c>
      <c r="L19" s="62" t="str">
        <f t="shared" si="1"/>
        <v/>
      </c>
      <c r="M19" s="62" t="str">
        <f t="shared" si="2"/>
        <v/>
      </c>
      <c r="N19" s="63" t="str">
        <f t="shared" si="3"/>
        <v/>
      </c>
      <c r="O19" s="64" t="str">
        <f t="shared" si="15"/>
        <v/>
      </c>
      <c r="P19" s="93" t="str">
        <f t="shared" si="4"/>
        <v/>
      </c>
      <c r="Q19" s="94" t="str">
        <f t="shared" si="5"/>
        <v/>
      </c>
      <c r="R19" s="64" t="str">
        <f t="shared" si="6"/>
        <v/>
      </c>
      <c r="S19" s="93" t="str">
        <f t="shared" si="7"/>
        <v/>
      </c>
      <c r="T19" s="94" t="str">
        <f t="shared" si="8"/>
        <v/>
      </c>
      <c r="U19" s="64" t="str">
        <f t="shared" si="9"/>
        <v/>
      </c>
      <c r="V19" s="65" t="str">
        <f t="shared" si="10"/>
        <v/>
      </c>
      <c r="W19" s="78" t="str">
        <f t="shared" si="11"/>
        <v/>
      </c>
      <c r="X19" s="66" t="str">
        <f t="shared" si="12"/>
        <v/>
      </c>
      <c r="Y19" s="66" t="str">
        <f t="shared" si="13"/>
        <v/>
      </c>
      <c r="Z19" s="67" t="str">
        <f t="shared" si="14"/>
        <v/>
      </c>
    </row>
    <row r="20" spans="1:26" s="5" customFormat="1" ht="17.25" customHeight="1">
      <c r="A20" s="84">
        <v>9</v>
      </c>
      <c r="B20" s="130"/>
      <c r="C20" s="130"/>
      <c r="D20" s="131"/>
      <c r="E20" s="96"/>
      <c r="F20" s="96"/>
      <c r="G20" s="132"/>
      <c r="H20" s="133"/>
      <c r="I20" s="134"/>
      <c r="J20" s="97"/>
      <c r="K20" s="62" t="str">
        <f t="shared" si="0"/>
        <v/>
      </c>
      <c r="L20" s="62" t="str">
        <f t="shared" si="1"/>
        <v/>
      </c>
      <c r="M20" s="62" t="str">
        <f t="shared" si="2"/>
        <v/>
      </c>
      <c r="N20" s="63" t="str">
        <f t="shared" si="3"/>
        <v/>
      </c>
      <c r="O20" s="64" t="str">
        <f t="shared" si="15"/>
        <v/>
      </c>
      <c r="P20" s="93" t="str">
        <f t="shared" si="4"/>
        <v/>
      </c>
      <c r="Q20" s="94" t="str">
        <f t="shared" si="5"/>
        <v/>
      </c>
      <c r="R20" s="64" t="str">
        <f t="shared" si="6"/>
        <v/>
      </c>
      <c r="S20" s="93" t="str">
        <f t="shared" si="7"/>
        <v/>
      </c>
      <c r="T20" s="94" t="str">
        <f t="shared" si="8"/>
        <v/>
      </c>
      <c r="U20" s="64" t="str">
        <f t="shared" si="9"/>
        <v/>
      </c>
      <c r="V20" s="65" t="str">
        <f t="shared" si="10"/>
        <v/>
      </c>
      <c r="W20" s="78" t="str">
        <f t="shared" si="11"/>
        <v/>
      </c>
      <c r="X20" s="66" t="str">
        <f t="shared" si="12"/>
        <v/>
      </c>
      <c r="Y20" s="66" t="str">
        <f t="shared" si="13"/>
        <v/>
      </c>
      <c r="Z20" s="67" t="str">
        <f t="shared" si="14"/>
        <v/>
      </c>
    </row>
    <row r="21" spans="1:26" s="5" customFormat="1" ht="17.25" customHeight="1">
      <c r="A21" s="84">
        <v>10</v>
      </c>
      <c r="B21" s="130"/>
      <c r="C21" s="130"/>
      <c r="D21" s="131"/>
      <c r="E21" s="96"/>
      <c r="F21" s="96"/>
      <c r="G21" s="132"/>
      <c r="H21" s="133"/>
      <c r="I21" s="134"/>
      <c r="J21" s="97"/>
      <c r="K21" s="62" t="str">
        <f t="shared" si="0"/>
        <v/>
      </c>
      <c r="L21" s="62" t="str">
        <f t="shared" si="1"/>
        <v/>
      </c>
      <c r="M21" s="62" t="str">
        <f t="shared" si="2"/>
        <v/>
      </c>
      <c r="N21" s="63" t="str">
        <f t="shared" si="3"/>
        <v/>
      </c>
      <c r="O21" s="64" t="str">
        <f t="shared" si="15"/>
        <v/>
      </c>
      <c r="P21" s="93" t="str">
        <f t="shared" si="4"/>
        <v/>
      </c>
      <c r="Q21" s="94" t="str">
        <f t="shared" si="5"/>
        <v/>
      </c>
      <c r="R21" s="64" t="str">
        <f t="shared" si="6"/>
        <v/>
      </c>
      <c r="S21" s="93" t="str">
        <f t="shared" si="7"/>
        <v/>
      </c>
      <c r="T21" s="94" t="str">
        <f t="shared" si="8"/>
        <v/>
      </c>
      <c r="U21" s="64" t="str">
        <f t="shared" si="9"/>
        <v/>
      </c>
      <c r="V21" s="65" t="str">
        <f t="shared" si="10"/>
        <v/>
      </c>
      <c r="W21" s="78" t="str">
        <f t="shared" si="11"/>
        <v/>
      </c>
      <c r="X21" s="66" t="str">
        <f t="shared" si="12"/>
        <v/>
      </c>
      <c r="Y21" s="66" t="str">
        <f t="shared" si="13"/>
        <v/>
      </c>
      <c r="Z21" s="67" t="str">
        <f t="shared" si="14"/>
        <v/>
      </c>
    </row>
    <row r="22" spans="1:26" s="5" customFormat="1" ht="17.25" customHeight="1">
      <c r="A22" s="84">
        <v>11</v>
      </c>
      <c r="B22" s="130"/>
      <c r="C22" s="130"/>
      <c r="D22" s="131"/>
      <c r="E22" s="96"/>
      <c r="F22" s="96"/>
      <c r="G22" s="132"/>
      <c r="H22" s="133"/>
      <c r="I22" s="134"/>
      <c r="J22" s="97"/>
      <c r="K22" s="62" t="str">
        <f t="shared" si="0"/>
        <v/>
      </c>
      <c r="L22" s="62" t="str">
        <f t="shared" si="1"/>
        <v/>
      </c>
      <c r="M22" s="62" t="str">
        <f t="shared" si="2"/>
        <v/>
      </c>
      <c r="N22" s="63" t="str">
        <f t="shared" si="3"/>
        <v/>
      </c>
      <c r="O22" s="64" t="str">
        <f t="shared" si="15"/>
        <v/>
      </c>
      <c r="P22" s="93" t="str">
        <f t="shared" si="4"/>
        <v/>
      </c>
      <c r="Q22" s="94" t="str">
        <f t="shared" si="5"/>
        <v/>
      </c>
      <c r="R22" s="64" t="str">
        <f t="shared" si="6"/>
        <v/>
      </c>
      <c r="S22" s="93" t="str">
        <f t="shared" si="7"/>
        <v/>
      </c>
      <c r="T22" s="94" t="str">
        <f t="shared" si="8"/>
        <v/>
      </c>
      <c r="U22" s="64" t="str">
        <f t="shared" si="9"/>
        <v/>
      </c>
      <c r="V22" s="65" t="str">
        <f t="shared" si="10"/>
        <v/>
      </c>
      <c r="W22" s="78" t="str">
        <f t="shared" si="11"/>
        <v/>
      </c>
      <c r="X22" s="66" t="str">
        <f t="shared" si="12"/>
        <v/>
      </c>
      <c r="Y22" s="66" t="str">
        <f t="shared" si="13"/>
        <v/>
      </c>
      <c r="Z22" s="67" t="str">
        <f t="shared" si="14"/>
        <v/>
      </c>
    </row>
    <row r="23" spans="1:26" s="5" customFormat="1" ht="17.25" customHeight="1">
      <c r="A23" s="84">
        <v>12</v>
      </c>
      <c r="B23" s="130"/>
      <c r="C23" s="130"/>
      <c r="D23" s="131"/>
      <c r="E23" s="96"/>
      <c r="F23" s="96"/>
      <c r="G23" s="132"/>
      <c r="H23" s="133"/>
      <c r="I23" s="134"/>
      <c r="J23" s="97"/>
      <c r="K23" s="62" t="str">
        <f t="shared" si="0"/>
        <v/>
      </c>
      <c r="L23" s="62" t="str">
        <f t="shared" si="1"/>
        <v/>
      </c>
      <c r="M23" s="62" t="str">
        <f t="shared" si="2"/>
        <v/>
      </c>
      <c r="N23" s="63" t="str">
        <f t="shared" si="3"/>
        <v/>
      </c>
      <c r="O23" s="64" t="str">
        <f t="shared" si="15"/>
        <v/>
      </c>
      <c r="P23" s="93" t="str">
        <f t="shared" si="4"/>
        <v/>
      </c>
      <c r="Q23" s="94" t="str">
        <f t="shared" si="5"/>
        <v/>
      </c>
      <c r="R23" s="64" t="str">
        <f t="shared" si="6"/>
        <v/>
      </c>
      <c r="S23" s="93" t="str">
        <f t="shared" si="7"/>
        <v/>
      </c>
      <c r="T23" s="94" t="str">
        <f t="shared" si="8"/>
        <v/>
      </c>
      <c r="U23" s="64" t="str">
        <f t="shared" si="9"/>
        <v/>
      </c>
      <c r="V23" s="65" t="str">
        <f t="shared" si="10"/>
        <v/>
      </c>
      <c r="W23" s="78" t="str">
        <f t="shared" si="11"/>
        <v/>
      </c>
      <c r="X23" s="66" t="str">
        <f t="shared" si="12"/>
        <v/>
      </c>
      <c r="Y23" s="66" t="str">
        <f t="shared" si="13"/>
        <v/>
      </c>
      <c r="Z23" s="67" t="str">
        <f t="shared" si="14"/>
        <v/>
      </c>
    </row>
    <row r="24" spans="1:26" s="5" customFormat="1" ht="17.25" customHeight="1">
      <c r="A24" s="84">
        <v>13</v>
      </c>
      <c r="B24" s="130"/>
      <c r="C24" s="130"/>
      <c r="D24" s="131"/>
      <c r="E24" s="96"/>
      <c r="F24" s="96"/>
      <c r="G24" s="132"/>
      <c r="H24" s="133"/>
      <c r="I24" s="134"/>
      <c r="J24" s="97"/>
      <c r="K24" s="62" t="str">
        <f t="shared" si="0"/>
        <v/>
      </c>
      <c r="L24" s="62" t="str">
        <f t="shared" si="1"/>
        <v/>
      </c>
      <c r="M24" s="62" t="str">
        <f t="shared" si="2"/>
        <v/>
      </c>
      <c r="N24" s="63" t="str">
        <f t="shared" si="3"/>
        <v/>
      </c>
      <c r="O24" s="64" t="str">
        <f t="shared" si="15"/>
        <v/>
      </c>
      <c r="P24" s="93" t="str">
        <f t="shared" si="4"/>
        <v/>
      </c>
      <c r="Q24" s="94" t="str">
        <f t="shared" si="5"/>
        <v/>
      </c>
      <c r="R24" s="64" t="str">
        <f t="shared" si="6"/>
        <v/>
      </c>
      <c r="S24" s="93" t="str">
        <f t="shared" si="7"/>
        <v/>
      </c>
      <c r="T24" s="94" t="str">
        <f t="shared" si="8"/>
        <v/>
      </c>
      <c r="U24" s="64" t="str">
        <f t="shared" si="9"/>
        <v/>
      </c>
      <c r="V24" s="65" t="str">
        <f t="shared" si="10"/>
        <v/>
      </c>
      <c r="W24" s="78" t="str">
        <f t="shared" si="11"/>
        <v/>
      </c>
      <c r="X24" s="66" t="str">
        <f t="shared" si="12"/>
        <v/>
      </c>
      <c r="Y24" s="66" t="str">
        <f t="shared" si="13"/>
        <v/>
      </c>
      <c r="Z24" s="67" t="str">
        <f t="shared" si="14"/>
        <v/>
      </c>
    </row>
    <row r="25" spans="1:26" s="5" customFormat="1" ht="17.25" customHeight="1">
      <c r="A25" s="84">
        <v>14</v>
      </c>
      <c r="B25" s="130"/>
      <c r="C25" s="130"/>
      <c r="D25" s="131"/>
      <c r="E25" s="96"/>
      <c r="F25" s="96"/>
      <c r="G25" s="132"/>
      <c r="H25" s="133"/>
      <c r="I25" s="134"/>
      <c r="J25" s="97"/>
      <c r="K25" s="62" t="str">
        <f t="shared" si="0"/>
        <v/>
      </c>
      <c r="L25" s="62" t="str">
        <f t="shared" si="1"/>
        <v/>
      </c>
      <c r="M25" s="62" t="str">
        <f t="shared" si="2"/>
        <v/>
      </c>
      <c r="N25" s="63" t="str">
        <f t="shared" si="3"/>
        <v/>
      </c>
      <c r="O25" s="64" t="str">
        <f t="shared" si="15"/>
        <v/>
      </c>
      <c r="P25" s="93" t="str">
        <f t="shared" si="4"/>
        <v/>
      </c>
      <c r="Q25" s="94" t="str">
        <f t="shared" si="5"/>
        <v/>
      </c>
      <c r="R25" s="64" t="str">
        <f t="shared" si="6"/>
        <v/>
      </c>
      <c r="S25" s="93" t="str">
        <f t="shared" si="7"/>
        <v/>
      </c>
      <c r="T25" s="94" t="str">
        <f t="shared" si="8"/>
        <v/>
      </c>
      <c r="U25" s="64" t="str">
        <f t="shared" si="9"/>
        <v/>
      </c>
      <c r="V25" s="65" t="str">
        <f t="shared" si="10"/>
        <v/>
      </c>
      <c r="W25" s="78" t="str">
        <f t="shared" si="11"/>
        <v/>
      </c>
      <c r="X25" s="66" t="str">
        <f t="shared" si="12"/>
        <v/>
      </c>
      <c r="Y25" s="66" t="str">
        <f t="shared" si="13"/>
        <v/>
      </c>
      <c r="Z25" s="67" t="str">
        <f t="shared" si="14"/>
        <v/>
      </c>
    </row>
    <row r="26" spans="1:26" s="5" customFormat="1" ht="17.25" customHeight="1">
      <c r="A26" s="84">
        <v>15</v>
      </c>
      <c r="B26" s="130"/>
      <c r="C26" s="130"/>
      <c r="D26" s="131"/>
      <c r="E26" s="96"/>
      <c r="F26" s="96"/>
      <c r="G26" s="132"/>
      <c r="H26" s="133"/>
      <c r="I26" s="134"/>
      <c r="J26" s="97"/>
      <c r="K26" s="62" t="str">
        <f t="shared" si="0"/>
        <v/>
      </c>
      <c r="L26" s="62" t="str">
        <f t="shared" si="1"/>
        <v/>
      </c>
      <c r="M26" s="62" t="str">
        <f t="shared" si="2"/>
        <v/>
      </c>
      <c r="N26" s="63" t="str">
        <f t="shared" si="3"/>
        <v/>
      </c>
      <c r="O26" s="64" t="str">
        <f t="shared" si="15"/>
        <v/>
      </c>
      <c r="P26" s="93" t="str">
        <f t="shared" si="4"/>
        <v/>
      </c>
      <c r="Q26" s="94" t="str">
        <f t="shared" si="5"/>
        <v/>
      </c>
      <c r="R26" s="64" t="str">
        <f t="shared" si="6"/>
        <v/>
      </c>
      <c r="S26" s="93" t="str">
        <f t="shared" si="7"/>
        <v/>
      </c>
      <c r="T26" s="94" t="str">
        <f t="shared" si="8"/>
        <v/>
      </c>
      <c r="U26" s="64" t="str">
        <f t="shared" si="9"/>
        <v/>
      </c>
      <c r="V26" s="65" t="str">
        <f t="shared" si="10"/>
        <v/>
      </c>
      <c r="W26" s="78" t="str">
        <f t="shared" si="11"/>
        <v/>
      </c>
      <c r="X26" s="66" t="str">
        <f t="shared" si="12"/>
        <v/>
      </c>
      <c r="Y26" s="66" t="str">
        <f t="shared" si="13"/>
        <v/>
      </c>
      <c r="Z26" s="67" t="str">
        <f t="shared" si="14"/>
        <v/>
      </c>
    </row>
    <row r="27" spans="1:26" s="5" customFormat="1" ht="17.25" customHeight="1">
      <c r="A27" s="84">
        <v>16</v>
      </c>
      <c r="B27" s="130"/>
      <c r="C27" s="130"/>
      <c r="D27" s="131"/>
      <c r="E27" s="96"/>
      <c r="F27" s="96"/>
      <c r="G27" s="132"/>
      <c r="H27" s="133"/>
      <c r="I27" s="134"/>
      <c r="J27" s="97"/>
      <c r="K27" s="62" t="str">
        <f t="shared" si="0"/>
        <v/>
      </c>
      <c r="L27" s="62" t="str">
        <f t="shared" si="1"/>
        <v/>
      </c>
      <c r="M27" s="62" t="str">
        <f t="shared" si="2"/>
        <v/>
      </c>
      <c r="N27" s="63" t="str">
        <f t="shared" si="3"/>
        <v/>
      </c>
      <c r="O27" s="64" t="str">
        <f t="shared" si="15"/>
        <v/>
      </c>
      <c r="P27" s="93" t="str">
        <f t="shared" si="4"/>
        <v/>
      </c>
      <c r="Q27" s="94" t="str">
        <f t="shared" si="5"/>
        <v/>
      </c>
      <c r="R27" s="64" t="str">
        <f t="shared" si="6"/>
        <v/>
      </c>
      <c r="S27" s="93" t="str">
        <f t="shared" si="7"/>
        <v/>
      </c>
      <c r="T27" s="94" t="str">
        <f t="shared" si="8"/>
        <v/>
      </c>
      <c r="U27" s="64" t="str">
        <f t="shared" si="9"/>
        <v/>
      </c>
      <c r="V27" s="65" t="str">
        <f t="shared" si="10"/>
        <v/>
      </c>
      <c r="W27" s="78" t="str">
        <f t="shared" si="11"/>
        <v/>
      </c>
      <c r="X27" s="66" t="str">
        <f t="shared" si="12"/>
        <v/>
      </c>
      <c r="Y27" s="66" t="str">
        <f t="shared" si="13"/>
        <v/>
      </c>
      <c r="Z27" s="67" t="str">
        <f t="shared" si="14"/>
        <v/>
      </c>
    </row>
    <row r="28" spans="1:26" s="5" customFormat="1" ht="17.25" customHeight="1">
      <c r="A28" s="84">
        <v>17</v>
      </c>
      <c r="B28" s="130"/>
      <c r="C28" s="130"/>
      <c r="D28" s="131"/>
      <c r="E28" s="96"/>
      <c r="F28" s="96"/>
      <c r="G28" s="132"/>
      <c r="H28" s="133"/>
      <c r="I28" s="134"/>
      <c r="J28" s="97"/>
      <c r="K28" s="62" t="str">
        <f t="shared" si="0"/>
        <v/>
      </c>
      <c r="L28" s="62" t="str">
        <f t="shared" si="1"/>
        <v/>
      </c>
      <c r="M28" s="62" t="str">
        <f t="shared" si="2"/>
        <v/>
      </c>
      <c r="N28" s="63" t="str">
        <f t="shared" si="3"/>
        <v/>
      </c>
      <c r="O28" s="64" t="str">
        <f t="shared" si="15"/>
        <v/>
      </c>
      <c r="P28" s="93" t="str">
        <f t="shared" si="4"/>
        <v/>
      </c>
      <c r="Q28" s="94" t="str">
        <f t="shared" si="5"/>
        <v/>
      </c>
      <c r="R28" s="64" t="str">
        <f t="shared" si="6"/>
        <v/>
      </c>
      <c r="S28" s="93" t="str">
        <f t="shared" si="7"/>
        <v/>
      </c>
      <c r="T28" s="94" t="str">
        <f t="shared" si="8"/>
        <v/>
      </c>
      <c r="U28" s="64" t="str">
        <f t="shared" si="9"/>
        <v/>
      </c>
      <c r="V28" s="65" t="str">
        <f t="shared" si="10"/>
        <v/>
      </c>
      <c r="W28" s="78" t="str">
        <f t="shared" si="11"/>
        <v/>
      </c>
      <c r="X28" s="66" t="str">
        <f t="shared" si="12"/>
        <v/>
      </c>
      <c r="Y28" s="66" t="str">
        <f t="shared" si="13"/>
        <v/>
      </c>
      <c r="Z28" s="67" t="str">
        <f t="shared" si="14"/>
        <v/>
      </c>
    </row>
    <row r="29" spans="1:26" s="5" customFormat="1" ht="17.25" customHeight="1">
      <c r="A29" s="84">
        <v>18</v>
      </c>
      <c r="B29" s="130"/>
      <c r="C29" s="130"/>
      <c r="D29" s="131"/>
      <c r="E29" s="96"/>
      <c r="F29" s="96"/>
      <c r="G29" s="132"/>
      <c r="H29" s="133"/>
      <c r="I29" s="134"/>
      <c r="J29" s="97"/>
      <c r="K29" s="62" t="str">
        <f t="shared" si="0"/>
        <v/>
      </c>
      <c r="L29" s="62" t="str">
        <f t="shared" si="1"/>
        <v/>
      </c>
      <c r="M29" s="62" t="str">
        <f t="shared" si="2"/>
        <v/>
      </c>
      <c r="N29" s="63" t="str">
        <f t="shared" si="3"/>
        <v/>
      </c>
      <c r="O29" s="64" t="str">
        <f t="shared" si="15"/>
        <v/>
      </c>
      <c r="P29" s="93" t="str">
        <f t="shared" si="4"/>
        <v/>
      </c>
      <c r="Q29" s="94" t="str">
        <f t="shared" si="5"/>
        <v/>
      </c>
      <c r="R29" s="64" t="str">
        <f t="shared" si="6"/>
        <v/>
      </c>
      <c r="S29" s="93" t="str">
        <f t="shared" si="7"/>
        <v/>
      </c>
      <c r="T29" s="94" t="str">
        <f t="shared" si="8"/>
        <v/>
      </c>
      <c r="U29" s="64" t="str">
        <f t="shared" si="9"/>
        <v/>
      </c>
      <c r="V29" s="65" t="str">
        <f t="shared" si="10"/>
        <v/>
      </c>
      <c r="W29" s="78" t="str">
        <f t="shared" si="11"/>
        <v/>
      </c>
      <c r="X29" s="66" t="str">
        <f t="shared" si="12"/>
        <v/>
      </c>
      <c r="Y29" s="66" t="str">
        <f t="shared" si="13"/>
        <v/>
      </c>
      <c r="Z29" s="67" t="str">
        <f t="shared" si="14"/>
        <v/>
      </c>
    </row>
    <row r="30" spans="1:26" s="5" customFormat="1" ht="17.25" customHeight="1">
      <c r="A30" s="84">
        <v>19</v>
      </c>
      <c r="B30" s="130"/>
      <c r="C30" s="130"/>
      <c r="D30" s="131"/>
      <c r="E30" s="96"/>
      <c r="F30" s="96"/>
      <c r="G30" s="132"/>
      <c r="H30" s="133"/>
      <c r="I30" s="134"/>
      <c r="J30" s="97"/>
      <c r="K30" s="62" t="str">
        <f t="shared" si="0"/>
        <v/>
      </c>
      <c r="L30" s="62" t="str">
        <f t="shared" si="1"/>
        <v/>
      </c>
      <c r="M30" s="62" t="str">
        <f t="shared" si="2"/>
        <v/>
      </c>
      <c r="N30" s="63" t="str">
        <f t="shared" si="3"/>
        <v/>
      </c>
      <c r="O30" s="64" t="str">
        <f t="shared" si="15"/>
        <v/>
      </c>
      <c r="P30" s="93" t="str">
        <f t="shared" si="4"/>
        <v/>
      </c>
      <c r="Q30" s="94" t="str">
        <f t="shared" si="5"/>
        <v/>
      </c>
      <c r="R30" s="64" t="str">
        <f t="shared" si="6"/>
        <v/>
      </c>
      <c r="S30" s="93" t="str">
        <f t="shared" si="7"/>
        <v/>
      </c>
      <c r="T30" s="94" t="str">
        <f t="shared" si="8"/>
        <v/>
      </c>
      <c r="U30" s="64" t="str">
        <f t="shared" si="9"/>
        <v/>
      </c>
      <c r="V30" s="65" t="str">
        <f t="shared" si="10"/>
        <v/>
      </c>
      <c r="W30" s="78" t="str">
        <f t="shared" si="11"/>
        <v/>
      </c>
      <c r="X30" s="66" t="str">
        <f t="shared" si="12"/>
        <v/>
      </c>
      <c r="Y30" s="66" t="str">
        <f t="shared" si="13"/>
        <v/>
      </c>
      <c r="Z30" s="67" t="str">
        <f t="shared" si="14"/>
        <v/>
      </c>
    </row>
    <row r="31" spans="1:26" s="5" customFormat="1" ht="17.25" customHeight="1">
      <c r="A31" s="84">
        <v>20</v>
      </c>
      <c r="B31" s="130"/>
      <c r="C31" s="130"/>
      <c r="D31" s="131"/>
      <c r="E31" s="96"/>
      <c r="F31" s="96"/>
      <c r="G31" s="132"/>
      <c r="H31" s="133"/>
      <c r="I31" s="134"/>
      <c r="J31" s="97"/>
      <c r="K31" s="62" t="str">
        <f t="shared" si="0"/>
        <v/>
      </c>
      <c r="L31" s="62" t="str">
        <f t="shared" si="1"/>
        <v/>
      </c>
      <c r="M31" s="62" t="str">
        <f t="shared" si="2"/>
        <v/>
      </c>
      <c r="N31" s="63" t="str">
        <f t="shared" si="3"/>
        <v/>
      </c>
      <c r="O31" s="64" t="str">
        <f t="shared" si="15"/>
        <v/>
      </c>
      <c r="P31" s="93" t="str">
        <f t="shared" si="4"/>
        <v/>
      </c>
      <c r="Q31" s="94" t="str">
        <f t="shared" si="5"/>
        <v/>
      </c>
      <c r="R31" s="64" t="str">
        <f t="shared" si="6"/>
        <v/>
      </c>
      <c r="S31" s="93" t="str">
        <f t="shared" si="7"/>
        <v/>
      </c>
      <c r="T31" s="94" t="str">
        <f t="shared" si="8"/>
        <v/>
      </c>
      <c r="U31" s="64" t="str">
        <f t="shared" si="9"/>
        <v/>
      </c>
      <c r="V31" s="65" t="str">
        <f t="shared" si="10"/>
        <v/>
      </c>
      <c r="W31" s="78" t="str">
        <f t="shared" si="11"/>
        <v/>
      </c>
      <c r="X31" s="66" t="str">
        <f t="shared" si="12"/>
        <v/>
      </c>
      <c r="Y31" s="66" t="str">
        <f t="shared" si="13"/>
        <v/>
      </c>
      <c r="Z31" s="67" t="str">
        <f t="shared" si="14"/>
        <v/>
      </c>
    </row>
    <row r="32" spans="1:26" s="5" customFormat="1" ht="17.25" customHeight="1">
      <c r="A32" s="84">
        <v>21</v>
      </c>
      <c r="B32" s="130"/>
      <c r="C32" s="130"/>
      <c r="D32" s="131"/>
      <c r="E32" s="96"/>
      <c r="F32" s="96"/>
      <c r="G32" s="132"/>
      <c r="H32" s="133"/>
      <c r="I32" s="134"/>
      <c r="J32" s="97"/>
      <c r="K32" s="62" t="str">
        <f t="shared" si="0"/>
        <v/>
      </c>
      <c r="L32" s="62" t="str">
        <f t="shared" si="1"/>
        <v/>
      </c>
      <c r="M32" s="62" t="str">
        <f t="shared" si="2"/>
        <v/>
      </c>
      <c r="N32" s="63" t="str">
        <f t="shared" si="3"/>
        <v/>
      </c>
      <c r="O32" s="64" t="str">
        <f t="shared" si="15"/>
        <v/>
      </c>
      <c r="P32" s="93" t="str">
        <f t="shared" si="4"/>
        <v/>
      </c>
      <c r="Q32" s="94" t="str">
        <f t="shared" si="5"/>
        <v/>
      </c>
      <c r="R32" s="64" t="str">
        <f t="shared" si="6"/>
        <v/>
      </c>
      <c r="S32" s="93" t="str">
        <f t="shared" si="7"/>
        <v/>
      </c>
      <c r="T32" s="94" t="str">
        <f t="shared" si="8"/>
        <v/>
      </c>
      <c r="U32" s="64" t="str">
        <f t="shared" si="9"/>
        <v/>
      </c>
      <c r="V32" s="65" t="str">
        <f t="shared" si="10"/>
        <v/>
      </c>
      <c r="W32" s="78" t="str">
        <f t="shared" si="11"/>
        <v/>
      </c>
      <c r="X32" s="66" t="str">
        <f t="shared" si="12"/>
        <v/>
      </c>
      <c r="Y32" s="66" t="str">
        <f t="shared" si="13"/>
        <v/>
      </c>
      <c r="Z32" s="67" t="str">
        <f t="shared" si="14"/>
        <v/>
      </c>
    </row>
    <row r="33" spans="1:26" s="5" customFormat="1" ht="17.25" customHeight="1">
      <c r="A33" s="84">
        <v>22</v>
      </c>
      <c r="B33" s="130"/>
      <c r="C33" s="130"/>
      <c r="D33" s="131"/>
      <c r="E33" s="96"/>
      <c r="F33" s="96"/>
      <c r="G33" s="132"/>
      <c r="H33" s="133"/>
      <c r="I33" s="134"/>
      <c r="J33" s="97"/>
      <c r="K33" s="62" t="str">
        <f t="shared" si="0"/>
        <v/>
      </c>
      <c r="L33" s="62" t="str">
        <f t="shared" si="1"/>
        <v/>
      </c>
      <c r="M33" s="62" t="str">
        <f t="shared" si="2"/>
        <v/>
      </c>
      <c r="N33" s="63" t="str">
        <f t="shared" si="3"/>
        <v/>
      </c>
      <c r="O33" s="64" t="str">
        <f t="shared" si="15"/>
        <v/>
      </c>
      <c r="P33" s="93" t="str">
        <f t="shared" si="4"/>
        <v/>
      </c>
      <c r="Q33" s="94" t="str">
        <f t="shared" si="5"/>
        <v/>
      </c>
      <c r="R33" s="64" t="str">
        <f t="shared" si="6"/>
        <v/>
      </c>
      <c r="S33" s="93" t="str">
        <f t="shared" si="7"/>
        <v/>
      </c>
      <c r="T33" s="94" t="str">
        <f t="shared" si="8"/>
        <v/>
      </c>
      <c r="U33" s="64" t="str">
        <f t="shared" si="9"/>
        <v/>
      </c>
      <c r="V33" s="65" t="str">
        <f t="shared" si="10"/>
        <v/>
      </c>
      <c r="W33" s="78" t="str">
        <f t="shared" si="11"/>
        <v/>
      </c>
      <c r="X33" s="66" t="str">
        <f t="shared" si="12"/>
        <v/>
      </c>
      <c r="Y33" s="66" t="str">
        <f t="shared" si="13"/>
        <v/>
      </c>
      <c r="Z33" s="67" t="str">
        <f t="shared" si="14"/>
        <v/>
      </c>
    </row>
    <row r="34" spans="1:26" s="5" customFormat="1" ht="17.25" customHeight="1">
      <c r="A34" s="84">
        <v>23</v>
      </c>
      <c r="B34" s="130"/>
      <c r="C34" s="130"/>
      <c r="D34" s="131"/>
      <c r="E34" s="96"/>
      <c r="F34" s="96"/>
      <c r="G34" s="132"/>
      <c r="H34" s="133"/>
      <c r="I34" s="134"/>
      <c r="J34" s="97"/>
      <c r="K34" s="62" t="str">
        <f t="shared" si="0"/>
        <v/>
      </c>
      <c r="L34" s="62" t="str">
        <f t="shared" si="1"/>
        <v/>
      </c>
      <c r="M34" s="62" t="str">
        <f t="shared" si="2"/>
        <v/>
      </c>
      <c r="N34" s="63" t="str">
        <f t="shared" si="3"/>
        <v/>
      </c>
      <c r="O34" s="64" t="str">
        <f t="shared" si="15"/>
        <v/>
      </c>
      <c r="P34" s="93" t="str">
        <f t="shared" si="4"/>
        <v/>
      </c>
      <c r="Q34" s="94" t="str">
        <f t="shared" si="5"/>
        <v/>
      </c>
      <c r="R34" s="64" t="str">
        <f t="shared" si="6"/>
        <v/>
      </c>
      <c r="S34" s="93" t="str">
        <f t="shared" si="7"/>
        <v/>
      </c>
      <c r="T34" s="94" t="str">
        <f t="shared" si="8"/>
        <v/>
      </c>
      <c r="U34" s="64" t="str">
        <f t="shared" si="9"/>
        <v/>
      </c>
      <c r="V34" s="65" t="str">
        <f t="shared" si="10"/>
        <v/>
      </c>
      <c r="W34" s="78" t="str">
        <f t="shared" si="11"/>
        <v/>
      </c>
      <c r="X34" s="66" t="str">
        <f t="shared" si="12"/>
        <v/>
      </c>
      <c r="Y34" s="66" t="str">
        <f t="shared" si="13"/>
        <v/>
      </c>
      <c r="Z34" s="67" t="str">
        <f t="shared" si="14"/>
        <v/>
      </c>
    </row>
    <row r="35" spans="1:26" s="5" customFormat="1" ht="17.25" customHeight="1">
      <c r="A35" s="84">
        <v>24</v>
      </c>
      <c r="B35" s="130"/>
      <c r="C35" s="130"/>
      <c r="D35" s="131"/>
      <c r="E35" s="96"/>
      <c r="F35" s="96"/>
      <c r="G35" s="132"/>
      <c r="H35" s="133"/>
      <c r="I35" s="134"/>
      <c r="J35" s="97"/>
      <c r="K35" s="62" t="str">
        <f t="shared" si="0"/>
        <v/>
      </c>
      <c r="L35" s="62" t="str">
        <f t="shared" si="1"/>
        <v/>
      </c>
      <c r="M35" s="62" t="str">
        <f t="shared" si="2"/>
        <v/>
      </c>
      <c r="N35" s="63" t="str">
        <f t="shared" si="3"/>
        <v/>
      </c>
      <c r="O35" s="64" t="str">
        <f t="shared" si="15"/>
        <v/>
      </c>
      <c r="P35" s="93" t="str">
        <f t="shared" si="4"/>
        <v/>
      </c>
      <c r="Q35" s="94" t="str">
        <f t="shared" si="5"/>
        <v/>
      </c>
      <c r="R35" s="64" t="str">
        <f t="shared" si="6"/>
        <v/>
      </c>
      <c r="S35" s="93" t="str">
        <f t="shared" si="7"/>
        <v/>
      </c>
      <c r="T35" s="94" t="str">
        <f t="shared" si="8"/>
        <v/>
      </c>
      <c r="U35" s="64" t="str">
        <f t="shared" si="9"/>
        <v/>
      </c>
      <c r="V35" s="65" t="str">
        <f t="shared" si="10"/>
        <v/>
      </c>
      <c r="W35" s="78" t="str">
        <f t="shared" si="11"/>
        <v/>
      </c>
      <c r="X35" s="66" t="str">
        <f t="shared" si="12"/>
        <v/>
      </c>
      <c r="Y35" s="66" t="str">
        <f t="shared" si="13"/>
        <v/>
      </c>
      <c r="Z35" s="67" t="str">
        <f t="shared" si="14"/>
        <v/>
      </c>
    </row>
    <row r="36" spans="1:26" s="17" customFormat="1" ht="17.25" customHeight="1" thickBot="1">
      <c r="A36" s="84">
        <v>25</v>
      </c>
      <c r="B36" s="130"/>
      <c r="C36" s="130"/>
      <c r="D36" s="131"/>
      <c r="E36" s="96"/>
      <c r="F36" s="96"/>
      <c r="G36" s="132"/>
      <c r="H36" s="133"/>
      <c r="I36" s="134"/>
      <c r="J36" s="97"/>
      <c r="K36" s="62" t="str">
        <f t="shared" si="0"/>
        <v/>
      </c>
      <c r="L36" s="62" t="str">
        <f t="shared" si="1"/>
        <v/>
      </c>
      <c r="M36" s="62" t="str">
        <f t="shared" si="2"/>
        <v/>
      </c>
      <c r="N36" s="63" t="str">
        <f t="shared" si="3"/>
        <v/>
      </c>
      <c r="O36" s="64" t="str">
        <f t="shared" si="15"/>
        <v/>
      </c>
      <c r="P36" s="93" t="str">
        <f t="shared" si="4"/>
        <v/>
      </c>
      <c r="Q36" s="94" t="str">
        <f t="shared" si="5"/>
        <v/>
      </c>
      <c r="R36" s="64" t="str">
        <f t="shared" si="6"/>
        <v/>
      </c>
      <c r="S36" s="93" t="str">
        <f t="shared" si="7"/>
        <v/>
      </c>
      <c r="T36" s="94" t="str">
        <f t="shared" si="8"/>
        <v/>
      </c>
      <c r="U36" s="64" t="str">
        <f t="shared" si="9"/>
        <v/>
      </c>
      <c r="V36" s="65" t="str">
        <f t="shared" si="10"/>
        <v/>
      </c>
      <c r="W36" s="78" t="str">
        <f t="shared" si="11"/>
        <v/>
      </c>
      <c r="X36" s="66" t="str">
        <f t="shared" si="12"/>
        <v/>
      </c>
      <c r="Y36" s="66" t="str">
        <f t="shared" si="13"/>
        <v/>
      </c>
      <c r="Z36" s="67" t="str">
        <f t="shared" si="14"/>
        <v/>
      </c>
    </row>
    <row r="37" spans="1:26" s="5" customFormat="1" ht="17.25" customHeight="1">
      <c r="A37" s="84">
        <v>26</v>
      </c>
      <c r="B37" s="130"/>
      <c r="C37" s="130"/>
      <c r="D37" s="131"/>
      <c r="E37" s="96"/>
      <c r="F37" s="96"/>
      <c r="G37" s="132"/>
      <c r="H37" s="133"/>
      <c r="I37" s="134"/>
      <c r="J37" s="97"/>
      <c r="K37" s="62" t="str">
        <f t="shared" si="0"/>
        <v/>
      </c>
      <c r="L37" s="62" t="str">
        <f t="shared" si="1"/>
        <v/>
      </c>
      <c r="M37" s="62" t="str">
        <f t="shared" si="2"/>
        <v/>
      </c>
      <c r="N37" s="63" t="str">
        <f t="shared" si="3"/>
        <v/>
      </c>
      <c r="O37" s="64" t="str">
        <f t="shared" si="15"/>
        <v/>
      </c>
      <c r="P37" s="93" t="str">
        <f t="shared" si="4"/>
        <v/>
      </c>
      <c r="Q37" s="94" t="str">
        <f t="shared" si="5"/>
        <v/>
      </c>
      <c r="R37" s="64" t="str">
        <f t="shared" si="6"/>
        <v/>
      </c>
      <c r="S37" s="93" t="str">
        <f t="shared" si="7"/>
        <v/>
      </c>
      <c r="T37" s="94" t="str">
        <f t="shared" si="8"/>
        <v/>
      </c>
      <c r="U37" s="64" t="str">
        <f t="shared" si="9"/>
        <v/>
      </c>
      <c r="V37" s="65" t="str">
        <f t="shared" si="10"/>
        <v/>
      </c>
      <c r="W37" s="78" t="str">
        <f t="shared" si="11"/>
        <v/>
      </c>
      <c r="X37" s="66" t="str">
        <f t="shared" si="12"/>
        <v/>
      </c>
      <c r="Y37" s="66" t="str">
        <f t="shared" si="13"/>
        <v/>
      </c>
      <c r="Z37" s="67" t="str">
        <f t="shared" si="14"/>
        <v/>
      </c>
    </row>
    <row r="38" spans="1:26" s="5" customFormat="1" ht="17.25" customHeight="1">
      <c r="A38" s="84">
        <v>27</v>
      </c>
      <c r="B38" s="130"/>
      <c r="C38" s="130"/>
      <c r="D38" s="131"/>
      <c r="E38" s="96"/>
      <c r="F38" s="96"/>
      <c r="G38" s="132"/>
      <c r="H38" s="133"/>
      <c r="I38" s="134"/>
      <c r="J38" s="97"/>
      <c r="K38" s="62" t="str">
        <f t="shared" si="0"/>
        <v/>
      </c>
      <c r="L38" s="62" t="str">
        <f t="shared" si="1"/>
        <v/>
      </c>
      <c r="M38" s="62" t="str">
        <f t="shared" si="2"/>
        <v/>
      </c>
      <c r="N38" s="63" t="str">
        <f t="shared" si="3"/>
        <v/>
      </c>
      <c r="O38" s="64" t="str">
        <f t="shared" si="15"/>
        <v/>
      </c>
      <c r="P38" s="93" t="str">
        <f t="shared" si="4"/>
        <v/>
      </c>
      <c r="Q38" s="94" t="str">
        <f t="shared" si="5"/>
        <v/>
      </c>
      <c r="R38" s="64" t="str">
        <f t="shared" si="6"/>
        <v/>
      </c>
      <c r="S38" s="93" t="str">
        <f t="shared" si="7"/>
        <v/>
      </c>
      <c r="T38" s="94" t="str">
        <f t="shared" si="8"/>
        <v/>
      </c>
      <c r="U38" s="64" t="str">
        <f t="shared" si="9"/>
        <v/>
      </c>
      <c r="V38" s="65" t="str">
        <f t="shared" si="10"/>
        <v/>
      </c>
      <c r="W38" s="78" t="str">
        <f t="shared" si="11"/>
        <v/>
      </c>
      <c r="X38" s="66" t="str">
        <f t="shared" si="12"/>
        <v/>
      </c>
      <c r="Y38" s="66" t="str">
        <f t="shared" si="13"/>
        <v/>
      </c>
      <c r="Z38" s="67" t="str">
        <f t="shared" si="14"/>
        <v/>
      </c>
    </row>
    <row r="39" spans="1:26" s="5" customFormat="1" ht="17.25" customHeight="1">
      <c r="A39" s="84">
        <v>28</v>
      </c>
      <c r="B39" s="130"/>
      <c r="C39" s="130"/>
      <c r="D39" s="131"/>
      <c r="E39" s="96"/>
      <c r="F39" s="96"/>
      <c r="G39" s="132"/>
      <c r="H39" s="133"/>
      <c r="I39" s="134"/>
      <c r="J39" s="97"/>
      <c r="K39" s="62" t="str">
        <f t="shared" si="0"/>
        <v/>
      </c>
      <c r="L39" s="62" t="str">
        <f t="shared" si="1"/>
        <v/>
      </c>
      <c r="M39" s="62" t="str">
        <f t="shared" si="2"/>
        <v/>
      </c>
      <c r="N39" s="63" t="str">
        <f t="shared" si="3"/>
        <v/>
      </c>
      <c r="O39" s="64" t="str">
        <f t="shared" si="15"/>
        <v/>
      </c>
      <c r="P39" s="93" t="str">
        <f t="shared" si="4"/>
        <v/>
      </c>
      <c r="Q39" s="94" t="str">
        <f t="shared" si="5"/>
        <v/>
      </c>
      <c r="R39" s="64" t="str">
        <f t="shared" si="6"/>
        <v/>
      </c>
      <c r="S39" s="93" t="str">
        <f t="shared" si="7"/>
        <v/>
      </c>
      <c r="T39" s="94" t="str">
        <f t="shared" si="8"/>
        <v/>
      </c>
      <c r="U39" s="64" t="str">
        <f t="shared" si="9"/>
        <v/>
      </c>
      <c r="V39" s="65" t="str">
        <f t="shared" si="10"/>
        <v/>
      </c>
      <c r="W39" s="78" t="str">
        <f t="shared" si="11"/>
        <v/>
      </c>
      <c r="X39" s="66" t="str">
        <f t="shared" si="12"/>
        <v/>
      </c>
      <c r="Y39" s="66" t="str">
        <f t="shared" si="13"/>
        <v/>
      </c>
      <c r="Z39" s="67" t="str">
        <f t="shared" si="14"/>
        <v/>
      </c>
    </row>
    <row r="40" spans="1:26" s="5" customFormat="1" ht="17.25" customHeight="1">
      <c r="A40" s="84">
        <v>29</v>
      </c>
      <c r="B40" s="130"/>
      <c r="C40" s="130"/>
      <c r="D40" s="131"/>
      <c r="E40" s="96"/>
      <c r="F40" s="96"/>
      <c r="G40" s="132"/>
      <c r="H40" s="133"/>
      <c r="I40" s="134"/>
      <c r="J40" s="97"/>
      <c r="K40" s="62" t="str">
        <f t="shared" si="0"/>
        <v/>
      </c>
      <c r="L40" s="62" t="str">
        <f t="shared" si="1"/>
        <v/>
      </c>
      <c r="M40" s="62" t="str">
        <f t="shared" si="2"/>
        <v/>
      </c>
      <c r="N40" s="63" t="str">
        <f t="shared" si="3"/>
        <v/>
      </c>
      <c r="O40" s="64" t="str">
        <f t="shared" si="15"/>
        <v/>
      </c>
      <c r="P40" s="93" t="str">
        <f t="shared" si="4"/>
        <v/>
      </c>
      <c r="Q40" s="94" t="str">
        <f t="shared" si="5"/>
        <v/>
      </c>
      <c r="R40" s="64" t="str">
        <f t="shared" si="6"/>
        <v/>
      </c>
      <c r="S40" s="93" t="str">
        <f t="shared" si="7"/>
        <v/>
      </c>
      <c r="T40" s="94" t="str">
        <f t="shared" si="8"/>
        <v/>
      </c>
      <c r="U40" s="64" t="str">
        <f t="shared" si="9"/>
        <v/>
      </c>
      <c r="V40" s="65" t="str">
        <f t="shared" si="10"/>
        <v/>
      </c>
      <c r="W40" s="78" t="str">
        <f t="shared" si="11"/>
        <v/>
      </c>
      <c r="X40" s="66" t="str">
        <f t="shared" si="12"/>
        <v/>
      </c>
      <c r="Y40" s="66" t="str">
        <f t="shared" si="13"/>
        <v/>
      </c>
      <c r="Z40" s="67" t="str">
        <f t="shared" si="14"/>
        <v/>
      </c>
    </row>
    <row r="41" spans="1:26" s="5" customFormat="1" ht="17.25" customHeight="1">
      <c r="A41" s="84">
        <v>30</v>
      </c>
      <c r="B41" s="130"/>
      <c r="C41" s="130"/>
      <c r="D41" s="131"/>
      <c r="E41" s="96"/>
      <c r="F41" s="96"/>
      <c r="G41" s="132"/>
      <c r="H41" s="133"/>
      <c r="I41" s="134"/>
      <c r="J41" s="97"/>
      <c r="K41" s="62" t="str">
        <f t="shared" si="0"/>
        <v/>
      </c>
      <c r="L41" s="62" t="str">
        <f t="shared" si="1"/>
        <v/>
      </c>
      <c r="M41" s="62" t="str">
        <f t="shared" si="2"/>
        <v/>
      </c>
      <c r="N41" s="63" t="str">
        <f t="shared" si="3"/>
        <v/>
      </c>
      <c r="O41" s="64" t="str">
        <f t="shared" si="15"/>
        <v/>
      </c>
      <c r="P41" s="93" t="str">
        <f t="shared" si="4"/>
        <v/>
      </c>
      <c r="Q41" s="94" t="str">
        <f t="shared" si="5"/>
        <v/>
      </c>
      <c r="R41" s="64" t="str">
        <f t="shared" si="6"/>
        <v/>
      </c>
      <c r="S41" s="93" t="str">
        <f t="shared" si="7"/>
        <v/>
      </c>
      <c r="T41" s="94" t="str">
        <f t="shared" si="8"/>
        <v/>
      </c>
      <c r="U41" s="64" t="str">
        <f t="shared" si="9"/>
        <v/>
      </c>
      <c r="V41" s="65" t="str">
        <f t="shared" si="10"/>
        <v/>
      </c>
      <c r="W41" s="78" t="str">
        <f t="shared" si="11"/>
        <v/>
      </c>
      <c r="X41" s="66" t="str">
        <f t="shared" si="12"/>
        <v/>
      </c>
      <c r="Y41" s="66" t="str">
        <f t="shared" si="13"/>
        <v/>
      </c>
      <c r="Z41" s="67" t="str">
        <f t="shared" si="14"/>
        <v/>
      </c>
    </row>
    <row r="42" spans="1:26" s="5" customFormat="1" ht="17.25" customHeight="1">
      <c r="A42" s="84">
        <v>31</v>
      </c>
      <c r="B42" s="130"/>
      <c r="C42" s="130"/>
      <c r="D42" s="131"/>
      <c r="E42" s="96"/>
      <c r="F42" s="96"/>
      <c r="G42" s="132"/>
      <c r="H42" s="133"/>
      <c r="I42" s="134"/>
      <c r="J42" s="97"/>
      <c r="K42" s="62" t="str">
        <f t="shared" si="0"/>
        <v/>
      </c>
      <c r="L42" s="62" t="str">
        <f t="shared" si="1"/>
        <v/>
      </c>
      <c r="M42" s="62" t="str">
        <f t="shared" si="2"/>
        <v/>
      </c>
      <c r="N42" s="63" t="str">
        <f t="shared" si="3"/>
        <v/>
      </c>
      <c r="O42" s="64" t="str">
        <f t="shared" si="15"/>
        <v/>
      </c>
      <c r="P42" s="93" t="str">
        <f t="shared" si="4"/>
        <v/>
      </c>
      <c r="Q42" s="94" t="str">
        <f t="shared" si="5"/>
        <v/>
      </c>
      <c r="R42" s="64" t="str">
        <f t="shared" si="6"/>
        <v/>
      </c>
      <c r="S42" s="93" t="str">
        <f t="shared" si="7"/>
        <v/>
      </c>
      <c r="T42" s="94" t="str">
        <f t="shared" si="8"/>
        <v/>
      </c>
      <c r="U42" s="64" t="str">
        <f t="shared" si="9"/>
        <v/>
      </c>
      <c r="V42" s="65" t="str">
        <f t="shared" si="10"/>
        <v/>
      </c>
      <c r="W42" s="78" t="str">
        <f t="shared" si="11"/>
        <v/>
      </c>
      <c r="X42" s="66" t="str">
        <f t="shared" si="12"/>
        <v/>
      </c>
      <c r="Y42" s="66" t="str">
        <f t="shared" si="13"/>
        <v/>
      </c>
      <c r="Z42" s="67" t="str">
        <f t="shared" si="14"/>
        <v/>
      </c>
    </row>
    <row r="43" spans="1:26" s="5" customFormat="1" ht="17.25" customHeight="1">
      <c r="A43" s="84">
        <v>32</v>
      </c>
      <c r="B43" s="130"/>
      <c r="C43" s="130"/>
      <c r="D43" s="131"/>
      <c r="E43" s="96"/>
      <c r="F43" s="96"/>
      <c r="G43" s="132"/>
      <c r="H43" s="133"/>
      <c r="I43" s="134"/>
      <c r="J43" s="97"/>
      <c r="K43" s="62" t="str">
        <f t="shared" si="0"/>
        <v/>
      </c>
      <c r="L43" s="62" t="str">
        <f t="shared" si="1"/>
        <v/>
      </c>
      <c r="M43" s="62" t="str">
        <f t="shared" si="2"/>
        <v/>
      </c>
      <c r="N43" s="63" t="str">
        <f t="shared" si="3"/>
        <v/>
      </c>
      <c r="O43" s="64" t="str">
        <f t="shared" si="15"/>
        <v/>
      </c>
      <c r="P43" s="93" t="str">
        <f t="shared" si="4"/>
        <v/>
      </c>
      <c r="Q43" s="94" t="str">
        <f t="shared" si="5"/>
        <v/>
      </c>
      <c r="R43" s="64" t="str">
        <f t="shared" si="6"/>
        <v/>
      </c>
      <c r="S43" s="93" t="str">
        <f t="shared" si="7"/>
        <v/>
      </c>
      <c r="T43" s="94" t="str">
        <f t="shared" si="8"/>
        <v/>
      </c>
      <c r="U43" s="64" t="str">
        <f t="shared" si="9"/>
        <v/>
      </c>
      <c r="V43" s="65" t="str">
        <f t="shared" si="10"/>
        <v/>
      </c>
      <c r="W43" s="78" t="str">
        <f t="shared" si="11"/>
        <v/>
      </c>
      <c r="X43" s="66" t="str">
        <f t="shared" si="12"/>
        <v/>
      </c>
      <c r="Y43" s="66" t="str">
        <f t="shared" si="13"/>
        <v/>
      </c>
      <c r="Z43" s="67" t="str">
        <f t="shared" si="14"/>
        <v/>
      </c>
    </row>
    <row r="44" spans="1:26" s="5" customFormat="1" ht="17.25" customHeight="1">
      <c r="A44" s="84">
        <v>33</v>
      </c>
      <c r="B44" s="130"/>
      <c r="C44" s="130"/>
      <c r="D44" s="131"/>
      <c r="E44" s="96"/>
      <c r="F44" s="96"/>
      <c r="G44" s="132"/>
      <c r="H44" s="133"/>
      <c r="I44" s="134"/>
      <c r="J44" s="97"/>
      <c r="K44" s="62" t="str">
        <f t="shared" ref="K44:K75" si="16">IF($X$11=0,"",IF(D44="","",IF($G44="","",IF($F44="","",IF($G44/$F44&gt;=$K$11,"yes","NC")))))</f>
        <v/>
      </c>
      <c r="L44" s="62" t="str">
        <f t="shared" ref="L44:L75" si="17">IF($Y$11=0,"",IF($D44="","",IF($H44="","",IF($H44="","",IF($H44/$F44&gt;=$L$11,"yes","NC")))))</f>
        <v/>
      </c>
      <c r="M44" s="62" t="str">
        <f t="shared" ref="M44:M75" si="18">IF($Z$11=0,"",IF($D44="","",IF($I44="","",IF($I44="","",IF($F44/$I44&lt;=$M$11,"yes","NC")))))</f>
        <v/>
      </c>
      <c r="N44" s="63" t="str">
        <f t="shared" ref="N44:N75" si="19">IF($D44="","",IF($O$8="","",IF(OR($O44&lt;$N$8,$O44&gt;$P$8),"NC","yes")))</f>
        <v/>
      </c>
      <c r="O44" s="64" t="str">
        <f t="shared" si="15"/>
        <v/>
      </c>
      <c r="P44" s="93" t="str">
        <f t="shared" ref="P44:P75" si="20">IF($D44=0,"",IF(N44="yes",($O44/$O$8),IF(OR($O44&lt;$N$8,$O44&gt;$P$8),($O44/$O$8))))</f>
        <v/>
      </c>
      <c r="Q44" s="94" t="str">
        <f t="shared" ref="Q44:Q75" si="21">IF($D44="","",IF($R$8="","",IF(OR($R44&lt;$Q$8,$R44&gt;$S$8),"NC","yes")))</f>
        <v/>
      </c>
      <c r="R44" s="64" t="str">
        <f t="shared" ref="R44:R75" si="22">IF($D44="","",$H44/$F44)</f>
        <v/>
      </c>
      <c r="S44" s="93" t="str">
        <f t="shared" ref="S44:S75" si="23">IF($D44=0,"",IF(Q44="yes",($R44/$R$8),IF(OR($R44&gt;$Q$8,$R44&lt;$S$8),($R44/$R$8))))</f>
        <v/>
      </c>
      <c r="T44" s="94" t="str">
        <f t="shared" ref="T44:T75" si="24">IF($D44="","",IF($U$8="","",IF(OR($U44&lt;$T$8,U44&gt;$V$8),"NC","yes")))</f>
        <v/>
      </c>
      <c r="U44" s="64" t="str">
        <f t="shared" ref="U44:U75" si="25">IF($D44="","",$F44/$I44)</f>
        <v/>
      </c>
      <c r="V44" s="65" t="str">
        <f t="shared" ref="V44:V75" si="26">IF($D44="","",IF(T44="yes",(U44/U$8),IF(OR(U44&lt;$T$8,U44&gt;V$8),(U44/U$8))))</f>
        <v/>
      </c>
      <c r="W44" s="78" t="str">
        <f t="shared" ref="W44:W75" si="27">IF(C44="","",IF($D44="",$F44,""))</f>
        <v/>
      </c>
      <c r="X44" s="66" t="str">
        <f t="shared" ref="X44:X75" si="28">IF($C44="","",IF($D44="",$G44,""))</f>
        <v/>
      </c>
      <c r="Y44" s="66" t="str">
        <f t="shared" ref="Y44:Y75" si="29">IF($C44="","",IF($D44="",$H44,""))</f>
        <v/>
      </c>
      <c r="Z44" s="67" t="str">
        <f t="shared" ref="Z44:Z75" si="30">IF($C44="","",IF($D44="",I44,""))</f>
        <v/>
      </c>
    </row>
    <row r="45" spans="1:26" s="5" customFormat="1" ht="17.25" customHeight="1">
      <c r="A45" s="84">
        <v>34</v>
      </c>
      <c r="B45" s="130"/>
      <c r="C45" s="130"/>
      <c r="D45" s="131"/>
      <c r="E45" s="96"/>
      <c r="F45" s="96"/>
      <c r="G45" s="132"/>
      <c r="H45" s="133"/>
      <c r="I45" s="134"/>
      <c r="J45" s="97"/>
      <c r="K45" s="62" t="str">
        <f t="shared" si="16"/>
        <v/>
      </c>
      <c r="L45" s="62" t="str">
        <f t="shared" si="17"/>
        <v/>
      </c>
      <c r="M45" s="62" t="str">
        <f t="shared" si="18"/>
        <v/>
      </c>
      <c r="N45" s="63" t="str">
        <f t="shared" si="19"/>
        <v/>
      </c>
      <c r="O45" s="64" t="str">
        <f t="shared" ref="O45:O76" si="31">IF($D45="","",G45/$F45)</f>
        <v/>
      </c>
      <c r="P45" s="93" t="str">
        <f t="shared" si="20"/>
        <v/>
      </c>
      <c r="Q45" s="94" t="str">
        <f t="shared" si="21"/>
        <v/>
      </c>
      <c r="R45" s="64" t="str">
        <f t="shared" si="22"/>
        <v/>
      </c>
      <c r="S45" s="93" t="str">
        <f t="shared" si="23"/>
        <v/>
      </c>
      <c r="T45" s="94" t="str">
        <f t="shared" si="24"/>
        <v/>
      </c>
      <c r="U45" s="64" t="str">
        <f t="shared" si="25"/>
        <v/>
      </c>
      <c r="V45" s="65" t="str">
        <f t="shared" si="26"/>
        <v/>
      </c>
      <c r="W45" s="78" t="str">
        <f t="shared" si="27"/>
        <v/>
      </c>
      <c r="X45" s="66" t="str">
        <f t="shared" si="28"/>
        <v/>
      </c>
      <c r="Y45" s="66" t="str">
        <f t="shared" si="29"/>
        <v/>
      </c>
      <c r="Z45" s="67" t="str">
        <f t="shared" si="30"/>
        <v/>
      </c>
    </row>
    <row r="46" spans="1:26" s="5" customFormat="1" ht="17.25" customHeight="1">
      <c r="A46" s="84">
        <v>35</v>
      </c>
      <c r="B46" s="130"/>
      <c r="C46" s="130"/>
      <c r="D46" s="131"/>
      <c r="E46" s="96"/>
      <c r="F46" s="96"/>
      <c r="G46" s="132"/>
      <c r="H46" s="133"/>
      <c r="I46" s="134"/>
      <c r="J46" s="97"/>
      <c r="K46" s="62" t="str">
        <f t="shared" si="16"/>
        <v/>
      </c>
      <c r="L46" s="62" t="str">
        <f t="shared" si="17"/>
        <v/>
      </c>
      <c r="M46" s="62" t="str">
        <f t="shared" si="18"/>
        <v/>
      </c>
      <c r="N46" s="63" t="str">
        <f t="shared" si="19"/>
        <v/>
      </c>
      <c r="O46" s="64" t="str">
        <f t="shared" si="31"/>
        <v/>
      </c>
      <c r="P46" s="93" t="str">
        <f t="shared" si="20"/>
        <v/>
      </c>
      <c r="Q46" s="94" t="str">
        <f t="shared" si="21"/>
        <v/>
      </c>
      <c r="R46" s="64" t="str">
        <f t="shared" si="22"/>
        <v/>
      </c>
      <c r="S46" s="93" t="str">
        <f t="shared" si="23"/>
        <v/>
      </c>
      <c r="T46" s="94" t="str">
        <f t="shared" si="24"/>
        <v/>
      </c>
      <c r="U46" s="64" t="str">
        <f t="shared" si="25"/>
        <v/>
      </c>
      <c r="V46" s="65" t="str">
        <f t="shared" si="26"/>
        <v/>
      </c>
      <c r="W46" s="78" t="str">
        <f t="shared" si="27"/>
        <v/>
      </c>
      <c r="X46" s="66" t="str">
        <f t="shared" si="28"/>
        <v/>
      </c>
      <c r="Y46" s="66" t="str">
        <f t="shared" si="29"/>
        <v/>
      </c>
      <c r="Z46" s="67" t="str">
        <f t="shared" si="30"/>
        <v/>
      </c>
    </row>
    <row r="47" spans="1:26" s="5" customFormat="1" ht="17.25" customHeight="1">
      <c r="A47" s="84">
        <v>36</v>
      </c>
      <c r="B47" s="130"/>
      <c r="C47" s="130"/>
      <c r="D47" s="131"/>
      <c r="E47" s="96"/>
      <c r="F47" s="96"/>
      <c r="G47" s="132"/>
      <c r="H47" s="133"/>
      <c r="I47" s="134"/>
      <c r="J47" s="97"/>
      <c r="K47" s="62" t="str">
        <f t="shared" si="16"/>
        <v/>
      </c>
      <c r="L47" s="62" t="str">
        <f t="shared" si="17"/>
        <v/>
      </c>
      <c r="M47" s="62" t="str">
        <f t="shared" si="18"/>
        <v/>
      </c>
      <c r="N47" s="63" t="str">
        <f t="shared" si="19"/>
        <v/>
      </c>
      <c r="O47" s="64" t="str">
        <f t="shared" si="31"/>
        <v/>
      </c>
      <c r="P47" s="93" t="str">
        <f t="shared" si="20"/>
        <v/>
      </c>
      <c r="Q47" s="94" t="str">
        <f t="shared" si="21"/>
        <v/>
      </c>
      <c r="R47" s="64" t="str">
        <f t="shared" si="22"/>
        <v/>
      </c>
      <c r="S47" s="93" t="str">
        <f t="shared" si="23"/>
        <v/>
      </c>
      <c r="T47" s="94" t="str">
        <f t="shared" si="24"/>
        <v/>
      </c>
      <c r="U47" s="64" t="str">
        <f t="shared" si="25"/>
        <v/>
      </c>
      <c r="V47" s="65" t="str">
        <f t="shared" si="26"/>
        <v/>
      </c>
      <c r="W47" s="78" t="str">
        <f t="shared" si="27"/>
        <v/>
      </c>
      <c r="X47" s="66" t="str">
        <f t="shared" si="28"/>
        <v/>
      </c>
      <c r="Y47" s="66" t="str">
        <f t="shared" si="29"/>
        <v/>
      </c>
      <c r="Z47" s="67" t="str">
        <f t="shared" si="30"/>
        <v/>
      </c>
    </row>
    <row r="48" spans="1:26" s="5" customFormat="1" ht="17.25" customHeight="1">
      <c r="A48" s="84">
        <v>37</v>
      </c>
      <c r="B48" s="130"/>
      <c r="C48" s="130"/>
      <c r="D48" s="131"/>
      <c r="E48" s="96"/>
      <c r="F48" s="96"/>
      <c r="G48" s="132"/>
      <c r="H48" s="133"/>
      <c r="I48" s="134"/>
      <c r="J48" s="97"/>
      <c r="K48" s="62" t="str">
        <f t="shared" si="16"/>
        <v/>
      </c>
      <c r="L48" s="62" t="str">
        <f t="shared" si="17"/>
        <v/>
      </c>
      <c r="M48" s="62" t="str">
        <f t="shared" si="18"/>
        <v/>
      </c>
      <c r="N48" s="63" t="str">
        <f t="shared" si="19"/>
        <v/>
      </c>
      <c r="O48" s="64" t="str">
        <f t="shared" si="31"/>
        <v/>
      </c>
      <c r="P48" s="93" t="str">
        <f t="shared" si="20"/>
        <v/>
      </c>
      <c r="Q48" s="94" t="str">
        <f t="shared" si="21"/>
        <v/>
      </c>
      <c r="R48" s="64" t="str">
        <f t="shared" si="22"/>
        <v/>
      </c>
      <c r="S48" s="93" t="str">
        <f t="shared" si="23"/>
        <v/>
      </c>
      <c r="T48" s="94" t="str">
        <f t="shared" si="24"/>
        <v/>
      </c>
      <c r="U48" s="64" t="str">
        <f t="shared" si="25"/>
        <v/>
      </c>
      <c r="V48" s="65" t="str">
        <f t="shared" si="26"/>
        <v/>
      </c>
      <c r="W48" s="78" t="str">
        <f t="shared" si="27"/>
        <v/>
      </c>
      <c r="X48" s="66" t="str">
        <f t="shared" si="28"/>
        <v/>
      </c>
      <c r="Y48" s="66" t="str">
        <f t="shared" si="29"/>
        <v/>
      </c>
      <c r="Z48" s="67" t="str">
        <f t="shared" si="30"/>
        <v/>
      </c>
    </row>
    <row r="49" spans="1:26" s="5" customFormat="1" ht="17.25" customHeight="1">
      <c r="A49" s="84">
        <v>38</v>
      </c>
      <c r="B49" s="130"/>
      <c r="C49" s="130"/>
      <c r="D49" s="131"/>
      <c r="E49" s="96"/>
      <c r="F49" s="96"/>
      <c r="G49" s="132"/>
      <c r="H49" s="133"/>
      <c r="I49" s="134"/>
      <c r="J49" s="97"/>
      <c r="K49" s="62" t="str">
        <f t="shared" si="16"/>
        <v/>
      </c>
      <c r="L49" s="62" t="str">
        <f t="shared" si="17"/>
        <v/>
      </c>
      <c r="M49" s="62" t="str">
        <f t="shared" si="18"/>
        <v/>
      </c>
      <c r="N49" s="63" t="str">
        <f t="shared" si="19"/>
        <v/>
      </c>
      <c r="O49" s="64" t="str">
        <f t="shared" si="31"/>
        <v/>
      </c>
      <c r="P49" s="93" t="str">
        <f t="shared" si="20"/>
        <v/>
      </c>
      <c r="Q49" s="94" t="str">
        <f t="shared" si="21"/>
        <v/>
      </c>
      <c r="R49" s="64" t="str">
        <f t="shared" si="22"/>
        <v/>
      </c>
      <c r="S49" s="93" t="str">
        <f t="shared" si="23"/>
        <v/>
      </c>
      <c r="T49" s="94" t="str">
        <f t="shared" si="24"/>
        <v/>
      </c>
      <c r="U49" s="64" t="str">
        <f t="shared" si="25"/>
        <v/>
      </c>
      <c r="V49" s="65" t="str">
        <f t="shared" si="26"/>
        <v/>
      </c>
      <c r="W49" s="78" t="str">
        <f t="shared" si="27"/>
        <v/>
      </c>
      <c r="X49" s="66" t="str">
        <f t="shared" si="28"/>
        <v/>
      </c>
      <c r="Y49" s="66" t="str">
        <f t="shared" si="29"/>
        <v/>
      </c>
      <c r="Z49" s="67" t="str">
        <f t="shared" si="30"/>
        <v/>
      </c>
    </row>
    <row r="50" spans="1:26" s="5" customFormat="1" ht="17.25" customHeight="1">
      <c r="A50" s="84">
        <v>39</v>
      </c>
      <c r="B50" s="130"/>
      <c r="C50" s="130"/>
      <c r="D50" s="131"/>
      <c r="E50" s="96"/>
      <c r="F50" s="96"/>
      <c r="G50" s="132"/>
      <c r="H50" s="133"/>
      <c r="I50" s="134"/>
      <c r="J50" s="97"/>
      <c r="K50" s="62" t="str">
        <f t="shared" si="16"/>
        <v/>
      </c>
      <c r="L50" s="62" t="str">
        <f t="shared" si="17"/>
        <v/>
      </c>
      <c r="M50" s="62" t="str">
        <f t="shared" si="18"/>
        <v/>
      </c>
      <c r="N50" s="63" t="str">
        <f t="shared" si="19"/>
        <v/>
      </c>
      <c r="O50" s="64" t="str">
        <f t="shared" si="31"/>
        <v/>
      </c>
      <c r="P50" s="93" t="str">
        <f t="shared" si="20"/>
        <v/>
      </c>
      <c r="Q50" s="94" t="str">
        <f t="shared" si="21"/>
        <v/>
      </c>
      <c r="R50" s="64" t="str">
        <f t="shared" si="22"/>
        <v/>
      </c>
      <c r="S50" s="93" t="str">
        <f t="shared" si="23"/>
        <v/>
      </c>
      <c r="T50" s="94" t="str">
        <f t="shared" si="24"/>
        <v/>
      </c>
      <c r="U50" s="64" t="str">
        <f t="shared" si="25"/>
        <v/>
      </c>
      <c r="V50" s="65" t="str">
        <f t="shared" si="26"/>
        <v/>
      </c>
      <c r="W50" s="78" t="str">
        <f t="shared" si="27"/>
        <v/>
      </c>
      <c r="X50" s="66" t="str">
        <f t="shared" si="28"/>
        <v/>
      </c>
      <c r="Y50" s="66" t="str">
        <f t="shared" si="29"/>
        <v/>
      </c>
      <c r="Z50" s="67" t="str">
        <f t="shared" si="30"/>
        <v/>
      </c>
    </row>
    <row r="51" spans="1:26" s="5" customFormat="1" ht="17.25" customHeight="1">
      <c r="A51" s="84">
        <v>40</v>
      </c>
      <c r="B51" s="130"/>
      <c r="C51" s="130"/>
      <c r="D51" s="131"/>
      <c r="E51" s="96"/>
      <c r="F51" s="96"/>
      <c r="G51" s="132"/>
      <c r="H51" s="133"/>
      <c r="I51" s="134"/>
      <c r="J51" s="97"/>
      <c r="K51" s="62" t="str">
        <f t="shared" si="16"/>
        <v/>
      </c>
      <c r="L51" s="62" t="str">
        <f t="shared" si="17"/>
        <v/>
      </c>
      <c r="M51" s="62" t="str">
        <f t="shared" si="18"/>
        <v/>
      </c>
      <c r="N51" s="63" t="str">
        <f t="shared" si="19"/>
        <v/>
      </c>
      <c r="O51" s="64" t="str">
        <f t="shared" si="31"/>
        <v/>
      </c>
      <c r="P51" s="93" t="str">
        <f t="shared" si="20"/>
        <v/>
      </c>
      <c r="Q51" s="94" t="str">
        <f t="shared" si="21"/>
        <v/>
      </c>
      <c r="R51" s="64" t="str">
        <f t="shared" si="22"/>
        <v/>
      </c>
      <c r="S51" s="93" t="str">
        <f t="shared" si="23"/>
        <v/>
      </c>
      <c r="T51" s="94" t="str">
        <f t="shared" si="24"/>
        <v/>
      </c>
      <c r="U51" s="64" t="str">
        <f t="shared" si="25"/>
        <v/>
      </c>
      <c r="V51" s="65" t="str">
        <f t="shared" si="26"/>
        <v/>
      </c>
      <c r="W51" s="78" t="str">
        <f t="shared" si="27"/>
        <v/>
      </c>
      <c r="X51" s="66" t="str">
        <f t="shared" si="28"/>
        <v/>
      </c>
      <c r="Y51" s="66" t="str">
        <f t="shared" si="29"/>
        <v/>
      </c>
      <c r="Z51" s="67" t="str">
        <f t="shared" si="30"/>
        <v/>
      </c>
    </row>
    <row r="52" spans="1:26" s="5" customFormat="1" ht="17.25" customHeight="1">
      <c r="A52" s="84">
        <v>41</v>
      </c>
      <c r="B52" s="130"/>
      <c r="C52" s="130"/>
      <c r="D52" s="131"/>
      <c r="E52" s="96"/>
      <c r="F52" s="96"/>
      <c r="G52" s="132"/>
      <c r="H52" s="133"/>
      <c r="I52" s="134"/>
      <c r="J52" s="97"/>
      <c r="K52" s="62" t="str">
        <f t="shared" si="16"/>
        <v/>
      </c>
      <c r="L52" s="62" t="str">
        <f t="shared" si="17"/>
        <v/>
      </c>
      <c r="M52" s="62" t="str">
        <f t="shared" si="18"/>
        <v/>
      </c>
      <c r="N52" s="63" t="str">
        <f t="shared" si="19"/>
        <v/>
      </c>
      <c r="O52" s="64" t="str">
        <f t="shared" si="31"/>
        <v/>
      </c>
      <c r="P52" s="93" t="str">
        <f t="shared" si="20"/>
        <v/>
      </c>
      <c r="Q52" s="94" t="str">
        <f t="shared" si="21"/>
        <v/>
      </c>
      <c r="R52" s="64" t="str">
        <f t="shared" si="22"/>
        <v/>
      </c>
      <c r="S52" s="93" t="str">
        <f t="shared" si="23"/>
        <v/>
      </c>
      <c r="T52" s="94" t="str">
        <f t="shared" si="24"/>
        <v/>
      </c>
      <c r="U52" s="64" t="str">
        <f t="shared" si="25"/>
        <v/>
      </c>
      <c r="V52" s="65" t="str">
        <f t="shared" si="26"/>
        <v/>
      </c>
      <c r="W52" s="78" t="str">
        <f t="shared" si="27"/>
        <v/>
      </c>
      <c r="X52" s="66" t="str">
        <f t="shared" si="28"/>
        <v/>
      </c>
      <c r="Y52" s="66" t="str">
        <f t="shared" si="29"/>
        <v/>
      </c>
      <c r="Z52" s="67" t="str">
        <f t="shared" si="30"/>
        <v/>
      </c>
    </row>
    <row r="53" spans="1:26" s="5" customFormat="1" ht="17.25" customHeight="1">
      <c r="A53" s="84">
        <v>42</v>
      </c>
      <c r="B53" s="130"/>
      <c r="C53" s="130"/>
      <c r="D53" s="131"/>
      <c r="E53" s="96"/>
      <c r="F53" s="96"/>
      <c r="G53" s="132"/>
      <c r="H53" s="133"/>
      <c r="I53" s="134"/>
      <c r="J53" s="97"/>
      <c r="K53" s="62" t="str">
        <f t="shared" si="16"/>
        <v/>
      </c>
      <c r="L53" s="62" t="str">
        <f t="shared" si="17"/>
        <v/>
      </c>
      <c r="M53" s="62" t="str">
        <f t="shared" si="18"/>
        <v/>
      </c>
      <c r="N53" s="63" t="str">
        <f t="shared" si="19"/>
        <v/>
      </c>
      <c r="O53" s="64" t="str">
        <f t="shared" si="31"/>
        <v/>
      </c>
      <c r="P53" s="93" t="str">
        <f t="shared" si="20"/>
        <v/>
      </c>
      <c r="Q53" s="94" t="str">
        <f t="shared" si="21"/>
        <v/>
      </c>
      <c r="R53" s="64" t="str">
        <f t="shared" si="22"/>
        <v/>
      </c>
      <c r="S53" s="93" t="str">
        <f t="shared" si="23"/>
        <v/>
      </c>
      <c r="T53" s="94" t="str">
        <f t="shared" si="24"/>
        <v/>
      </c>
      <c r="U53" s="64" t="str">
        <f t="shared" si="25"/>
        <v/>
      </c>
      <c r="V53" s="65" t="str">
        <f t="shared" si="26"/>
        <v/>
      </c>
      <c r="W53" s="78" t="str">
        <f t="shared" si="27"/>
        <v/>
      </c>
      <c r="X53" s="66" t="str">
        <f t="shared" si="28"/>
        <v/>
      </c>
      <c r="Y53" s="66" t="str">
        <f t="shared" si="29"/>
        <v/>
      </c>
      <c r="Z53" s="67" t="str">
        <f t="shared" si="30"/>
        <v/>
      </c>
    </row>
    <row r="54" spans="1:26" s="5" customFormat="1" ht="17.25" customHeight="1">
      <c r="A54" s="84">
        <v>43</v>
      </c>
      <c r="B54" s="130"/>
      <c r="C54" s="130"/>
      <c r="D54" s="131"/>
      <c r="E54" s="96"/>
      <c r="F54" s="96"/>
      <c r="G54" s="132"/>
      <c r="H54" s="133"/>
      <c r="I54" s="134"/>
      <c r="J54" s="97"/>
      <c r="K54" s="62" t="str">
        <f t="shared" si="16"/>
        <v/>
      </c>
      <c r="L54" s="62" t="str">
        <f t="shared" si="17"/>
        <v/>
      </c>
      <c r="M54" s="62" t="str">
        <f t="shared" si="18"/>
        <v/>
      </c>
      <c r="N54" s="63" t="str">
        <f t="shared" si="19"/>
        <v/>
      </c>
      <c r="O54" s="64" t="str">
        <f t="shared" si="31"/>
        <v/>
      </c>
      <c r="P54" s="93" t="str">
        <f t="shared" si="20"/>
        <v/>
      </c>
      <c r="Q54" s="94" t="str">
        <f t="shared" si="21"/>
        <v/>
      </c>
      <c r="R54" s="64" t="str">
        <f t="shared" si="22"/>
        <v/>
      </c>
      <c r="S54" s="93" t="str">
        <f t="shared" si="23"/>
        <v/>
      </c>
      <c r="T54" s="94" t="str">
        <f t="shared" si="24"/>
        <v/>
      </c>
      <c r="U54" s="64" t="str">
        <f t="shared" si="25"/>
        <v/>
      </c>
      <c r="V54" s="65" t="str">
        <f t="shared" si="26"/>
        <v/>
      </c>
      <c r="W54" s="78" t="str">
        <f t="shared" si="27"/>
        <v/>
      </c>
      <c r="X54" s="66" t="str">
        <f t="shared" si="28"/>
        <v/>
      </c>
      <c r="Y54" s="66" t="str">
        <f t="shared" si="29"/>
        <v/>
      </c>
      <c r="Z54" s="67" t="str">
        <f t="shared" si="30"/>
        <v/>
      </c>
    </row>
    <row r="55" spans="1:26" s="5" customFormat="1" ht="17.25" customHeight="1">
      <c r="A55" s="84">
        <v>44</v>
      </c>
      <c r="B55" s="130"/>
      <c r="C55" s="130"/>
      <c r="D55" s="131"/>
      <c r="E55" s="96"/>
      <c r="F55" s="96"/>
      <c r="G55" s="132"/>
      <c r="H55" s="133"/>
      <c r="I55" s="134"/>
      <c r="J55" s="97"/>
      <c r="K55" s="62" t="str">
        <f t="shared" si="16"/>
        <v/>
      </c>
      <c r="L55" s="62" t="str">
        <f t="shared" si="17"/>
        <v/>
      </c>
      <c r="M55" s="62" t="str">
        <f t="shared" si="18"/>
        <v/>
      </c>
      <c r="N55" s="63" t="str">
        <f t="shared" si="19"/>
        <v/>
      </c>
      <c r="O55" s="64" t="str">
        <f t="shared" si="31"/>
        <v/>
      </c>
      <c r="P55" s="93" t="str">
        <f t="shared" si="20"/>
        <v/>
      </c>
      <c r="Q55" s="94" t="str">
        <f t="shared" si="21"/>
        <v/>
      </c>
      <c r="R55" s="64" t="str">
        <f t="shared" si="22"/>
        <v/>
      </c>
      <c r="S55" s="93" t="str">
        <f t="shared" si="23"/>
        <v/>
      </c>
      <c r="T55" s="94" t="str">
        <f t="shared" si="24"/>
        <v/>
      </c>
      <c r="U55" s="64" t="str">
        <f t="shared" si="25"/>
        <v/>
      </c>
      <c r="V55" s="65" t="str">
        <f t="shared" si="26"/>
        <v/>
      </c>
      <c r="W55" s="78" t="str">
        <f t="shared" si="27"/>
        <v/>
      </c>
      <c r="X55" s="66" t="str">
        <f t="shared" si="28"/>
        <v/>
      </c>
      <c r="Y55" s="66" t="str">
        <f t="shared" si="29"/>
        <v/>
      </c>
      <c r="Z55" s="67" t="str">
        <f t="shared" si="30"/>
        <v/>
      </c>
    </row>
    <row r="56" spans="1:26" s="5" customFormat="1" ht="17.25" customHeight="1">
      <c r="A56" s="84">
        <v>45</v>
      </c>
      <c r="B56" s="130"/>
      <c r="C56" s="130"/>
      <c r="D56" s="131"/>
      <c r="E56" s="96"/>
      <c r="F56" s="96"/>
      <c r="G56" s="132"/>
      <c r="H56" s="133"/>
      <c r="I56" s="134"/>
      <c r="J56" s="97"/>
      <c r="K56" s="62" t="str">
        <f t="shared" si="16"/>
        <v/>
      </c>
      <c r="L56" s="62" t="str">
        <f t="shared" si="17"/>
        <v/>
      </c>
      <c r="M56" s="62" t="str">
        <f t="shared" si="18"/>
        <v/>
      </c>
      <c r="N56" s="63" t="str">
        <f t="shared" si="19"/>
        <v/>
      </c>
      <c r="O56" s="64" t="str">
        <f t="shared" si="31"/>
        <v/>
      </c>
      <c r="P56" s="93" t="str">
        <f t="shared" si="20"/>
        <v/>
      </c>
      <c r="Q56" s="94" t="str">
        <f t="shared" si="21"/>
        <v/>
      </c>
      <c r="R56" s="64" t="str">
        <f t="shared" si="22"/>
        <v/>
      </c>
      <c r="S56" s="93" t="str">
        <f t="shared" si="23"/>
        <v/>
      </c>
      <c r="T56" s="94" t="str">
        <f t="shared" si="24"/>
        <v/>
      </c>
      <c r="U56" s="64" t="str">
        <f t="shared" si="25"/>
        <v/>
      </c>
      <c r="V56" s="65" t="str">
        <f t="shared" si="26"/>
        <v/>
      </c>
      <c r="W56" s="78" t="str">
        <f t="shared" si="27"/>
        <v/>
      </c>
      <c r="X56" s="66" t="str">
        <f t="shared" si="28"/>
        <v/>
      </c>
      <c r="Y56" s="66" t="str">
        <f t="shared" si="29"/>
        <v/>
      </c>
      <c r="Z56" s="67" t="str">
        <f t="shared" si="30"/>
        <v/>
      </c>
    </row>
    <row r="57" spans="1:26" s="5" customFormat="1" ht="17.25" customHeight="1">
      <c r="A57" s="84">
        <v>46</v>
      </c>
      <c r="B57" s="130"/>
      <c r="C57" s="130"/>
      <c r="D57" s="131"/>
      <c r="E57" s="96"/>
      <c r="F57" s="96"/>
      <c r="G57" s="132"/>
      <c r="H57" s="133"/>
      <c r="I57" s="134"/>
      <c r="J57" s="97"/>
      <c r="K57" s="62" t="str">
        <f t="shared" si="16"/>
        <v/>
      </c>
      <c r="L57" s="62" t="str">
        <f t="shared" si="17"/>
        <v/>
      </c>
      <c r="M57" s="62" t="str">
        <f t="shared" si="18"/>
        <v/>
      </c>
      <c r="N57" s="63" t="str">
        <f t="shared" si="19"/>
        <v/>
      </c>
      <c r="O57" s="64" t="str">
        <f t="shared" si="31"/>
        <v/>
      </c>
      <c r="P57" s="93" t="str">
        <f t="shared" si="20"/>
        <v/>
      </c>
      <c r="Q57" s="94" t="str">
        <f t="shared" si="21"/>
        <v/>
      </c>
      <c r="R57" s="64" t="str">
        <f t="shared" si="22"/>
        <v/>
      </c>
      <c r="S57" s="93" t="str">
        <f t="shared" si="23"/>
        <v/>
      </c>
      <c r="T57" s="94" t="str">
        <f t="shared" si="24"/>
        <v/>
      </c>
      <c r="U57" s="64" t="str">
        <f t="shared" si="25"/>
        <v/>
      </c>
      <c r="V57" s="65" t="str">
        <f t="shared" si="26"/>
        <v/>
      </c>
      <c r="W57" s="78" t="str">
        <f t="shared" si="27"/>
        <v/>
      </c>
      <c r="X57" s="66" t="str">
        <f t="shared" si="28"/>
        <v/>
      </c>
      <c r="Y57" s="66" t="str">
        <f t="shared" si="29"/>
        <v/>
      </c>
      <c r="Z57" s="67" t="str">
        <f t="shared" si="30"/>
        <v/>
      </c>
    </row>
    <row r="58" spans="1:26" s="5" customFormat="1" ht="17.25" customHeight="1">
      <c r="A58" s="84">
        <v>47</v>
      </c>
      <c r="B58" s="130"/>
      <c r="C58" s="130"/>
      <c r="D58" s="131"/>
      <c r="E58" s="96"/>
      <c r="F58" s="96"/>
      <c r="G58" s="132"/>
      <c r="H58" s="133"/>
      <c r="I58" s="134"/>
      <c r="J58" s="97"/>
      <c r="K58" s="62" t="str">
        <f t="shared" si="16"/>
        <v/>
      </c>
      <c r="L58" s="62" t="str">
        <f t="shared" si="17"/>
        <v/>
      </c>
      <c r="M58" s="62" t="str">
        <f t="shared" si="18"/>
        <v/>
      </c>
      <c r="N58" s="63" t="str">
        <f t="shared" si="19"/>
        <v/>
      </c>
      <c r="O58" s="64" t="str">
        <f t="shared" si="31"/>
        <v/>
      </c>
      <c r="P58" s="93" t="str">
        <f t="shared" si="20"/>
        <v/>
      </c>
      <c r="Q58" s="94" t="str">
        <f t="shared" si="21"/>
        <v/>
      </c>
      <c r="R58" s="64" t="str">
        <f t="shared" si="22"/>
        <v/>
      </c>
      <c r="S58" s="93" t="str">
        <f t="shared" si="23"/>
        <v/>
      </c>
      <c r="T58" s="94" t="str">
        <f t="shared" si="24"/>
        <v/>
      </c>
      <c r="U58" s="64" t="str">
        <f t="shared" si="25"/>
        <v/>
      </c>
      <c r="V58" s="65" t="str">
        <f t="shared" si="26"/>
        <v/>
      </c>
      <c r="W58" s="78" t="str">
        <f t="shared" si="27"/>
        <v/>
      </c>
      <c r="X58" s="66" t="str">
        <f t="shared" si="28"/>
        <v/>
      </c>
      <c r="Y58" s="66" t="str">
        <f t="shared" si="29"/>
        <v/>
      </c>
      <c r="Z58" s="67" t="str">
        <f t="shared" si="30"/>
        <v/>
      </c>
    </row>
    <row r="59" spans="1:26" s="5" customFormat="1" ht="17.25" customHeight="1">
      <c r="A59" s="84">
        <v>48</v>
      </c>
      <c r="B59" s="130"/>
      <c r="C59" s="130"/>
      <c r="D59" s="131"/>
      <c r="E59" s="96"/>
      <c r="F59" s="96"/>
      <c r="G59" s="132"/>
      <c r="H59" s="133"/>
      <c r="I59" s="134"/>
      <c r="J59" s="97"/>
      <c r="K59" s="62" t="str">
        <f t="shared" si="16"/>
        <v/>
      </c>
      <c r="L59" s="62" t="str">
        <f t="shared" si="17"/>
        <v/>
      </c>
      <c r="M59" s="62" t="str">
        <f t="shared" si="18"/>
        <v/>
      </c>
      <c r="N59" s="63" t="str">
        <f t="shared" si="19"/>
        <v/>
      </c>
      <c r="O59" s="64" t="str">
        <f t="shared" si="31"/>
        <v/>
      </c>
      <c r="P59" s="93" t="str">
        <f t="shared" si="20"/>
        <v/>
      </c>
      <c r="Q59" s="94" t="str">
        <f t="shared" si="21"/>
        <v/>
      </c>
      <c r="R59" s="64" t="str">
        <f t="shared" si="22"/>
        <v/>
      </c>
      <c r="S59" s="93" t="str">
        <f t="shared" si="23"/>
        <v/>
      </c>
      <c r="T59" s="94" t="str">
        <f t="shared" si="24"/>
        <v/>
      </c>
      <c r="U59" s="64" t="str">
        <f t="shared" si="25"/>
        <v/>
      </c>
      <c r="V59" s="65" t="str">
        <f t="shared" si="26"/>
        <v/>
      </c>
      <c r="W59" s="78" t="str">
        <f t="shared" si="27"/>
        <v/>
      </c>
      <c r="X59" s="66" t="str">
        <f t="shared" si="28"/>
        <v/>
      </c>
      <c r="Y59" s="66" t="str">
        <f t="shared" si="29"/>
        <v/>
      </c>
      <c r="Z59" s="67" t="str">
        <f t="shared" si="30"/>
        <v/>
      </c>
    </row>
    <row r="60" spans="1:26" s="5" customFormat="1" ht="17.25" customHeight="1">
      <c r="A60" s="84">
        <v>49</v>
      </c>
      <c r="B60" s="130"/>
      <c r="C60" s="130"/>
      <c r="D60" s="131"/>
      <c r="E60" s="96"/>
      <c r="F60" s="96"/>
      <c r="G60" s="132"/>
      <c r="H60" s="133"/>
      <c r="I60" s="134"/>
      <c r="J60" s="97"/>
      <c r="K60" s="62" t="str">
        <f t="shared" si="16"/>
        <v/>
      </c>
      <c r="L60" s="62" t="str">
        <f t="shared" si="17"/>
        <v/>
      </c>
      <c r="M60" s="62" t="str">
        <f t="shared" si="18"/>
        <v/>
      </c>
      <c r="N60" s="63" t="str">
        <f t="shared" si="19"/>
        <v/>
      </c>
      <c r="O60" s="64" t="str">
        <f t="shared" si="31"/>
        <v/>
      </c>
      <c r="P60" s="93" t="str">
        <f t="shared" si="20"/>
        <v/>
      </c>
      <c r="Q60" s="94" t="str">
        <f t="shared" si="21"/>
        <v/>
      </c>
      <c r="R60" s="64" t="str">
        <f t="shared" si="22"/>
        <v/>
      </c>
      <c r="S60" s="93" t="str">
        <f t="shared" si="23"/>
        <v/>
      </c>
      <c r="T60" s="94" t="str">
        <f t="shared" si="24"/>
        <v/>
      </c>
      <c r="U60" s="64" t="str">
        <f t="shared" si="25"/>
        <v/>
      </c>
      <c r="V60" s="65" t="str">
        <f t="shared" si="26"/>
        <v/>
      </c>
      <c r="W60" s="78" t="str">
        <f t="shared" si="27"/>
        <v/>
      </c>
      <c r="X60" s="66" t="str">
        <f t="shared" si="28"/>
        <v/>
      </c>
      <c r="Y60" s="66" t="str">
        <f t="shared" si="29"/>
        <v/>
      </c>
      <c r="Z60" s="67" t="str">
        <f t="shared" si="30"/>
        <v/>
      </c>
    </row>
    <row r="61" spans="1:26" s="5" customFormat="1" ht="17.25" customHeight="1">
      <c r="A61" s="84">
        <v>50</v>
      </c>
      <c r="B61" s="130"/>
      <c r="C61" s="130"/>
      <c r="D61" s="131"/>
      <c r="E61" s="96"/>
      <c r="F61" s="96"/>
      <c r="G61" s="132"/>
      <c r="H61" s="133"/>
      <c r="I61" s="134"/>
      <c r="J61" s="97"/>
      <c r="K61" s="62" t="str">
        <f t="shared" si="16"/>
        <v/>
      </c>
      <c r="L61" s="62" t="str">
        <f t="shared" si="17"/>
        <v/>
      </c>
      <c r="M61" s="62" t="str">
        <f t="shared" si="18"/>
        <v/>
      </c>
      <c r="N61" s="63" t="str">
        <f t="shared" si="19"/>
        <v/>
      </c>
      <c r="O61" s="64" t="str">
        <f t="shared" si="31"/>
        <v/>
      </c>
      <c r="P61" s="93" t="str">
        <f t="shared" si="20"/>
        <v/>
      </c>
      <c r="Q61" s="94" t="str">
        <f t="shared" si="21"/>
        <v/>
      </c>
      <c r="R61" s="64" t="str">
        <f t="shared" si="22"/>
        <v/>
      </c>
      <c r="S61" s="93" t="str">
        <f t="shared" si="23"/>
        <v/>
      </c>
      <c r="T61" s="94" t="str">
        <f t="shared" si="24"/>
        <v/>
      </c>
      <c r="U61" s="64" t="str">
        <f t="shared" si="25"/>
        <v/>
      </c>
      <c r="V61" s="65" t="str">
        <f t="shared" si="26"/>
        <v/>
      </c>
      <c r="W61" s="78" t="str">
        <f t="shared" si="27"/>
        <v/>
      </c>
      <c r="X61" s="66" t="str">
        <f t="shared" si="28"/>
        <v/>
      </c>
      <c r="Y61" s="66" t="str">
        <f t="shared" si="29"/>
        <v/>
      </c>
      <c r="Z61" s="67" t="str">
        <f t="shared" si="30"/>
        <v/>
      </c>
    </row>
    <row r="62" spans="1:26" s="5" customFormat="1" ht="17.25" customHeight="1">
      <c r="A62" s="84">
        <v>51</v>
      </c>
      <c r="B62" s="130"/>
      <c r="C62" s="130"/>
      <c r="D62" s="131"/>
      <c r="E62" s="96"/>
      <c r="F62" s="96"/>
      <c r="G62" s="132"/>
      <c r="H62" s="133"/>
      <c r="I62" s="134"/>
      <c r="J62" s="97"/>
      <c r="K62" s="62" t="str">
        <f t="shared" si="16"/>
        <v/>
      </c>
      <c r="L62" s="62" t="str">
        <f t="shared" si="17"/>
        <v/>
      </c>
      <c r="M62" s="62" t="str">
        <f t="shared" si="18"/>
        <v/>
      </c>
      <c r="N62" s="63" t="str">
        <f t="shared" si="19"/>
        <v/>
      </c>
      <c r="O62" s="64" t="str">
        <f t="shared" si="31"/>
        <v/>
      </c>
      <c r="P62" s="93" t="str">
        <f t="shared" si="20"/>
        <v/>
      </c>
      <c r="Q62" s="94" t="str">
        <f t="shared" si="21"/>
        <v/>
      </c>
      <c r="R62" s="64" t="str">
        <f t="shared" si="22"/>
        <v/>
      </c>
      <c r="S62" s="93" t="str">
        <f t="shared" si="23"/>
        <v/>
      </c>
      <c r="T62" s="94" t="str">
        <f t="shared" si="24"/>
        <v/>
      </c>
      <c r="U62" s="64" t="str">
        <f t="shared" si="25"/>
        <v/>
      </c>
      <c r="V62" s="65" t="str">
        <f t="shared" si="26"/>
        <v/>
      </c>
      <c r="W62" s="78" t="str">
        <f t="shared" si="27"/>
        <v/>
      </c>
      <c r="X62" s="66" t="str">
        <f t="shared" si="28"/>
        <v/>
      </c>
      <c r="Y62" s="66" t="str">
        <f t="shared" si="29"/>
        <v/>
      </c>
      <c r="Z62" s="67" t="str">
        <f t="shared" si="30"/>
        <v/>
      </c>
    </row>
    <row r="63" spans="1:26" s="5" customFormat="1" ht="17.25" customHeight="1">
      <c r="A63" s="84">
        <v>52</v>
      </c>
      <c r="B63" s="130"/>
      <c r="C63" s="130"/>
      <c r="D63" s="131"/>
      <c r="E63" s="96"/>
      <c r="F63" s="96"/>
      <c r="G63" s="132"/>
      <c r="H63" s="133"/>
      <c r="I63" s="134"/>
      <c r="J63" s="97"/>
      <c r="K63" s="62" t="str">
        <f t="shared" si="16"/>
        <v/>
      </c>
      <c r="L63" s="62" t="str">
        <f t="shared" si="17"/>
        <v/>
      </c>
      <c r="M63" s="62" t="str">
        <f t="shared" si="18"/>
        <v/>
      </c>
      <c r="N63" s="63" t="str">
        <f t="shared" si="19"/>
        <v/>
      </c>
      <c r="O63" s="64" t="str">
        <f t="shared" si="31"/>
        <v/>
      </c>
      <c r="P63" s="93" t="str">
        <f t="shared" si="20"/>
        <v/>
      </c>
      <c r="Q63" s="94" t="str">
        <f t="shared" si="21"/>
        <v/>
      </c>
      <c r="R63" s="64" t="str">
        <f t="shared" si="22"/>
        <v/>
      </c>
      <c r="S63" s="93" t="str">
        <f t="shared" si="23"/>
        <v/>
      </c>
      <c r="T63" s="94" t="str">
        <f t="shared" si="24"/>
        <v/>
      </c>
      <c r="U63" s="64" t="str">
        <f t="shared" si="25"/>
        <v/>
      </c>
      <c r="V63" s="65" t="str">
        <f t="shared" si="26"/>
        <v/>
      </c>
      <c r="W63" s="78" t="str">
        <f t="shared" si="27"/>
        <v/>
      </c>
      <c r="X63" s="66" t="str">
        <f t="shared" si="28"/>
        <v/>
      </c>
      <c r="Y63" s="66" t="str">
        <f t="shared" si="29"/>
        <v/>
      </c>
      <c r="Z63" s="67" t="str">
        <f t="shared" si="30"/>
        <v/>
      </c>
    </row>
    <row r="64" spans="1:26" s="5" customFormat="1" ht="17.25" customHeight="1">
      <c r="A64" s="84">
        <v>53</v>
      </c>
      <c r="B64" s="130"/>
      <c r="C64" s="130"/>
      <c r="D64" s="131"/>
      <c r="E64" s="96"/>
      <c r="F64" s="96"/>
      <c r="G64" s="132"/>
      <c r="H64" s="133"/>
      <c r="I64" s="134"/>
      <c r="J64" s="97"/>
      <c r="K64" s="62" t="str">
        <f t="shared" si="16"/>
        <v/>
      </c>
      <c r="L64" s="62" t="str">
        <f t="shared" si="17"/>
        <v/>
      </c>
      <c r="M64" s="62" t="str">
        <f t="shared" si="18"/>
        <v/>
      </c>
      <c r="N64" s="63" t="str">
        <f t="shared" si="19"/>
        <v/>
      </c>
      <c r="O64" s="64" t="str">
        <f t="shared" si="31"/>
        <v/>
      </c>
      <c r="P64" s="93" t="str">
        <f t="shared" si="20"/>
        <v/>
      </c>
      <c r="Q64" s="94" t="str">
        <f t="shared" si="21"/>
        <v/>
      </c>
      <c r="R64" s="64" t="str">
        <f t="shared" si="22"/>
        <v/>
      </c>
      <c r="S64" s="93" t="str">
        <f t="shared" si="23"/>
        <v/>
      </c>
      <c r="T64" s="94" t="str">
        <f t="shared" si="24"/>
        <v/>
      </c>
      <c r="U64" s="64" t="str">
        <f t="shared" si="25"/>
        <v/>
      </c>
      <c r="V64" s="65" t="str">
        <f t="shared" si="26"/>
        <v/>
      </c>
      <c r="W64" s="78" t="str">
        <f t="shared" si="27"/>
        <v/>
      </c>
      <c r="X64" s="66" t="str">
        <f t="shared" si="28"/>
        <v/>
      </c>
      <c r="Y64" s="66" t="str">
        <f t="shared" si="29"/>
        <v/>
      </c>
      <c r="Z64" s="67" t="str">
        <f t="shared" si="30"/>
        <v/>
      </c>
    </row>
    <row r="65" spans="1:26" s="5" customFormat="1" ht="17.25" customHeight="1">
      <c r="A65" s="84">
        <v>54</v>
      </c>
      <c r="B65" s="130"/>
      <c r="C65" s="130"/>
      <c r="D65" s="131"/>
      <c r="E65" s="96"/>
      <c r="F65" s="96"/>
      <c r="G65" s="132"/>
      <c r="H65" s="133"/>
      <c r="I65" s="134"/>
      <c r="J65" s="97"/>
      <c r="K65" s="62" t="str">
        <f t="shared" si="16"/>
        <v/>
      </c>
      <c r="L65" s="62" t="str">
        <f t="shared" si="17"/>
        <v/>
      </c>
      <c r="M65" s="62" t="str">
        <f t="shared" si="18"/>
        <v/>
      </c>
      <c r="N65" s="63" t="str">
        <f t="shared" si="19"/>
        <v/>
      </c>
      <c r="O65" s="64" t="str">
        <f t="shared" si="31"/>
        <v/>
      </c>
      <c r="P65" s="93" t="str">
        <f t="shared" si="20"/>
        <v/>
      </c>
      <c r="Q65" s="94" t="str">
        <f t="shared" si="21"/>
        <v/>
      </c>
      <c r="R65" s="64" t="str">
        <f t="shared" si="22"/>
        <v/>
      </c>
      <c r="S65" s="93" t="str">
        <f t="shared" si="23"/>
        <v/>
      </c>
      <c r="T65" s="94" t="str">
        <f t="shared" si="24"/>
        <v/>
      </c>
      <c r="U65" s="64" t="str">
        <f t="shared" si="25"/>
        <v/>
      </c>
      <c r="V65" s="65" t="str">
        <f t="shared" si="26"/>
        <v/>
      </c>
      <c r="W65" s="78" t="str">
        <f t="shared" si="27"/>
        <v/>
      </c>
      <c r="X65" s="66" t="str">
        <f t="shared" si="28"/>
        <v/>
      </c>
      <c r="Y65" s="66" t="str">
        <f t="shared" si="29"/>
        <v/>
      </c>
      <c r="Z65" s="67" t="str">
        <f t="shared" si="30"/>
        <v/>
      </c>
    </row>
    <row r="66" spans="1:26" s="5" customFormat="1" ht="17.25" customHeight="1">
      <c r="A66" s="84">
        <v>55</v>
      </c>
      <c r="B66" s="130"/>
      <c r="C66" s="130"/>
      <c r="D66" s="131"/>
      <c r="E66" s="96"/>
      <c r="F66" s="96"/>
      <c r="G66" s="132"/>
      <c r="H66" s="133"/>
      <c r="I66" s="134"/>
      <c r="J66" s="97"/>
      <c r="K66" s="62" t="str">
        <f t="shared" si="16"/>
        <v/>
      </c>
      <c r="L66" s="62" t="str">
        <f t="shared" si="17"/>
        <v/>
      </c>
      <c r="M66" s="62" t="str">
        <f t="shared" si="18"/>
        <v/>
      </c>
      <c r="N66" s="63" t="str">
        <f t="shared" si="19"/>
        <v/>
      </c>
      <c r="O66" s="64" t="str">
        <f t="shared" si="31"/>
        <v/>
      </c>
      <c r="P66" s="93" t="str">
        <f t="shared" si="20"/>
        <v/>
      </c>
      <c r="Q66" s="94" t="str">
        <f t="shared" si="21"/>
        <v/>
      </c>
      <c r="R66" s="64" t="str">
        <f t="shared" si="22"/>
        <v/>
      </c>
      <c r="S66" s="93" t="str">
        <f t="shared" si="23"/>
        <v/>
      </c>
      <c r="T66" s="94" t="str">
        <f t="shared" si="24"/>
        <v/>
      </c>
      <c r="U66" s="64" t="str">
        <f t="shared" si="25"/>
        <v/>
      </c>
      <c r="V66" s="65" t="str">
        <f t="shared" si="26"/>
        <v/>
      </c>
      <c r="W66" s="78" t="str">
        <f t="shared" si="27"/>
        <v/>
      </c>
      <c r="X66" s="66" t="str">
        <f t="shared" si="28"/>
        <v/>
      </c>
      <c r="Y66" s="66" t="str">
        <f t="shared" si="29"/>
        <v/>
      </c>
      <c r="Z66" s="67" t="str">
        <f t="shared" si="30"/>
        <v/>
      </c>
    </row>
    <row r="67" spans="1:26" s="5" customFormat="1" ht="17.25" customHeight="1">
      <c r="A67" s="84">
        <v>56</v>
      </c>
      <c r="B67" s="130"/>
      <c r="C67" s="130"/>
      <c r="D67" s="131"/>
      <c r="E67" s="96"/>
      <c r="F67" s="96"/>
      <c r="G67" s="132"/>
      <c r="H67" s="133"/>
      <c r="I67" s="134"/>
      <c r="J67" s="97"/>
      <c r="K67" s="62" t="str">
        <f t="shared" si="16"/>
        <v/>
      </c>
      <c r="L67" s="62" t="str">
        <f t="shared" si="17"/>
        <v/>
      </c>
      <c r="M67" s="62" t="str">
        <f t="shared" si="18"/>
        <v/>
      </c>
      <c r="N67" s="63" t="str">
        <f t="shared" si="19"/>
        <v/>
      </c>
      <c r="O67" s="64" t="str">
        <f t="shared" si="31"/>
        <v/>
      </c>
      <c r="P67" s="93" t="str">
        <f t="shared" si="20"/>
        <v/>
      </c>
      <c r="Q67" s="94" t="str">
        <f t="shared" si="21"/>
        <v/>
      </c>
      <c r="R67" s="64" t="str">
        <f t="shared" si="22"/>
        <v/>
      </c>
      <c r="S67" s="93" t="str">
        <f t="shared" si="23"/>
        <v/>
      </c>
      <c r="T67" s="94" t="str">
        <f t="shared" si="24"/>
        <v/>
      </c>
      <c r="U67" s="64" t="str">
        <f t="shared" si="25"/>
        <v/>
      </c>
      <c r="V67" s="65" t="str">
        <f t="shared" si="26"/>
        <v/>
      </c>
      <c r="W67" s="78" t="str">
        <f t="shared" si="27"/>
        <v/>
      </c>
      <c r="X67" s="66" t="str">
        <f t="shared" si="28"/>
        <v/>
      </c>
      <c r="Y67" s="66" t="str">
        <f t="shared" si="29"/>
        <v/>
      </c>
      <c r="Z67" s="67" t="str">
        <f t="shared" si="30"/>
        <v/>
      </c>
    </row>
    <row r="68" spans="1:26" s="5" customFormat="1" ht="17.25" customHeight="1">
      <c r="A68" s="84">
        <v>57</v>
      </c>
      <c r="B68" s="130"/>
      <c r="C68" s="130"/>
      <c r="D68" s="131"/>
      <c r="E68" s="96"/>
      <c r="F68" s="96"/>
      <c r="G68" s="132"/>
      <c r="H68" s="133"/>
      <c r="I68" s="134"/>
      <c r="J68" s="97"/>
      <c r="K68" s="62" t="str">
        <f t="shared" si="16"/>
        <v/>
      </c>
      <c r="L68" s="62" t="str">
        <f t="shared" si="17"/>
        <v/>
      </c>
      <c r="M68" s="62" t="str">
        <f t="shared" si="18"/>
        <v/>
      </c>
      <c r="N68" s="63" t="str">
        <f t="shared" si="19"/>
        <v/>
      </c>
      <c r="O68" s="64" t="str">
        <f t="shared" si="31"/>
        <v/>
      </c>
      <c r="P68" s="93" t="str">
        <f t="shared" si="20"/>
        <v/>
      </c>
      <c r="Q68" s="94" t="str">
        <f t="shared" si="21"/>
        <v/>
      </c>
      <c r="R68" s="64" t="str">
        <f t="shared" si="22"/>
        <v/>
      </c>
      <c r="S68" s="93" t="str">
        <f t="shared" si="23"/>
        <v/>
      </c>
      <c r="T68" s="94" t="str">
        <f t="shared" si="24"/>
        <v/>
      </c>
      <c r="U68" s="64" t="str">
        <f t="shared" si="25"/>
        <v/>
      </c>
      <c r="V68" s="65" t="str">
        <f t="shared" si="26"/>
        <v/>
      </c>
      <c r="W68" s="78" t="str">
        <f t="shared" si="27"/>
        <v/>
      </c>
      <c r="X68" s="66" t="str">
        <f t="shared" si="28"/>
        <v/>
      </c>
      <c r="Y68" s="66" t="str">
        <f t="shared" si="29"/>
        <v/>
      </c>
      <c r="Z68" s="67" t="str">
        <f t="shared" si="30"/>
        <v/>
      </c>
    </row>
    <row r="69" spans="1:26" s="5" customFormat="1" ht="17.25" customHeight="1">
      <c r="A69" s="84">
        <v>58</v>
      </c>
      <c r="B69" s="130"/>
      <c r="C69" s="130"/>
      <c r="D69" s="131"/>
      <c r="E69" s="96"/>
      <c r="F69" s="96"/>
      <c r="G69" s="132"/>
      <c r="H69" s="133"/>
      <c r="I69" s="134"/>
      <c r="J69" s="97"/>
      <c r="K69" s="62" t="str">
        <f t="shared" si="16"/>
        <v/>
      </c>
      <c r="L69" s="62" t="str">
        <f t="shared" si="17"/>
        <v/>
      </c>
      <c r="M69" s="62" t="str">
        <f t="shared" si="18"/>
        <v/>
      </c>
      <c r="N69" s="63" t="str">
        <f t="shared" si="19"/>
        <v/>
      </c>
      <c r="O69" s="64" t="str">
        <f t="shared" si="31"/>
        <v/>
      </c>
      <c r="P69" s="93" t="str">
        <f t="shared" si="20"/>
        <v/>
      </c>
      <c r="Q69" s="94" t="str">
        <f t="shared" si="21"/>
        <v/>
      </c>
      <c r="R69" s="64" t="str">
        <f t="shared" si="22"/>
        <v/>
      </c>
      <c r="S69" s="93" t="str">
        <f t="shared" si="23"/>
        <v/>
      </c>
      <c r="T69" s="94" t="str">
        <f t="shared" si="24"/>
        <v/>
      </c>
      <c r="U69" s="64" t="str">
        <f t="shared" si="25"/>
        <v/>
      </c>
      <c r="V69" s="65" t="str">
        <f t="shared" si="26"/>
        <v/>
      </c>
      <c r="W69" s="78" t="str">
        <f t="shared" si="27"/>
        <v/>
      </c>
      <c r="X69" s="66" t="str">
        <f t="shared" si="28"/>
        <v/>
      </c>
      <c r="Y69" s="66" t="str">
        <f t="shared" si="29"/>
        <v/>
      </c>
      <c r="Z69" s="67" t="str">
        <f t="shared" si="30"/>
        <v/>
      </c>
    </row>
    <row r="70" spans="1:26" s="5" customFormat="1" ht="17.25" customHeight="1">
      <c r="A70" s="84">
        <v>59</v>
      </c>
      <c r="B70" s="130"/>
      <c r="C70" s="130"/>
      <c r="D70" s="131"/>
      <c r="E70" s="96"/>
      <c r="F70" s="96"/>
      <c r="G70" s="132"/>
      <c r="H70" s="133"/>
      <c r="I70" s="134"/>
      <c r="J70" s="97"/>
      <c r="K70" s="62" t="str">
        <f t="shared" si="16"/>
        <v/>
      </c>
      <c r="L70" s="62" t="str">
        <f t="shared" si="17"/>
        <v/>
      </c>
      <c r="M70" s="62" t="str">
        <f t="shared" si="18"/>
        <v/>
      </c>
      <c r="N70" s="63" t="str">
        <f t="shared" si="19"/>
        <v/>
      </c>
      <c r="O70" s="64" t="str">
        <f t="shared" si="31"/>
        <v/>
      </c>
      <c r="P70" s="93" t="str">
        <f t="shared" si="20"/>
        <v/>
      </c>
      <c r="Q70" s="94" t="str">
        <f t="shared" si="21"/>
        <v/>
      </c>
      <c r="R70" s="64" t="str">
        <f t="shared" si="22"/>
        <v/>
      </c>
      <c r="S70" s="93" t="str">
        <f t="shared" si="23"/>
        <v/>
      </c>
      <c r="T70" s="94" t="str">
        <f t="shared" si="24"/>
        <v/>
      </c>
      <c r="U70" s="64" t="str">
        <f t="shared" si="25"/>
        <v/>
      </c>
      <c r="V70" s="65" t="str">
        <f t="shared" si="26"/>
        <v/>
      </c>
      <c r="W70" s="78" t="str">
        <f t="shared" si="27"/>
        <v/>
      </c>
      <c r="X70" s="66" t="str">
        <f t="shared" si="28"/>
        <v/>
      </c>
      <c r="Y70" s="66" t="str">
        <f t="shared" si="29"/>
        <v/>
      </c>
      <c r="Z70" s="67" t="str">
        <f t="shared" si="30"/>
        <v/>
      </c>
    </row>
    <row r="71" spans="1:26" s="5" customFormat="1" ht="17.25" customHeight="1">
      <c r="A71" s="84">
        <v>60</v>
      </c>
      <c r="B71" s="130"/>
      <c r="C71" s="130"/>
      <c r="D71" s="131"/>
      <c r="E71" s="96"/>
      <c r="F71" s="96"/>
      <c r="G71" s="132"/>
      <c r="H71" s="133"/>
      <c r="I71" s="134"/>
      <c r="J71" s="97"/>
      <c r="K71" s="62" t="str">
        <f t="shared" si="16"/>
        <v/>
      </c>
      <c r="L71" s="62" t="str">
        <f t="shared" si="17"/>
        <v/>
      </c>
      <c r="M71" s="62" t="str">
        <f t="shared" si="18"/>
        <v/>
      </c>
      <c r="N71" s="63" t="str">
        <f t="shared" si="19"/>
        <v/>
      </c>
      <c r="O71" s="64" t="str">
        <f t="shared" si="31"/>
        <v/>
      </c>
      <c r="P71" s="93" t="str">
        <f t="shared" si="20"/>
        <v/>
      </c>
      <c r="Q71" s="94" t="str">
        <f t="shared" si="21"/>
        <v/>
      </c>
      <c r="R71" s="64" t="str">
        <f t="shared" si="22"/>
        <v/>
      </c>
      <c r="S71" s="93" t="str">
        <f t="shared" si="23"/>
        <v/>
      </c>
      <c r="T71" s="94" t="str">
        <f t="shared" si="24"/>
        <v/>
      </c>
      <c r="U71" s="64" t="str">
        <f t="shared" si="25"/>
        <v/>
      </c>
      <c r="V71" s="65" t="str">
        <f t="shared" si="26"/>
        <v/>
      </c>
      <c r="W71" s="78" t="str">
        <f t="shared" si="27"/>
        <v/>
      </c>
      <c r="X71" s="66" t="str">
        <f t="shared" si="28"/>
        <v/>
      </c>
      <c r="Y71" s="66" t="str">
        <f t="shared" si="29"/>
        <v/>
      </c>
      <c r="Z71" s="67" t="str">
        <f t="shared" si="30"/>
        <v/>
      </c>
    </row>
    <row r="72" spans="1:26" s="5" customFormat="1" ht="17.25" customHeight="1">
      <c r="A72" s="84">
        <v>61</v>
      </c>
      <c r="B72" s="130"/>
      <c r="C72" s="130"/>
      <c r="D72" s="131"/>
      <c r="E72" s="96"/>
      <c r="F72" s="96"/>
      <c r="G72" s="132"/>
      <c r="H72" s="133"/>
      <c r="I72" s="134"/>
      <c r="J72" s="97"/>
      <c r="K72" s="62" t="str">
        <f t="shared" si="16"/>
        <v/>
      </c>
      <c r="L72" s="62" t="str">
        <f t="shared" si="17"/>
        <v/>
      </c>
      <c r="M72" s="62" t="str">
        <f t="shared" si="18"/>
        <v/>
      </c>
      <c r="N72" s="63" t="str">
        <f t="shared" si="19"/>
        <v/>
      </c>
      <c r="O72" s="64" t="str">
        <f t="shared" si="31"/>
        <v/>
      </c>
      <c r="P72" s="93" t="str">
        <f t="shared" si="20"/>
        <v/>
      </c>
      <c r="Q72" s="94" t="str">
        <f t="shared" si="21"/>
        <v/>
      </c>
      <c r="R72" s="64" t="str">
        <f t="shared" si="22"/>
        <v/>
      </c>
      <c r="S72" s="93" t="str">
        <f t="shared" si="23"/>
        <v/>
      </c>
      <c r="T72" s="94" t="str">
        <f t="shared" si="24"/>
        <v/>
      </c>
      <c r="U72" s="64" t="str">
        <f t="shared" si="25"/>
        <v/>
      </c>
      <c r="V72" s="65" t="str">
        <f t="shared" si="26"/>
        <v/>
      </c>
      <c r="W72" s="78" t="str">
        <f t="shared" si="27"/>
        <v/>
      </c>
      <c r="X72" s="66" t="str">
        <f t="shared" si="28"/>
        <v/>
      </c>
      <c r="Y72" s="66" t="str">
        <f t="shared" si="29"/>
        <v/>
      </c>
      <c r="Z72" s="67" t="str">
        <f t="shared" si="30"/>
        <v/>
      </c>
    </row>
    <row r="73" spans="1:26" s="5" customFormat="1" ht="17.25" customHeight="1">
      <c r="A73" s="84">
        <v>62</v>
      </c>
      <c r="B73" s="130"/>
      <c r="C73" s="130"/>
      <c r="D73" s="131"/>
      <c r="E73" s="96"/>
      <c r="F73" s="96"/>
      <c r="G73" s="132"/>
      <c r="H73" s="133"/>
      <c r="I73" s="134"/>
      <c r="J73" s="97"/>
      <c r="K73" s="62" t="str">
        <f t="shared" si="16"/>
        <v/>
      </c>
      <c r="L73" s="62" t="str">
        <f t="shared" si="17"/>
        <v/>
      </c>
      <c r="M73" s="62" t="str">
        <f t="shared" si="18"/>
        <v/>
      </c>
      <c r="N73" s="63" t="str">
        <f t="shared" si="19"/>
        <v/>
      </c>
      <c r="O73" s="64" t="str">
        <f t="shared" si="31"/>
        <v/>
      </c>
      <c r="P73" s="93" t="str">
        <f t="shared" si="20"/>
        <v/>
      </c>
      <c r="Q73" s="94" t="str">
        <f t="shared" si="21"/>
        <v/>
      </c>
      <c r="R73" s="64" t="str">
        <f t="shared" si="22"/>
        <v/>
      </c>
      <c r="S73" s="93" t="str">
        <f t="shared" si="23"/>
        <v/>
      </c>
      <c r="T73" s="94" t="str">
        <f t="shared" si="24"/>
        <v/>
      </c>
      <c r="U73" s="64" t="str">
        <f t="shared" si="25"/>
        <v/>
      </c>
      <c r="V73" s="65" t="str">
        <f t="shared" si="26"/>
        <v/>
      </c>
      <c r="W73" s="78" t="str">
        <f t="shared" si="27"/>
        <v/>
      </c>
      <c r="X73" s="66" t="str">
        <f t="shared" si="28"/>
        <v/>
      </c>
      <c r="Y73" s="66" t="str">
        <f t="shared" si="29"/>
        <v/>
      </c>
      <c r="Z73" s="67" t="str">
        <f t="shared" si="30"/>
        <v/>
      </c>
    </row>
    <row r="74" spans="1:26" s="5" customFormat="1" ht="17.25" customHeight="1">
      <c r="A74" s="84">
        <v>63</v>
      </c>
      <c r="B74" s="130"/>
      <c r="C74" s="130"/>
      <c r="D74" s="131"/>
      <c r="E74" s="96"/>
      <c r="F74" s="96"/>
      <c r="G74" s="132"/>
      <c r="H74" s="133"/>
      <c r="I74" s="134"/>
      <c r="J74" s="97"/>
      <c r="K74" s="62" t="str">
        <f t="shared" si="16"/>
        <v/>
      </c>
      <c r="L74" s="62" t="str">
        <f t="shared" si="17"/>
        <v/>
      </c>
      <c r="M74" s="62" t="str">
        <f t="shared" si="18"/>
        <v/>
      </c>
      <c r="N74" s="63" t="str">
        <f t="shared" si="19"/>
        <v/>
      </c>
      <c r="O74" s="64" t="str">
        <f t="shared" si="31"/>
        <v/>
      </c>
      <c r="P74" s="93" t="str">
        <f t="shared" si="20"/>
        <v/>
      </c>
      <c r="Q74" s="94" t="str">
        <f t="shared" si="21"/>
        <v/>
      </c>
      <c r="R74" s="64" t="str">
        <f t="shared" si="22"/>
        <v/>
      </c>
      <c r="S74" s="93" t="str">
        <f t="shared" si="23"/>
        <v/>
      </c>
      <c r="T74" s="94" t="str">
        <f t="shared" si="24"/>
        <v/>
      </c>
      <c r="U74" s="64" t="str">
        <f t="shared" si="25"/>
        <v/>
      </c>
      <c r="V74" s="65" t="str">
        <f t="shared" si="26"/>
        <v/>
      </c>
      <c r="W74" s="78" t="str">
        <f t="shared" si="27"/>
        <v/>
      </c>
      <c r="X74" s="66" t="str">
        <f t="shared" si="28"/>
        <v/>
      </c>
      <c r="Y74" s="66" t="str">
        <f t="shared" si="29"/>
        <v/>
      </c>
      <c r="Z74" s="67" t="str">
        <f t="shared" si="30"/>
        <v/>
      </c>
    </row>
    <row r="75" spans="1:26" s="5" customFormat="1" ht="17.25" customHeight="1">
      <c r="A75" s="84">
        <v>64</v>
      </c>
      <c r="B75" s="130"/>
      <c r="C75" s="130"/>
      <c r="D75" s="131"/>
      <c r="E75" s="96"/>
      <c r="F75" s="96"/>
      <c r="G75" s="132"/>
      <c r="H75" s="133"/>
      <c r="I75" s="134"/>
      <c r="J75" s="97"/>
      <c r="K75" s="62" t="str">
        <f t="shared" si="16"/>
        <v/>
      </c>
      <c r="L75" s="62" t="str">
        <f t="shared" si="17"/>
        <v/>
      </c>
      <c r="M75" s="62" t="str">
        <f t="shared" si="18"/>
        <v/>
      </c>
      <c r="N75" s="63" t="str">
        <f t="shared" si="19"/>
        <v/>
      </c>
      <c r="O75" s="64" t="str">
        <f t="shared" si="31"/>
        <v/>
      </c>
      <c r="P75" s="93" t="str">
        <f t="shared" si="20"/>
        <v/>
      </c>
      <c r="Q75" s="94" t="str">
        <f t="shared" si="21"/>
        <v/>
      </c>
      <c r="R75" s="64" t="str">
        <f t="shared" si="22"/>
        <v/>
      </c>
      <c r="S75" s="93" t="str">
        <f t="shared" si="23"/>
        <v/>
      </c>
      <c r="T75" s="94" t="str">
        <f t="shared" si="24"/>
        <v/>
      </c>
      <c r="U75" s="64" t="str">
        <f t="shared" si="25"/>
        <v/>
      </c>
      <c r="V75" s="65" t="str">
        <f t="shared" si="26"/>
        <v/>
      </c>
      <c r="W75" s="78" t="str">
        <f t="shared" si="27"/>
        <v/>
      </c>
      <c r="X75" s="66" t="str">
        <f t="shared" si="28"/>
        <v/>
      </c>
      <c r="Y75" s="66" t="str">
        <f t="shared" si="29"/>
        <v/>
      </c>
      <c r="Z75" s="67" t="str">
        <f t="shared" si="30"/>
        <v/>
      </c>
    </row>
    <row r="76" spans="1:26" s="5" customFormat="1" ht="17.25" customHeight="1">
      <c r="A76" s="84">
        <v>65</v>
      </c>
      <c r="B76" s="130"/>
      <c r="C76" s="130"/>
      <c r="D76" s="131"/>
      <c r="E76" s="96"/>
      <c r="F76" s="96"/>
      <c r="G76" s="132"/>
      <c r="H76" s="133"/>
      <c r="I76" s="134"/>
      <c r="J76" s="97"/>
      <c r="K76" s="62" t="str">
        <f t="shared" ref="K76:K107" si="32">IF($X$11=0,"",IF(D76="","",IF($G76="","",IF($F76="","",IF($G76/$F76&gt;=$K$11,"yes","NC")))))</f>
        <v/>
      </c>
      <c r="L76" s="62" t="str">
        <f t="shared" ref="L76:L107" si="33">IF($Y$11=0,"",IF($D76="","",IF($H76="","",IF($H76="","",IF($H76/$F76&gt;=$L$11,"yes","NC")))))</f>
        <v/>
      </c>
      <c r="M76" s="62" t="str">
        <f t="shared" ref="M76:M107" si="34">IF($Z$11=0,"",IF($D76="","",IF($I76="","",IF($I76="","",IF($F76/$I76&lt;=$M$11,"yes","NC")))))</f>
        <v/>
      </c>
      <c r="N76" s="63" t="str">
        <f t="shared" ref="N76:N107" si="35">IF($D76="","",IF($O$8="","",IF(OR($O76&lt;$N$8,$O76&gt;$P$8),"NC","yes")))</f>
        <v/>
      </c>
      <c r="O76" s="64" t="str">
        <f t="shared" si="31"/>
        <v/>
      </c>
      <c r="P76" s="93" t="str">
        <f t="shared" ref="P76:P107" si="36">IF($D76=0,"",IF(N76="yes",($O76/$O$8),IF(OR($O76&lt;$N$8,$O76&gt;$P$8),($O76/$O$8))))</f>
        <v/>
      </c>
      <c r="Q76" s="94" t="str">
        <f t="shared" ref="Q76:Q107" si="37">IF($D76="","",IF($R$8="","",IF(OR($R76&lt;$Q$8,$R76&gt;$S$8),"NC","yes")))</f>
        <v/>
      </c>
      <c r="R76" s="64" t="str">
        <f t="shared" ref="R76:R107" si="38">IF($D76="","",$H76/$F76)</f>
        <v/>
      </c>
      <c r="S76" s="93" t="str">
        <f t="shared" ref="S76:S107" si="39">IF($D76=0,"",IF(Q76="yes",($R76/$R$8),IF(OR($R76&gt;$Q$8,$R76&lt;$S$8),($R76/$R$8))))</f>
        <v/>
      </c>
      <c r="T76" s="94" t="str">
        <f t="shared" ref="T76:T107" si="40">IF($D76="","",IF($U$8="","",IF(OR($U76&lt;$T$8,U76&gt;$V$8),"NC","yes")))</f>
        <v/>
      </c>
      <c r="U76" s="64" t="str">
        <f t="shared" ref="U76:U107" si="41">IF($D76="","",$F76/$I76)</f>
        <v/>
      </c>
      <c r="V76" s="65" t="str">
        <f t="shared" ref="V76:V107" si="42">IF($D76="","",IF(T76="yes",(U76/U$8),IF(OR(U76&lt;$T$8,U76&gt;V$8),(U76/U$8))))</f>
        <v/>
      </c>
      <c r="W76" s="78" t="str">
        <f t="shared" ref="W76:W107" si="43">IF(C76="","",IF($D76="",$F76,""))</f>
        <v/>
      </c>
      <c r="X76" s="66" t="str">
        <f t="shared" ref="X76:X107" si="44">IF($C76="","",IF($D76="",$G76,""))</f>
        <v/>
      </c>
      <c r="Y76" s="66" t="str">
        <f t="shared" ref="Y76:Y107" si="45">IF($C76="","",IF($D76="",$H76,""))</f>
        <v/>
      </c>
      <c r="Z76" s="67" t="str">
        <f t="shared" ref="Z76:Z107" si="46">IF($C76="","",IF($D76="",I76,""))</f>
        <v/>
      </c>
    </row>
    <row r="77" spans="1:26" s="5" customFormat="1" ht="17.25" customHeight="1">
      <c r="A77" s="84">
        <v>66</v>
      </c>
      <c r="B77" s="130"/>
      <c r="C77" s="130"/>
      <c r="D77" s="131"/>
      <c r="E77" s="96"/>
      <c r="F77" s="96"/>
      <c r="G77" s="132"/>
      <c r="H77" s="133"/>
      <c r="I77" s="134"/>
      <c r="J77" s="97"/>
      <c r="K77" s="62" t="str">
        <f t="shared" si="32"/>
        <v/>
      </c>
      <c r="L77" s="62" t="str">
        <f t="shared" si="33"/>
        <v/>
      </c>
      <c r="M77" s="62" t="str">
        <f t="shared" si="34"/>
        <v/>
      </c>
      <c r="N77" s="63" t="str">
        <f t="shared" si="35"/>
        <v/>
      </c>
      <c r="O77" s="64" t="str">
        <f t="shared" ref="O77:O108" si="47">IF($D77="","",G77/$F77)</f>
        <v/>
      </c>
      <c r="P77" s="93" t="str">
        <f t="shared" si="36"/>
        <v/>
      </c>
      <c r="Q77" s="94" t="str">
        <f t="shared" si="37"/>
        <v/>
      </c>
      <c r="R77" s="64" t="str">
        <f t="shared" si="38"/>
        <v/>
      </c>
      <c r="S77" s="93" t="str">
        <f t="shared" si="39"/>
        <v/>
      </c>
      <c r="T77" s="94" t="str">
        <f t="shared" si="40"/>
        <v/>
      </c>
      <c r="U77" s="64" t="str">
        <f t="shared" si="41"/>
        <v/>
      </c>
      <c r="V77" s="65" t="str">
        <f t="shared" si="42"/>
        <v/>
      </c>
      <c r="W77" s="78" t="str">
        <f t="shared" si="43"/>
        <v/>
      </c>
      <c r="X77" s="66" t="str">
        <f t="shared" si="44"/>
        <v/>
      </c>
      <c r="Y77" s="66" t="str">
        <f t="shared" si="45"/>
        <v/>
      </c>
      <c r="Z77" s="67" t="str">
        <f t="shared" si="46"/>
        <v/>
      </c>
    </row>
    <row r="78" spans="1:26" s="5" customFormat="1" ht="17.25" customHeight="1">
      <c r="A78" s="84">
        <v>67</v>
      </c>
      <c r="B78" s="130"/>
      <c r="C78" s="130"/>
      <c r="D78" s="131"/>
      <c r="E78" s="96"/>
      <c r="F78" s="96"/>
      <c r="G78" s="132"/>
      <c r="H78" s="133"/>
      <c r="I78" s="134"/>
      <c r="J78" s="97"/>
      <c r="K78" s="62" t="str">
        <f t="shared" si="32"/>
        <v/>
      </c>
      <c r="L78" s="62" t="str">
        <f t="shared" si="33"/>
        <v/>
      </c>
      <c r="M78" s="62" t="str">
        <f t="shared" si="34"/>
        <v/>
      </c>
      <c r="N78" s="63" t="str">
        <f t="shared" si="35"/>
        <v/>
      </c>
      <c r="O78" s="64" t="str">
        <f t="shared" si="47"/>
        <v/>
      </c>
      <c r="P78" s="93" t="str">
        <f t="shared" si="36"/>
        <v/>
      </c>
      <c r="Q78" s="94" t="str">
        <f t="shared" si="37"/>
        <v/>
      </c>
      <c r="R78" s="64" t="str">
        <f t="shared" si="38"/>
        <v/>
      </c>
      <c r="S78" s="93" t="str">
        <f t="shared" si="39"/>
        <v/>
      </c>
      <c r="T78" s="94" t="str">
        <f t="shared" si="40"/>
        <v/>
      </c>
      <c r="U78" s="64" t="str">
        <f t="shared" si="41"/>
        <v/>
      </c>
      <c r="V78" s="65" t="str">
        <f t="shared" si="42"/>
        <v/>
      </c>
      <c r="W78" s="78" t="str">
        <f t="shared" si="43"/>
        <v/>
      </c>
      <c r="X78" s="66" t="str">
        <f t="shared" si="44"/>
        <v/>
      </c>
      <c r="Y78" s="66" t="str">
        <f t="shared" si="45"/>
        <v/>
      </c>
      <c r="Z78" s="67" t="str">
        <f t="shared" si="46"/>
        <v/>
      </c>
    </row>
    <row r="79" spans="1:26" s="5" customFormat="1" ht="17.25" customHeight="1">
      <c r="A79" s="84">
        <v>68</v>
      </c>
      <c r="B79" s="130"/>
      <c r="C79" s="130"/>
      <c r="D79" s="131"/>
      <c r="E79" s="96"/>
      <c r="F79" s="96"/>
      <c r="G79" s="132"/>
      <c r="H79" s="133"/>
      <c r="I79" s="134"/>
      <c r="J79" s="97"/>
      <c r="K79" s="62" t="str">
        <f t="shared" si="32"/>
        <v/>
      </c>
      <c r="L79" s="62" t="str">
        <f t="shared" si="33"/>
        <v/>
      </c>
      <c r="M79" s="62" t="str">
        <f t="shared" si="34"/>
        <v/>
      </c>
      <c r="N79" s="63" t="str">
        <f t="shared" si="35"/>
        <v/>
      </c>
      <c r="O79" s="64" t="str">
        <f t="shared" si="47"/>
        <v/>
      </c>
      <c r="P79" s="93" t="str">
        <f t="shared" si="36"/>
        <v/>
      </c>
      <c r="Q79" s="94" t="str">
        <f t="shared" si="37"/>
        <v/>
      </c>
      <c r="R79" s="64" t="str">
        <f t="shared" si="38"/>
        <v/>
      </c>
      <c r="S79" s="93" t="str">
        <f t="shared" si="39"/>
        <v/>
      </c>
      <c r="T79" s="94" t="str">
        <f t="shared" si="40"/>
        <v/>
      </c>
      <c r="U79" s="64" t="str">
        <f t="shared" si="41"/>
        <v/>
      </c>
      <c r="V79" s="65" t="str">
        <f t="shared" si="42"/>
        <v/>
      </c>
      <c r="W79" s="78" t="str">
        <f t="shared" si="43"/>
        <v/>
      </c>
      <c r="X79" s="66" t="str">
        <f t="shared" si="44"/>
        <v/>
      </c>
      <c r="Y79" s="66" t="str">
        <f t="shared" si="45"/>
        <v/>
      </c>
      <c r="Z79" s="67" t="str">
        <f t="shared" si="46"/>
        <v/>
      </c>
    </row>
    <row r="80" spans="1:26" s="5" customFormat="1" ht="17.25" customHeight="1">
      <c r="A80" s="84">
        <v>69</v>
      </c>
      <c r="B80" s="130"/>
      <c r="C80" s="130"/>
      <c r="D80" s="131"/>
      <c r="E80" s="96"/>
      <c r="F80" s="96"/>
      <c r="G80" s="132"/>
      <c r="H80" s="133"/>
      <c r="I80" s="134"/>
      <c r="J80" s="97"/>
      <c r="K80" s="62" t="str">
        <f t="shared" si="32"/>
        <v/>
      </c>
      <c r="L80" s="62" t="str">
        <f t="shared" si="33"/>
        <v/>
      </c>
      <c r="M80" s="62" t="str">
        <f t="shared" si="34"/>
        <v/>
      </c>
      <c r="N80" s="63" t="str">
        <f t="shared" si="35"/>
        <v/>
      </c>
      <c r="O80" s="64" t="str">
        <f t="shared" si="47"/>
        <v/>
      </c>
      <c r="P80" s="93" t="str">
        <f t="shared" si="36"/>
        <v/>
      </c>
      <c r="Q80" s="94" t="str">
        <f t="shared" si="37"/>
        <v/>
      </c>
      <c r="R80" s="64" t="str">
        <f t="shared" si="38"/>
        <v/>
      </c>
      <c r="S80" s="93" t="str">
        <f t="shared" si="39"/>
        <v/>
      </c>
      <c r="T80" s="94" t="str">
        <f t="shared" si="40"/>
        <v/>
      </c>
      <c r="U80" s="64" t="str">
        <f t="shared" si="41"/>
        <v/>
      </c>
      <c r="V80" s="65" t="str">
        <f t="shared" si="42"/>
        <v/>
      </c>
      <c r="W80" s="78" t="str">
        <f t="shared" si="43"/>
        <v/>
      </c>
      <c r="X80" s="66" t="str">
        <f t="shared" si="44"/>
        <v/>
      </c>
      <c r="Y80" s="66" t="str">
        <f t="shared" si="45"/>
        <v/>
      </c>
      <c r="Z80" s="67" t="str">
        <f t="shared" si="46"/>
        <v/>
      </c>
    </row>
    <row r="81" spans="1:26" s="5" customFormat="1" ht="17.25" customHeight="1">
      <c r="A81" s="84">
        <v>70</v>
      </c>
      <c r="B81" s="130"/>
      <c r="C81" s="130"/>
      <c r="D81" s="131"/>
      <c r="E81" s="96"/>
      <c r="F81" s="96"/>
      <c r="G81" s="132"/>
      <c r="H81" s="133"/>
      <c r="I81" s="134"/>
      <c r="J81" s="97"/>
      <c r="K81" s="62" t="str">
        <f t="shared" si="32"/>
        <v/>
      </c>
      <c r="L81" s="62" t="str">
        <f t="shared" si="33"/>
        <v/>
      </c>
      <c r="M81" s="62" t="str">
        <f t="shared" si="34"/>
        <v/>
      </c>
      <c r="N81" s="63" t="str">
        <f t="shared" si="35"/>
        <v/>
      </c>
      <c r="O81" s="64" t="str">
        <f t="shared" si="47"/>
        <v/>
      </c>
      <c r="P81" s="93" t="str">
        <f t="shared" si="36"/>
        <v/>
      </c>
      <c r="Q81" s="94" t="str">
        <f t="shared" si="37"/>
        <v/>
      </c>
      <c r="R81" s="64" t="str">
        <f t="shared" si="38"/>
        <v/>
      </c>
      <c r="S81" s="93" t="str">
        <f t="shared" si="39"/>
        <v/>
      </c>
      <c r="T81" s="94" t="str">
        <f t="shared" si="40"/>
        <v/>
      </c>
      <c r="U81" s="64" t="str">
        <f t="shared" si="41"/>
        <v/>
      </c>
      <c r="V81" s="65" t="str">
        <f t="shared" si="42"/>
        <v/>
      </c>
      <c r="W81" s="78" t="str">
        <f t="shared" si="43"/>
        <v/>
      </c>
      <c r="X81" s="66" t="str">
        <f t="shared" si="44"/>
        <v/>
      </c>
      <c r="Y81" s="66" t="str">
        <f t="shared" si="45"/>
        <v/>
      </c>
      <c r="Z81" s="67" t="str">
        <f t="shared" si="46"/>
        <v/>
      </c>
    </row>
    <row r="82" spans="1:26" s="5" customFormat="1" ht="17.25" customHeight="1">
      <c r="A82" s="84">
        <v>71</v>
      </c>
      <c r="B82" s="130"/>
      <c r="C82" s="130"/>
      <c r="D82" s="131"/>
      <c r="E82" s="96"/>
      <c r="F82" s="96"/>
      <c r="G82" s="132"/>
      <c r="H82" s="133"/>
      <c r="I82" s="134"/>
      <c r="J82" s="97"/>
      <c r="K82" s="62" t="str">
        <f t="shared" si="32"/>
        <v/>
      </c>
      <c r="L82" s="62" t="str">
        <f t="shared" si="33"/>
        <v/>
      </c>
      <c r="M82" s="62" t="str">
        <f t="shared" si="34"/>
        <v/>
      </c>
      <c r="N82" s="63" t="str">
        <f t="shared" si="35"/>
        <v/>
      </c>
      <c r="O82" s="64" t="str">
        <f t="shared" si="47"/>
        <v/>
      </c>
      <c r="P82" s="93" t="str">
        <f t="shared" si="36"/>
        <v/>
      </c>
      <c r="Q82" s="94" t="str">
        <f t="shared" si="37"/>
        <v/>
      </c>
      <c r="R82" s="64" t="str">
        <f t="shared" si="38"/>
        <v/>
      </c>
      <c r="S82" s="93" t="str">
        <f t="shared" si="39"/>
        <v/>
      </c>
      <c r="T82" s="94" t="str">
        <f t="shared" si="40"/>
        <v/>
      </c>
      <c r="U82" s="64" t="str">
        <f t="shared" si="41"/>
        <v/>
      </c>
      <c r="V82" s="65" t="str">
        <f t="shared" si="42"/>
        <v/>
      </c>
      <c r="W82" s="78" t="str">
        <f t="shared" si="43"/>
        <v/>
      </c>
      <c r="X82" s="66" t="str">
        <f t="shared" si="44"/>
        <v/>
      </c>
      <c r="Y82" s="66" t="str">
        <f t="shared" si="45"/>
        <v/>
      </c>
      <c r="Z82" s="67" t="str">
        <f t="shared" si="46"/>
        <v/>
      </c>
    </row>
    <row r="83" spans="1:26" s="5" customFormat="1" ht="17.25" customHeight="1">
      <c r="A83" s="84">
        <v>72</v>
      </c>
      <c r="B83" s="130"/>
      <c r="C83" s="130"/>
      <c r="D83" s="131"/>
      <c r="E83" s="96"/>
      <c r="F83" s="96"/>
      <c r="G83" s="132"/>
      <c r="H83" s="133"/>
      <c r="I83" s="134"/>
      <c r="J83" s="97"/>
      <c r="K83" s="62" t="str">
        <f t="shared" si="32"/>
        <v/>
      </c>
      <c r="L83" s="62" t="str">
        <f t="shared" si="33"/>
        <v/>
      </c>
      <c r="M83" s="62" t="str">
        <f t="shared" si="34"/>
        <v/>
      </c>
      <c r="N83" s="63" t="str">
        <f t="shared" si="35"/>
        <v/>
      </c>
      <c r="O83" s="64" t="str">
        <f t="shared" si="47"/>
        <v/>
      </c>
      <c r="P83" s="93" t="str">
        <f t="shared" si="36"/>
        <v/>
      </c>
      <c r="Q83" s="94" t="str">
        <f t="shared" si="37"/>
        <v/>
      </c>
      <c r="R83" s="64" t="str">
        <f t="shared" si="38"/>
        <v/>
      </c>
      <c r="S83" s="93" t="str">
        <f t="shared" si="39"/>
        <v/>
      </c>
      <c r="T83" s="94" t="str">
        <f t="shared" si="40"/>
        <v/>
      </c>
      <c r="U83" s="64" t="str">
        <f t="shared" si="41"/>
        <v/>
      </c>
      <c r="V83" s="65" t="str">
        <f t="shared" si="42"/>
        <v/>
      </c>
      <c r="W83" s="78" t="str">
        <f t="shared" si="43"/>
        <v/>
      </c>
      <c r="X83" s="66" t="str">
        <f t="shared" si="44"/>
        <v/>
      </c>
      <c r="Y83" s="66" t="str">
        <f t="shared" si="45"/>
        <v/>
      </c>
      <c r="Z83" s="67" t="str">
        <f t="shared" si="46"/>
        <v/>
      </c>
    </row>
    <row r="84" spans="1:26" s="5" customFormat="1" ht="17.25" customHeight="1">
      <c r="A84" s="84">
        <v>73</v>
      </c>
      <c r="B84" s="130"/>
      <c r="C84" s="130"/>
      <c r="D84" s="131"/>
      <c r="E84" s="96"/>
      <c r="F84" s="96"/>
      <c r="G84" s="132"/>
      <c r="H84" s="133"/>
      <c r="I84" s="134"/>
      <c r="J84" s="97"/>
      <c r="K84" s="62" t="str">
        <f t="shared" si="32"/>
        <v/>
      </c>
      <c r="L84" s="62" t="str">
        <f t="shared" si="33"/>
        <v/>
      </c>
      <c r="M84" s="62" t="str">
        <f t="shared" si="34"/>
        <v/>
      </c>
      <c r="N84" s="63" t="str">
        <f t="shared" si="35"/>
        <v/>
      </c>
      <c r="O84" s="64" t="str">
        <f t="shared" si="47"/>
        <v/>
      </c>
      <c r="P84" s="93" t="str">
        <f t="shared" si="36"/>
        <v/>
      </c>
      <c r="Q84" s="94" t="str">
        <f t="shared" si="37"/>
        <v/>
      </c>
      <c r="R84" s="64" t="str">
        <f t="shared" si="38"/>
        <v/>
      </c>
      <c r="S84" s="93" t="str">
        <f t="shared" si="39"/>
        <v/>
      </c>
      <c r="T84" s="94" t="str">
        <f t="shared" si="40"/>
        <v/>
      </c>
      <c r="U84" s="64" t="str">
        <f t="shared" si="41"/>
        <v/>
      </c>
      <c r="V84" s="65" t="str">
        <f t="shared" si="42"/>
        <v/>
      </c>
      <c r="W84" s="78" t="str">
        <f t="shared" si="43"/>
        <v/>
      </c>
      <c r="X84" s="66" t="str">
        <f t="shared" si="44"/>
        <v/>
      </c>
      <c r="Y84" s="66" t="str">
        <f t="shared" si="45"/>
        <v/>
      </c>
      <c r="Z84" s="67" t="str">
        <f t="shared" si="46"/>
        <v/>
      </c>
    </row>
    <row r="85" spans="1:26" s="5" customFormat="1" ht="17.25" customHeight="1">
      <c r="A85" s="84">
        <v>74</v>
      </c>
      <c r="B85" s="130"/>
      <c r="C85" s="130"/>
      <c r="D85" s="131"/>
      <c r="E85" s="96"/>
      <c r="F85" s="96"/>
      <c r="G85" s="132"/>
      <c r="H85" s="133"/>
      <c r="I85" s="134"/>
      <c r="J85" s="97"/>
      <c r="K85" s="62" t="str">
        <f t="shared" si="32"/>
        <v/>
      </c>
      <c r="L85" s="62" t="str">
        <f t="shared" si="33"/>
        <v/>
      </c>
      <c r="M85" s="62" t="str">
        <f t="shared" si="34"/>
        <v/>
      </c>
      <c r="N85" s="63" t="str">
        <f t="shared" si="35"/>
        <v/>
      </c>
      <c r="O85" s="64" t="str">
        <f t="shared" si="47"/>
        <v/>
      </c>
      <c r="P85" s="93" t="str">
        <f t="shared" si="36"/>
        <v/>
      </c>
      <c r="Q85" s="94" t="str">
        <f t="shared" si="37"/>
        <v/>
      </c>
      <c r="R85" s="64" t="str">
        <f t="shared" si="38"/>
        <v/>
      </c>
      <c r="S85" s="93" t="str">
        <f t="shared" si="39"/>
        <v/>
      </c>
      <c r="T85" s="94" t="str">
        <f t="shared" si="40"/>
        <v/>
      </c>
      <c r="U85" s="64" t="str">
        <f t="shared" si="41"/>
        <v/>
      </c>
      <c r="V85" s="65" t="str">
        <f t="shared" si="42"/>
        <v/>
      </c>
      <c r="W85" s="78" t="str">
        <f t="shared" si="43"/>
        <v/>
      </c>
      <c r="X85" s="66" t="str">
        <f t="shared" si="44"/>
        <v/>
      </c>
      <c r="Y85" s="66" t="str">
        <f t="shared" si="45"/>
        <v/>
      </c>
      <c r="Z85" s="67" t="str">
        <f t="shared" si="46"/>
        <v/>
      </c>
    </row>
    <row r="86" spans="1:26" s="17" customFormat="1" ht="17.25" customHeight="1" thickBot="1">
      <c r="A86" s="84">
        <v>75</v>
      </c>
      <c r="B86" s="130"/>
      <c r="C86" s="130"/>
      <c r="D86" s="131"/>
      <c r="E86" s="96"/>
      <c r="F86" s="96"/>
      <c r="G86" s="132"/>
      <c r="H86" s="133"/>
      <c r="I86" s="134"/>
      <c r="J86" s="97"/>
      <c r="K86" s="62" t="str">
        <f t="shared" si="32"/>
        <v/>
      </c>
      <c r="L86" s="62" t="str">
        <f t="shared" si="33"/>
        <v/>
      </c>
      <c r="M86" s="62" t="str">
        <f t="shared" si="34"/>
        <v/>
      </c>
      <c r="N86" s="63" t="str">
        <f t="shared" si="35"/>
        <v/>
      </c>
      <c r="O86" s="64" t="str">
        <f t="shared" si="47"/>
        <v/>
      </c>
      <c r="P86" s="93" t="str">
        <f t="shared" si="36"/>
        <v/>
      </c>
      <c r="Q86" s="94" t="str">
        <f t="shared" si="37"/>
        <v/>
      </c>
      <c r="R86" s="64" t="str">
        <f t="shared" si="38"/>
        <v/>
      </c>
      <c r="S86" s="93" t="str">
        <f t="shared" si="39"/>
        <v/>
      </c>
      <c r="T86" s="94" t="str">
        <f t="shared" si="40"/>
        <v/>
      </c>
      <c r="U86" s="64" t="str">
        <f t="shared" si="41"/>
        <v/>
      </c>
      <c r="V86" s="65" t="str">
        <f t="shared" si="42"/>
        <v/>
      </c>
      <c r="W86" s="78" t="str">
        <f t="shared" si="43"/>
        <v/>
      </c>
      <c r="X86" s="66" t="str">
        <f t="shared" si="44"/>
        <v/>
      </c>
      <c r="Y86" s="66" t="str">
        <f t="shared" si="45"/>
        <v/>
      </c>
      <c r="Z86" s="67" t="str">
        <f t="shared" si="46"/>
        <v/>
      </c>
    </row>
    <row r="87" spans="1:26" s="5" customFormat="1" ht="17.25" customHeight="1">
      <c r="A87" s="84">
        <v>76</v>
      </c>
      <c r="B87" s="130"/>
      <c r="C87" s="130"/>
      <c r="D87" s="131"/>
      <c r="E87" s="96"/>
      <c r="F87" s="96"/>
      <c r="G87" s="132"/>
      <c r="H87" s="133"/>
      <c r="I87" s="134"/>
      <c r="J87" s="97"/>
      <c r="K87" s="62" t="str">
        <f t="shared" si="32"/>
        <v/>
      </c>
      <c r="L87" s="62" t="str">
        <f t="shared" si="33"/>
        <v/>
      </c>
      <c r="M87" s="62" t="str">
        <f t="shared" si="34"/>
        <v/>
      </c>
      <c r="N87" s="63" t="str">
        <f t="shared" si="35"/>
        <v/>
      </c>
      <c r="O87" s="64" t="str">
        <f t="shared" si="47"/>
        <v/>
      </c>
      <c r="P87" s="93" t="str">
        <f t="shared" si="36"/>
        <v/>
      </c>
      <c r="Q87" s="94" t="str">
        <f t="shared" si="37"/>
        <v/>
      </c>
      <c r="R87" s="64" t="str">
        <f t="shared" si="38"/>
        <v/>
      </c>
      <c r="S87" s="93" t="str">
        <f t="shared" si="39"/>
        <v/>
      </c>
      <c r="T87" s="94" t="str">
        <f t="shared" si="40"/>
        <v/>
      </c>
      <c r="U87" s="64" t="str">
        <f t="shared" si="41"/>
        <v/>
      </c>
      <c r="V87" s="65" t="str">
        <f t="shared" si="42"/>
        <v/>
      </c>
      <c r="W87" s="78" t="str">
        <f t="shared" si="43"/>
        <v/>
      </c>
      <c r="X87" s="66" t="str">
        <f t="shared" si="44"/>
        <v/>
      </c>
      <c r="Y87" s="66" t="str">
        <f t="shared" si="45"/>
        <v/>
      </c>
      <c r="Z87" s="67" t="str">
        <f t="shared" si="46"/>
        <v/>
      </c>
    </row>
    <row r="88" spans="1:26" s="5" customFormat="1" ht="17.25" customHeight="1">
      <c r="A88" s="84">
        <v>77</v>
      </c>
      <c r="B88" s="130"/>
      <c r="C88" s="130"/>
      <c r="D88" s="131"/>
      <c r="E88" s="96"/>
      <c r="F88" s="96"/>
      <c r="G88" s="132"/>
      <c r="H88" s="133"/>
      <c r="I88" s="134"/>
      <c r="J88" s="97"/>
      <c r="K88" s="62" t="str">
        <f t="shared" si="32"/>
        <v/>
      </c>
      <c r="L88" s="62" t="str">
        <f t="shared" si="33"/>
        <v/>
      </c>
      <c r="M88" s="62" t="str">
        <f t="shared" si="34"/>
        <v/>
      </c>
      <c r="N88" s="63" t="str">
        <f t="shared" si="35"/>
        <v/>
      </c>
      <c r="O88" s="64" t="str">
        <f t="shared" si="47"/>
        <v/>
      </c>
      <c r="P88" s="93" t="str">
        <f t="shared" si="36"/>
        <v/>
      </c>
      <c r="Q88" s="94" t="str">
        <f t="shared" si="37"/>
        <v/>
      </c>
      <c r="R88" s="64" t="str">
        <f t="shared" si="38"/>
        <v/>
      </c>
      <c r="S88" s="93" t="str">
        <f t="shared" si="39"/>
        <v/>
      </c>
      <c r="T88" s="94" t="str">
        <f t="shared" si="40"/>
        <v/>
      </c>
      <c r="U88" s="64" t="str">
        <f t="shared" si="41"/>
        <v/>
      </c>
      <c r="V88" s="65" t="str">
        <f t="shared" si="42"/>
        <v/>
      </c>
      <c r="W88" s="78" t="str">
        <f t="shared" si="43"/>
        <v/>
      </c>
      <c r="X88" s="66" t="str">
        <f t="shared" si="44"/>
        <v/>
      </c>
      <c r="Y88" s="66" t="str">
        <f t="shared" si="45"/>
        <v/>
      </c>
      <c r="Z88" s="67" t="str">
        <f t="shared" si="46"/>
        <v/>
      </c>
    </row>
    <row r="89" spans="1:26" s="5" customFormat="1" ht="17.25" customHeight="1">
      <c r="A89" s="84">
        <v>78</v>
      </c>
      <c r="B89" s="130"/>
      <c r="C89" s="130"/>
      <c r="D89" s="131"/>
      <c r="E89" s="96"/>
      <c r="F89" s="96"/>
      <c r="G89" s="132"/>
      <c r="H89" s="133"/>
      <c r="I89" s="134"/>
      <c r="J89" s="97"/>
      <c r="K89" s="62" t="str">
        <f t="shared" si="32"/>
        <v/>
      </c>
      <c r="L89" s="62" t="str">
        <f t="shared" si="33"/>
        <v/>
      </c>
      <c r="M89" s="62" t="str">
        <f t="shared" si="34"/>
        <v/>
      </c>
      <c r="N89" s="63" t="str">
        <f t="shared" si="35"/>
        <v/>
      </c>
      <c r="O89" s="64" t="str">
        <f t="shared" si="47"/>
        <v/>
      </c>
      <c r="P89" s="93" t="str">
        <f t="shared" si="36"/>
        <v/>
      </c>
      <c r="Q89" s="94" t="str">
        <f t="shared" si="37"/>
        <v/>
      </c>
      <c r="R89" s="64" t="str">
        <f t="shared" si="38"/>
        <v/>
      </c>
      <c r="S89" s="93" t="str">
        <f t="shared" si="39"/>
        <v/>
      </c>
      <c r="T89" s="94" t="str">
        <f t="shared" si="40"/>
        <v/>
      </c>
      <c r="U89" s="64" t="str">
        <f t="shared" si="41"/>
        <v/>
      </c>
      <c r="V89" s="65" t="str">
        <f t="shared" si="42"/>
        <v/>
      </c>
      <c r="W89" s="78" t="str">
        <f t="shared" si="43"/>
        <v/>
      </c>
      <c r="X89" s="66" t="str">
        <f t="shared" si="44"/>
        <v/>
      </c>
      <c r="Y89" s="66" t="str">
        <f t="shared" si="45"/>
        <v/>
      </c>
      <c r="Z89" s="67" t="str">
        <f t="shared" si="46"/>
        <v/>
      </c>
    </row>
    <row r="90" spans="1:26" s="5" customFormat="1" ht="17.25" customHeight="1">
      <c r="A90" s="84">
        <v>79</v>
      </c>
      <c r="B90" s="130"/>
      <c r="C90" s="130"/>
      <c r="D90" s="131"/>
      <c r="E90" s="96"/>
      <c r="F90" s="96"/>
      <c r="G90" s="132"/>
      <c r="H90" s="133"/>
      <c r="I90" s="134"/>
      <c r="J90" s="97"/>
      <c r="K90" s="62" t="str">
        <f t="shared" si="32"/>
        <v/>
      </c>
      <c r="L90" s="62" t="str">
        <f t="shared" si="33"/>
        <v/>
      </c>
      <c r="M90" s="62" t="str">
        <f t="shared" si="34"/>
        <v/>
      </c>
      <c r="N90" s="63" t="str">
        <f t="shared" si="35"/>
        <v/>
      </c>
      <c r="O90" s="64" t="str">
        <f t="shared" si="47"/>
        <v/>
      </c>
      <c r="P90" s="93" t="str">
        <f t="shared" si="36"/>
        <v/>
      </c>
      <c r="Q90" s="94" t="str">
        <f t="shared" si="37"/>
        <v/>
      </c>
      <c r="R90" s="64" t="str">
        <f t="shared" si="38"/>
        <v/>
      </c>
      <c r="S90" s="93" t="str">
        <f t="shared" si="39"/>
        <v/>
      </c>
      <c r="T90" s="94" t="str">
        <f t="shared" si="40"/>
        <v/>
      </c>
      <c r="U90" s="64" t="str">
        <f t="shared" si="41"/>
        <v/>
      </c>
      <c r="V90" s="65" t="str">
        <f t="shared" si="42"/>
        <v/>
      </c>
      <c r="W90" s="78" t="str">
        <f t="shared" si="43"/>
        <v/>
      </c>
      <c r="X90" s="66" t="str">
        <f t="shared" si="44"/>
        <v/>
      </c>
      <c r="Y90" s="66" t="str">
        <f t="shared" si="45"/>
        <v/>
      </c>
      <c r="Z90" s="67" t="str">
        <f t="shared" si="46"/>
        <v/>
      </c>
    </row>
    <row r="91" spans="1:26" s="5" customFormat="1" ht="17.25" customHeight="1">
      <c r="A91" s="84">
        <v>80</v>
      </c>
      <c r="B91" s="130"/>
      <c r="C91" s="130"/>
      <c r="D91" s="131"/>
      <c r="E91" s="96"/>
      <c r="F91" s="96"/>
      <c r="G91" s="132"/>
      <c r="H91" s="133"/>
      <c r="I91" s="134"/>
      <c r="J91" s="97"/>
      <c r="K91" s="62" t="str">
        <f t="shared" si="32"/>
        <v/>
      </c>
      <c r="L91" s="62" t="str">
        <f t="shared" si="33"/>
        <v/>
      </c>
      <c r="M91" s="62" t="str">
        <f t="shared" si="34"/>
        <v/>
      </c>
      <c r="N91" s="63" t="str">
        <f t="shared" si="35"/>
        <v/>
      </c>
      <c r="O91" s="64" t="str">
        <f t="shared" si="47"/>
        <v/>
      </c>
      <c r="P91" s="93" t="str">
        <f t="shared" si="36"/>
        <v/>
      </c>
      <c r="Q91" s="94" t="str">
        <f t="shared" si="37"/>
        <v/>
      </c>
      <c r="R91" s="64" t="str">
        <f t="shared" si="38"/>
        <v/>
      </c>
      <c r="S91" s="93" t="str">
        <f t="shared" si="39"/>
        <v/>
      </c>
      <c r="T91" s="94" t="str">
        <f t="shared" si="40"/>
        <v/>
      </c>
      <c r="U91" s="64" t="str">
        <f t="shared" si="41"/>
        <v/>
      </c>
      <c r="V91" s="65" t="str">
        <f t="shared" si="42"/>
        <v/>
      </c>
      <c r="W91" s="78" t="str">
        <f t="shared" si="43"/>
        <v/>
      </c>
      <c r="X91" s="66" t="str">
        <f t="shared" si="44"/>
        <v/>
      </c>
      <c r="Y91" s="66" t="str">
        <f t="shared" si="45"/>
        <v/>
      </c>
      <c r="Z91" s="67" t="str">
        <f t="shared" si="46"/>
        <v/>
      </c>
    </row>
    <row r="92" spans="1:26" s="5" customFormat="1" ht="17.25" customHeight="1">
      <c r="A92" s="84">
        <v>81</v>
      </c>
      <c r="B92" s="130"/>
      <c r="C92" s="130"/>
      <c r="D92" s="131"/>
      <c r="E92" s="96"/>
      <c r="F92" s="96"/>
      <c r="G92" s="132"/>
      <c r="H92" s="133"/>
      <c r="I92" s="134"/>
      <c r="J92" s="97"/>
      <c r="K92" s="62" t="str">
        <f t="shared" si="32"/>
        <v/>
      </c>
      <c r="L92" s="62" t="str">
        <f t="shared" si="33"/>
        <v/>
      </c>
      <c r="M92" s="62" t="str">
        <f t="shared" si="34"/>
        <v/>
      </c>
      <c r="N92" s="63" t="str">
        <f t="shared" si="35"/>
        <v/>
      </c>
      <c r="O92" s="64" t="str">
        <f t="shared" si="47"/>
        <v/>
      </c>
      <c r="P92" s="93" t="str">
        <f t="shared" si="36"/>
        <v/>
      </c>
      <c r="Q92" s="94" t="str">
        <f t="shared" si="37"/>
        <v/>
      </c>
      <c r="R92" s="64" t="str">
        <f t="shared" si="38"/>
        <v/>
      </c>
      <c r="S92" s="93" t="str">
        <f t="shared" si="39"/>
        <v/>
      </c>
      <c r="T92" s="94" t="str">
        <f t="shared" si="40"/>
        <v/>
      </c>
      <c r="U92" s="64" t="str">
        <f t="shared" si="41"/>
        <v/>
      </c>
      <c r="V92" s="65" t="str">
        <f t="shared" si="42"/>
        <v/>
      </c>
      <c r="W92" s="78" t="str">
        <f t="shared" si="43"/>
        <v/>
      </c>
      <c r="X92" s="66" t="str">
        <f t="shared" si="44"/>
        <v/>
      </c>
      <c r="Y92" s="66" t="str">
        <f t="shared" si="45"/>
        <v/>
      </c>
      <c r="Z92" s="67" t="str">
        <f t="shared" si="46"/>
        <v/>
      </c>
    </row>
    <row r="93" spans="1:26" s="5" customFormat="1" ht="17.25" customHeight="1">
      <c r="A93" s="84">
        <v>82</v>
      </c>
      <c r="B93" s="130"/>
      <c r="C93" s="130"/>
      <c r="D93" s="131"/>
      <c r="E93" s="96"/>
      <c r="F93" s="96"/>
      <c r="G93" s="132"/>
      <c r="H93" s="133"/>
      <c r="I93" s="134"/>
      <c r="J93" s="97"/>
      <c r="K93" s="62" t="str">
        <f t="shared" si="32"/>
        <v/>
      </c>
      <c r="L93" s="62" t="str">
        <f t="shared" si="33"/>
        <v/>
      </c>
      <c r="M93" s="62" t="str">
        <f t="shared" si="34"/>
        <v/>
      </c>
      <c r="N93" s="63" t="str">
        <f t="shared" si="35"/>
        <v/>
      </c>
      <c r="O93" s="64" t="str">
        <f t="shared" si="47"/>
        <v/>
      </c>
      <c r="P93" s="93" t="str">
        <f t="shared" si="36"/>
        <v/>
      </c>
      <c r="Q93" s="94" t="str">
        <f t="shared" si="37"/>
        <v/>
      </c>
      <c r="R93" s="64" t="str">
        <f t="shared" si="38"/>
        <v/>
      </c>
      <c r="S93" s="93" t="str">
        <f t="shared" si="39"/>
        <v/>
      </c>
      <c r="T93" s="94" t="str">
        <f t="shared" si="40"/>
        <v/>
      </c>
      <c r="U93" s="64" t="str">
        <f t="shared" si="41"/>
        <v/>
      </c>
      <c r="V93" s="65" t="str">
        <f t="shared" si="42"/>
        <v/>
      </c>
      <c r="W93" s="78" t="str">
        <f t="shared" si="43"/>
        <v/>
      </c>
      <c r="X93" s="66" t="str">
        <f t="shared" si="44"/>
        <v/>
      </c>
      <c r="Y93" s="66" t="str">
        <f t="shared" si="45"/>
        <v/>
      </c>
      <c r="Z93" s="67" t="str">
        <f t="shared" si="46"/>
        <v/>
      </c>
    </row>
    <row r="94" spans="1:26" s="5" customFormat="1" ht="17.25" customHeight="1">
      <c r="A94" s="84">
        <v>83</v>
      </c>
      <c r="B94" s="130"/>
      <c r="C94" s="130"/>
      <c r="D94" s="131"/>
      <c r="E94" s="96"/>
      <c r="F94" s="96"/>
      <c r="G94" s="132"/>
      <c r="H94" s="133"/>
      <c r="I94" s="134"/>
      <c r="J94" s="97"/>
      <c r="K94" s="62" t="str">
        <f t="shared" si="32"/>
        <v/>
      </c>
      <c r="L94" s="62" t="str">
        <f t="shared" si="33"/>
        <v/>
      </c>
      <c r="M94" s="62" t="str">
        <f t="shared" si="34"/>
        <v/>
      </c>
      <c r="N94" s="63" t="str">
        <f t="shared" si="35"/>
        <v/>
      </c>
      <c r="O94" s="64" t="str">
        <f t="shared" si="47"/>
        <v/>
      </c>
      <c r="P94" s="93" t="str">
        <f t="shared" si="36"/>
        <v/>
      </c>
      <c r="Q94" s="94" t="str">
        <f t="shared" si="37"/>
        <v/>
      </c>
      <c r="R94" s="64" t="str">
        <f t="shared" si="38"/>
        <v/>
      </c>
      <c r="S94" s="93" t="str">
        <f t="shared" si="39"/>
        <v/>
      </c>
      <c r="T94" s="94" t="str">
        <f t="shared" si="40"/>
        <v/>
      </c>
      <c r="U94" s="64" t="str">
        <f t="shared" si="41"/>
        <v/>
      </c>
      <c r="V94" s="65" t="str">
        <f t="shared" si="42"/>
        <v/>
      </c>
      <c r="W94" s="78" t="str">
        <f t="shared" si="43"/>
        <v/>
      </c>
      <c r="X94" s="66" t="str">
        <f t="shared" si="44"/>
        <v/>
      </c>
      <c r="Y94" s="66" t="str">
        <f t="shared" si="45"/>
        <v/>
      </c>
      <c r="Z94" s="67" t="str">
        <f t="shared" si="46"/>
        <v/>
      </c>
    </row>
    <row r="95" spans="1:26" s="5" customFormat="1" ht="17.25" customHeight="1">
      <c r="A95" s="84">
        <v>84</v>
      </c>
      <c r="B95" s="130"/>
      <c r="C95" s="130"/>
      <c r="D95" s="131"/>
      <c r="E95" s="96"/>
      <c r="F95" s="96"/>
      <c r="G95" s="132"/>
      <c r="H95" s="133"/>
      <c r="I95" s="134"/>
      <c r="J95" s="97"/>
      <c r="K95" s="62" t="str">
        <f t="shared" si="32"/>
        <v/>
      </c>
      <c r="L95" s="62" t="str">
        <f t="shared" si="33"/>
        <v/>
      </c>
      <c r="M95" s="62" t="str">
        <f t="shared" si="34"/>
        <v/>
      </c>
      <c r="N95" s="63" t="str">
        <f t="shared" si="35"/>
        <v/>
      </c>
      <c r="O95" s="64" t="str">
        <f t="shared" si="47"/>
        <v/>
      </c>
      <c r="P95" s="93" t="str">
        <f t="shared" si="36"/>
        <v/>
      </c>
      <c r="Q95" s="94" t="str">
        <f t="shared" si="37"/>
        <v/>
      </c>
      <c r="R95" s="64" t="str">
        <f t="shared" si="38"/>
        <v/>
      </c>
      <c r="S95" s="93" t="str">
        <f t="shared" si="39"/>
        <v/>
      </c>
      <c r="T95" s="94" t="str">
        <f t="shared" si="40"/>
        <v/>
      </c>
      <c r="U95" s="64" t="str">
        <f t="shared" si="41"/>
        <v/>
      </c>
      <c r="V95" s="65" t="str">
        <f t="shared" si="42"/>
        <v/>
      </c>
      <c r="W95" s="78" t="str">
        <f t="shared" si="43"/>
        <v/>
      </c>
      <c r="X95" s="66" t="str">
        <f t="shared" si="44"/>
        <v/>
      </c>
      <c r="Y95" s="66" t="str">
        <f t="shared" si="45"/>
        <v/>
      </c>
      <c r="Z95" s="67" t="str">
        <f t="shared" si="46"/>
        <v/>
      </c>
    </row>
    <row r="96" spans="1:26" s="5" customFormat="1" ht="17.25" customHeight="1">
      <c r="A96" s="84">
        <v>85</v>
      </c>
      <c r="B96" s="130"/>
      <c r="C96" s="130"/>
      <c r="D96" s="131"/>
      <c r="E96" s="96"/>
      <c r="F96" s="96"/>
      <c r="G96" s="132"/>
      <c r="H96" s="133"/>
      <c r="I96" s="134"/>
      <c r="J96" s="97"/>
      <c r="K96" s="62" t="str">
        <f t="shared" si="32"/>
        <v/>
      </c>
      <c r="L96" s="62" t="str">
        <f t="shared" si="33"/>
        <v/>
      </c>
      <c r="M96" s="62" t="str">
        <f t="shared" si="34"/>
        <v/>
      </c>
      <c r="N96" s="63" t="str">
        <f t="shared" si="35"/>
        <v/>
      </c>
      <c r="O96" s="64" t="str">
        <f t="shared" si="47"/>
        <v/>
      </c>
      <c r="P96" s="93" t="str">
        <f t="shared" si="36"/>
        <v/>
      </c>
      <c r="Q96" s="94" t="str">
        <f t="shared" si="37"/>
        <v/>
      </c>
      <c r="R96" s="64" t="str">
        <f t="shared" si="38"/>
        <v/>
      </c>
      <c r="S96" s="93" t="str">
        <f t="shared" si="39"/>
        <v/>
      </c>
      <c r="T96" s="94" t="str">
        <f t="shared" si="40"/>
        <v/>
      </c>
      <c r="U96" s="64" t="str">
        <f t="shared" si="41"/>
        <v/>
      </c>
      <c r="V96" s="65" t="str">
        <f t="shared" si="42"/>
        <v/>
      </c>
      <c r="W96" s="78" t="str">
        <f t="shared" si="43"/>
        <v/>
      </c>
      <c r="X96" s="66" t="str">
        <f t="shared" si="44"/>
        <v/>
      </c>
      <c r="Y96" s="66" t="str">
        <f t="shared" si="45"/>
        <v/>
      </c>
      <c r="Z96" s="67" t="str">
        <f t="shared" si="46"/>
        <v/>
      </c>
    </row>
    <row r="97" spans="1:26" s="5" customFormat="1" ht="17.25" customHeight="1">
      <c r="A97" s="84">
        <v>86</v>
      </c>
      <c r="B97" s="130"/>
      <c r="C97" s="130"/>
      <c r="D97" s="131"/>
      <c r="E97" s="96"/>
      <c r="F97" s="96"/>
      <c r="G97" s="132"/>
      <c r="H97" s="133"/>
      <c r="I97" s="134"/>
      <c r="J97" s="97"/>
      <c r="K97" s="62" t="str">
        <f t="shared" si="32"/>
        <v/>
      </c>
      <c r="L97" s="62" t="str">
        <f t="shared" si="33"/>
        <v/>
      </c>
      <c r="M97" s="62" t="str">
        <f t="shared" si="34"/>
        <v/>
      </c>
      <c r="N97" s="63" t="str">
        <f t="shared" si="35"/>
        <v/>
      </c>
      <c r="O97" s="64" t="str">
        <f t="shared" si="47"/>
        <v/>
      </c>
      <c r="P97" s="93" t="str">
        <f t="shared" si="36"/>
        <v/>
      </c>
      <c r="Q97" s="94" t="str">
        <f t="shared" si="37"/>
        <v/>
      </c>
      <c r="R97" s="64" t="str">
        <f t="shared" si="38"/>
        <v/>
      </c>
      <c r="S97" s="93" t="str">
        <f t="shared" si="39"/>
        <v/>
      </c>
      <c r="T97" s="94" t="str">
        <f t="shared" si="40"/>
        <v/>
      </c>
      <c r="U97" s="64" t="str">
        <f t="shared" si="41"/>
        <v/>
      </c>
      <c r="V97" s="65" t="str">
        <f t="shared" si="42"/>
        <v/>
      </c>
      <c r="W97" s="78" t="str">
        <f t="shared" si="43"/>
        <v/>
      </c>
      <c r="X97" s="66" t="str">
        <f t="shared" si="44"/>
        <v/>
      </c>
      <c r="Y97" s="66" t="str">
        <f t="shared" si="45"/>
        <v/>
      </c>
      <c r="Z97" s="67" t="str">
        <f t="shared" si="46"/>
        <v/>
      </c>
    </row>
    <row r="98" spans="1:26" s="5" customFormat="1" ht="17.25" customHeight="1">
      <c r="A98" s="84">
        <v>87</v>
      </c>
      <c r="B98" s="130"/>
      <c r="C98" s="130"/>
      <c r="D98" s="131"/>
      <c r="E98" s="96"/>
      <c r="F98" s="96"/>
      <c r="G98" s="132"/>
      <c r="H98" s="133"/>
      <c r="I98" s="134"/>
      <c r="J98" s="97"/>
      <c r="K98" s="62" t="str">
        <f t="shared" si="32"/>
        <v/>
      </c>
      <c r="L98" s="62" t="str">
        <f t="shared" si="33"/>
        <v/>
      </c>
      <c r="M98" s="62" t="str">
        <f t="shared" si="34"/>
        <v/>
      </c>
      <c r="N98" s="63" t="str">
        <f t="shared" si="35"/>
        <v/>
      </c>
      <c r="O98" s="64" t="str">
        <f t="shared" si="47"/>
        <v/>
      </c>
      <c r="P98" s="93" t="str">
        <f t="shared" si="36"/>
        <v/>
      </c>
      <c r="Q98" s="94" t="str">
        <f t="shared" si="37"/>
        <v/>
      </c>
      <c r="R98" s="64" t="str">
        <f t="shared" si="38"/>
        <v/>
      </c>
      <c r="S98" s="93" t="str">
        <f t="shared" si="39"/>
        <v/>
      </c>
      <c r="T98" s="94" t="str">
        <f t="shared" si="40"/>
        <v/>
      </c>
      <c r="U98" s="64" t="str">
        <f t="shared" si="41"/>
        <v/>
      </c>
      <c r="V98" s="65" t="str">
        <f t="shared" si="42"/>
        <v/>
      </c>
      <c r="W98" s="78" t="str">
        <f t="shared" si="43"/>
        <v/>
      </c>
      <c r="X98" s="66" t="str">
        <f t="shared" si="44"/>
        <v/>
      </c>
      <c r="Y98" s="66" t="str">
        <f t="shared" si="45"/>
        <v/>
      </c>
      <c r="Z98" s="67" t="str">
        <f t="shared" si="46"/>
        <v/>
      </c>
    </row>
    <row r="99" spans="1:26" s="5" customFormat="1" ht="17.25" customHeight="1">
      <c r="A99" s="84">
        <v>88</v>
      </c>
      <c r="B99" s="130"/>
      <c r="C99" s="130"/>
      <c r="D99" s="131"/>
      <c r="E99" s="96"/>
      <c r="F99" s="96"/>
      <c r="G99" s="132"/>
      <c r="H99" s="133"/>
      <c r="I99" s="134"/>
      <c r="J99" s="97"/>
      <c r="K99" s="62" t="str">
        <f t="shared" si="32"/>
        <v/>
      </c>
      <c r="L99" s="62" t="str">
        <f t="shared" si="33"/>
        <v/>
      </c>
      <c r="M99" s="62" t="str">
        <f t="shared" si="34"/>
        <v/>
      </c>
      <c r="N99" s="63" t="str">
        <f t="shared" si="35"/>
        <v/>
      </c>
      <c r="O99" s="64" t="str">
        <f t="shared" si="47"/>
        <v/>
      </c>
      <c r="P99" s="93" t="str">
        <f t="shared" si="36"/>
        <v/>
      </c>
      <c r="Q99" s="94" t="str">
        <f t="shared" si="37"/>
        <v/>
      </c>
      <c r="R99" s="64" t="str">
        <f t="shared" si="38"/>
        <v/>
      </c>
      <c r="S99" s="93" t="str">
        <f t="shared" si="39"/>
        <v/>
      </c>
      <c r="T99" s="94" t="str">
        <f t="shared" si="40"/>
        <v/>
      </c>
      <c r="U99" s="64" t="str">
        <f t="shared" si="41"/>
        <v/>
      </c>
      <c r="V99" s="65" t="str">
        <f t="shared" si="42"/>
        <v/>
      </c>
      <c r="W99" s="78" t="str">
        <f t="shared" si="43"/>
        <v/>
      </c>
      <c r="X99" s="66" t="str">
        <f t="shared" si="44"/>
        <v/>
      </c>
      <c r="Y99" s="66" t="str">
        <f t="shared" si="45"/>
        <v/>
      </c>
      <c r="Z99" s="67" t="str">
        <f t="shared" si="46"/>
        <v/>
      </c>
    </row>
    <row r="100" spans="1:26" s="5" customFormat="1" ht="17.25" customHeight="1">
      <c r="A100" s="84">
        <v>89</v>
      </c>
      <c r="B100" s="130"/>
      <c r="C100" s="130"/>
      <c r="D100" s="131"/>
      <c r="E100" s="96"/>
      <c r="F100" s="96"/>
      <c r="G100" s="132"/>
      <c r="H100" s="133"/>
      <c r="I100" s="134"/>
      <c r="J100" s="97"/>
      <c r="K100" s="62" t="str">
        <f t="shared" si="32"/>
        <v/>
      </c>
      <c r="L100" s="62" t="str">
        <f t="shared" si="33"/>
        <v/>
      </c>
      <c r="M100" s="62" t="str">
        <f t="shared" si="34"/>
        <v/>
      </c>
      <c r="N100" s="63" t="str">
        <f t="shared" si="35"/>
        <v/>
      </c>
      <c r="O100" s="64" t="str">
        <f t="shared" si="47"/>
        <v/>
      </c>
      <c r="P100" s="93" t="str">
        <f t="shared" si="36"/>
        <v/>
      </c>
      <c r="Q100" s="94" t="str">
        <f t="shared" si="37"/>
        <v/>
      </c>
      <c r="R100" s="64" t="str">
        <f t="shared" si="38"/>
        <v/>
      </c>
      <c r="S100" s="93" t="str">
        <f t="shared" si="39"/>
        <v/>
      </c>
      <c r="T100" s="94" t="str">
        <f t="shared" si="40"/>
        <v/>
      </c>
      <c r="U100" s="64" t="str">
        <f t="shared" si="41"/>
        <v/>
      </c>
      <c r="V100" s="65" t="str">
        <f t="shared" si="42"/>
        <v/>
      </c>
      <c r="W100" s="78" t="str">
        <f t="shared" si="43"/>
        <v/>
      </c>
      <c r="X100" s="66" t="str">
        <f t="shared" si="44"/>
        <v/>
      </c>
      <c r="Y100" s="66" t="str">
        <f t="shared" si="45"/>
        <v/>
      </c>
      <c r="Z100" s="67" t="str">
        <f t="shared" si="46"/>
        <v/>
      </c>
    </row>
    <row r="101" spans="1:26" s="5" customFormat="1" ht="17.25" customHeight="1">
      <c r="A101" s="84">
        <v>90</v>
      </c>
      <c r="B101" s="130"/>
      <c r="C101" s="130"/>
      <c r="D101" s="131"/>
      <c r="E101" s="96"/>
      <c r="F101" s="96"/>
      <c r="G101" s="132"/>
      <c r="H101" s="133"/>
      <c r="I101" s="134"/>
      <c r="J101" s="97"/>
      <c r="K101" s="62" t="str">
        <f t="shared" si="32"/>
        <v/>
      </c>
      <c r="L101" s="62" t="str">
        <f t="shared" si="33"/>
        <v/>
      </c>
      <c r="M101" s="62" t="str">
        <f t="shared" si="34"/>
        <v/>
      </c>
      <c r="N101" s="63" t="str">
        <f t="shared" si="35"/>
        <v/>
      </c>
      <c r="O101" s="64" t="str">
        <f t="shared" si="47"/>
        <v/>
      </c>
      <c r="P101" s="93" t="str">
        <f t="shared" si="36"/>
        <v/>
      </c>
      <c r="Q101" s="94" t="str">
        <f t="shared" si="37"/>
        <v/>
      </c>
      <c r="R101" s="64" t="str">
        <f t="shared" si="38"/>
        <v/>
      </c>
      <c r="S101" s="93" t="str">
        <f t="shared" si="39"/>
        <v/>
      </c>
      <c r="T101" s="94" t="str">
        <f t="shared" si="40"/>
        <v/>
      </c>
      <c r="U101" s="64" t="str">
        <f t="shared" si="41"/>
        <v/>
      </c>
      <c r="V101" s="65" t="str">
        <f t="shared" si="42"/>
        <v/>
      </c>
      <c r="W101" s="78" t="str">
        <f t="shared" si="43"/>
        <v/>
      </c>
      <c r="X101" s="66" t="str">
        <f t="shared" si="44"/>
        <v/>
      </c>
      <c r="Y101" s="66" t="str">
        <f t="shared" si="45"/>
        <v/>
      </c>
      <c r="Z101" s="67" t="str">
        <f t="shared" si="46"/>
        <v/>
      </c>
    </row>
    <row r="102" spans="1:26" s="5" customFormat="1" ht="17.25" customHeight="1">
      <c r="A102" s="84">
        <v>91</v>
      </c>
      <c r="B102" s="130"/>
      <c r="C102" s="130"/>
      <c r="D102" s="131"/>
      <c r="E102" s="96"/>
      <c r="F102" s="96"/>
      <c r="G102" s="132"/>
      <c r="H102" s="133"/>
      <c r="I102" s="134"/>
      <c r="J102" s="97"/>
      <c r="K102" s="62" t="str">
        <f t="shared" si="32"/>
        <v/>
      </c>
      <c r="L102" s="62" t="str">
        <f t="shared" si="33"/>
        <v/>
      </c>
      <c r="M102" s="62" t="str">
        <f t="shared" si="34"/>
        <v/>
      </c>
      <c r="N102" s="63" t="str">
        <f t="shared" si="35"/>
        <v/>
      </c>
      <c r="O102" s="64" t="str">
        <f t="shared" si="47"/>
        <v/>
      </c>
      <c r="P102" s="93" t="str">
        <f t="shared" si="36"/>
        <v/>
      </c>
      <c r="Q102" s="94" t="str">
        <f t="shared" si="37"/>
        <v/>
      </c>
      <c r="R102" s="64" t="str">
        <f t="shared" si="38"/>
        <v/>
      </c>
      <c r="S102" s="93" t="str">
        <f t="shared" si="39"/>
        <v/>
      </c>
      <c r="T102" s="94" t="str">
        <f t="shared" si="40"/>
        <v/>
      </c>
      <c r="U102" s="64" t="str">
        <f t="shared" si="41"/>
        <v/>
      </c>
      <c r="V102" s="65" t="str">
        <f t="shared" si="42"/>
        <v/>
      </c>
      <c r="W102" s="78" t="str">
        <f t="shared" si="43"/>
        <v/>
      </c>
      <c r="X102" s="66" t="str">
        <f t="shared" si="44"/>
        <v/>
      </c>
      <c r="Y102" s="66" t="str">
        <f t="shared" si="45"/>
        <v/>
      </c>
      <c r="Z102" s="67" t="str">
        <f t="shared" si="46"/>
        <v/>
      </c>
    </row>
    <row r="103" spans="1:26" s="5" customFormat="1" ht="17.25" customHeight="1">
      <c r="A103" s="84">
        <v>92</v>
      </c>
      <c r="B103" s="130"/>
      <c r="C103" s="130"/>
      <c r="D103" s="131"/>
      <c r="E103" s="96"/>
      <c r="F103" s="96"/>
      <c r="G103" s="132"/>
      <c r="H103" s="133"/>
      <c r="I103" s="134"/>
      <c r="J103" s="97"/>
      <c r="K103" s="62" t="str">
        <f t="shared" si="32"/>
        <v/>
      </c>
      <c r="L103" s="62" t="str">
        <f t="shared" si="33"/>
        <v/>
      </c>
      <c r="M103" s="62" t="str">
        <f t="shared" si="34"/>
        <v/>
      </c>
      <c r="N103" s="63" t="str">
        <f t="shared" si="35"/>
        <v/>
      </c>
      <c r="O103" s="64" t="str">
        <f t="shared" si="47"/>
        <v/>
      </c>
      <c r="P103" s="93" t="str">
        <f t="shared" si="36"/>
        <v/>
      </c>
      <c r="Q103" s="94" t="str">
        <f t="shared" si="37"/>
        <v/>
      </c>
      <c r="R103" s="64" t="str">
        <f t="shared" si="38"/>
        <v/>
      </c>
      <c r="S103" s="93" t="str">
        <f t="shared" si="39"/>
        <v/>
      </c>
      <c r="T103" s="94" t="str">
        <f t="shared" si="40"/>
        <v/>
      </c>
      <c r="U103" s="64" t="str">
        <f t="shared" si="41"/>
        <v/>
      </c>
      <c r="V103" s="65" t="str">
        <f t="shared" si="42"/>
        <v/>
      </c>
      <c r="W103" s="78" t="str">
        <f t="shared" si="43"/>
        <v/>
      </c>
      <c r="X103" s="66" t="str">
        <f t="shared" si="44"/>
        <v/>
      </c>
      <c r="Y103" s="66" t="str">
        <f t="shared" si="45"/>
        <v/>
      </c>
      <c r="Z103" s="67" t="str">
        <f t="shared" si="46"/>
        <v/>
      </c>
    </row>
    <row r="104" spans="1:26" s="5" customFormat="1" ht="17.25" customHeight="1">
      <c r="A104" s="84">
        <v>93</v>
      </c>
      <c r="B104" s="130"/>
      <c r="C104" s="130"/>
      <c r="D104" s="131"/>
      <c r="E104" s="96"/>
      <c r="F104" s="96"/>
      <c r="G104" s="132"/>
      <c r="H104" s="133"/>
      <c r="I104" s="134"/>
      <c r="J104" s="97"/>
      <c r="K104" s="62" t="str">
        <f t="shared" si="32"/>
        <v/>
      </c>
      <c r="L104" s="62" t="str">
        <f t="shared" si="33"/>
        <v/>
      </c>
      <c r="M104" s="62" t="str">
        <f t="shared" si="34"/>
        <v/>
      </c>
      <c r="N104" s="63" t="str">
        <f t="shared" si="35"/>
        <v/>
      </c>
      <c r="O104" s="64" t="str">
        <f t="shared" si="47"/>
        <v/>
      </c>
      <c r="P104" s="93" t="str">
        <f t="shared" si="36"/>
        <v/>
      </c>
      <c r="Q104" s="94" t="str">
        <f t="shared" si="37"/>
        <v/>
      </c>
      <c r="R104" s="64" t="str">
        <f t="shared" si="38"/>
        <v/>
      </c>
      <c r="S104" s="93" t="str">
        <f t="shared" si="39"/>
        <v/>
      </c>
      <c r="T104" s="94" t="str">
        <f t="shared" si="40"/>
        <v/>
      </c>
      <c r="U104" s="64" t="str">
        <f t="shared" si="41"/>
        <v/>
      </c>
      <c r="V104" s="65" t="str">
        <f t="shared" si="42"/>
        <v/>
      </c>
      <c r="W104" s="78" t="str">
        <f t="shared" si="43"/>
        <v/>
      </c>
      <c r="X104" s="66" t="str">
        <f t="shared" si="44"/>
        <v/>
      </c>
      <c r="Y104" s="66" t="str">
        <f t="shared" si="45"/>
        <v/>
      </c>
      <c r="Z104" s="67" t="str">
        <f t="shared" si="46"/>
        <v/>
      </c>
    </row>
    <row r="105" spans="1:26" s="5" customFormat="1" ht="17.25" customHeight="1">
      <c r="A105" s="84">
        <v>94</v>
      </c>
      <c r="B105" s="130"/>
      <c r="C105" s="130"/>
      <c r="D105" s="131"/>
      <c r="E105" s="96"/>
      <c r="F105" s="96"/>
      <c r="G105" s="132"/>
      <c r="H105" s="133"/>
      <c r="I105" s="134"/>
      <c r="J105" s="97"/>
      <c r="K105" s="62" t="str">
        <f t="shared" si="32"/>
        <v/>
      </c>
      <c r="L105" s="62" t="str">
        <f t="shared" si="33"/>
        <v/>
      </c>
      <c r="M105" s="62" t="str">
        <f t="shared" si="34"/>
        <v/>
      </c>
      <c r="N105" s="63" t="str">
        <f t="shared" si="35"/>
        <v/>
      </c>
      <c r="O105" s="64" t="str">
        <f t="shared" si="47"/>
        <v/>
      </c>
      <c r="P105" s="93" t="str">
        <f t="shared" si="36"/>
        <v/>
      </c>
      <c r="Q105" s="94" t="str">
        <f t="shared" si="37"/>
        <v/>
      </c>
      <c r="R105" s="64" t="str">
        <f t="shared" si="38"/>
        <v/>
      </c>
      <c r="S105" s="93" t="str">
        <f t="shared" si="39"/>
        <v/>
      </c>
      <c r="T105" s="94" t="str">
        <f t="shared" si="40"/>
        <v/>
      </c>
      <c r="U105" s="64" t="str">
        <f t="shared" si="41"/>
        <v/>
      </c>
      <c r="V105" s="65" t="str">
        <f t="shared" si="42"/>
        <v/>
      </c>
      <c r="W105" s="78" t="str">
        <f t="shared" si="43"/>
        <v/>
      </c>
      <c r="X105" s="66" t="str">
        <f t="shared" si="44"/>
        <v/>
      </c>
      <c r="Y105" s="66" t="str">
        <f t="shared" si="45"/>
        <v/>
      </c>
      <c r="Z105" s="67" t="str">
        <f t="shared" si="46"/>
        <v/>
      </c>
    </row>
    <row r="106" spans="1:26" s="5" customFormat="1" ht="17.25" customHeight="1">
      <c r="A106" s="84">
        <v>95</v>
      </c>
      <c r="B106" s="130"/>
      <c r="C106" s="130"/>
      <c r="D106" s="131"/>
      <c r="E106" s="96"/>
      <c r="F106" s="96"/>
      <c r="G106" s="132"/>
      <c r="H106" s="133"/>
      <c r="I106" s="134"/>
      <c r="J106" s="97"/>
      <c r="K106" s="62" t="str">
        <f t="shared" si="32"/>
        <v/>
      </c>
      <c r="L106" s="62" t="str">
        <f t="shared" si="33"/>
        <v/>
      </c>
      <c r="M106" s="62" t="str">
        <f t="shared" si="34"/>
        <v/>
      </c>
      <c r="N106" s="63" t="str">
        <f t="shared" si="35"/>
        <v/>
      </c>
      <c r="O106" s="64" t="str">
        <f t="shared" si="47"/>
        <v/>
      </c>
      <c r="P106" s="93" t="str">
        <f t="shared" si="36"/>
        <v/>
      </c>
      <c r="Q106" s="94" t="str">
        <f t="shared" si="37"/>
        <v/>
      </c>
      <c r="R106" s="64" t="str">
        <f t="shared" si="38"/>
        <v/>
      </c>
      <c r="S106" s="93" t="str">
        <f t="shared" si="39"/>
        <v/>
      </c>
      <c r="T106" s="94" t="str">
        <f t="shared" si="40"/>
        <v/>
      </c>
      <c r="U106" s="64" t="str">
        <f t="shared" si="41"/>
        <v/>
      </c>
      <c r="V106" s="65" t="str">
        <f t="shared" si="42"/>
        <v/>
      </c>
      <c r="W106" s="78" t="str">
        <f t="shared" si="43"/>
        <v/>
      </c>
      <c r="X106" s="66" t="str">
        <f t="shared" si="44"/>
        <v/>
      </c>
      <c r="Y106" s="66" t="str">
        <f t="shared" si="45"/>
        <v/>
      </c>
      <c r="Z106" s="67" t="str">
        <f t="shared" si="46"/>
        <v/>
      </c>
    </row>
    <row r="107" spans="1:26" s="5" customFormat="1" ht="17.25" customHeight="1">
      <c r="A107" s="84">
        <v>96</v>
      </c>
      <c r="B107" s="130"/>
      <c r="C107" s="130"/>
      <c r="D107" s="131"/>
      <c r="E107" s="96"/>
      <c r="F107" s="96"/>
      <c r="G107" s="132"/>
      <c r="H107" s="133"/>
      <c r="I107" s="134"/>
      <c r="J107" s="97"/>
      <c r="K107" s="62" t="str">
        <f t="shared" si="32"/>
        <v/>
      </c>
      <c r="L107" s="62" t="str">
        <f t="shared" si="33"/>
        <v/>
      </c>
      <c r="M107" s="62" t="str">
        <f t="shared" si="34"/>
        <v/>
      </c>
      <c r="N107" s="63" t="str">
        <f t="shared" si="35"/>
        <v/>
      </c>
      <c r="O107" s="64" t="str">
        <f t="shared" si="47"/>
        <v/>
      </c>
      <c r="P107" s="93" t="str">
        <f t="shared" si="36"/>
        <v/>
      </c>
      <c r="Q107" s="94" t="str">
        <f t="shared" si="37"/>
        <v/>
      </c>
      <c r="R107" s="64" t="str">
        <f t="shared" si="38"/>
        <v/>
      </c>
      <c r="S107" s="93" t="str">
        <f t="shared" si="39"/>
        <v/>
      </c>
      <c r="T107" s="94" t="str">
        <f t="shared" si="40"/>
        <v/>
      </c>
      <c r="U107" s="64" t="str">
        <f t="shared" si="41"/>
        <v/>
      </c>
      <c r="V107" s="65" t="str">
        <f t="shared" si="42"/>
        <v/>
      </c>
      <c r="W107" s="78" t="str">
        <f t="shared" si="43"/>
        <v/>
      </c>
      <c r="X107" s="66" t="str">
        <f t="shared" si="44"/>
        <v/>
      </c>
      <c r="Y107" s="66" t="str">
        <f t="shared" si="45"/>
        <v/>
      </c>
      <c r="Z107" s="67" t="str">
        <f t="shared" si="46"/>
        <v/>
      </c>
    </row>
    <row r="108" spans="1:26" s="5" customFormat="1" ht="17.25" customHeight="1">
      <c r="A108" s="84">
        <v>97</v>
      </c>
      <c r="B108" s="130"/>
      <c r="C108" s="130"/>
      <c r="D108" s="131"/>
      <c r="E108" s="96"/>
      <c r="F108" s="96"/>
      <c r="G108" s="132"/>
      <c r="H108" s="133"/>
      <c r="I108" s="134"/>
      <c r="J108" s="97"/>
      <c r="K108" s="62" t="str">
        <f t="shared" ref="K108:K136" si="48">IF($X$11=0,"",IF(D108="","",IF($G108="","",IF($F108="","",IF($G108/$F108&gt;=$K$11,"yes","NC")))))</f>
        <v/>
      </c>
      <c r="L108" s="62" t="str">
        <f t="shared" ref="L108:L136" si="49">IF($Y$11=0,"",IF($D108="","",IF($H108="","",IF($H108="","",IF($H108/$F108&gt;=$L$11,"yes","NC")))))</f>
        <v/>
      </c>
      <c r="M108" s="62" t="str">
        <f t="shared" ref="M108:M136" si="50">IF($Z$11=0,"",IF($D108="","",IF($I108="","",IF($I108="","",IF($F108/$I108&lt;=$M$11,"yes","NC")))))</f>
        <v/>
      </c>
      <c r="N108" s="63" t="str">
        <f t="shared" ref="N108:N137" si="51">IF($D108="","",IF($O$8="","",IF(OR($O108&lt;$N$8,$O108&gt;$P$8),"NC","yes")))</f>
        <v/>
      </c>
      <c r="O108" s="64" t="str">
        <f t="shared" si="47"/>
        <v/>
      </c>
      <c r="P108" s="93" t="str">
        <f t="shared" ref="P108:P137" si="52">IF($D108=0,"",IF(N108="yes",($O108/$O$8),IF(OR($O108&lt;$N$8,$O108&gt;$P$8),($O108/$O$8))))</f>
        <v/>
      </c>
      <c r="Q108" s="94" t="str">
        <f t="shared" ref="Q108:Q137" si="53">IF($D108="","",IF($R$8="","",IF(OR($R108&lt;$Q$8,$R108&gt;$S$8),"NC","yes")))</f>
        <v/>
      </c>
      <c r="R108" s="64" t="str">
        <f t="shared" ref="R108:R137" si="54">IF($D108="","",$H108/$F108)</f>
        <v/>
      </c>
      <c r="S108" s="93" t="str">
        <f t="shared" ref="S108:S137" si="55">IF($D108=0,"",IF(Q108="yes",($R108/$R$8),IF(OR($R108&gt;$Q$8,$R108&lt;$S$8),($R108/$R$8))))</f>
        <v/>
      </c>
      <c r="T108" s="94" t="str">
        <f t="shared" ref="T108:T137" si="56">IF($D108="","",IF($U$8="","",IF(OR($U108&lt;$T$8,U108&gt;$V$8),"NC","yes")))</f>
        <v/>
      </c>
      <c r="U108" s="64" t="str">
        <f t="shared" ref="U108:U137" si="57">IF($D108="","",$F108/$I108)</f>
        <v/>
      </c>
      <c r="V108" s="65" t="str">
        <f t="shared" ref="V108:V136" si="58">IF($D108="","",IF(T108="yes",(U108/U$8),IF(OR(U108&lt;$T$8,U108&gt;V$8),(U108/U$8))))</f>
        <v/>
      </c>
      <c r="W108" s="78" t="str">
        <f t="shared" ref="W108:W137" si="59">IF(C108="","",IF($D108="",$F108,""))</f>
        <v/>
      </c>
      <c r="X108" s="66" t="str">
        <f t="shared" ref="X108:X137" si="60">IF($C108="","",IF($D108="",$G108,""))</f>
        <v/>
      </c>
      <c r="Y108" s="66" t="str">
        <f t="shared" ref="Y108:Y137" si="61">IF($C108="","",IF($D108="",$H108,""))</f>
        <v/>
      </c>
      <c r="Z108" s="67" t="str">
        <f t="shared" ref="Z108:Z137" si="62">IF($C108="","",IF($D108="",I108,""))</f>
        <v/>
      </c>
    </row>
    <row r="109" spans="1:26" s="5" customFormat="1" ht="17.25" customHeight="1">
      <c r="A109" s="84">
        <v>98</v>
      </c>
      <c r="B109" s="130"/>
      <c r="C109" s="130"/>
      <c r="D109" s="131"/>
      <c r="E109" s="96"/>
      <c r="F109" s="96"/>
      <c r="G109" s="132"/>
      <c r="H109" s="133"/>
      <c r="I109" s="134"/>
      <c r="J109" s="97"/>
      <c r="K109" s="62" t="str">
        <f t="shared" si="48"/>
        <v/>
      </c>
      <c r="L109" s="62" t="str">
        <f t="shared" si="49"/>
        <v/>
      </c>
      <c r="M109" s="62" t="str">
        <f t="shared" si="50"/>
        <v/>
      </c>
      <c r="N109" s="63" t="str">
        <f t="shared" si="51"/>
        <v/>
      </c>
      <c r="O109" s="64" t="str">
        <f t="shared" ref="O109:O137" si="63">IF($D109="","",G109/$F109)</f>
        <v/>
      </c>
      <c r="P109" s="93" t="str">
        <f t="shared" si="52"/>
        <v/>
      </c>
      <c r="Q109" s="94" t="str">
        <f t="shared" si="53"/>
        <v/>
      </c>
      <c r="R109" s="64" t="str">
        <f t="shared" si="54"/>
        <v/>
      </c>
      <c r="S109" s="93" t="str">
        <f t="shared" si="55"/>
        <v/>
      </c>
      <c r="T109" s="94" t="str">
        <f t="shared" si="56"/>
        <v/>
      </c>
      <c r="U109" s="64" t="str">
        <f t="shared" si="57"/>
        <v/>
      </c>
      <c r="V109" s="65" t="str">
        <f t="shared" si="58"/>
        <v/>
      </c>
      <c r="W109" s="78" t="str">
        <f t="shared" si="59"/>
        <v/>
      </c>
      <c r="X109" s="66" t="str">
        <f t="shared" si="60"/>
        <v/>
      </c>
      <c r="Y109" s="66" t="str">
        <f t="shared" si="61"/>
        <v/>
      </c>
      <c r="Z109" s="67" t="str">
        <f t="shared" si="62"/>
        <v/>
      </c>
    </row>
    <row r="110" spans="1:26" s="5" customFormat="1" ht="17.25" customHeight="1">
      <c r="A110" s="84">
        <v>99</v>
      </c>
      <c r="B110" s="130"/>
      <c r="C110" s="130"/>
      <c r="D110" s="131"/>
      <c r="E110" s="96"/>
      <c r="F110" s="96"/>
      <c r="G110" s="132"/>
      <c r="H110" s="133"/>
      <c r="I110" s="134"/>
      <c r="J110" s="97"/>
      <c r="K110" s="62" t="str">
        <f t="shared" si="48"/>
        <v/>
      </c>
      <c r="L110" s="62" t="str">
        <f t="shared" si="49"/>
        <v/>
      </c>
      <c r="M110" s="62" t="str">
        <f t="shared" si="50"/>
        <v/>
      </c>
      <c r="N110" s="63" t="str">
        <f t="shared" si="51"/>
        <v/>
      </c>
      <c r="O110" s="64" t="str">
        <f t="shared" si="63"/>
        <v/>
      </c>
      <c r="P110" s="93" t="str">
        <f t="shared" si="52"/>
        <v/>
      </c>
      <c r="Q110" s="94" t="str">
        <f t="shared" si="53"/>
        <v/>
      </c>
      <c r="R110" s="64" t="str">
        <f t="shared" si="54"/>
        <v/>
      </c>
      <c r="S110" s="93" t="str">
        <f t="shared" si="55"/>
        <v/>
      </c>
      <c r="T110" s="94" t="str">
        <f t="shared" si="56"/>
        <v/>
      </c>
      <c r="U110" s="64" t="str">
        <f t="shared" si="57"/>
        <v/>
      </c>
      <c r="V110" s="65" t="str">
        <f t="shared" si="58"/>
        <v/>
      </c>
      <c r="W110" s="78" t="str">
        <f t="shared" si="59"/>
        <v/>
      </c>
      <c r="X110" s="66" t="str">
        <f t="shared" si="60"/>
        <v/>
      </c>
      <c r="Y110" s="66" t="str">
        <f t="shared" si="61"/>
        <v/>
      </c>
      <c r="Z110" s="67" t="str">
        <f t="shared" si="62"/>
        <v/>
      </c>
    </row>
    <row r="111" spans="1:26" s="5" customFormat="1" ht="17.25" customHeight="1">
      <c r="A111" s="84">
        <v>100</v>
      </c>
      <c r="B111" s="130"/>
      <c r="C111" s="130"/>
      <c r="D111" s="131"/>
      <c r="E111" s="96"/>
      <c r="F111" s="96"/>
      <c r="G111" s="132"/>
      <c r="H111" s="133"/>
      <c r="I111" s="134"/>
      <c r="J111" s="97"/>
      <c r="K111" s="62" t="str">
        <f t="shared" si="48"/>
        <v/>
      </c>
      <c r="L111" s="62" t="str">
        <f t="shared" si="49"/>
        <v/>
      </c>
      <c r="M111" s="62" t="str">
        <f t="shared" si="50"/>
        <v/>
      </c>
      <c r="N111" s="63" t="str">
        <f t="shared" si="51"/>
        <v/>
      </c>
      <c r="O111" s="64" t="str">
        <f t="shared" si="63"/>
        <v/>
      </c>
      <c r="P111" s="93" t="str">
        <f t="shared" si="52"/>
        <v/>
      </c>
      <c r="Q111" s="94" t="str">
        <f t="shared" si="53"/>
        <v/>
      </c>
      <c r="R111" s="64" t="str">
        <f t="shared" si="54"/>
        <v/>
      </c>
      <c r="S111" s="93" t="str">
        <f t="shared" si="55"/>
        <v/>
      </c>
      <c r="T111" s="94" t="str">
        <f t="shared" si="56"/>
        <v/>
      </c>
      <c r="U111" s="64" t="str">
        <f t="shared" si="57"/>
        <v/>
      </c>
      <c r="V111" s="65" t="str">
        <f t="shared" si="58"/>
        <v/>
      </c>
      <c r="W111" s="78" t="str">
        <f t="shared" si="59"/>
        <v/>
      </c>
      <c r="X111" s="66" t="str">
        <f t="shared" si="60"/>
        <v/>
      </c>
      <c r="Y111" s="66" t="str">
        <f t="shared" si="61"/>
        <v/>
      </c>
      <c r="Z111" s="67" t="str">
        <f t="shared" si="62"/>
        <v/>
      </c>
    </row>
    <row r="112" spans="1:26" s="5" customFormat="1" ht="17.25" customHeight="1">
      <c r="A112" s="84">
        <v>101</v>
      </c>
      <c r="B112" s="130"/>
      <c r="C112" s="130"/>
      <c r="D112" s="131"/>
      <c r="E112" s="96"/>
      <c r="F112" s="96"/>
      <c r="G112" s="132"/>
      <c r="H112" s="133"/>
      <c r="I112" s="134"/>
      <c r="J112" s="97"/>
      <c r="K112" s="62" t="str">
        <f t="shared" si="48"/>
        <v/>
      </c>
      <c r="L112" s="62" t="str">
        <f t="shared" si="49"/>
        <v/>
      </c>
      <c r="M112" s="62" t="str">
        <f t="shared" si="50"/>
        <v/>
      </c>
      <c r="N112" s="63" t="str">
        <f t="shared" si="51"/>
        <v/>
      </c>
      <c r="O112" s="64" t="str">
        <f t="shared" si="63"/>
        <v/>
      </c>
      <c r="P112" s="93" t="str">
        <f t="shared" si="52"/>
        <v/>
      </c>
      <c r="Q112" s="94" t="str">
        <f t="shared" si="53"/>
        <v/>
      </c>
      <c r="R112" s="64" t="str">
        <f t="shared" si="54"/>
        <v/>
      </c>
      <c r="S112" s="93" t="str">
        <f t="shared" si="55"/>
        <v/>
      </c>
      <c r="T112" s="94" t="str">
        <f t="shared" si="56"/>
        <v/>
      </c>
      <c r="U112" s="64" t="str">
        <f t="shared" si="57"/>
        <v/>
      </c>
      <c r="V112" s="65" t="str">
        <f t="shared" si="58"/>
        <v/>
      </c>
      <c r="W112" s="78" t="str">
        <f t="shared" si="59"/>
        <v/>
      </c>
      <c r="X112" s="66" t="str">
        <f t="shared" si="60"/>
        <v/>
      </c>
      <c r="Y112" s="66" t="str">
        <f t="shared" si="61"/>
        <v/>
      </c>
      <c r="Z112" s="67" t="str">
        <f t="shared" si="62"/>
        <v/>
      </c>
    </row>
    <row r="113" spans="1:26" s="5" customFormat="1" ht="17.25" customHeight="1">
      <c r="A113" s="84">
        <v>102</v>
      </c>
      <c r="B113" s="130"/>
      <c r="C113" s="130"/>
      <c r="D113" s="131"/>
      <c r="E113" s="96"/>
      <c r="F113" s="96"/>
      <c r="G113" s="132"/>
      <c r="H113" s="133"/>
      <c r="I113" s="134"/>
      <c r="J113" s="97"/>
      <c r="K113" s="62" t="str">
        <f t="shared" si="48"/>
        <v/>
      </c>
      <c r="L113" s="62" t="str">
        <f t="shared" si="49"/>
        <v/>
      </c>
      <c r="M113" s="62" t="str">
        <f t="shared" si="50"/>
        <v/>
      </c>
      <c r="N113" s="63" t="str">
        <f t="shared" si="51"/>
        <v/>
      </c>
      <c r="O113" s="64" t="str">
        <f t="shared" si="63"/>
        <v/>
      </c>
      <c r="P113" s="93" t="str">
        <f t="shared" si="52"/>
        <v/>
      </c>
      <c r="Q113" s="94" t="str">
        <f t="shared" si="53"/>
        <v/>
      </c>
      <c r="R113" s="64" t="str">
        <f t="shared" si="54"/>
        <v/>
      </c>
      <c r="S113" s="93" t="str">
        <f t="shared" si="55"/>
        <v/>
      </c>
      <c r="T113" s="94" t="str">
        <f t="shared" si="56"/>
        <v/>
      </c>
      <c r="U113" s="64" t="str">
        <f t="shared" si="57"/>
        <v/>
      </c>
      <c r="V113" s="65" t="str">
        <f t="shared" si="58"/>
        <v/>
      </c>
      <c r="W113" s="78" t="str">
        <f t="shared" si="59"/>
        <v/>
      </c>
      <c r="X113" s="66" t="str">
        <f t="shared" si="60"/>
        <v/>
      </c>
      <c r="Y113" s="66" t="str">
        <f t="shared" si="61"/>
        <v/>
      </c>
      <c r="Z113" s="67" t="str">
        <f t="shared" si="62"/>
        <v/>
      </c>
    </row>
    <row r="114" spans="1:26" s="5" customFormat="1" ht="17.25" customHeight="1">
      <c r="A114" s="84">
        <v>103</v>
      </c>
      <c r="B114" s="130"/>
      <c r="C114" s="130"/>
      <c r="D114" s="131"/>
      <c r="E114" s="96"/>
      <c r="F114" s="96"/>
      <c r="G114" s="132"/>
      <c r="H114" s="133"/>
      <c r="I114" s="134"/>
      <c r="J114" s="97"/>
      <c r="K114" s="62" t="str">
        <f t="shared" si="48"/>
        <v/>
      </c>
      <c r="L114" s="62" t="str">
        <f t="shared" si="49"/>
        <v/>
      </c>
      <c r="M114" s="62" t="str">
        <f t="shared" si="50"/>
        <v/>
      </c>
      <c r="N114" s="63" t="str">
        <f t="shared" si="51"/>
        <v/>
      </c>
      <c r="O114" s="64" t="str">
        <f t="shared" si="63"/>
        <v/>
      </c>
      <c r="P114" s="93" t="str">
        <f t="shared" si="52"/>
        <v/>
      </c>
      <c r="Q114" s="94" t="str">
        <f t="shared" si="53"/>
        <v/>
      </c>
      <c r="R114" s="64" t="str">
        <f t="shared" si="54"/>
        <v/>
      </c>
      <c r="S114" s="93" t="str">
        <f t="shared" si="55"/>
        <v/>
      </c>
      <c r="T114" s="94" t="str">
        <f t="shared" si="56"/>
        <v/>
      </c>
      <c r="U114" s="64" t="str">
        <f t="shared" si="57"/>
        <v/>
      </c>
      <c r="V114" s="65" t="str">
        <f t="shared" si="58"/>
        <v/>
      </c>
      <c r="W114" s="78" t="str">
        <f t="shared" si="59"/>
        <v/>
      </c>
      <c r="X114" s="66" t="str">
        <f t="shared" si="60"/>
        <v/>
      </c>
      <c r="Y114" s="66" t="str">
        <f t="shared" si="61"/>
        <v/>
      </c>
      <c r="Z114" s="67" t="str">
        <f t="shared" si="62"/>
        <v/>
      </c>
    </row>
    <row r="115" spans="1:26" s="5" customFormat="1" ht="17.25" customHeight="1">
      <c r="A115" s="84">
        <v>104</v>
      </c>
      <c r="B115" s="130"/>
      <c r="C115" s="130"/>
      <c r="D115" s="131"/>
      <c r="E115" s="96"/>
      <c r="F115" s="96"/>
      <c r="G115" s="132"/>
      <c r="H115" s="133"/>
      <c r="I115" s="134"/>
      <c r="J115" s="97"/>
      <c r="K115" s="62" t="str">
        <f t="shared" si="48"/>
        <v/>
      </c>
      <c r="L115" s="62" t="str">
        <f t="shared" si="49"/>
        <v/>
      </c>
      <c r="M115" s="62" t="str">
        <f t="shared" si="50"/>
        <v/>
      </c>
      <c r="N115" s="63" t="str">
        <f t="shared" si="51"/>
        <v/>
      </c>
      <c r="O115" s="64" t="str">
        <f t="shared" si="63"/>
        <v/>
      </c>
      <c r="P115" s="93" t="str">
        <f t="shared" si="52"/>
        <v/>
      </c>
      <c r="Q115" s="94" t="str">
        <f t="shared" si="53"/>
        <v/>
      </c>
      <c r="R115" s="64" t="str">
        <f t="shared" si="54"/>
        <v/>
      </c>
      <c r="S115" s="93" t="str">
        <f t="shared" si="55"/>
        <v/>
      </c>
      <c r="T115" s="94" t="str">
        <f t="shared" si="56"/>
        <v/>
      </c>
      <c r="U115" s="64" t="str">
        <f t="shared" si="57"/>
        <v/>
      </c>
      <c r="V115" s="65" t="str">
        <f t="shared" si="58"/>
        <v/>
      </c>
      <c r="W115" s="78" t="str">
        <f t="shared" si="59"/>
        <v/>
      </c>
      <c r="X115" s="66" t="str">
        <f t="shared" si="60"/>
        <v/>
      </c>
      <c r="Y115" s="66" t="str">
        <f t="shared" si="61"/>
        <v/>
      </c>
      <c r="Z115" s="67" t="str">
        <f t="shared" si="62"/>
        <v/>
      </c>
    </row>
    <row r="116" spans="1:26" s="5" customFormat="1" ht="17.25" customHeight="1">
      <c r="A116" s="84">
        <v>105</v>
      </c>
      <c r="B116" s="130"/>
      <c r="C116" s="130"/>
      <c r="D116" s="131"/>
      <c r="E116" s="96"/>
      <c r="F116" s="96"/>
      <c r="G116" s="132"/>
      <c r="H116" s="133"/>
      <c r="I116" s="134"/>
      <c r="J116" s="97"/>
      <c r="K116" s="62" t="str">
        <f t="shared" si="48"/>
        <v/>
      </c>
      <c r="L116" s="62" t="str">
        <f t="shared" si="49"/>
        <v/>
      </c>
      <c r="M116" s="62" t="str">
        <f t="shared" si="50"/>
        <v/>
      </c>
      <c r="N116" s="63" t="str">
        <f t="shared" si="51"/>
        <v/>
      </c>
      <c r="O116" s="64" t="str">
        <f t="shared" si="63"/>
        <v/>
      </c>
      <c r="P116" s="93" t="str">
        <f t="shared" si="52"/>
        <v/>
      </c>
      <c r="Q116" s="94" t="str">
        <f t="shared" si="53"/>
        <v/>
      </c>
      <c r="R116" s="64" t="str">
        <f t="shared" si="54"/>
        <v/>
      </c>
      <c r="S116" s="93" t="str">
        <f t="shared" si="55"/>
        <v/>
      </c>
      <c r="T116" s="94" t="str">
        <f t="shared" si="56"/>
        <v/>
      </c>
      <c r="U116" s="64" t="str">
        <f t="shared" si="57"/>
        <v/>
      </c>
      <c r="V116" s="65" t="str">
        <f t="shared" si="58"/>
        <v/>
      </c>
      <c r="W116" s="78" t="str">
        <f t="shared" si="59"/>
        <v/>
      </c>
      <c r="X116" s="66" t="str">
        <f t="shared" si="60"/>
        <v/>
      </c>
      <c r="Y116" s="66" t="str">
        <f t="shared" si="61"/>
        <v/>
      </c>
      <c r="Z116" s="67" t="str">
        <f t="shared" si="62"/>
        <v/>
      </c>
    </row>
    <row r="117" spans="1:26" s="5" customFormat="1" ht="17.25" customHeight="1">
      <c r="A117" s="84">
        <v>106</v>
      </c>
      <c r="B117" s="130"/>
      <c r="C117" s="130"/>
      <c r="D117" s="131"/>
      <c r="E117" s="96"/>
      <c r="F117" s="96"/>
      <c r="G117" s="132"/>
      <c r="H117" s="133"/>
      <c r="I117" s="134"/>
      <c r="J117" s="97"/>
      <c r="K117" s="62" t="str">
        <f t="shared" si="48"/>
        <v/>
      </c>
      <c r="L117" s="62" t="str">
        <f t="shared" si="49"/>
        <v/>
      </c>
      <c r="M117" s="62" t="str">
        <f t="shared" si="50"/>
        <v/>
      </c>
      <c r="N117" s="63" t="str">
        <f t="shared" si="51"/>
        <v/>
      </c>
      <c r="O117" s="64" t="str">
        <f t="shared" si="63"/>
        <v/>
      </c>
      <c r="P117" s="93" t="str">
        <f t="shared" si="52"/>
        <v/>
      </c>
      <c r="Q117" s="94" t="str">
        <f t="shared" si="53"/>
        <v/>
      </c>
      <c r="R117" s="64" t="str">
        <f t="shared" si="54"/>
        <v/>
      </c>
      <c r="S117" s="93" t="str">
        <f t="shared" si="55"/>
        <v/>
      </c>
      <c r="T117" s="94" t="str">
        <f t="shared" si="56"/>
        <v/>
      </c>
      <c r="U117" s="64" t="str">
        <f t="shared" si="57"/>
        <v/>
      </c>
      <c r="V117" s="65" t="str">
        <f t="shared" si="58"/>
        <v/>
      </c>
      <c r="W117" s="78" t="str">
        <f t="shared" si="59"/>
        <v/>
      </c>
      <c r="X117" s="66" t="str">
        <f t="shared" si="60"/>
        <v/>
      </c>
      <c r="Y117" s="66" t="str">
        <f t="shared" si="61"/>
        <v/>
      </c>
      <c r="Z117" s="67" t="str">
        <f t="shared" si="62"/>
        <v/>
      </c>
    </row>
    <row r="118" spans="1:26" s="5" customFormat="1" ht="17.25" customHeight="1">
      <c r="A118" s="84">
        <v>107</v>
      </c>
      <c r="B118" s="130"/>
      <c r="C118" s="130"/>
      <c r="D118" s="131"/>
      <c r="E118" s="96"/>
      <c r="F118" s="96"/>
      <c r="G118" s="132"/>
      <c r="H118" s="133"/>
      <c r="I118" s="134"/>
      <c r="J118" s="97"/>
      <c r="K118" s="62" t="str">
        <f t="shared" si="48"/>
        <v/>
      </c>
      <c r="L118" s="62" t="str">
        <f t="shared" si="49"/>
        <v/>
      </c>
      <c r="M118" s="62" t="str">
        <f t="shared" si="50"/>
        <v/>
      </c>
      <c r="N118" s="63" t="str">
        <f t="shared" si="51"/>
        <v/>
      </c>
      <c r="O118" s="64" t="str">
        <f t="shared" si="63"/>
        <v/>
      </c>
      <c r="P118" s="93" t="str">
        <f t="shared" si="52"/>
        <v/>
      </c>
      <c r="Q118" s="94" t="str">
        <f t="shared" si="53"/>
        <v/>
      </c>
      <c r="R118" s="64" t="str">
        <f t="shared" si="54"/>
        <v/>
      </c>
      <c r="S118" s="93" t="str">
        <f t="shared" si="55"/>
        <v/>
      </c>
      <c r="T118" s="94" t="str">
        <f t="shared" si="56"/>
        <v/>
      </c>
      <c r="U118" s="64" t="str">
        <f t="shared" si="57"/>
        <v/>
      </c>
      <c r="V118" s="65" t="str">
        <f t="shared" si="58"/>
        <v/>
      </c>
      <c r="W118" s="78" t="str">
        <f t="shared" si="59"/>
        <v/>
      </c>
      <c r="X118" s="66" t="str">
        <f t="shared" si="60"/>
        <v/>
      </c>
      <c r="Y118" s="66" t="str">
        <f t="shared" si="61"/>
        <v/>
      </c>
      <c r="Z118" s="67" t="str">
        <f t="shared" si="62"/>
        <v/>
      </c>
    </row>
    <row r="119" spans="1:26" s="5" customFormat="1" ht="17.25" customHeight="1">
      <c r="A119" s="84">
        <v>108</v>
      </c>
      <c r="B119" s="130"/>
      <c r="C119" s="130"/>
      <c r="D119" s="131"/>
      <c r="E119" s="96"/>
      <c r="F119" s="96"/>
      <c r="G119" s="132"/>
      <c r="H119" s="133"/>
      <c r="I119" s="134"/>
      <c r="J119" s="97"/>
      <c r="K119" s="62" t="str">
        <f t="shared" si="48"/>
        <v/>
      </c>
      <c r="L119" s="62" t="str">
        <f t="shared" si="49"/>
        <v/>
      </c>
      <c r="M119" s="62" t="str">
        <f t="shared" si="50"/>
        <v/>
      </c>
      <c r="N119" s="63" t="str">
        <f t="shared" si="51"/>
        <v/>
      </c>
      <c r="O119" s="64" t="str">
        <f t="shared" si="63"/>
        <v/>
      </c>
      <c r="P119" s="93" t="str">
        <f t="shared" si="52"/>
        <v/>
      </c>
      <c r="Q119" s="94" t="str">
        <f t="shared" si="53"/>
        <v/>
      </c>
      <c r="R119" s="64" t="str">
        <f t="shared" si="54"/>
        <v/>
      </c>
      <c r="S119" s="93" t="str">
        <f t="shared" si="55"/>
        <v/>
      </c>
      <c r="T119" s="94" t="str">
        <f t="shared" si="56"/>
        <v/>
      </c>
      <c r="U119" s="64" t="str">
        <f t="shared" si="57"/>
        <v/>
      </c>
      <c r="V119" s="65" t="str">
        <f t="shared" si="58"/>
        <v/>
      </c>
      <c r="W119" s="78" t="str">
        <f t="shared" si="59"/>
        <v/>
      </c>
      <c r="X119" s="66" t="str">
        <f t="shared" si="60"/>
        <v/>
      </c>
      <c r="Y119" s="66" t="str">
        <f t="shared" si="61"/>
        <v/>
      </c>
      <c r="Z119" s="67" t="str">
        <f t="shared" si="62"/>
        <v/>
      </c>
    </row>
    <row r="120" spans="1:26" s="5" customFormat="1" ht="17.25" customHeight="1">
      <c r="A120" s="84">
        <v>109</v>
      </c>
      <c r="B120" s="130"/>
      <c r="C120" s="130"/>
      <c r="D120" s="131"/>
      <c r="E120" s="96"/>
      <c r="F120" s="96"/>
      <c r="G120" s="132"/>
      <c r="H120" s="133"/>
      <c r="I120" s="134"/>
      <c r="J120" s="97"/>
      <c r="K120" s="62" t="str">
        <f t="shared" si="48"/>
        <v/>
      </c>
      <c r="L120" s="62" t="str">
        <f t="shared" si="49"/>
        <v/>
      </c>
      <c r="M120" s="62" t="str">
        <f t="shared" si="50"/>
        <v/>
      </c>
      <c r="N120" s="63" t="str">
        <f t="shared" si="51"/>
        <v/>
      </c>
      <c r="O120" s="64" t="str">
        <f t="shared" si="63"/>
        <v/>
      </c>
      <c r="P120" s="93" t="str">
        <f t="shared" si="52"/>
        <v/>
      </c>
      <c r="Q120" s="94" t="str">
        <f t="shared" si="53"/>
        <v/>
      </c>
      <c r="R120" s="64" t="str">
        <f t="shared" si="54"/>
        <v/>
      </c>
      <c r="S120" s="93" t="str">
        <f t="shared" si="55"/>
        <v/>
      </c>
      <c r="T120" s="94" t="str">
        <f t="shared" si="56"/>
        <v/>
      </c>
      <c r="U120" s="64" t="str">
        <f t="shared" si="57"/>
        <v/>
      </c>
      <c r="V120" s="65" t="str">
        <f t="shared" si="58"/>
        <v/>
      </c>
      <c r="W120" s="78" t="str">
        <f t="shared" si="59"/>
        <v/>
      </c>
      <c r="X120" s="66" t="str">
        <f t="shared" si="60"/>
        <v/>
      </c>
      <c r="Y120" s="66" t="str">
        <f t="shared" si="61"/>
        <v/>
      </c>
      <c r="Z120" s="67" t="str">
        <f t="shared" si="62"/>
        <v/>
      </c>
    </row>
    <row r="121" spans="1:26" s="5" customFormat="1" ht="17.25" customHeight="1">
      <c r="A121" s="84">
        <v>110</v>
      </c>
      <c r="B121" s="130"/>
      <c r="C121" s="130"/>
      <c r="D121" s="131"/>
      <c r="E121" s="96"/>
      <c r="F121" s="96"/>
      <c r="G121" s="132"/>
      <c r="H121" s="133"/>
      <c r="I121" s="134"/>
      <c r="J121" s="97"/>
      <c r="K121" s="62" t="str">
        <f t="shared" si="48"/>
        <v/>
      </c>
      <c r="L121" s="62" t="str">
        <f t="shared" si="49"/>
        <v/>
      </c>
      <c r="M121" s="62" t="str">
        <f t="shared" si="50"/>
        <v/>
      </c>
      <c r="N121" s="63" t="str">
        <f t="shared" si="51"/>
        <v/>
      </c>
      <c r="O121" s="64" t="str">
        <f t="shared" si="63"/>
        <v/>
      </c>
      <c r="P121" s="93" t="str">
        <f t="shared" si="52"/>
        <v/>
      </c>
      <c r="Q121" s="94" t="str">
        <f t="shared" si="53"/>
        <v/>
      </c>
      <c r="R121" s="64" t="str">
        <f t="shared" si="54"/>
        <v/>
      </c>
      <c r="S121" s="93" t="str">
        <f t="shared" si="55"/>
        <v/>
      </c>
      <c r="T121" s="94" t="str">
        <f t="shared" si="56"/>
        <v/>
      </c>
      <c r="U121" s="64" t="str">
        <f t="shared" si="57"/>
        <v/>
      </c>
      <c r="V121" s="65" t="str">
        <f t="shared" si="58"/>
        <v/>
      </c>
      <c r="W121" s="78" t="str">
        <f t="shared" si="59"/>
        <v/>
      </c>
      <c r="X121" s="66" t="str">
        <f t="shared" si="60"/>
        <v/>
      </c>
      <c r="Y121" s="66" t="str">
        <f t="shared" si="61"/>
        <v/>
      </c>
      <c r="Z121" s="67" t="str">
        <f t="shared" si="62"/>
        <v/>
      </c>
    </row>
    <row r="122" spans="1:26" s="5" customFormat="1" ht="17.25" customHeight="1">
      <c r="A122" s="84">
        <v>111</v>
      </c>
      <c r="B122" s="130"/>
      <c r="C122" s="130"/>
      <c r="D122" s="131"/>
      <c r="E122" s="96"/>
      <c r="F122" s="96"/>
      <c r="G122" s="132"/>
      <c r="H122" s="133"/>
      <c r="I122" s="134"/>
      <c r="J122" s="97"/>
      <c r="K122" s="62" t="str">
        <f t="shared" si="48"/>
        <v/>
      </c>
      <c r="L122" s="62" t="str">
        <f t="shared" si="49"/>
        <v/>
      </c>
      <c r="M122" s="62" t="str">
        <f t="shared" si="50"/>
        <v/>
      </c>
      <c r="N122" s="63" t="str">
        <f t="shared" si="51"/>
        <v/>
      </c>
      <c r="O122" s="64" t="str">
        <f t="shared" si="63"/>
        <v/>
      </c>
      <c r="P122" s="93" t="str">
        <f t="shared" si="52"/>
        <v/>
      </c>
      <c r="Q122" s="94" t="str">
        <f t="shared" si="53"/>
        <v/>
      </c>
      <c r="R122" s="64" t="str">
        <f t="shared" si="54"/>
        <v/>
      </c>
      <c r="S122" s="93" t="str">
        <f t="shared" si="55"/>
        <v/>
      </c>
      <c r="T122" s="94" t="str">
        <f t="shared" si="56"/>
        <v/>
      </c>
      <c r="U122" s="64" t="str">
        <f t="shared" si="57"/>
        <v/>
      </c>
      <c r="V122" s="65" t="str">
        <f t="shared" si="58"/>
        <v/>
      </c>
      <c r="W122" s="78" t="str">
        <f t="shared" si="59"/>
        <v/>
      </c>
      <c r="X122" s="66" t="str">
        <f t="shared" si="60"/>
        <v/>
      </c>
      <c r="Y122" s="66" t="str">
        <f t="shared" si="61"/>
        <v/>
      </c>
      <c r="Z122" s="67" t="str">
        <f t="shared" si="62"/>
        <v/>
      </c>
    </row>
    <row r="123" spans="1:26" s="5" customFormat="1" ht="17.25" customHeight="1">
      <c r="A123" s="84">
        <v>112</v>
      </c>
      <c r="B123" s="130"/>
      <c r="C123" s="130"/>
      <c r="D123" s="131"/>
      <c r="E123" s="96"/>
      <c r="F123" s="96"/>
      <c r="G123" s="132"/>
      <c r="H123" s="133"/>
      <c r="I123" s="134"/>
      <c r="J123" s="97"/>
      <c r="K123" s="62" t="str">
        <f t="shared" si="48"/>
        <v/>
      </c>
      <c r="L123" s="62" t="str">
        <f t="shared" si="49"/>
        <v/>
      </c>
      <c r="M123" s="62" t="str">
        <f t="shared" si="50"/>
        <v/>
      </c>
      <c r="N123" s="63" t="str">
        <f t="shared" si="51"/>
        <v/>
      </c>
      <c r="O123" s="64" t="str">
        <f t="shared" si="63"/>
        <v/>
      </c>
      <c r="P123" s="93" t="str">
        <f t="shared" si="52"/>
        <v/>
      </c>
      <c r="Q123" s="94" t="str">
        <f t="shared" si="53"/>
        <v/>
      </c>
      <c r="R123" s="64" t="str">
        <f t="shared" si="54"/>
        <v/>
      </c>
      <c r="S123" s="93" t="str">
        <f t="shared" si="55"/>
        <v/>
      </c>
      <c r="T123" s="94" t="str">
        <f t="shared" si="56"/>
        <v/>
      </c>
      <c r="U123" s="64" t="str">
        <f t="shared" si="57"/>
        <v/>
      </c>
      <c r="V123" s="65" t="str">
        <f t="shared" si="58"/>
        <v/>
      </c>
      <c r="W123" s="78" t="str">
        <f t="shared" si="59"/>
        <v/>
      </c>
      <c r="X123" s="66" t="str">
        <f t="shared" si="60"/>
        <v/>
      </c>
      <c r="Y123" s="66" t="str">
        <f t="shared" si="61"/>
        <v/>
      </c>
      <c r="Z123" s="67" t="str">
        <f t="shared" si="62"/>
        <v/>
      </c>
    </row>
    <row r="124" spans="1:26" s="5" customFormat="1" ht="17.25" customHeight="1">
      <c r="A124" s="84">
        <v>113</v>
      </c>
      <c r="B124" s="130"/>
      <c r="C124" s="130"/>
      <c r="D124" s="131"/>
      <c r="E124" s="96"/>
      <c r="F124" s="96"/>
      <c r="G124" s="132"/>
      <c r="H124" s="133"/>
      <c r="I124" s="134"/>
      <c r="J124" s="97"/>
      <c r="K124" s="62" t="str">
        <f t="shared" si="48"/>
        <v/>
      </c>
      <c r="L124" s="62" t="str">
        <f t="shared" si="49"/>
        <v/>
      </c>
      <c r="M124" s="62" t="str">
        <f t="shared" si="50"/>
        <v/>
      </c>
      <c r="N124" s="63" t="str">
        <f t="shared" si="51"/>
        <v/>
      </c>
      <c r="O124" s="64" t="str">
        <f t="shared" si="63"/>
        <v/>
      </c>
      <c r="P124" s="93" t="str">
        <f t="shared" si="52"/>
        <v/>
      </c>
      <c r="Q124" s="94" t="str">
        <f t="shared" si="53"/>
        <v/>
      </c>
      <c r="R124" s="64" t="str">
        <f t="shared" si="54"/>
        <v/>
      </c>
      <c r="S124" s="93" t="str">
        <f t="shared" si="55"/>
        <v/>
      </c>
      <c r="T124" s="94" t="str">
        <f t="shared" si="56"/>
        <v/>
      </c>
      <c r="U124" s="64" t="str">
        <f t="shared" si="57"/>
        <v/>
      </c>
      <c r="V124" s="65" t="str">
        <f t="shared" si="58"/>
        <v/>
      </c>
      <c r="W124" s="78" t="str">
        <f t="shared" si="59"/>
        <v/>
      </c>
      <c r="X124" s="66" t="str">
        <f t="shared" si="60"/>
        <v/>
      </c>
      <c r="Y124" s="66" t="str">
        <f t="shared" si="61"/>
        <v/>
      </c>
      <c r="Z124" s="67" t="str">
        <f t="shared" si="62"/>
        <v/>
      </c>
    </row>
    <row r="125" spans="1:26" s="5" customFormat="1" ht="17.25" customHeight="1">
      <c r="A125" s="84">
        <v>114</v>
      </c>
      <c r="B125" s="130"/>
      <c r="C125" s="130"/>
      <c r="D125" s="131"/>
      <c r="E125" s="96"/>
      <c r="F125" s="96"/>
      <c r="G125" s="132"/>
      <c r="H125" s="133"/>
      <c r="I125" s="134"/>
      <c r="J125" s="97"/>
      <c r="K125" s="62" t="str">
        <f t="shared" si="48"/>
        <v/>
      </c>
      <c r="L125" s="62" t="str">
        <f t="shared" si="49"/>
        <v/>
      </c>
      <c r="M125" s="62" t="str">
        <f t="shared" si="50"/>
        <v/>
      </c>
      <c r="N125" s="63" t="str">
        <f t="shared" si="51"/>
        <v/>
      </c>
      <c r="O125" s="64" t="str">
        <f t="shared" si="63"/>
        <v/>
      </c>
      <c r="P125" s="93" t="str">
        <f t="shared" si="52"/>
        <v/>
      </c>
      <c r="Q125" s="94" t="str">
        <f t="shared" si="53"/>
        <v/>
      </c>
      <c r="R125" s="64" t="str">
        <f t="shared" si="54"/>
        <v/>
      </c>
      <c r="S125" s="93" t="str">
        <f t="shared" si="55"/>
        <v/>
      </c>
      <c r="T125" s="94" t="str">
        <f t="shared" si="56"/>
        <v/>
      </c>
      <c r="U125" s="64" t="str">
        <f t="shared" si="57"/>
        <v/>
      </c>
      <c r="V125" s="65" t="str">
        <f t="shared" si="58"/>
        <v/>
      </c>
      <c r="W125" s="78" t="str">
        <f t="shared" si="59"/>
        <v/>
      </c>
      <c r="X125" s="66" t="str">
        <f t="shared" si="60"/>
        <v/>
      </c>
      <c r="Y125" s="66" t="str">
        <f t="shared" si="61"/>
        <v/>
      </c>
      <c r="Z125" s="67" t="str">
        <f t="shared" si="62"/>
        <v/>
      </c>
    </row>
    <row r="126" spans="1:26" s="5" customFormat="1" ht="17.25" customHeight="1">
      <c r="A126" s="84">
        <v>115</v>
      </c>
      <c r="B126" s="130"/>
      <c r="C126" s="130"/>
      <c r="D126" s="131"/>
      <c r="E126" s="96"/>
      <c r="F126" s="96"/>
      <c r="G126" s="132"/>
      <c r="H126" s="133"/>
      <c r="I126" s="134"/>
      <c r="J126" s="97"/>
      <c r="K126" s="62" t="str">
        <f t="shared" si="48"/>
        <v/>
      </c>
      <c r="L126" s="62" t="str">
        <f t="shared" si="49"/>
        <v/>
      </c>
      <c r="M126" s="62" t="str">
        <f t="shared" si="50"/>
        <v/>
      </c>
      <c r="N126" s="63" t="str">
        <f t="shared" si="51"/>
        <v/>
      </c>
      <c r="O126" s="64" t="str">
        <f t="shared" si="63"/>
        <v/>
      </c>
      <c r="P126" s="93" t="str">
        <f t="shared" si="52"/>
        <v/>
      </c>
      <c r="Q126" s="94" t="str">
        <f t="shared" si="53"/>
        <v/>
      </c>
      <c r="R126" s="64" t="str">
        <f t="shared" si="54"/>
        <v/>
      </c>
      <c r="S126" s="93" t="str">
        <f t="shared" si="55"/>
        <v/>
      </c>
      <c r="T126" s="94" t="str">
        <f t="shared" si="56"/>
        <v/>
      </c>
      <c r="U126" s="64" t="str">
        <f t="shared" si="57"/>
        <v/>
      </c>
      <c r="V126" s="65" t="str">
        <f t="shared" si="58"/>
        <v/>
      </c>
      <c r="W126" s="78" t="str">
        <f t="shared" si="59"/>
        <v/>
      </c>
      <c r="X126" s="66" t="str">
        <f t="shared" si="60"/>
        <v/>
      </c>
      <c r="Y126" s="66" t="str">
        <f t="shared" si="61"/>
        <v/>
      </c>
      <c r="Z126" s="67" t="str">
        <f t="shared" si="62"/>
        <v/>
      </c>
    </row>
    <row r="127" spans="1:26" s="5" customFormat="1" ht="17.25" customHeight="1">
      <c r="A127" s="84">
        <v>116</v>
      </c>
      <c r="B127" s="130"/>
      <c r="C127" s="130"/>
      <c r="D127" s="131"/>
      <c r="E127" s="96"/>
      <c r="F127" s="96"/>
      <c r="G127" s="132"/>
      <c r="H127" s="133"/>
      <c r="I127" s="134"/>
      <c r="J127" s="97"/>
      <c r="K127" s="62" t="str">
        <f t="shared" si="48"/>
        <v/>
      </c>
      <c r="L127" s="62" t="str">
        <f t="shared" si="49"/>
        <v/>
      </c>
      <c r="M127" s="62" t="str">
        <f t="shared" si="50"/>
        <v/>
      </c>
      <c r="N127" s="63" t="str">
        <f t="shared" si="51"/>
        <v/>
      </c>
      <c r="O127" s="64" t="str">
        <f t="shared" si="63"/>
        <v/>
      </c>
      <c r="P127" s="93" t="str">
        <f t="shared" si="52"/>
        <v/>
      </c>
      <c r="Q127" s="94" t="str">
        <f t="shared" si="53"/>
        <v/>
      </c>
      <c r="R127" s="64" t="str">
        <f t="shared" si="54"/>
        <v/>
      </c>
      <c r="S127" s="93" t="str">
        <f t="shared" si="55"/>
        <v/>
      </c>
      <c r="T127" s="94" t="str">
        <f t="shared" si="56"/>
        <v/>
      </c>
      <c r="U127" s="64" t="str">
        <f t="shared" si="57"/>
        <v/>
      </c>
      <c r="V127" s="65" t="str">
        <f t="shared" si="58"/>
        <v/>
      </c>
      <c r="W127" s="78" t="str">
        <f t="shared" si="59"/>
        <v/>
      </c>
      <c r="X127" s="66" t="str">
        <f t="shared" si="60"/>
        <v/>
      </c>
      <c r="Y127" s="66" t="str">
        <f t="shared" si="61"/>
        <v/>
      </c>
      <c r="Z127" s="67" t="str">
        <f t="shared" si="62"/>
        <v/>
      </c>
    </row>
    <row r="128" spans="1:26" s="5" customFormat="1" ht="17.25" customHeight="1">
      <c r="A128" s="84">
        <v>117</v>
      </c>
      <c r="B128" s="130"/>
      <c r="C128" s="130"/>
      <c r="D128" s="131"/>
      <c r="E128" s="96"/>
      <c r="F128" s="96"/>
      <c r="G128" s="132"/>
      <c r="H128" s="133"/>
      <c r="I128" s="134"/>
      <c r="J128" s="97"/>
      <c r="K128" s="62" t="str">
        <f t="shared" si="48"/>
        <v/>
      </c>
      <c r="L128" s="62" t="str">
        <f t="shared" si="49"/>
        <v/>
      </c>
      <c r="M128" s="62" t="str">
        <f t="shared" si="50"/>
        <v/>
      </c>
      <c r="N128" s="63" t="str">
        <f t="shared" si="51"/>
        <v/>
      </c>
      <c r="O128" s="64" t="str">
        <f t="shared" si="63"/>
        <v/>
      </c>
      <c r="P128" s="93" t="str">
        <f t="shared" si="52"/>
        <v/>
      </c>
      <c r="Q128" s="94" t="str">
        <f t="shared" si="53"/>
        <v/>
      </c>
      <c r="R128" s="64" t="str">
        <f t="shared" si="54"/>
        <v/>
      </c>
      <c r="S128" s="93" t="str">
        <f t="shared" si="55"/>
        <v/>
      </c>
      <c r="T128" s="94" t="str">
        <f t="shared" si="56"/>
        <v/>
      </c>
      <c r="U128" s="64" t="str">
        <f t="shared" si="57"/>
        <v/>
      </c>
      <c r="V128" s="65" t="str">
        <f t="shared" si="58"/>
        <v/>
      </c>
      <c r="W128" s="78" t="str">
        <f t="shared" si="59"/>
        <v/>
      </c>
      <c r="X128" s="66" t="str">
        <f t="shared" si="60"/>
        <v/>
      </c>
      <c r="Y128" s="66" t="str">
        <f t="shared" si="61"/>
        <v/>
      </c>
      <c r="Z128" s="67" t="str">
        <f t="shared" si="62"/>
        <v/>
      </c>
    </row>
    <row r="129" spans="1:26" s="5" customFormat="1" ht="17.25" customHeight="1">
      <c r="A129" s="84">
        <v>118</v>
      </c>
      <c r="B129" s="130"/>
      <c r="C129" s="130"/>
      <c r="D129" s="131"/>
      <c r="E129" s="96"/>
      <c r="F129" s="96"/>
      <c r="G129" s="132"/>
      <c r="H129" s="133"/>
      <c r="I129" s="134"/>
      <c r="J129" s="97"/>
      <c r="K129" s="62" t="str">
        <f t="shared" si="48"/>
        <v/>
      </c>
      <c r="L129" s="62" t="str">
        <f t="shared" si="49"/>
        <v/>
      </c>
      <c r="M129" s="62" t="str">
        <f t="shared" si="50"/>
        <v/>
      </c>
      <c r="N129" s="63" t="str">
        <f t="shared" si="51"/>
        <v/>
      </c>
      <c r="O129" s="64" t="str">
        <f t="shared" si="63"/>
        <v/>
      </c>
      <c r="P129" s="93" t="str">
        <f t="shared" si="52"/>
        <v/>
      </c>
      <c r="Q129" s="94" t="str">
        <f t="shared" si="53"/>
        <v/>
      </c>
      <c r="R129" s="64" t="str">
        <f t="shared" si="54"/>
        <v/>
      </c>
      <c r="S129" s="93" t="str">
        <f t="shared" si="55"/>
        <v/>
      </c>
      <c r="T129" s="94" t="str">
        <f t="shared" si="56"/>
        <v/>
      </c>
      <c r="U129" s="64" t="str">
        <f t="shared" si="57"/>
        <v/>
      </c>
      <c r="V129" s="65" t="str">
        <f t="shared" si="58"/>
        <v/>
      </c>
      <c r="W129" s="78" t="str">
        <f t="shared" si="59"/>
        <v/>
      </c>
      <c r="X129" s="66" t="str">
        <f t="shared" si="60"/>
        <v/>
      </c>
      <c r="Y129" s="66" t="str">
        <f t="shared" si="61"/>
        <v/>
      </c>
      <c r="Z129" s="67" t="str">
        <f t="shared" si="62"/>
        <v/>
      </c>
    </row>
    <row r="130" spans="1:26" s="5" customFormat="1" ht="17.25" customHeight="1">
      <c r="A130" s="84">
        <v>119</v>
      </c>
      <c r="B130" s="130"/>
      <c r="C130" s="130"/>
      <c r="D130" s="131"/>
      <c r="E130" s="96"/>
      <c r="F130" s="96"/>
      <c r="G130" s="132"/>
      <c r="H130" s="133"/>
      <c r="I130" s="134"/>
      <c r="J130" s="97"/>
      <c r="K130" s="62" t="str">
        <f t="shared" si="48"/>
        <v/>
      </c>
      <c r="L130" s="62" t="str">
        <f t="shared" si="49"/>
        <v/>
      </c>
      <c r="M130" s="62" t="str">
        <f t="shared" si="50"/>
        <v/>
      </c>
      <c r="N130" s="63" t="str">
        <f t="shared" si="51"/>
        <v/>
      </c>
      <c r="O130" s="64" t="str">
        <f t="shared" si="63"/>
        <v/>
      </c>
      <c r="P130" s="93" t="str">
        <f t="shared" si="52"/>
        <v/>
      </c>
      <c r="Q130" s="94" t="str">
        <f t="shared" si="53"/>
        <v/>
      </c>
      <c r="R130" s="64" t="str">
        <f t="shared" si="54"/>
        <v/>
      </c>
      <c r="S130" s="93" t="str">
        <f t="shared" si="55"/>
        <v/>
      </c>
      <c r="T130" s="94" t="str">
        <f t="shared" si="56"/>
        <v/>
      </c>
      <c r="U130" s="64" t="str">
        <f t="shared" si="57"/>
        <v/>
      </c>
      <c r="V130" s="65" t="str">
        <f t="shared" si="58"/>
        <v/>
      </c>
      <c r="W130" s="78" t="str">
        <f t="shared" si="59"/>
        <v/>
      </c>
      <c r="X130" s="66" t="str">
        <f t="shared" si="60"/>
        <v/>
      </c>
      <c r="Y130" s="66" t="str">
        <f t="shared" si="61"/>
        <v/>
      </c>
      <c r="Z130" s="67" t="str">
        <f t="shared" si="62"/>
        <v/>
      </c>
    </row>
    <row r="131" spans="1:26" s="5" customFormat="1" ht="17.25" customHeight="1">
      <c r="A131" s="84">
        <v>120</v>
      </c>
      <c r="B131" s="130"/>
      <c r="C131" s="130"/>
      <c r="D131" s="131"/>
      <c r="E131" s="96"/>
      <c r="F131" s="96"/>
      <c r="G131" s="132"/>
      <c r="H131" s="133"/>
      <c r="I131" s="134"/>
      <c r="J131" s="97"/>
      <c r="K131" s="62" t="str">
        <f t="shared" si="48"/>
        <v/>
      </c>
      <c r="L131" s="62" t="str">
        <f t="shared" si="49"/>
        <v/>
      </c>
      <c r="M131" s="62" t="str">
        <f t="shared" si="50"/>
        <v/>
      </c>
      <c r="N131" s="63" t="str">
        <f t="shared" si="51"/>
        <v/>
      </c>
      <c r="O131" s="64" t="str">
        <f t="shared" si="63"/>
        <v/>
      </c>
      <c r="P131" s="93" t="str">
        <f t="shared" si="52"/>
        <v/>
      </c>
      <c r="Q131" s="94" t="str">
        <f t="shared" si="53"/>
        <v/>
      </c>
      <c r="R131" s="64" t="str">
        <f t="shared" si="54"/>
        <v/>
      </c>
      <c r="S131" s="93" t="str">
        <f t="shared" si="55"/>
        <v/>
      </c>
      <c r="T131" s="94" t="str">
        <f t="shared" si="56"/>
        <v/>
      </c>
      <c r="U131" s="64" t="str">
        <f t="shared" si="57"/>
        <v/>
      </c>
      <c r="V131" s="65" t="str">
        <f t="shared" si="58"/>
        <v/>
      </c>
      <c r="W131" s="78" t="str">
        <f t="shared" si="59"/>
        <v/>
      </c>
      <c r="X131" s="66" t="str">
        <f t="shared" si="60"/>
        <v/>
      </c>
      <c r="Y131" s="66" t="str">
        <f t="shared" si="61"/>
        <v/>
      </c>
      <c r="Z131" s="67" t="str">
        <f t="shared" si="62"/>
        <v/>
      </c>
    </row>
    <row r="132" spans="1:26" s="5" customFormat="1" ht="17.25" customHeight="1">
      <c r="A132" s="84">
        <v>121</v>
      </c>
      <c r="B132" s="130"/>
      <c r="C132" s="130"/>
      <c r="D132" s="131"/>
      <c r="E132" s="96"/>
      <c r="F132" s="96"/>
      <c r="G132" s="132"/>
      <c r="H132" s="133"/>
      <c r="I132" s="134"/>
      <c r="J132" s="97"/>
      <c r="K132" s="62" t="str">
        <f t="shared" si="48"/>
        <v/>
      </c>
      <c r="L132" s="62" t="str">
        <f t="shared" si="49"/>
        <v/>
      </c>
      <c r="M132" s="62" t="str">
        <f t="shared" si="50"/>
        <v/>
      </c>
      <c r="N132" s="63" t="str">
        <f t="shared" si="51"/>
        <v/>
      </c>
      <c r="O132" s="64" t="str">
        <f t="shared" si="63"/>
        <v/>
      </c>
      <c r="P132" s="93" t="str">
        <f t="shared" si="52"/>
        <v/>
      </c>
      <c r="Q132" s="94" t="str">
        <f t="shared" si="53"/>
        <v/>
      </c>
      <c r="R132" s="64" t="str">
        <f t="shared" si="54"/>
        <v/>
      </c>
      <c r="S132" s="93" t="str">
        <f t="shared" si="55"/>
        <v/>
      </c>
      <c r="T132" s="94" t="str">
        <f t="shared" si="56"/>
        <v/>
      </c>
      <c r="U132" s="64" t="str">
        <f t="shared" si="57"/>
        <v/>
      </c>
      <c r="V132" s="65" t="str">
        <f t="shared" si="58"/>
        <v/>
      </c>
      <c r="W132" s="78" t="str">
        <f t="shared" si="59"/>
        <v/>
      </c>
      <c r="X132" s="66" t="str">
        <f t="shared" si="60"/>
        <v/>
      </c>
      <c r="Y132" s="66" t="str">
        <f t="shared" si="61"/>
        <v/>
      </c>
      <c r="Z132" s="67" t="str">
        <f t="shared" si="62"/>
        <v/>
      </c>
    </row>
    <row r="133" spans="1:26" s="5" customFormat="1" ht="17.25" customHeight="1">
      <c r="A133" s="84">
        <v>122</v>
      </c>
      <c r="B133" s="130"/>
      <c r="C133" s="130"/>
      <c r="D133" s="131"/>
      <c r="E133" s="96"/>
      <c r="F133" s="96"/>
      <c r="G133" s="132"/>
      <c r="H133" s="133"/>
      <c r="I133" s="134"/>
      <c r="J133" s="97"/>
      <c r="K133" s="62" t="str">
        <f t="shared" si="48"/>
        <v/>
      </c>
      <c r="L133" s="62" t="str">
        <f t="shared" si="49"/>
        <v/>
      </c>
      <c r="M133" s="62" t="str">
        <f t="shared" si="50"/>
        <v/>
      </c>
      <c r="N133" s="63" t="str">
        <f t="shared" si="51"/>
        <v/>
      </c>
      <c r="O133" s="64" t="str">
        <f t="shared" si="63"/>
        <v/>
      </c>
      <c r="P133" s="93" t="str">
        <f t="shared" si="52"/>
        <v/>
      </c>
      <c r="Q133" s="94" t="str">
        <f t="shared" si="53"/>
        <v/>
      </c>
      <c r="R133" s="64" t="str">
        <f t="shared" si="54"/>
        <v/>
      </c>
      <c r="S133" s="93" t="str">
        <f t="shared" si="55"/>
        <v/>
      </c>
      <c r="T133" s="94" t="str">
        <f t="shared" si="56"/>
        <v/>
      </c>
      <c r="U133" s="64" t="str">
        <f t="shared" si="57"/>
        <v/>
      </c>
      <c r="V133" s="65" t="str">
        <f t="shared" si="58"/>
        <v/>
      </c>
      <c r="W133" s="78" t="str">
        <f t="shared" si="59"/>
        <v/>
      </c>
      <c r="X133" s="66" t="str">
        <f t="shared" si="60"/>
        <v/>
      </c>
      <c r="Y133" s="66" t="str">
        <f t="shared" si="61"/>
        <v/>
      </c>
      <c r="Z133" s="67" t="str">
        <f t="shared" si="62"/>
        <v/>
      </c>
    </row>
    <row r="134" spans="1:26" s="5" customFormat="1" ht="17.25" customHeight="1">
      <c r="A134" s="84">
        <v>123</v>
      </c>
      <c r="B134" s="130"/>
      <c r="C134" s="130"/>
      <c r="D134" s="131"/>
      <c r="E134" s="96"/>
      <c r="F134" s="96"/>
      <c r="G134" s="132"/>
      <c r="H134" s="133"/>
      <c r="I134" s="134"/>
      <c r="J134" s="97"/>
      <c r="K134" s="62" t="str">
        <f t="shared" si="48"/>
        <v/>
      </c>
      <c r="L134" s="62" t="str">
        <f t="shared" si="49"/>
        <v/>
      </c>
      <c r="M134" s="62" t="str">
        <f t="shared" si="50"/>
        <v/>
      </c>
      <c r="N134" s="63" t="str">
        <f t="shared" si="51"/>
        <v/>
      </c>
      <c r="O134" s="64" t="str">
        <f t="shared" si="63"/>
        <v/>
      </c>
      <c r="P134" s="93" t="str">
        <f t="shared" si="52"/>
        <v/>
      </c>
      <c r="Q134" s="94" t="str">
        <f t="shared" si="53"/>
        <v/>
      </c>
      <c r="R134" s="64" t="str">
        <f t="shared" si="54"/>
        <v/>
      </c>
      <c r="S134" s="93" t="str">
        <f t="shared" si="55"/>
        <v/>
      </c>
      <c r="T134" s="94" t="str">
        <f t="shared" si="56"/>
        <v/>
      </c>
      <c r="U134" s="64" t="str">
        <f t="shared" si="57"/>
        <v/>
      </c>
      <c r="V134" s="65" t="str">
        <f t="shared" si="58"/>
        <v/>
      </c>
      <c r="W134" s="78" t="str">
        <f t="shared" si="59"/>
        <v/>
      </c>
      <c r="X134" s="66" t="str">
        <f t="shared" si="60"/>
        <v/>
      </c>
      <c r="Y134" s="66" t="str">
        <f t="shared" si="61"/>
        <v/>
      </c>
      <c r="Z134" s="67" t="str">
        <f t="shared" si="62"/>
        <v/>
      </c>
    </row>
    <row r="135" spans="1:26" s="5" customFormat="1" ht="17.25" customHeight="1">
      <c r="A135" s="84">
        <v>124</v>
      </c>
      <c r="B135" s="130"/>
      <c r="C135" s="130"/>
      <c r="D135" s="131"/>
      <c r="E135" s="96"/>
      <c r="F135" s="96"/>
      <c r="G135" s="132"/>
      <c r="H135" s="133"/>
      <c r="I135" s="134"/>
      <c r="J135" s="97"/>
      <c r="K135" s="62" t="str">
        <f t="shared" si="48"/>
        <v/>
      </c>
      <c r="L135" s="62" t="str">
        <f t="shared" si="49"/>
        <v/>
      </c>
      <c r="M135" s="62" t="str">
        <f t="shared" si="50"/>
        <v/>
      </c>
      <c r="N135" s="63" t="str">
        <f t="shared" si="51"/>
        <v/>
      </c>
      <c r="O135" s="64" t="str">
        <f t="shared" si="63"/>
        <v/>
      </c>
      <c r="P135" s="93" t="str">
        <f t="shared" si="52"/>
        <v/>
      </c>
      <c r="Q135" s="94" t="str">
        <f t="shared" si="53"/>
        <v/>
      </c>
      <c r="R135" s="64" t="str">
        <f t="shared" si="54"/>
        <v/>
      </c>
      <c r="S135" s="93" t="str">
        <f t="shared" si="55"/>
        <v/>
      </c>
      <c r="T135" s="94" t="str">
        <f t="shared" si="56"/>
        <v/>
      </c>
      <c r="U135" s="64" t="str">
        <f t="shared" si="57"/>
        <v/>
      </c>
      <c r="V135" s="65" t="str">
        <f t="shared" si="58"/>
        <v/>
      </c>
      <c r="W135" s="78" t="str">
        <f t="shared" si="59"/>
        <v/>
      </c>
      <c r="X135" s="66" t="str">
        <f t="shared" si="60"/>
        <v/>
      </c>
      <c r="Y135" s="66" t="str">
        <f t="shared" si="61"/>
        <v/>
      </c>
      <c r="Z135" s="67" t="str">
        <f t="shared" si="62"/>
        <v/>
      </c>
    </row>
    <row r="136" spans="1:26" s="17" customFormat="1" ht="17.25" customHeight="1" thickBot="1">
      <c r="A136" s="84">
        <v>125</v>
      </c>
      <c r="B136" s="130"/>
      <c r="C136" s="130"/>
      <c r="D136" s="131"/>
      <c r="E136" s="96"/>
      <c r="F136" s="96"/>
      <c r="G136" s="132"/>
      <c r="H136" s="133"/>
      <c r="I136" s="134"/>
      <c r="J136" s="101"/>
      <c r="K136" s="62" t="str">
        <f t="shared" si="48"/>
        <v/>
      </c>
      <c r="L136" s="62" t="str">
        <f t="shared" si="49"/>
        <v/>
      </c>
      <c r="M136" s="62" t="str">
        <f t="shared" si="50"/>
        <v/>
      </c>
      <c r="N136" s="63" t="str">
        <f t="shared" si="51"/>
        <v/>
      </c>
      <c r="O136" s="64" t="str">
        <f t="shared" si="63"/>
        <v/>
      </c>
      <c r="P136" s="93" t="str">
        <f t="shared" si="52"/>
        <v/>
      </c>
      <c r="Q136" s="94" t="str">
        <f t="shared" si="53"/>
        <v/>
      </c>
      <c r="R136" s="64" t="str">
        <f t="shared" si="54"/>
        <v/>
      </c>
      <c r="S136" s="93" t="str">
        <f t="shared" si="55"/>
        <v/>
      </c>
      <c r="T136" s="94" t="str">
        <f t="shared" si="56"/>
        <v/>
      </c>
      <c r="U136" s="64" t="str">
        <f t="shared" si="57"/>
        <v/>
      </c>
      <c r="V136" s="65" t="str">
        <f t="shared" si="58"/>
        <v/>
      </c>
      <c r="W136" s="78" t="str">
        <f t="shared" si="59"/>
        <v/>
      </c>
      <c r="X136" s="66" t="str">
        <f t="shared" si="60"/>
        <v/>
      </c>
      <c r="Y136" s="66" t="str">
        <f t="shared" si="61"/>
        <v/>
      </c>
      <c r="Z136" s="67" t="str">
        <f t="shared" si="62"/>
        <v/>
      </c>
    </row>
    <row r="137" spans="1:26" s="5" customFormat="1" ht="15">
      <c r="A137" s="27"/>
      <c r="B137" s="27"/>
      <c r="C137" s="27"/>
      <c r="D137" s="27"/>
      <c r="E137" s="27"/>
      <c r="F137" s="138"/>
      <c r="G137" s="27"/>
      <c r="H137" s="27"/>
      <c r="I137" s="27"/>
      <c r="J137" s="27"/>
      <c r="K137" s="27" t="str">
        <f>IF($W$11=0,"",IF(D137="","",IF($G137="","",IF($F137="","",IF($G137/$F137&gt;=$K$11,"yes","NC")))))</f>
        <v/>
      </c>
      <c r="L137" s="27" t="str">
        <f>IF($W$11=0,"",IF($D137="","",IF($G137="","",IF($H137="","",IF($H137/$F137&gt;=$L$11,"yes","NC")))))</f>
        <v/>
      </c>
      <c r="M137" s="27" t="str">
        <f>IF($W$11=0,"",IF($D137="","",IF($G137="","",IF($I137="","",IF($F137/$I137&lt;=$M$11,"yes","NC")))))</f>
        <v/>
      </c>
      <c r="N137" s="27" t="str">
        <f t="shared" si="51"/>
        <v/>
      </c>
      <c r="O137" s="27" t="str">
        <f t="shared" si="63"/>
        <v/>
      </c>
      <c r="P137" s="27" t="str">
        <f t="shared" si="52"/>
        <v/>
      </c>
      <c r="Q137" s="27" t="str">
        <f t="shared" si="53"/>
        <v/>
      </c>
      <c r="R137" s="27" t="str">
        <f t="shared" si="54"/>
        <v/>
      </c>
      <c r="S137" s="27" t="str">
        <f t="shared" si="55"/>
        <v/>
      </c>
      <c r="T137" s="27" t="str">
        <f t="shared" si="56"/>
        <v/>
      </c>
      <c r="U137" s="27" t="str">
        <f t="shared" si="57"/>
        <v/>
      </c>
      <c r="V137" s="27" t="str">
        <f>IF($D137="","",IF(T137="yes",(U137/U$8),IF(OR(U137&lt;$T108,U137&gt;V$8),(U137/U$8))))</f>
        <v/>
      </c>
      <c r="W137" s="27" t="str">
        <f t="shared" si="59"/>
        <v/>
      </c>
      <c r="X137" s="27" t="str">
        <f t="shared" si="60"/>
        <v/>
      </c>
      <c r="Y137" s="27" t="str">
        <f t="shared" si="61"/>
        <v/>
      </c>
      <c r="Z137" s="27" t="str">
        <f t="shared" si="62"/>
        <v/>
      </c>
    </row>
  </sheetData>
  <sheetProtection password="CFDD" sheet="1" objects="1" scenarios="1" selectLockedCells="1"/>
  <protectedRanges>
    <protectedRange password="CF1D" sqref="C6:G6" name="Input Ranges_1"/>
    <protectedRange password="CF1D" sqref="D37:E61" name="Input Ranges_1_1_1_1"/>
  </protectedRanges>
  <mergeCells count="42">
    <mergeCell ref="Z7:Z8"/>
    <mergeCell ref="A1:C1"/>
    <mergeCell ref="A2:C2"/>
    <mergeCell ref="A3:C3"/>
    <mergeCell ref="C9:C10"/>
    <mergeCell ref="F9:F10"/>
    <mergeCell ref="B9:B10"/>
    <mergeCell ref="A9:A10"/>
    <mergeCell ref="A4:C4"/>
    <mergeCell ref="C6:E6"/>
    <mergeCell ref="E7:E8"/>
    <mergeCell ref="F7:F8"/>
    <mergeCell ref="A6:B6"/>
    <mergeCell ref="A7:D8"/>
    <mergeCell ref="D9:D10"/>
    <mergeCell ref="E9:E10"/>
    <mergeCell ref="Z9:Z10"/>
    <mergeCell ref="N9:P9"/>
    <mergeCell ref="G9:G10"/>
    <mergeCell ref="H9:H10"/>
    <mergeCell ref="I9:I10"/>
    <mergeCell ref="W9:W10"/>
    <mergeCell ref="X9:X10"/>
    <mergeCell ref="Q9:S9"/>
    <mergeCell ref="Y9:Y10"/>
    <mergeCell ref="T9:V9"/>
    <mergeCell ref="Y7:Y8"/>
    <mergeCell ref="W7:W8"/>
    <mergeCell ref="X7:X8"/>
    <mergeCell ref="I7:I8"/>
    <mergeCell ref="I5:J5"/>
    <mergeCell ref="I6:J6"/>
    <mergeCell ref="I1:J1"/>
    <mergeCell ref="G4:H4"/>
    <mergeCell ref="G7:G8"/>
    <mergeCell ref="I4:J4"/>
    <mergeCell ref="J7:M8"/>
    <mergeCell ref="E2:G2"/>
    <mergeCell ref="I2:J2"/>
    <mergeCell ref="I3:J3"/>
    <mergeCell ref="H7:H8"/>
    <mergeCell ref="E1:G1"/>
  </mergeCells>
  <phoneticPr fontId="3" type="noConversion"/>
  <conditionalFormatting sqref="Q12:Q136 T12:T136">
    <cfRule type="cellIs" dxfId="10" priority="1" stopIfTrue="1" operator="between">
      <formula>$Q$8</formula>
      <formula>$S$8</formula>
    </cfRule>
    <cfRule type="cellIs" dxfId="9" priority="2" stopIfTrue="1" operator="equal">
      <formula>"""yes"""</formula>
    </cfRule>
    <cfRule type="cellIs" dxfId="8" priority="3" stopIfTrue="1" operator="equal">
      <formula>"NC"</formula>
    </cfRule>
  </conditionalFormatting>
  <conditionalFormatting sqref="R12:R136 O12:O136 U12:U136">
    <cfRule type="cellIs" dxfId="7" priority="4" stopIfTrue="1" operator="equal">
      <formula>"""NC"""</formula>
    </cfRule>
  </conditionalFormatting>
  <conditionalFormatting sqref="N12:N136">
    <cfRule type="cellIs" dxfId="6" priority="5" stopIfTrue="1" operator="equal">
      <formula>"NC"</formula>
    </cfRule>
  </conditionalFormatting>
  <conditionalFormatting sqref="K12:M136">
    <cfRule type="cellIs" dxfId="5" priority="6" stopIfTrue="1" operator="equal">
      <formula>"NC"</formula>
    </cfRule>
  </conditionalFormatting>
  <conditionalFormatting sqref="S12:S136">
    <cfRule type="cellIs" dxfId="4" priority="7" stopIfTrue="1" operator="between">
      <formula>0.1</formula>
      <formula>0.9</formula>
    </cfRule>
    <cfRule type="cellIs" dxfId="3" priority="8" stopIfTrue="1" operator="between">
      <formula>1.100001</formula>
      <formula>5</formula>
    </cfRule>
  </conditionalFormatting>
  <conditionalFormatting sqref="P12:P136 V12:V136">
    <cfRule type="cellIs" dxfId="2" priority="9" stopIfTrue="1" operator="between">
      <formula>0.1</formula>
      <formula>0.9</formula>
    </cfRule>
    <cfRule type="cellIs" dxfId="1" priority="10" stopIfTrue="1" operator="between">
      <formula>1.1000001</formula>
      <formula>5</formula>
    </cfRule>
  </conditionalFormatting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&amp;C© Texas Education Agency&amp;R&amp;P</oddFooter>
  </headerFooter>
  <rowBreaks count="4" manualBreakCount="4">
    <brk id="36" max="26" man="1"/>
    <brk id="61" max="26" man="1"/>
    <brk id="86" max="26" man="1"/>
    <brk id="111" max="26" man="1"/>
  </rowBreaks>
  <colBreaks count="1" manualBreakCount="1">
    <brk id="13" max="136" man="1"/>
  </colBreaks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9"/>
  </sheetPr>
  <dimension ref="A1:G62"/>
  <sheetViews>
    <sheetView topLeftCell="A37" workbookViewId="0">
      <selection activeCell="C6" sqref="C6:E6"/>
    </sheetView>
  </sheetViews>
  <sheetFormatPr defaultRowHeight="13.2"/>
  <cols>
    <col min="2" max="2" width="3.33203125" customWidth="1"/>
  </cols>
  <sheetData>
    <row r="1" spans="1:7">
      <c r="A1" s="9" t="s">
        <v>28</v>
      </c>
      <c r="B1" s="9"/>
      <c r="D1" s="9" t="s">
        <v>18</v>
      </c>
    </row>
    <row r="2" spans="1:7">
      <c r="A2" t="s">
        <v>11</v>
      </c>
      <c r="D2" s="7">
        <v>38548</v>
      </c>
    </row>
    <row r="3" spans="1:7">
      <c r="A3" t="s">
        <v>12</v>
      </c>
    </row>
    <row r="5" spans="1:7">
      <c r="A5">
        <v>1</v>
      </c>
      <c r="B5" t="s">
        <v>13</v>
      </c>
    </row>
    <row r="6" spans="1:7">
      <c r="A6" s="7">
        <v>38548</v>
      </c>
      <c r="B6" t="s">
        <v>20</v>
      </c>
    </row>
    <row r="7" spans="1:7">
      <c r="B7" t="s">
        <v>14</v>
      </c>
    </row>
    <row r="8" spans="1:7">
      <c r="B8" t="s">
        <v>15</v>
      </c>
      <c r="G8" t="s">
        <v>17</v>
      </c>
    </row>
    <row r="9" spans="1:7">
      <c r="B9" t="s">
        <v>16</v>
      </c>
    </row>
    <row r="11" spans="1:7">
      <c r="A11" s="9" t="s">
        <v>10</v>
      </c>
      <c r="B11" s="9"/>
      <c r="D11" s="9" t="s">
        <v>22</v>
      </c>
    </row>
    <row r="12" spans="1:7">
      <c r="A12" s="8" t="s">
        <v>11</v>
      </c>
      <c r="B12" s="9"/>
      <c r="D12" s="10">
        <v>38555</v>
      </c>
    </row>
    <row r="13" spans="1:7" s="8" customFormat="1"/>
    <row r="14" spans="1:7">
      <c r="A14" s="7">
        <v>38555</v>
      </c>
      <c r="B14" t="s">
        <v>20</v>
      </c>
    </row>
    <row r="15" spans="1:7">
      <c r="B15" t="s">
        <v>25</v>
      </c>
    </row>
    <row r="16" spans="1:7">
      <c r="B16" t="s">
        <v>26</v>
      </c>
    </row>
    <row r="17" spans="1:4">
      <c r="B17" t="s">
        <v>24</v>
      </c>
    </row>
    <row r="19" spans="1:4">
      <c r="A19" s="7">
        <v>38556</v>
      </c>
      <c r="B19" t="s">
        <v>20</v>
      </c>
    </row>
    <row r="20" spans="1:4">
      <c r="B20" t="s">
        <v>21</v>
      </c>
    </row>
    <row r="22" spans="1:4">
      <c r="A22" s="7">
        <v>38558</v>
      </c>
      <c r="B22" t="s">
        <v>20</v>
      </c>
    </row>
    <row r="23" spans="1:4">
      <c r="B23" t="s">
        <v>23</v>
      </c>
    </row>
    <row r="25" spans="1:4">
      <c r="A25" s="7">
        <v>38559</v>
      </c>
      <c r="B25" t="s">
        <v>20</v>
      </c>
    </row>
    <row r="26" spans="1:4" ht="15" customHeight="1">
      <c r="B26" s="9" t="s">
        <v>27</v>
      </c>
    </row>
    <row r="27" spans="1:4">
      <c r="B27" t="s">
        <v>29</v>
      </c>
    </row>
    <row r="28" spans="1:4">
      <c r="C28" t="s">
        <v>30</v>
      </c>
    </row>
    <row r="29" spans="1:4">
      <c r="C29" t="s">
        <v>32</v>
      </c>
    </row>
    <row r="30" spans="1:4">
      <c r="C30" t="s">
        <v>31</v>
      </c>
    </row>
    <row r="32" spans="1:4">
      <c r="A32" s="9" t="s">
        <v>10</v>
      </c>
      <c r="B32" s="9"/>
      <c r="D32" s="9" t="s">
        <v>37</v>
      </c>
    </row>
    <row r="33" spans="1:4">
      <c r="A33" s="8" t="s">
        <v>11</v>
      </c>
      <c r="B33" s="9"/>
      <c r="D33" s="10">
        <v>38560</v>
      </c>
    </row>
    <row r="34" spans="1:4" ht="14.25" customHeight="1">
      <c r="B34" t="s">
        <v>33</v>
      </c>
    </row>
    <row r="35" spans="1:4">
      <c r="C35" t="s">
        <v>35</v>
      </c>
    </row>
    <row r="36" spans="1:4">
      <c r="C36" t="s">
        <v>34</v>
      </c>
    </row>
    <row r="37" spans="1:4">
      <c r="C37" t="s">
        <v>36</v>
      </c>
    </row>
    <row r="39" spans="1:4">
      <c r="A39" s="9" t="s">
        <v>10</v>
      </c>
      <c r="B39" s="9"/>
      <c r="D39" s="9" t="s">
        <v>37</v>
      </c>
    </row>
    <row r="40" spans="1:4">
      <c r="A40" s="8" t="s">
        <v>11</v>
      </c>
      <c r="B40" s="9"/>
      <c r="D40" s="10">
        <v>38572</v>
      </c>
    </row>
    <row r="41" spans="1:4">
      <c r="B41" t="s">
        <v>38</v>
      </c>
    </row>
    <row r="42" spans="1:4">
      <c r="C42" t="s">
        <v>39</v>
      </c>
      <c r="D42" t="s">
        <v>40</v>
      </c>
    </row>
    <row r="43" spans="1:4">
      <c r="C43" t="s">
        <v>39</v>
      </c>
      <c r="D43" t="s">
        <v>41</v>
      </c>
    </row>
    <row r="44" spans="1:4">
      <c r="C44" t="s">
        <v>39</v>
      </c>
      <c r="D44" t="s">
        <v>42</v>
      </c>
    </row>
    <row r="45" spans="1:4">
      <c r="C45" t="s">
        <v>39</v>
      </c>
      <c r="D45" t="s">
        <v>43</v>
      </c>
    </row>
    <row r="46" spans="1:4">
      <c r="C46" t="s">
        <v>35</v>
      </c>
    </row>
    <row r="47" spans="1:4">
      <c r="C47" t="s">
        <v>34</v>
      </c>
    </row>
    <row r="49" spans="1:5">
      <c r="A49" s="7">
        <v>38573</v>
      </c>
    </row>
    <row r="50" spans="1:5">
      <c r="C50" t="s">
        <v>44</v>
      </c>
    </row>
    <row r="52" spans="1:5">
      <c r="A52" s="7">
        <v>38748</v>
      </c>
      <c r="C52" t="s">
        <v>45</v>
      </c>
    </row>
    <row r="54" spans="1:5">
      <c r="C54" t="s">
        <v>91</v>
      </c>
    </row>
    <row r="55" spans="1:5">
      <c r="A55" t="s">
        <v>94</v>
      </c>
      <c r="C55" t="s">
        <v>92</v>
      </c>
    </row>
    <row r="56" spans="1:5">
      <c r="C56" t="s">
        <v>93</v>
      </c>
    </row>
    <row r="57" spans="1:5">
      <c r="C57" t="s">
        <v>90</v>
      </c>
      <c r="D57" t="s">
        <v>95</v>
      </c>
      <c r="E57" t="s">
        <v>96</v>
      </c>
    </row>
    <row r="58" spans="1:5" ht="15">
      <c r="C58" s="62" t="str">
        <f>IF($X$11=0,"",IF(D58="","",IF($G58="","",IF($F58="","",IF($G58/$F58&gt;=$K$11,"yes","NC")))))</f>
        <v/>
      </c>
      <c r="D58" s="62" t="str">
        <f>IF($Y$11=0,"",IF($D58="","",IF($H58="","",IF($H58="","",IF($H58/$F58&gt;=$L$11,"yes","NC")))))</f>
        <v/>
      </c>
      <c r="E58" s="62" t="str">
        <f>IF($Z$11=0,"",IF($D58="","",IF($I58="","",IF($I58="","",IF($F58/$I58&lt;=$M$11,"yes","NC")))))</f>
        <v/>
      </c>
    </row>
    <row r="60" spans="1:5" ht="15.6">
      <c r="C60" s="143" t="s">
        <v>97</v>
      </c>
    </row>
    <row r="61" spans="1:5" ht="15.6">
      <c r="C61" s="142"/>
      <c r="D61" s="143" t="s">
        <v>98</v>
      </c>
    </row>
    <row r="62" spans="1:5" ht="15.6">
      <c r="E62" s="143" t="s">
        <v>99</v>
      </c>
    </row>
  </sheetData>
  <customSheetViews>
    <customSheetView guid="{D05ECE8A-CCA7-47B6-AAEB-10CD98BB3663}" showRuler="0" topLeftCell="A19">
      <selection activeCell="A36" sqref="A36"/>
      <pageMargins left="0.75" right="0.75" top="0.62" bottom="0.5" header="0.5" footer="0.5"/>
      <pageSetup orientation="landscape" r:id="rId1"/>
      <headerFooter alignWithMargins="0"/>
    </customSheetView>
    <customSheetView guid="{3175E192-1B7A-4427-91BB-02E6A1763689}" state="hidden" showRuler="0" topLeftCell="A34">
      <selection activeCell="A49" sqref="A49"/>
      <pageMargins left="0.75" right="0.75" top="0.62" bottom="0.5" header="0.5" footer="0.5"/>
      <pageSetup orientation="landscape" r:id="rId2"/>
      <headerFooter alignWithMargins="0"/>
    </customSheetView>
  </customSheetViews>
  <phoneticPr fontId="3" type="noConversion"/>
  <conditionalFormatting sqref="C58:E58 C60 D61 E62">
    <cfRule type="cellIs" dxfId="0" priority="1" stopIfTrue="1" operator="equal">
      <formula>"NC"</formula>
    </cfRule>
  </conditionalFormatting>
  <pageMargins left="0.75" right="0.75" top="0.62" bottom="0.5" header="0.5" footer="0.5"/>
  <pageSetup orientation="landscape" r:id="rId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B5C8DDBACD244DA509CF78D902DFEF" ma:contentTypeVersion="0" ma:contentTypeDescription="Create a new document." ma:contentTypeScope="" ma:versionID="2d51d7ad55a02f00ffbfc2fdcca3f1be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80205F02-25EA-4EA8-BA03-ACB602FD178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C2DBAA1-9377-4801-8C5A-538A731BA9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C14AD6-5C17-4CA6-9E23-241B3E5AA75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5EFA8CE-5318-4E5F-AF86-F8A29DA60DC8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38</vt:i4>
      </vt:variant>
    </vt:vector>
  </HeadingPairs>
  <TitlesOfParts>
    <vt:vector size="58" baseType="lpstr">
      <vt:lpstr>First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LAST</vt:lpstr>
      <vt:lpstr>SPARE 1</vt:lpstr>
      <vt:lpstr>Notes</vt:lpstr>
      <vt:lpstr>a!Print_Area</vt:lpstr>
      <vt:lpstr>b!Print_Area</vt:lpstr>
      <vt:lpstr>'c'!Print_Area</vt:lpstr>
      <vt:lpstr>d!Print_Area</vt:lpstr>
      <vt:lpstr>e!Print_Area</vt:lpstr>
      <vt:lpstr>f!Print_Area</vt:lpstr>
      <vt:lpstr>First!Print_Area</vt:lpstr>
      <vt:lpstr>g!Print_Area</vt:lpstr>
      <vt:lpstr>h!Print_Area</vt:lpstr>
      <vt:lpstr>i!Print_Area</vt:lpstr>
      <vt:lpstr>j!Print_Area</vt:lpstr>
      <vt:lpstr>k!Print_Area</vt:lpstr>
      <vt:lpstr>l!Print_Area</vt:lpstr>
      <vt:lpstr>LAST!Print_Area</vt:lpstr>
      <vt:lpstr>m!Print_Area</vt:lpstr>
      <vt:lpstr>n!Print_Area</vt:lpstr>
      <vt:lpstr>o!Print_Area</vt:lpstr>
      <vt:lpstr>p!Print_Area</vt:lpstr>
      <vt:lpstr>'SPARE 1'!Print_Area</vt:lpstr>
      <vt:lpstr>a!Print_Titles</vt:lpstr>
      <vt:lpstr>b!Print_Titles</vt:lpstr>
      <vt:lpstr>'c'!Print_Titles</vt:lpstr>
      <vt:lpstr>d!Print_Titles</vt:lpstr>
      <vt:lpstr>e!Print_Titles</vt:lpstr>
      <vt:lpstr>f!Print_Titles</vt:lpstr>
      <vt:lpstr>First!Print_Titles</vt:lpstr>
      <vt:lpstr>g!Print_Titles</vt:lpstr>
      <vt:lpstr>h!Print_Titles</vt:lpstr>
      <vt:lpstr>i!Print_Titles</vt:lpstr>
      <vt:lpstr>j!Print_Titles</vt:lpstr>
      <vt:lpstr>k!Print_Titles</vt:lpstr>
      <vt:lpstr>l!Print_Titles</vt:lpstr>
      <vt:lpstr>LAST!Print_Titles</vt:lpstr>
      <vt:lpstr>m!Print_Titles</vt:lpstr>
      <vt:lpstr>n!Print_Titles</vt:lpstr>
      <vt:lpstr>o!Print_Titles</vt:lpstr>
      <vt:lpstr>p!Print_Titles</vt:lpstr>
      <vt:lpstr>'SPARE 1'!Print_Titles</vt:lpstr>
    </vt:vector>
  </TitlesOfParts>
  <Company>Texas Education Agency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Comparability Testing</dc:subject>
  <dc:creator>Jennifer Darst</dc:creator>
  <cp:lastModifiedBy>tmurray</cp:lastModifiedBy>
  <cp:lastPrinted>2012-10-01T14:40:13Z</cp:lastPrinted>
  <dcterms:created xsi:type="dcterms:W3CDTF">2005-06-16T18:45:12Z</dcterms:created>
  <dcterms:modified xsi:type="dcterms:W3CDTF">2012-10-25T13:34:59Z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</Properties>
</file>