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8" windowWidth="23256" windowHeight="10548"/>
  </bookViews>
  <sheets>
    <sheet name="Budget" sheetId="4" r:id="rId1"/>
    <sheet name="Cash (FY ending Aug 31)" sheetId="5" r:id="rId2"/>
    <sheet name="Cash (FY ending Jun 30)" sheetId="6" r:id="rId3"/>
  </sheets>
  <definedNames>
    <definedName name="_xlnm.Print_Area" localSheetId="0">Budget!$A$1:$K$50</definedName>
    <definedName name="_xlnm.Print_Area" localSheetId="1">'Cash (FY ending Aug 31)'!$A$1:$AF$46</definedName>
    <definedName name="_xlnm.Print_Area" localSheetId="2">'Cash (FY ending Jun 30)'!$A$1:$AF$46</definedName>
  </definedNames>
  <calcPr calcId="125725"/>
</workbook>
</file>

<file path=xl/calcChain.xml><?xml version="1.0" encoding="utf-8"?>
<calcChain xmlns="http://schemas.openxmlformats.org/spreadsheetml/2006/main">
  <c r="AC38" i="6"/>
  <c r="AA38"/>
  <c r="AE38" s="1"/>
  <c r="Y38"/>
  <c r="W38"/>
  <c r="U38"/>
  <c r="S38"/>
  <c r="Q38"/>
  <c r="O38"/>
  <c r="M38"/>
  <c r="K38"/>
  <c r="I38"/>
  <c r="G38"/>
  <c r="E38"/>
  <c r="C38"/>
  <c r="AC44"/>
  <c r="C44"/>
  <c r="E41" s="1"/>
  <c r="E44" s="1"/>
  <c r="G41" s="1"/>
  <c r="G44" s="1"/>
  <c r="I41" s="1"/>
  <c r="I44" s="1"/>
  <c r="K41" s="1"/>
  <c r="K44" s="1"/>
  <c r="M41" s="1"/>
  <c r="M44" s="1"/>
  <c r="O41" s="1"/>
  <c r="O44" s="1"/>
  <c r="Q41" s="1"/>
  <c r="Q44" s="1"/>
  <c r="S41" s="1"/>
  <c r="S44" s="1"/>
  <c r="U41" s="1"/>
  <c r="U44" s="1"/>
  <c r="W41" s="1"/>
  <c r="W44" s="1"/>
  <c r="Y41" s="1"/>
  <c r="Y44" s="1"/>
  <c r="AA43"/>
  <c r="AE43" s="1"/>
  <c r="AA42"/>
  <c r="AE42" s="1"/>
  <c r="AA41"/>
  <c r="AA44" s="1"/>
  <c r="AE44" s="1"/>
  <c r="AA37"/>
  <c r="AE37" s="1"/>
  <c r="AA36"/>
  <c r="AE36" s="1"/>
  <c r="AA35"/>
  <c r="AE27"/>
  <c r="AA27"/>
  <c r="AE26"/>
  <c r="AA26"/>
  <c r="AE25"/>
  <c r="AA25"/>
  <c r="AC23"/>
  <c r="AC28" s="1"/>
  <c r="Y23"/>
  <c r="Y28" s="1"/>
  <c r="W23"/>
  <c r="W28" s="1"/>
  <c r="U23"/>
  <c r="U28" s="1"/>
  <c r="S23"/>
  <c r="S28" s="1"/>
  <c r="Q23"/>
  <c r="Q28" s="1"/>
  <c r="O23"/>
  <c r="O28" s="1"/>
  <c r="M23"/>
  <c r="M28" s="1"/>
  <c r="K23"/>
  <c r="K28" s="1"/>
  <c r="I23"/>
  <c r="I28" s="1"/>
  <c r="G23"/>
  <c r="G28" s="1"/>
  <c r="E23"/>
  <c r="E28" s="1"/>
  <c r="C23"/>
  <c r="AA23" s="1"/>
  <c r="AA22"/>
  <c r="AE22" s="1"/>
  <c r="AA21"/>
  <c r="AE21" s="1"/>
  <c r="AA20"/>
  <c r="AE20" s="1"/>
  <c r="AA19"/>
  <c r="AE19" s="1"/>
  <c r="AC16"/>
  <c r="Y16"/>
  <c r="Y30" s="1"/>
  <c r="W16"/>
  <c r="U16"/>
  <c r="U30" s="1"/>
  <c r="S16"/>
  <c r="Q16"/>
  <c r="Q30" s="1"/>
  <c r="O16"/>
  <c r="M16"/>
  <c r="M30" s="1"/>
  <c r="K16"/>
  <c r="I16"/>
  <c r="I30" s="1"/>
  <c r="G16"/>
  <c r="E16"/>
  <c r="E30" s="1"/>
  <c r="C16"/>
  <c r="AA15"/>
  <c r="AE15" s="1"/>
  <c r="AA14"/>
  <c r="AE14" s="1"/>
  <c r="AA13"/>
  <c r="AE13" s="1"/>
  <c r="AA12"/>
  <c r="AE12" s="1"/>
  <c r="AA11"/>
  <c r="AE11" s="1"/>
  <c r="AE16" s="1"/>
  <c r="AE8"/>
  <c r="AC38" i="5"/>
  <c r="AA38"/>
  <c r="AE38" s="1"/>
  <c r="Y38"/>
  <c r="W38"/>
  <c r="U38"/>
  <c r="S38"/>
  <c r="Q38"/>
  <c r="O38"/>
  <c r="M38"/>
  <c r="K38"/>
  <c r="I38"/>
  <c r="G38"/>
  <c r="E38"/>
  <c r="C38"/>
  <c r="AC44"/>
  <c r="Y44"/>
  <c r="W44"/>
  <c r="Q44"/>
  <c r="C44"/>
  <c r="AA43"/>
  <c r="AE43" s="1"/>
  <c r="AA42"/>
  <c r="AE42" s="1"/>
  <c r="AA41"/>
  <c r="AA44" s="1"/>
  <c r="AE44" s="1"/>
  <c r="S41"/>
  <c r="S44" s="1"/>
  <c r="U41" s="1"/>
  <c r="U44" s="1"/>
  <c r="E41"/>
  <c r="E44" s="1"/>
  <c r="G41" s="1"/>
  <c r="G44" s="1"/>
  <c r="I41" s="1"/>
  <c r="I44" s="1"/>
  <c r="K41" s="1"/>
  <c r="K44" s="1"/>
  <c r="M41" s="1"/>
  <c r="M44" s="1"/>
  <c r="O41" s="1"/>
  <c r="O44" s="1"/>
  <c r="AE37"/>
  <c r="AA37"/>
  <c r="AE36"/>
  <c r="AA36"/>
  <c r="AE35"/>
  <c r="AA35"/>
  <c r="W28"/>
  <c r="S28"/>
  <c r="O28"/>
  <c r="K28"/>
  <c r="G28"/>
  <c r="C28"/>
  <c r="AA27"/>
  <c r="AE27" s="1"/>
  <c r="AA26"/>
  <c r="AE26" s="1"/>
  <c r="AA25"/>
  <c r="AE25" s="1"/>
  <c r="AC23"/>
  <c r="AC28" s="1"/>
  <c r="Y23"/>
  <c r="Y28" s="1"/>
  <c r="W23"/>
  <c r="U23"/>
  <c r="U28" s="1"/>
  <c r="S23"/>
  <c r="Q23"/>
  <c r="Q28" s="1"/>
  <c r="O23"/>
  <c r="M23"/>
  <c r="M28" s="1"/>
  <c r="K23"/>
  <c r="I23"/>
  <c r="I28" s="1"/>
  <c r="G23"/>
  <c r="E23"/>
  <c r="E28" s="1"/>
  <c r="C23"/>
  <c r="AA23" s="1"/>
  <c r="AE22"/>
  <c r="AA22"/>
  <c r="AE21"/>
  <c r="AA21"/>
  <c r="AE20"/>
  <c r="AA20"/>
  <c r="AE19"/>
  <c r="AA19"/>
  <c r="AC16"/>
  <c r="AC32" s="1"/>
  <c r="AC46" s="1"/>
  <c r="Y16"/>
  <c r="W16"/>
  <c r="W30" s="1"/>
  <c r="U16"/>
  <c r="S16"/>
  <c r="S30" s="1"/>
  <c r="Q16"/>
  <c r="O16"/>
  <c r="O30" s="1"/>
  <c r="M16"/>
  <c r="K16"/>
  <c r="K30" s="1"/>
  <c r="I16"/>
  <c r="G16"/>
  <c r="G30" s="1"/>
  <c r="E16"/>
  <c r="C16"/>
  <c r="C30" s="1"/>
  <c r="AA15"/>
  <c r="AE15" s="1"/>
  <c r="AA14"/>
  <c r="AE14" s="1"/>
  <c r="AA13"/>
  <c r="AE13" s="1"/>
  <c r="AA12"/>
  <c r="AE12" s="1"/>
  <c r="AA11"/>
  <c r="AA16" s="1"/>
  <c r="AE8"/>
  <c r="H47" i="4"/>
  <c r="D47"/>
  <c r="H46"/>
  <c r="D46"/>
  <c r="K42"/>
  <c r="J42"/>
  <c r="G42"/>
  <c r="F42"/>
  <c r="C42"/>
  <c r="B42"/>
  <c r="H41"/>
  <c r="D41"/>
  <c r="H40"/>
  <c r="D40"/>
  <c r="H39"/>
  <c r="H42" s="1"/>
  <c r="D39"/>
  <c r="D42" s="1"/>
  <c r="K36"/>
  <c r="J36"/>
  <c r="G36"/>
  <c r="F36"/>
  <c r="C36"/>
  <c r="C44" s="1"/>
  <c r="B36"/>
  <c r="B44" s="1"/>
  <c r="D44" s="1"/>
  <c r="H35"/>
  <c r="D35"/>
  <c r="H34"/>
  <c r="D34"/>
  <c r="H33"/>
  <c r="H36" s="1"/>
  <c r="D33"/>
  <c r="D36" s="1"/>
  <c r="K28"/>
  <c r="J28"/>
  <c r="G28"/>
  <c r="F28"/>
  <c r="H27"/>
  <c r="D27"/>
  <c r="H26"/>
  <c r="D26"/>
  <c r="H25"/>
  <c r="D25"/>
  <c r="H24"/>
  <c r="D24"/>
  <c r="H23"/>
  <c r="D23"/>
  <c r="H22"/>
  <c r="D22"/>
  <c r="H21"/>
  <c r="D21"/>
  <c r="H20"/>
  <c r="D20"/>
  <c r="H19"/>
  <c r="D19"/>
  <c r="H18"/>
  <c r="D18"/>
  <c r="H17"/>
  <c r="D17"/>
  <c r="H16"/>
  <c r="H28" s="1"/>
  <c r="D16"/>
  <c r="D28" s="1"/>
  <c r="K13"/>
  <c r="K30" s="1"/>
  <c r="K44" s="1"/>
  <c r="J13"/>
  <c r="J30" s="1"/>
  <c r="J44" s="1"/>
  <c r="G13"/>
  <c r="G30" s="1"/>
  <c r="G44" s="1"/>
  <c r="F13"/>
  <c r="F30" s="1"/>
  <c r="F44" s="1"/>
  <c r="H44" s="1"/>
  <c r="C13"/>
  <c r="B13"/>
  <c r="H12"/>
  <c r="D12"/>
  <c r="H11"/>
  <c r="D11"/>
  <c r="H10"/>
  <c r="D10"/>
  <c r="H9"/>
  <c r="D9"/>
  <c r="H8"/>
  <c r="H13" s="1"/>
  <c r="H30" s="1"/>
  <c r="D8"/>
  <c r="D13" s="1"/>
  <c r="D30" s="1"/>
  <c r="AA87" i="5"/>
  <c r="AE87" s="1"/>
  <c r="AA86"/>
  <c r="AE86" s="1"/>
  <c r="AA85"/>
  <c r="AE85" s="1"/>
  <c r="AA84"/>
  <c r="AE84" s="1"/>
  <c r="AA70"/>
  <c r="AE70" s="1"/>
  <c r="AC68"/>
  <c r="AC71" s="1"/>
  <c r="Y68"/>
  <c r="Y71" s="1"/>
  <c r="W68"/>
  <c r="W71" s="1"/>
  <c r="U68"/>
  <c r="U71" s="1"/>
  <c r="S68"/>
  <c r="S71" s="1"/>
  <c r="Q68"/>
  <c r="Q71" s="1"/>
  <c r="O68"/>
  <c r="O71" s="1"/>
  <c r="M68"/>
  <c r="M71" s="1"/>
  <c r="K68"/>
  <c r="K71" s="1"/>
  <c r="I68"/>
  <c r="I71" s="1"/>
  <c r="G68"/>
  <c r="G71" s="1"/>
  <c r="E68"/>
  <c r="E71" s="1"/>
  <c r="C68"/>
  <c r="AA67"/>
  <c r="AE67" s="1"/>
  <c r="AA66"/>
  <c r="AE66" s="1"/>
  <c r="AA65"/>
  <c r="AE65" s="1"/>
  <c r="AA64"/>
  <c r="AE64" s="1"/>
  <c r="AC61"/>
  <c r="Y61"/>
  <c r="W61"/>
  <c r="U61"/>
  <c r="S61"/>
  <c r="Q61"/>
  <c r="O61"/>
  <c r="M61"/>
  <c r="K61"/>
  <c r="I61"/>
  <c r="G61"/>
  <c r="E61"/>
  <c r="C61"/>
  <c r="AA60"/>
  <c r="AE60" s="1"/>
  <c r="AA59"/>
  <c r="AE59" s="1"/>
  <c r="AA58"/>
  <c r="AE58" s="1"/>
  <c r="AA57"/>
  <c r="AA61" s="1"/>
  <c r="Y54"/>
  <c r="W54"/>
  <c r="U54"/>
  <c r="S54"/>
  <c r="Q54"/>
  <c r="O54"/>
  <c r="M54"/>
  <c r="K54"/>
  <c r="I54"/>
  <c r="G54"/>
  <c r="E54"/>
  <c r="AE23" i="6" l="1"/>
  <c r="AE28" s="1"/>
  <c r="AA28"/>
  <c r="G30"/>
  <c r="K30"/>
  <c r="O30"/>
  <c r="S30"/>
  <c r="W30"/>
  <c r="AC32"/>
  <c r="AC46" s="1"/>
  <c r="AA16"/>
  <c r="C28"/>
  <c r="C30" s="1"/>
  <c r="AE35"/>
  <c r="AE41"/>
  <c r="AA28" i="5"/>
  <c r="AE23"/>
  <c r="AE28" s="1"/>
  <c r="E30"/>
  <c r="I30"/>
  <c r="M30"/>
  <c r="Q30"/>
  <c r="U30"/>
  <c r="Y30"/>
  <c r="C32"/>
  <c r="AA30"/>
  <c r="AE11"/>
  <c r="AE16" s="1"/>
  <c r="AE41"/>
  <c r="AC73"/>
  <c r="AC75" s="1"/>
  <c r="AE57"/>
  <c r="AE61" s="1"/>
  <c r="E73"/>
  <c r="E75" s="1"/>
  <c r="I73"/>
  <c r="I75" s="1"/>
  <c r="M73"/>
  <c r="M75" s="1"/>
  <c r="Q73"/>
  <c r="Q75" s="1"/>
  <c r="U73"/>
  <c r="U75" s="1"/>
  <c r="Y73"/>
  <c r="Y75" s="1"/>
  <c r="AA68"/>
  <c r="AA71" s="1"/>
  <c r="AA73" s="1"/>
  <c r="G73"/>
  <c r="G75" s="1"/>
  <c r="K73"/>
  <c r="K75" s="1"/>
  <c r="O73"/>
  <c r="O75" s="1"/>
  <c r="S73"/>
  <c r="S75" s="1"/>
  <c r="W73"/>
  <c r="W75" s="1"/>
  <c r="AE68"/>
  <c r="AE71" s="1"/>
  <c r="AE73" s="1"/>
  <c r="AA54"/>
  <c r="C71"/>
  <c r="C73" s="1"/>
  <c r="C75" s="1"/>
  <c r="AA30" i="6" l="1"/>
  <c r="C32"/>
  <c r="E8" i="5"/>
  <c r="E32" s="1"/>
  <c r="C46"/>
  <c r="AE54"/>
  <c r="AE75" s="1"/>
  <c r="AA75"/>
  <c r="C46" i="6" l="1"/>
  <c r="E8"/>
  <c r="E32" s="1"/>
  <c r="E46" i="5"/>
  <c r="G8"/>
  <c r="G32" s="1"/>
  <c r="E46" i="6" l="1"/>
  <c r="G8"/>
  <c r="G32" s="1"/>
  <c r="I8" i="5"/>
  <c r="I32" s="1"/>
  <c r="G46"/>
  <c r="G46" i="6" l="1"/>
  <c r="I8"/>
  <c r="I32" s="1"/>
  <c r="I46" i="5"/>
  <c r="K8"/>
  <c r="K32" s="1"/>
  <c r="I46" i="6" l="1"/>
  <c r="K8"/>
  <c r="K32" s="1"/>
  <c r="M8" i="5"/>
  <c r="M32" s="1"/>
  <c r="K46"/>
  <c r="K46" i="6" l="1"/>
  <c r="M8"/>
  <c r="M32" s="1"/>
  <c r="M46" i="5"/>
  <c r="O8"/>
  <c r="O32" s="1"/>
  <c r="M46" i="6" l="1"/>
  <c r="O8"/>
  <c r="O32" s="1"/>
  <c r="Q8" i="5"/>
  <c r="Q32" s="1"/>
  <c r="O46"/>
  <c r="O46" i="6" l="1"/>
  <c r="Q8"/>
  <c r="Q32" s="1"/>
  <c r="Q46" i="5"/>
  <c r="S8"/>
  <c r="S32" s="1"/>
  <c r="Q46" i="6" l="1"/>
  <c r="S8"/>
  <c r="S32" s="1"/>
  <c r="U8" i="5"/>
  <c r="U32" s="1"/>
  <c r="S46"/>
  <c r="S46" i="6" l="1"/>
  <c r="U8"/>
  <c r="U32" s="1"/>
  <c r="U46" i="5"/>
  <c r="W8"/>
  <c r="W32" s="1"/>
  <c r="U46" i="6" l="1"/>
  <c r="W8"/>
  <c r="W32" s="1"/>
  <c r="Y8" i="5"/>
  <c r="Y32" s="1"/>
  <c r="W46"/>
  <c r="W46" i="6" l="1"/>
  <c r="Y8"/>
  <c r="Y32" s="1"/>
  <c r="Y46" i="5"/>
  <c r="AA32"/>
  <c r="Y46" i="6" l="1"/>
  <c r="AA32"/>
  <c r="AE32" i="5"/>
  <c r="AE46" s="1"/>
  <c r="AA46"/>
  <c r="AA46" i="6" l="1"/>
  <c r="AE32"/>
  <c r="AE46" s="1"/>
</calcChain>
</file>

<file path=xl/sharedStrings.xml><?xml version="1.0" encoding="utf-8"?>
<sst xmlns="http://schemas.openxmlformats.org/spreadsheetml/2006/main" count="1267" uniqueCount="112">
  <si>
    <t>Federal Indirect</t>
  </si>
  <si>
    <t>Total Revenues</t>
  </si>
  <si>
    <t>TRS Deposit</t>
  </si>
  <si>
    <t>IRS Deposit</t>
  </si>
  <si>
    <t>Instructional (F11, 12, 13)</t>
  </si>
  <si>
    <t>Instructional Leadership (F 21)</t>
  </si>
  <si>
    <t>School Leadership (F 23)</t>
  </si>
  <si>
    <t>Extracurricular Activities (F 36)</t>
  </si>
  <si>
    <t>Food Services (F 35)</t>
  </si>
  <si>
    <t>General Administration (F 41)</t>
  </si>
  <si>
    <t>Security and Monitoring Services (F 52)</t>
  </si>
  <si>
    <t>Data Processing Services (F 53)</t>
  </si>
  <si>
    <t>Debt Service (F 71)</t>
  </si>
  <si>
    <t>Other transfers in</t>
  </si>
  <si>
    <t>Total Other Sources of Funds</t>
  </si>
  <si>
    <t>Total Other Uses of Funds</t>
  </si>
  <si>
    <t>Original Budget</t>
  </si>
  <si>
    <t>Actual</t>
  </si>
  <si>
    <t>Difference</t>
  </si>
  <si>
    <t>Projected Final Budget</t>
  </si>
  <si>
    <t>Projected Budget</t>
  </si>
  <si>
    <t>Long-term debt proceeds</t>
  </si>
  <si>
    <t>Local Revenue</t>
  </si>
  <si>
    <t>Total Expenses</t>
  </si>
  <si>
    <t>Excess (Deficiency) of Revenues Over (Under) Expenses</t>
  </si>
  <si>
    <t>[Insert description]</t>
  </si>
  <si>
    <t>Beginning Net Assets (July 1 or September 1)</t>
  </si>
  <si>
    <t>Cash Flow Projection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</si>
  <si>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</si>
  <si>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</si>
  <si>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</si>
  <si>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</si>
  <si>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</si>
  <si>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</si>
  <si>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</si>
  <si>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</si>
  <si>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</si>
  <si>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</si>
  <si>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</si>
  <si>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</si>
  <si>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Beginning Cash Balance in Bank</t>
  </si>
  <si>
    <t>$</t>
  </si>
  <si>
    <t>N/A</t>
  </si>
  <si>
    <t>RECEIPTS</t>
  </si>
  <si>
    <t>Other State Revenue</t>
  </si>
  <si>
    <t xml:space="preserve">   Total Revenue</t>
  </si>
  <si>
    <t>DISBURSEMENTS</t>
  </si>
  <si>
    <t>Payroll Net Checks</t>
  </si>
  <si>
    <t>Deduction Checks</t>
  </si>
  <si>
    <t xml:space="preserve">   Total Payroll</t>
  </si>
  <si>
    <t>Cash to TEA</t>
  </si>
  <si>
    <t>Plant Maintenance</t>
  </si>
  <si>
    <t>Expenditures other than payroll and plant maintenance</t>
  </si>
  <si>
    <t xml:space="preserve">   Total Expenses</t>
  </si>
  <si>
    <t>Net Change in Cash</t>
  </si>
  <si>
    <t>Ending Cash Balance in bank</t>
  </si>
  <si>
    <t xml:space="preserve">   Total Other Uses / Transfers</t>
  </si>
  <si>
    <t>Interest Income</t>
  </si>
  <si>
    <t>Investments</t>
  </si>
  <si>
    <t xml:space="preserve">   Ending Balance</t>
  </si>
  <si>
    <t>FEDERAL PROGRAMS</t>
  </si>
  <si>
    <t>Title I</t>
  </si>
  <si>
    <t>Title II Part A</t>
  </si>
  <si>
    <t>Title V Part A</t>
  </si>
  <si>
    <t>Migrant Revenue</t>
  </si>
  <si>
    <t xml:space="preserve">   Total Federal Revenue</t>
  </si>
  <si>
    <t>Expenditures other than payroll</t>
  </si>
  <si>
    <t xml:space="preserve">   Total Expenditures</t>
  </si>
  <si>
    <t>Special Program Fund</t>
  </si>
  <si>
    <t>BCED</t>
  </si>
  <si>
    <t>OEYP</t>
  </si>
  <si>
    <t>Technology Allotment</t>
  </si>
  <si>
    <t>Rider 42</t>
  </si>
  <si>
    <t>Child Nutrition Fund</t>
  </si>
  <si>
    <t>Expenses other than payroll and plant maintenance</t>
  </si>
  <si>
    <t>Actual [insert fiscal year]</t>
  </si>
  <si>
    <t>Projected [insert fiscal year]</t>
  </si>
  <si>
    <t>Revenues</t>
  </si>
  <si>
    <t>State Revenue (Foundation School Funds)</t>
  </si>
  <si>
    <t>State Revenue (Available School Fund)</t>
  </si>
  <si>
    <t>State Revenue (Other)</t>
  </si>
  <si>
    <t>Facilities Maintenance and Operations (F 51)</t>
  </si>
  <si>
    <t>Revenues, Expenditures, and Changes in Net Assets (Actual and Projected)</t>
  </si>
  <si>
    <t>Expenses</t>
  </si>
  <si>
    <t>Other Sources of Funds</t>
  </si>
  <si>
    <t>Short-term loan proceeds</t>
  </si>
  <si>
    <t>Other Uses of Funds</t>
  </si>
  <si>
    <t>Ending Net Assets (June 30 or August 31)</t>
  </si>
  <si>
    <t>Net Change in Net Assets</t>
  </si>
  <si>
    <t>All Funds</t>
  </si>
  <si>
    <t>Fiscal Year [Insert fiscal year]</t>
  </si>
  <si>
    <t>Receipts</t>
  </si>
  <si>
    <t>Disbursements</t>
  </si>
  <si>
    <t>State Revenue (Foundation)</t>
  </si>
  <si>
    <t>CDs</t>
  </si>
  <si>
    <t xml:space="preserve">   Total Other Uses/Transfers</t>
  </si>
  <si>
    <t>Total Cash and Investments Available</t>
  </si>
  <si>
    <t>Other Uses/Transfers</t>
  </si>
  <si>
    <t>Totals</t>
  </si>
  <si>
    <t>Budget</t>
  </si>
  <si>
    <t>Original</t>
  </si>
  <si>
    <t>Explanation</t>
  </si>
  <si>
    <t>FY 2012</t>
  </si>
  <si>
    <t>FY 2013</t>
  </si>
  <si>
    <t>FY 2014</t>
  </si>
  <si>
    <t>FY 2015</t>
  </si>
  <si>
    <t>[Insert charter school name]  [Insert county-district number]</t>
  </si>
  <si>
    <t>Guidance, Social Work, and Health Services (F 31, 32, 33, 34)</t>
  </si>
  <si>
    <t>Community Services and Fund-Raising (F 61, 81)</t>
  </si>
  <si>
    <t>For charter schools with fiscal year ending August 31</t>
  </si>
  <si>
    <t>For charter school with fiscal year ending June 30</t>
  </si>
  <si>
    <t>Attachment C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</si>
</sst>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2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8"/>
      <color indexed="12"/>
      <name val="Arial"/>
      <family val="2"/>
    </font>
    <font>
      <b/>
      <sz val="18"/>
      <color indexed="10"/>
      <name val="Arial"/>
      <family val="2"/>
    </font>
    <font>
      <b/>
      <sz val="6"/>
      <color rgb="FFFF0000"/>
      <name val="Arial"/>
      <family val="2"/>
    </font>
    <font>
      <b/>
      <i/>
      <sz val="10"/>
      <color indexed="12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  <font>
      <b/>
      <sz val="14"/>
      <color rgb="FFFF0000"/>
      <name val="Calibri"/>
      <family val="2"/>
      <scheme val="minor"/>
    </font>
    <font>
      <b/>
      <sz val="14"/>
      <color indexed="12"/>
      <name val="Arial"/>
      <family val="2"/>
    </font>
    <font>
      <sz val="10"/>
      <color rgb="FF0000FF"/>
      <name val="Arial"/>
      <family val="2"/>
    </font>
    <font>
      <b/>
      <sz val="18"/>
      <color rgb="FF0000FF"/>
      <name val="Arial"/>
      <family val="2"/>
    </font>
    <font>
      <b/>
      <sz val="10"/>
      <color rgb="FF0000FF"/>
      <name val="Arial"/>
      <family val="2"/>
    </font>
    <font>
      <b/>
      <i/>
      <sz val="11"/>
      <color rgb="FF0000FF"/>
      <name val="Calibri"/>
      <family val="2"/>
      <scheme val="minor"/>
    </font>
    <font>
      <b/>
      <sz val="14"/>
      <color rgb="FFFF0000"/>
      <name val="Arial"/>
      <family val="2"/>
    </font>
    <font>
      <sz val="11"/>
      <color rgb="FFFF0000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4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5">
    <xf numFmtId="0" fontId="0" fillId="0" borderId="0"/>
    <xf numFmtId="0" fontId="4" fillId="0" borderId="0"/>
    <xf numFmtId="0" fontId="12" fillId="0" borderId="0"/>
    <xf numFmtId="43" fontId="22" fillId="0" borderId="0" applyFont="0" applyFill="0" applyBorder="0" applyAlignment="0" applyProtection="0"/>
    <xf numFmtId="44" fontId="22" fillId="0" borderId="0" applyFont="0" applyFill="0" applyBorder="0" applyAlignment="0" applyProtection="0"/>
  </cellStyleXfs>
  <cellXfs count="176">
    <xf numFmtId="0" fontId="0" fillId="0" borderId="0" xfId="0"/>
    <xf numFmtId="0" fontId="0" fillId="0" borderId="1" xfId="0" applyFill="1" applyBorder="1"/>
    <xf numFmtId="0" fontId="2" fillId="0" borderId="1" xfId="0" applyNumberFormat="1" applyFont="1" applyFill="1" applyBorder="1" applyAlignment="1" applyProtection="1"/>
    <xf numFmtId="0" fontId="1" fillId="0" borderId="0" xfId="0" applyFont="1"/>
    <xf numFmtId="0" fontId="3" fillId="0" borderId="3" xfId="0" applyNumberFormat="1" applyFont="1" applyFill="1" applyBorder="1" applyAlignment="1" applyProtection="1">
      <alignment horizontal="center"/>
    </xf>
    <xf numFmtId="0" fontId="3" fillId="0" borderId="4" xfId="0" applyNumberFormat="1" applyFont="1" applyFill="1" applyBorder="1" applyAlignment="1" applyProtection="1">
      <alignment horizontal="center" wrapText="1"/>
    </xf>
    <xf numFmtId="0" fontId="4" fillId="0" borderId="0" xfId="1" applyAlignment="1">
      <alignment horizontal="right"/>
    </xf>
    <xf numFmtId="0" fontId="4" fillId="0" borderId="0" xfId="1"/>
    <xf numFmtId="0" fontId="9" fillId="0" borderId="6" xfId="1" applyFont="1" applyBorder="1" applyAlignment="1">
      <alignment horizontal="left"/>
    </xf>
    <xf numFmtId="0" fontId="6" fillId="0" borderId="0" xfId="1" applyFont="1" applyAlignment="1">
      <alignment horizontal="right"/>
    </xf>
    <xf numFmtId="0" fontId="6" fillId="0" borderId="0" xfId="1" applyFont="1"/>
    <xf numFmtId="0" fontId="11" fillId="0" borderId="0" xfId="1" applyFont="1"/>
    <xf numFmtId="38" fontId="6" fillId="0" borderId="0" xfId="1" applyNumberFormat="1" applyFont="1"/>
    <xf numFmtId="38" fontId="4" fillId="0" borderId="0" xfId="1" applyNumberFormat="1"/>
    <xf numFmtId="38" fontId="4" fillId="0" borderId="0" xfId="1" applyNumberFormat="1" applyAlignment="1">
      <alignment horizontal="right"/>
    </xf>
    <xf numFmtId="0" fontId="5" fillId="0" borderId="0" xfId="1" applyFont="1" applyAlignment="1">
      <alignment horizontal="center"/>
    </xf>
    <xf numFmtId="0" fontId="4" fillId="0" borderId="3" xfId="1" applyBorder="1" applyAlignment="1">
      <alignment horizontal="right"/>
    </xf>
    <xf numFmtId="38" fontId="4" fillId="0" borderId="3" xfId="1" applyNumberFormat="1" applyBorder="1" applyProtection="1">
      <protection locked="0"/>
    </xf>
    <xf numFmtId="38" fontId="4" fillId="0" borderId="3" xfId="1" applyNumberFormat="1" applyBorder="1" applyAlignment="1">
      <alignment horizontal="right"/>
    </xf>
    <xf numFmtId="38" fontId="4" fillId="0" borderId="3" xfId="1" applyNumberFormat="1" applyBorder="1"/>
    <xf numFmtId="0" fontId="5" fillId="0" borderId="0" xfId="1" applyFont="1"/>
    <xf numFmtId="38" fontId="6" fillId="0" borderId="3" xfId="1" applyNumberFormat="1" applyFont="1" applyBorder="1" applyAlignment="1">
      <alignment horizontal="center"/>
    </xf>
    <xf numFmtId="38" fontId="6" fillId="0" borderId="7" xfId="1" applyNumberFormat="1" applyFont="1" applyBorder="1"/>
    <xf numFmtId="38" fontId="6" fillId="0" borderId="7" xfId="1" applyNumberFormat="1" applyFont="1" applyBorder="1" applyAlignment="1">
      <alignment horizontal="right"/>
    </xf>
    <xf numFmtId="38" fontId="6" fillId="0" borderId="0" xfId="1" applyNumberFormat="1" applyFont="1" applyBorder="1"/>
    <xf numFmtId="38" fontId="6" fillId="0" borderId="0" xfId="1" applyNumberFormat="1" applyFont="1" applyBorder="1" applyAlignment="1">
      <alignment horizontal="right"/>
    </xf>
    <xf numFmtId="38" fontId="4" fillId="0" borderId="0" xfId="1" applyNumberFormat="1" applyBorder="1" applyAlignment="1">
      <alignment horizontal="right"/>
    </xf>
    <xf numFmtId="0" fontId="6" fillId="0" borderId="0" xfId="1" applyFont="1" applyBorder="1" applyAlignment="1">
      <alignment horizontal="right"/>
    </xf>
    <xf numFmtId="3" fontId="4" fillId="0" borderId="0" xfId="1" applyNumberFormat="1"/>
    <xf numFmtId="0" fontId="4" fillId="2" borderId="0" xfId="1" applyFill="1"/>
    <xf numFmtId="0" fontId="4" fillId="2" borderId="0" xfId="1" applyFill="1" applyAlignment="1">
      <alignment horizontal="right"/>
    </xf>
    <xf numFmtId="3" fontId="4" fillId="2" borderId="0" xfId="1" applyNumberFormat="1" applyFill="1"/>
    <xf numFmtId="38" fontId="4" fillId="2" borderId="0" xfId="1" applyNumberFormat="1" applyFill="1"/>
    <xf numFmtId="0" fontId="4" fillId="0" borderId="0" xfId="1" applyFill="1"/>
    <xf numFmtId="3" fontId="6" fillId="0" borderId="0" xfId="1" applyNumberFormat="1" applyFont="1" applyProtection="1">
      <protection locked="0"/>
    </xf>
    <xf numFmtId="3" fontId="6" fillId="0" borderId="0" xfId="1" applyNumberFormat="1" applyFont="1"/>
    <xf numFmtId="3" fontId="4" fillId="0" borderId="0" xfId="1" applyNumberFormat="1" applyProtection="1">
      <protection locked="0"/>
    </xf>
    <xf numFmtId="3" fontId="4" fillId="0" borderId="3" xfId="1" applyNumberFormat="1" applyBorder="1" applyProtection="1">
      <protection locked="0"/>
    </xf>
    <xf numFmtId="3" fontId="4" fillId="0" borderId="3" xfId="1" applyNumberFormat="1" applyBorder="1"/>
    <xf numFmtId="3" fontId="4" fillId="0" borderId="0" xfId="1" applyNumberFormat="1" applyBorder="1" applyProtection="1">
      <protection locked="0"/>
    </xf>
    <xf numFmtId="0" fontId="4" fillId="0" borderId="0" xfId="1" applyBorder="1" applyAlignment="1">
      <alignment horizontal="right"/>
    </xf>
    <xf numFmtId="3" fontId="4" fillId="0" borderId="0" xfId="1" applyNumberFormat="1" applyBorder="1"/>
    <xf numFmtId="38" fontId="4" fillId="0" borderId="0" xfId="1" applyNumberFormat="1" applyBorder="1"/>
    <xf numFmtId="3" fontId="6" fillId="0" borderId="7" xfId="1" applyNumberFormat="1" applyFont="1" applyBorder="1"/>
    <xf numFmtId="0" fontId="5" fillId="0" borderId="1" xfId="1" applyFont="1" applyBorder="1" applyAlignment="1"/>
    <xf numFmtId="0" fontId="7" fillId="0" borderId="0" xfId="1" applyFont="1" applyBorder="1" applyAlignment="1">
      <alignment horizontal="right"/>
    </xf>
    <xf numFmtId="38" fontId="6" fillId="0" borderId="1" xfId="1" applyNumberFormat="1" applyFont="1" applyBorder="1" applyAlignment="1">
      <alignment horizontal="right"/>
    </xf>
    <xf numFmtId="38" fontId="4" fillId="0" borderId="1" xfId="1" applyNumberFormat="1" applyBorder="1" applyAlignment="1">
      <alignment horizontal="right"/>
    </xf>
    <xf numFmtId="38" fontId="4" fillId="0" borderId="0" xfId="1" applyNumberFormat="1" applyBorder="1" applyProtection="1">
      <protection locked="0"/>
    </xf>
    <xf numFmtId="38" fontId="4" fillId="0" borderId="4" xfId="1" applyNumberFormat="1" applyBorder="1" applyAlignment="1">
      <alignment horizontal="right"/>
    </xf>
    <xf numFmtId="0" fontId="12" fillId="0" borderId="0" xfId="2"/>
    <xf numFmtId="38" fontId="4" fillId="3" borderId="3" xfId="1" applyNumberFormat="1" applyFill="1" applyBorder="1"/>
    <xf numFmtId="38" fontId="6" fillId="3" borderId="3" xfId="1" applyNumberFormat="1" applyFont="1" applyFill="1" applyBorder="1" applyAlignment="1">
      <alignment horizontal="center"/>
    </xf>
    <xf numFmtId="38" fontId="6" fillId="3" borderId="7" xfId="1" applyNumberFormat="1" applyFont="1" applyFill="1" applyBorder="1" applyAlignment="1">
      <alignment horizontal="center"/>
    </xf>
    <xf numFmtId="38" fontId="6" fillId="3" borderId="0" xfId="1" applyNumberFormat="1" applyFont="1" applyFill="1" applyBorder="1" applyAlignment="1">
      <alignment horizontal="center"/>
    </xf>
    <xf numFmtId="38" fontId="6" fillId="3" borderId="0" xfId="1" applyNumberFormat="1" applyFont="1" applyFill="1" applyBorder="1"/>
    <xf numFmtId="0" fontId="6" fillId="0" borderId="0" xfId="1" applyFont="1" applyFill="1" applyBorder="1" applyAlignment="1">
      <alignment horizontal="right"/>
    </xf>
    <xf numFmtId="38" fontId="6" fillId="0" borderId="0" xfId="1" applyNumberFormat="1" applyFont="1" applyFill="1" applyBorder="1"/>
    <xf numFmtId="38" fontId="6" fillId="0" borderId="0" xfId="1" applyNumberFormat="1" applyFont="1" applyFill="1" applyBorder="1" applyAlignment="1">
      <alignment horizontal="right"/>
    </xf>
    <xf numFmtId="38" fontId="6" fillId="0" borderId="1" xfId="1" applyNumberFormat="1" applyFont="1" applyFill="1" applyBorder="1" applyAlignment="1">
      <alignment horizontal="right"/>
    </xf>
    <xf numFmtId="0" fontId="5" fillId="0" borderId="0" xfId="1" applyFont="1" applyBorder="1" applyAlignment="1"/>
    <xf numFmtId="38" fontId="4" fillId="3" borderId="0" xfId="1" applyNumberFormat="1" applyFill="1" applyBorder="1"/>
    <xf numFmtId="0" fontId="2" fillId="3" borderId="0" xfId="0" applyNumberFormat="1" applyFont="1" applyFill="1" applyBorder="1" applyAlignment="1" applyProtection="1"/>
    <xf numFmtId="0" fontId="3" fillId="0" borderId="5" xfId="0" applyNumberFormat="1" applyFont="1" applyFill="1" applyBorder="1" applyAlignment="1" applyProtection="1">
      <alignment horizontal="center" wrapText="1"/>
    </xf>
    <xf numFmtId="0" fontId="0" fillId="0" borderId="1" xfId="0" applyBorder="1"/>
    <xf numFmtId="0" fontId="12" fillId="0" borderId="1" xfId="2" applyBorder="1"/>
    <xf numFmtId="0" fontId="1" fillId="0" borderId="3" xfId="0" applyFont="1" applyFill="1" applyBorder="1" applyAlignment="1">
      <alignment horizontal="center"/>
    </xf>
    <xf numFmtId="0" fontId="11" fillId="0" borderId="9" xfId="1" applyFont="1" applyBorder="1"/>
    <xf numFmtId="0" fontId="11" fillId="0" borderId="10" xfId="1" applyFont="1" applyBorder="1"/>
    <xf numFmtId="0" fontId="5" fillId="0" borderId="1" xfId="1" applyFont="1" applyBorder="1"/>
    <xf numFmtId="0" fontId="11" fillId="0" borderId="0" xfId="1" applyFont="1" applyBorder="1"/>
    <xf numFmtId="0" fontId="11" fillId="0" borderId="2" xfId="1" applyFont="1" applyBorder="1"/>
    <xf numFmtId="0" fontId="12" fillId="0" borderId="0" xfId="2" applyBorder="1"/>
    <xf numFmtId="0" fontId="0" fillId="0" borderId="0" xfId="0" applyBorder="1"/>
    <xf numFmtId="0" fontId="0" fillId="0" borderId="2" xfId="0" applyBorder="1"/>
    <xf numFmtId="0" fontId="1" fillId="0" borderId="11" xfId="0" applyFont="1" applyFill="1" applyBorder="1" applyAlignment="1">
      <alignment horizontal="center" wrapText="1"/>
    </xf>
    <xf numFmtId="0" fontId="11" fillId="0" borderId="1" xfId="1" applyFont="1" applyBorder="1"/>
    <xf numFmtId="0" fontId="0" fillId="0" borderId="1" xfId="0" applyFill="1" applyBorder="1" applyAlignment="1">
      <alignment horizontal="left" indent="2"/>
    </xf>
    <xf numFmtId="0" fontId="0" fillId="0" borderId="1" xfId="0" applyFill="1" applyBorder="1" applyAlignment="1">
      <alignment horizontal="left"/>
    </xf>
    <xf numFmtId="0" fontId="18" fillId="0" borderId="1" xfId="1" applyFont="1" applyBorder="1" applyAlignment="1">
      <alignment horizontal="right"/>
    </xf>
    <xf numFmtId="0" fontId="18" fillId="0" borderId="0" xfId="1" applyFont="1" applyBorder="1" applyAlignment="1">
      <alignment horizontal="center"/>
    </xf>
    <xf numFmtId="0" fontId="18" fillId="0" borderId="0" xfId="1" applyFont="1" applyBorder="1" applyAlignment="1">
      <alignment horizontal="right"/>
    </xf>
    <xf numFmtId="0" fontId="18" fillId="0" borderId="1" xfId="1" applyFont="1" applyBorder="1" applyAlignment="1"/>
    <xf numFmtId="0" fontId="16" fillId="0" borderId="0" xfId="2" applyFont="1" applyFill="1"/>
    <xf numFmtId="0" fontId="15" fillId="0" borderId="0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5" fillId="0" borderId="1" xfId="1" applyFont="1" applyBorder="1" applyAlignment="1">
      <alignment horizontal="center"/>
    </xf>
    <xf numFmtId="0" fontId="0" fillId="0" borderId="9" xfId="0" applyBorder="1"/>
    <xf numFmtId="0" fontId="5" fillId="0" borderId="13" xfId="1" applyFont="1" applyBorder="1" applyAlignment="1">
      <alignment horizontal="center"/>
    </xf>
    <xf numFmtId="0" fontId="16" fillId="0" borderId="0" xfId="1" applyFont="1" applyFill="1" applyBorder="1"/>
    <xf numFmtId="0" fontId="16" fillId="0" borderId="2" xfId="2" applyFont="1" applyFill="1" applyBorder="1"/>
    <xf numFmtId="0" fontId="18" fillId="0" borderId="2" xfId="2" applyFont="1" applyFill="1" applyBorder="1" applyAlignment="1">
      <alignment horizontal="center"/>
    </xf>
    <xf numFmtId="0" fontId="12" fillId="0" borderId="0" xfId="2" applyBorder="1" applyAlignment="1">
      <alignment horizontal="right"/>
    </xf>
    <xf numFmtId="0" fontId="14" fillId="0" borderId="9" xfId="0" applyFont="1" applyBorder="1" applyAlignment="1"/>
    <xf numFmtId="0" fontId="4" fillId="0" borderId="9" xfId="1" applyBorder="1"/>
    <xf numFmtId="0" fontId="4" fillId="0" borderId="9" xfId="1" applyBorder="1" applyAlignment="1">
      <alignment horizontal="right"/>
    </xf>
    <xf numFmtId="14" fontId="6" fillId="0" borderId="9" xfId="1" applyNumberFormat="1" applyFont="1" applyBorder="1" applyAlignment="1">
      <alignment horizontal="center"/>
    </xf>
    <xf numFmtId="0" fontId="12" fillId="0" borderId="10" xfId="2" applyBorder="1"/>
    <xf numFmtId="0" fontId="14" fillId="0" borderId="0" xfId="0" applyFont="1" applyBorder="1" applyAlignment="1"/>
    <xf numFmtId="0" fontId="4" fillId="0" borderId="0" xfId="1" applyBorder="1"/>
    <xf numFmtId="14" fontId="6" fillId="0" borderId="0" xfId="1" applyNumberFormat="1" applyFont="1" applyBorder="1" applyAlignment="1">
      <alignment horizontal="center"/>
    </xf>
    <xf numFmtId="0" fontId="12" fillId="0" borderId="2" xfId="2" applyBorder="1"/>
    <xf numFmtId="0" fontId="6" fillId="0" borderId="0" xfId="1" applyFont="1" applyBorder="1" applyAlignment="1">
      <alignment horizontal="center"/>
    </xf>
    <xf numFmtId="0" fontId="8" fillId="0" borderId="14" xfId="1" applyFont="1" applyBorder="1" applyAlignment="1">
      <alignment horizontal="left"/>
    </xf>
    <xf numFmtId="0" fontId="10" fillId="0" borderId="0" xfId="1" applyFont="1" applyBorder="1" applyAlignment="1">
      <alignment horizontal="center" wrapText="1"/>
    </xf>
    <xf numFmtId="0" fontId="4" fillId="0" borderId="1" xfId="1" applyBorder="1"/>
    <xf numFmtId="0" fontId="7" fillId="0" borderId="0" xfId="1" applyFont="1" applyBorder="1"/>
    <xf numFmtId="38" fontId="6" fillId="0" borderId="0" xfId="1" applyNumberFormat="1" applyFont="1" applyBorder="1" applyProtection="1">
      <protection locked="0"/>
    </xf>
    <xf numFmtId="38" fontId="6" fillId="0" borderId="0" xfId="1" applyNumberFormat="1" applyFont="1" applyBorder="1" applyAlignment="1">
      <alignment horizontal="center"/>
    </xf>
    <xf numFmtId="38" fontId="6" fillId="0" borderId="0" xfId="1" applyNumberFormat="1" applyFont="1" applyBorder="1" applyAlignment="1" applyProtection="1">
      <alignment horizontal="right"/>
      <protection locked="0"/>
    </xf>
    <xf numFmtId="0" fontId="6" fillId="0" borderId="1" xfId="1" applyFont="1" applyBorder="1"/>
    <xf numFmtId="38" fontId="6" fillId="0" borderId="0" xfId="1" applyNumberFormat="1" applyFont="1" applyBorder="1" applyProtection="1"/>
    <xf numFmtId="0" fontId="6" fillId="0" borderId="1" xfId="1" applyFont="1" applyBorder="1" applyAlignment="1">
      <alignment wrapText="1"/>
    </xf>
    <xf numFmtId="0" fontId="6" fillId="0" borderId="1" xfId="1" applyFont="1" applyFill="1" applyBorder="1"/>
    <xf numFmtId="0" fontId="13" fillId="0" borderId="4" xfId="1" applyFont="1" applyBorder="1"/>
    <xf numFmtId="0" fontId="6" fillId="0" borderId="3" xfId="1" applyFont="1" applyBorder="1" applyAlignment="1">
      <alignment horizontal="right"/>
    </xf>
    <xf numFmtId="38" fontId="6" fillId="0" borderId="3" xfId="1" applyNumberFormat="1" applyFont="1" applyBorder="1"/>
    <xf numFmtId="38" fontId="6" fillId="0" borderId="3" xfId="1" applyNumberFormat="1" applyFont="1" applyBorder="1" applyAlignment="1">
      <alignment horizontal="right"/>
    </xf>
    <xf numFmtId="38" fontId="6" fillId="0" borderId="4" xfId="1" applyNumberFormat="1" applyFont="1" applyBorder="1" applyAlignment="1">
      <alignment horizontal="right"/>
    </xf>
    <xf numFmtId="38" fontId="6" fillId="3" borderId="3" xfId="1" applyNumberFormat="1" applyFont="1" applyFill="1" applyBorder="1"/>
    <xf numFmtId="0" fontId="8" fillId="0" borderId="14" xfId="1" applyFont="1" applyBorder="1" applyAlignment="1"/>
    <xf numFmtId="0" fontId="12" fillId="0" borderId="0" xfId="2" applyFill="1" applyBorder="1"/>
    <xf numFmtId="0" fontId="12" fillId="0" borderId="2" xfId="2" applyFill="1" applyBorder="1"/>
    <xf numFmtId="0" fontId="18" fillId="0" borderId="0" xfId="1" applyFont="1" applyBorder="1"/>
    <xf numFmtId="0" fontId="15" fillId="0" borderId="8" xfId="1" applyFont="1" applyBorder="1" applyAlignment="1">
      <alignment horizontal="left"/>
    </xf>
    <xf numFmtId="0" fontId="18" fillId="0" borderId="0" xfId="1" applyFont="1" applyBorder="1" applyAlignment="1">
      <alignment horizontal="center"/>
    </xf>
    <xf numFmtId="0" fontId="18" fillId="0" borderId="0" xfId="1" applyFont="1" applyFill="1" applyBorder="1" applyAlignment="1">
      <alignment horizontal="center"/>
    </xf>
    <xf numFmtId="0" fontId="19" fillId="0" borderId="1" xfId="0" applyFont="1" applyFill="1" applyBorder="1" applyAlignment="1">
      <alignment horizontal="left"/>
    </xf>
    <xf numFmtId="0" fontId="20" fillId="0" borderId="8" xfId="1" applyFont="1" applyBorder="1" applyAlignment="1">
      <alignment horizontal="left"/>
    </xf>
    <xf numFmtId="0" fontId="21" fillId="0" borderId="0" xfId="1" applyFont="1"/>
    <xf numFmtId="0" fontId="5" fillId="0" borderId="8" xfId="1" applyFont="1" applyBorder="1" applyAlignment="1">
      <alignment horizontal="center"/>
    </xf>
    <xf numFmtId="49" fontId="2" fillId="3" borderId="0" xfId="0" applyNumberFormat="1" applyFont="1" applyFill="1" applyBorder="1" applyAlignment="1" applyProtection="1">
      <alignment wrapText="1"/>
    </xf>
    <xf numFmtId="164" fontId="2" fillId="0" borderId="8" xfId="3" applyNumberFormat="1" applyFont="1" applyFill="1" applyBorder="1" applyAlignment="1" applyProtection="1"/>
    <xf numFmtId="164" fontId="2" fillId="0" borderId="9" xfId="3" applyNumberFormat="1" applyFont="1" applyFill="1" applyBorder="1" applyAlignment="1" applyProtection="1"/>
    <xf numFmtId="164" fontId="2" fillId="0" borderId="1" xfId="3" applyNumberFormat="1" applyFont="1" applyFill="1" applyBorder="1" applyAlignment="1" applyProtection="1"/>
    <xf numFmtId="164" fontId="2" fillId="0" borderId="12" xfId="3" applyNumberFormat="1" applyFont="1" applyFill="1" applyBorder="1" applyAlignment="1" applyProtection="1"/>
    <xf numFmtId="165" fontId="0" fillId="0" borderId="1" xfId="4" applyNumberFormat="1" applyFont="1" applyFill="1" applyBorder="1"/>
    <xf numFmtId="165" fontId="0" fillId="0" borderId="0" xfId="4" applyNumberFormat="1" applyFont="1" applyFill="1" applyBorder="1"/>
    <xf numFmtId="49" fontId="2" fillId="3" borderId="0" xfId="4" applyNumberFormat="1" applyFont="1" applyFill="1" applyBorder="1" applyAlignment="1" applyProtection="1">
      <alignment wrapText="1"/>
    </xf>
    <xf numFmtId="165" fontId="0" fillId="0" borderId="12" xfId="4" applyNumberFormat="1" applyFont="1" applyFill="1" applyBorder="1"/>
    <xf numFmtId="165" fontId="0" fillId="0" borderId="0" xfId="4" applyNumberFormat="1" applyFont="1" applyBorder="1"/>
    <xf numFmtId="165" fontId="2" fillId="0" borderId="1" xfId="4" applyNumberFormat="1" applyFont="1" applyFill="1" applyBorder="1" applyAlignment="1" applyProtection="1"/>
    <xf numFmtId="165" fontId="2" fillId="0" borderId="12" xfId="4" applyNumberFormat="1" applyFont="1" applyFill="1" applyBorder="1" applyAlignment="1" applyProtection="1"/>
    <xf numFmtId="165" fontId="0" fillId="0" borderId="4" xfId="4" applyNumberFormat="1" applyFont="1" applyFill="1" applyBorder="1"/>
    <xf numFmtId="165" fontId="0" fillId="0" borderId="3" xfId="4" applyNumberFormat="1" applyFont="1" applyFill="1" applyBorder="1"/>
    <xf numFmtId="49" fontId="2" fillId="3" borderId="3" xfId="0" applyNumberFormat="1" applyFont="1" applyFill="1" applyBorder="1" applyAlignment="1" applyProtection="1">
      <alignment wrapText="1"/>
    </xf>
    <xf numFmtId="165" fontId="0" fillId="0" borderId="11" xfId="4" applyNumberFormat="1" applyFont="1" applyFill="1" applyBorder="1"/>
    <xf numFmtId="49" fontId="0" fillId="3" borderId="0" xfId="0" applyNumberFormat="1" applyFill="1" applyBorder="1" applyAlignment="1">
      <alignment wrapText="1"/>
    </xf>
    <xf numFmtId="165" fontId="0" fillId="0" borderId="3" xfId="4" applyNumberFormat="1" applyFont="1" applyBorder="1"/>
    <xf numFmtId="49" fontId="0" fillId="3" borderId="3" xfId="0" applyNumberFormat="1" applyFill="1" applyBorder="1" applyAlignment="1">
      <alignment wrapText="1"/>
    </xf>
    <xf numFmtId="49" fontId="0" fillId="3" borderId="2" xfId="0" applyNumberFormat="1" applyFill="1" applyBorder="1" applyAlignment="1">
      <alignment wrapText="1"/>
    </xf>
    <xf numFmtId="165" fontId="0" fillId="0" borderId="2" xfId="4" applyNumberFormat="1" applyFont="1" applyFill="1" applyBorder="1"/>
    <xf numFmtId="165" fontId="0" fillId="0" borderId="8" xfId="4" applyNumberFormat="1" applyFont="1" applyFill="1" applyBorder="1"/>
    <xf numFmtId="49" fontId="1" fillId="3" borderId="0" xfId="0" applyNumberFormat="1" applyFont="1" applyFill="1" applyBorder="1" applyAlignment="1">
      <alignment wrapText="1"/>
    </xf>
    <xf numFmtId="165" fontId="0" fillId="0" borderId="13" xfId="4" applyNumberFormat="1" applyFont="1" applyFill="1" applyBorder="1"/>
    <xf numFmtId="165" fontId="0" fillId="0" borderId="10" xfId="4" applyNumberFormat="1" applyFont="1" applyFill="1" applyBorder="1"/>
    <xf numFmtId="0" fontId="11" fillId="0" borderId="4" xfId="1" applyFont="1" applyBorder="1"/>
    <xf numFmtId="165" fontId="2" fillId="3" borderId="0" xfId="4" applyNumberFormat="1" applyFont="1" applyFill="1" applyBorder="1" applyAlignment="1" applyProtection="1"/>
    <xf numFmtId="165" fontId="2" fillId="3" borderId="3" xfId="4" applyNumberFormat="1" applyFont="1" applyFill="1" applyBorder="1" applyAlignment="1" applyProtection="1"/>
    <xf numFmtId="165" fontId="0" fillId="3" borderId="0" xfId="4" applyNumberFormat="1" applyFont="1" applyFill="1" applyBorder="1"/>
    <xf numFmtId="164" fontId="2" fillId="3" borderId="9" xfId="3" applyNumberFormat="1" applyFont="1" applyFill="1" applyBorder="1" applyAlignment="1" applyProtection="1"/>
    <xf numFmtId="0" fontId="4" fillId="3" borderId="2" xfId="2" applyFont="1" applyFill="1" applyBorder="1"/>
    <xf numFmtId="0" fontId="4" fillId="3" borderId="5" xfId="2" applyFont="1" applyFill="1" applyBorder="1"/>
    <xf numFmtId="38" fontId="6" fillId="3" borderId="0" xfId="1" applyNumberFormat="1" applyFont="1" applyFill="1" applyBorder="1" applyAlignment="1">
      <alignment horizontal="right"/>
    </xf>
    <xf numFmtId="38" fontId="6" fillId="3" borderId="7" xfId="1" applyNumberFormat="1" applyFont="1" applyFill="1" applyBorder="1" applyAlignment="1">
      <alignment horizontal="right"/>
    </xf>
    <xf numFmtId="38" fontId="4" fillId="0" borderId="0" xfId="1" applyNumberFormat="1" applyFont="1" applyBorder="1" applyAlignment="1">
      <alignment horizontal="right"/>
    </xf>
    <xf numFmtId="0" fontId="5" fillId="0" borderId="8" xfId="1" applyFont="1" applyBorder="1" applyAlignment="1">
      <alignment horizontal="center"/>
    </xf>
    <xf numFmtId="0" fontId="5" fillId="0" borderId="9" xfId="1" applyFont="1" applyBorder="1" applyAlignment="1">
      <alignment horizontal="center"/>
    </xf>
    <xf numFmtId="0" fontId="18" fillId="0" borderId="0" xfId="1" applyFont="1" applyBorder="1" applyAlignment="1">
      <alignment horizontal="center"/>
    </xf>
    <xf numFmtId="0" fontId="18" fillId="0" borderId="2" xfId="1" applyFont="1" applyBorder="1" applyAlignment="1">
      <alignment horizontal="center"/>
    </xf>
    <xf numFmtId="0" fontId="17" fillId="0" borderId="15" xfId="2" applyFont="1" applyFill="1" applyBorder="1" applyAlignment="1">
      <alignment horizontal="center"/>
    </xf>
    <xf numFmtId="0" fontId="17" fillId="0" borderId="0" xfId="2" applyFont="1" applyFill="1" applyBorder="1" applyAlignment="1">
      <alignment horizontal="center"/>
    </xf>
    <xf numFmtId="0" fontId="17" fillId="0" borderId="2" xfId="2" applyFont="1" applyFill="1" applyBorder="1" applyAlignment="1">
      <alignment horizontal="center"/>
    </xf>
    <xf numFmtId="0" fontId="21" fillId="0" borderId="3" xfId="1" applyFont="1" applyBorder="1"/>
    <xf numFmtId="0" fontId="5" fillId="0" borderId="0" xfId="1" applyFont="1" applyBorder="1" applyAlignment="1">
      <alignment horizontal="center"/>
    </xf>
    <xf numFmtId="0" fontId="5" fillId="0" borderId="2" xfId="1" applyFont="1" applyBorder="1" applyAlignment="1">
      <alignment horizontal="center"/>
    </xf>
  </cellXfs>
  <cellStyles count="5">
    <cellStyle name="Comma" xfId="3" builtinId="3"/>
    <cellStyle name="Currency" xfId="4" builtinId="4"/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colors>
    <mruColors>
      <color rgb="FF0000FF"/>
      <color rgb="FFCCECFF"/>
      <color rgb="FFCCFFFF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7"/>
  <sheetViews>
    <sheetView tabSelected="1" zoomScale="50" zoomScaleNormal="50" workbookViewId="0"/>
  </sheetViews>
  <sheetFormatPr defaultRowHeight="14.4"/>
  <cols>
    <col min="1" max="1" width="51.5546875" customWidth="1"/>
    <col min="2" max="4" width="10.6640625" customWidth="1"/>
    <col min="5" max="5" width="30.6640625" customWidth="1"/>
    <col min="6" max="8" width="10.6640625" customWidth="1"/>
    <col min="9" max="9" width="30.6640625" customWidth="1"/>
    <col min="10" max="11" width="10.6640625" customWidth="1"/>
  </cols>
  <sheetData>
    <row r="1" spans="1:11" ht="17.399999999999999">
      <c r="A1" s="128" t="s">
        <v>111</v>
      </c>
      <c r="B1" s="67"/>
      <c r="C1" s="67"/>
      <c r="D1" s="67"/>
      <c r="E1" s="67"/>
      <c r="F1" s="67"/>
      <c r="G1" s="67"/>
      <c r="H1" s="67"/>
      <c r="I1" s="67"/>
      <c r="J1" s="67"/>
      <c r="K1" s="68"/>
    </row>
    <row r="2" spans="1:11" ht="17.399999999999999">
      <c r="A2" s="85" t="s">
        <v>82</v>
      </c>
      <c r="B2" s="70"/>
      <c r="C2" s="70"/>
      <c r="D2" s="70"/>
      <c r="E2" s="70"/>
      <c r="F2" s="70"/>
      <c r="G2" s="70"/>
      <c r="H2" s="70"/>
      <c r="I2" s="70"/>
      <c r="J2" s="70"/>
      <c r="K2" s="71"/>
    </row>
    <row r="3" spans="1:11" ht="17.399999999999999">
      <c r="A3" s="85" t="s">
        <v>106</v>
      </c>
      <c r="B3" s="70"/>
      <c r="C3" s="70"/>
      <c r="D3" s="70"/>
      <c r="E3" s="70"/>
      <c r="F3" s="70"/>
      <c r="G3" s="70"/>
      <c r="H3" s="70"/>
      <c r="I3" s="70"/>
      <c r="J3" s="70"/>
      <c r="K3" s="71"/>
    </row>
    <row r="4" spans="1:11">
      <c r="A4" s="64"/>
      <c r="B4" s="73"/>
      <c r="C4" s="73"/>
      <c r="D4" s="73"/>
      <c r="E4" s="73"/>
      <c r="F4" s="73"/>
      <c r="G4" s="73"/>
      <c r="H4" s="73"/>
      <c r="I4" s="73"/>
      <c r="J4" s="73"/>
      <c r="K4" s="74"/>
    </row>
    <row r="5" spans="1:11">
      <c r="A5" s="64"/>
      <c r="B5" s="166" t="s">
        <v>102</v>
      </c>
      <c r="C5" s="167"/>
      <c r="D5" s="167"/>
      <c r="E5" s="87"/>
      <c r="F5" s="166" t="s">
        <v>103</v>
      </c>
      <c r="G5" s="167"/>
      <c r="H5" s="130"/>
      <c r="I5" s="87"/>
      <c r="J5" s="130" t="s">
        <v>104</v>
      </c>
      <c r="K5" s="88" t="s">
        <v>105</v>
      </c>
    </row>
    <row r="6" spans="1:11" ht="43.2">
      <c r="A6" s="2"/>
      <c r="B6" s="5" t="s">
        <v>16</v>
      </c>
      <c r="C6" s="4" t="s">
        <v>17</v>
      </c>
      <c r="D6" s="66" t="s">
        <v>18</v>
      </c>
      <c r="E6" s="66" t="s">
        <v>101</v>
      </c>
      <c r="F6" s="5" t="s">
        <v>16</v>
      </c>
      <c r="G6" s="63" t="s">
        <v>19</v>
      </c>
      <c r="H6" s="4" t="s">
        <v>18</v>
      </c>
      <c r="I6" s="66" t="s">
        <v>101</v>
      </c>
      <c r="J6" s="5" t="s">
        <v>20</v>
      </c>
      <c r="K6" s="75" t="s">
        <v>20</v>
      </c>
    </row>
    <row r="7" spans="1:11">
      <c r="A7" s="76" t="s">
        <v>77</v>
      </c>
      <c r="B7" s="1"/>
      <c r="C7" s="73"/>
      <c r="D7" s="62"/>
      <c r="E7" s="131"/>
      <c r="F7" s="132"/>
      <c r="G7" s="133"/>
      <c r="H7" s="160"/>
      <c r="I7" s="131"/>
      <c r="J7" s="134"/>
      <c r="K7" s="135"/>
    </row>
    <row r="8" spans="1:11">
      <c r="A8" s="1" t="s">
        <v>22</v>
      </c>
      <c r="B8" s="136"/>
      <c r="C8" s="137"/>
      <c r="D8" s="157">
        <f>+B8-C8</f>
        <v>0</v>
      </c>
      <c r="E8" s="138"/>
      <c r="F8" s="136"/>
      <c r="G8" s="137"/>
      <c r="H8" s="157">
        <f>+F8-G8</f>
        <v>0</v>
      </c>
      <c r="I8" s="138"/>
      <c r="J8" s="139"/>
      <c r="K8" s="139"/>
    </row>
    <row r="9" spans="1:11">
      <c r="A9" s="1" t="s">
        <v>78</v>
      </c>
      <c r="B9" s="136"/>
      <c r="C9" s="140"/>
      <c r="D9" s="157">
        <f>+B9-C9</f>
        <v>0</v>
      </c>
      <c r="E9" s="131"/>
      <c r="F9" s="136"/>
      <c r="G9" s="140"/>
      <c r="H9" s="157">
        <f>+F9-G9</f>
        <v>0</v>
      </c>
      <c r="I9" s="131"/>
      <c r="J9" s="141"/>
      <c r="K9" s="142"/>
    </row>
    <row r="10" spans="1:11">
      <c r="A10" s="1" t="s">
        <v>79</v>
      </c>
      <c r="B10" s="136"/>
      <c r="C10" s="137"/>
      <c r="D10" s="157">
        <f t="shared" ref="D10:D12" si="0">+B10-C10</f>
        <v>0</v>
      </c>
      <c r="E10" s="131"/>
      <c r="F10" s="136"/>
      <c r="G10" s="137"/>
      <c r="H10" s="157">
        <f t="shared" ref="H10:H12" si="1">+F10-G10</f>
        <v>0</v>
      </c>
      <c r="I10" s="131"/>
      <c r="J10" s="136"/>
      <c r="K10" s="139"/>
    </row>
    <row r="11" spans="1:11">
      <c r="A11" s="1" t="s">
        <v>80</v>
      </c>
      <c r="B11" s="136"/>
      <c r="C11" s="137"/>
      <c r="D11" s="157">
        <f t="shared" si="0"/>
        <v>0</v>
      </c>
      <c r="E11" s="131"/>
      <c r="F11" s="136"/>
      <c r="G11" s="137"/>
      <c r="H11" s="157">
        <f t="shared" si="1"/>
        <v>0</v>
      </c>
      <c r="I11" s="131"/>
      <c r="J11" s="136"/>
      <c r="K11" s="139"/>
    </row>
    <row r="12" spans="1:11">
      <c r="A12" s="1" t="s">
        <v>0</v>
      </c>
      <c r="B12" s="143"/>
      <c r="C12" s="144"/>
      <c r="D12" s="158">
        <f t="shared" si="0"/>
        <v>0</v>
      </c>
      <c r="E12" s="145"/>
      <c r="F12" s="143"/>
      <c r="G12" s="144"/>
      <c r="H12" s="158">
        <f t="shared" si="1"/>
        <v>0</v>
      </c>
      <c r="I12" s="145"/>
      <c r="J12" s="143"/>
      <c r="K12" s="146"/>
    </row>
    <row r="13" spans="1:11">
      <c r="A13" s="76" t="s">
        <v>1</v>
      </c>
      <c r="B13" s="136">
        <f>SUM(B8:B12)</f>
        <v>0</v>
      </c>
      <c r="C13" s="137">
        <f t="shared" ref="C13:D13" si="2">SUM(C8:C12)</f>
        <v>0</v>
      </c>
      <c r="D13" s="159">
        <f t="shared" si="2"/>
        <v>0</v>
      </c>
      <c r="E13" s="131"/>
      <c r="F13" s="136">
        <f>SUM(F8:F12)</f>
        <v>0</v>
      </c>
      <c r="G13" s="137">
        <f t="shared" ref="G13:H13" si="3">SUM(G8:G12)</f>
        <v>0</v>
      </c>
      <c r="H13" s="159">
        <f t="shared" si="3"/>
        <v>0</v>
      </c>
      <c r="I13" s="131"/>
      <c r="J13" s="141">
        <f t="shared" ref="J13:K13" si="4">SUM(J8:J12)</f>
        <v>0</v>
      </c>
      <c r="K13" s="142">
        <f t="shared" si="4"/>
        <v>0</v>
      </c>
    </row>
    <row r="14" spans="1:11">
      <c r="A14" s="77"/>
      <c r="B14" s="136"/>
      <c r="C14" s="137"/>
      <c r="D14" s="157"/>
      <c r="E14" s="131"/>
      <c r="F14" s="136"/>
      <c r="G14" s="137"/>
      <c r="H14" s="157"/>
      <c r="I14" s="131"/>
      <c r="J14" s="136"/>
      <c r="K14" s="139"/>
    </row>
    <row r="15" spans="1:11">
      <c r="A15" s="76" t="s">
        <v>83</v>
      </c>
      <c r="B15" s="136"/>
      <c r="C15" s="137"/>
      <c r="D15" s="157"/>
      <c r="E15" s="131"/>
      <c r="F15" s="136"/>
      <c r="G15" s="137"/>
      <c r="H15" s="157"/>
      <c r="I15" s="131"/>
      <c r="J15" s="136"/>
      <c r="K15" s="139"/>
    </row>
    <row r="16" spans="1:11">
      <c r="A16" s="78" t="s">
        <v>4</v>
      </c>
      <c r="B16" s="136"/>
      <c r="C16" s="137"/>
      <c r="D16" s="157">
        <f t="shared" ref="D16:D27" si="5">+B16-C16</f>
        <v>0</v>
      </c>
      <c r="E16" s="131"/>
      <c r="F16" s="136"/>
      <c r="G16" s="137"/>
      <c r="H16" s="157">
        <f t="shared" ref="H16:H27" si="6">+F16-G16</f>
        <v>0</v>
      </c>
      <c r="I16" s="131"/>
      <c r="J16" s="136"/>
      <c r="K16" s="139"/>
    </row>
    <row r="17" spans="1:11">
      <c r="A17" s="78" t="s">
        <v>5</v>
      </c>
      <c r="B17" s="136"/>
      <c r="C17" s="137"/>
      <c r="D17" s="157">
        <f t="shared" si="5"/>
        <v>0</v>
      </c>
      <c r="E17" s="131"/>
      <c r="F17" s="136"/>
      <c r="G17" s="137"/>
      <c r="H17" s="157">
        <f t="shared" si="6"/>
        <v>0</v>
      </c>
      <c r="I17" s="131"/>
      <c r="J17" s="136"/>
      <c r="K17" s="139"/>
    </row>
    <row r="18" spans="1:11">
      <c r="A18" s="78" t="s">
        <v>6</v>
      </c>
      <c r="B18" s="136"/>
      <c r="C18" s="137"/>
      <c r="D18" s="157">
        <f t="shared" si="5"/>
        <v>0</v>
      </c>
      <c r="E18" s="131"/>
      <c r="F18" s="136"/>
      <c r="G18" s="137"/>
      <c r="H18" s="157">
        <f t="shared" si="6"/>
        <v>0</v>
      </c>
      <c r="I18" s="131"/>
      <c r="J18" s="136"/>
      <c r="K18" s="139"/>
    </row>
    <row r="19" spans="1:11">
      <c r="A19" s="1" t="s">
        <v>107</v>
      </c>
      <c r="B19" s="136"/>
      <c r="C19" s="137"/>
      <c r="D19" s="157">
        <f t="shared" si="5"/>
        <v>0</v>
      </c>
      <c r="E19" s="131"/>
      <c r="F19" s="136"/>
      <c r="G19" s="137"/>
      <c r="H19" s="157">
        <f t="shared" si="6"/>
        <v>0</v>
      </c>
      <c r="I19" s="131"/>
      <c r="J19" s="136"/>
      <c r="K19" s="139"/>
    </row>
    <row r="20" spans="1:11">
      <c r="A20" s="78" t="s">
        <v>8</v>
      </c>
      <c r="B20" s="136"/>
      <c r="C20" s="137"/>
      <c r="D20" s="157">
        <f t="shared" si="5"/>
        <v>0</v>
      </c>
      <c r="E20" s="131"/>
      <c r="F20" s="136"/>
      <c r="G20" s="137"/>
      <c r="H20" s="157">
        <f t="shared" si="6"/>
        <v>0</v>
      </c>
      <c r="I20" s="131"/>
      <c r="J20" s="136"/>
      <c r="K20" s="139"/>
    </row>
    <row r="21" spans="1:11">
      <c r="A21" s="78" t="s">
        <v>7</v>
      </c>
      <c r="B21" s="136"/>
      <c r="C21" s="137"/>
      <c r="D21" s="157">
        <f t="shared" si="5"/>
        <v>0</v>
      </c>
      <c r="E21" s="131"/>
      <c r="F21" s="136"/>
      <c r="G21" s="137"/>
      <c r="H21" s="157">
        <f t="shared" si="6"/>
        <v>0</v>
      </c>
      <c r="I21" s="131"/>
      <c r="J21" s="136"/>
      <c r="K21" s="139"/>
    </row>
    <row r="22" spans="1:11">
      <c r="A22" s="78" t="s">
        <v>9</v>
      </c>
      <c r="B22" s="136"/>
      <c r="C22" s="137"/>
      <c r="D22" s="157">
        <f t="shared" si="5"/>
        <v>0</v>
      </c>
      <c r="E22" s="131"/>
      <c r="F22" s="136"/>
      <c r="G22" s="137"/>
      <c r="H22" s="157">
        <f t="shared" si="6"/>
        <v>0</v>
      </c>
      <c r="I22" s="131"/>
      <c r="J22" s="136"/>
      <c r="K22" s="139"/>
    </row>
    <row r="23" spans="1:11">
      <c r="A23" s="78" t="s">
        <v>81</v>
      </c>
      <c r="B23" s="136"/>
      <c r="C23" s="137"/>
      <c r="D23" s="157">
        <f t="shared" si="5"/>
        <v>0</v>
      </c>
      <c r="E23" s="131"/>
      <c r="F23" s="136"/>
      <c r="G23" s="137"/>
      <c r="H23" s="157">
        <f t="shared" si="6"/>
        <v>0</v>
      </c>
      <c r="I23" s="131"/>
      <c r="J23" s="136"/>
      <c r="K23" s="139"/>
    </row>
    <row r="24" spans="1:11">
      <c r="A24" s="78" t="s">
        <v>10</v>
      </c>
      <c r="B24" s="136"/>
      <c r="C24" s="140"/>
      <c r="D24" s="157">
        <f t="shared" si="5"/>
        <v>0</v>
      </c>
      <c r="E24" s="147"/>
      <c r="F24" s="136"/>
      <c r="G24" s="137"/>
      <c r="H24" s="157">
        <f t="shared" si="6"/>
        <v>0</v>
      </c>
      <c r="I24" s="147"/>
      <c r="J24" s="136"/>
      <c r="K24" s="139"/>
    </row>
    <row r="25" spans="1:11">
      <c r="A25" s="78" t="s">
        <v>11</v>
      </c>
      <c r="B25" s="136"/>
      <c r="C25" s="140"/>
      <c r="D25" s="157">
        <f t="shared" si="5"/>
        <v>0</v>
      </c>
      <c r="E25" s="147"/>
      <c r="F25" s="136"/>
      <c r="G25" s="137"/>
      <c r="H25" s="157">
        <f t="shared" si="6"/>
        <v>0</v>
      </c>
      <c r="I25" s="147"/>
      <c r="J25" s="136"/>
      <c r="K25" s="139"/>
    </row>
    <row r="26" spans="1:11">
      <c r="A26" s="78" t="s">
        <v>108</v>
      </c>
      <c r="B26" s="136"/>
      <c r="C26" s="140"/>
      <c r="D26" s="157">
        <f t="shared" si="5"/>
        <v>0</v>
      </c>
      <c r="E26" s="147"/>
      <c r="F26" s="136"/>
      <c r="G26" s="137"/>
      <c r="H26" s="157">
        <f t="shared" si="6"/>
        <v>0</v>
      </c>
      <c r="I26" s="147"/>
      <c r="J26" s="136"/>
      <c r="K26" s="139"/>
    </row>
    <row r="27" spans="1:11">
      <c r="A27" s="78" t="s">
        <v>12</v>
      </c>
      <c r="B27" s="143"/>
      <c r="C27" s="148"/>
      <c r="D27" s="158">
        <f t="shared" si="5"/>
        <v>0</v>
      </c>
      <c r="E27" s="149"/>
      <c r="F27" s="143"/>
      <c r="G27" s="144"/>
      <c r="H27" s="158">
        <f t="shared" si="6"/>
        <v>0</v>
      </c>
      <c r="I27" s="149"/>
      <c r="J27" s="143"/>
      <c r="K27" s="146"/>
    </row>
    <row r="28" spans="1:11">
      <c r="A28" s="76" t="s">
        <v>23</v>
      </c>
      <c r="B28" s="136"/>
      <c r="C28" s="137"/>
      <c r="D28" s="159">
        <f t="shared" ref="D28" si="7">SUM(D16:D27)</f>
        <v>0</v>
      </c>
      <c r="E28" s="147"/>
      <c r="F28" s="136">
        <f>SUM(F16:F27)</f>
        <v>0</v>
      </c>
      <c r="G28" s="137">
        <f t="shared" ref="G28:H28" si="8">SUM(G16:G27)</f>
        <v>0</v>
      </c>
      <c r="H28" s="159">
        <f t="shared" si="8"/>
        <v>0</v>
      </c>
      <c r="I28" s="147"/>
      <c r="J28" s="141">
        <f t="shared" ref="J28:K28" si="9">SUM(J16:J27)</f>
        <v>0</v>
      </c>
      <c r="K28" s="142">
        <f t="shared" si="9"/>
        <v>0</v>
      </c>
    </row>
    <row r="29" spans="1:11">
      <c r="A29" s="77"/>
      <c r="B29" s="136"/>
      <c r="C29" s="140"/>
      <c r="D29" s="159"/>
      <c r="E29" s="147"/>
      <c r="F29" s="136"/>
      <c r="G29" s="137"/>
      <c r="H29" s="159"/>
      <c r="I29" s="150"/>
      <c r="J29" s="136"/>
      <c r="K29" s="139"/>
    </row>
    <row r="30" spans="1:11">
      <c r="A30" s="76" t="s">
        <v>24</v>
      </c>
      <c r="B30" s="136"/>
      <c r="C30" s="137"/>
      <c r="D30" s="159">
        <f t="shared" ref="D30" si="10">+D13-D28</f>
        <v>0</v>
      </c>
      <c r="E30" s="147"/>
      <c r="F30" s="136">
        <f>+F13-F28</f>
        <v>0</v>
      </c>
      <c r="G30" s="137">
        <f t="shared" ref="G30:K30" si="11">+G13-G28</f>
        <v>0</v>
      </c>
      <c r="H30" s="159">
        <f t="shared" si="11"/>
        <v>0</v>
      </c>
      <c r="I30" s="147"/>
      <c r="J30" s="139">
        <f t="shared" si="11"/>
        <v>0</v>
      </c>
      <c r="K30" s="151">
        <f t="shared" si="11"/>
        <v>0</v>
      </c>
    </row>
    <row r="31" spans="1:11">
      <c r="A31" s="77"/>
      <c r="B31" s="136"/>
      <c r="C31" s="140"/>
      <c r="D31" s="159"/>
      <c r="E31" s="147"/>
      <c r="F31" s="136"/>
      <c r="G31" s="137"/>
      <c r="H31" s="159"/>
      <c r="I31" s="147"/>
      <c r="J31" s="136"/>
      <c r="K31" s="139"/>
    </row>
    <row r="32" spans="1:11" s="3" customFormat="1">
      <c r="A32" s="76" t="s">
        <v>84</v>
      </c>
      <c r="B32" s="136"/>
      <c r="C32" s="140"/>
      <c r="D32" s="159"/>
      <c r="E32" s="147"/>
      <c r="F32" s="136"/>
      <c r="G32" s="137"/>
      <c r="H32" s="159"/>
      <c r="I32" s="147"/>
      <c r="J32" s="136"/>
      <c r="K32" s="139"/>
    </row>
    <row r="33" spans="1:11">
      <c r="A33" s="78" t="s">
        <v>21</v>
      </c>
      <c r="B33" s="136"/>
      <c r="C33" s="140"/>
      <c r="D33" s="157">
        <f t="shared" ref="D33:D35" si="12">+B33-C33</f>
        <v>0</v>
      </c>
      <c r="E33" s="147"/>
      <c r="F33" s="136"/>
      <c r="G33" s="137"/>
      <c r="H33" s="157">
        <f t="shared" ref="H33:H35" si="13">+F33-G33</f>
        <v>0</v>
      </c>
      <c r="I33" s="147"/>
      <c r="J33" s="136"/>
      <c r="K33" s="139"/>
    </row>
    <row r="34" spans="1:11">
      <c r="A34" s="78" t="s">
        <v>85</v>
      </c>
      <c r="B34" s="136"/>
      <c r="C34" s="140"/>
      <c r="D34" s="157">
        <f t="shared" si="12"/>
        <v>0</v>
      </c>
      <c r="E34" s="147"/>
      <c r="F34" s="136"/>
      <c r="G34" s="137"/>
      <c r="H34" s="157">
        <f t="shared" si="13"/>
        <v>0</v>
      </c>
      <c r="I34" s="147"/>
      <c r="J34" s="136"/>
      <c r="K34" s="139"/>
    </row>
    <row r="35" spans="1:11">
      <c r="A35" s="78" t="s">
        <v>13</v>
      </c>
      <c r="B35" s="143"/>
      <c r="C35" s="148"/>
      <c r="D35" s="158">
        <f t="shared" si="12"/>
        <v>0</v>
      </c>
      <c r="E35" s="149"/>
      <c r="F35" s="143"/>
      <c r="G35" s="144"/>
      <c r="H35" s="158">
        <f t="shared" si="13"/>
        <v>0</v>
      </c>
      <c r="I35" s="149"/>
      <c r="J35" s="143"/>
      <c r="K35" s="146"/>
    </row>
    <row r="36" spans="1:11">
      <c r="A36" s="76" t="s">
        <v>14</v>
      </c>
      <c r="B36" s="152">
        <f t="shared" ref="B36:D36" si="14">SUM(B33:B35)</f>
        <v>0</v>
      </c>
      <c r="C36" s="137">
        <f t="shared" si="14"/>
        <v>0</v>
      </c>
      <c r="D36" s="159">
        <f t="shared" si="14"/>
        <v>0</v>
      </c>
      <c r="E36" s="153"/>
      <c r="F36" s="152">
        <f t="shared" ref="F36:H36" si="15">SUM(F33:F35)</f>
        <v>0</v>
      </c>
      <c r="G36" s="137">
        <f t="shared" si="15"/>
        <v>0</v>
      </c>
      <c r="H36" s="159">
        <f t="shared" si="15"/>
        <v>0</v>
      </c>
      <c r="I36" s="153"/>
      <c r="J36" s="154">
        <f t="shared" ref="J36:K36" si="16">SUM(J33:J35)</f>
        <v>0</v>
      </c>
      <c r="K36" s="155">
        <f t="shared" si="16"/>
        <v>0</v>
      </c>
    </row>
    <row r="37" spans="1:11">
      <c r="A37" s="64"/>
      <c r="B37" s="136"/>
      <c r="C37" s="140"/>
      <c r="D37" s="159"/>
      <c r="E37" s="147"/>
      <c r="F37" s="136"/>
      <c r="G37" s="137"/>
      <c r="H37" s="159"/>
      <c r="I37" s="147"/>
      <c r="J37" s="136"/>
      <c r="K37" s="139"/>
    </row>
    <row r="38" spans="1:11">
      <c r="A38" s="127" t="s">
        <v>86</v>
      </c>
      <c r="B38" s="136"/>
      <c r="C38" s="140"/>
      <c r="D38" s="159"/>
      <c r="E38" s="147"/>
      <c r="F38" s="136"/>
      <c r="G38" s="137"/>
      <c r="H38" s="159"/>
      <c r="I38" s="147"/>
      <c r="J38" s="136"/>
      <c r="K38" s="139"/>
    </row>
    <row r="39" spans="1:11">
      <c r="A39" s="78" t="s">
        <v>25</v>
      </c>
      <c r="B39" s="136"/>
      <c r="C39" s="140"/>
      <c r="D39" s="157">
        <f t="shared" ref="D39:D41" si="17">+B39-C39</f>
        <v>0</v>
      </c>
      <c r="E39" s="147"/>
      <c r="F39" s="136"/>
      <c r="G39" s="137"/>
      <c r="H39" s="157">
        <f t="shared" ref="H39:H41" si="18">+F39-G39</f>
        <v>0</v>
      </c>
      <c r="I39" s="147"/>
      <c r="J39" s="136"/>
      <c r="K39" s="139"/>
    </row>
    <row r="40" spans="1:11">
      <c r="A40" s="78" t="s">
        <v>25</v>
      </c>
      <c r="B40" s="136"/>
      <c r="C40" s="140"/>
      <c r="D40" s="157">
        <f t="shared" si="17"/>
        <v>0</v>
      </c>
      <c r="E40" s="147"/>
      <c r="F40" s="136"/>
      <c r="G40" s="137"/>
      <c r="H40" s="157">
        <f t="shared" si="18"/>
        <v>0</v>
      </c>
      <c r="I40" s="147"/>
      <c r="J40" s="136"/>
      <c r="K40" s="139"/>
    </row>
    <row r="41" spans="1:11">
      <c r="A41" s="78" t="s">
        <v>25</v>
      </c>
      <c r="B41" s="143"/>
      <c r="C41" s="148"/>
      <c r="D41" s="158">
        <f t="shared" si="17"/>
        <v>0</v>
      </c>
      <c r="E41" s="149"/>
      <c r="F41" s="143"/>
      <c r="G41" s="144"/>
      <c r="H41" s="158">
        <f t="shared" si="18"/>
        <v>0</v>
      </c>
      <c r="I41" s="149"/>
      <c r="J41" s="143"/>
      <c r="K41" s="146"/>
    </row>
    <row r="42" spans="1:11">
      <c r="A42" s="76" t="s">
        <v>15</v>
      </c>
      <c r="B42" s="152">
        <f t="shared" ref="B42:D42" si="19">SUM(B39:B41)</f>
        <v>0</v>
      </c>
      <c r="C42" s="137">
        <f t="shared" si="19"/>
        <v>0</v>
      </c>
      <c r="D42" s="159">
        <f t="shared" si="19"/>
        <v>0</v>
      </c>
      <c r="E42" s="153"/>
      <c r="F42" s="152">
        <f t="shared" ref="F42:H42" si="20">SUM(F39:F41)</f>
        <v>0</v>
      </c>
      <c r="G42" s="137">
        <f t="shared" si="20"/>
        <v>0</v>
      </c>
      <c r="H42" s="159">
        <f t="shared" si="20"/>
        <v>0</v>
      </c>
      <c r="I42" s="153"/>
      <c r="J42" s="154">
        <f t="shared" ref="J42:K42" si="21">SUM(J39:J41)</f>
        <v>0</v>
      </c>
      <c r="K42" s="155">
        <f t="shared" si="21"/>
        <v>0</v>
      </c>
    </row>
    <row r="43" spans="1:11">
      <c r="A43" s="64"/>
      <c r="B43" s="136"/>
      <c r="C43" s="140"/>
      <c r="D43" s="159"/>
      <c r="E43" s="147"/>
      <c r="F43" s="136"/>
      <c r="G43" s="137"/>
      <c r="H43" s="159"/>
      <c r="I43" s="147"/>
      <c r="J43" s="136"/>
      <c r="K43" s="139"/>
    </row>
    <row r="44" spans="1:11">
      <c r="A44" s="76" t="s">
        <v>88</v>
      </c>
      <c r="B44" s="136">
        <f>+B30+B36-B42</f>
        <v>0</v>
      </c>
      <c r="C44" s="137">
        <f t="shared" ref="C44" si="22">+C30+C36-C42</f>
        <v>0</v>
      </c>
      <c r="D44" s="159">
        <f>B44-C44</f>
        <v>0</v>
      </c>
      <c r="E44" s="147"/>
      <c r="F44" s="136">
        <f>+F30+F36-F42</f>
        <v>0</v>
      </c>
      <c r="G44" s="137">
        <f t="shared" ref="G44" si="23">+G30+G36-G42</f>
        <v>0</v>
      </c>
      <c r="H44" s="159">
        <f>F44-G44</f>
        <v>0</v>
      </c>
      <c r="I44" s="147"/>
      <c r="J44" s="136">
        <f>+J30+J36-J42</f>
        <v>0</v>
      </c>
      <c r="K44" s="139">
        <f t="shared" ref="K44" si="24">+K30+K36-K42</f>
        <v>0</v>
      </c>
    </row>
    <row r="45" spans="1:11">
      <c r="A45" s="64"/>
      <c r="B45" s="136"/>
      <c r="C45" s="140"/>
      <c r="D45" s="159"/>
      <c r="E45" s="147"/>
      <c r="F45" s="136"/>
      <c r="G45" s="137"/>
      <c r="H45" s="159"/>
      <c r="I45" s="147"/>
      <c r="J45" s="136"/>
      <c r="K45" s="139"/>
    </row>
    <row r="46" spans="1:11">
      <c r="A46" s="76" t="s">
        <v>26</v>
      </c>
      <c r="B46" s="136"/>
      <c r="C46" s="140"/>
      <c r="D46" s="157">
        <f t="shared" ref="D46:D47" si="25">+B46-C46</f>
        <v>0</v>
      </c>
      <c r="E46" s="147"/>
      <c r="F46" s="136"/>
      <c r="G46" s="137"/>
      <c r="H46" s="157">
        <f t="shared" ref="H46:H47" si="26">+F46-G46</f>
        <v>0</v>
      </c>
      <c r="I46" s="147"/>
      <c r="J46" s="136"/>
      <c r="K46" s="139"/>
    </row>
    <row r="47" spans="1:11">
      <c r="A47" s="156" t="s">
        <v>87</v>
      </c>
      <c r="B47" s="143"/>
      <c r="C47" s="148"/>
      <c r="D47" s="158">
        <f t="shared" si="25"/>
        <v>0</v>
      </c>
      <c r="E47" s="149"/>
      <c r="F47" s="143"/>
      <c r="G47" s="144"/>
      <c r="H47" s="158">
        <f t="shared" si="26"/>
        <v>0</v>
      </c>
      <c r="I47" s="149"/>
      <c r="J47" s="143"/>
      <c r="K47" s="146"/>
    </row>
  </sheetData>
  <mergeCells count="2">
    <mergeCell ref="B5:D5"/>
    <mergeCell ref="F5:G5"/>
  </mergeCells>
  <printOptions horizontalCentered="1" verticalCentered="1" gridLines="1"/>
  <pageMargins left="0.2" right="0.2" top="0.75" bottom="0.5" header="0.3" footer="0.3"/>
  <pageSetup scale="67" orientation="landscape" r:id="rId1"/>
  <headerFooter>
    <oddHeader>&amp;CBudget (Charter School)</oddHeader>
    <oddFooter xml:space="preserve">&amp;C&amp;P&amp;R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5"/>
  <sheetViews>
    <sheetView zoomScale="50" zoomScaleNormal="50" workbookViewId="0">
      <pane xSplit="2" ySplit="7" topLeftCell="C8" activePane="bottomRight" state="frozen"/>
      <selection activeCell="B40" sqref="B40"/>
      <selection pane="topRight" activeCell="B40" sqref="B40"/>
      <selection pane="bottomLeft" activeCell="B40" sqref="B40"/>
      <selection pane="bottomRight" sqref="A1:AF46"/>
    </sheetView>
  </sheetViews>
  <sheetFormatPr defaultRowHeight="13.2"/>
  <cols>
    <col min="1" max="1" width="27.109375" style="7" customWidth="1"/>
    <col min="2" max="2" width="2.6640625" style="6" customWidth="1"/>
    <col min="3" max="3" width="11.6640625" style="7" customWidth="1"/>
    <col min="4" max="4" width="2.5546875" style="6" customWidth="1"/>
    <col min="5" max="5" width="11.6640625" style="7" customWidth="1"/>
    <col min="6" max="6" width="2.5546875" style="6" customWidth="1"/>
    <col min="7" max="7" width="11.6640625" style="7" customWidth="1"/>
    <col min="8" max="8" width="2.5546875" style="6" customWidth="1"/>
    <col min="9" max="9" width="11.6640625" style="7" customWidth="1"/>
    <col min="10" max="10" width="2.5546875" style="6" customWidth="1"/>
    <col min="11" max="11" width="11.6640625" style="7" customWidth="1"/>
    <col min="12" max="12" width="2.5546875" style="6" customWidth="1"/>
    <col min="13" max="13" width="11.6640625" style="7" customWidth="1"/>
    <col min="14" max="14" width="2.5546875" style="6" customWidth="1"/>
    <col min="15" max="15" width="11.6640625" style="7" customWidth="1"/>
    <col min="16" max="16" width="2.5546875" style="6" customWidth="1"/>
    <col min="17" max="17" width="11.6640625" style="7" customWidth="1"/>
    <col min="18" max="18" width="2.5546875" style="6" customWidth="1"/>
    <col min="19" max="19" width="11.6640625" style="7" customWidth="1"/>
    <col min="20" max="20" width="2.5546875" style="6" customWidth="1"/>
    <col min="21" max="21" width="11.6640625" style="7" customWidth="1"/>
    <col min="22" max="22" width="2.5546875" style="6" customWidth="1"/>
    <col min="23" max="23" width="11.6640625" style="7" customWidth="1"/>
    <col min="24" max="24" width="2.5546875" style="6" customWidth="1"/>
    <col min="25" max="25" width="11.6640625" style="7" customWidth="1"/>
    <col min="26" max="26" width="2.6640625" style="6" customWidth="1"/>
    <col min="27" max="27" width="13.5546875" style="7" customWidth="1"/>
    <col min="28" max="28" width="2.5546875" style="6" customWidth="1"/>
    <col min="29" max="29" width="13.6640625" style="7" customWidth="1"/>
    <col min="30" max="30" width="2.5546875" style="7" customWidth="1"/>
    <col min="31" max="31" width="13.44140625" style="7" customWidth="1"/>
    <col min="32" max="32" width="33.6640625" style="50" customWidth="1"/>
    <col min="33" max="256" width="9.109375" style="7"/>
    <col min="257" max="257" width="4" style="7" customWidth="1"/>
    <col min="258" max="258" width="39.6640625" style="7" customWidth="1"/>
    <col min="259" max="259" width="2.5546875" style="7" customWidth="1"/>
    <col min="260" max="260" width="11.6640625" style="7" customWidth="1"/>
    <col min="261" max="261" width="2.5546875" style="7" customWidth="1"/>
    <col min="262" max="262" width="11.6640625" style="7" customWidth="1"/>
    <col min="263" max="263" width="2.5546875" style="7" customWidth="1"/>
    <col min="264" max="264" width="11.6640625" style="7" customWidth="1"/>
    <col min="265" max="265" width="2.5546875" style="7" customWidth="1"/>
    <col min="266" max="266" width="11.6640625" style="7" customWidth="1"/>
    <col min="267" max="267" width="2.5546875" style="7" customWidth="1"/>
    <col min="268" max="268" width="11.6640625" style="7" customWidth="1"/>
    <col min="269" max="269" width="2.5546875" style="7" customWidth="1"/>
    <col min="270" max="270" width="11.6640625" style="7" customWidth="1"/>
    <col min="271" max="271" width="2.5546875" style="7" customWidth="1"/>
    <col min="272" max="272" width="11.6640625" style="7" customWidth="1"/>
    <col min="273" max="273" width="2.5546875" style="7" customWidth="1"/>
    <col min="274" max="274" width="11.6640625" style="7" customWidth="1"/>
    <col min="275" max="275" width="2.5546875" style="7" customWidth="1"/>
    <col min="276" max="276" width="11.6640625" style="7" customWidth="1"/>
    <col min="277" max="277" width="2.5546875" style="7" customWidth="1"/>
    <col min="278" max="278" width="11.6640625" style="7" customWidth="1"/>
    <col min="279" max="279" width="2.5546875" style="7" customWidth="1"/>
    <col min="280" max="280" width="11.6640625" style="7" customWidth="1"/>
    <col min="281" max="281" width="2.5546875" style="7" customWidth="1"/>
    <col min="282" max="282" width="11.6640625" style="7" customWidth="1"/>
    <col min="283" max="283" width="2.6640625" style="7" customWidth="1"/>
    <col min="284" max="284" width="13.5546875" style="7" customWidth="1"/>
    <col min="285" max="285" width="2.5546875" style="7" customWidth="1"/>
    <col min="286" max="286" width="13.6640625" style="7" customWidth="1"/>
    <col min="287" max="287" width="2.5546875" style="7" customWidth="1"/>
    <col min="288" max="288" width="13.44140625" style="7" customWidth="1"/>
    <col min="289" max="512" width="9.109375" style="7"/>
    <col min="513" max="513" width="4" style="7" customWidth="1"/>
    <col min="514" max="514" width="39.6640625" style="7" customWidth="1"/>
    <col min="515" max="515" width="2.5546875" style="7" customWidth="1"/>
    <col min="516" max="516" width="11.6640625" style="7" customWidth="1"/>
    <col min="517" max="517" width="2.5546875" style="7" customWidth="1"/>
    <col min="518" max="518" width="11.6640625" style="7" customWidth="1"/>
    <col min="519" max="519" width="2.5546875" style="7" customWidth="1"/>
    <col min="520" max="520" width="11.6640625" style="7" customWidth="1"/>
    <col min="521" max="521" width="2.5546875" style="7" customWidth="1"/>
    <col min="522" max="522" width="11.6640625" style="7" customWidth="1"/>
    <col min="523" max="523" width="2.5546875" style="7" customWidth="1"/>
    <col min="524" max="524" width="11.6640625" style="7" customWidth="1"/>
    <col min="525" max="525" width="2.5546875" style="7" customWidth="1"/>
    <col min="526" max="526" width="11.6640625" style="7" customWidth="1"/>
    <col min="527" max="527" width="2.5546875" style="7" customWidth="1"/>
    <col min="528" max="528" width="11.6640625" style="7" customWidth="1"/>
    <col min="529" max="529" width="2.5546875" style="7" customWidth="1"/>
    <col min="530" max="530" width="11.6640625" style="7" customWidth="1"/>
    <col min="531" max="531" width="2.5546875" style="7" customWidth="1"/>
    <col min="532" max="532" width="11.6640625" style="7" customWidth="1"/>
    <col min="533" max="533" width="2.5546875" style="7" customWidth="1"/>
    <col min="534" max="534" width="11.6640625" style="7" customWidth="1"/>
    <col min="535" max="535" width="2.5546875" style="7" customWidth="1"/>
    <col min="536" max="536" width="11.6640625" style="7" customWidth="1"/>
    <col min="537" max="537" width="2.5546875" style="7" customWidth="1"/>
    <col min="538" max="538" width="11.6640625" style="7" customWidth="1"/>
    <col min="539" max="539" width="2.6640625" style="7" customWidth="1"/>
    <col min="540" max="540" width="13.5546875" style="7" customWidth="1"/>
    <col min="541" max="541" width="2.5546875" style="7" customWidth="1"/>
    <col min="542" max="542" width="13.6640625" style="7" customWidth="1"/>
    <col min="543" max="543" width="2.5546875" style="7" customWidth="1"/>
    <col min="544" max="544" width="13.44140625" style="7" customWidth="1"/>
    <col min="545" max="768" width="9.109375" style="7"/>
    <col min="769" max="769" width="4" style="7" customWidth="1"/>
    <col min="770" max="770" width="39.6640625" style="7" customWidth="1"/>
    <col min="771" max="771" width="2.5546875" style="7" customWidth="1"/>
    <col min="772" max="772" width="11.6640625" style="7" customWidth="1"/>
    <col min="773" max="773" width="2.5546875" style="7" customWidth="1"/>
    <col min="774" max="774" width="11.6640625" style="7" customWidth="1"/>
    <col min="775" max="775" width="2.5546875" style="7" customWidth="1"/>
    <col min="776" max="776" width="11.6640625" style="7" customWidth="1"/>
    <col min="777" max="777" width="2.5546875" style="7" customWidth="1"/>
    <col min="778" max="778" width="11.6640625" style="7" customWidth="1"/>
    <col min="779" max="779" width="2.5546875" style="7" customWidth="1"/>
    <col min="780" max="780" width="11.6640625" style="7" customWidth="1"/>
    <col min="781" max="781" width="2.5546875" style="7" customWidth="1"/>
    <col min="782" max="782" width="11.6640625" style="7" customWidth="1"/>
    <col min="783" max="783" width="2.5546875" style="7" customWidth="1"/>
    <col min="784" max="784" width="11.6640625" style="7" customWidth="1"/>
    <col min="785" max="785" width="2.5546875" style="7" customWidth="1"/>
    <col min="786" max="786" width="11.6640625" style="7" customWidth="1"/>
    <col min="787" max="787" width="2.5546875" style="7" customWidth="1"/>
    <col min="788" max="788" width="11.6640625" style="7" customWidth="1"/>
    <col min="789" max="789" width="2.5546875" style="7" customWidth="1"/>
    <col min="790" max="790" width="11.6640625" style="7" customWidth="1"/>
    <col min="791" max="791" width="2.5546875" style="7" customWidth="1"/>
    <col min="792" max="792" width="11.6640625" style="7" customWidth="1"/>
    <col min="793" max="793" width="2.5546875" style="7" customWidth="1"/>
    <col min="794" max="794" width="11.6640625" style="7" customWidth="1"/>
    <col min="795" max="795" width="2.6640625" style="7" customWidth="1"/>
    <col min="796" max="796" width="13.5546875" style="7" customWidth="1"/>
    <col min="797" max="797" width="2.5546875" style="7" customWidth="1"/>
    <col min="798" max="798" width="13.6640625" style="7" customWidth="1"/>
    <col min="799" max="799" width="2.5546875" style="7" customWidth="1"/>
    <col min="800" max="800" width="13.44140625" style="7" customWidth="1"/>
    <col min="801" max="1024" width="9.109375" style="7"/>
    <col min="1025" max="1025" width="4" style="7" customWidth="1"/>
    <col min="1026" max="1026" width="39.6640625" style="7" customWidth="1"/>
    <col min="1027" max="1027" width="2.5546875" style="7" customWidth="1"/>
    <col min="1028" max="1028" width="11.6640625" style="7" customWidth="1"/>
    <col min="1029" max="1029" width="2.5546875" style="7" customWidth="1"/>
    <col min="1030" max="1030" width="11.6640625" style="7" customWidth="1"/>
    <col min="1031" max="1031" width="2.5546875" style="7" customWidth="1"/>
    <col min="1032" max="1032" width="11.6640625" style="7" customWidth="1"/>
    <col min="1033" max="1033" width="2.5546875" style="7" customWidth="1"/>
    <col min="1034" max="1034" width="11.6640625" style="7" customWidth="1"/>
    <col min="1035" max="1035" width="2.5546875" style="7" customWidth="1"/>
    <col min="1036" max="1036" width="11.6640625" style="7" customWidth="1"/>
    <col min="1037" max="1037" width="2.5546875" style="7" customWidth="1"/>
    <col min="1038" max="1038" width="11.6640625" style="7" customWidth="1"/>
    <col min="1039" max="1039" width="2.5546875" style="7" customWidth="1"/>
    <col min="1040" max="1040" width="11.6640625" style="7" customWidth="1"/>
    <col min="1041" max="1041" width="2.5546875" style="7" customWidth="1"/>
    <col min="1042" max="1042" width="11.6640625" style="7" customWidth="1"/>
    <col min="1043" max="1043" width="2.5546875" style="7" customWidth="1"/>
    <col min="1044" max="1044" width="11.6640625" style="7" customWidth="1"/>
    <col min="1045" max="1045" width="2.5546875" style="7" customWidth="1"/>
    <col min="1046" max="1046" width="11.6640625" style="7" customWidth="1"/>
    <col min="1047" max="1047" width="2.5546875" style="7" customWidth="1"/>
    <col min="1048" max="1048" width="11.6640625" style="7" customWidth="1"/>
    <col min="1049" max="1049" width="2.5546875" style="7" customWidth="1"/>
    <col min="1050" max="1050" width="11.6640625" style="7" customWidth="1"/>
    <col min="1051" max="1051" width="2.6640625" style="7" customWidth="1"/>
    <col min="1052" max="1052" width="13.5546875" style="7" customWidth="1"/>
    <col min="1053" max="1053" width="2.5546875" style="7" customWidth="1"/>
    <col min="1054" max="1054" width="13.6640625" style="7" customWidth="1"/>
    <col min="1055" max="1055" width="2.5546875" style="7" customWidth="1"/>
    <col min="1056" max="1056" width="13.44140625" style="7" customWidth="1"/>
    <col min="1057" max="1280" width="9.109375" style="7"/>
    <col min="1281" max="1281" width="4" style="7" customWidth="1"/>
    <col min="1282" max="1282" width="39.6640625" style="7" customWidth="1"/>
    <col min="1283" max="1283" width="2.5546875" style="7" customWidth="1"/>
    <col min="1284" max="1284" width="11.6640625" style="7" customWidth="1"/>
    <col min="1285" max="1285" width="2.5546875" style="7" customWidth="1"/>
    <col min="1286" max="1286" width="11.6640625" style="7" customWidth="1"/>
    <col min="1287" max="1287" width="2.5546875" style="7" customWidth="1"/>
    <col min="1288" max="1288" width="11.6640625" style="7" customWidth="1"/>
    <col min="1289" max="1289" width="2.5546875" style="7" customWidth="1"/>
    <col min="1290" max="1290" width="11.6640625" style="7" customWidth="1"/>
    <col min="1291" max="1291" width="2.5546875" style="7" customWidth="1"/>
    <col min="1292" max="1292" width="11.6640625" style="7" customWidth="1"/>
    <col min="1293" max="1293" width="2.5546875" style="7" customWidth="1"/>
    <col min="1294" max="1294" width="11.6640625" style="7" customWidth="1"/>
    <col min="1295" max="1295" width="2.5546875" style="7" customWidth="1"/>
    <col min="1296" max="1296" width="11.6640625" style="7" customWidth="1"/>
    <col min="1297" max="1297" width="2.5546875" style="7" customWidth="1"/>
    <col min="1298" max="1298" width="11.6640625" style="7" customWidth="1"/>
    <col min="1299" max="1299" width="2.5546875" style="7" customWidth="1"/>
    <col min="1300" max="1300" width="11.6640625" style="7" customWidth="1"/>
    <col min="1301" max="1301" width="2.5546875" style="7" customWidth="1"/>
    <col min="1302" max="1302" width="11.6640625" style="7" customWidth="1"/>
    <col min="1303" max="1303" width="2.5546875" style="7" customWidth="1"/>
    <col min="1304" max="1304" width="11.6640625" style="7" customWidth="1"/>
    <col min="1305" max="1305" width="2.5546875" style="7" customWidth="1"/>
    <col min="1306" max="1306" width="11.6640625" style="7" customWidth="1"/>
    <col min="1307" max="1307" width="2.6640625" style="7" customWidth="1"/>
    <col min="1308" max="1308" width="13.5546875" style="7" customWidth="1"/>
    <col min="1309" max="1309" width="2.5546875" style="7" customWidth="1"/>
    <col min="1310" max="1310" width="13.6640625" style="7" customWidth="1"/>
    <col min="1311" max="1311" width="2.5546875" style="7" customWidth="1"/>
    <col min="1312" max="1312" width="13.44140625" style="7" customWidth="1"/>
    <col min="1313" max="1536" width="9.109375" style="7"/>
    <col min="1537" max="1537" width="4" style="7" customWidth="1"/>
    <col min="1538" max="1538" width="39.6640625" style="7" customWidth="1"/>
    <col min="1539" max="1539" width="2.5546875" style="7" customWidth="1"/>
    <col min="1540" max="1540" width="11.6640625" style="7" customWidth="1"/>
    <col min="1541" max="1541" width="2.5546875" style="7" customWidth="1"/>
    <col min="1542" max="1542" width="11.6640625" style="7" customWidth="1"/>
    <col min="1543" max="1543" width="2.5546875" style="7" customWidth="1"/>
    <col min="1544" max="1544" width="11.6640625" style="7" customWidth="1"/>
    <col min="1545" max="1545" width="2.5546875" style="7" customWidth="1"/>
    <col min="1546" max="1546" width="11.6640625" style="7" customWidth="1"/>
    <col min="1547" max="1547" width="2.5546875" style="7" customWidth="1"/>
    <col min="1548" max="1548" width="11.6640625" style="7" customWidth="1"/>
    <col min="1549" max="1549" width="2.5546875" style="7" customWidth="1"/>
    <col min="1550" max="1550" width="11.6640625" style="7" customWidth="1"/>
    <col min="1551" max="1551" width="2.5546875" style="7" customWidth="1"/>
    <col min="1552" max="1552" width="11.6640625" style="7" customWidth="1"/>
    <col min="1553" max="1553" width="2.5546875" style="7" customWidth="1"/>
    <col min="1554" max="1554" width="11.6640625" style="7" customWidth="1"/>
    <col min="1555" max="1555" width="2.5546875" style="7" customWidth="1"/>
    <col min="1556" max="1556" width="11.6640625" style="7" customWidth="1"/>
    <col min="1557" max="1557" width="2.5546875" style="7" customWidth="1"/>
    <col min="1558" max="1558" width="11.6640625" style="7" customWidth="1"/>
    <col min="1559" max="1559" width="2.5546875" style="7" customWidth="1"/>
    <col min="1560" max="1560" width="11.6640625" style="7" customWidth="1"/>
    <col min="1561" max="1561" width="2.5546875" style="7" customWidth="1"/>
    <col min="1562" max="1562" width="11.6640625" style="7" customWidth="1"/>
    <col min="1563" max="1563" width="2.6640625" style="7" customWidth="1"/>
    <col min="1564" max="1564" width="13.5546875" style="7" customWidth="1"/>
    <col min="1565" max="1565" width="2.5546875" style="7" customWidth="1"/>
    <col min="1566" max="1566" width="13.6640625" style="7" customWidth="1"/>
    <col min="1567" max="1567" width="2.5546875" style="7" customWidth="1"/>
    <col min="1568" max="1568" width="13.44140625" style="7" customWidth="1"/>
    <col min="1569" max="1792" width="9.109375" style="7"/>
    <col min="1793" max="1793" width="4" style="7" customWidth="1"/>
    <col min="1794" max="1794" width="39.6640625" style="7" customWidth="1"/>
    <col min="1795" max="1795" width="2.5546875" style="7" customWidth="1"/>
    <col min="1796" max="1796" width="11.6640625" style="7" customWidth="1"/>
    <col min="1797" max="1797" width="2.5546875" style="7" customWidth="1"/>
    <col min="1798" max="1798" width="11.6640625" style="7" customWidth="1"/>
    <col min="1799" max="1799" width="2.5546875" style="7" customWidth="1"/>
    <col min="1800" max="1800" width="11.6640625" style="7" customWidth="1"/>
    <col min="1801" max="1801" width="2.5546875" style="7" customWidth="1"/>
    <col min="1802" max="1802" width="11.6640625" style="7" customWidth="1"/>
    <col min="1803" max="1803" width="2.5546875" style="7" customWidth="1"/>
    <col min="1804" max="1804" width="11.6640625" style="7" customWidth="1"/>
    <col min="1805" max="1805" width="2.5546875" style="7" customWidth="1"/>
    <col min="1806" max="1806" width="11.6640625" style="7" customWidth="1"/>
    <col min="1807" max="1807" width="2.5546875" style="7" customWidth="1"/>
    <col min="1808" max="1808" width="11.6640625" style="7" customWidth="1"/>
    <col min="1809" max="1809" width="2.5546875" style="7" customWidth="1"/>
    <col min="1810" max="1810" width="11.6640625" style="7" customWidth="1"/>
    <col min="1811" max="1811" width="2.5546875" style="7" customWidth="1"/>
    <col min="1812" max="1812" width="11.6640625" style="7" customWidth="1"/>
    <col min="1813" max="1813" width="2.5546875" style="7" customWidth="1"/>
    <col min="1814" max="1814" width="11.6640625" style="7" customWidth="1"/>
    <col min="1815" max="1815" width="2.5546875" style="7" customWidth="1"/>
    <col min="1816" max="1816" width="11.6640625" style="7" customWidth="1"/>
    <col min="1817" max="1817" width="2.5546875" style="7" customWidth="1"/>
    <col min="1818" max="1818" width="11.6640625" style="7" customWidth="1"/>
    <col min="1819" max="1819" width="2.6640625" style="7" customWidth="1"/>
    <col min="1820" max="1820" width="13.5546875" style="7" customWidth="1"/>
    <col min="1821" max="1821" width="2.5546875" style="7" customWidth="1"/>
    <col min="1822" max="1822" width="13.6640625" style="7" customWidth="1"/>
    <col min="1823" max="1823" width="2.5546875" style="7" customWidth="1"/>
    <col min="1824" max="1824" width="13.44140625" style="7" customWidth="1"/>
    <col min="1825" max="2048" width="9.109375" style="7"/>
    <col min="2049" max="2049" width="4" style="7" customWidth="1"/>
    <col min="2050" max="2050" width="39.6640625" style="7" customWidth="1"/>
    <col min="2051" max="2051" width="2.5546875" style="7" customWidth="1"/>
    <col min="2052" max="2052" width="11.6640625" style="7" customWidth="1"/>
    <col min="2053" max="2053" width="2.5546875" style="7" customWidth="1"/>
    <col min="2054" max="2054" width="11.6640625" style="7" customWidth="1"/>
    <col min="2055" max="2055" width="2.5546875" style="7" customWidth="1"/>
    <col min="2056" max="2056" width="11.6640625" style="7" customWidth="1"/>
    <col min="2057" max="2057" width="2.5546875" style="7" customWidth="1"/>
    <col min="2058" max="2058" width="11.6640625" style="7" customWidth="1"/>
    <col min="2059" max="2059" width="2.5546875" style="7" customWidth="1"/>
    <col min="2060" max="2060" width="11.6640625" style="7" customWidth="1"/>
    <col min="2061" max="2061" width="2.5546875" style="7" customWidth="1"/>
    <col min="2062" max="2062" width="11.6640625" style="7" customWidth="1"/>
    <col min="2063" max="2063" width="2.5546875" style="7" customWidth="1"/>
    <col min="2064" max="2064" width="11.6640625" style="7" customWidth="1"/>
    <col min="2065" max="2065" width="2.5546875" style="7" customWidth="1"/>
    <col min="2066" max="2066" width="11.6640625" style="7" customWidth="1"/>
    <col min="2067" max="2067" width="2.5546875" style="7" customWidth="1"/>
    <col min="2068" max="2068" width="11.6640625" style="7" customWidth="1"/>
    <col min="2069" max="2069" width="2.5546875" style="7" customWidth="1"/>
    <col min="2070" max="2070" width="11.6640625" style="7" customWidth="1"/>
    <col min="2071" max="2071" width="2.5546875" style="7" customWidth="1"/>
    <col min="2072" max="2072" width="11.6640625" style="7" customWidth="1"/>
    <col min="2073" max="2073" width="2.5546875" style="7" customWidth="1"/>
    <col min="2074" max="2074" width="11.6640625" style="7" customWidth="1"/>
    <col min="2075" max="2075" width="2.6640625" style="7" customWidth="1"/>
    <col min="2076" max="2076" width="13.5546875" style="7" customWidth="1"/>
    <col min="2077" max="2077" width="2.5546875" style="7" customWidth="1"/>
    <col min="2078" max="2078" width="13.6640625" style="7" customWidth="1"/>
    <col min="2079" max="2079" width="2.5546875" style="7" customWidth="1"/>
    <col min="2080" max="2080" width="13.44140625" style="7" customWidth="1"/>
    <col min="2081" max="2304" width="9.109375" style="7"/>
    <col min="2305" max="2305" width="4" style="7" customWidth="1"/>
    <col min="2306" max="2306" width="39.6640625" style="7" customWidth="1"/>
    <col min="2307" max="2307" width="2.5546875" style="7" customWidth="1"/>
    <col min="2308" max="2308" width="11.6640625" style="7" customWidth="1"/>
    <col min="2309" max="2309" width="2.5546875" style="7" customWidth="1"/>
    <col min="2310" max="2310" width="11.6640625" style="7" customWidth="1"/>
    <col min="2311" max="2311" width="2.5546875" style="7" customWidth="1"/>
    <col min="2312" max="2312" width="11.6640625" style="7" customWidth="1"/>
    <col min="2313" max="2313" width="2.5546875" style="7" customWidth="1"/>
    <col min="2314" max="2314" width="11.6640625" style="7" customWidth="1"/>
    <col min="2315" max="2315" width="2.5546875" style="7" customWidth="1"/>
    <col min="2316" max="2316" width="11.6640625" style="7" customWidth="1"/>
    <col min="2317" max="2317" width="2.5546875" style="7" customWidth="1"/>
    <col min="2318" max="2318" width="11.6640625" style="7" customWidth="1"/>
    <col min="2319" max="2319" width="2.5546875" style="7" customWidth="1"/>
    <col min="2320" max="2320" width="11.6640625" style="7" customWidth="1"/>
    <col min="2321" max="2321" width="2.5546875" style="7" customWidth="1"/>
    <col min="2322" max="2322" width="11.6640625" style="7" customWidth="1"/>
    <col min="2323" max="2323" width="2.5546875" style="7" customWidth="1"/>
    <col min="2324" max="2324" width="11.6640625" style="7" customWidth="1"/>
    <col min="2325" max="2325" width="2.5546875" style="7" customWidth="1"/>
    <col min="2326" max="2326" width="11.6640625" style="7" customWidth="1"/>
    <col min="2327" max="2327" width="2.5546875" style="7" customWidth="1"/>
    <col min="2328" max="2328" width="11.6640625" style="7" customWidth="1"/>
    <col min="2329" max="2329" width="2.5546875" style="7" customWidth="1"/>
    <col min="2330" max="2330" width="11.6640625" style="7" customWidth="1"/>
    <col min="2331" max="2331" width="2.6640625" style="7" customWidth="1"/>
    <col min="2332" max="2332" width="13.5546875" style="7" customWidth="1"/>
    <col min="2333" max="2333" width="2.5546875" style="7" customWidth="1"/>
    <col min="2334" max="2334" width="13.6640625" style="7" customWidth="1"/>
    <col min="2335" max="2335" width="2.5546875" style="7" customWidth="1"/>
    <col min="2336" max="2336" width="13.44140625" style="7" customWidth="1"/>
    <col min="2337" max="2560" width="9.109375" style="7"/>
    <col min="2561" max="2561" width="4" style="7" customWidth="1"/>
    <col min="2562" max="2562" width="39.6640625" style="7" customWidth="1"/>
    <col min="2563" max="2563" width="2.5546875" style="7" customWidth="1"/>
    <col min="2564" max="2564" width="11.6640625" style="7" customWidth="1"/>
    <col min="2565" max="2565" width="2.5546875" style="7" customWidth="1"/>
    <col min="2566" max="2566" width="11.6640625" style="7" customWidth="1"/>
    <col min="2567" max="2567" width="2.5546875" style="7" customWidth="1"/>
    <col min="2568" max="2568" width="11.6640625" style="7" customWidth="1"/>
    <col min="2569" max="2569" width="2.5546875" style="7" customWidth="1"/>
    <col min="2570" max="2570" width="11.6640625" style="7" customWidth="1"/>
    <col min="2571" max="2571" width="2.5546875" style="7" customWidth="1"/>
    <col min="2572" max="2572" width="11.6640625" style="7" customWidth="1"/>
    <col min="2573" max="2573" width="2.5546875" style="7" customWidth="1"/>
    <col min="2574" max="2574" width="11.6640625" style="7" customWidth="1"/>
    <col min="2575" max="2575" width="2.5546875" style="7" customWidth="1"/>
    <col min="2576" max="2576" width="11.6640625" style="7" customWidth="1"/>
    <col min="2577" max="2577" width="2.5546875" style="7" customWidth="1"/>
    <col min="2578" max="2578" width="11.6640625" style="7" customWidth="1"/>
    <col min="2579" max="2579" width="2.5546875" style="7" customWidth="1"/>
    <col min="2580" max="2580" width="11.6640625" style="7" customWidth="1"/>
    <col min="2581" max="2581" width="2.5546875" style="7" customWidth="1"/>
    <col min="2582" max="2582" width="11.6640625" style="7" customWidth="1"/>
    <col min="2583" max="2583" width="2.5546875" style="7" customWidth="1"/>
    <col min="2584" max="2584" width="11.6640625" style="7" customWidth="1"/>
    <col min="2585" max="2585" width="2.5546875" style="7" customWidth="1"/>
    <col min="2586" max="2586" width="11.6640625" style="7" customWidth="1"/>
    <col min="2587" max="2587" width="2.6640625" style="7" customWidth="1"/>
    <col min="2588" max="2588" width="13.5546875" style="7" customWidth="1"/>
    <col min="2589" max="2589" width="2.5546875" style="7" customWidth="1"/>
    <col min="2590" max="2590" width="13.6640625" style="7" customWidth="1"/>
    <col min="2591" max="2591" width="2.5546875" style="7" customWidth="1"/>
    <col min="2592" max="2592" width="13.44140625" style="7" customWidth="1"/>
    <col min="2593" max="2816" width="9.109375" style="7"/>
    <col min="2817" max="2817" width="4" style="7" customWidth="1"/>
    <col min="2818" max="2818" width="39.6640625" style="7" customWidth="1"/>
    <col min="2819" max="2819" width="2.5546875" style="7" customWidth="1"/>
    <col min="2820" max="2820" width="11.6640625" style="7" customWidth="1"/>
    <col min="2821" max="2821" width="2.5546875" style="7" customWidth="1"/>
    <col min="2822" max="2822" width="11.6640625" style="7" customWidth="1"/>
    <col min="2823" max="2823" width="2.5546875" style="7" customWidth="1"/>
    <col min="2824" max="2824" width="11.6640625" style="7" customWidth="1"/>
    <col min="2825" max="2825" width="2.5546875" style="7" customWidth="1"/>
    <col min="2826" max="2826" width="11.6640625" style="7" customWidth="1"/>
    <col min="2827" max="2827" width="2.5546875" style="7" customWidth="1"/>
    <col min="2828" max="2828" width="11.6640625" style="7" customWidth="1"/>
    <col min="2829" max="2829" width="2.5546875" style="7" customWidth="1"/>
    <col min="2830" max="2830" width="11.6640625" style="7" customWidth="1"/>
    <col min="2831" max="2831" width="2.5546875" style="7" customWidth="1"/>
    <col min="2832" max="2832" width="11.6640625" style="7" customWidth="1"/>
    <col min="2833" max="2833" width="2.5546875" style="7" customWidth="1"/>
    <col min="2834" max="2834" width="11.6640625" style="7" customWidth="1"/>
    <col min="2835" max="2835" width="2.5546875" style="7" customWidth="1"/>
    <col min="2836" max="2836" width="11.6640625" style="7" customWidth="1"/>
    <col min="2837" max="2837" width="2.5546875" style="7" customWidth="1"/>
    <col min="2838" max="2838" width="11.6640625" style="7" customWidth="1"/>
    <col min="2839" max="2839" width="2.5546875" style="7" customWidth="1"/>
    <col min="2840" max="2840" width="11.6640625" style="7" customWidth="1"/>
    <col min="2841" max="2841" width="2.5546875" style="7" customWidth="1"/>
    <col min="2842" max="2842" width="11.6640625" style="7" customWidth="1"/>
    <col min="2843" max="2843" width="2.6640625" style="7" customWidth="1"/>
    <col min="2844" max="2844" width="13.5546875" style="7" customWidth="1"/>
    <col min="2845" max="2845" width="2.5546875" style="7" customWidth="1"/>
    <col min="2846" max="2846" width="13.6640625" style="7" customWidth="1"/>
    <col min="2847" max="2847" width="2.5546875" style="7" customWidth="1"/>
    <col min="2848" max="2848" width="13.44140625" style="7" customWidth="1"/>
    <col min="2849" max="3072" width="9.109375" style="7"/>
    <col min="3073" max="3073" width="4" style="7" customWidth="1"/>
    <col min="3074" max="3074" width="39.6640625" style="7" customWidth="1"/>
    <col min="3075" max="3075" width="2.5546875" style="7" customWidth="1"/>
    <col min="3076" max="3076" width="11.6640625" style="7" customWidth="1"/>
    <col min="3077" max="3077" width="2.5546875" style="7" customWidth="1"/>
    <col min="3078" max="3078" width="11.6640625" style="7" customWidth="1"/>
    <col min="3079" max="3079" width="2.5546875" style="7" customWidth="1"/>
    <col min="3080" max="3080" width="11.6640625" style="7" customWidth="1"/>
    <col min="3081" max="3081" width="2.5546875" style="7" customWidth="1"/>
    <col min="3082" max="3082" width="11.6640625" style="7" customWidth="1"/>
    <col min="3083" max="3083" width="2.5546875" style="7" customWidth="1"/>
    <col min="3084" max="3084" width="11.6640625" style="7" customWidth="1"/>
    <col min="3085" max="3085" width="2.5546875" style="7" customWidth="1"/>
    <col min="3086" max="3086" width="11.6640625" style="7" customWidth="1"/>
    <col min="3087" max="3087" width="2.5546875" style="7" customWidth="1"/>
    <col min="3088" max="3088" width="11.6640625" style="7" customWidth="1"/>
    <col min="3089" max="3089" width="2.5546875" style="7" customWidth="1"/>
    <col min="3090" max="3090" width="11.6640625" style="7" customWidth="1"/>
    <col min="3091" max="3091" width="2.5546875" style="7" customWidth="1"/>
    <col min="3092" max="3092" width="11.6640625" style="7" customWidth="1"/>
    <col min="3093" max="3093" width="2.5546875" style="7" customWidth="1"/>
    <col min="3094" max="3094" width="11.6640625" style="7" customWidth="1"/>
    <col min="3095" max="3095" width="2.5546875" style="7" customWidth="1"/>
    <col min="3096" max="3096" width="11.6640625" style="7" customWidth="1"/>
    <col min="3097" max="3097" width="2.5546875" style="7" customWidth="1"/>
    <col min="3098" max="3098" width="11.6640625" style="7" customWidth="1"/>
    <col min="3099" max="3099" width="2.6640625" style="7" customWidth="1"/>
    <col min="3100" max="3100" width="13.5546875" style="7" customWidth="1"/>
    <col min="3101" max="3101" width="2.5546875" style="7" customWidth="1"/>
    <col min="3102" max="3102" width="13.6640625" style="7" customWidth="1"/>
    <col min="3103" max="3103" width="2.5546875" style="7" customWidth="1"/>
    <col min="3104" max="3104" width="13.44140625" style="7" customWidth="1"/>
    <col min="3105" max="3328" width="9.109375" style="7"/>
    <col min="3329" max="3329" width="4" style="7" customWidth="1"/>
    <col min="3330" max="3330" width="39.6640625" style="7" customWidth="1"/>
    <col min="3331" max="3331" width="2.5546875" style="7" customWidth="1"/>
    <col min="3332" max="3332" width="11.6640625" style="7" customWidth="1"/>
    <col min="3333" max="3333" width="2.5546875" style="7" customWidth="1"/>
    <col min="3334" max="3334" width="11.6640625" style="7" customWidth="1"/>
    <col min="3335" max="3335" width="2.5546875" style="7" customWidth="1"/>
    <col min="3336" max="3336" width="11.6640625" style="7" customWidth="1"/>
    <col min="3337" max="3337" width="2.5546875" style="7" customWidth="1"/>
    <col min="3338" max="3338" width="11.6640625" style="7" customWidth="1"/>
    <col min="3339" max="3339" width="2.5546875" style="7" customWidth="1"/>
    <col min="3340" max="3340" width="11.6640625" style="7" customWidth="1"/>
    <col min="3341" max="3341" width="2.5546875" style="7" customWidth="1"/>
    <col min="3342" max="3342" width="11.6640625" style="7" customWidth="1"/>
    <col min="3343" max="3343" width="2.5546875" style="7" customWidth="1"/>
    <col min="3344" max="3344" width="11.6640625" style="7" customWidth="1"/>
    <col min="3345" max="3345" width="2.5546875" style="7" customWidth="1"/>
    <col min="3346" max="3346" width="11.6640625" style="7" customWidth="1"/>
    <col min="3347" max="3347" width="2.5546875" style="7" customWidth="1"/>
    <col min="3348" max="3348" width="11.6640625" style="7" customWidth="1"/>
    <col min="3349" max="3349" width="2.5546875" style="7" customWidth="1"/>
    <col min="3350" max="3350" width="11.6640625" style="7" customWidth="1"/>
    <col min="3351" max="3351" width="2.5546875" style="7" customWidth="1"/>
    <col min="3352" max="3352" width="11.6640625" style="7" customWidth="1"/>
    <col min="3353" max="3353" width="2.5546875" style="7" customWidth="1"/>
    <col min="3354" max="3354" width="11.6640625" style="7" customWidth="1"/>
    <col min="3355" max="3355" width="2.6640625" style="7" customWidth="1"/>
    <col min="3356" max="3356" width="13.5546875" style="7" customWidth="1"/>
    <col min="3357" max="3357" width="2.5546875" style="7" customWidth="1"/>
    <col min="3358" max="3358" width="13.6640625" style="7" customWidth="1"/>
    <col min="3359" max="3359" width="2.5546875" style="7" customWidth="1"/>
    <col min="3360" max="3360" width="13.44140625" style="7" customWidth="1"/>
    <col min="3361" max="3584" width="9.109375" style="7"/>
    <col min="3585" max="3585" width="4" style="7" customWidth="1"/>
    <col min="3586" max="3586" width="39.6640625" style="7" customWidth="1"/>
    <col min="3587" max="3587" width="2.5546875" style="7" customWidth="1"/>
    <col min="3588" max="3588" width="11.6640625" style="7" customWidth="1"/>
    <col min="3589" max="3589" width="2.5546875" style="7" customWidth="1"/>
    <col min="3590" max="3590" width="11.6640625" style="7" customWidth="1"/>
    <col min="3591" max="3591" width="2.5546875" style="7" customWidth="1"/>
    <col min="3592" max="3592" width="11.6640625" style="7" customWidth="1"/>
    <col min="3593" max="3593" width="2.5546875" style="7" customWidth="1"/>
    <col min="3594" max="3594" width="11.6640625" style="7" customWidth="1"/>
    <col min="3595" max="3595" width="2.5546875" style="7" customWidth="1"/>
    <col min="3596" max="3596" width="11.6640625" style="7" customWidth="1"/>
    <col min="3597" max="3597" width="2.5546875" style="7" customWidth="1"/>
    <col min="3598" max="3598" width="11.6640625" style="7" customWidth="1"/>
    <col min="3599" max="3599" width="2.5546875" style="7" customWidth="1"/>
    <col min="3600" max="3600" width="11.6640625" style="7" customWidth="1"/>
    <col min="3601" max="3601" width="2.5546875" style="7" customWidth="1"/>
    <col min="3602" max="3602" width="11.6640625" style="7" customWidth="1"/>
    <col min="3603" max="3603" width="2.5546875" style="7" customWidth="1"/>
    <col min="3604" max="3604" width="11.6640625" style="7" customWidth="1"/>
    <col min="3605" max="3605" width="2.5546875" style="7" customWidth="1"/>
    <col min="3606" max="3606" width="11.6640625" style="7" customWidth="1"/>
    <col min="3607" max="3607" width="2.5546875" style="7" customWidth="1"/>
    <col min="3608" max="3608" width="11.6640625" style="7" customWidth="1"/>
    <col min="3609" max="3609" width="2.5546875" style="7" customWidth="1"/>
    <col min="3610" max="3610" width="11.6640625" style="7" customWidth="1"/>
    <col min="3611" max="3611" width="2.6640625" style="7" customWidth="1"/>
    <col min="3612" max="3612" width="13.5546875" style="7" customWidth="1"/>
    <col min="3613" max="3613" width="2.5546875" style="7" customWidth="1"/>
    <col min="3614" max="3614" width="13.6640625" style="7" customWidth="1"/>
    <col min="3615" max="3615" width="2.5546875" style="7" customWidth="1"/>
    <col min="3616" max="3616" width="13.44140625" style="7" customWidth="1"/>
    <col min="3617" max="3840" width="9.109375" style="7"/>
    <col min="3841" max="3841" width="4" style="7" customWidth="1"/>
    <col min="3842" max="3842" width="39.6640625" style="7" customWidth="1"/>
    <col min="3843" max="3843" width="2.5546875" style="7" customWidth="1"/>
    <col min="3844" max="3844" width="11.6640625" style="7" customWidth="1"/>
    <col min="3845" max="3845" width="2.5546875" style="7" customWidth="1"/>
    <col min="3846" max="3846" width="11.6640625" style="7" customWidth="1"/>
    <col min="3847" max="3847" width="2.5546875" style="7" customWidth="1"/>
    <col min="3848" max="3848" width="11.6640625" style="7" customWidth="1"/>
    <col min="3849" max="3849" width="2.5546875" style="7" customWidth="1"/>
    <col min="3850" max="3850" width="11.6640625" style="7" customWidth="1"/>
    <col min="3851" max="3851" width="2.5546875" style="7" customWidth="1"/>
    <col min="3852" max="3852" width="11.6640625" style="7" customWidth="1"/>
    <col min="3853" max="3853" width="2.5546875" style="7" customWidth="1"/>
    <col min="3854" max="3854" width="11.6640625" style="7" customWidth="1"/>
    <col min="3855" max="3855" width="2.5546875" style="7" customWidth="1"/>
    <col min="3856" max="3856" width="11.6640625" style="7" customWidth="1"/>
    <col min="3857" max="3857" width="2.5546875" style="7" customWidth="1"/>
    <col min="3858" max="3858" width="11.6640625" style="7" customWidth="1"/>
    <col min="3859" max="3859" width="2.5546875" style="7" customWidth="1"/>
    <col min="3860" max="3860" width="11.6640625" style="7" customWidth="1"/>
    <col min="3861" max="3861" width="2.5546875" style="7" customWidth="1"/>
    <col min="3862" max="3862" width="11.6640625" style="7" customWidth="1"/>
    <col min="3863" max="3863" width="2.5546875" style="7" customWidth="1"/>
    <col min="3864" max="3864" width="11.6640625" style="7" customWidth="1"/>
    <col min="3865" max="3865" width="2.5546875" style="7" customWidth="1"/>
    <col min="3866" max="3866" width="11.6640625" style="7" customWidth="1"/>
    <col min="3867" max="3867" width="2.6640625" style="7" customWidth="1"/>
    <col min="3868" max="3868" width="13.5546875" style="7" customWidth="1"/>
    <col min="3869" max="3869" width="2.5546875" style="7" customWidth="1"/>
    <col min="3870" max="3870" width="13.6640625" style="7" customWidth="1"/>
    <col min="3871" max="3871" width="2.5546875" style="7" customWidth="1"/>
    <col min="3872" max="3872" width="13.44140625" style="7" customWidth="1"/>
    <col min="3873" max="4096" width="9.109375" style="7"/>
    <col min="4097" max="4097" width="4" style="7" customWidth="1"/>
    <col min="4098" max="4098" width="39.6640625" style="7" customWidth="1"/>
    <col min="4099" max="4099" width="2.5546875" style="7" customWidth="1"/>
    <col min="4100" max="4100" width="11.6640625" style="7" customWidth="1"/>
    <col min="4101" max="4101" width="2.5546875" style="7" customWidth="1"/>
    <col min="4102" max="4102" width="11.6640625" style="7" customWidth="1"/>
    <col min="4103" max="4103" width="2.5546875" style="7" customWidth="1"/>
    <col min="4104" max="4104" width="11.6640625" style="7" customWidth="1"/>
    <col min="4105" max="4105" width="2.5546875" style="7" customWidth="1"/>
    <col min="4106" max="4106" width="11.6640625" style="7" customWidth="1"/>
    <col min="4107" max="4107" width="2.5546875" style="7" customWidth="1"/>
    <col min="4108" max="4108" width="11.6640625" style="7" customWidth="1"/>
    <col min="4109" max="4109" width="2.5546875" style="7" customWidth="1"/>
    <col min="4110" max="4110" width="11.6640625" style="7" customWidth="1"/>
    <col min="4111" max="4111" width="2.5546875" style="7" customWidth="1"/>
    <col min="4112" max="4112" width="11.6640625" style="7" customWidth="1"/>
    <col min="4113" max="4113" width="2.5546875" style="7" customWidth="1"/>
    <col min="4114" max="4114" width="11.6640625" style="7" customWidth="1"/>
    <col min="4115" max="4115" width="2.5546875" style="7" customWidth="1"/>
    <col min="4116" max="4116" width="11.6640625" style="7" customWidth="1"/>
    <col min="4117" max="4117" width="2.5546875" style="7" customWidth="1"/>
    <col min="4118" max="4118" width="11.6640625" style="7" customWidth="1"/>
    <col min="4119" max="4119" width="2.5546875" style="7" customWidth="1"/>
    <col min="4120" max="4120" width="11.6640625" style="7" customWidth="1"/>
    <col min="4121" max="4121" width="2.5546875" style="7" customWidth="1"/>
    <col min="4122" max="4122" width="11.6640625" style="7" customWidth="1"/>
    <col min="4123" max="4123" width="2.6640625" style="7" customWidth="1"/>
    <col min="4124" max="4124" width="13.5546875" style="7" customWidth="1"/>
    <col min="4125" max="4125" width="2.5546875" style="7" customWidth="1"/>
    <col min="4126" max="4126" width="13.6640625" style="7" customWidth="1"/>
    <col min="4127" max="4127" width="2.5546875" style="7" customWidth="1"/>
    <col min="4128" max="4128" width="13.44140625" style="7" customWidth="1"/>
    <col min="4129" max="4352" width="9.109375" style="7"/>
    <col min="4353" max="4353" width="4" style="7" customWidth="1"/>
    <col min="4354" max="4354" width="39.6640625" style="7" customWidth="1"/>
    <col min="4355" max="4355" width="2.5546875" style="7" customWidth="1"/>
    <col min="4356" max="4356" width="11.6640625" style="7" customWidth="1"/>
    <col min="4357" max="4357" width="2.5546875" style="7" customWidth="1"/>
    <col min="4358" max="4358" width="11.6640625" style="7" customWidth="1"/>
    <col min="4359" max="4359" width="2.5546875" style="7" customWidth="1"/>
    <col min="4360" max="4360" width="11.6640625" style="7" customWidth="1"/>
    <col min="4361" max="4361" width="2.5546875" style="7" customWidth="1"/>
    <col min="4362" max="4362" width="11.6640625" style="7" customWidth="1"/>
    <col min="4363" max="4363" width="2.5546875" style="7" customWidth="1"/>
    <col min="4364" max="4364" width="11.6640625" style="7" customWidth="1"/>
    <col min="4365" max="4365" width="2.5546875" style="7" customWidth="1"/>
    <col min="4366" max="4366" width="11.6640625" style="7" customWidth="1"/>
    <col min="4367" max="4367" width="2.5546875" style="7" customWidth="1"/>
    <col min="4368" max="4368" width="11.6640625" style="7" customWidth="1"/>
    <col min="4369" max="4369" width="2.5546875" style="7" customWidth="1"/>
    <col min="4370" max="4370" width="11.6640625" style="7" customWidth="1"/>
    <col min="4371" max="4371" width="2.5546875" style="7" customWidth="1"/>
    <col min="4372" max="4372" width="11.6640625" style="7" customWidth="1"/>
    <col min="4373" max="4373" width="2.5546875" style="7" customWidth="1"/>
    <col min="4374" max="4374" width="11.6640625" style="7" customWidth="1"/>
    <col min="4375" max="4375" width="2.5546875" style="7" customWidth="1"/>
    <col min="4376" max="4376" width="11.6640625" style="7" customWidth="1"/>
    <col min="4377" max="4377" width="2.5546875" style="7" customWidth="1"/>
    <col min="4378" max="4378" width="11.6640625" style="7" customWidth="1"/>
    <col min="4379" max="4379" width="2.6640625" style="7" customWidth="1"/>
    <col min="4380" max="4380" width="13.5546875" style="7" customWidth="1"/>
    <col min="4381" max="4381" width="2.5546875" style="7" customWidth="1"/>
    <col min="4382" max="4382" width="13.6640625" style="7" customWidth="1"/>
    <col min="4383" max="4383" width="2.5546875" style="7" customWidth="1"/>
    <col min="4384" max="4384" width="13.44140625" style="7" customWidth="1"/>
    <col min="4385" max="4608" width="9.109375" style="7"/>
    <col min="4609" max="4609" width="4" style="7" customWidth="1"/>
    <col min="4610" max="4610" width="39.6640625" style="7" customWidth="1"/>
    <col min="4611" max="4611" width="2.5546875" style="7" customWidth="1"/>
    <col min="4612" max="4612" width="11.6640625" style="7" customWidth="1"/>
    <col min="4613" max="4613" width="2.5546875" style="7" customWidth="1"/>
    <col min="4614" max="4614" width="11.6640625" style="7" customWidth="1"/>
    <col min="4615" max="4615" width="2.5546875" style="7" customWidth="1"/>
    <col min="4616" max="4616" width="11.6640625" style="7" customWidth="1"/>
    <col min="4617" max="4617" width="2.5546875" style="7" customWidth="1"/>
    <col min="4618" max="4618" width="11.6640625" style="7" customWidth="1"/>
    <col min="4619" max="4619" width="2.5546875" style="7" customWidth="1"/>
    <col min="4620" max="4620" width="11.6640625" style="7" customWidth="1"/>
    <col min="4621" max="4621" width="2.5546875" style="7" customWidth="1"/>
    <col min="4622" max="4622" width="11.6640625" style="7" customWidth="1"/>
    <col min="4623" max="4623" width="2.5546875" style="7" customWidth="1"/>
    <col min="4624" max="4624" width="11.6640625" style="7" customWidth="1"/>
    <col min="4625" max="4625" width="2.5546875" style="7" customWidth="1"/>
    <col min="4626" max="4626" width="11.6640625" style="7" customWidth="1"/>
    <col min="4627" max="4627" width="2.5546875" style="7" customWidth="1"/>
    <col min="4628" max="4628" width="11.6640625" style="7" customWidth="1"/>
    <col min="4629" max="4629" width="2.5546875" style="7" customWidth="1"/>
    <col min="4630" max="4630" width="11.6640625" style="7" customWidth="1"/>
    <col min="4631" max="4631" width="2.5546875" style="7" customWidth="1"/>
    <col min="4632" max="4632" width="11.6640625" style="7" customWidth="1"/>
    <col min="4633" max="4633" width="2.5546875" style="7" customWidth="1"/>
    <col min="4634" max="4634" width="11.6640625" style="7" customWidth="1"/>
    <col min="4635" max="4635" width="2.6640625" style="7" customWidth="1"/>
    <col min="4636" max="4636" width="13.5546875" style="7" customWidth="1"/>
    <col min="4637" max="4637" width="2.5546875" style="7" customWidth="1"/>
    <col min="4638" max="4638" width="13.6640625" style="7" customWidth="1"/>
    <col min="4639" max="4639" width="2.5546875" style="7" customWidth="1"/>
    <col min="4640" max="4640" width="13.44140625" style="7" customWidth="1"/>
    <col min="4641" max="4864" width="9.109375" style="7"/>
    <col min="4865" max="4865" width="4" style="7" customWidth="1"/>
    <col min="4866" max="4866" width="39.6640625" style="7" customWidth="1"/>
    <col min="4867" max="4867" width="2.5546875" style="7" customWidth="1"/>
    <col min="4868" max="4868" width="11.6640625" style="7" customWidth="1"/>
    <col min="4869" max="4869" width="2.5546875" style="7" customWidth="1"/>
    <col min="4870" max="4870" width="11.6640625" style="7" customWidth="1"/>
    <col min="4871" max="4871" width="2.5546875" style="7" customWidth="1"/>
    <col min="4872" max="4872" width="11.6640625" style="7" customWidth="1"/>
    <col min="4873" max="4873" width="2.5546875" style="7" customWidth="1"/>
    <col min="4874" max="4874" width="11.6640625" style="7" customWidth="1"/>
    <col min="4875" max="4875" width="2.5546875" style="7" customWidth="1"/>
    <col min="4876" max="4876" width="11.6640625" style="7" customWidth="1"/>
    <col min="4877" max="4877" width="2.5546875" style="7" customWidth="1"/>
    <col min="4878" max="4878" width="11.6640625" style="7" customWidth="1"/>
    <col min="4879" max="4879" width="2.5546875" style="7" customWidth="1"/>
    <col min="4880" max="4880" width="11.6640625" style="7" customWidth="1"/>
    <col min="4881" max="4881" width="2.5546875" style="7" customWidth="1"/>
    <col min="4882" max="4882" width="11.6640625" style="7" customWidth="1"/>
    <col min="4883" max="4883" width="2.5546875" style="7" customWidth="1"/>
    <col min="4884" max="4884" width="11.6640625" style="7" customWidth="1"/>
    <col min="4885" max="4885" width="2.5546875" style="7" customWidth="1"/>
    <col min="4886" max="4886" width="11.6640625" style="7" customWidth="1"/>
    <col min="4887" max="4887" width="2.5546875" style="7" customWidth="1"/>
    <col min="4888" max="4888" width="11.6640625" style="7" customWidth="1"/>
    <col min="4889" max="4889" width="2.5546875" style="7" customWidth="1"/>
    <col min="4890" max="4890" width="11.6640625" style="7" customWidth="1"/>
    <col min="4891" max="4891" width="2.6640625" style="7" customWidth="1"/>
    <col min="4892" max="4892" width="13.5546875" style="7" customWidth="1"/>
    <col min="4893" max="4893" width="2.5546875" style="7" customWidth="1"/>
    <col min="4894" max="4894" width="13.6640625" style="7" customWidth="1"/>
    <col min="4895" max="4895" width="2.5546875" style="7" customWidth="1"/>
    <col min="4896" max="4896" width="13.44140625" style="7" customWidth="1"/>
    <col min="4897" max="5120" width="9.109375" style="7"/>
    <col min="5121" max="5121" width="4" style="7" customWidth="1"/>
    <col min="5122" max="5122" width="39.6640625" style="7" customWidth="1"/>
    <col min="5123" max="5123" width="2.5546875" style="7" customWidth="1"/>
    <col min="5124" max="5124" width="11.6640625" style="7" customWidth="1"/>
    <col min="5125" max="5125" width="2.5546875" style="7" customWidth="1"/>
    <col min="5126" max="5126" width="11.6640625" style="7" customWidth="1"/>
    <col min="5127" max="5127" width="2.5546875" style="7" customWidth="1"/>
    <col min="5128" max="5128" width="11.6640625" style="7" customWidth="1"/>
    <col min="5129" max="5129" width="2.5546875" style="7" customWidth="1"/>
    <col min="5130" max="5130" width="11.6640625" style="7" customWidth="1"/>
    <col min="5131" max="5131" width="2.5546875" style="7" customWidth="1"/>
    <col min="5132" max="5132" width="11.6640625" style="7" customWidth="1"/>
    <col min="5133" max="5133" width="2.5546875" style="7" customWidth="1"/>
    <col min="5134" max="5134" width="11.6640625" style="7" customWidth="1"/>
    <col min="5135" max="5135" width="2.5546875" style="7" customWidth="1"/>
    <col min="5136" max="5136" width="11.6640625" style="7" customWidth="1"/>
    <col min="5137" max="5137" width="2.5546875" style="7" customWidth="1"/>
    <col min="5138" max="5138" width="11.6640625" style="7" customWidth="1"/>
    <col min="5139" max="5139" width="2.5546875" style="7" customWidth="1"/>
    <col min="5140" max="5140" width="11.6640625" style="7" customWidth="1"/>
    <col min="5141" max="5141" width="2.5546875" style="7" customWidth="1"/>
    <col min="5142" max="5142" width="11.6640625" style="7" customWidth="1"/>
    <col min="5143" max="5143" width="2.5546875" style="7" customWidth="1"/>
    <col min="5144" max="5144" width="11.6640625" style="7" customWidth="1"/>
    <col min="5145" max="5145" width="2.5546875" style="7" customWidth="1"/>
    <col min="5146" max="5146" width="11.6640625" style="7" customWidth="1"/>
    <col min="5147" max="5147" width="2.6640625" style="7" customWidth="1"/>
    <col min="5148" max="5148" width="13.5546875" style="7" customWidth="1"/>
    <col min="5149" max="5149" width="2.5546875" style="7" customWidth="1"/>
    <col min="5150" max="5150" width="13.6640625" style="7" customWidth="1"/>
    <col min="5151" max="5151" width="2.5546875" style="7" customWidth="1"/>
    <col min="5152" max="5152" width="13.44140625" style="7" customWidth="1"/>
    <col min="5153" max="5376" width="9.109375" style="7"/>
    <col min="5377" max="5377" width="4" style="7" customWidth="1"/>
    <col min="5378" max="5378" width="39.6640625" style="7" customWidth="1"/>
    <col min="5379" max="5379" width="2.5546875" style="7" customWidth="1"/>
    <col min="5380" max="5380" width="11.6640625" style="7" customWidth="1"/>
    <col min="5381" max="5381" width="2.5546875" style="7" customWidth="1"/>
    <col min="5382" max="5382" width="11.6640625" style="7" customWidth="1"/>
    <col min="5383" max="5383" width="2.5546875" style="7" customWidth="1"/>
    <col min="5384" max="5384" width="11.6640625" style="7" customWidth="1"/>
    <col min="5385" max="5385" width="2.5546875" style="7" customWidth="1"/>
    <col min="5386" max="5386" width="11.6640625" style="7" customWidth="1"/>
    <col min="5387" max="5387" width="2.5546875" style="7" customWidth="1"/>
    <col min="5388" max="5388" width="11.6640625" style="7" customWidth="1"/>
    <col min="5389" max="5389" width="2.5546875" style="7" customWidth="1"/>
    <col min="5390" max="5390" width="11.6640625" style="7" customWidth="1"/>
    <col min="5391" max="5391" width="2.5546875" style="7" customWidth="1"/>
    <col min="5392" max="5392" width="11.6640625" style="7" customWidth="1"/>
    <col min="5393" max="5393" width="2.5546875" style="7" customWidth="1"/>
    <col min="5394" max="5394" width="11.6640625" style="7" customWidth="1"/>
    <col min="5395" max="5395" width="2.5546875" style="7" customWidth="1"/>
    <col min="5396" max="5396" width="11.6640625" style="7" customWidth="1"/>
    <col min="5397" max="5397" width="2.5546875" style="7" customWidth="1"/>
    <col min="5398" max="5398" width="11.6640625" style="7" customWidth="1"/>
    <col min="5399" max="5399" width="2.5546875" style="7" customWidth="1"/>
    <col min="5400" max="5400" width="11.6640625" style="7" customWidth="1"/>
    <col min="5401" max="5401" width="2.5546875" style="7" customWidth="1"/>
    <col min="5402" max="5402" width="11.6640625" style="7" customWidth="1"/>
    <col min="5403" max="5403" width="2.6640625" style="7" customWidth="1"/>
    <col min="5404" max="5404" width="13.5546875" style="7" customWidth="1"/>
    <col min="5405" max="5405" width="2.5546875" style="7" customWidth="1"/>
    <col min="5406" max="5406" width="13.6640625" style="7" customWidth="1"/>
    <col min="5407" max="5407" width="2.5546875" style="7" customWidth="1"/>
    <col min="5408" max="5408" width="13.44140625" style="7" customWidth="1"/>
    <col min="5409" max="5632" width="9.109375" style="7"/>
    <col min="5633" max="5633" width="4" style="7" customWidth="1"/>
    <col min="5634" max="5634" width="39.6640625" style="7" customWidth="1"/>
    <col min="5635" max="5635" width="2.5546875" style="7" customWidth="1"/>
    <col min="5636" max="5636" width="11.6640625" style="7" customWidth="1"/>
    <col min="5637" max="5637" width="2.5546875" style="7" customWidth="1"/>
    <col min="5638" max="5638" width="11.6640625" style="7" customWidth="1"/>
    <col min="5639" max="5639" width="2.5546875" style="7" customWidth="1"/>
    <col min="5640" max="5640" width="11.6640625" style="7" customWidth="1"/>
    <col min="5641" max="5641" width="2.5546875" style="7" customWidth="1"/>
    <col min="5642" max="5642" width="11.6640625" style="7" customWidth="1"/>
    <col min="5643" max="5643" width="2.5546875" style="7" customWidth="1"/>
    <col min="5644" max="5644" width="11.6640625" style="7" customWidth="1"/>
    <col min="5645" max="5645" width="2.5546875" style="7" customWidth="1"/>
    <col min="5646" max="5646" width="11.6640625" style="7" customWidth="1"/>
    <col min="5647" max="5647" width="2.5546875" style="7" customWidth="1"/>
    <col min="5648" max="5648" width="11.6640625" style="7" customWidth="1"/>
    <col min="5649" max="5649" width="2.5546875" style="7" customWidth="1"/>
    <col min="5650" max="5650" width="11.6640625" style="7" customWidth="1"/>
    <col min="5651" max="5651" width="2.5546875" style="7" customWidth="1"/>
    <col min="5652" max="5652" width="11.6640625" style="7" customWidth="1"/>
    <col min="5653" max="5653" width="2.5546875" style="7" customWidth="1"/>
    <col min="5654" max="5654" width="11.6640625" style="7" customWidth="1"/>
    <col min="5655" max="5655" width="2.5546875" style="7" customWidth="1"/>
    <col min="5656" max="5656" width="11.6640625" style="7" customWidth="1"/>
    <col min="5657" max="5657" width="2.5546875" style="7" customWidth="1"/>
    <col min="5658" max="5658" width="11.6640625" style="7" customWidth="1"/>
    <col min="5659" max="5659" width="2.6640625" style="7" customWidth="1"/>
    <col min="5660" max="5660" width="13.5546875" style="7" customWidth="1"/>
    <col min="5661" max="5661" width="2.5546875" style="7" customWidth="1"/>
    <col min="5662" max="5662" width="13.6640625" style="7" customWidth="1"/>
    <col min="5663" max="5663" width="2.5546875" style="7" customWidth="1"/>
    <col min="5664" max="5664" width="13.44140625" style="7" customWidth="1"/>
    <col min="5665" max="5888" width="9.109375" style="7"/>
    <col min="5889" max="5889" width="4" style="7" customWidth="1"/>
    <col min="5890" max="5890" width="39.6640625" style="7" customWidth="1"/>
    <col min="5891" max="5891" width="2.5546875" style="7" customWidth="1"/>
    <col min="5892" max="5892" width="11.6640625" style="7" customWidth="1"/>
    <col min="5893" max="5893" width="2.5546875" style="7" customWidth="1"/>
    <col min="5894" max="5894" width="11.6640625" style="7" customWidth="1"/>
    <col min="5895" max="5895" width="2.5546875" style="7" customWidth="1"/>
    <col min="5896" max="5896" width="11.6640625" style="7" customWidth="1"/>
    <col min="5897" max="5897" width="2.5546875" style="7" customWidth="1"/>
    <col min="5898" max="5898" width="11.6640625" style="7" customWidth="1"/>
    <col min="5899" max="5899" width="2.5546875" style="7" customWidth="1"/>
    <col min="5900" max="5900" width="11.6640625" style="7" customWidth="1"/>
    <col min="5901" max="5901" width="2.5546875" style="7" customWidth="1"/>
    <col min="5902" max="5902" width="11.6640625" style="7" customWidth="1"/>
    <col min="5903" max="5903" width="2.5546875" style="7" customWidth="1"/>
    <col min="5904" max="5904" width="11.6640625" style="7" customWidth="1"/>
    <col min="5905" max="5905" width="2.5546875" style="7" customWidth="1"/>
    <col min="5906" max="5906" width="11.6640625" style="7" customWidth="1"/>
    <col min="5907" max="5907" width="2.5546875" style="7" customWidth="1"/>
    <col min="5908" max="5908" width="11.6640625" style="7" customWidth="1"/>
    <col min="5909" max="5909" width="2.5546875" style="7" customWidth="1"/>
    <col min="5910" max="5910" width="11.6640625" style="7" customWidth="1"/>
    <col min="5911" max="5911" width="2.5546875" style="7" customWidth="1"/>
    <col min="5912" max="5912" width="11.6640625" style="7" customWidth="1"/>
    <col min="5913" max="5913" width="2.5546875" style="7" customWidth="1"/>
    <col min="5914" max="5914" width="11.6640625" style="7" customWidth="1"/>
    <col min="5915" max="5915" width="2.6640625" style="7" customWidth="1"/>
    <col min="5916" max="5916" width="13.5546875" style="7" customWidth="1"/>
    <col min="5917" max="5917" width="2.5546875" style="7" customWidth="1"/>
    <col min="5918" max="5918" width="13.6640625" style="7" customWidth="1"/>
    <col min="5919" max="5919" width="2.5546875" style="7" customWidth="1"/>
    <col min="5920" max="5920" width="13.44140625" style="7" customWidth="1"/>
    <col min="5921" max="6144" width="9.109375" style="7"/>
    <col min="6145" max="6145" width="4" style="7" customWidth="1"/>
    <col min="6146" max="6146" width="39.6640625" style="7" customWidth="1"/>
    <col min="6147" max="6147" width="2.5546875" style="7" customWidth="1"/>
    <col min="6148" max="6148" width="11.6640625" style="7" customWidth="1"/>
    <col min="6149" max="6149" width="2.5546875" style="7" customWidth="1"/>
    <col min="6150" max="6150" width="11.6640625" style="7" customWidth="1"/>
    <col min="6151" max="6151" width="2.5546875" style="7" customWidth="1"/>
    <col min="6152" max="6152" width="11.6640625" style="7" customWidth="1"/>
    <col min="6153" max="6153" width="2.5546875" style="7" customWidth="1"/>
    <col min="6154" max="6154" width="11.6640625" style="7" customWidth="1"/>
    <col min="6155" max="6155" width="2.5546875" style="7" customWidth="1"/>
    <col min="6156" max="6156" width="11.6640625" style="7" customWidth="1"/>
    <col min="6157" max="6157" width="2.5546875" style="7" customWidth="1"/>
    <col min="6158" max="6158" width="11.6640625" style="7" customWidth="1"/>
    <col min="6159" max="6159" width="2.5546875" style="7" customWidth="1"/>
    <col min="6160" max="6160" width="11.6640625" style="7" customWidth="1"/>
    <col min="6161" max="6161" width="2.5546875" style="7" customWidth="1"/>
    <col min="6162" max="6162" width="11.6640625" style="7" customWidth="1"/>
    <col min="6163" max="6163" width="2.5546875" style="7" customWidth="1"/>
    <col min="6164" max="6164" width="11.6640625" style="7" customWidth="1"/>
    <col min="6165" max="6165" width="2.5546875" style="7" customWidth="1"/>
    <col min="6166" max="6166" width="11.6640625" style="7" customWidth="1"/>
    <col min="6167" max="6167" width="2.5546875" style="7" customWidth="1"/>
    <col min="6168" max="6168" width="11.6640625" style="7" customWidth="1"/>
    <col min="6169" max="6169" width="2.5546875" style="7" customWidth="1"/>
    <col min="6170" max="6170" width="11.6640625" style="7" customWidth="1"/>
    <col min="6171" max="6171" width="2.6640625" style="7" customWidth="1"/>
    <col min="6172" max="6172" width="13.5546875" style="7" customWidth="1"/>
    <col min="6173" max="6173" width="2.5546875" style="7" customWidth="1"/>
    <col min="6174" max="6174" width="13.6640625" style="7" customWidth="1"/>
    <col min="6175" max="6175" width="2.5546875" style="7" customWidth="1"/>
    <col min="6176" max="6176" width="13.44140625" style="7" customWidth="1"/>
    <col min="6177" max="6400" width="9.109375" style="7"/>
    <col min="6401" max="6401" width="4" style="7" customWidth="1"/>
    <col min="6402" max="6402" width="39.6640625" style="7" customWidth="1"/>
    <col min="6403" max="6403" width="2.5546875" style="7" customWidth="1"/>
    <col min="6404" max="6404" width="11.6640625" style="7" customWidth="1"/>
    <col min="6405" max="6405" width="2.5546875" style="7" customWidth="1"/>
    <col min="6406" max="6406" width="11.6640625" style="7" customWidth="1"/>
    <col min="6407" max="6407" width="2.5546875" style="7" customWidth="1"/>
    <col min="6408" max="6408" width="11.6640625" style="7" customWidth="1"/>
    <col min="6409" max="6409" width="2.5546875" style="7" customWidth="1"/>
    <col min="6410" max="6410" width="11.6640625" style="7" customWidth="1"/>
    <col min="6411" max="6411" width="2.5546875" style="7" customWidth="1"/>
    <col min="6412" max="6412" width="11.6640625" style="7" customWidth="1"/>
    <col min="6413" max="6413" width="2.5546875" style="7" customWidth="1"/>
    <col min="6414" max="6414" width="11.6640625" style="7" customWidth="1"/>
    <col min="6415" max="6415" width="2.5546875" style="7" customWidth="1"/>
    <col min="6416" max="6416" width="11.6640625" style="7" customWidth="1"/>
    <col min="6417" max="6417" width="2.5546875" style="7" customWidth="1"/>
    <col min="6418" max="6418" width="11.6640625" style="7" customWidth="1"/>
    <col min="6419" max="6419" width="2.5546875" style="7" customWidth="1"/>
    <col min="6420" max="6420" width="11.6640625" style="7" customWidth="1"/>
    <col min="6421" max="6421" width="2.5546875" style="7" customWidth="1"/>
    <col min="6422" max="6422" width="11.6640625" style="7" customWidth="1"/>
    <col min="6423" max="6423" width="2.5546875" style="7" customWidth="1"/>
    <col min="6424" max="6424" width="11.6640625" style="7" customWidth="1"/>
    <col min="6425" max="6425" width="2.5546875" style="7" customWidth="1"/>
    <col min="6426" max="6426" width="11.6640625" style="7" customWidth="1"/>
    <col min="6427" max="6427" width="2.6640625" style="7" customWidth="1"/>
    <col min="6428" max="6428" width="13.5546875" style="7" customWidth="1"/>
    <col min="6429" max="6429" width="2.5546875" style="7" customWidth="1"/>
    <col min="6430" max="6430" width="13.6640625" style="7" customWidth="1"/>
    <col min="6431" max="6431" width="2.5546875" style="7" customWidth="1"/>
    <col min="6432" max="6432" width="13.44140625" style="7" customWidth="1"/>
    <col min="6433" max="6656" width="9.109375" style="7"/>
    <col min="6657" max="6657" width="4" style="7" customWidth="1"/>
    <col min="6658" max="6658" width="39.6640625" style="7" customWidth="1"/>
    <col min="6659" max="6659" width="2.5546875" style="7" customWidth="1"/>
    <col min="6660" max="6660" width="11.6640625" style="7" customWidth="1"/>
    <col min="6661" max="6661" width="2.5546875" style="7" customWidth="1"/>
    <col min="6662" max="6662" width="11.6640625" style="7" customWidth="1"/>
    <col min="6663" max="6663" width="2.5546875" style="7" customWidth="1"/>
    <col min="6664" max="6664" width="11.6640625" style="7" customWidth="1"/>
    <col min="6665" max="6665" width="2.5546875" style="7" customWidth="1"/>
    <col min="6666" max="6666" width="11.6640625" style="7" customWidth="1"/>
    <col min="6667" max="6667" width="2.5546875" style="7" customWidth="1"/>
    <col min="6668" max="6668" width="11.6640625" style="7" customWidth="1"/>
    <col min="6669" max="6669" width="2.5546875" style="7" customWidth="1"/>
    <col min="6670" max="6670" width="11.6640625" style="7" customWidth="1"/>
    <col min="6671" max="6671" width="2.5546875" style="7" customWidth="1"/>
    <col min="6672" max="6672" width="11.6640625" style="7" customWidth="1"/>
    <col min="6673" max="6673" width="2.5546875" style="7" customWidth="1"/>
    <col min="6674" max="6674" width="11.6640625" style="7" customWidth="1"/>
    <col min="6675" max="6675" width="2.5546875" style="7" customWidth="1"/>
    <col min="6676" max="6676" width="11.6640625" style="7" customWidth="1"/>
    <col min="6677" max="6677" width="2.5546875" style="7" customWidth="1"/>
    <col min="6678" max="6678" width="11.6640625" style="7" customWidth="1"/>
    <col min="6679" max="6679" width="2.5546875" style="7" customWidth="1"/>
    <col min="6680" max="6680" width="11.6640625" style="7" customWidth="1"/>
    <col min="6681" max="6681" width="2.5546875" style="7" customWidth="1"/>
    <col min="6682" max="6682" width="11.6640625" style="7" customWidth="1"/>
    <col min="6683" max="6683" width="2.6640625" style="7" customWidth="1"/>
    <col min="6684" max="6684" width="13.5546875" style="7" customWidth="1"/>
    <col min="6685" max="6685" width="2.5546875" style="7" customWidth="1"/>
    <col min="6686" max="6686" width="13.6640625" style="7" customWidth="1"/>
    <col min="6687" max="6687" width="2.5546875" style="7" customWidth="1"/>
    <col min="6688" max="6688" width="13.44140625" style="7" customWidth="1"/>
    <col min="6689" max="6912" width="9.109375" style="7"/>
    <col min="6913" max="6913" width="4" style="7" customWidth="1"/>
    <col min="6914" max="6914" width="39.6640625" style="7" customWidth="1"/>
    <col min="6915" max="6915" width="2.5546875" style="7" customWidth="1"/>
    <col min="6916" max="6916" width="11.6640625" style="7" customWidth="1"/>
    <col min="6917" max="6917" width="2.5546875" style="7" customWidth="1"/>
    <col min="6918" max="6918" width="11.6640625" style="7" customWidth="1"/>
    <col min="6919" max="6919" width="2.5546875" style="7" customWidth="1"/>
    <col min="6920" max="6920" width="11.6640625" style="7" customWidth="1"/>
    <col min="6921" max="6921" width="2.5546875" style="7" customWidth="1"/>
    <col min="6922" max="6922" width="11.6640625" style="7" customWidth="1"/>
    <col min="6923" max="6923" width="2.5546875" style="7" customWidth="1"/>
    <col min="6924" max="6924" width="11.6640625" style="7" customWidth="1"/>
    <col min="6925" max="6925" width="2.5546875" style="7" customWidth="1"/>
    <col min="6926" max="6926" width="11.6640625" style="7" customWidth="1"/>
    <col min="6927" max="6927" width="2.5546875" style="7" customWidth="1"/>
    <col min="6928" max="6928" width="11.6640625" style="7" customWidth="1"/>
    <col min="6929" max="6929" width="2.5546875" style="7" customWidth="1"/>
    <col min="6930" max="6930" width="11.6640625" style="7" customWidth="1"/>
    <col min="6931" max="6931" width="2.5546875" style="7" customWidth="1"/>
    <col min="6932" max="6932" width="11.6640625" style="7" customWidth="1"/>
    <col min="6933" max="6933" width="2.5546875" style="7" customWidth="1"/>
    <col min="6934" max="6934" width="11.6640625" style="7" customWidth="1"/>
    <col min="6935" max="6935" width="2.5546875" style="7" customWidth="1"/>
    <col min="6936" max="6936" width="11.6640625" style="7" customWidth="1"/>
    <col min="6937" max="6937" width="2.5546875" style="7" customWidth="1"/>
    <col min="6938" max="6938" width="11.6640625" style="7" customWidth="1"/>
    <col min="6939" max="6939" width="2.6640625" style="7" customWidth="1"/>
    <col min="6940" max="6940" width="13.5546875" style="7" customWidth="1"/>
    <col min="6941" max="6941" width="2.5546875" style="7" customWidth="1"/>
    <col min="6942" max="6942" width="13.6640625" style="7" customWidth="1"/>
    <col min="6943" max="6943" width="2.5546875" style="7" customWidth="1"/>
    <col min="6944" max="6944" width="13.44140625" style="7" customWidth="1"/>
    <col min="6945" max="7168" width="9.109375" style="7"/>
    <col min="7169" max="7169" width="4" style="7" customWidth="1"/>
    <col min="7170" max="7170" width="39.6640625" style="7" customWidth="1"/>
    <col min="7171" max="7171" width="2.5546875" style="7" customWidth="1"/>
    <col min="7172" max="7172" width="11.6640625" style="7" customWidth="1"/>
    <col min="7173" max="7173" width="2.5546875" style="7" customWidth="1"/>
    <col min="7174" max="7174" width="11.6640625" style="7" customWidth="1"/>
    <col min="7175" max="7175" width="2.5546875" style="7" customWidth="1"/>
    <col min="7176" max="7176" width="11.6640625" style="7" customWidth="1"/>
    <col min="7177" max="7177" width="2.5546875" style="7" customWidth="1"/>
    <col min="7178" max="7178" width="11.6640625" style="7" customWidth="1"/>
    <col min="7179" max="7179" width="2.5546875" style="7" customWidth="1"/>
    <col min="7180" max="7180" width="11.6640625" style="7" customWidth="1"/>
    <col min="7181" max="7181" width="2.5546875" style="7" customWidth="1"/>
    <col min="7182" max="7182" width="11.6640625" style="7" customWidth="1"/>
    <col min="7183" max="7183" width="2.5546875" style="7" customWidth="1"/>
    <col min="7184" max="7184" width="11.6640625" style="7" customWidth="1"/>
    <col min="7185" max="7185" width="2.5546875" style="7" customWidth="1"/>
    <col min="7186" max="7186" width="11.6640625" style="7" customWidth="1"/>
    <col min="7187" max="7187" width="2.5546875" style="7" customWidth="1"/>
    <col min="7188" max="7188" width="11.6640625" style="7" customWidth="1"/>
    <col min="7189" max="7189" width="2.5546875" style="7" customWidth="1"/>
    <col min="7190" max="7190" width="11.6640625" style="7" customWidth="1"/>
    <col min="7191" max="7191" width="2.5546875" style="7" customWidth="1"/>
    <col min="7192" max="7192" width="11.6640625" style="7" customWidth="1"/>
    <col min="7193" max="7193" width="2.5546875" style="7" customWidth="1"/>
    <col min="7194" max="7194" width="11.6640625" style="7" customWidth="1"/>
    <col min="7195" max="7195" width="2.6640625" style="7" customWidth="1"/>
    <col min="7196" max="7196" width="13.5546875" style="7" customWidth="1"/>
    <col min="7197" max="7197" width="2.5546875" style="7" customWidth="1"/>
    <col min="7198" max="7198" width="13.6640625" style="7" customWidth="1"/>
    <col min="7199" max="7199" width="2.5546875" style="7" customWidth="1"/>
    <col min="7200" max="7200" width="13.44140625" style="7" customWidth="1"/>
    <col min="7201" max="7424" width="9.109375" style="7"/>
    <col min="7425" max="7425" width="4" style="7" customWidth="1"/>
    <col min="7426" max="7426" width="39.6640625" style="7" customWidth="1"/>
    <col min="7427" max="7427" width="2.5546875" style="7" customWidth="1"/>
    <col min="7428" max="7428" width="11.6640625" style="7" customWidth="1"/>
    <col min="7429" max="7429" width="2.5546875" style="7" customWidth="1"/>
    <col min="7430" max="7430" width="11.6640625" style="7" customWidth="1"/>
    <col min="7431" max="7431" width="2.5546875" style="7" customWidth="1"/>
    <col min="7432" max="7432" width="11.6640625" style="7" customWidth="1"/>
    <col min="7433" max="7433" width="2.5546875" style="7" customWidth="1"/>
    <col min="7434" max="7434" width="11.6640625" style="7" customWidth="1"/>
    <col min="7435" max="7435" width="2.5546875" style="7" customWidth="1"/>
    <col min="7436" max="7436" width="11.6640625" style="7" customWidth="1"/>
    <col min="7437" max="7437" width="2.5546875" style="7" customWidth="1"/>
    <col min="7438" max="7438" width="11.6640625" style="7" customWidth="1"/>
    <col min="7439" max="7439" width="2.5546875" style="7" customWidth="1"/>
    <col min="7440" max="7440" width="11.6640625" style="7" customWidth="1"/>
    <col min="7441" max="7441" width="2.5546875" style="7" customWidth="1"/>
    <col min="7442" max="7442" width="11.6640625" style="7" customWidth="1"/>
    <col min="7443" max="7443" width="2.5546875" style="7" customWidth="1"/>
    <col min="7444" max="7444" width="11.6640625" style="7" customWidth="1"/>
    <col min="7445" max="7445" width="2.5546875" style="7" customWidth="1"/>
    <col min="7446" max="7446" width="11.6640625" style="7" customWidth="1"/>
    <col min="7447" max="7447" width="2.5546875" style="7" customWidth="1"/>
    <col min="7448" max="7448" width="11.6640625" style="7" customWidth="1"/>
    <col min="7449" max="7449" width="2.5546875" style="7" customWidth="1"/>
    <col min="7450" max="7450" width="11.6640625" style="7" customWidth="1"/>
    <col min="7451" max="7451" width="2.6640625" style="7" customWidth="1"/>
    <col min="7452" max="7452" width="13.5546875" style="7" customWidth="1"/>
    <col min="7453" max="7453" width="2.5546875" style="7" customWidth="1"/>
    <col min="7454" max="7454" width="13.6640625" style="7" customWidth="1"/>
    <col min="7455" max="7455" width="2.5546875" style="7" customWidth="1"/>
    <col min="7456" max="7456" width="13.44140625" style="7" customWidth="1"/>
    <col min="7457" max="7680" width="9.109375" style="7"/>
    <col min="7681" max="7681" width="4" style="7" customWidth="1"/>
    <col min="7682" max="7682" width="39.6640625" style="7" customWidth="1"/>
    <col min="7683" max="7683" width="2.5546875" style="7" customWidth="1"/>
    <col min="7684" max="7684" width="11.6640625" style="7" customWidth="1"/>
    <col min="7685" max="7685" width="2.5546875" style="7" customWidth="1"/>
    <col min="7686" max="7686" width="11.6640625" style="7" customWidth="1"/>
    <col min="7687" max="7687" width="2.5546875" style="7" customWidth="1"/>
    <col min="7688" max="7688" width="11.6640625" style="7" customWidth="1"/>
    <col min="7689" max="7689" width="2.5546875" style="7" customWidth="1"/>
    <col min="7690" max="7690" width="11.6640625" style="7" customWidth="1"/>
    <col min="7691" max="7691" width="2.5546875" style="7" customWidth="1"/>
    <col min="7692" max="7692" width="11.6640625" style="7" customWidth="1"/>
    <col min="7693" max="7693" width="2.5546875" style="7" customWidth="1"/>
    <col min="7694" max="7694" width="11.6640625" style="7" customWidth="1"/>
    <col min="7695" max="7695" width="2.5546875" style="7" customWidth="1"/>
    <col min="7696" max="7696" width="11.6640625" style="7" customWidth="1"/>
    <col min="7697" max="7697" width="2.5546875" style="7" customWidth="1"/>
    <col min="7698" max="7698" width="11.6640625" style="7" customWidth="1"/>
    <col min="7699" max="7699" width="2.5546875" style="7" customWidth="1"/>
    <col min="7700" max="7700" width="11.6640625" style="7" customWidth="1"/>
    <col min="7701" max="7701" width="2.5546875" style="7" customWidth="1"/>
    <col min="7702" max="7702" width="11.6640625" style="7" customWidth="1"/>
    <col min="7703" max="7703" width="2.5546875" style="7" customWidth="1"/>
    <col min="7704" max="7704" width="11.6640625" style="7" customWidth="1"/>
    <col min="7705" max="7705" width="2.5546875" style="7" customWidth="1"/>
    <col min="7706" max="7706" width="11.6640625" style="7" customWidth="1"/>
    <col min="7707" max="7707" width="2.6640625" style="7" customWidth="1"/>
    <col min="7708" max="7708" width="13.5546875" style="7" customWidth="1"/>
    <col min="7709" max="7709" width="2.5546875" style="7" customWidth="1"/>
    <col min="7710" max="7710" width="13.6640625" style="7" customWidth="1"/>
    <col min="7711" max="7711" width="2.5546875" style="7" customWidth="1"/>
    <col min="7712" max="7712" width="13.44140625" style="7" customWidth="1"/>
    <col min="7713" max="7936" width="9.109375" style="7"/>
    <col min="7937" max="7937" width="4" style="7" customWidth="1"/>
    <col min="7938" max="7938" width="39.6640625" style="7" customWidth="1"/>
    <col min="7939" max="7939" width="2.5546875" style="7" customWidth="1"/>
    <col min="7940" max="7940" width="11.6640625" style="7" customWidth="1"/>
    <col min="7941" max="7941" width="2.5546875" style="7" customWidth="1"/>
    <col min="7942" max="7942" width="11.6640625" style="7" customWidth="1"/>
    <col min="7943" max="7943" width="2.5546875" style="7" customWidth="1"/>
    <col min="7944" max="7944" width="11.6640625" style="7" customWidth="1"/>
    <col min="7945" max="7945" width="2.5546875" style="7" customWidth="1"/>
    <col min="7946" max="7946" width="11.6640625" style="7" customWidth="1"/>
    <col min="7947" max="7947" width="2.5546875" style="7" customWidth="1"/>
    <col min="7948" max="7948" width="11.6640625" style="7" customWidth="1"/>
    <col min="7949" max="7949" width="2.5546875" style="7" customWidth="1"/>
    <col min="7950" max="7950" width="11.6640625" style="7" customWidth="1"/>
    <col min="7951" max="7951" width="2.5546875" style="7" customWidth="1"/>
    <col min="7952" max="7952" width="11.6640625" style="7" customWidth="1"/>
    <col min="7953" max="7953" width="2.5546875" style="7" customWidth="1"/>
    <col min="7954" max="7954" width="11.6640625" style="7" customWidth="1"/>
    <col min="7955" max="7955" width="2.5546875" style="7" customWidth="1"/>
    <col min="7956" max="7956" width="11.6640625" style="7" customWidth="1"/>
    <col min="7957" max="7957" width="2.5546875" style="7" customWidth="1"/>
    <col min="7958" max="7958" width="11.6640625" style="7" customWidth="1"/>
    <col min="7959" max="7959" width="2.5546875" style="7" customWidth="1"/>
    <col min="7960" max="7960" width="11.6640625" style="7" customWidth="1"/>
    <col min="7961" max="7961" width="2.5546875" style="7" customWidth="1"/>
    <col min="7962" max="7962" width="11.6640625" style="7" customWidth="1"/>
    <col min="7963" max="7963" width="2.6640625" style="7" customWidth="1"/>
    <col min="7964" max="7964" width="13.5546875" style="7" customWidth="1"/>
    <col min="7965" max="7965" width="2.5546875" style="7" customWidth="1"/>
    <col min="7966" max="7966" width="13.6640625" style="7" customWidth="1"/>
    <col min="7967" max="7967" width="2.5546875" style="7" customWidth="1"/>
    <col min="7968" max="7968" width="13.44140625" style="7" customWidth="1"/>
    <col min="7969" max="8192" width="9.109375" style="7"/>
    <col min="8193" max="8193" width="4" style="7" customWidth="1"/>
    <col min="8194" max="8194" width="39.6640625" style="7" customWidth="1"/>
    <col min="8195" max="8195" width="2.5546875" style="7" customWidth="1"/>
    <col min="8196" max="8196" width="11.6640625" style="7" customWidth="1"/>
    <col min="8197" max="8197" width="2.5546875" style="7" customWidth="1"/>
    <col min="8198" max="8198" width="11.6640625" style="7" customWidth="1"/>
    <col min="8199" max="8199" width="2.5546875" style="7" customWidth="1"/>
    <col min="8200" max="8200" width="11.6640625" style="7" customWidth="1"/>
    <col min="8201" max="8201" width="2.5546875" style="7" customWidth="1"/>
    <col min="8202" max="8202" width="11.6640625" style="7" customWidth="1"/>
    <col min="8203" max="8203" width="2.5546875" style="7" customWidth="1"/>
    <col min="8204" max="8204" width="11.6640625" style="7" customWidth="1"/>
    <col min="8205" max="8205" width="2.5546875" style="7" customWidth="1"/>
    <col min="8206" max="8206" width="11.6640625" style="7" customWidth="1"/>
    <col min="8207" max="8207" width="2.5546875" style="7" customWidth="1"/>
    <col min="8208" max="8208" width="11.6640625" style="7" customWidth="1"/>
    <col min="8209" max="8209" width="2.5546875" style="7" customWidth="1"/>
    <col min="8210" max="8210" width="11.6640625" style="7" customWidth="1"/>
    <col min="8211" max="8211" width="2.5546875" style="7" customWidth="1"/>
    <col min="8212" max="8212" width="11.6640625" style="7" customWidth="1"/>
    <col min="8213" max="8213" width="2.5546875" style="7" customWidth="1"/>
    <col min="8214" max="8214" width="11.6640625" style="7" customWidth="1"/>
    <col min="8215" max="8215" width="2.5546875" style="7" customWidth="1"/>
    <col min="8216" max="8216" width="11.6640625" style="7" customWidth="1"/>
    <col min="8217" max="8217" width="2.5546875" style="7" customWidth="1"/>
    <col min="8218" max="8218" width="11.6640625" style="7" customWidth="1"/>
    <col min="8219" max="8219" width="2.6640625" style="7" customWidth="1"/>
    <col min="8220" max="8220" width="13.5546875" style="7" customWidth="1"/>
    <col min="8221" max="8221" width="2.5546875" style="7" customWidth="1"/>
    <col min="8222" max="8222" width="13.6640625" style="7" customWidth="1"/>
    <col min="8223" max="8223" width="2.5546875" style="7" customWidth="1"/>
    <col min="8224" max="8224" width="13.44140625" style="7" customWidth="1"/>
    <col min="8225" max="8448" width="9.109375" style="7"/>
    <col min="8449" max="8449" width="4" style="7" customWidth="1"/>
    <col min="8450" max="8450" width="39.6640625" style="7" customWidth="1"/>
    <col min="8451" max="8451" width="2.5546875" style="7" customWidth="1"/>
    <col min="8452" max="8452" width="11.6640625" style="7" customWidth="1"/>
    <col min="8453" max="8453" width="2.5546875" style="7" customWidth="1"/>
    <col min="8454" max="8454" width="11.6640625" style="7" customWidth="1"/>
    <col min="8455" max="8455" width="2.5546875" style="7" customWidth="1"/>
    <col min="8456" max="8456" width="11.6640625" style="7" customWidth="1"/>
    <col min="8457" max="8457" width="2.5546875" style="7" customWidth="1"/>
    <col min="8458" max="8458" width="11.6640625" style="7" customWidth="1"/>
    <col min="8459" max="8459" width="2.5546875" style="7" customWidth="1"/>
    <col min="8460" max="8460" width="11.6640625" style="7" customWidth="1"/>
    <col min="8461" max="8461" width="2.5546875" style="7" customWidth="1"/>
    <col min="8462" max="8462" width="11.6640625" style="7" customWidth="1"/>
    <col min="8463" max="8463" width="2.5546875" style="7" customWidth="1"/>
    <col min="8464" max="8464" width="11.6640625" style="7" customWidth="1"/>
    <col min="8465" max="8465" width="2.5546875" style="7" customWidth="1"/>
    <col min="8466" max="8466" width="11.6640625" style="7" customWidth="1"/>
    <col min="8467" max="8467" width="2.5546875" style="7" customWidth="1"/>
    <col min="8468" max="8468" width="11.6640625" style="7" customWidth="1"/>
    <col min="8469" max="8469" width="2.5546875" style="7" customWidth="1"/>
    <col min="8470" max="8470" width="11.6640625" style="7" customWidth="1"/>
    <col min="8471" max="8471" width="2.5546875" style="7" customWidth="1"/>
    <col min="8472" max="8472" width="11.6640625" style="7" customWidth="1"/>
    <col min="8473" max="8473" width="2.5546875" style="7" customWidth="1"/>
    <col min="8474" max="8474" width="11.6640625" style="7" customWidth="1"/>
    <col min="8475" max="8475" width="2.6640625" style="7" customWidth="1"/>
    <col min="8476" max="8476" width="13.5546875" style="7" customWidth="1"/>
    <col min="8477" max="8477" width="2.5546875" style="7" customWidth="1"/>
    <col min="8478" max="8478" width="13.6640625" style="7" customWidth="1"/>
    <col min="8479" max="8479" width="2.5546875" style="7" customWidth="1"/>
    <col min="8480" max="8480" width="13.44140625" style="7" customWidth="1"/>
    <col min="8481" max="8704" width="9.109375" style="7"/>
    <col min="8705" max="8705" width="4" style="7" customWidth="1"/>
    <col min="8706" max="8706" width="39.6640625" style="7" customWidth="1"/>
    <col min="8707" max="8707" width="2.5546875" style="7" customWidth="1"/>
    <col min="8708" max="8708" width="11.6640625" style="7" customWidth="1"/>
    <col min="8709" max="8709" width="2.5546875" style="7" customWidth="1"/>
    <col min="8710" max="8710" width="11.6640625" style="7" customWidth="1"/>
    <col min="8711" max="8711" width="2.5546875" style="7" customWidth="1"/>
    <col min="8712" max="8712" width="11.6640625" style="7" customWidth="1"/>
    <col min="8713" max="8713" width="2.5546875" style="7" customWidth="1"/>
    <col min="8714" max="8714" width="11.6640625" style="7" customWidth="1"/>
    <col min="8715" max="8715" width="2.5546875" style="7" customWidth="1"/>
    <col min="8716" max="8716" width="11.6640625" style="7" customWidth="1"/>
    <col min="8717" max="8717" width="2.5546875" style="7" customWidth="1"/>
    <col min="8718" max="8718" width="11.6640625" style="7" customWidth="1"/>
    <col min="8719" max="8719" width="2.5546875" style="7" customWidth="1"/>
    <col min="8720" max="8720" width="11.6640625" style="7" customWidth="1"/>
    <col min="8721" max="8721" width="2.5546875" style="7" customWidth="1"/>
    <col min="8722" max="8722" width="11.6640625" style="7" customWidth="1"/>
    <col min="8723" max="8723" width="2.5546875" style="7" customWidth="1"/>
    <col min="8724" max="8724" width="11.6640625" style="7" customWidth="1"/>
    <col min="8725" max="8725" width="2.5546875" style="7" customWidth="1"/>
    <col min="8726" max="8726" width="11.6640625" style="7" customWidth="1"/>
    <col min="8727" max="8727" width="2.5546875" style="7" customWidth="1"/>
    <col min="8728" max="8728" width="11.6640625" style="7" customWidth="1"/>
    <col min="8729" max="8729" width="2.5546875" style="7" customWidth="1"/>
    <col min="8730" max="8730" width="11.6640625" style="7" customWidth="1"/>
    <col min="8731" max="8731" width="2.6640625" style="7" customWidth="1"/>
    <col min="8732" max="8732" width="13.5546875" style="7" customWidth="1"/>
    <col min="8733" max="8733" width="2.5546875" style="7" customWidth="1"/>
    <col min="8734" max="8734" width="13.6640625" style="7" customWidth="1"/>
    <col min="8735" max="8735" width="2.5546875" style="7" customWidth="1"/>
    <col min="8736" max="8736" width="13.44140625" style="7" customWidth="1"/>
    <col min="8737" max="8960" width="9.109375" style="7"/>
    <col min="8961" max="8961" width="4" style="7" customWidth="1"/>
    <col min="8962" max="8962" width="39.6640625" style="7" customWidth="1"/>
    <col min="8963" max="8963" width="2.5546875" style="7" customWidth="1"/>
    <col min="8964" max="8964" width="11.6640625" style="7" customWidth="1"/>
    <col min="8965" max="8965" width="2.5546875" style="7" customWidth="1"/>
    <col min="8966" max="8966" width="11.6640625" style="7" customWidth="1"/>
    <col min="8967" max="8967" width="2.5546875" style="7" customWidth="1"/>
    <col min="8968" max="8968" width="11.6640625" style="7" customWidth="1"/>
    <col min="8969" max="8969" width="2.5546875" style="7" customWidth="1"/>
    <col min="8970" max="8970" width="11.6640625" style="7" customWidth="1"/>
    <col min="8971" max="8971" width="2.5546875" style="7" customWidth="1"/>
    <col min="8972" max="8972" width="11.6640625" style="7" customWidth="1"/>
    <col min="8973" max="8973" width="2.5546875" style="7" customWidth="1"/>
    <col min="8974" max="8974" width="11.6640625" style="7" customWidth="1"/>
    <col min="8975" max="8975" width="2.5546875" style="7" customWidth="1"/>
    <col min="8976" max="8976" width="11.6640625" style="7" customWidth="1"/>
    <col min="8977" max="8977" width="2.5546875" style="7" customWidth="1"/>
    <col min="8978" max="8978" width="11.6640625" style="7" customWidth="1"/>
    <col min="8979" max="8979" width="2.5546875" style="7" customWidth="1"/>
    <col min="8980" max="8980" width="11.6640625" style="7" customWidth="1"/>
    <col min="8981" max="8981" width="2.5546875" style="7" customWidth="1"/>
    <col min="8982" max="8982" width="11.6640625" style="7" customWidth="1"/>
    <col min="8983" max="8983" width="2.5546875" style="7" customWidth="1"/>
    <col min="8984" max="8984" width="11.6640625" style="7" customWidth="1"/>
    <col min="8985" max="8985" width="2.5546875" style="7" customWidth="1"/>
    <col min="8986" max="8986" width="11.6640625" style="7" customWidth="1"/>
    <col min="8987" max="8987" width="2.6640625" style="7" customWidth="1"/>
    <col min="8988" max="8988" width="13.5546875" style="7" customWidth="1"/>
    <col min="8989" max="8989" width="2.5546875" style="7" customWidth="1"/>
    <col min="8990" max="8990" width="13.6640625" style="7" customWidth="1"/>
    <col min="8991" max="8991" width="2.5546875" style="7" customWidth="1"/>
    <col min="8992" max="8992" width="13.44140625" style="7" customWidth="1"/>
    <col min="8993" max="9216" width="9.109375" style="7"/>
    <col min="9217" max="9217" width="4" style="7" customWidth="1"/>
    <col min="9218" max="9218" width="39.6640625" style="7" customWidth="1"/>
    <col min="9219" max="9219" width="2.5546875" style="7" customWidth="1"/>
    <col min="9220" max="9220" width="11.6640625" style="7" customWidth="1"/>
    <col min="9221" max="9221" width="2.5546875" style="7" customWidth="1"/>
    <col min="9222" max="9222" width="11.6640625" style="7" customWidth="1"/>
    <col min="9223" max="9223" width="2.5546875" style="7" customWidth="1"/>
    <col min="9224" max="9224" width="11.6640625" style="7" customWidth="1"/>
    <col min="9225" max="9225" width="2.5546875" style="7" customWidth="1"/>
    <col min="9226" max="9226" width="11.6640625" style="7" customWidth="1"/>
    <col min="9227" max="9227" width="2.5546875" style="7" customWidth="1"/>
    <col min="9228" max="9228" width="11.6640625" style="7" customWidth="1"/>
    <col min="9229" max="9229" width="2.5546875" style="7" customWidth="1"/>
    <col min="9230" max="9230" width="11.6640625" style="7" customWidth="1"/>
    <col min="9231" max="9231" width="2.5546875" style="7" customWidth="1"/>
    <col min="9232" max="9232" width="11.6640625" style="7" customWidth="1"/>
    <col min="9233" max="9233" width="2.5546875" style="7" customWidth="1"/>
    <col min="9234" max="9234" width="11.6640625" style="7" customWidth="1"/>
    <col min="9235" max="9235" width="2.5546875" style="7" customWidth="1"/>
    <col min="9236" max="9236" width="11.6640625" style="7" customWidth="1"/>
    <col min="9237" max="9237" width="2.5546875" style="7" customWidth="1"/>
    <col min="9238" max="9238" width="11.6640625" style="7" customWidth="1"/>
    <col min="9239" max="9239" width="2.5546875" style="7" customWidth="1"/>
    <col min="9240" max="9240" width="11.6640625" style="7" customWidth="1"/>
    <col min="9241" max="9241" width="2.5546875" style="7" customWidth="1"/>
    <col min="9242" max="9242" width="11.6640625" style="7" customWidth="1"/>
    <col min="9243" max="9243" width="2.6640625" style="7" customWidth="1"/>
    <col min="9244" max="9244" width="13.5546875" style="7" customWidth="1"/>
    <col min="9245" max="9245" width="2.5546875" style="7" customWidth="1"/>
    <col min="9246" max="9246" width="13.6640625" style="7" customWidth="1"/>
    <col min="9247" max="9247" width="2.5546875" style="7" customWidth="1"/>
    <col min="9248" max="9248" width="13.44140625" style="7" customWidth="1"/>
    <col min="9249" max="9472" width="9.109375" style="7"/>
    <col min="9473" max="9473" width="4" style="7" customWidth="1"/>
    <col min="9474" max="9474" width="39.6640625" style="7" customWidth="1"/>
    <col min="9475" max="9475" width="2.5546875" style="7" customWidth="1"/>
    <col min="9476" max="9476" width="11.6640625" style="7" customWidth="1"/>
    <col min="9477" max="9477" width="2.5546875" style="7" customWidth="1"/>
    <col min="9478" max="9478" width="11.6640625" style="7" customWidth="1"/>
    <col min="9479" max="9479" width="2.5546875" style="7" customWidth="1"/>
    <col min="9480" max="9480" width="11.6640625" style="7" customWidth="1"/>
    <col min="9481" max="9481" width="2.5546875" style="7" customWidth="1"/>
    <col min="9482" max="9482" width="11.6640625" style="7" customWidth="1"/>
    <col min="9483" max="9483" width="2.5546875" style="7" customWidth="1"/>
    <col min="9484" max="9484" width="11.6640625" style="7" customWidth="1"/>
    <col min="9485" max="9485" width="2.5546875" style="7" customWidth="1"/>
    <col min="9486" max="9486" width="11.6640625" style="7" customWidth="1"/>
    <col min="9487" max="9487" width="2.5546875" style="7" customWidth="1"/>
    <col min="9488" max="9488" width="11.6640625" style="7" customWidth="1"/>
    <col min="9489" max="9489" width="2.5546875" style="7" customWidth="1"/>
    <col min="9490" max="9490" width="11.6640625" style="7" customWidth="1"/>
    <col min="9491" max="9491" width="2.5546875" style="7" customWidth="1"/>
    <col min="9492" max="9492" width="11.6640625" style="7" customWidth="1"/>
    <col min="9493" max="9493" width="2.5546875" style="7" customWidth="1"/>
    <col min="9494" max="9494" width="11.6640625" style="7" customWidth="1"/>
    <col min="9495" max="9495" width="2.5546875" style="7" customWidth="1"/>
    <col min="9496" max="9496" width="11.6640625" style="7" customWidth="1"/>
    <col min="9497" max="9497" width="2.5546875" style="7" customWidth="1"/>
    <col min="9498" max="9498" width="11.6640625" style="7" customWidth="1"/>
    <col min="9499" max="9499" width="2.6640625" style="7" customWidth="1"/>
    <col min="9500" max="9500" width="13.5546875" style="7" customWidth="1"/>
    <col min="9501" max="9501" width="2.5546875" style="7" customWidth="1"/>
    <col min="9502" max="9502" width="13.6640625" style="7" customWidth="1"/>
    <col min="9503" max="9503" width="2.5546875" style="7" customWidth="1"/>
    <col min="9504" max="9504" width="13.44140625" style="7" customWidth="1"/>
    <col min="9505" max="9728" width="9.109375" style="7"/>
    <col min="9729" max="9729" width="4" style="7" customWidth="1"/>
    <col min="9730" max="9730" width="39.6640625" style="7" customWidth="1"/>
    <col min="9731" max="9731" width="2.5546875" style="7" customWidth="1"/>
    <col min="9732" max="9732" width="11.6640625" style="7" customWidth="1"/>
    <col min="9733" max="9733" width="2.5546875" style="7" customWidth="1"/>
    <col min="9734" max="9734" width="11.6640625" style="7" customWidth="1"/>
    <col min="9735" max="9735" width="2.5546875" style="7" customWidth="1"/>
    <col min="9736" max="9736" width="11.6640625" style="7" customWidth="1"/>
    <col min="9737" max="9737" width="2.5546875" style="7" customWidth="1"/>
    <col min="9738" max="9738" width="11.6640625" style="7" customWidth="1"/>
    <col min="9739" max="9739" width="2.5546875" style="7" customWidth="1"/>
    <col min="9740" max="9740" width="11.6640625" style="7" customWidth="1"/>
    <col min="9741" max="9741" width="2.5546875" style="7" customWidth="1"/>
    <col min="9742" max="9742" width="11.6640625" style="7" customWidth="1"/>
    <col min="9743" max="9743" width="2.5546875" style="7" customWidth="1"/>
    <col min="9744" max="9744" width="11.6640625" style="7" customWidth="1"/>
    <col min="9745" max="9745" width="2.5546875" style="7" customWidth="1"/>
    <col min="9746" max="9746" width="11.6640625" style="7" customWidth="1"/>
    <col min="9747" max="9747" width="2.5546875" style="7" customWidth="1"/>
    <col min="9748" max="9748" width="11.6640625" style="7" customWidth="1"/>
    <col min="9749" max="9749" width="2.5546875" style="7" customWidth="1"/>
    <col min="9750" max="9750" width="11.6640625" style="7" customWidth="1"/>
    <col min="9751" max="9751" width="2.5546875" style="7" customWidth="1"/>
    <col min="9752" max="9752" width="11.6640625" style="7" customWidth="1"/>
    <col min="9753" max="9753" width="2.5546875" style="7" customWidth="1"/>
    <col min="9754" max="9754" width="11.6640625" style="7" customWidth="1"/>
    <col min="9755" max="9755" width="2.6640625" style="7" customWidth="1"/>
    <col min="9756" max="9756" width="13.5546875" style="7" customWidth="1"/>
    <col min="9757" max="9757" width="2.5546875" style="7" customWidth="1"/>
    <col min="9758" max="9758" width="13.6640625" style="7" customWidth="1"/>
    <col min="9759" max="9759" width="2.5546875" style="7" customWidth="1"/>
    <col min="9760" max="9760" width="13.44140625" style="7" customWidth="1"/>
    <col min="9761" max="9984" width="9.109375" style="7"/>
    <col min="9985" max="9985" width="4" style="7" customWidth="1"/>
    <col min="9986" max="9986" width="39.6640625" style="7" customWidth="1"/>
    <col min="9987" max="9987" width="2.5546875" style="7" customWidth="1"/>
    <col min="9988" max="9988" width="11.6640625" style="7" customWidth="1"/>
    <col min="9989" max="9989" width="2.5546875" style="7" customWidth="1"/>
    <col min="9990" max="9990" width="11.6640625" style="7" customWidth="1"/>
    <col min="9991" max="9991" width="2.5546875" style="7" customWidth="1"/>
    <col min="9992" max="9992" width="11.6640625" style="7" customWidth="1"/>
    <col min="9993" max="9993" width="2.5546875" style="7" customWidth="1"/>
    <col min="9994" max="9994" width="11.6640625" style="7" customWidth="1"/>
    <col min="9995" max="9995" width="2.5546875" style="7" customWidth="1"/>
    <col min="9996" max="9996" width="11.6640625" style="7" customWidth="1"/>
    <col min="9997" max="9997" width="2.5546875" style="7" customWidth="1"/>
    <col min="9998" max="9998" width="11.6640625" style="7" customWidth="1"/>
    <col min="9999" max="9999" width="2.5546875" style="7" customWidth="1"/>
    <col min="10000" max="10000" width="11.6640625" style="7" customWidth="1"/>
    <col min="10001" max="10001" width="2.5546875" style="7" customWidth="1"/>
    <col min="10002" max="10002" width="11.6640625" style="7" customWidth="1"/>
    <col min="10003" max="10003" width="2.5546875" style="7" customWidth="1"/>
    <col min="10004" max="10004" width="11.6640625" style="7" customWidth="1"/>
    <col min="10005" max="10005" width="2.5546875" style="7" customWidth="1"/>
    <col min="10006" max="10006" width="11.6640625" style="7" customWidth="1"/>
    <col min="10007" max="10007" width="2.5546875" style="7" customWidth="1"/>
    <col min="10008" max="10008" width="11.6640625" style="7" customWidth="1"/>
    <col min="10009" max="10009" width="2.5546875" style="7" customWidth="1"/>
    <col min="10010" max="10010" width="11.6640625" style="7" customWidth="1"/>
    <col min="10011" max="10011" width="2.6640625" style="7" customWidth="1"/>
    <col min="10012" max="10012" width="13.5546875" style="7" customWidth="1"/>
    <col min="10013" max="10013" width="2.5546875" style="7" customWidth="1"/>
    <col min="10014" max="10014" width="13.6640625" style="7" customWidth="1"/>
    <col min="10015" max="10015" width="2.5546875" style="7" customWidth="1"/>
    <col min="10016" max="10016" width="13.44140625" style="7" customWidth="1"/>
    <col min="10017" max="10240" width="9.109375" style="7"/>
    <col min="10241" max="10241" width="4" style="7" customWidth="1"/>
    <col min="10242" max="10242" width="39.6640625" style="7" customWidth="1"/>
    <col min="10243" max="10243" width="2.5546875" style="7" customWidth="1"/>
    <col min="10244" max="10244" width="11.6640625" style="7" customWidth="1"/>
    <col min="10245" max="10245" width="2.5546875" style="7" customWidth="1"/>
    <col min="10246" max="10246" width="11.6640625" style="7" customWidth="1"/>
    <col min="10247" max="10247" width="2.5546875" style="7" customWidth="1"/>
    <col min="10248" max="10248" width="11.6640625" style="7" customWidth="1"/>
    <col min="10249" max="10249" width="2.5546875" style="7" customWidth="1"/>
    <col min="10250" max="10250" width="11.6640625" style="7" customWidth="1"/>
    <col min="10251" max="10251" width="2.5546875" style="7" customWidth="1"/>
    <col min="10252" max="10252" width="11.6640625" style="7" customWidth="1"/>
    <col min="10253" max="10253" width="2.5546875" style="7" customWidth="1"/>
    <col min="10254" max="10254" width="11.6640625" style="7" customWidth="1"/>
    <col min="10255" max="10255" width="2.5546875" style="7" customWidth="1"/>
    <col min="10256" max="10256" width="11.6640625" style="7" customWidth="1"/>
    <col min="10257" max="10257" width="2.5546875" style="7" customWidth="1"/>
    <col min="10258" max="10258" width="11.6640625" style="7" customWidth="1"/>
    <col min="10259" max="10259" width="2.5546875" style="7" customWidth="1"/>
    <col min="10260" max="10260" width="11.6640625" style="7" customWidth="1"/>
    <col min="10261" max="10261" width="2.5546875" style="7" customWidth="1"/>
    <col min="10262" max="10262" width="11.6640625" style="7" customWidth="1"/>
    <col min="10263" max="10263" width="2.5546875" style="7" customWidth="1"/>
    <col min="10264" max="10264" width="11.6640625" style="7" customWidth="1"/>
    <col min="10265" max="10265" width="2.5546875" style="7" customWidth="1"/>
    <col min="10266" max="10266" width="11.6640625" style="7" customWidth="1"/>
    <col min="10267" max="10267" width="2.6640625" style="7" customWidth="1"/>
    <col min="10268" max="10268" width="13.5546875" style="7" customWidth="1"/>
    <col min="10269" max="10269" width="2.5546875" style="7" customWidth="1"/>
    <col min="10270" max="10270" width="13.6640625" style="7" customWidth="1"/>
    <col min="10271" max="10271" width="2.5546875" style="7" customWidth="1"/>
    <col min="10272" max="10272" width="13.44140625" style="7" customWidth="1"/>
    <col min="10273" max="10496" width="9.109375" style="7"/>
    <col min="10497" max="10497" width="4" style="7" customWidth="1"/>
    <col min="10498" max="10498" width="39.6640625" style="7" customWidth="1"/>
    <col min="10499" max="10499" width="2.5546875" style="7" customWidth="1"/>
    <col min="10500" max="10500" width="11.6640625" style="7" customWidth="1"/>
    <col min="10501" max="10501" width="2.5546875" style="7" customWidth="1"/>
    <col min="10502" max="10502" width="11.6640625" style="7" customWidth="1"/>
    <col min="10503" max="10503" width="2.5546875" style="7" customWidth="1"/>
    <col min="10504" max="10504" width="11.6640625" style="7" customWidth="1"/>
    <col min="10505" max="10505" width="2.5546875" style="7" customWidth="1"/>
    <col min="10506" max="10506" width="11.6640625" style="7" customWidth="1"/>
    <col min="10507" max="10507" width="2.5546875" style="7" customWidth="1"/>
    <col min="10508" max="10508" width="11.6640625" style="7" customWidth="1"/>
    <col min="10509" max="10509" width="2.5546875" style="7" customWidth="1"/>
    <col min="10510" max="10510" width="11.6640625" style="7" customWidth="1"/>
    <col min="10511" max="10511" width="2.5546875" style="7" customWidth="1"/>
    <col min="10512" max="10512" width="11.6640625" style="7" customWidth="1"/>
    <col min="10513" max="10513" width="2.5546875" style="7" customWidth="1"/>
    <col min="10514" max="10514" width="11.6640625" style="7" customWidth="1"/>
    <col min="10515" max="10515" width="2.5546875" style="7" customWidth="1"/>
    <col min="10516" max="10516" width="11.6640625" style="7" customWidth="1"/>
    <col min="10517" max="10517" width="2.5546875" style="7" customWidth="1"/>
    <col min="10518" max="10518" width="11.6640625" style="7" customWidth="1"/>
    <col min="10519" max="10519" width="2.5546875" style="7" customWidth="1"/>
    <col min="10520" max="10520" width="11.6640625" style="7" customWidth="1"/>
    <col min="10521" max="10521" width="2.5546875" style="7" customWidth="1"/>
    <col min="10522" max="10522" width="11.6640625" style="7" customWidth="1"/>
    <col min="10523" max="10523" width="2.6640625" style="7" customWidth="1"/>
    <col min="10524" max="10524" width="13.5546875" style="7" customWidth="1"/>
    <col min="10525" max="10525" width="2.5546875" style="7" customWidth="1"/>
    <col min="10526" max="10526" width="13.6640625" style="7" customWidth="1"/>
    <col min="10527" max="10527" width="2.5546875" style="7" customWidth="1"/>
    <col min="10528" max="10528" width="13.44140625" style="7" customWidth="1"/>
    <col min="10529" max="10752" width="9.109375" style="7"/>
    <col min="10753" max="10753" width="4" style="7" customWidth="1"/>
    <col min="10754" max="10754" width="39.6640625" style="7" customWidth="1"/>
    <col min="10755" max="10755" width="2.5546875" style="7" customWidth="1"/>
    <col min="10756" max="10756" width="11.6640625" style="7" customWidth="1"/>
    <col min="10757" max="10757" width="2.5546875" style="7" customWidth="1"/>
    <col min="10758" max="10758" width="11.6640625" style="7" customWidth="1"/>
    <col min="10759" max="10759" width="2.5546875" style="7" customWidth="1"/>
    <col min="10760" max="10760" width="11.6640625" style="7" customWidth="1"/>
    <col min="10761" max="10761" width="2.5546875" style="7" customWidth="1"/>
    <col min="10762" max="10762" width="11.6640625" style="7" customWidth="1"/>
    <col min="10763" max="10763" width="2.5546875" style="7" customWidth="1"/>
    <col min="10764" max="10764" width="11.6640625" style="7" customWidth="1"/>
    <col min="10765" max="10765" width="2.5546875" style="7" customWidth="1"/>
    <col min="10766" max="10766" width="11.6640625" style="7" customWidth="1"/>
    <col min="10767" max="10767" width="2.5546875" style="7" customWidth="1"/>
    <col min="10768" max="10768" width="11.6640625" style="7" customWidth="1"/>
    <col min="10769" max="10769" width="2.5546875" style="7" customWidth="1"/>
    <col min="10770" max="10770" width="11.6640625" style="7" customWidth="1"/>
    <col min="10771" max="10771" width="2.5546875" style="7" customWidth="1"/>
    <col min="10772" max="10772" width="11.6640625" style="7" customWidth="1"/>
    <col min="10773" max="10773" width="2.5546875" style="7" customWidth="1"/>
    <col min="10774" max="10774" width="11.6640625" style="7" customWidth="1"/>
    <col min="10775" max="10775" width="2.5546875" style="7" customWidth="1"/>
    <col min="10776" max="10776" width="11.6640625" style="7" customWidth="1"/>
    <col min="10777" max="10777" width="2.5546875" style="7" customWidth="1"/>
    <col min="10778" max="10778" width="11.6640625" style="7" customWidth="1"/>
    <col min="10779" max="10779" width="2.6640625" style="7" customWidth="1"/>
    <col min="10780" max="10780" width="13.5546875" style="7" customWidth="1"/>
    <col min="10781" max="10781" width="2.5546875" style="7" customWidth="1"/>
    <col min="10782" max="10782" width="13.6640625" style="7" customWidth="1"/>
    <col min="10783" max="10783" width="2.5546875" style="7" customWidth="1"/>
    <col min="10784" max="10784" width="13.44140625" style="7" customWidth="1"/>
    <col min="10785" max="11008" width="9.109375" style="7"/>
    <col min="11009" max="11009" width="4" style="7" customWidth="1"/>
    <col min="11010" max="11010" width="39.6640625" style="7" customWidth="1"/>
    <col min="11011" max="11011" width="2.5546875" style="7" customWidth="1"/>
    <col min="11012" max="11012" width="11.6640625" style="7" customWidth="1"/>
    <col min="11013" max="11013" width="2.5546875" style="7" customWidth="1"/>
    <col min="11014" max="11014" width="11.6640625" style="7" customWidth="1"/>
    <col min="11015" max="11015" width="2.5546875" style="7" customWidth="1"/>
    <col min="11016" max="11016" width="11.6640625" style="7" customWidth="1"/>
    <col min="11017" max="11017" width="2.5546875" style="7" customWidth="1"/>
    <col min="11018" max="11018" width="11.6640625" style="7" customWidth="1"/>
    <col min="11019" max="11019" width="2.5546875" style="7" customWidth="1"/>
    <col min="11020" max="11020" width="11.6640625" style="7" customWidth="1"/>
    <col min="11021" max="11021" width="2.5546875" style="7" customWidth="1"/>
    <col min="11022" max="11022" width="11.6640625" style="7" customWidth="1"/>
    <col min="11023" max="11023" width="2.5546875" style="7" customWidth="1"/>
    <col min="11024" max="11024" width="11.6640625" style="7" customWidth="1"/>
    <col min="11025" max="11025" width="2.5546875" style="7" customWidth="1"/>
    <col min="11026" max="11026" width="11.6640625" style="7" customWidth="1"/>
    <col min="11027" max="11027" width="2.5546875" style="7" customWidth="1"/>
    <col min="11028" max="11028" width="11.6640625" style="7" customWidth="1"/>
    <col min="11029" max="11029" width="2.5546875" style="7" customWidth="1"/>
    <col min="11030" max="11030" width="11.6640625" style="7" customWidth="1"/>
    <col min="11031" max="11031" width="2.5546875" style="7" customWidth="1"/>
    <col min="11032" max="11032" width="11.6640625" style="7" customWidth="1"/>
    <col min="11033" max="11033" width="2.5546875" style="7" customWidth="1"/>
    <col min="11034" max="11034" width="11.6640625" style="7" customWidth="1"/>
    <col min="11035" max="11035" width="2.6640625" style="7" customWidth="1"/>
    <col min="11036" max="11036" width="13.5546875" style="7" customWidth="1"/>
    <col min="11037" max="11037" width="2.5546875" style="7" customWidth="1"/>
    <col min="11038" max="11038" width="13.6640625" style="7" customWidth="1"/>
    <col min="11039" max="11039" width="2.5546875" style="7" customWidth="1"/>
    <col min="11040" max="11040" width="13.44140625" style="7" customWidth="1"/>
    <col min="11041" max="11264" width="9.109375" style="7"/>
    <col min="11265" max="11265" width="4" style="7" customWidth="1"/>
    <col min="11266" max="11266" width="39.6640625" style="7" customWidth="1"/>
    <col min="11267" max="11267" width="2.5546875" style="7" customWidth="1"/>
    <col min="11268" max="11268" width="11.6640625" style="7" customWidth="1"/>
    <col min="11269" max="11269" width="2.5546875" style="7" customWidth="1"/>
    <col min="11270" max="11270" width="11.6640625" style="7" customWidth="1"/>
    <col min="11271" max="11271" width="2.5546875" style="7" customWidth="1"/>
    <col min="11272" max="11272" width="11.6640625" style="7" customWidth="1"/>
    <col min="11273" max="11273" width="2.5546875" style="7" customWidth="1"/>
    <col min="11274" max="11274" width="11.6640625" style="7" customWidth="1"/>
    <col min="11275" max="11275" width="2.5546875" style="7" customWidth="1"/>
    <col min="11276" max="11276" width="11.6640625" style="7" customWidth="1"/>
    <col min="11277" max="11277" width="2.5546875" style="7" customWidth="1"/>
    <col min="11278" max="11278" width="11.6640625" style="7" customWidth="1"/>
    <col min="11279" max="11279" width="2.5546875" style="7" customWidth="1"/>
    <col min="11280" max="11280" width="11.6640625" style="7" customWidth="1"/>
    <col min="11281" max="11281" width="2.5546875" style="7" customWidth="1"/>
    <col min="11282" max="11282" width="11.6640625" style="7" customWidth="1"/>
    <col min="11283" max="11283" width="2.5546875" style="7" customWidth="1"/>
    <col min="11284" max="11284" width="11.6640625" style="7" customWidth="1"/>
    <col min="11285" max="11285" width="2.5546875" style="7" customWidth="1"/>
    <col min="11286" max="11286" width="11.6640625" style="7" customWidth="1"/>
    <col min="11287" max="11287" width="2.5546875" style="7" customWidth="1"/>
    <col min="11288" max="11288" width="11.6640625" style="7" customWidth="1"/>
    <col min="11289" max="11289" width="2.5546875" style="7" customWidth="1"/>
    <col min="11290" max="11290" width="11.6640625" style="7" customWidth="1"/>
    <col min="11291" max="11291" width="2.6640625" style="7" customWidth="1"/>
    <col min="11292" max="11292" width="13.5546875" style="7" customWidth="1"/>
    <col min="11293" max="11293" width="2.5546875" style="7" customWidth="1"/>
    <col min="11294" max="11294" width="13.6640625" style="7" customWidth="1"/>
    <col min="11295" max="11295" width="2.5546875" style="7" customWidth="1"/>
    <col min="11296" max="11296" width="13.44140625" style="7" customWidth="1"/>
    <col min="11297" max="11520" width="9.109375" style="7"/>
    <col min="11521" max="11521" width="4" style="7" customWidth="1"/>
    <col min="11522" max="11522" width="39.6640625" style="7" customWidth="1"/>
    <col min="11523" max="11523" width="2.5546875" style="7" customWidth="1"/>
    <col min="11524" max="11524" width="11.6640625" style="7" customWidth="1"/>
    <col min="11525" max="11525" width="2.5546875" style="7" customWidth="1"/>
    <col min="11526" max="11526" width="11.6640625" style="7" customWidth="1"/>
    <col min="11527" max="11527" width="2.5546875" style="7" customWidth="1"/>
    <col min="11528" max="11528" width="11.6640625" style="7" customWidth="1"/>
    <col min="11529" max="11529" width="2.5546875" style="7" customWidth="1"/>
    <col min="11530" max="11530" width="11.6640625" style="7" customWidth="1"/>
    <col min="11531" max="11531" width="2.5546875" style="7" customWidth="1"/>
    <col min="11532" max="11532" width="11.6640625" style="7" customWidth="1"/>
    <col min="11533" max="11533" width="2.5546875" style="7" customWidth="1"/>
    <col min="11534" max="11534" width="11.6640625" style="7" customWidth="1"/>
    <col min="11535" max="11535" width="2.5546875" style="7" customWidth="1"/>
    <col min="11536" max="11536" width="11.6640625" style="7" customWidth="1"/>
    <col min="11537" max="11537" width="2.5546875" style="7" customWidth="1"/>
    <col min="11538" max="11538" width="11.6640625" style="7" customWidth="1"/>
    <col min="11539" max="11539" width="2.5546875" style="7" customWidth="1"/>
    <col min="11540" max="11540" width="11.6640625" style="7" customWidth="1"/>
    <col min="11541" max="11541" width="2.5546875" style="7" customWidth="1"/>
    <col min="11542" max="11542" width="11.6640625" style="7" customWidth="1"/>
    <col min="11543" max="11543" width="2.5546875" style="7" customWidth="1"/>
    <col min="11544" max="11544" width="11.6640625" style="7" customWidth="1"/>
    <col min="11545" max="11545" width="2.5546875" style="7" customWidth="1"/>
    <col min="11546" max="11546" width="11.6640625" style="7" customWidth="1"/>
    <col min="11547" max="11547" width="2.6640625" style="7" customWidth="1"/>
    <col min="11548" max="11548" width="13.5546875" style="7" customWidth="1"/>
    <col min="11549" max="11549" width="2.5546875" style="7" customWidth="1"/>
    <col min="11550" max="11550" width="13.6640625" style="7" customWidth="1"/>
    <col min="11551" max="11551" width="2.5546875" style="7" customWidth="1"/>
    <col min="11552" max="11552" width="13.44140625" style="7" customWidth="1"/>
    <col min="11553" max="11776" width="9.109375" style="7"/>
    <col min="11777" max="11777" width="4" style="7" customWidth="1"/>
    <col min="11778" max="11778" width="39.6640625" style="7" customWidth="1"/>
    <col min="11779" max="11779" width="2.5546875" style="7" customWidth="1"/>
    <col min="11780" max="11780" width="11.6640625" style="7" customWidth="1"/>
    <col min="11781" max="11781" width="2.5546875" style="7" customWidth="1"/>
    <col min="11782" max="11782" width="11.6640625" style="7" customWidth="1"/>
    <col min="11783" max="11783" width="2.5546875" style="7" customWidth="1"/>
    <col min="11784" max="11784" width="11.6640625" style="7" customWidth="1"/>
    <col min="11785" max="11785" width="2.5546875" style="7" customWidth="1"/>
    <col min="11786" max="11786" width="11.6640625" style="7" customWidth="1"/>
    <col min="11787" max="11787" width="2.5546875" style="7" customWidth="1"/>
    <col min="11788" max="11788" width="11.6640625" style="7" customWidth="1"/>
    <col min="11789" max="11789" width="2.5546875" style="7" customWidth="1"/>
    <col min="11790" max="11790" width="11.6640625" style="7" customWidth="1"/>
    <col min="11791" max="11791" width="2.5546875" style="7" customWidth="1"/>
    <col min="11792" max="11792" width="11.6640625" style="7" customWidth="1"/>
    <col min="11793" max="11793" width="2.5546875" style="7" customWidth="1"/>
    <col min="11794" max="11794" width="11.6640625" style="7" customWidth="1"/>
    <col min="11795" max="11795" width="2.5546875" style="7" customWidth="1"/>
    <col min="11796" max="11796" width="11.6640625" style="7" customWidth="1"/>
    <col min="11797" max="11797" width="2.5546875" style="7" customWidth="1"/>
    <col min="11798" max="11798" width="11.6640625" style="7" customWidth="1"/>
    <col min="11799" max="11799" width="2.5546875" style="7" customWidth="1"/>
    <col min="11800" max="11800" width="11.6640625" style="7" customWidth="1"/>
    <col min="11801" max="11801" width="2.5546875" style="7" customWidth="1"/>
    <col min="11802" max="11802" width="11.6640625" style="7" customWidth="1"/>
    <col min="11803" max="11803" width="2.6640625" style="7" customWidth="1"/>
    <col min="11804" max="11804" width="13.5546875" style="7" customWidth="1"/>
    <col min="11805" max="11805" width="2.5546875" style="7" customWidth="1"/>
    <col min="11806" max="11806" width="13.6640625" style="7" customWidth="1"/>
    <col min="11807" max="11807" width="2.5546875" style="7" customWidth="1"/>
    <col min="11808" max="11808" width="13.44140625" style="7" customWidth="1"/>
    <col min="11809" max="12032" width="9.109375" style="7"/>
    <col min="12033" max="12033" width="4" style="7" customWidth="1"/>
    <col min="12034" max="12034" width="39.6640625" style="7" customWidth="1"/>
    <col min="12035" max="12035" width="2.5546875" style="7" customWidth="1"/>
    <col min="12036" max="12036" width="11.6640625" style="7" customWidth="1"/>
    <col min="12037" max="12037" width="2.5546875" style="7" customWidth="1"/>
    <col min="12038" max="12038" width="11.6640625" style="7" customWidth="1"/>
    <col min="12039" max="12039" width="2.5546875" style="7" customWidth="1"/>
    <col min="12040" max="12040" width="11.6640625" style="7" customWidth="1"/>
    <col min="12041" max="12041" width="2.5546875" style="7" customWidth="1"/>
    <col min="12042" max="12042" width="11.6640625" style="7" customWidth="1"/>
    <col min="12043" max="12043" width="2.5546875" style="7" customWidth="1"/>
    <col min="12044" max="12044" width="11.6640625" style="7" customWidth="1"/>
    <col min="12045" max="12045" width="2.5546875" style="7" customWidth="1"/>
    <col min="12046" max="12046" width="11.6640625" style="7" customWidth="1"/>
    <col min="12047" max="12047" width="2.5546875" style="7" customWidth="1"/>
    <col min="12048" max="12048" width="11.6640625" style="7" customWidth="1"/>
    <col min="12049" max="12049" width="2.5546875" style="7" customWidth="1"/>
    <col min="12050" max="12050" width="11.6640625" style="7" customWidth="1"/>
    <col min="12051" max="12051" width="2.5546875" style="7" customWidth="1"/>
    <col min="12052" max="12052" width="11.6640625" style="7" customWidth="1"/>
    <col min="12053" max="12053" width="2.5546875" style="7" customWidth="1"/>
    <col min="12054" max="12054" width="11.6640625" style="7" customWidth="1"/>
    <col min="12055" max="12055" width="2.5546875" style="7" customWidth="1"/>
    <col min="12056" max="12056" width="11.6640625" style="7" customWidth="1"/>
    <col min="12057" max="12057" width="2.5546875" style="7" customWidth="1"/>
    <col min="12058" max="12058" width="11.6640625" style="7" customWidth="1"/>
    <col min="12059" max="12059" width="2.6640625" style="7" customWidth="1"/>
    <col min="12060" max="12060" width="13.5546875" style="7" customWidth="1"/>
    <col min="12061" max="12061" width="2.5546875" style="7" customWidth="1"/>
    <col min="12062" max="12062" width="13.6640625" style="7" customWidth="1"/>
    <col min="12063" max="12063" width="2.5546875" style="7" customWidth="1"/>
    <col min="12064" max="12064" width="13.44140625" style="7" customWidth="1"/>
    <col min="12065" max="12288" width="9.109375" style="7"/>
    <col min="12289" max="12289" width="4" style="7" customWidth="1"/>
    <col min="12290" max="12290" width="39.6640625" style="7" customWidth="1"/>
    <col min="12291" max="12291" width="2.5546875" style="7" customWidth="1"/>
    <col min="12292" max="12292" width="11.6640625" style="7" customWidth="1"/>
    <col min="12293" max="12293" width="2.5546875" style="7" customWidth="1"/>
    <col min="12294" max="12294" width="11.6640625" style="7" customWidth="1"/>
    <col min="12295" max="12295" width="2.5546875" style="7" customWidth="1"/>
    <col min="12296" max="12296" width="11.6640625" style="7" customWidth="1"/>
    <col min="12297" max="12297" width="2.5546875" style="7" customWidth="1"/>
    <col min="12298" max="12298" width="11.6640625" style="7" customWidth="1"/>
    <col min="12299" max="12299" width="2.5546875" style="7" customWidth="1"/>
    <col min="12300" max="12300" width="11.6640625" style="7" customWidth="1"/>
    <col min="12301" max="12301" width="2.5546875" style="7" customWidth="1"/>
    <col min="12302" max="12302" width="11.6640625" style="7" customWidth="1"/>
    <col min="12303" max="12303" width="2.5546875" style="7" customWidth="1"/>
    <col min="12304" max="12304" width="11.6640625" style="7" customWidth="1"/>
    <col min="12305" max="12305" width="2.5546875" style="7" customWidth="1"/>
    <col min="12306" max="12306" width="11.6640625" style="7" customWidth="1"/>
    <col min="12307" max="12307" width="2.5546875" style="7" customWidth="1"/>
    <col min="12308" max="12308" width="11.6640625" style="7" customWidth="1"/>
    <col min="12309" max="12309" width="2.5546875" style="7" customWidth="1"/>
    <col min="12310" max="12310" width="11.6640625" style="7" customWidth="1"/>
    <col min="12311" max="12311" width="2.5546875" style="7" customWidth="1"/>
    <col min="12312" max="12312" width="11.6640625" style="7" customWidth="1"/>
    <col min="12313" max="12313" width="2.5546875" style="7" customWidth="1"/>
    <col min="12314" max="12314" width="11.6640625" style="7" customWidth="1"/>
    <col min="12315" max="12315" width="2.6640625" style="7" customWidth="1"/>
    <col min="12316" max="12316" width="13.5546875" style="7" customWidth="1"/>
    <col min="12317" max="12317" width="2.5546875" style="7" customWidth="1"/>
    <col min="12318" max="12318" width="13.6640625" style="7" customWidth="1"/>
    <col min="12319" max="12319" width="2.5546875" style="7" customWidth="1"/>
    <col min="12320" max="12320" width="13.44140625" style="7" customWidth="1"/>
    <col min="12321" max="12544" width="9.109375" style="7"/>
    <col min="12545" max="12545" width="4" style="7" customWidth="1"/>
    <col min="12546" max="12546" width="39.6640625" style="7" customWidth="1"/>
    <col min="12547" max="12547" width="2.5546875" style="7" customWidth="1"/>
    <col min="12548" max="12548" width="11.6640625" style="7" customWidth="1"/>
    <col min="12549" max="12549" width="2.5546875" style="7" customWidth="1"/>
    <col min="12550" max="12550" width="11.6640625" style="7" customWidth="1"/>
    <col min="12551" max="12551" width="2.5546875" style="7" customWidth="1"/>
    <col min="12552" max="12552" width="11.6640625" style="7" customWidth="1"/>
    <col min="12553" max="12553" width="2.5546875" style="7" customWidth="1"/>
    <col min="12554" max="12554" width="11.6640625" style="7" customWidth="1"/>
    <col min="12555" max="12555" width="2.5546875" style="7" customWidth="1"/>
    <col min="12556" max="12556" width="11.6640625" style="7" customWidth="1"/>
    <col min="12557" max="12557" width="2.5546875" style="7" customWidth="1"/>
    <col min="12558" max="12558" width="11.6640625" style="7" customWidth="1"/>
    <col min="12559" max="12559" width="2.5546875" style="7" customWidth="1"/>
    <col min="12560" max="12560" width="11.6640625" style="7" customWidth="1"/>
    <col min="12561" max="12561" width="2.5546875" style="7" customWidth="1"/>
    <col min="12562" max="12562" width="11.6640625" style="7" customWidth="1"/>
    <col min="12563" max="12563" width="2.5546875" style="7" customWidth="1"/>
    <col min="12564" max="12564" width="11.6640625" style="7" customWidth="1"/>
    <col min="12565" max="12565" width="2.5546875" style="7" customWidth="1"/>
    <col min="12566" max="12566" width="11.6640625" style="7" customWidth="1"/>
    <col min="12567" max="12567" width="2.5546875" style="7" customWidth="1"/>
    <col min="12568" max="12568" width="11.6640625" style="7" customWidth="1"/>
    <col min="12569" max="12569" width="2.5546875" style="7" customWidth="1"/>
    <col min="12570" max="12570" width="11.6640625" style="7" customWidth="1"/>
    <col min="12571" max="12571" width="2.6640625" style="7" customWidth="1"/>
    <col min="12572" max="12572" width="13.5546875" style="7" customWidth="1"/>
    <col min="12573" max="12573" width="2.5546875" style="7" customWidth="1"/>
    <col min="12574" max="12574" width="13.6640625" style="7" customWidth="1"/>
    <col min="12575" max="12575" width="2.5546875" style="7" customWidth="1"/>
    <col min="12576" max="12576" width="13.44140625" style="7" customWidth="1"/>
    <col min="12577" max="12800" width="9.109375" style="7"/>
    <col min="12801" max="12801" width="4" style="7" customWidth="1"/>
    <col min="12802" max="12802" width="39.6640625" style="7" customWidth="1"/>
    <col min="12803" max="12803" width="2.5546875" style="7" customWidth="1"/>
    <col min="12804" max="12804" width="11.6640625" style="7" customWidth="1"/>
    <col min="12805" max="12805" width="2.5546875" style="7" customWidth="1"/>
    <col min="12806" max="12806" width="11.6640625" style="7" customWidth="1"/>
    <col min="12807" max="12807" width="2.5546875" style="7" customWidth="1"/>
    <col min="12808" max="12808" width="11.6640625" style="7" customWidth="1"/>
    <col min="12809" max="12809" width="2.5546875" style="7" customWidth="1"/>
    <col min="12810" max="12810" width="11.6640625" style="7" customWidth="1"/>
    <col min="12811" max="12811" width="2.5546875" style="7" customWidth="1"/>
    <col min="12812" max="12812" width="11.6640625" style="7" customWidth="1"/>
    <col min="12813" max="12813" width="2.5546875" style="7" customWidth="1"/>
    <col min="12814" max="12814" width="11.6640625" style="7" customWidth="1"/>
    <col min="12815" max="12815" width="2.5546875" style="7" customWidth="1"/>
    <col min="12816" max="12816" width="11.6640625" style="7" customWidth="1"/>
    <col min="12817" max="12817" width="2.5546875" style="7" customWidth="1"/>
    <col min="12818" max="12818" width="11.6640625" style="7" customWidth="1"/>
    <col min="12819" max="12819" width="2.5546875" style="7" customWidth="1"/>
    <col min="12820" max="12820" width="11.6640625" style="7" customWidth="1"/>
    <col min="12821" max="12821" width="2.5546875" style="7" customWidth="1"/>
    <col min="12822" max="12822" width="11.6640625" style="7" customWidth="1"/>
    <col min="12823" max="12823" width="2.5546875" style="7" customWidth="1"/>
    <col min="12824" max="12824" width="11.6640625" style="7" customWidth="1"/>
    <col min="12825" max="12825" width="2.5546875" style="7" customWidth="1"/>
    <col min="12826" max="12826" width="11.6640625" style="7" customWidth="1"/>
    <col min="12827" max="12827" width="2.6640625" style="7" customWidth="1"/>
    <col min="12828" max="12828" width="13.5546875" style="7" customWidth="1"/>
    <col min="12829" max="12829" width="2.5546875" style="7" customWidth="1"/>
    <col min="12830" max="12830" width="13.6640625" style="7" customWidth="1"/>
    <col min="12831" max="12831" width="2.5546875" style="7" customWidth="1"/>
    <col min="12832" max="12832" width="13.44140625" style="7" customWidth="1"/>
    <col min="12833" max="13056" width="9.109375" style="7"/>
    <col min="13057" max="13057" width="4" style="7" customWidth="1"/>
    <col min="13058" max="13058" width="39.6640625" style="7" customWidth="1"/>
    <col min="13059" max="13059" width="2.5546875" style="7" customWidth="1"/>
    <col min="13060" max="13060" width="11.6640625" style="7" customWidth="1"/>
    <col min="13061" max="13061" width="2.5546875" style="7" customWidth="1"/>
    <col min="13062" max="13062" width="11.6640625" style="7" customWidth="1"/>
    <col min="13063" max="13063" width="2.5546875" style="7" customWidth="1"/>
    <col min="13064" max="13064" width="11.6640625" style="7" customWidth="1"/>
    <col min="13065" max="13065" width="2.5546875" style="7" customWidth="1"/>
    <col min="13066" max="13066" width="11.6640625" style="7" customWidth="1"/>
    <col min="13067" max="13067" width="2.5546875" style="7" customWidth="1"/>
    <col min="13068" max="13068" width="11.6640625" style="7" customWidth="1"/>
    <col min="13069" max="13069" width="2.5546875" style="7" customWidth="1"/>
    <col min="13070" max="13070" width="11.6640625" style="7" customWidth="1"/>
    <col min="13071" max="13071" width="2.5546875" style="7" customWidth="1"/>
    <col min="13072" max="13072" width="11.6640625" style="7" customWidth="1"/>
    <col min="13073" max="13073" width="2.5546875" style="7" customWidth="1"/>
    <col min="13074" max="13074" width="11.6640625" style="7" customWidth="1"/>
    <col min="13075" max="13075" width="2.5546875" style="7" customWidth="1"/>
    <col min="13076" max="13076" width="11.6640625" style="7" customWidth="1"/>
    <col min="13077" max="13077" width="2.5546875" style="7" customWidth="1"/>
    <col min="13078" max="13078" width="11.6640625" style="7" customWidth="1"/>
    <col min="13079" max="13079" width="2.5546875" style="7" customWidth="1"/>
    <col min="13080" max="13080" width="11.6640625" style="7" customWidth="1"/>
    <col min="13081" max="13081" width="2.5546875" style="7" customWidth="1"/>
    <col min="13082" max="13082" width="11.6640625" style="7" customWidth="1"/>
    <col min="13083" max="13083" width="2.6640625" style="7" customWidth="1"/>
    <col min="13084" max="13084" width="13.5546875" style="7" customWidth="1"/>
    <col min="13085" max="13085" width="2.5546875" style="7" customWidth="1"/>
    <col min="13086" max="13086" width="13.6640625" style="7" customWidth="1"/>
    <col min="13087" max="13087" width="2.5546875" style="7" customWidth="1"/>
    <col min="13088" max="13088" width="13.44140625" style="7" customWidth="1"/>
    <col min="13089" max="13312" width="9.109375" style="7"/>
    <col min="13313" max="13313" width="4" style="7" customWidth="1"/>
    <col min="13314" max="13314" width="39.6640625" style="7" customWidth="1"/>
    <col min="13315" max="13315" width="2.5546875" style="7" customWidth="1"/>
    <col min="13316" max="13316" width="11.6640625" style="7" customWidth="1"/>
    <col min="13317" max="13317" width="2.5546875" style="7" customWidth="1"/>
    <col min="13318" max="13318" width="11.6640625" style="7" customWidth="1"/>
    <col min="13319" max="13319" width="2.5546875" style="7" customWidth="1"/>
    <col min="13320" max="13320" width="11.6640625" style="7" customWidth="1"/>
    <col min="13321" max="13321" width="2.5546875" style="7" customWidth="1"/>
    <col min="13322" max="13322" width="11.6640625" style="7" customWidth="1"/>
    <col min="13323" max="13323" width="2.5546875" style="7" customWidth="1"/>
    <col min="13324" max="13324" width="11.6640625" style="7" customWidth="1"/>
    <col min="13325" max="13325" width="2.5546875" style="7" customWidth="1"/>
    <col min="13326" max="13326" width="11.6640625" style="7" customWidth="1"/>
    <col min="13327" max="13327" width="2.5546875" style="7" customWidth="1"/>
    <col min="13328" max="13328" width="11.6640625" style="7" customWidth="1"/>
    <col min="13329" max="13329" width="2.5546875" style="7" customWidth="1"/>
    <col min="13330" max="13330" width="11.6640625" style="7" customWidth="1"/>
    <col min="13331" max="13331" width="2.5546875" style="7" customWidth="1"/>
    <col min="13332" max="13332" width="11.6640625" style="7" customWidth="1"/>
    <col min="13333" max="13333" width="2.5546875" style="7" customWidth="1"/>
    <col min="13334" max="13334" width="11.6640625" style="7" customWidth="1"/>
    <col min="13335" max="13335" width="2.5546875" style="7" customWidth="1"/>
    <col min="13336" max="13336" width="11.6640625" style="7" customWidth="1"/>
    <col min="13337" max="13337" width="2.5546875" style="7" customWidth="1"/>
    <col min="13338" max="13338" width="11.6640625" style="7" customWidth="1"/>
    <col min="13339" max="13339" width="2.6640625" style="7" customWidth="1"/>
    <col min="13340" max="13340" width="13.5546875" style="7" customWidth="1"/>
    <col min="13341" max="13341" width="2.5546875" style="7" customWidth="1"/>
    <col min="13342" max="13342" width="13.6640625" style="7" customWidth="1"/>
    <col min="13343" max="13343" width="2.5546875" style="7" customWidth="1"/>
    <col min="13344" max="13344" width="13.44140625" style="7" customWidth="1"/>
    <col min="13345" max="13568" width="9.109375" style="7"/>
    <col min="13569" max="13569" width="4" style="7" customWidth="1"/>
    <col min="13570" max="13570" width="39.6640625" style="7" customWidth="1"/>
    <col min="13571" max="13571" width="2.5546875" style="7" customWidth="1"/>
    <col min="13572" max="13572" width="11.6640625" style="7" customWidth="1"/>
    <col min="13573" max="13573" width="2.5546875" style="7" customWidth="1"/>
    <col min="13574" max="13574" width="11.6640625" style="7" customWidth="1"/>
    <col min="13575" max="13575" width="2.5546875" style="7" customWidth="1"/>
    <col min="13576" max="13576" width="11.6640625" style="7" customWidth="1"/>
    <col min="13577" max="13577" width="2.5546875" style="7" customWidth="1"/>
    <col min="13578" max="13578" width="11.6640625" style="7" customWidth="1"/>
    <col min="13579" max="13579" width="2.5546875" style="7" customWidth="1"/>
    <col min="13580" max="13580" width="11.6640625" style="7" customWidth="1"/>
    <col min="13581" max="13581" width="2.5546875" style="7" customWidth="1"/>
    <col min="13582" max="13582" width="11.6640625" style="7" customWidth="1"/>
    <col min="13583" max="13583" width="2.5546875" style="7" customWidth="1"/>
    <col min="13584" max="13584" width="11.6640625" style="7" customWidth="1"/>
    <col min="13585" max="13585" width="2.5546875" style="7" customWidth="1"/>
    <col min="13586" max="13586" width="11.6640625" style="7" customWidth="1"/>
    <col min="13587" max="13587" width="2.5546875" style="7" customWidth="1"/>
    <col min="13588" max="13588" width="11.6640625" style="7" customWidth="1"/>
    <col min="13589" max="13589" width="2.5546875" style="7" customWidth="1"/>
    <col min="13590" max="13590" width="11.6640625" style="7" customWidth="1"/>
    <col min="13591" max="13591" width="2.5546875" style="7" customWidth="1"/>
    <col min="13592" max="13592" width="11.6640625" style="7" customWidth="1"/>
    <col min="13593" max="13593" width="2.5546875" style="7" customWidth="1"/>
    <col min="13594" max="13594" width="11.6640625" style="7" customWidth="1"/>
    <col min="13595" max="13595" width="2.6640625" style="7" customWidth="1"/>
    <col min="13596" max="13596" width="13.5546875" style="7" customWidth="1"/>
    <col min="13597" max="13597" width="2.5546875" style="7" customWidth="1"/>
    <col min="13598" max="13598" width="13.6640625" style="7" customWidth="1"/>
    <col min="13599" max="13599" width="2.5546875" style="7" customWidth="1"/>
    <col min="13600" max="13600" width="13.44140625" style="7" customWidth="1"/>
    <col min="13601" max="13824" width="9.109375" style="7"/>
    <col min="13825" max="13825" width="4" style="7" customWidth="1"/>
    <col min="13826" max="13826" width="39.6640625" style="7" customWidth="1"/>
    <col min="13827" max="13827" width="2.5546875" style="7" customWidth="1"/>
    <col min="13828" max="13828" width="11.6640625" style="7" customWidth="1"/>
    <col min="13829" max="13829" width="2.5546875" style="7" customWidth="1"/>
    <col min="13830" max="13830" width="11.6640625" style="7" customWidth="1"/>
    <col min="13831" max="13831" width="2.5546875" style="7" customWidth="1"/>
    <col min="13832" max="13832" width="11.6640625" style="7" customWidth="1"/>
    <col min="13833" max="13833" width="2.5546875" style="7" customWidth="1"/>
    <col min="13834" max="13834" width="11.6640625" style="7" customWidth="1"/>
    <col min="13835" max="13835" width="2.5546875" style="7" customWidth="1"/>
    <col min="13836" max="13836" width="11.6640625" style="7" customWidth="1"/>
    <col min="13837" max="13837" width="2.5546875" style="7" customWidth="1"/>
    <col min="13838" max="13838" width="11.6640625" style="7" customWidth="1"/>
    <col min="13839" max="13839" width="2.5546875" style="7" customWidth="1"/>
    <col min="13840" max="13840" width="11.6640625" style="7" customWidth="1"/>
    <col min="13841" max="13841" width="2.5546875" style="7" customWidth="1"/>
    <col min="13842" max="13842" width="11.6640625" style="7" customWidth="1"/>
    <col min="13843" max="13843" width="2.5546875" style="7" customWidth="1"/>
    <col min="13844" max="13844" width="11.6640625" style="7" customWidth="1"/>
    <col min="13845" max="13845" width="2.5546875" style="7" customWidth="1"/>
    <col min="13846" max="13846" width="11.6640625" style="7" customWidth="1"/>
    <col min="13847" max="13847" width="2.5546875" style="7" customWidth="1"/>
    <col min="13848" max="13848" width="11.6640625" style="7" customWidth="1"/>
    <col min="13849" max="13849" width="2.5546875" style="7" customWidth="1"/>
    <col min="13850" max="13850" width="11.6640625" style="7" customWidth="1"/>
    <col min="13851" max="13851" width="2.6640625" style="7" customWidth="1"/>
    <col min="13852" max="13852" width="13.5546875" style="7" customWidth="1"/>
    <col min="13853" max="13853" width="2.5546875" style="7" customWidth="1"/>
    <col min="13854" max="13854" width="13.6640625" style="7" customWidth="1"/>
    <col min="13855" max="13855" width="2.5546875" style="7" customWidth="1"/>
    <col min="13856" max="13856" width="13.44140625" style="7" customWidth="1"/>
    <col min="13857" max="14080" width="9.109375" style="7"/>
    <col min="14081" max="14081" width="4" style="7" customWidth="1"/>
    <col min="14082" max="14082" width="39.6640625" style="7" customWidth="1"/>
    <col min="14083" max="14083" width="2.5546875" style="7" customWidth="1"/>
    <col min="14084" max="14084" width="11.6640625" style="7" customWidth="1"/>
    <col min="14085" max="14085" width="2.5546875" style="7" customWidth="1"/>
    <col min="14086" max="14086" width="11.6640625" style="7" customWidth="1"/>
    <col min="14087" max="14087" width="2.5546875" style="7" customWidth="1"/>
    <col min="14088" max="14088" width="11.6640625" style="7" customWidth="1"/>
    <col min="14089" max="14089" width="2.5546875" style="7" customWidth="1"/>
    <col min="14090" max="14090" width="11.6640625" style="7" customWidth="1"/>
    <col min="14091" max="14091" width="2.5546875" style="7" customWidth="1"/>
    <col min="14092" max="14092" width="11.6640625" style="7" customWidth="1"/>
    <col min="14093" max="14093" width="2.5546875" style="7" customWidth="1"/>
    <col min="14094" max="14094" width="11.6640625" style="7" customWidth="1"/>
    <col min="14095" max="14095" width="2.5546875" style="7" customWidth="1"/>
    <col min="14096" max="14096" width="11.6640625" style="7" customWidth="1"/>
    <col min="14097" max="14097" width="2.5546875" style="7" customWidth="1"/>
    <col min="14098" max="14098" width="11.6640625" style="7" customWidth="1"/>
    <col min="14099" max="14099" width="2.5546875" style="7" customWidth="1"/>
    <col min="14100" max="14100" width="11.6640625" style="7" customWidth="1"/>
    <col min="14101" max="14101" width="2.5546875" style="7" customWidth="1"/>
    <col min="14102" max="14102" width="11.6640625" style="7" customWidth="1"/>
    <col min="14103" max="14103" width="2.5546875" style="7" customWidth="1"/>
    <col min="14104" max="14104" width="11.6640625" style="7" customWidth="1"/>
    <col min="14105" max="14105" width="2.5546875" style="7" customWidth="1"/>
    <col min="14106" max="14106" width="11.6640625" style="7" customWidth="1"/>
    <col min="14107" max="14107" width="2.6640625" style="7" customWidth="1"/>
    <col min="14108" max="14108" width="13.5546875" style="7" customWidth="1"/>
    <col min="14109" max="14109" width="2.5546875" style="7" customWidth="1"/>
    <col min="14110" max="14110" width="13.6640625" style="7" customWidth="1"/>
    <col min="14111" max="14111" width="2.5546875" style="7" customWidth="1"/>
    <col min="14112" max="14112" width="13.44140625" style="7" customWidth="1"/>
    <col min="14113" max="14336" width="9.109375" style="7"/>
    <col min="14337" max="14337" width="4" style="7" customWidth="1"/>
    <col min="14338" max="14338" width="39.6640625" style="7" customWidth="1"/>
    <col min="14339" max="14339" width="2.5546875" style="7" customWidth="1"/>
    <col min="14340" max="14340" width="11.6640625" style="7" customWidth="1"/>
    <col min="14341" max="14341" width="2.5546875" style="7" customWidth="1"/>
    <col min="14342" max="14342" width="11.6640625" style="7" customWidth="1"/>
    <col min="14343" max="14343" width="2.5546875" style="7" customWidth="1"/>
    <col min="14344" max="14344" width="11.6640625" style="7" customWidth="1"/>
    <col min="14345" max="14345" width="2.5546875" style="7" customWidth="1"/>
    <col min="14346" max="14346" width="11.6640625" style="7" customWidth="1"/>
    <col min="14347" max="14347" width="2.5546875" style="7" customWidth="1"/>
    <col min="14348" max="14348" width="11.6640625" style="7" customWidth="1"/>
    <col min="14349" max="14349" width="2.5546875" style="7" customWidth="1"/>
    <col min="14350" max="14350" width="11.6640625" style="7" customWidth="1"/>
    <col min="14351" max="14351" width="2.5546875" style="7" customWidth="1"/>
    <col min="14352" max="14352" width="11.6640625" style="7" customWidth="1"/>
    <col min="14353" max="14353" width="2.5546875" style="7" customWidth="1"/>
    <col min="14354" max="14354" width="11.6640625" style="7" customWidth="1"/>
    <col min="14355" max="14355" width="2.5546875" style="7" customWidth="1"/>
    <col min="14356" max="14356" width="11.6640625" style="7" customWidth="1"/>
    <col min="14357" max="14357" width="2.5546875" style="7" customWidth="1"/>
    <col min="14358" max="14358" width="11.6640625" style="7" customWidth="1"/>
    <col min="14359" max="14359" width="2.5546875" style="7" customWidth="1"/>
    <col min="14360" max="14360" width="11.6640625" style="7" customWidth="1"/>
    <col min="14361" max="14361" width="2.5546875" style="7" customWidth="1"/>
    <col min="14362" max="14362" width="11.6640625" style="7" customWidth="1"/>
    <col min="14363" max="14363" width="2.6640625" style="7" customWidth="1"/>
    <col min="14364" max="14364" width="13.5546875" style="7" customWidth="1"/>
    <col min="14365" max="14365" width="2.5546875" style="7" customWidth="1"/>
    <col min="14366" max="14366" width="13.6640625" style="7" customWidth="1"/>
    <col min="14367" max="14367" width="2.5546875" style="7" customWidth="1"/>
    <col min="14368" max="14368" width="13.44140625" style="7" customWidth="1"/>
    <col min="14369" max="14592" width="9.109375" style="7"/>
    <col min="14593" max="14593" width="4" style="7" customWidth="1"/>
    <col min="14594" max="14594" width="39.6640625" style="7" customWidth="1"/>
    <col min="14595" max="14595" width="2.5546875" style="7" customWidth="1"/>
    <col min="14596" max="14596" width="11.6640625" style="7" customWidth="1"/>
    <col min="14597" max="14597" width="2.5546875" style="7" customWidth="1"/>
    <col min="14598" max="14598" width="11.6640625" style="7" customWidth="1"/>
    <col min="14599" max="14599" width="2.5546875" style="7" customWidth="1"/>
    <col min="14600" max="14600" width="11.6640625" style="7" customWidth="1"/>
    <col min="14601" max="14601" width="2.5546875" style="7" customWidth="1"/>
    <col min="14602" max="14602" width="11.6640625" style="7" customWidth="1"/>
    <col min="14603" max="14603" width="2.5546875" style="7" customWidth="1"/>
    <col min="14604" max="14604" width="11.6640625" style="7" customWidth="1"/>
    <col min="14605" max="14605" width="2.5546875" style="7" customWidth="1"/>
    <col min="14606" max="14606" width="11.6640625" style="7" customWidth="1"/>
    <col min="14607" max="14607" width="2.5546875" style="7" customWidth="1"/>
    <col min="14608" max="14608" width="11.6640625" style="7" customWidth="1"/>
    <col min="14609" max="14609" width="2.5546875" style="7" customWidth="1"/>
    <col min="14610" max="14610" width="11.6640625" style="7" customWidth="1"/>
    <col min="14611" max="14611" width="2.5546875" style="7" customWidth="1"/>
    <col min="14612" max="14612" width="11.6640625" style="7" customWidth="1"/>
    <col min="14613" max="14613" width="2.5546875" style="7" customWidth="1"/>
    <col min="14614" max="14614" width="11.6640625" style="7" customWidth="1"/>
    <col min="14615" max="14615" width="2.5546875" style="7" customWidth="1"/>
    <col min="14616" max="14616" width="11.6640625" style="7" customWidth="1"/>
    <col min="14617" max="14617" width="2.5546875" style="7" customWidth="1"/>
    <col min="14618" max="14618" width="11.6640625" style="7" customWidth="1"/>
    <col min="14619" max="14619" width="2.6640625" style="7" customWidth="1"/>
    <col min="14620" max="14620" width="13.5546875" style="7" customWidth="1"/>
    <col min="14621" max="14621" width="2.5546875" style="7" customWidth="1"/>
    <col min="14622" max="14622" width="13.6640625" style="7" customWidth="1"/>
    <col min="14623" max="14623" width="2.5546875" style="7" customWidth="1"/>
    <col min="14624" max="14624" width="13.44140625" style="7" customWidth="1"/>
    <col min="14625" max="14848" width="9.109375" style="7"/>
    <col min="14849" max="14849" width="4" style="7" customWidth="1"/>
    <col min="14850" max="14850" width="39.6640625" style="7" customWidth="1"/>
    <col min="14851" max="14851" width="2.5546875" style="7" customWidth="1"/>
    <col min="14852" max="14852" width="11.6640625" style="7" customWidth="1"/>
    <col min="14853" max="14853" width="2.5546875" style="7" customWidth="1"/>
    <col min="14854" max="14854" width="11.6640625" style="7" customWidth="1"/>
    <col min="14855" max="14855" width="2.5546875" style="7" customWidth="1"/>
    <col min="14856" max="14856" width="11.6640625" style="7" customWidth="1"/>
    <col min="14857" max="14857" width="2.5546875" style="7" customWidth="1"/>
    <col min="14858" max="14858" width="11.6640625" style="7" customWidth="1"/>
    <col min="14859" max="14859" width="2.5546875" style="7" customWidth="1"/>
    <col min="14860" max="14860" width="11.6640625" style="7" customWidth="1"/>
    <col min="14861" max="14861" width="2.5546875" style="7" customWidth="1"/>
    <col min="14862" max="14862" width="11.6640625" style="7" customWidth="1"/>
    <col min="14863" max="14863" width="2.5546875" style="7" customWidth="1"/>
    <col min="14864" max="14864" width="11.6640625" style="7" customWidth="1"/>
    <col min="14865" max="14865" width="2.5546875" style="7" customWidth="1"/>
    <col min="14866" max="14866" width="11.6640625" style="7" customWidth="1"/>
    <col min="14867" max="14867" width="2.5546875" style="7" customWidth="1"/>
    <col min="14868" max="14868" width="11.6640625" style="7" customWidth="1"/>
    <col min="14869" max="14869" width="2.5546875" style="7" customWidth="1"/>
    <col min="14870" max="14870" width="11.6640625" style="7" customWidth="1"/>
    <col min="14871" max="14871" width="2.5546875" style="7" customWidth="1"/>
    <col min="14872" max="14872" width="11.6640625" style="7" customWidth="1"/>
    <col min="14873" max="14873" width="2.5546875" style="7" customWidth="1"/>
    <col min="14874" max="14874" width="11.6640625" style="7" customWidth="1"/>
    <col min="14875" max="14875" width="2.6640625" style="7" customWidth="1"/>
    <col min="14876" max="14876" width="13.5546875" style="7" customWidth="1"/>
    <col min="14877" max="14877" width="2.5546875" style="7" customWidth="1"/>
    <col min="14878" max="14878" width="13.6640625" style="7" customWidth="1"/>
    <col min="14879" max="14879" width="2.5546875" style="7" customWidth="1"/>
    <col min="14880" max="14880" width="13.44140625" style="7" customWidth="1"/>
    <col min="14881" max="15104" width="9.109375" style="7"/>
    <col min="15105" max="15105" width="4" style="7" customWidth="1"/>
    <col min="15106" max="15106" width="39.6640625" style="7" customWidth="1"/>
    <col min="15107" max="15107" width="2.5546875" style="7" customWidth="1"/>
    <col min="15108" max="15108" width="11.6640625" style="7" customWidth="1"/>
    <col min="15109" max="15109" width="2.5546875" style="7" customWidth="1"/>
    <col min="15110" max="15110" width="11.6640625" style="7" customWidth="1"/>
    <col min="15111" max="15111" width="2.5546875" style="7" customWidth="1"/>
    <col min="15112" max="15112" width="11.6640625" style="7" customWidth="1"/>
    <col min="15113" max="15113" width="2.5546875" style="7" customWidth="1"/>
    <col min="15114" max="15114" width="11.6640625" style="7" customWidth="1"/>
    <col min="15115" max="15115" width="2.5546875" style="7" customWidth="1"/>
    <col min="15116" max="15116" width="11.6640625" style="7" customWidth="1"/>
    <col min="15117" max="15117" width="2.5546875" style="7" customWidth="1"/>
    <col min="15118" max="15118" width="11.6640625" style="7" customWidth="1"/>
    <col min="15119" max="15119" width="2.5546875" style="7" customWidth="1"/>
    <col min="15120" max="15120" width="11.6640625" style="7" customWidth="1"/>
    <col min="15121" max="15121" width="2.5546875" style="7" customWidth="1"/>
    <col min="15122" max="15122" width="11.6640625" style="7" customWidth="1"/>
    <col min="15123" max="15123" width="2.5546875" style="7" customWidth="1"/>
    <col min="15124" max="15124" width="11.6640625" style="7" customWidth="1"/>
    <col min="15125" max="15125" width="2.5546875" style="7" customWidth="1"/>
    <col min="15126" max="15126" width="11.6640625" style="7" customWidth="1"/>
    <col min="15127" max="15127" width="2.5546875" style="7" customWidth="1"/>
    <col min="15128" max="15128" width="11.6640625" style="7" customWidth="1"/>
    <col min="15129" max="15129" width="2.5546875" style="7" customWidth="1"/>
    <col min="15130" max="15130" width="11.6640625" style="7" customWidth="1"/>
    <col min="15131" max="15131" width="2.6640625" style="7" customWidth="1"/>
    <col min="15132" max="15132" width="13.5546875" style="7" customWidth="1"/>
    <col min="15133" max="15133" width="2.5546875" style="7" customWidth="1"/>
    <col min="15134" max="15134" width="13.6640625" style="7" customWidth="1"/>
    <col min="15135" max="15135" width="2.5546875" style="7" customWidth="1"/>
    <col min="15136" max="15136" width="13.44140625" style="7" customWidth="1"/>
    <col min="15137" max="15360" width="9.109375" style="7"/>
    <col min="15361" max="15361" width="4" style="7" customWidth="1"/>
    <col min="15362" max="15362" width="39.6640625" style="7" customWidth="1"/>
    <col min="15363" max="15363" width="2.5546875" style="7" customWidth="1"/>
    <col min="15364" max="15364" width="11.6640625" style="7" customWidth="1"/>
    <col min="15365" max="15365" width="2.5546875" style="7" customWidth="1"/>
    <col min="15366" max="15366" width="11.6640625" style="7" customWidth="1"/>
    <col min="15367" max="15367" width="2.5546875" style="7" customWidth="1"/>
    <col min="15368" max="15368" width="11.6640625" style="7" customWidth="1"/>
    <col min="15369" max="15369" width="2.5546875" style="7" customWidth="1"/>
    <col min="15370" max="15370" width="11.6640625" style="7" customWidth="1"/>
    <col min="15371" max="15371" width="2.5546875" style="7" customWidth="1"/>
    <col min="15372" max="15372" width="11.6640625" style="7" customWidth="1"/>
    <col min="15373" max="15373" width="2.5546875" style="7" customWidth="1"/>
    <col min="15374" max="15374" width="11.6640625" style="7" customWidth="1"/>
    <col min="15375" max="15375" width="2.5546875" style="7" customWidth="1"/>
    <col min="15376" max="15376" width="11.6640625" style="7" customWidth="1"/>
    <col min="15377" max="15377" width="2.5546875" style="7" customWidth="1"/>
    <col min="15378" max="15378" width="11.6640625" style="7" customWidth="1"/>
    <col min="15379" max="15379" width="2.5546875" style="7" customWidth="1"/>
    <col min="15380" max="15380" width="11.6640625" style="7" customWidth="1"/>
    <col min="15381" max="15381" width="2.5546875" style="7" customWidth="1"/>
    <col min="15382" max="15382" width="11.6640625" style="7" customWidth="1"/>
    <col min="15383" max="15383" width="2.5546875" style="7" customWidth="1"/>
    <col min="15384" max="15384" width="11.6640625" style="7" customWidth="1"/>
    <col min="15385" max="15385" width="2.5546875" style="7" customWidth="1"/>
    <col min="15386" max="15386" width="11.6640625" style="7" customWidth="1"/>
    <col min="15387" max="15387" width="2.6640625" style="7" customWidth="1"/>
    <col min="15388" max="15388" width="13.5546875" style="7" customWidth="1"/>
    <col min="15389" max="15389" width="2.5546875" style="7" customWidth="1"/>
    <col min="15390" max="15390" width="13.6640625" style="7" customWidth="1"/>
    <col min="15391" max="15391" width="2.5546875" style="7" customWidth="1"/>
    <col min="15392" max="15392" width="13.44140625" style="7" customWidth="1"/>
    <col min="15393" max="15616" width="9.109375" style="7"/>
    <col min="15617" max="15617" width="4" style="7" customWidth="1"/>
    <col min="15618" max="15618" width="39.6640625" style="7" customWidth="1"/>
    <col min="15619" max="15619" width="2.5546875" style="7" customWidth="1"/>
    <col min="15620" max="15620" width="11.6640625" style="7" customWidth="1"/>
    <col min="15621" max="15621" width="2.5546875" style="7" customWidth="1"/>
    <col min="15622" max="15622" width="11.6640625" style="7" customWidth="1"/>
    <col min="15623" max="15623" width="2.5546875" style="7" customWidth="1"/>
    <col min="15624" max="15624" width="11.6640625" style="7" customWidth="1"/>
    <col min="15625" max="15625" width="2.5546875" style="7" customWidth="1"/>
    <col min="15626" max="15626" width="11.6640625" style="7" customWidth="1"/>
    <col min="15627" max="15627" width="2.5546875" style="7" customWidth="1"/>
    <col min="15628" max="15628" width="11.6640625" style="7" customWidth="1"/>
    <col min="15629" max="15629" width="2.5546875" style="7" customWidth="1"/>
    <col min="15630" max="15630" width="11.6640625" style="7" customWidth="1"/>
    <col min="15631" max="15631" width="2.5546875" style="7" customWidth="1"/>
    <col min="15632" max="15632" width="11.6640625" style="7" customWidth="1"/>
    <col min="15633" max="15633" width="2.5546875" style="7" customWidth="1"/>
    <col min="15634" max="15634" width="11.6640625" style="7" customWidth="1"/>
    <col min="15635" max="15635" width="2.5546875" style="7" customWidth="1"/>
    <col min="15636" max="15636" width="11.6640625" style="7" customWidth="1"/>
    <col min="15637" max="15637" width="2.5546875" style="7" customWidth="1"/>
    <col min="15638" max="15638" width="11.6640625" style="7" customWidth="1"/>
    <col min="15639" max="15639" width="2.5546875" style="7" customWidth="1"/>
    <col min="15640" max="15640" width="11.6640625" style="7" customWidth="1"/>
    <col min="15641" max="15641" width="2.5546875" style="7" customWidth="1"/>
    <col min="15642" max="15642" width="11.6640625" style="7" customWidth="1"/>
    <col min="15643" max="15643" width="2.6640625" style="7" customWidth="1"/>
    <col min="15644" max="15644" width="13.5546875" style="7" customWidth="1"/>
    <col min="15645" max="15645" width="2.5546875" style="7" customWidth="1"/>
    <col min="15646" max="15646" width="13.6640625" style="7" customWidth="1"/>
    <col min="15647" max="15647" width="2.5546875" style="7" customWidth="1"/>
    <col min="15648" max="15648" width="13.44140625" style="7" customWidth="1"/>
    <col min="15649" max="15872" width="9.109375" style="7"/>
    <col min="15873" max="15873" width="4" style="7" customWidth="1"/>
    <col min="15874" max="15874" width="39.6640625" style="7" customWidth="1"/>
    <col min="15875" max="15875" width="2.5546875" style="7" customWidth="1"/>
    <col min="15876" max="15876" width="11.6640625" style="7" customWidth="1"/>
    <col min="15877" max="15877" width="2.5546875" style="7" customWidth="1"/>
    <col min="15878" max="15878" width="11.6640625" style="7" customWidth="1"/>
    <col min="15879" max="15879" width="2.5546875" style="7" customWidth="1"/>
    <col min="15880" max="15880" width="11.6640625" style="7" customWidth="1"/>
    <col min="15881" max="15881" width="2.5546875" style="7" customWidth="1"/>
    <col min="15882" max="15882" width="11.6640625" style="7" customWidth="1"/>
    <col min="15883" max="15883" width="2.5546875" style="7" customWidth="1"/>
    <col min="15884" max="15884" width="11.6640625" style="7" customWidth="1"/>
    <col min="15885" max="15885" width="2.5546875" style="7" customWidth="1"/>
    <col min="15886" max="15886" width="11.6640625" style="7" customWidth="1"/>
    <col min="15887" max="15887" width="2.5546875" style="7" customWidth="1"/>
    <col min="15888" max="15888" width="11.6640625" style="7" customWidth="1"/>
    <col min="15889" max="15889" width="2.5546875" style="7" customWidth="1"/>
    <col min="15890" max="15890" width="11.6640625" style="7" customWidth="1"/>
    <col min="15891" max="15891" width="2.5546875" style="7" customWidth="1"/>
    <col min="15892" max="15892" width="11.6640625" style="7" customWidth="1"/>
    <col min="15893" max="15893" width="2.5546875" style="7" customWidth="1"/>
    <col min="15894" max="15894" width="11.6640625" style="7" customWidth="1"/>
    <col min="15895" max="15895" width="2.5546875" style="7" customWidth="1"/>
    <col min="15896" max="15896" width="11.6640625" style="7" customWidth="1"/>
    <col min="15897" max="15897" width="2.5546875" style="7" customWidth="1"/>
    <col min="15898" max="15898" width="11.6640625" style="7" customWidth="1"/>
    <col min="15899" max="15899" width="2.6640625" style="7" customWidth="1"/>
    <col min="15900" max="15900" width="13.5546875" style="7" customWidth="1"/>
    <col min="15901" max="15901" width="2.5546875" style="7" customWidth="1"/>
    <col min="15902" max="15902" width="13.6640625" style="7" customWidth="1"/>
    <col min="15903" max="15903" width="2.5546875" style="7" customWidth="1"/>
    <col min="15904" max="15904" width="13.44140625" style="7" customWidth="1"/>
    <col min="15905" max="16128" width="9.109375" style="7"/>
    <col min="16129" max="16129" width="4" style="7" customWidth="1"/>
    <col min="16130" max="16130" width="39.6640625" style="7" customWidth="1"/>
    <col min="16131" max="16131" width="2.5546875" style="7" customWidth="1"/>
    <col min="16132" max="16132" width="11.6640625" style="7" customWidth="1"/>
    <col min="16133" max="16133" width="2.5546875" style="7" customWidth="1"/>
    <col min="16134" max="16134" width="11.6640625" style="7" customWidth="1"/>
    <col min="16135" max="16135" width="2.5546875" style="7" customWidth="1"/>
    <col min="16136" max="16136" width="11.6640625" style="7" customWidth="1"/>
    <col min="16137" max="16137" width="2.5546875" style="7" customWidth="1"/>
    <col min="16138" max="16138" width="11.6640625" style="7" customWidth="1"/>
    <col min="16139" max="16139" width="2.5546875" style="7" customWidth="1"/>
    <col min="16140" max="16140" width="11.6640625" style="7" customWidth="1"/>
    <col min="16141" max="16141" width="2.5546875" style="7" customWidth="1"/>
    <col min="16142" max="16142" width="11.6640625" style="7" customWidth="1"/>
    <col min="16143" max="16143" width="2.5546875" style="7" customWidth="1"/>
    <col min="16144" max="16144" width="11.6640625" style="7" customWidth="1"/>
    <col min="16145" max="16145" width="2.5546875" style="7" customWidth="1"/>
    <col min="16146" max="16146" width="11.6640625" style="7" customWidth="1"/>
    <col min="16147" max="16147" width="2.5546875" style="7" customWidth="1"/>
    <col min="16148" max="16148" width="11.6640625" style="7" customWidth="1"/>
    <col min="16149" max="16149" width="2.5546875" style="7" customWidth="1"/>
    <col min="16150" max="16150" width="11.6640625" style="7" customWidth="1"/>
    <col min="16151" max="16151" width="2.5546875" style="7" customWidth="1"/>
    <col min="16152" max="16152" width="11.6640625" style="7" customWidth="1"/>
    <col min="16153" max="16153" width="2.5546875" style="7" customWidth="1"/>
    <col min="16154" max="16154" width="11.6640625" style="7" customWidth="1"/>
    <col min="16155" max="16155" width="2.6640625" style="7" customWidth="1"/>
    <col min="16156" max="16156" width="13.5546875" style="7" customWidth="1"/>
    <col min="16157" max="16157" width="2.5546875" style="7" customWidth="1"/>
    <col min="16158" max="16158" width="13.6640625" style="7" customWidth="1"/>
    <col min="16159" max="16159" width="2.5546875" style="7" customWidth="1"/>
    <col min="16160" max="16160" width="13.44140625" style="7" customWidth="1"/>
    <col min="16161" max="16384" width="9.109375" style="7"/>
  </cols>
  <sheetData>
    <row r="1" spans="1:51" ht="13.8">
      <c r="A1" s="173" t="s">
        <v>109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</row>
    <row r="2" spans="1:51" ht="18">
      <c r="A2" s="124" t="s">
        <v>106</v>
      </c>
      <c r="B2" s="93"/>
      <c r="C2" s="93"/>
      <c r="D2" s="93"/>
      <c r="E2" s="93"/>
      <c r="F2" s="93"/>
      <c r="G2" s="93"/>
      <c r="H2" s="93"/>
      <c r="I2" s="94"/>
      <c r="J2" s="95"/>
      <c r="K2" s="94"/>
      <c r="L2" s="95"/>
      <c r="M2" s="94"/>
      <c r="N2" s="95"/>
      <c r="O2" s="94"/>
      <c r="P2" s="95"/>
      <c r="Q2" s="94"/>
      <c r="R2" s="95"/>
      <c r="S2" s="94"/>
      <c r="T2" s="95"/>
      <c r="U2" s="94"/>
      <c r="V2" s="95"/>
      <c r="W2" s="94"/>
      <c r="X2" s="95"/>
      <c r="Y2" s="94"/>
      <c r="Z2" s="95"/>
      <c r="AA2" s="96"/>
      <c r="AB2" s="95"/>
      <c r="AC2" s="94"/>
      <c r="AD2" s="94"/>
      <c r="AE2" s="94"/>
      <c r="AF2" s="97"/>
    </row>
    <row r="3" spans="1:51" ht="18">
      <c r="A3" s="84" t="s">
        <v>90</v>
      </c>
      <c r="B3" s="98"/>
      <c r="C3" s="98"/>
      <c r="D3" s="98"/>
      <c r="E3" s="98"/>
      <c r="F3" s="98"/>
      <c r="G3" s="98"/>
      <c r="H3" s="98"/>
      <c r="I3" s="99"/>
      <c r="J3" s="98"/>
      <c r="K3" s="99"/>
      <c r="L3" s="40"/>
      <c r="M3" s="99"/>
      <c r="N3" s="40"/>
      <c r="O3" s="99"/>
      <c r="P3" s="40"/>
      <c r="Q3" s="99"/>
      <c r="R3" s="40"/>
      <c r="S3" s="99"/>
      <c r="T3" s="40"/>
      <c r="U3" s="99"/>
      <c r="V3" s="40"/>
      <c r="W3" s="99"/>
      <c r="X3" s="40"/>
      <c r="Y3" s="99"/>
      <c r="Z3" s="40"/>
      <c r="AA3" s="100"/>
      <c r="AB3" s="40"/>
      <c r="AC3" s="99"/>
      <c r="AD3" s="99"/>
      <c r="AE3" s="99"/>
      <c r="AF3" s="101"/>
    </row>
    <row r="4" spans="1:51" s="50" customFormat="1" ht="24" customHeight="1" thickBot="1">
      <c r="A4" s="170" t="s">
        <v>27</v>
      </c>
      <c r="B4" s="171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  <c r="AA4" s="171"/>
      <c r="AB4" s="171"/>
      <c r="AC4" s="171"/>
      <c r="AD4" s="171"/>
      <c r="AE4" s="171"/>
      <c r="AF4" s="172"/>
      <c r="AG4" s="83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3"/>
      <c r="AT4" s="83"/>
      <c r="AU4" s="83"/>
      <c r="AV4" s="83"/>
      <c r="AW4" s="83"/>
      <c r="AX4" s="83"/>
      <c r="AY4" s="83"/>
    </row>
    <row r="5" spans="1:51" ht="32.25" customHeight="1" thickBot="1">
      <c r="A5" s="103" t="s">
        <v>89</v>
      </c>
      <c r="B5" s="40"/>
      <c r="C5" s="99"/>
      <c r="D5" s="40"/>
      <c r="E5" s="102"/>
      <c r="F5" s="40"/>
      <c r="G5" s="99"/>
      <c r="H5" s="40"/>
      <c r="I5" s="99"/>
      <c r="J5" s="40"/>
      <c r="K5" s="99"/>
      <c r="L5" s="40"/>
      <c r="M5" s="99"/>
      <c r="N5" s="40"/>
      <c r="O5" s="99"/>
      <c r="P5" s="40"/>
      <c r="Q5" s="99"/>
      <c r="R5" s="40"/>
      <c r="S5" s="99"/>
      <c r="T5" s="40"/>
      <c r="U5" s="99"/>
      <c r="V5" s="40"/>
      <c r="W5" s="99"/>
      <c r="X5" s="40"/>
      <c r="Y5" s="99"/>
      <c r="Z5" s="40"/>
      <c r="AA5" s="99"/>
      <c r="AB5" s="40"/>
      <c r="AC5" s="99"/>
      <c r="AD5" s="99"/>
      <c r="AE5" s="104"/>
      <c r="AF5" s="101"/>
    </row>
    <row r="6" spans="1:51" ht="15" customHeight="1">
      <c r="A6" s="105"/>
      <c r="B6" s="40"/>
      <c r="C6" s="168" t="s">
        <v>75</v>
      </c>
      <c r="D6" s="168"/>
      <c r="E6" s="168"/>
      <c r="F6" s="168"/>
      <c r="G6" s="169"/>
      <c r="H6" s="82"/>
      <c r="I6" s="168" t="s">
        <v>76</v>
      </c>
      <c r="J6" s="168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81"/>
      <c r="AC6" s="125" t="s">
        <v>100</v>
      </c>
      <c r="AD6" s="99"/>
      <c r="AE6" s="89"/>
      <c r="AF6" s="90"/>
    </row>
    <row r="7" spans="1:51">
      <c r="A7" s="105"/>
      <c r="B7" s="40"/>
      <c r="C7" s="80" t="s">
        <v>28</v>
      </c>
      <c r="D7" s="81"/>
      <c r="E7" s="80" t="s">
        <v>29</v>
      </c>
      <c r="F7" s="81"/>
      <c r="G7" s="80" t="s">
        <v>30</v>
      </c>
      <c r="H7" s="79"/>
      <c r="I7" s="80" t="s">
        <v>31</v>
      </c>
      <c r="J7" s="81"/>
      <c r="K7" s="80" t="s">
        <v>32</v>
      </c>
      <c r="L7" s="81"/>
      <c r="M7" s="80" t="s">
        <v>33</v>
      </c>
      <c r="N7" s="81"/>
      <c r="O7" s="80" t="s">
        <v>34</v>
      </c>
      <c r="P7" s="81"/>
      <c r="Q7" s="80" t="s">
        <v>35</v>
      </c>
      <c r="R7" s="81"/>
      <c r="S7" s="80" t="s">
        <v>36</v>
      </c>
      <c r="T7" s="81"/>
      <c r="U7" s="80" t="s">
        <v>37</v>
      </c>
      <c r="V7" s="81"/>
      <c r="W7" s="80" t="s">
        <v>38</v>
      </c>
      <c r="X7" s="81"/>
      <c r="Y7" s="80" t="s">
        <v>39</v>
      </c>
      <c r="Z7" s="81"/>
      <c r="AA7" s="125" t="s">
        <v>98</v>
      </c>
      <c r="AB7" s="81"/>
      <c r="AC7" s="125" t="s">
        <v>99</v>
      </c>
      <c r="AD7" s="106"/>
      <c r="AE7" s="126" t="s">
        <v>18</v>
      </c>
      <c r="AF7" s="91" t="s">
        <v>101</v>
      </c>
    </row>
    <row r="8" spans="1:51">
      <c r="A8" s="76" t="s">
        <v>40</v>
      </c>
      <c r="B8" s="27" t="s">
        <v>41</v>
      </c>
      <c r="C8" s="107">
        <v>0</v>
      </c>
      <c r="D8" s="25" t="s">
        <v>41</v>
      </c>
      <c r="E8" s="24">
        <f>+C32</f>
        <v>0</v>
      </c>
      <c r="F8" s="25" t="s">
        <v>41</v>
      </c>
      <c r="G8" s="24">
        <f>+E32</f>
        <v>0</v>
      </c>
      <c r="H8" s="46" t="s">
        <v>41</v>
      </c>
      <c r="I8" s="24">
        <f>+G32</f>
        <v>0</v>
      </c>
      <c r="J8" s="25" t="s">
        <v>41</v>
      </c>
      <c r="K8" s="24">
        <f>+I32</f>
        <v>0</v>
      </c>
      <c r="L8" s="25" t="s">
        <v>41</v>
      </c>
      <c r="M8" s="24">
        <f>+K32</f>
        <v>0</v>
      </c>
      <c r="N8" s="25" t="s">
        <v>41</v>
      </c>
      <c r="O8" s="24">
        <f>+M32</f>
        <v>0</v>
      </c>
      <c r="P8" s="25" t="s">
        <v>41</v>
      </c>
      <c r="Q8" s="24">
        <f>+O32</f>
        <v>0</v>
      </c>
      <c r="R8" s="25" t="s">
        <v>41</v>
      </c>
      <c r="S8" s="24">
        <f>+Q32</f>
        <v>0</v>
      </c>
      <c r="T8" s="25" t="s">
        <v>41</v>
      </c>
      <c r="U8" s="24">
        <f>+S32</f>
        <v>0</v>
      </c>
      <c r="V8" s="25" t="s">
        <v>41</v>
      </c>
      <c r="W8" s="24">
        <f>+U32</f>
        <v>0</v>
      </c>
      <c r="X8" s="25" t="s">
        <v>41</v>
      </c>
      <c r="Y8" s="24">
        <f>+W32</f>
        <v>0</v>
      </c>
      <c r="Z8" s="25" t="s">
        <v>41</v>
      </c>
      <c r="AA8" s="108" t="s">
        <v>42</v>
      </c>
      <c r="AB8" s="25" t="s">
        <v>41</v>
      </c>
      <c r="AC8" s="109">
        <v>0</v>
      </c>
      <c r="AD8" s="24"/>
      <c r="AE8" s="163">
        <f>AC8-C8</f>
        <v>0</v>
      </c>
      <c r="AF8" s="161"/>
    </row>
    <row r="9" spans="1:51">
      <c r="A9" s="105"/>
      <c r="B9" s="40"/>
      <c r="C9" s="42"/>
      <c r="D9" s="26"/>
      <c r="E9" s="42"/>
      <c r="F9" s="26"/>
      <c r="G9" s="42"/>
      <c r="H9" s="47"/>
      <c r="I9" s="42"/>
      <c r="J9" s="26"/>
      <c r="K9" s="42"/>
      <c r="L9" s="26"/>
      <c r="M9" s="42"/>
      <c r="N9" s="26"/>
      <c r="O9" s="42"/>
      <c r="P9" s="26"/>
      <c r="Q9" s="42"/>
      <c r="R9" s="26"/>
      <c r="S9" s="42"/>
      <c r="T9" s="26"/>
      <c r="U9" s="42"/>
      <c r="V9" s="26"/>
      <c r="W9" s="42"/>
      <c r="X9" s="26"/>
      <c r="Y9" s="42"/>
      <c r="Z9" s="26"/>
      <c r="AA9" s="42"/>
      <c r="AB9" s="26"/>
      <c r="AC9" s="42"/>
      <c r="AD9" s="42"/>
      <c r="AE9" s="61"/>
      <c r="AF9" s="161"/>
    </row>
    <row r="10" spans="1:51">
      <c r="A10" s="86" t="s">
        <v>91</v>
      </c>
      <c r="B10" s="27"/>
      <c r="C10" s="42"/>
      <c r="D10" s="25"/>
      <c r="E10" s="42"/>
      <c r="F10" s="25"/>
      <c r="G10" s="42"/>
      <c r="H10" s="46"/>
      <c r="I10" s="42"/>
      <c r="J10" s="25"/>
      <c r="K10" s="42"/>
      <c r="L10" s="25"/>
      <c r="M10" s="42"/>
      <c r="N10" s="25"/>
      <c r="O10" s="42"/>
      <c r="P10" s="25"/>
      <c r="Q10" s="42"/>
      <c r="R10" s="25"/>
      <c r="S10" s="42"/>
      <c r="T10" s="25"/>
      <c r="U10" s="42"/>
      <c r="V10" s="25"/>
      <c r="W10" s="42"/>
      <c r="X10" s="25"/>
      <c r="Y10" s="42"/>
      <c r="Z10" s="25"/>
      <c r="AA10" s="42"/>
      <c r="AB10" s="25"/>
      <c r="AC10" s="42"/>
      <c r="AD10" s="42"/>
      <c r="AE10" s="61"/>
      <c r="AF10" s="161"/>
    </row>
    <row r="11" spans="1:51">
      <c r="A11" s="110" t="s">
        <v>22</v>
      </c>
      <c r="B11" s="40" t="s">
        <v>41</v>
      </c>
      <c r="C11" s="48">
        <v>0</v>
      </c>
      <c r="D11" s="26" t="s">
        <v>41</v>
      </c>
      <c r="E11" s="48">
        <v>0</v>
      </c>
      <c r="F11" s="26" t="s">
        <v>41</v>
      </c>
      <c r="G11" s="48">
        <v>0</v>
      </c>
      <c r="H11" s="47" t="s">
        <v>41</v>
      </c>
      <c r="I11" s="48">
        <v>0</v>
      </c>
      <c r="J11" s="26" t="s">
        <v>41</v>
      </c>
      <c r="K11" s="48">
        <v>0</v>
      </c>
      <c r="L11" s="26" t="s">
        <v>41</v>
      </c>
      <c r="M11" s="48">
        <v>0</v>
      </c>
      <c r="N11" s="26" t="s">
        <v>41</v>
      </c>
      <c r="O11" s="48">
        <v>0</v>
      </c>
      <c r="P11" s="26" t="s">
        <v>41</v>
      </c>
      <c r="Q11" s="48">
        <v>0</v>
      </c>
      <c r="R11" s="26" t="s">
        <v>41</v>
      </c>
      <c r="S11" s="48">
        <v>0</v>
      </c>
      <c r="T11" s="26" t="s">
        <v>41</v>
      </c>
      <c r="U11" s="48">
        <v>0</v>
      </c>
      <c r="V11" s="26" t="s">
        <v>41</v>
      </c>
      <c r="W11" s="48">
        <v>0</v>
      </c>
      <c r="X11" s="26" t="s">
        <v>41</v>
      </c>
      <c r="Y11" s="48">
        <v>0</v>
      </c>
      <c r="Z11" s="26" t="s">
        <v>41</v>
      </c>
      <c r="AA11" s="42">
        <f>SUM(C11:Z11)</f>
        <v>0</v>
      </c>
      <c r="AB11" s="26" t="s">
        <v>41</v>
      </c>
      <c r="AC11" s="48">
        <v>0</v>
      </c>
      <c r="AD11" s="26" t="s">
        <v>41</v>
      </c>
      <c r="AE11" s="61">
        <f>AA11-AC11</f>
        <v>0</v>
      </c>
      <c r="AF11" s="161"/>
    </row>
    <row r="12" spans="1:51">
      <c r="A12" s="110" t="s">
        <v>79</v>
      </c>
      <c r="B12" s="40" t="s">
        <v>41</v>
      </c>
      <c r="C12" s="48">
        <v>0</v>
      </c>
      <c r="D12" s="26" t="s">
        <v>41</v>
      </c>
      <c r="E12" s="48">
        <v>0</v>
      </c>
      <c r="F12" s="26" t="s">
        <v>41</v>
      </c>
      <c r="G12" s="48">
        <v>0</v>
      </c>
      <c r="H12" s="47" t="s">
        <v>41</v>
      </c>
      <c r="I12" s="48">
        <v>0</v>
      </c>
      <c r="J12" s="26" t="s">
        <v>41</v>
      </c>
      <c r="K12" s="48">
        <v>0</v>
      </c>
      <c r="L12" s="26" t="s">
        <v>41</v>
      </c>
      <c r="M12" s="48">
        <v>0</v>
      </c>
      <c r="N12" s="26" t="s">
        <v>41</v>
      </c>
      <c r="O12" s="48">
        <v>0</v>
      </c>
      <c r="P12" s="26" t="s">
        <v>41</v>
      </c>
      <c r="Q12" s="48">
        <v>0</v>
      </c>
      <c r="R12" s="26" t="s">
        <v>41</v>
      </c>
      <c r="S12" s="48">
        <v>0</v>
      </c>
      <c r="T12" s="26" t="s">
        <v>41</v>
      </c>
      <c r="U12" s="48">
        <v>0</v>
      </c>
      <c r="V12" s="26" t="s">
        <v>41</v>
      </c>
      <c r="W12" s="48">
        <v>0</v>
      </c>
      <c r="X12" s="26" t="s">
        <v>41</v>
      </c>
      <c r="Y12" s="48">
        <v>0</v>
      </c>
      <c r="Z12" s="26" t="s">
        <v>41</v>
      </c>
      <c r="AA12" s="42">
        <f t="shared" ref="AA12:AA15" si="0">SUM(C12:Z12)</f>
        <v>0</v>
      </c>
      <c r="AB12" s="26" t="s">
        <v>41</v>
      </c>
      <c r="AC12" s="48">
        <v>0</v>
      </c>
      <c r="AD12" s="26" t="s">
        <v>41</v>
      </c>
      <c r="AE12" s="61">
        <f>AA12-AC12</f>
        <v>0</v>
      </c>
      <c r="AF12" s="161"/>
    </row>
    <row r="13" spans="1:51">
      <c r="A13" s="110" t="s">
        <v>93</v>
      </c>
      <c r="B13" s="40" t="s">
        <v>41</v>
      </c>
      <c r="C13" s="48">
        <v>0</v>
      </c>
      <c r="D13" s="26" t="s">
        <v>41</v>
      </c>
      <c r="E13" s="48">
        <v>0</v>
      </c>
      <c r="F13" s="26" t="s">
        <v>41</v>
      </c>
      <c r="G13" s="48">
        <v>0</v>
      </c>
      <c r="H13" s="47" t="s">
        <v>41</v>
      </c>
      <c r="I13" s="48">
        <v>0</v>
      </c>
      <c r="J13" s="26" t="s">
        <v>41</v>
      </c>
      <c r="K13" s="48">
        <v>0</v>
      </c>
      <c r="L13" s="26" t="s">
        <v>41</v>
      </c>
      <c r="M13" s="48">
        <v>0</v>
      </c>
      <c r="N13" s="26" t="s">
        <v>41</v>
      </c>
      <c r="O13" s="48">
        <v>0</v>
      </c>
      <c r="P13" s="26" t="s">
        <v>41</v>
      </c>
      <c r="Q13" s="48">
        <v>0</v>
      </c>
      <c r="R13" s="26" t="s">
        <v>41</v>
      </c>
      <c r="S13" s="48">
        <v>0</v>
      </c>
      <c r="T13" s="26" t="s">
        <v>41</v>
      </c>
      <c r="U13" s="48">
        <v>0</v>
      </c>
      <c r="V13" s="26" t="s">
        <v>41</v>
      </c>
      <c r="W13" s="48">
        <v>0</v>
      </c>
      <c r="X13" s="26" t="s">
        <v>41</v>
      </c>
      <c r="Y13" s="48">
        <v>0</v>
      </c>
      <c r="Z13" s="26" t="s">
        <v>41</v>
      </c>
      <c r="AA13" s="42">
        <f t="shared" si="0"/>
        <v>0</v>
      </c>
      <c r="AB13" s="26" t="s">
        <v>41</v>
      </c>
      <c r="AC13" s="48">
        <v>0</v>
      </c>
      <c r="AD13" s="26" t="s">
        <v>41</v>
      </c>
      <c r="AE13" s="61">
        <f>AA13-AC13</f>
        <v>0</v>
      </c>
      <c r="AF13" s="161"/>
    </row>
    <row r="14" spans="1:51">
      <c r="A14" s="110" t="s">
        <v>44</v>
      </c>
      <c r="B14" s="40" t="s">
        <v>41</v>
      </c>
      <c r="C14" s="48">
        <v>0</v>
      </c>
      <c r="D14" s="26" t="s">
        <v>41</v>
      </c>
      <c r="E14" s="48">
        <v>0</v>
      </c>
      <c r="F14" s="26" t="s">
        <v>41</v>
      </c>
      <c r="G14" s="48">
        <v>0</v>
      </c>
      <c r="H14" s="47" t="s">
        <v>41</v>
      </c>
      <c r="I14" s="48">
        <v>0</v>
      </c>
      <c r="J14" s="26" t="s">
        <v>41</v>
      </c>
      <c r="K14" s="48">
        <v>0</v>
      </c>
      <c r="L14" s="26" t="s">
        <v>41</v>
      </c>
      <c r="M14" s="48">
        <v>0</v>
      </c>
      <c r="N14" s="26" t="s">
        <v>41</v>
      </c>
      <c r="O14" s="48">
        <v>0</v>
      </c>
      <c r="P14" s="26" t="s">
        <v>41</v>
      </c>
      <c r="Q14" s="48">
        <v>0</v>
      </c>
      <c r="R14" s="26" t="s">
        <v>41</v>
      </c>
      <c r="S14" s="48">
        <v>0</v>
      </c>
      <c r="T14" s="26" t="s">
        <v>41</v>
      </c>
      <c r="U14" s="48">
        <v>0</v>
      </c>
      <c r="V14" s="26" t="s">
        <v>41</v>
      </c>
      <c r="W14" s="48">
        <v>0</v>
      </c>
      <c r="X14" s="26" t="s">
        <v>41</v>
      </c>
      <c r="Y14" s="48">
        <v>0</v>
      </c>
      <c r="Z14" s="26" t="s">
        <v>41</v>
      </c>
      <c r="AA14" s="42">
        <f t="shared" si="0"/>
        <v>0</v>
      </c>
      <c r="AB14" s="26" t="s">
        <v>41</v>
      </c>
      <c r="AC14" s="48">
        <v>0</v>
      </c>
      <c r="AD14" s="26" t="s">
        <v>41</v>
      </c>
      <c r="AE14" s="61">
        <f>AA14-AC14</f>
        <v>0</v>
      </c>
      <c r="AF14" s="161"/>
    </row>
    <row r="15" spans="1:51">
      <c r="A15" s="110" t="s">
        <v>0</v>
      </c>
      <c r="B15" s="16" t="s">
        <v>41</v>
      </c>
      <c r="C15" s="17">
        <v>0</v>
      </c>
      <c r="D15" s="18" t="s">
        <v>41</v>
      </c>
      <c r="E15" s="17">
        <v>0</v>
      </c>
      <c r="F15" s="18" t="s">
        <v>41</v>
      </c>
      <c r="G15" s="17">
        <v>0</v>
      </c>
      <c r="H15" s="49" t="s">
        <v>41</v>
      </c>
      <c r="I15" s="17">
        <v>0</v>
      </c>
      <c r="J15" s="18" t="s">
        <v>41</v>
      </c>
      <c r="K15" s="17">
        <v>0</v>
      </c>
      <c r="L15" s="18" t="s">
        <v>41</v>
      </c>
      <c r="M15" s="17">
        <v>0</v>
      </c>
      <c r="N15" s="18" t="s">
        <v>41</v>
      </c>
      <c r="O15" s="17">
        <v>0</v>
      </c>
      <c r="P15" s="18" t="s">
        <v>41</v>
      </c>
      <c r="Q15" s="17">
        <v>0</v>
      </c>
      <c r="R15" s="18" t="s">
        <v>41</v>
      </c>
      <c r="S15" s="17">
        <v>0</v>
      </c>
      <c r="T15" s="18" t="s">
        <v>41</v>
      </c>
      <c r="U15" s="17">
        <v>0</v>
      </c>
      <c r="V15" s="18" t="s">
        <v>41</v>
      </c>
      <c r="W15" s="17">
        <v>0</v>
      </c>
      <c r="X15" s="18" t="s">
        <v>41</v>
      </c>
      <c r="Y15" s="17">
        <v>0</v>
      </c>
      <c r="Z15" s="18" t="s">
        <v>41</v>
      </c>
      <c r="AA15" s="19">
        <f t="shared" si="0"/>
        <v>0</v>
      </c>
      <c r="AB15" s="18" t="s">
        <v>41</v>
      </c>
      <c r="AC15" s="17">
        <v>0</v>
      </c>
      <c r="AD15" s="18" t="s">
        <v>41</v>
      </c>
      <c r="AE15" s="51">
        <f>AA15-AC15</f>
        <v>0</v>
      </c>
      <c r="AF15" s="161"/>
    </row>
    <row r="16" spans="1:51">
      <c r="A16" s="69" t="s">
        <v>45</v>
      </c>
      <c r="B16" s="27" t="s">
        <v>41</v>
      </c>
      <c r="C16" s="24">
        <f>SUM(C11:C15)</f>
        <v>0</v>
      </c>
      <c r="D16" s="25" t="s">
        <v>41</v>
      </c>
      <c r="E16" s="24">
        <f>SUM(E11:E15)</f>
        <v>0</v>
      </c>
      <c r="F16" s="25" t="s">
        <v>41</v>
      </c>
      <c r="G16" s="24">
        <f>SUM(G11:G15)</f>
        <v>0</v>
      </c>
      <c r="H16" s="46" t="s">
        <v>41</v>
      </c>
      <c r="I16" s="24">
        <f>SUM(I11:I15)</f>
        <v>0</v>
      </c>
      <c r="J16" s="25" t="s">
        <v>41</v>
      </c>
      <c r="K16" s="24">
        <f>SUM(K11:K15)</f>
        <v>0</v>
      </c>
      <c r="L16" s="25" t="s">
        <v>41</v>
      </c>
      <c r="M16" s="24">
        <f>SUM(M11:M15)</f>
        <v>0</v>
      </c>
      <c r="N16" s="25" t="s">
        <v>41</v>
      </c>
      <c r="O16" s="24">
        <f>SUM(O11:O15)</f>
        <v>0</v>
      </c>
      <c r="P16" s="25" t="s">
        <v>41</v>
      </c>
      <c r="Q16" s="24">
        <f>SUM(Q11:Q15)</f>
        <v>0</v>
      </c>
      <c r="R16" s="25" t="s">
        <v>41</v>
      </c>
      <c r="S16" s="24">
        <f>SUM(S11:S15)</f>
        <v>0</v>
      </c>
      <c r="T16" s="25" t="s">
        <v>41</v>
      </c>
      <c r="U16" s="24">
        <f>SUM(U11:U15)</f>
        <v>0</v>
      </c>
      <c r="V16" s="25" t="s">
        <v>41</v>
      </c>
      <c r="W16" s="24">
        <f>SUM(W11:W15)</f>
        <v>0</v>
      </c>
      <c r="X16" s="25" t="s">
        <v>41</v>
      </c>
      <c r="Y16" s="24">
        <f>SUM(Y11:Y15)</f>
        <v>0</v>
      </c>
      <c r="Z16" s="25" t="s">
        <v>41</v>
      </c>
      <c r="AA16" s="24">
        <f>SUM(AA11:AA15)</f>
        <v>0</v>
      </c>
      <c r="AB16" s="25" t="s">
        <v>41</v>
      </c>
      <c r="AC16" s="111">
        <f>SUM(AC11:AC15)</f>
        <v>0</v>
      </c>
      <c r="AD16" s="25" t="s">
        <v>41</v>
      </c>
      <c r="AE16" s="55">
        <f>SUM(AE11:AE15)</f>
        <v>0</v>
      </c>
      <c r="AF16" s="161"/>
    </row>
    <row r="17" spans="1:32">
      <c r="A17" s="105"/>
      <c r="B17" s="40"/>
      <c r="C17" s="42"/>
      <c r="D17" s="26"/>
      <c r="E17" s="42"/>
      <c r="F17" s="26"/>
      <c r="G17" s="42"/>
      <c r="H17" s="47"/>
      <c r="I17" s="42"/>
      <c r="J17" s="26"/>
      <c r="K17" s="42"/>
      <c r="L17" s="26"/>
      <c r="M17" s="42"/>
      <c r="N17" s="26"/>
      <c r="O17" s="42"/>
      <c r="P17" s="26"/>
      <c r="Q17" s="42"/>
      <c r="R17" s="26"/>
      <c r="S17" s="42"/>
      <c r="T17" s="26"/>
      <c r="U17" s="42"/>
      <c r="V17" s="26"/>
      <c r="W17" s="42"/>
      <c r="X17" s="26"/>
      <c r="Y17" s="42"/>
      <c r="Z17" s="26"/>
      <c r="AA17" s="42"/>
      <c r="AB17" s="26"/>
      <c r="AC17" s="42"/>
      <c r="AD17" s="42"/>
      <c r="AE17" s="61"/>
      <c r="AF17" s="161"/>
    </row>
    <row r="18" spans="1:32">
      <c r="A18" s="86" t="s">
        <v>92</v>
      </c>
      <c r="B18" s="40"/>
      <c r="C18" s="42"/>
      <c r="D18" s="26"/>
      <c r="E18" s="42"/>
      <c r="F18" s="26"/>
      <c r="G18" s="42"/>
      <c r="H18" s="47"/>
      <c r="I18" s="42"/>
      <c r="J18" s="26"/>
      <c r="K18" s="42"/>
      <c r="L18" s="26"/>
      <c r="M18" s="42"/>
      <c r="N18" s="26"/>
      <c r="O18" s="42"/>
      <c r="P18" s="26"/>
      <c r="Q18" s="42"/>
      <c r="R18" s="26"/>
      <c r="S18" s="42"/>
      <c r="T18" s="26"/>
      <c r="U18" s="42"/>
      <c r="V18" s="26"/>
      <c r="W18" s="42"/>
      <c r="X18" s="26"/>
      <c r="Y18" s="42"/>
      <c r="Z18" s="26"/>
      <c r="AA18" s="42"/>
      <c r="AB18" s="26"/>
      <c r="AC18" s="42"/>
      <c r="AD18" s="42"/>
      <c r="AE18" s="61"/>
      <c r="AF18" s="161"/>
    </row>
    <row r="19" spans="1:32">
      <c r="A19" s="110" t="s">
        <v>47</v>
      </c>
      <c r="B19" s="40" t="s">
        <v>41</v>
      </c>
      <c r="C19" s="48">
        <v>0</v>
      </c>
      <c r="D19" s="26" t="s">
        <v>41</v>
      </c>
      <c r="E19" s="48">
        <v>0</v>
      </c>
      <c r="F19" s="26" t="s">
        <v>41</v>
      </c>
      <c r="G19" s="48">
        <v>0</v>
      </c>
      <c r="H19" s="47" t="s">
        <v>41</v>
      </c>
      <c r="I19" s="48">
        <v>0</v>
      </c>
      <c r="J19" s="26" t="s">
        <v>41</v>
      </c>
      <c r="K19" s="48">
        <v>0</v>
      </c>
      <c r="L19" s="26" t="s">
        <v>41</v>
      </c>
      <c r="M19" s="48">
        <v>0</v>
      </c>
      <c r="N19" s="26" t="s">
        <v>41</v>
      </c>
      <c r="O19" s="48">
        <v>0</v>
      </c>
      <c r="P19" s="26" t="s">
        <v>41</v>
      </c>
      <c r="Q19" s="48">
        <v>0</v>
      </c>
      <c r="R19" s="26" t="s">
        <v>41</v>
      </c>
      <c r="S19" s="48">
        <v>0</v>
      </c>
      <c r="T19" s="26" t="s">
        <v>41</v>
      </c>
      <c r="U19" s="48">
        <v>0</v>
      </c>
      <c r="V19" s="26" t="s">
        <v>41</v>
      </c>
      <c r="W19" s="48">
        <v>0</v>
      </c>
      <c r="X19" s="26" t="s">
        <v>41</v>
      </c>
      <c r="Y19" s="48">
        <v>0</v>
      </c>
      <c r="Z19" s="26" t="s">
        <v>41</v>
      </c>
      <c r="AA19" s="42">
        <f t="shared" ref="AA19:AA27" si="1">SUM(C19:Z19)</f>
        <v>0</v>
      </c>
      <c r="AB19" s="26" t="s">
        <v>41</v>
      </c>
      <c r="AC19" s="48">
        <v>0</v>
      </c>
      <c r="AD19" s="26" t="s">
        <v>41</v>
      </c>
      <c r="AE19" s="61">
        <f>AA19-AC19</f>
        <v>0</v>
      </c>
      <c r="AF19" s="161"/>
    </row>
    <row r="20" spans="1:32">
      <c r="A20" s="110" t="s">
        <v>2</v>
      </c>
      <c r="B20" s="40" t="s">
        <v>41</v>
      </c>
      <c r="C20" s="48">
        <v>0</v>
      </c>
      <c r="D20" s="26" t="s">
        <v>41</v>
      </c>
      <c r="E20" s="48">
        <v>0</v>
      </c>
      <c r="F20" s="26" t="s">
        <v>41</v>
      </c>
      <c r="G20" s="48">
        <v>0</v>
      </c>
      <c r="H20" s="47" t="s">
        <v>41</v>
      </c>
      <c r="I20" s="48">
        <v>0</v>
      </c>
      <c r="J20" s="26" t="s">
        <v>41</v>
      </c>
      <c r="K20" s="48">
        <v>0</v>
      </c>
      <c r="L20" s="26" t="s">
        <v>41</v>
      </c>
      <c r="M20" s="48">
        <v>0</v>
      </c>
      <c r="N20" s="26" t="s">
        <v>41</v>
      </c>
      <c r="O20" s="48">
        <v>0</v>
      </c>
      <c r="P20" s="26" t="s">
        <v>41</v>
      </c>
      <c r="Q20" s="48">
        <v>0</v>
      </c>
      <c r="R20" s="26" t="s">
        <v>41</v>
      </c>
      <c r="S20" s="48">
        <v>0</v>
      </c>
      <c r="T20" s="26" t="s">
        <v>41</v>
      </c>
      <c r="U20" s="48">
        <v>0</v>
      </c>
      <c r="V20" s="26" t="s">
        <v>41</v>
      </c>
      <c r="W20" s="48">
        <v>0</v>
      </c>
      <c r="X20" s="26" t="s">
        <v>41</v>
      </c>
      <c r="Y20" s="48">
        <v>0</v>
      </c>
      <c r="Z20" s="26" t="s">
        <v>41</v>
      </c>
      <c r="AA20" s="42">
        <f t="shared" si="1"/>
        <v>0</v>
      </c>
      <c r="AB20" s="26" t="s">
        <v>41</v>
      </c>
      <c r="AC20" s="48">
        <v>0</v>
      </c>
      <c r="AD20" s="26" t="s">
        <v>41</v>
      </c>
      <c r="AE20" s="61">
        <f>AA20-AC20</f>
        <v>0</v>
      </c>
      <c r="AF20" s="161"/>
    </row>
    <row r="21" spans="1:32">
      <c r="A21" s="110" t="s">
        <v>3</v>
      </c>
      <c r="B21" s="40" t="s">
        <v>41</v>
      </c>
      <c r="C21" s="48">
        <v>0</v>
      </c>
      <c r="D21" s="26" t="s">
        <v>41</v>
      </c>
      <c r="E21" s="48">
        <v>0</v>
      </c>
      <c r="F21" s="26" t="s">
        <v>41</v>
      </c>
      <c r="G21" s="48">
        <v>0</v>
      </c>
      <c r="H21" s="47" t="s">
        <v>41</v>
      </c>
      <c r="I21" s="48">
        <v>0</v>
      </c>
      <c r="J21" s="26" t="s">
        <v>41</v>
      </c>
      <c r="K21" s="48">
        <v>0</v>
      </c>
      <c r="L21" s="26" t="s">
        <v>41</v>
      </c>
      <c r="M21" s="48">
        <v>0</v>
      </c>
      <c r="N21" s="26" t="s">
        <v>41</v>
      </c>
      <c r="O21" s="48">
        <v>0</v>
      </c>
      <c r="P21" s="26" t="s">
        <v>41</v>
      </c>
      <c r="Q21" s="48">
        <v>0</v>
      </c>
      <c r="R21" s="26" t="s">
        <v>41</v>
      </c>
      <c r="S21" s="48">
        <v>0</v>
      </c>
      <c r="T21" s="26" t="s">
        <v>41</v>
      </c>
      <c r="U21" s="48">
        <v>0</v>
      </c>
      <c r="V21" s="26" t="s">
        <v>41</v>
      </c>
      <c r="W21" s="48">
        <v>0</v>
      </c>
      <c r="X21" s="26" t="s">
        <v>41</v>
      </c>
      <c r="Y21" s="48">
        <v>0</v>
      </c>
      <c r="Z21" s="26" t="s">
        <v>41</v>
      </c>
      <c r="AA21" s="42">
        <f t="shared" si="1"/>
        <v>0</v>
      </c>
      <c r="AB21" s="26" t="s">
        <v>41</v>
      </c>
      <c r="AC21" s="48">
        <v>0</v>
      </c>
      <c r="AD21" s="26" t="s">
        <v>41</v>
      </c>
      <c r="AE21" s="61">
        <f>AA21-AC21</f>
        <v>0</v>
      </c>
      <c r="AF21" s="161"/>
    </row>
    <row r="22" spans="1:32">
      <c r="A22" s="110" t="s">
        <v>48</v>
      </c>
      <c r="B22" s="16" t="s">
        <v>41</v>
      </c>
      <c r="C22" s="17">
        <v>0</v>
      </c>
      <c r="D22" s="18" t="s">
        <v>41</v>
      </c>
      <c r="E22" s="17">
        <v>0</v>
      </c>
      <c r="F22" s="18" t="s">
        <v>41</v>
      </c>
      <c r="G22" s="17">
        <v>0</v>
      </c>
      <c r="H22" s="49" t="s">
        <v>41</v>
      </c>
      <c r="I22" s="17">
        <v>0</v>
      </c>
      <c r="J22" s="18" t="s">
        <v>41</v>
      </c>
      <c r="K22" s="17">
        <v>0</v>
      </c>
      <c r="L22" s="18" t="s">
        <v>41</v>
      </c>
      <c r="M22" s="17">
        <v>0</v>
      </c>
      <c r="N22" s="18" t="s">
        <v>41</v>
      </c>
      <c r="O22" s="17">
        <v>0</v>
      </c>
      <c r="P22" s="18" t="s">
        <v>41</v>
      </c>
      <c r="Q22" s="17">
        <v>0</v>
      </c>
      <c r="R22" s="18" t="s">
        <v>41</v>
      </c>
      <c r="S22" s="17">
        <v>0</v>
      </c>
      <c r="T22" s="18" t="s">
        <v>41</v>
      </c>
      <c r="U22" s="17">
        <v>0</v>
      </c>
      <c r="V22" s="18" t="s">
        <v>41</v>
      </c>
      <c r="W22" s="17">
        <v>0</v>
      </c>
      <c r="X22" s="18" t="s">
        <v>41</v>
      </c>
      <c r="Y22" s="17">
        <v>0</v>
      </c>
      <c r="Z22" s="18" t="s">
        <v>41</v>
      </c>
      <c r="AA22" s="19">
        <f t="shared" si="1"/>
        <v>0</v>
      </c>
      <c r="AB22" s="18" t="s">
        <v>41</v>
      </c>
      <c r="AC22" s="17">
        <v>0</v>
      </c>
      <c r="AD22" s="18" t="s">
        <v>41</v>
      </c>
      <c r="AE22" s="51">
        <f>AA22-AC22</f>
        <v>0</v>
      </c>
      <c r="AF22" s="161"/>
    </row>
    <row r="23" spans="1:32">
      <c r="A23" s="69" t="s">
        <v>49</v>
      </c>
      <c r="B23" s="27" t="s">
        <v>41</v>
      </c>
      <c r="C23" s="24">
        <f>SUM(C19:C22)</f>
        <v>0</v>
      </c>
      <c r="D23" s="25" t="s">
        <v>41</v>
      </c>
      <c r="E23" s="24">
        <f>SUM(E19:E22)</f>
        <v>0</v>
      </c>
      <c r="F23" s="25" t="s">
        <v>41</v>
      </c>
      <c r="G23" s="24">
        <f>SUM(G19:G22)</f>
        <v>0</v>
      </c>
      <c r="H23" s="46" t="s">
        <v>41</v>
      </c>
      <c r="I23" s="24">
        <f>SUM(I19:I22)</f>
        <v>0</v>
      </c>
      <c r="J23" s="25" t="s">
        <v>41</v>
      </c>
      <c r="K23" s="24">
        <f>SUM(K19:K22)</f>
        <v>0</v>
      </c>
      <c r="L23" s="25" t="s">
        <v>41</v>
      </c>
      <c r="M23" s="24">
        <f>SUM(M19:M22)</f>
        <v>0</v>
      </c>
      <c r="N23" s="25" t="s">
        <v>41</v>
      </c>
      <c r="O23" s="24">
        <f>SUM(O19:O22)</f>
        <v>0</v>
      </c>
      <c r="P23" s="25" t="s">
        <v>41</v>
      </c>
      <c r="Q23" s="24">
        <f>SUM(Q19:Q22)</f>
        <v>0</v>
      </c>
      <c r="R23" s="25" t="s">
        <v>41</v>
      </c>
      <c r="S23" s="24">
        <f>SUM(S19:S22)</f>
        <v>0</v>
      </c>
      <c r="T23" s="25" t="s">
        <v>41</v>
      </c>
      <c r="U23" s="24">
        <f>SUM(U19:U22)</f>
        <v>0</v>
      </c>
      <c r="V23" s="25" t="s">
        <v>41</v>
      </c>
      <c r="W23" s="24">
        <f>SUM(W19:W22)</f>
        <v>0</v>
      </c>
      <c r="X23" s="25" t="s">
        <v>41</v>
      </c>
      <c r="Y23" s="24">
        <f>SUM(Y19:Y22)</f>
        <v>0</v>
      </c>
      <c r="Z23" s="25" t="s">
        <v>41</v>
      </c>
      <c r="AA23" s="24">
        <f t="shared" si="1"/>
        <v>0</v>
      </c>
      <c r="AB23" s="25" t="s">
        <v>41</v>
      </c>
      <c r="AC23" s="24">
        <f>SUM(AC19:AC22)</f>
        <v>0</v>
      </c>
      <c r="AD23" s="25" t="s">
        <v>41</v>
      </c>
      <c r="AE23" s="55">
        <f>AA23-AC23</f>
        <v>0</v>
      </c>
      <c r="AF23" s="161"/>
    </row>
    <row r="24" spans="1:32">
      <c r="A24" s="110"/>
      <c r="B24" s="40"/>
      <c r="C24" s="42"/>
      <c r="D24" s="26"/>
      <c r="E24" s="42"/>
      <c r="F24" s="26"/>
      <c r="G24" s="42"/>
      <c r="H24" s="47"/>
      <c r="I24" s="42"/>
      <c r="J24" s="26"/>
      <c r="K24" s="42"/>
      <c r="L24" s="26"/>
      <c r="M24" s="42"/>
      <c r="N24" s="26"/>
      <c r="O24" s="42"/>
      <c r="P24" s="26"/>
      <c r="Q24" s="42"/>
      <c r="R24" s="26"/>
      <c r="S24" s="42"/>
      <c r="T24" s="26"/>
      <c r="U24" s="42"/>
      <c r="V24" s="26"/>
      <c r="W24" s="42"/>
      <c r="X24" s="26"/>
      <c r="Y24" s="42"/>
      <c r="Z24" s="26"/>
      <c r="AA24" s="42"/>
      <c r="AB24" s="26"/>
      <c r="AC24" s="42"/>
      <c r="AD24" s="42"/>
      <c r="AE24" s="61"/>
      <c r="AF24" s="161"/>
    </row>
    <row r="25" spans="1:32">
      <c r="A25" s="110" t="s">
        <v>50</v>
      </c>
      <c r="B25" s="40" t="s">
        <v>41</v>
      </c>
      <c r="C25" s="48">
        <v>0</v>
      </c>
      <c r="D25" s="26" t="s">
        <v>41</v>
      </c>
      <c r="E25" s="48">
        <v>0</v>
      </c>
      <c r="F25" s="26" t="s">
        <v>41</v>
      </c>
      <c r="G25" s="48">
        <v>0</v>
      </c>
      <c r="H25" s="47" t="s">
        <v>41</v>
      </c>
      <c r="I25" s="48">
        <v>0</v>
      </c>
      <c r="J25" s="26" t="s">
        <v>41</v>
      </c>
      <c r="K25" s="48">
        <v>0</v>
      </c>
      <c r="L25" s="26" t="s">
        <v>41</v>
      </c>
      <c r="M25" s="48">
        <v>0</v>
      </c>
      <c r="N25" s="26" t="s">
        <v>41</v>
      </c>
      <c r="O25" s="48">
        <v>0</v>
      </c>
      <c r="P25" s="26" t="s">
        <v>41</v>
      </c>
      <c r="Q25" s="48">
        <v>0</v>
      </c>
      <c r="R25" s="26" t="s">
        <v>41</v>
      </c>
      <c r="S25" s="48">
        <v>0</v>
      </c>
      <c r="T25" s="26" t="s">
        <v>41</v>
      </c>
      <c r="U25" s="48">
        <v>0</v>
      </c>
      <c r="V25" s="26" t="s">
        <v>41</v>
      </c>
      <c r="W25" s="48">
        <v>0</v>
      </c>
      <c r="X25" s="26" t="s">
        <v>41</v>
      </c>
      <c r="Y25" s="48">
        <v>0</v>
      </c>
      <c r="Z25" s="26" t="s">
        <v>41</v>
      </c>
      <c r="AA25" s="42">
        <f t="shared" si="1"/>
        <v>0</v>
      </c>
      <c r="AB25" s="26" t="s">
        <v>41</v>
      </c>
      <c r="AC25" s="48">
        <v>0</v>
      </c>
      <c r="AD25" s="26" t="s">
        <v>41</v>
      </c>
      <c r="AE25" s="61">
        <f>AA25-AC25</f>
        <v>0</v>
      </c>
      <c r="AF25" s="161"/>
    </row>
    <row r="26" spans="1:32">
      <c r="A26" s="110" t="s">
        <v>51</v>
      </c>
      <c r="B26" s="40" t="s">
        <v>41</v>
      </c>
      <c r="C26" s="48">
        <v>0</v>
      </c>
      <c r="D26" s="26" t="s">
        <v>41</v>
      </c>
      <c r="E26" s="48">
        <v>0</v>
      </c>
      <c r="F26" s="26" t="s">
        <v>41</v>
      </c>
      <c r="G26" s="48">
        <v>0</v>
      </c>
      <c r="H26" s="47" t="s">
        <v>41</v>
      </c>
      <c r="I26" s="48">
        <v>0</v>
      </c>
      <c r="J26" s="26" t="s">
        <v>41</v>
      </c>
      <c r="K26" s="48">
        <v>0</v>
      </c>
      <c r="L26" s="26" t="s">
        <v>41</v>
      </c>
      <c r="M26" s="48">
        <v>0</v>
      </c>
      <c r="N26" s="26" t="s">
        <v>41</v>
      </c>
      <c r="O26" s="48">
        <v>0</v>
      </c>
      <c r="P26" s="26" t="s">
        <v>41</v>
      </c>
      <c r="Q26" s="48">
        <v>0</v>
      </c>
      <c r="R26" s="26" t="s">
        <v>41</v>
      </c>
      <c r="S26" s="48">
        <v>0</v>
      </c>
      <c r="T26" s="26" t="s">
        <v>41</v>
      </c>
      <c r="U26" s="48">
        <v>0</v>
      </c>
      <c r="V26" s="26" t="s">
        <v>41</v>
      </c>
      <c r="W26" s="48">
        <v>0</v>
      </c>
      <c r="X26" s="26" t="s">
        <v>41</v>
      </c>
      <c r="Y26" s="48">
        <v>0</v>
      </c>
      <c r="Z26" s="26" t="s">
        <v>41</v>
      </c>
      <c r="AA26" s="42">
        <f t="shared" si="1"/>
        <v>0</v>
      </c>
      <c r="AB26" s="26" t="s">
        <v>41</v>
      </c>
      <c r="AC26" s="48">
        <v>0</v>
      </c>
      <c r="AD26" s="26" t="s">
        <v>41</v>
      </c>
      <c r="AE26" s="61">
        <f>AA26-AC26</f>
        <v>0</v>
      </c>
      <c r="AF26" s="161"/>
    </row>
    <row r="27" spans="1:32" ht="39.6">
      <c r="A27" s="112" t="s">
        <v>52</v>
      </c>
      <c r="B27" s="16" t="s">
        <v>41</v>
      </c>
      <c r="C27" s="17">
        <v>0</v>
      </c>
      <c r="D27" s="18" t="s">
        <v>41</v>
      </c>
      <c r="E27" s="17">
        <v>0</v>
      </c>
      <c r="F27" s="18" t="s">
        <v>41</v>
      </c>
      <c r="G27" s="17">
        <v>0</v>
      </c>
      <c r="H27" s="49" t="s">
        <v>41</v>
      </c>
      <c r="I27" s="17">
        <v>0</v>
      </c>
      <c r="J27" s="18" t="s">
        <v>41</v>
      </c>
      <c r="K27" s="17">
        <v>0</v>
      </c>
      <c r="L27" s="18" t="s">
        <v>41</v>
      </c>
      <c r="M27" s="17">
        <v>0</v>
      </c>
      <c r="N27" s="18" t="s">
        <v>41</v>
      </c>
      <c r="O27" s="17">
        <v>0</v>
      </c>
      <c r="P27" s="18" t="s">
        <v>41</v>
      </c>
      <c r="Q27" s="17">
        <v>0</v>
      </c>
      <c r="R27" s="18" t="s">
        <v>41</v>
      </c>
      <c r="S27" s="17">
        <v>0</v>
      </c>
      <c r="T27" s="18" t="s">
        <v>41</v>
      </c>
      <c r="U27" s="17">
        <v>0</v>
      </c>
      <c r="V27" s="18" t="s">
        <v>41</v>
      </c>
      <c r="W27" s="17">
        <v>0</v>
      </c>
      <c r="X27" s="18" t="s">
        <v>41</v>
      </c>
      <c r="Y27" s="17">
        <v>0</v>
      </c>
      <c r="Z27" s="18" t="s">
        <v>41</v>
      </c>
      <c r="AA27" s="19">
        <f t="shared" si="1"/>
        <v>0</v>
      </c>
      <c r="AB27" s="18" t="s">
        <v>41</v>
      </c>
      <c r="AC27" s="17">
        <v>0</v>
      </c>
      <c r="AD27" s="18" t="s">
        <v>41</v>
      </c>
      <c r="AE27" s="51">
        <f>AA27-AC27</f>
        <v>0</v>
      </c>
      <c r="AF27" s="161"/>
    </row>
    <row r="28" spans="1:32">
      <c r="A28" s="69" t="s">
        <v>53</v>
      </c>
      <c r="B28" s="27" t="s">
        <v>41</v>
      </c>
      <c r="C28" s="24">
        <f>SUM(C23:C27)</f>
        <v>0</v>
      </c>
      <c r="D28" s="25" t="s">
        <v>41</v>
      </c>
      <c r="E28" s="24">
        <f>SUM(E23:E27)</f>
        <v>0</v>
      </c>
      <c r="F28" s="25" t="s">
        <v>41</v>
      </c>
      <c r="G28" s="24">
        <f>SUM(G23:G27)</f>
        <v>0</v>
      </c>
      <c r="H28" s="46" t="s">
        <v>41</v>
      </c>
      <c r="I28" s="24">
        <f>SUM(I23:I27)</f>
        <v>0</v>
      </c>
      <c r="J28" s="25" t="s">
        <v>41</v>
      </c>
      <c r="K28" s="24">
        <f>SUM(K23:K27)</f>
        <v>0</v>
      </c>
      <c r="L28" s="25" t="s">
        <v>41</v>
      </c>
      <c r="M28" s="24">
        <f>SUM(M23:M27)</f>
        <v>0</v>
      </c>
      <c r="N28" s="25" t="s">
        <v>41</v>
      </c>
      <c r="O28" s="24">
        <f>SUM(O23:O27)</f>
        <v>0</v>
      </c>
      <c r="P28" s="25" t="s">
        <v>41</v>
      </c>
      <c r="Q28" s="24">
        <f>SUM(Q23:Q27)</f>
        <v>0</v>
      </c>
      <c r="R28" s="25" t="s">
        <v>41</v>
      </c>
      <c r="S28" s="24">
        <f>SUM(S23:S27)</f>
        <v>0</v>
      </c>
      <c r="T28" s="25" t="s">
        <v>41</v>
      </c>
      <c r="U28" s="24">
        <f>SUM(U23:U27)</f>
        <v>0</v>
      </c>
      <c r="V28" s="25" t="s">
        <v>41</v>
      </c>
      <c r="W28" s="24">
        <f>SUM(W23:W27)</f>
        <v>0</v>
      </c>
      <c r="X28" s="25" t="s">
        <v>41</v>
      </c>
      <c r="Y28" s="24">
        <f>SUM(Y23:Y27)</f>
        <v>0</v>
      </c>
      <c r="Z28" s="25" t="s">
        <v>41</v>
      </c>
      <c r="AA28" s="24">
        <f>SUM(AA23:AA27)</f>
        <v>0</v>
      </c>
      <c r="AB28" s="25" t="s">
        <v>41</v>
      </c>
      <c r="AC28" s="24">
        <f>SUM(AC23:AC27)</f>
        <v>0</v>
      </c>
      <c r="AD28" s="25" t="s">
        <v>41</v>
      </c>
      <c r="AE28" s="55">
        <f>SUM(AE23:AE27)</f>
        <v>0</v>
      </c>
      <c r="AF28" s="161"/>
    </row>
    <row r="29" spans="1:32">
      <c r="A29" s="110"/>
      <c r="B29" s="40"/>
      <c r="C29" s="42"/>
      <c r="D29" s="26"/>
      <c r="E29" s="42"/>
      <c r="F29" s="26"/>
      <c r="G29" s="42"/>
      <c r="H29" s="47"/>
      <c r="I29" s="42"/>
      <c r="J29" s="26"/>
      <c r="K29" s="42"/>
      <c r="L29" s="26"/>
      <c r="M29" s="42"/>
      <c r="N29" s="26"/>
      <c r="O29" s="42"/>
      <c r="P29" s="26"/>
      <c r="Q29" s="42"/>
      <c r="R29" s="26"/>
      <c r="S29" s="42"/>
      <c r="T29" s="26"/>
      <c r="U29" s="42"/>
      <c r="V29" s="26"/>
      <c r="W29" s="42"/>
      <c r="X29" s="26"/>
      <c r="Y29" s="42"/>
      <c r="Z29" s="26"/>
      <c r="AA29" s="42"/>
      <c r="AB29" s="26"/>
      <c r="AC29" s="42"/>
      <c r="AD29" s="42"/>
      <c r="AE29" s="61"/>
      <c r="AF29" s="161"/>
    </row>
    <row r="30" spans="1:32">
      <c r="A30" s="69" t="s">
        <v>54</v>
      </c>
      <c r="B30" s="40" t="s">
        <v>41</v>
      </c>
      <c r="C30" s="19">
        <f>+C16-C28</f>
        <v>0</v>
      </c>
      <c r="D30" s="26" t="s">
        <v>41</v>
      </c>
      <c r="E30" s="19">
        <f>+E16-E28</f>
        <v>0</v>
      </c>
      <c r="F30" s="26" t="s">
        <v>41</v>
      </c>
      <c r="G30" s="19">
        <f>+G16-G28</f>
        <v>0</v>
      </c>
      <c r="H30" s="47" t="s">
        <v>41</v>
      </c>
      <c r="I30" s="19">
        <f>+I16-I28</f>
        <v>0</v>
      </c>
      <c r="J30" s="26" t="s">
        <v>41</v>
      </c>
      <c r="K30" s="19">
        <f>+K16-K28</f>
        <v>0</v>
      </c>
      <c r="L30" s="26" t="s">
        <v>41</v>
      </c>
      <c r="M30" s="19">
        <f>+M16-M28</f>
        <v>0</v>
      </c>
      <c r="N30" s="26" t="s">
        <v>41</v>
      </c>
      <c r="O30" s="19">
        <f>+O16-O28</f>
        <v>0</v>
      </c>
      <c r="P30" s="26" t="s">
        <v>41</v>
      </c>
      <c r="Q30" s="19">
        <f>+Q16-Q28</f>
        <v>0</v>
      </c>
      <c r="R30" s="26" t="s">
        <v>41</v>
      </c>
      <c r="S30" s="19">
        <f>+S16-S28</f>
        <v>0</v>
      </c>
      <c r="T30" s="26" t="s">
        <v>41</v>
      </c>
      <c r="U30" s="19">
        <f>+U16-U28</f>
        <v>0</v>
      </c>
      <c r="V30" s="26" t="s">
        <v>41</v>
      </c>
      <c r="W30" s="19">
        <f>+W16-W28</f>
        <v>0</v>
      </c>
      <c r="X30" s="26" t="s">
        <v>41</v>
      </c>
      <c r="Y30" s="19">
        <f>+Y16-Y28</f>
        <v>0</v>
      </c>
      <c r="Z30" s="26" t="s">
        <v>41</v>
      </c>
      <c r="AA30" s="42">
        <f t="shared" ref="AA30" si="2">SUM(C30:Z30)</f>
        <v>0</v>
      </c>
      <c r="AB30" s="26" t="s">
        <v>41</v>
      </c>
      <c r="AC30" s="21" t="s">
        <v>42</v>
      </c>
      <c r="AD30" s="26" t="s">
        <v>41</v>
      </c>
      <c r="AE30" s="52" t="s">
        <v>42</v>
      </c>
      <c r="AF30" s="161"/>
    </row>
    <row r="31" spans="1:32">
      <c r="A31" s="105"/>
      <c r="B31" s="40"/>
      <c r="C31" s="42"/>
      <c r="D31" s="26"/>
      <c r="E31" s="42"/>
      <c r="F31" s="26"/>
      <c r="G31" s="42"/>
      <c r="H31" s="47"/>
      <c r="I31" s="42"/>
      <c r="J31" s="26"/>
      <c r="K31" s="42"/>
      <c r="L31" s="26"/>
      <c r="M31" s="42"/>
      <c r="N31" s="26"/>
      <c r="O31" s="42"/>
      <c r="P31" s="26"/>
      <c r="Q31" s="42"/>
      <c r="R31" s="26"/>
      <c r="S31" s="42"/>
      <c r="T31" s="26"/>
      <c r="U31" s="42"/>
      <c r="V31" s="26"/>
      <c r="W31" s="42"/>
      <c r="X31" s="26"/>
      <c r="Y31" s="42"/>
      <c r="Z31" s="26"/>
      <c r="AA31" s="42"/>
      <c r="AB31" s="26"/>
      <c r="AC31" s="42"/>
      <c r="AD31" s="42"/>
      <c r="AE31" s="61"/>
      <c r="AF31" s="161"/>
    </row>
    <row r="32" spans="1:32" ht="13.8" thickBot="1">
      <c r="A32" s="76" t="s">
        <v>55</v>
      </c>
      <c r="B32" s="27" t="s">
        <v>41</v>
      </c>
      <c r="C32" s="22">
        <f>+C8+C30</f>
        <v>0</v>
      </c>
      <c r="D32" s="25" t="s">
        <v>41</v>
      </c>
      <c r="E32" s="22">
        <f>+E8+E30</f>
        <v>0</v>
      </c>
      <c r="F32" s="25" t="s">
        <v>41</v>
      </c>
      <c r="G32" s="22">
        <f>+G8+G30</f>
        <v>0</v>
      </c>
      <c r="H32" s="46" t="s">
        <v>41</v>
      </c>
      <c r="I32" s="22">
        <f>+I8+I30</f>
        <v>0</v>
      </c>
      <c r="J32" s="25" t="s">
        <v>41</v>
      </c>
      <c r="K32" s="22">
        <f>+K8+K30</f>
        <v>0</v>
      </c>
      <c r="L32" s="25" t="s">
        <v>41</v>
      </c>
      <c r="M32" s="22">
        <f>+M8+M30</f>
        <v>0</v>
      </c>
      <c r="N32" s="25" t="s">
        <v>41</v>
      </c>
      <c r="O32" s="22">
        <f>+O8+O30</f>
        <v>0</v>
      </c>
      <c r="P32" s="25" t="s">
        <v>41</v>
      </c>
      <c r="Q32" s="22">
        <f>+Q8+Q30</f>
        <v>0</v>
      </c>
      <c r="R32" s="25" t="s">
        <v>41</v>
      </c>
      <c r="S32" s="22">
        <f>+S8+S30</f>
        <v>0</v>
      </c>
      <c r="T32" s="25" t="s">
        <v>41</v>
      </c>
      <c r="U32" s="22">
        <f>+U8+U30</f>
        <v>0</v>
      </c>
      <c r="V32" s="25" t="s">
        <v>41</v>
      </c>
      <c r="W32" s="22">
        <f>+W8+W30</f>
        <v>0</v>
      </c>
      <c r="X32" s="25" t="s">
        <v>41</v>
      </c>
      <c r="Y32" s="22">
        <f>+Y8+Y30</f>
        <v>0</v>
      </c>
      <c r="Z32" s="25" t="s">
        <v>41</v>
      </c>
      <c r="AA32" s="22">
        <f>Y32</f>
        <v>0</v>
      </c>
      <c r="AB32" s="25" t="s">
        <v>41</v>
      </c>
      <c r="AC32" s="23">
        <f>AC8+AC16-AC28</f>
        <v>0</v>
      </c>
      <c r="AD32" s="25" t="s">
        <v>41</v>
      </c>
      <c r="AE32" s="164">
        <f>AA32-AC32</f>
        <v>0</v>
      </c>
      <c r="AF32" s="161"/>
    </row>
    <row r="33" spans="1:32" ht="13.8" thickTop="1">
      <c r="A33" s="76"/>
      <c r="B33" s="27"/>
      <c r="C33" s="24"/>
      <c r="D33" s="25"/>
      <c r="E33" s="24"/>
      <c r="F33" s="25"/>
      <c r="G33" s="24"/>
      <c r="H33" s="46"/>
      <c r="I33" s="24"/>
      <c r="J33" s="25"/>
      <c r="K33" s="24"/>
      <c r="L33" s="25"/>
      <c r="M33" s="24"/>
      <c r="N33" s="25"/>
      <c r="O33" s="24"/>
      <c r="P33" s="25"/>
      <c r="Q33" s="24"/>
      <c r="R33" s="25"/>
      <c r="S33" s="24"/>
      <c r="T33" s="25"/>
      <c r="U33" s="24"/>
      <c r="V33" s="25"/>
      <c r="W33" s="24"/>
      <c r="X33" s="25"/>
      <c r="Y33" s="24"/>
      <c r="Z33" s="25"/>
      <c r="AA33" s="24"/>
      <c r="AB33" s="25"/>
      <c r="AC33" s="25"/>
      <c r="AD33" s="25"/>
      <c r="AE33" s="54"/>
      <c r="AF33" s="161"/>
    </row>
    <row r="34" spans="1:32">
      <c r="A34" s="76" t="s">
        <v>97</v>
      </c>
      <c r="B34" s="27"/>
      <c r="C34" s="24"/>
      <c r="D34" s="25"/>
      <c r="E34" s="24"/>
      <c r="F34" s="25"/>
      <c r="G34" s="24"/>
      <c r="H34" s="46"/>
      <c r="I34" s="24"/>
      <c r="J34" s="25"/>
      <c r="K34" s="24"/>
      <c r="L34" s="25"/>
      <c r="M34" s="24"/>
      <c r="N34" s="25"/>
      <c r="O34" s="24"/>
      <c r="P34" s="25"/>
      <c r="Q34" s="24"/>
      <c r="R34" s="25"/>
      <c r="S34" s="24"/>
      <c r="T34" s="25"/>
      <c r="U34" s="24"/>
      <c r="V34" s="25"/>
      <c r="W34" s="24"/>
      <c r="X34" s="25"/>
      <c r="Y34" s="24"/>
      <c r="Z34" s="25"/>
      <c r="AA34" s="24"/>
      <c r="AB34" s="25"/>
      <c r="AC34" s="25"/>
      <c r="AD34" s="25"/>
      <c r="AE34" s="54"/>
      <c r="AF34" s="161"/>
    </row>
    <row r="35" spans="1:32">
      <c r="A35" s="110" t="s">
        <v>25</v>
      </c>
      <c r="B35" s="40" t="s">
        <v>41</v>
      </c>
      <c r="C35" s="48">
        <v>0</v>
      </c>
      <c r="D35" s="26" t="s">
        <v>41</v>
      </c>
      <c r="E35" s="48">
        <v>0</v>
      </c>
      <c r="F35" s="26" t="s">
        <v>41</v>
      </c>
      <c r="G35" s="48">
        <v>0</v>
      </c>
      <c r="H35" s="47" t="s">
        <v>41</v>
      </c>
      <c r="I35" s="48">
        <v>0</v>
      </c>
      <c r="J35" s="26" t="s">
        <v>41</v>
      </c>
      <c r="K35" s="48">
        <v>0</v>
      </c>
      <c r="L35" s="26" t="s">
        <v>41</v>
      </c>
      <c r="M35" s="48">
        <v>0</v>
      </c>
      <c r="N35" s="26" t="s">
        <v>41</v>
      </c>
      <c r="O35" s="48">
        <v>0</v>
      </c>
      <c r="P35" s="26" t="s">
        <v>41</v>
      </c>
      <c r="Q35" s="48">
        <v>0</v>
      </c>
      <c r="R35" s="26" t="s">
        <v>41</v>
      </c>
      <c r="S35" s="48">
        <v>0</v>
      </c>
      <c r="T35" s="26" t="s">
        <v>41</v>
      </c>
      <c r="U35" s="48">
        <v>0</v>
      </c>
      <c r="V35" s="26" t="s">
        <v>41</v>
      </c>
      <c r="W35" s="48">
        <v>0</v>
      </c>
      <c r="X35" s="26" t="s">
        <v>41</v>
      </c>
      <c r="Y35" s="48">
        <v>0</v>
      </c>
      <c r="Z35" s="26" t="s">
        <v>41</v>
      </c>
      <c r="AA35" s="42">
        <f>SUM(C35:Z35)</f>
        <v>0</v>
      </c>
      <c r="AB35" s="26" t="s">
        <v>41</v>
      </c>
      <c r="AC35" s="48">
        <v>0</v>
      </c>
      <c r="AD35" s="26" t="s">
        <v>41</v>
      </c>
      <c r="AE35" s="61">
        <f>AA35-AC35</f>
        <v>0</v>
      </c>
      <c r="AF35" s="161"/>
    </row>
    <row r="36" spans="1:32">
      <c r="A36" s="110" t="s">
        <v>25</v>
      </c>
      <c r="B36" s="40" t="s">
        <v>41</v>
      </c>
      <c r="C36" s="48">
        <v>0</v>
      </c>
      <c r="D36" s="26" t="s">
        <v>41</v>
      </c>
      <c r="E36" s="48">
        <v>0</v>
      </c>
      <c r="F36" s="26" t="s">
        <v>41</v>
      </c>
      <c r="G36" s="48">
        <v>0</v>
      </c>
      <c r="H36" s="47" t="s">
        <v>41</v>
      </c>
      <c r="I36" s="48">
        <v>0</v>
      </c>
      <c r="J36" s="26" t="s">
        <v>41</v>
      </c>
      <c r="K36" s="48">
        <v>0</v>
      </c>
      <c r="L36" s="26" t="s">
        <v>41</v>
      </c>
      <c r="M36" s="48">
        <v>0</v>
      </c>
      <c r="N36" s="26" t="s">
        <v>41</v>
      </c>
      <c r="O36" s="48">
        <v>0</v>
      </c>
      <c r="P36" s="26" t="s">
        <v>41</v>
      </c>
      <c r="Q36" s="48">
        <v>0</v>
      </c>
      <c r="R36" s="26" t="s">
        <v>41</v>
      </c>
      <c r="S36" s="48">
        <v>0</v>
      </c>
      <c r="T36" s="26" t="s">
        <v>41</v>
      </c>
      <c r="U36" s="48">
        <v>0</v>
      </c>
      <c r="V36" s="26" t="s">
        <v>41</v>
      </c>
      <c r="W36" s="48">
        <v>0</v>
      </c>
      <c r="X36" s="26" t="s">
        <v>41</v>
      </c>
      <c r="Y36" s="48">
        <v>0</v>
      </c>
      <c r="Z36" s="26" t="s">
        <v>41</v>
      </c>
      <c r="AA36" s="42">
        <f t="shared" ref="AA36:AA37" si="3">SUM(C36:Z36)</f>
        <v>0</v>
      </c>
      <c r="AB36" s="26"/>
      <c r="AC36" s="48">
        <v>0</v>
      </c>
      <c r="AD36" s="26" t="s">
        <v>41</v>
      </c>
      <c r="AE36" s="61">
        <f>AA36-AC36</f>
        <v>0</v>
      </c>
      <c r="AF36" s="161"/>
    </row>
    <row r="37" spans="1:32">
      <c r="A37" s="110" t="s">
        <v>25</v>
      </c>
      <c r="B37" s="16" t="s">
        <v>41</v>
      </c>
      <c r="C37" s="17">
        <v>0</v>
      </c>
      <c r="D37" s="18" t="s">
        <v>41</v>
      </c>
      <c r="E37" s="17">
        <v>0</v>
      </c>
      <c r="F37" s="18" t="s">
        <v>41</v>
      </c>
      <c r="G37" s="17">
        <v>0</v>
      </c>
      <c r="H37" s="49" t="s">
        <v>41</v>
      </c>
      <c r="I37" s="17">
        <v>0</v>
      </c>
      <c r="J37" s="18" t="s">
        <v>41</v>
      </c>
      <c r="K37" s="17">
        <v>0</v>
      </c>
      <c r="L37" s="18" t="s">
        <v>41</v>
      </c>
      <c r="M37" s="17">
        <v>0</v>
      </c>
      <c r="N37" s="18" t="s">
        <v>41</v>
      </c>
      <c r="O37" s="17">
        <v>0</v>
      </c>
      <c r="P37" s="18" t="s">
        <v>41</v>
      </c>
      <c r="Q37" s="17">
        <v>0</v>
      </c>
      <c r="R37" s="18" t="s">
        <v>41</v>
      </c>
      <c r="S37" s="17">
        <v>0</v>
      </c>
      <c r="T37" s="18" t="s">
        <v>41</v>
      </c>
      <c r="U37" s="17">
        <v>0</v>
      </c>
      <c r="V37" s="18" t="s">
        <v>41</v>
      </c>
      <c r="W37" s="17">
        <v>0</v>
      </c>
      <c r="X37" s="18" t="s">
        <v>41</v>
      </c>
      <c r="Y37" s="17">
        <v>0</v>
      </c>
      <c r="Z37" s="18" t="s">
        <v>41</v>
      </c>
      <c r="AA37" s="19">
        <f t="shared" si="3"/>
        <v>0</v>
      </c>
      <c r="AB37" s="18" t="s">
        <v>41</v>
      </c>
      <c r="AC37" s="17">
        <v>0</v>
      </c>
      <c r="AD37" s="18" t="s">
        <v>41</v>
      </c>
      <c r="AE37" s="51">
        <f>AA37-AC37</f>
        <v>0</v>
      </c>
      <c r="AF37" s="161"/>
    </row>
    <row r="38" spans="1:32">
      <c r="A38" s="110" t="s">
        <v>95</v>
      </c>
      <c r="B38" s="56" t="s">
        <v>41</v>
      </c>
      <c r="C38" s="57">
        <f>+C35+C36-C37</f>
        <v>0</v>
      </c>
      <c r="D38" s="58" t="s">
        <v>41</v>
      </c>
      <c r="E38" s="57">
        <f>+E35+E36-E37</f>
        <v>0</v>
      </c>
      <c r="F38" s="58" t="s">
        <v>41</v>
      </c>
      <c r="G38" s="57">
        <f>+G35+G36-G37</f>
        <v>0</v>
      </c>
      <c r="H38" s="59" t="s">
        <v>41</v>
      </c>
      <c r="I38" s="57">
        <f>+I35+I36-I37</f>
        <v>0</v>
      </c>
      <c r="J38" s="58" t="s">
        <v>41</v>
      </c>
      <c r="K38" s="57">
        <f>+K35+K36-K37</f>
        <v>0</v>
      </c>
      <c r="L38" s="58" t="s">
        <v>41</v>
      </c>
      <c r="M38" s="57">
        <f>+M35+M36-M37</f>
        <v>0</v>
      </c>
      <c r="N38" s="58" t="s">
        <v>41</v>
      </c>
      <c r="O38" s="57">
        <f>+O35+O36-O37</f>
        <v>0</v>
      </c>
      <c r="P38" s="58" t="s">
        <v>41</v>
      </c>
      <c r="Q38" s="57">
        <f>+Q35+Q36-Q37</f>
        <v>0</v>
      </c>
      <c r="R38" s="58" t="s">
        <v>41</v>
      </c>
      <c r="S38" s="57">
        <f>+S35+S36-S37</f>
        <v>0</v>
      </c>
      <c r="T38" s="58" t="s">
        <v>41</v>
      </c>
      <c r="U38" s="57">
        <f>+U35+U36-U37</f>
        <v>0</v>
      </c>
      <c r="V38" s="58" t="s">
        <v>41</v>
      </c>
      <c r="W38" s="57">
        <f>+W35+W36-W37</f>
        <v>0</v>
      </c>
      <c r="X38" s="58" t="s">
        <v>41</v>
      </c>
      <c r="Y38" s="57">
        <f>+Y35+Y36-Y37</f>
        <v>0</v>
      </c>
      <c r="Z38" s="58" t="s">
        <v>41</v>
      </c>
      <c r="AA38" s="57">
        <f>+AA35+AA36-AA37</f>
        <v>0</v>
      </c>
      <c r="AB38" s="58" t="s">
        <v>41</v>
      </c>
      <c r="AC38" s="57">
        <f>+AC35+AC36-AC37</f>
        <v>0</v>
      </c>
      <c r="AD38" s="58" t="s">
        <v>41</v>
      </c>
      <c r="AE38" s="55">
        <f>AA38-AC38</f>
        <v>0</v>
      </c>
      <c r="AF38" s="161"/>
    </row>
    <row r="39" spans="1:32">
      <c r="A39" s="105"/>
      <c r="B39" s="40"/>
      <c r="C39" s="42"/>
      <c r="D39" s="26"/>
      <c r="E39" s="42"/>
      <c r="F39" s="26"/>
      <c r="G39" s="42"/>
      <c r="H39" s="47"/>
      <c r="I39" s="42"/>
      <c r="J39" s="26"/>
      <c r="K39" s="42"/>
      <c r="L39" s="26"/>
      <c r="M39" s="42"/>
      <c r="N39" s="26"/>
      <c r="O39" s="42"/>
      <c r="P39" s="26"/>
      <c r="Q39" s="42"/>
      <c r="R39" s="26"/>
      <c r="S39" s="42"/>
      <c r="T39" s="26"/>
      <c r="U39" s="42"/>
      <c r="V39" s="26"/>
      <c r="W39" s="42"/>
      <c r="X39" s="26"/>
      <c r="Y39" s="42"/>
      <c r="Z39" s="26"/>
      <c r="AA39" s="42"/>
      <c r="AB39" s="26"/>
      <c r="AC39" s="42"/>
      <c r="AD39" s="42"/>
      <c r="AE39" s="61"/>
      <c r="AF39" s="161"/>
    </row>
    <row r="40" spans="1:32">
      <c r="A40" s="76" t="s">
        <v>94</v>
      </c>
      <c r="B40" s="40"/>
      <c r="C40" s="42"/>
      <c r="D40" s="26"/>
      <c r="E40" s="42"/>
      <c r="F40" s="26"/>
      <c r="G40" s="42"/>
      <c r="H40" s="47"/>
      <c r="I40" s="42"/>
      <c r="J40" s="26"/>
      <c r="K40" s="42"/>
      <c r="L40" s="26"/>
      <c r="M40" s="42"/>
      <c r="N40" s="26"/>
      <c r="O40" s="42"/>
      <c r="P40" s="26"/>
      <c r="Q40" s="42"/>
      <c r="R40" s="26"/>
      <c r="S40" s="42"/>
      <c r="T40" s="26"/>
      <c r="U40" s="42"/>
      <c r="V40" s="26"/>
      <c r="W40" s="42"/>
      <c r="X40" s="26"/>
      <c r="Y40" s="42"/>
      <c r="Z40" s="26"/>
      <c r="AA40" s="42"/>
      <c r="AB40" s="26"/>
      <c r="AC40" s="42"/>
      <c r="AD40" s="42"/>
      <c r="AE40" s="61"/>
      <c r="AF40" s="161"/>
    </row>
    <row r="41" spans="1:32">
      <c r="A41" s="76" t="s">
        <v>40</v>
      </c>
      <c r="B41" s="40" t="s">
        <v>41</v>
      </c>
      <c r="C41" s="48">
        <v>0</v>
      </c>
      <c r="D41" s="26" t="s">
        <v>41</v>
      </c>
      <c r="E41" s="42">
        <f>+C44</f>
        <v>0</v>
      </c>
      <c r="F41" s="26" t="s">
        <v>41</v>
      </c>
      <c r="G41" s="42">
        <f>+E44</f>
        <v>0</v>
      </c>
      <c r="H41" s="47" t="s">
        <v>41</v>
      </c>
      <c r="I41" s="42">
        <f>+G44</f>
        <v>0</v>
      </c>
      <c r="J41" s="26" t="s">
        <v>41</v>
      </c>
      <c r="K41" s="42">
        <f>+I44</f>
        <v>0</v>
      </c>
      <c r="L41" s="26" t="s">
        <v>41</v>
      </c>
      <c r="M41" s="42">
        <f>+K44</f>
        <v>0</v>
      </c>
      <c r="N41" s="26" t="s">
        <v>41</v>
      </c>
      <c r="O41" s="42">
        <f>+M44</f>
        <v>0</v>
      </c>
      <c r="P41" s="26" t="s">
        <v>41</v>
      </c>
      <c r="Q41" s="42">
        <v>0</v>
      </c>
      <c r="R41" s="26" t="s">
        <v>41</v>
      </c>
      <c r="S41" s="42">
        <f>+Q44</f>
        <v>0</v>
      </c>
      <c r="T41" s="26" t="s">
        <v>41</v>
      </c>
      <c r="U41" s="42">
        <f>+S44</f>
        <v>0</v>
      </c>
      <c r="V41" s="26" t="s">
        <v>41</v>
      </c>
      <c r="W41" s="42">
        <v>0</v>
      </c>
      <c r="X41" s="26" t="s">
        <v>41</v>
      </c>
      <c r="Y41" s="42">
        <v>0</v>
      </c>
      <c r="Z41" s="26" t="s">
        <v>41</v>
      </c>
      <c r="AA41" s="42">
        <f>+C41</f>
        <v>0</v>
      </c>
      <c r="AB41" s="26" t="s">
        <v>41</v>
      </c>
      <c r="AC41" s="48">
        <v>0</v>
      </c>
      <c r="AD41" s="26" t="s">
        <v>41</v>
      </c>
      <c r="AE41" s="61">
        <f>AA41-AC41</f>
        <v>0</v>
      </c>
      <c r="AF41" s="161"/>
    </row>
    <row r="42" spans="1:32">
      <c r="A42" s="110" t="s">
        <v>57</v>
      </c>
      <c r="B42" s="40" t="s">
        <v>41</v>
      </c>
      <c r="C42" s="48">
        <v>0</v>
      </c>
      <c r="D42" s="26" t="s">
        <v>41</v>
      </c>
      <c r="E42" s="48">
        <v>0</v>
      </c>
      <c r="F42" s="26" t="s">
        <v>41</v>
      </c>
      <c r="G42" s="48">
        <v>0</v>
      </c>
      <c r="H42" s="47" t="s">
        <v>41</v>
      </c>
      <c r="I42" s="48">
        <v>0</v>
      </c>
      <c r="J42" s="26" t="s">
        <v>41</v>
      </c>
      <c r="K42" s="48">
        <v>0</v>
      </c>
      <c r="L42" s="26" t="s">
        <v>41</v>
      </c>
      <c r="M42" s="48">
        <v>0</v>
      </c>
      <c r="N42" s="26" t="s">
        <v>41</v>
      </c>
      <c r="O42" s="48">
        <v>0</v>
      </c>
      <c r="P42" s="26" t="s">
        <v>41</v>
      </c>
      <c r="Q42" s="48">
        <v>0</v>
      </c>
      <c r="R42" s="26" t="s">
        <v>41</v>
      </c>
      <c r="S42" s="48">
        <v>0</v>
      </c>
      <c r="T42" s="26" t="s">
        <v>41</v>
      </c>
      <c r="U42" s="48">
        <v>0</v>
      </c>
      <c r="V42" s="26" t="s">
        <v>41</v>
      </c>
      <c r="W42" s="48">
        <v>0</v>
      </c>
      <c r="X42" s="26" t="s">
        <v>41</v>
      </c>
      <c r="Y42" s="48">
        <v>0</v>
      </c>
      <c r="Z42" s="26" t="s">
        <v>41</v>
      </c>
      <c r="AA42" s="42">
        <f>SUM(C42:Y42)</f>
        <v>0</v>
      </c>
      <c r="AB42" s="26" t="s">
        <v>41</v>
      </c>
      <c r="AC42" s="48">
        <v>0</v>
      </c>
      <c r="AD42" s="26" t="s">
        <v>41</v>
      </c>
      <c r="AE42" s="61">
        <f>AA42-AC42</f>
        <v>0</v>
      </c>
      <c r="AF42" s="161"/>
    </row>
    <row r="43" spans="1:32">
      <c r="A43" s="110" t="s">
        <v>58</v>
      </c>
      <c r="B43" s="16" t="s">
        <v>41</v>
      </c>
      <c r="C43" s="17">
        <v>0</v>
      </c>
      <c r="D43" s="18" t="s">
        <v>41</v>
      </c>
      <c r="E43" s="17">
        <v>0</v>
      </c>
      <c r="F43" s="18" t="s">
        <v>41</v>
      </c>
      <c r="G43" s="17">
        <v>0</v>
      </c>
      <c r="H43" s="49" t="s">
        <v>41</v>
      </c>
      <c r="I43" s="17">
        <v>0</v>
      </c>
      <c r="J43" s="18" t="s">
        <v>41</v>
      </c>
      <c r="K43" s="17">
        <v>0</v>
      </c>
      <c r="L43" s="18" t="s">
        <v>41</v>
      </c>
      <c r="M43" s="17">
        <v>0</v>
      </c>
      <c r="N43" s="18" t="s">
        <v>41</v>
      </c>
      <c r="O43" s="17">
        <v>0</v>
      </c>
      <c r="P43" s="18" t="s">
        <v>41</v>
      </c>
      <c r="Q43" s="17">
        <v>0</v>
      </c>
      <c r="R43" s="18" t="s">
        <v>41</v>
      </c>
      <c r="S43" s="17">
        <v>0</v>
      </c>
      <c r="T43" s="18" t="s">
        <v>41</v>
      </c>
      <c r="U43" s="17">
        <v>0</v>
      </c>
      <c r="V43" s="18" t="s">
        <v>41</v>
      </c>
      <c r="W43" s="17">
        <v>0</v>
      </c>
      <c r="X43" s="18" t="s">
        <v>41</v>
      </c>
      <c r="Y43" s="17">
        <v>0</v>
      </c>
      <c r="Z43" s="18" t="s">
        <v>41</v>
      </c>
      <c r="AA43" s="19">
        <f>SUM(C43:Y43)</f>
        <v>0</v>
      </c>
      <c r="AB43" s="18" t="s">
        <v>41</v>
      </c>
      <c r="AC43" s="17">
        <v>0</v>
      </c>
      <c r="AD43" s="18" t="s">
        <v>41</v>
      </c>
      <c r="AE43" s="51">
        <f>AA43-AC43</f>
        <v>0</v>
      </c>
      <c r="AF43" s="161"/>
    </row>
    <row r="44" spans="1:32" s="33" customFormat="1">
      <c r="A44" s="113" t="s">
        <v>59</v>
      </c>
      <c r="B44" s="56" t="s">
        <v>41</v>
      </c>
      <c r="C44" s="57">
        <f>+C41+C42-C43</f>
        <v>0</v>
      </c>
      <c r="D44" s="58" t="s">
        <v>41</v>
      </c>
      <c r="E44" s="57">
        <f>+E41+E42-E43</f>
        <v>0</v>
      </c>
      <c r="F44" s="58" t="s">
        <v>41</v>
      </c>
      <c r="G44" s="57">
        <f>+G41+G42-G43</f>
        <v>0</v>
      </c>
      <c r="H44" s="59" t="s">
        <v>41</v>
      </c>
      <c r="I44" s="57">
        <f>+I41+I42-I43</f>
        <v>0</v>
      </c>
      <c r="J44" s="58" t="s">
        <v>41</v>
      </c>
      <c r="K44" s="57">
        <f>+K41+K42-K43</f>
        <v>0</v>
      </c>
      <c r="L44" s="58" t="s">
        <v>41</v>
      </c>
      <c r="M44" s="57">
        <f>+M41+M42-M43</f>
        <v>0</v>
      </c>
      <c r="N44" s="58" t="s">
        <v>41</v>
      </c>
      <c r="O44" s="57">
        <f>+O41+O42-O43</f>
        <v>0</v>
      </c>
      <c r="P44" s="58" t="s">
        <v>41</v>
      </c>
      <c r="Q44" s="57">
        <f>+Q41+Q42-Q43</f>
        <v>0</v>
      </c>
      <c r="R44" s="58" t="s">
        <v>41</v>
      </c>
      <c r="S44" s="57">
        <f>+S41+S42-S43</f>
        <v>0</v>
      </c>
      <c r="T44" s="58" t="s">
        <v>41</v>
      </c>
      <c r="U44" s="57">
        <f>+U41+U42-U43</f>
        <v>0</v>
      </c>
      <c r="V44" s="58" t="s">
        <v>41</v>
      </c>
      <c r="W44" s="57">
        <f>+W41+W42-W43</f>
        <v>0</v>
      </c>
      <c r="X44" s="58" t="s">
        <v>41</v>
      </c>
      <c r="Y44" s="57">
        <f>+Y41+Y42-Y43</f>
        <v>0</v>
      </c>
      <c r="Z44" s="58" t="s">
        <v>41</v>
      </c>
      <c r="AA44" s="57">
        <f>+AA41+AA42-AA43</f>
        <v>0</v>
      </c>
      <c r="AB44" s="58" t="s">
        <v>41</v>
      </c>
      <c r="AC44" s="57">
        <f>+AC41+AC42-AC43</f>
        <v>0</v>
      </c>
      <c r="AD44" s="58" t="s">
        <v>41</v>
      </c>
      <c r="AE44" s="55">
        <f>AA44-AC44</f>
        <v>0</v>
      </c>
      <c r="AF44" s="161"/>
    </row>
    <row r="45" spans="1:32">
      <c r="A45" s="105"/>
      <c r="B45" s="40"/>
      <c r="C45" s="42"/>
      <c r="D45" s="26"/>
      <c r="E45" s="42"/>
      <c r="F45" s="26"/>
      <c r="G45" s="42"/>
      <c r="H45" s="47"/>
      <c r="I45" s="42"/>
      <c r="J45" s="26"/>
      <c r="K45" s="42"/>
      <c r="L45" s="26"/>
      <c r="M45" s="42"/>
      <c r="N45" s="26"/>
      <c r="O45" s="42"/>
      <c r="P45" s="26"/>
      <c r="Q45" s="42"/>
      <c r="R45" s="26"/>
      <c r="S45" s="42"/>
      <c r="T45" s="26"/>
      <c r="U45" s="42"/>
      <c r="V45" s="26"/>
      <c r="W45" s="42"/>
      <c r="X45" s="26"/>
      <c r="Y45" s="42"/>
      <c r="Z45" s="26"/>
      <c r="AA45" s="42"/>
      <c r="AB45" s="26"/>
      <c r="AC45" s="42"/>
      <c r="AD45" s="42"/>
      <c r="AE45" s="61"/>
      <c r="AF45" s="161"/>
    </row>
    <row r="46" spans="1:32" ht="15.6">
      <c r="A46" s="114" t="s">
        <v>96</v>
      </c>
      <c r="B46" s="115" t="s">
        <v>41</v>
      </c>
      <c r="C46" s="116">
        <f>+C32+C38+C44</f>
        <v>0</v>
      </c>
      <c r="D46" s="117" t="s">
        <v>41</v>
      </c>
      <c r="E46" s="116">
        <f>+E32+E38+E44</f>
        <v>0</v>
      </c>
      <c r="F46" s="117" t="s">
        <v>41</v>
      </c>
      <c r="G46" s="116">
        <f>+G32+G38+G44</f>
        <v>0</v>
      </c>
      <c r="H46" s="118" t="s">
        <v>41</v>
      </c>
      <c r="I46" s="116">
        <f>+I32+I38+I44</f>
        <v>0</v>
      </c>
      <c r="J46" s="117" t="s">
        <v>41</v>
      </c>
      <c r="K46" s="116">
        <f>+K32+K38+K44</f>
        <v>0</v>
      </c>
      <c r="L46" s="117" t="s">
        <v>41</v>
      </c>
      <c r="M46" s="116">
        <f>+M32+M38+M44</f>
        <v>0</v>
      </c>
      <c r="N46" s="117" t="s">
        <v>41</v>
      </c>
      <c r="O46" s="116">
        <f>+O32+O38+O44</f>
        <v>0</v>
      </c>
      <c r="P46" s="117" t="s">
        <v>41</v>
      </c>
      <c r="Q46" s="116">
        <f>+Q32+Q38+Q44</f>
        <v>0</v>
      </c>
      <c r="R46" s="117" t="s">
        <v>41</v>
      </c>
      <c r="S46" s="116">
        <f>+S32+S38+S44</f>
        <v>0</v>
      </c>
      <c r="T46" s="117" t="s">
        <v>41</v>
      </c>
      <c r="U46" s="116">
        <f>+U32+U38+U44</f>
        <v>0</v>
      </c>
      <c r="V46" s="117" t="s">
        <v>41</v>
      </c>
      <c r="W46" s="116">
        <f>+W32+W38+W44</f>
        <v>0</v>
      </c>
      <c r="X46" s="117" t="s">
        <v>41</v>
      </c>
      <c r="Y46" s="116">
        <f>+Y32+Y38+Y44</f>
        <v>0</v>
      </c>
      <c r="Z46" s="117" t="s">
        <v>41</v>
      </c>
      <c r="AA46" s="116">
        <f>+AA32+AA38+AA44</f>
        <v>0</v>
      </c>
      <c r="AB46" s="117" t="s">
        <v>41</v>
      </c>
      <c r="AC46" s="116">
        <f>+AC32+AC38+AC44</f>
        <v>0</v>
      </c>
      <c r="AD46" s="117" t="s">
        <v>41</v>
      </c>
      <c r="AE46" s="119">
        <f>+AE32+AE38+AE44</f>
        <v>0</v>
      </c>
      <c r="AF46" s="162"/>
    </row>
    <row r="47" spans="1:32">
      <c r="C47" s="28"/>
      <c r="E47" s="28"/>
      <c r="G47" s="28"/>
      <c r="I47" s="28"/>
      <c r="K47" s="28"/>
      <c r="M47" s="28"/>
      <c r="O47" s="28"/>
      <c r="Q47" s="28"/>
      <c r="S47" s="28"/>
      <c r="U47" s="28"/>
      <c r="W47" s="28"/>
      <c r="Y47" s="28"/>
      <c r="AA47" s="28"/>
      <c r="AE47" s="13"/>
    </row>
    <row r="48" spans="1:32" hidden="1">
      <c r="AE48" s="13"/>
    </row>
    <row r="49" spans="1:32" s="33" customFormat="1" hidden="1">
      <c r="A49" s="29"/>
      <c r="B49" s="30"/>
      <c r="C49" s="31"/>
      <c r="D49" s="30"/>
      <c r="E49" s="31"/>
      <c r="F49" s="30"/>
      <c r="G49" s="31"/>
      <c r="H49" s="30"/>
      <c r="I49" s="31"/>
      <c r="J49" s="30"/>
      <c r="K49" s="31"/>
      <c r="L49" s="30"/>
      <c r="M49" s="31"/>
      <c r="N49" s="30"/>
      <c r="O49" s="31"/>
      <c r="P49" s="30"/>
      <c r="Q49" s="31"/>
      <c r="R49" s="30"/>
      <c r="S49" s="31"/>
      <c r="T49" s="30"/>
      <c r="U49" s="31"/>
      <c r="V49" s="30"/>
      <c r="W49" s="31"/>
      <c r="X49" s="30"/>
      <c r="Y49" s="31"/>
      <c r="Z49" s="30"/>
      <c r="AA49" s="31"/>
      <c r="AB49" s="30"/>
      <c r="AC49" s="29"/>
      <c r="AD49" s="29"/>
      <c r="AE49" s="32"/>
      <c r="AF49" s="50"/>
    </row>
    <row r="50" spans="1:32" s="33" customFormat="1" hidden="1">
      <c r="A50" s="29"/>
      <c r="B50" s="30"/>
      <c r="C50" s="31"/>
      <c r="D50" s="30"/>
      <c r="E50" s="31"/>
      <c r="F50" s="30"/>
      <c r="G50" s="31"/>
      <c r="H50" s="30"/>
      <c r="I50" s="31"/>
      <c r="J50" s="30"/>
      <c r="K50" s="31"/>
      <c r="L50" s="30"/>
      <c r="M50" s="31"/>
      <c r="N50" s="30"/>
      <c r="O50" s="31"/>
      <c r="P50" s="30"/>
      <c r="Q50" s="31"/>
      <c r="R50" s="30"/>
      <c r="S50" s="31"/>
      <c r="T50" s="30"/>
      <c r="U50" s="31"/>
      <c r="V50" s="30"/>
      <c r="W50" s="31"/>
      <c r="X50" s="30"/>
      <c r="Y50" s="31"/>
      <c r="Z50" s="30"/>
      <c r="AA50" s="31"/>
      <c r="AB50" s="30"/>
      <c r="AC50" s="29"/>
      <c r="AD50" s="29"/>
      <c r="AE50" s="32"/>
      <c r="AF50" s="50"/>
    </row>
    <row r="51" spans="1:32" hidden="1">
      <c r="C51" s="28"/>
      <c r="E51" s="28"/>
      <c r="G51" s="28"/>
      <c r="I51" s="28"/>
      <c r="K51" s="28"/>
      <c r="M51" s="28"/>
      <c r="O51" s="28"/>
      <c r="Q51" s="28"/>
      <c r="S51" s="28"/>
      <c r="U51" s="28"/>
      <c r="W51" s="28"/>
      <c r="Y51" s="28"/>
      <c r="AA51" s="28"/>
      <c r="AE51" s="13"/>
    </row>
    <row r="52" spans="1:32" ht="24.9" hidden="1" customHeight="1" thickBot="1">
      <c r="A52" s="8" t="s">
        <v>60</v>
      </c>
      <c r="C52" s="28"/>
      <c r="E52" s="28"/>
      <c r="G52" s="28"/>
      <c r="I52" s="28"/>
      <c r="K52" s="28"/>
      <c r="M52" s="28"/>
      <c r="O52" s="28"/>
      <c r="Q52" s="28"/>
      <c r="S52" s="28"/>
      <c r="U52" s="28"/>
      <c r="W52" s="28"/>
      <c r="Y52" s="28"/>
      <c r="AA52" s="28"/>
      <c r="AE52" s="13"/>
    </row>
    <row r="53" spans="1:32" hidden="1"/>
    <row r="54" spans="1:32" hidden="1">
      <c r="A54" s="11" t="s">
        <v>40</v>
      </c>
      <c r="B54" s="9" t="s">
        <v>41</v>
      </c>
      <c r="C54" s="34">
        <v>0</v>
      </c>
      <c r="D54" s="9" t="s">
        <v>41</v>
      </c>
      <c r="E54" s="35">
        <f>+C95</f>
        <v>0</v>
      </c>
      <c r="F54" s="9" t="s">
        <v>41</v>
      </c>
      <c r="G54" s="35">
        <f>+E95</f>
        <v>0</v>
      </c>
      <c r="H54" s="9" t="s">
        <v>41</v>
      </c>
      <c r="I54" s="35">
        <f>+G95</f>
        <v>0</v>
      </c>
      <c r="J54" s="9" t="s">
        <v>41</v>
      </c>
      <c r="K54" s="35">
        <f>+I95</f>
        <v>0</v>
      </c>
      <c r="L54" s="9" t="s">
        <v>41</v>
      </c>
      <c r="M54" s="35">
        <f>+K95</f>
        <v>0</v>
      </c>
      <c r="N54" s="9" t="s">
        <v>41</v>
      </c>
      <c r="O54" s="35">
        <f>+M95</f>
        <v>0</v>
      </c>
      <c r="P54" s="9" t="s">
        <v>41</v>
      </c>
      <c r="Q54" s="35">
        <f>+O95</f>
        <v>0</v>
      </c>
      <c r="R54" s="9" t="s">
        <v>41</v>
      </c>
      <c r="S54" s="35">
        <f>+Q95</f>
        <v>0</v>
      </c>
      <c r="T54" s="9" t="s">
        <v>41</v>
      </c>
      <c r="U54" s="35">
        <f>+S95</f>
        <v>0</v>
      </c>
      <c r="V54" s="9" t="s">
        <v>41</v>
      </c>
      <c r="W54" s="35">
        <f>+U95</f>
        <v>0</v>
      </c>
      <c r="X54" s="9" t="s">
        <v>41</v>
      </c>
      <c r="Y54" s="35">
        <f>+W95</f>
        <v>0</v>
      </c>
      <c r="Z54" s="9" t="s">
        <v>41</v>
      </c>
      <c r="AA54" s="35">
        <f>SUM(C54:Y54)</f>
        <v>0</v>
      </c>
      <c r="AB54" s="9" t="s">
        <v>41</v>
      </c>
      <c r="AC54" s="10">
        <v>0</v>
      </c>
      <c r="AD54" s="9" t="s">
        <v>41</v>
      </c>
      <c r="AE54" s="12">
        <f>AA54-AC54</f>
        <v>0</v>
      </c>
    </row>
    <row r="55" spans="1:32" hidden="1"/>
    <row r="56" spans="1:32" hidden="1">
      <c r="A56" s="15" t="s">
        <v>43</v>
      </c>
    </row>
    <row r="57" spans="1:32" hidden="1">
      <c r="A57" s="10" t="s">
        <v>61</v>
      </c>
      <c r="B57" s="6" t="s">
        <v>41</v>
      </c>
      <c r="C57" s="36">
        <v>0</v>
      </c>
      <c r="D57" s="6" t="s">
        <v>41</v>
      </c>
      <c r="E57" s="36">
        <v>0</v>
      </c>
      <c r="F57" s="6" t="s">
        <v>41</v>
      </c>
      <c r="G57" s="36">
        <v>0</v>
      </c>
      <c r="H57" s="6" t="s">
        <v>41</v>
      </c>
      <c r="I57" s="36">
        <v>0</v>
      </c>
      <c r="J57" s="6" t="s">
        <v>41</v>
      </c>
      <c r="K57" s="36">
        <v>0</v>
      </c>
      <c r="L57" s="6" t="s">
        <v>41</v>
      </c>
      <c r="M57" s="36">
        <v>0</v>
      </c>
      <c r="N57" s="6" t="s">
        <v>41</v>
      </c>
      <c r="O57" s="36">
        <v>0</v>
      </c>
      <c r="P57" s="6" t="s">
        <v>41</v>
      </c>
      <c r="Q57" s="36">
        <v>0</v>
      </c>
      <c r="R57" s="6" t="s">
        <v>41</v>
      </c>
      <c r="S57" s="36">
        <v>0</v>
      </c>
      <c r="T57" s="6" t="s">
        <v>41</v>
      </c>
      <c r="U57" s="36">
        <v>0</v>
      </c>
      <c r="V57" s="6" t="s">
        <v>41</v>
      </c>
      <c r="W57" s="36">
        <v>0</v>
      </c>
      <c r="X57" s="6" t="s">
        <v>41</v>
      </c>
      <c r="Y57" s="36">
        <v>0</v>
      </c>
      <c r="Z57" s="6" t="s">
        <v>41</v>
      </c>
      <c r="AA57" s="28">
        <f>C57+E57+G57+I57+K57+M57+O57+Q57+S57+U57+W57+Y57</f>
        <v>0</v>
      </c>
      <c r="AB57" s="6" t="s">
        <v>41</v>
      </c>
      <c r="AC57" s="28">
        <v>0</v>
      </c>
      <c r="AD57" s="6" t="s">
        <v>41</v>
      </c>
      <c r="AE57" s="13">
        <f>AA57-AC57</f>
        <v>0</v>
      </c>
    </row>
    <row r="58" spans="1:32" hidden="1">
      <c r="A58" s="10" t="s">
        <v>62</v>
      </c>
      <c r="B58" s="6" t="s">
        <v>41</v>
      </c>
      <c r="C58" s="36">
        <v>0</v>
      </c>
      <c r="D58" s="6" t="s">
        <v>41</v>
      </c>
      <c r="E58" s="36">
        <v>0</v>
      </c>
      <c r="F58" s="6" t="s">
        <v>41</v>
      </c>
      <c r="G58" s="36">
        <v>0</v>
      </c>
      <c r="H58" s="6" t="s">
        <v>41</v>
      </c>
      <c r="I58" s="36">
        <v>0</v>
      </c>
      <c r="J58" s="6" t="s">
        <v>41</v>
      </c>
      <c r="K58" s="36">
        <v>0</v>
      </c>
      <c r="L58" s="6" t="s">
        <v>41</v>
      </c>
      <c r="M58" s="36">
        <v>0</v>
      </c>
      <c r="N58" s="6" t="s">
        <v>41</v>
      </c>
      <c r="O58" s="36">
        <v>0</v>
      </c>
      <c r="P58" s="6" t="s">
        <v>41</v>
      </c>
      <c r="Q58" s="36">
        <v>0</v>
      </c>
      <c r="R58" s="6" t="s">
        <v>41</v>
      </c>
      <c r="S58" s="36">
        <v>0</v>
      </c>
      <c r="T58" s="6" t="s">
        <v>41</v>
      </c>
      <c r="U58" s="36">
        <v>0</v>
      </c>
      <c r="V58" s="6" t="s">
        <v>41</v>
      </c>
      <c r="W58" s="36">
        <v>0</v>
      </c>
      <c r="X58" s="6" t="s">
        <v>41</v>
      </c>
      <c r="Y58" s="36">
        <v>0</v>
      </c>
      <c r="Z58" s="6" t="s">
        <v>41</v>
      </c>
      <c r="AA58" s="28">
        <f>C58+E58+G58+I58+K58+M58+O58+Q58+S58+U58+W58+Y58</f>
        <v>0</v>
      </c>
      <c r="AB58" s="6" t="s">
        <v>41</v>
      </c>
      <c r="AC58" s="28">
        <v>0</v>
      </c>
      <c r="AD58" s="6" t="s">
        <v>41</v>
      </c>
      <c r="AE58" s="13">
        <f>AA58-AC58</f>
        <v>0</v>
      </c>
    </row>
    <row r="59" spans="1:32" hidden="1">
      <c r="A59" s="10" t="s">
        <v>63</v>
      </c>
      <c r="B59" s="6" t="s">
        <v>41</v>
      </c>
      <c r="C59" s="36">
        <v>0</v>
      </c>
      <c r="D59" s="6" t="s">
        <v>41</v>
      </c>
      <c r="E59" s="36">
        <v>0</v>
      </c>
      <c r="F59" s="6" t="s">
        <v>41</v>
      </c>
      <c r="G59" s="36">
        <v>0</v>
      </c>
      <c r="H59" s="6" t="s">
        <v>41</v>
      </c>
      <c r="I59" s="36">
        <v>0</v>
      </c>
      <c r="J59" s="6" t="s">
        <v>41</v>
      </c>
      <c r="K59" s="36">
        <v>0</v>
      </c>
      <c r="L59" s="6" t="s">
        <v>41</v>
      </c>
      <c r="M59" s="36">
        <v>0</v>
      </c>
      <c r="N59" s="6" t="s">
        <v>41</v>
      </c>
      <c r="O59" s="36">
        <v>0</v>
      </c>
      <c r="P59" s="6" t="s">
        <v>41</v>
      </c>
      <c r="Q59" s="36">
        <v>0</v>
      </c>
      <c r="R59" s="6" t="s">
        <v>41</v>
      </c>
      <c r="S59" s="36">
        <v>0</v>
      </c>
      <c r="T59" s="6" t="s">
        <v>41</v>
      </c>
      <c r="U59" s="36">
        <v>0</v>
      </c>
      <c r="V59" s="6" t="s">
        <v>41</v>
      </c>
      <c r="W59" s="36">
        <v>0</v>
      </c>
      <c r="X59" s="6" t="s">
        <v>41</v>
      </c>
      <c r="Y59" s="36">
        <v>0</v>
      </c>
      <c r="Z59" s="6" t="s">
        <v>41</v>
      </c>
      <c r="AA59" s="28">
        <f>C59+E59+G59+I59+K59+M59+O59+Q59+S59+U59+W59+Y59</f>
        <v>0</v>
      </c>
      <c r="AB59" s="6" t="s">
        <v>41</v>
      </c>
      <c r="AC59" s="28">
        <v>0</v>
      </c>
      <c r="AD59" s="6" t="s">
        <v>41</v>
      </c>
      <c r="AE59" s="13">
        <f>AA59-AC59</f>
        <v>0</v>
      </c>
    </row>
    <row r="60" spans="1:32" hidden="1">
      <c r="A60" s="10" t="s">
        <v>64</v>
      </c>
      <c r="B60" s="16" t="s">
        <v>41</v>
      </c>
      <c r="C60" s="37">
        <v>0</v>
      </c>
      <c r="D60" s="16" t="s">
        <v>41</v>
      </c>
      <c r="E60" s="37">
        <v>0</v>
      </c>
      <c r="F60" s="16" t="s">
        <v>41</v>
      </c>
      <c r="G60" s="37">
        <v>0</v>
      </c>
      <c r="H60" s="16" t="s">
        <v>41</v>
      </c>
      <c r="I60" s="37">
        <v>0</v>
      </c>
      <c r="J60" s="16" t="s">
        <v>41</v>
      </c>
      <c r="K60" s="37">
        <v>0</v>
      </c>
      <c r="L60" s="16" t="s">
        <v>41</v>
      </c>
      <c r="M60" s="37">
        <v>0</v>
      </c>
      <c r="N60" s="16" t="s">
        <v>41</v>
      </c>
      <c r="O60" s="37">
        <v>0</v>
      </c>
      <c r="P60" s="16" t="s">
        <v>41</v>
      </c>
      <c r="Q60" s="37">
        <v>0</v>
      </c>
      <c r="R60" s="16" t="s">
        <v>41</v>
      </c>
      <c r="S60" s="37">
        <v>0</v>
      </c>
      <c r="T60" s="16" t="s">
        <v>41</v>
      </c>
      <c r="U60" s="37">
        <v>0</v>
      </c>
      <c r="V60" s="16" t="s">
        <v>41</v>
      </c>
      <c r="W60" s="37">
        <v>0</v>
      </c>
      <c r="X60" s="16" t="s">
        <v>41</v>
      </c>
      <c r="Y60" s="37">
        <v>0</v>
      </c>
      <c r="Z60" s="16" t="s">
        <v>41</v>
      </c>
      <c r="AA60" s="38">
        <f>C60+E60+G60+I60+K60+M60+O60+Q60+S60+U60+W60+Y60</f>
        <v>0</v>
      </c>
      <c r="AB60" s="16" t="s">
        <v>41</v>
      </c>
      <c r="AC60" s="38">
        <v>0</v>
      </c>
      <c r="AD60" s="16" t="s">
        <v>41</v>
      </c>
      <c r="AE60" s="19">
        <f>AA60-AC60</f>
        <v>0</v>
      </c>
    </row>
    <row r="61" spans="1:32" hidden="1">
      <c r="A61" s="20" t="s">
        <v>65</v>
      </c>
      <c r="C61" s="28">
        <f>SUM(C57:C60)</f>
        <v>0</v>
      </c>
      <c r="E61" s="28">
        <f>SUM(E57:E60)</f>
        <v>0</v>
      </c>
      <c r="G61" s="28">
        <f>SUM(G57:G60)</f>
        <v>0</v>
      </c>
      <c r="I61" s="28">
        <f>SUM(I57:I60)</f>
        <v>0</v>
      </c>
      <c r="K61" s="28">
        <f>SUM(K57:K60)</f>
        <v>0</v>
      </c>
      <c r="M61" s="28">
        <f>SUM(M57:M60)</f>
        <v>0</v>
      </c>
      <c r="O61" s="28">
        <f>SUM(O57:O60)</f>
        <v>0</v>
      </c>
      <c r="Q61" s="28">
        <f>SUM(Q57:Q60)</f>
        <v>0</v>
      </c>
      <c r="S61" s="28">
        <f>SUM(S57:S60)</f>
        <v>0</v>
      </c>
      <c r="U61" s="28">
        <f>SUM(U57:U60)</f>
        <v>0</v>
      </c>
      <c r="W61" s="28">
        <f>SUM(W57:W60)</f>
        <v>0</v>
      </c>
      <c r="Y61" s="28">
        <f>SUM(Y57:Y60)</f>
        <v>0</v>
      </c>
      <c r="AA61" s="28">
        <f>SUM(AA57:AA60)</f>
        <v>0</v>
      </c>
      <c r="AC61" s="28">
        <f>SUM(AC57:AC60)</f>
        <v>0</v>
      </c>
      <c r="AE61" s="28">
        <f>SUM(AE57:AE60)</f>
        <v>0</v>
      </c>
    </row>
    <row r="62" spans="1:32" hidden="1">
      <c r="A62" s="10"/>
      <c r="C62" s="28"/>
      <c r="E62" s="28"/>
      <c r="G62" s="28"/>
      <c r="I62" s="28"/>
      <c r="K62" s="28"/>
      <c r="M62" s="28"/>
      <c r="O62" s="28"/>
      <c r="Q62" s="28"/>
      <c r="S62" s="28"/>
      <c r="U62" s="28"/>
      <c r="W62" s="28"/>
      <c r="Y62" s="28"/>
      <c r="AA62" s="28"/>
      <c r="AC62" s="28"/>
      <c r="AE62" s="28"/>
    </row>
    <row r="63" spans="1:32" hidden="1">
      <c r="A63" s="15" t="s">
        <v>46</v>
      </c>
      <c r="C63" s="28"/>
      <c r="E63" s="28"/>
      <c r="G63" s="28"/>
      <c r="I63" s="28"/>
      <c r="K63" s="28"/>
      <c r="M63" s="28"/>
      <c r="O63" s="28"/>
      <c r="Q63" s="28"/>
      <c r="S63" s="28"/>
      <c r="U63" s="28"/>
      <c r="W63" s="28"/>
      <c r="Y63" s="28"/>
      <c r="AA63" s="28"/>
      <c r="AE63" s="13"/>
    </row>
    <row r="64" spans="1:32" hidden="1">
      <c r="A64" s="10" t="s">
        <v>47</v>
      </c>
      <c r="B64" s="6" t="s">
        <v>41</v>
      </c>
      <c r="C64" s="36">
        <v>0</v>
      </c>
      <c r="D64" s="6" t="s">
        <v>41</v>
      </c>
      <c r="E64" s="36">
        <v>0</v>
      </c>
      <c r="F64" s="6" t="s">
        <v>41</v>
      </c>
      <c r="G64" s="36">
        <v>0</v>
      </c>
      <c r="H64" s="6" t="s">
        <v>41</v>
      </c>
      <c r="I64" s="36">
        <v>0</v>
      </c>
      <c r="J64" s="6" t="s">
        <v>41</v>
      </c>
      <c r="K64" s="36">
        <v>0</v>
      </c>
      <c r="L64" s="6" t="s">
        <v>41</v>
      </c>
      <c r="M64" s="36">
        <v>0</v>
      </c>
      <c r="N64" s="6" t="s">
        <v>41</v>
      </c>
      <c r="O64" s="36">
        <v>0</v>
      </c>
      <c r="P64" s="6" t="s">
        <v>41</v>
      </c>
      <c r="Q64" s="36">
        <v>0</v>
      </c>
      <c r="R64" s="6" t="s">
        <v>41</v>
      </c>
      <c r="S64" s="36">
        <v>0</v>
      </c>
      <c r="T64" s="6" t="s">
        <v>41</v>
      </c>
      <c r="U64" s="36">
        <v>0</v>
      </c>
      <c r="V64" s="6" t="s">
        <v>41</v>
      </c>
      <c r="W64" s="36">
        <v>0</v>
      </c>
      <c r="X64" s="6" t="s">
        <v>41</v>
      </c>
      <c r="Y64" s="36">
        <v>0</v>
      </c>
      <c r="Z64" s="6" t="s">
        <v>41</v>
      </c>
      <c r="AA64" s="28">
        <f>C64+E64+G64+I64+K64+M64+O64+Q64+S64+U64+W64+Y64</f>
        <v>0</v>
      </c>
      <c r="AB64" s="6" t="s">
        <v>41</v>
      </c>
      <c r="AC64" s="28">
        <v>0</v>
      </c>
      <c r="AD64" s="6" t="s">
        <v>41</v>
      </c>
      <c r="AE64" s="13">
        <f>AA64-AC64</f>
        <v>0</v>
      </c>
    </row>
    <row r="65" spans="1:31" hidden="1">
      <c r="A65" s="10" t="s">
        <v>2</v>
      </c>
      <c r="B65" s="6" t="s">
        <v>41</v>
      </c>
      <c r="C65" s="36">
        <v>0</v>
      </c>
      <c r="D65" s="6" t="s">
        <v>41</v>
      </c>
      <c r="E65" s="36">
        <v>0</v>
      </c>
      <c r="F65" s="6" t="s">
        <v>41</v>
      </c>
      <c r="G65" s="36">
        <v>0</v>
      </c>
      <c r="H65" s="6" t="s">
        <v>41</v>
      </c>
      <c r="I65" s="36">
        <v>0</v>
      </c>
      <c r="J65" s="6" t="s">
        <v>41</v>
      </c>
      <c r="K65" s="36">
        <v>0</v>
      </c>
      <c r="L65" s="6" t="s">
        <v>41</v>
      </c>
      <c r="M65" s="36">
        <v>0</v>
      </c>
      <c r="N65" s="6" t="s">
        <v>41</v>
      </c>
      <c r="O65" s="36">
        <v>0</v>
      </c>
      <c r="P65" s="6" t="s">
        <v>41</v>
      </c>
      <c r="Q65" s="36">
        <v>0</v>
      </c>
      <c r="R65" s="6" t="s">
        <v>41</v>
      </c>
      <c r="S65" s="36">
        <v>0</v>
      </c>
      <c r="T65" s="6" t="s">
        <v>41</v>
      </c>
      <c r="U65" s="36">
        <v>0</v>
      </c>
      <c r="V65" s="6" t="s">
        <v>41</v>
      </c>
      <c r="W65" s="36">
        <v>0</v>
      </c>
      <c r="X65" s="6" t="s">
        <v>41</v>
      </c>
      <c r="Y65" s="36">
        <v>0</v>
      </c>
      <c r="Z65" s="6" t="s">
        <v>41</v>
      </c>
      <c r="AA65" s="28">
        <f>C65+E65+G65+I65+K65+M65+O65+Q65+S65+U65+W65+Y65</f>
        <v>0</v>
      </c>
      <c r="AB65" s="6" t="s">
        <v>41</v>
      </c>
      <c r="AC65" s="28">
        <v>0</v>
      </c>
      <c r="AD65" s="6" t="s">
        <v>41</v>
      </c>
      <c r="AE65" s="13">
        <f>AA65-AC65</f>
        <v>0</v>
      </c>
    </row>
    <row r="66" spans="1:31" hidden="1">
      <c r="A66" s="10" t="s">
        <v>3</v>
      </c>
      <c r="B66" s="6" t="s">
        <v>41</v>
      </c>
      <c r="C66" s="36">
        <v>0</v>
      </c>
      <c r="D66" s="6" t="s">
        <v>41</v>
      </c>
      <c r="E66" s="36">
        <v>0</v>
      </c>
      <c r="F66" s="6" t="s">
        <v>41</v>
      </c>
      <c r="G66" s="36">
        <v>0</v>
      </c>
      <c r="H66" s="6" t="s">
        <v>41</v>
      </c>
      <c r="I66" s="36">
        <v>0</v>
      </c>
      <c r="J66" s="6" t="s">
        <v>41</v>
      </c>
      <c r="K66" s="36">
        <v>0</v>
      </c>
      <c r="L66" s="6" t="s">
        <v>41</v>
      </c>
      <c r="M66" s="36">
        <v>0</v>
      </c>
      <c r="N66" s="6" t="s">
        <v>41</v>
      </c>
      <c r="O66" s="36">
        <v>0</v>
      </c>
      <c r="P66" s="6" t="s">
        <v>41</v>
      </c>
      <c r="Q66" s="36">
        <v>0</v>
      </c>
      <c r="R66" s="6" t="s">
        <v>41</v>
      </c>
      <c r="S66" s="36">
        <v>0</v>
      </c>
      <c r="T66" s="6" t="s">
        <v>41</v>
      </c>
      <c r="U66" s="36">
        <v>0</v>
      </c>
      <c r="V66" s="6" t="s">
        <v>41</v>
      </c>
      <c r="W66" s="36">
        <v>0</v>
      </c>
      <c r="X66" s="6" t="s">
        <v>41</v>
      </c>
      <c r="Y66" s="36">
        <v>0</v>
      </c>
      <c r="Z66" s="6" t="s">
        <v>41</v>
      </c>
      <c r="AA66" s="28">
        <f>C66+E66+G66+I66+K66+M66+O66+Q66+S66+U66+W66+Y66</f>
        <v>0</v>
      </c>
      <c r="AB66" s="6" t="s">
        <v>41</v>
      </c>
      <c r="AC66" s="28">
        <v>0</v>
      </c>
      <c r="AD66" s="6" t="s">
        <v>41</v>
      </c>
      <c r="AE66" s="13">
        <f>AA66-AC66</f>
        <v>0</v>
      </c>
    </row>
    <row r="67" spans="1:31" hidden="1">
      <c r="A67" s="10" t="s">
        <v>48</v>
      </c>
      <c r="B67" s="16" t="s">
        <v>41</v>
      </c>
      <c r="C67" s="37">
        <v>0</v>
      </c>
      <c r="D67" s="16" t="s">
        <v>41</v>
      </c>
      <c r="E67" s="37">
        <v>0</v>
      </c>
      <c r="F67" s="16" t="s">
        <v>41</v>
      </c>
      <c r="G67" s="37">
        <v>0</v>
      </c>
      <c r="H67" s="16" t="s">
        <v>41</v>
      </c>
      <c r="I67" s="37">
        <v>0</v>
      </c>
      <c r="J67" s="16" t="s">
        <v>41</v>
      </c>
      <c r="K67" s="37">
        <v>0</v>
      </c>
      <c r="L67" s="16" t="s">
        <v>41</v>
      </c>
      <c r="M67" s="37">
        <v>0</v>
      </c>
      <c r="N67" s="16" t="s">
        <v>41</v>
      </c>
      <c r="O67" s="37">
        <v>0</v>
      </c>
      <c r="P67" s="16" t="s">
        <v>41</v>
      </c>
      <c r="Q67" s="37">
        <v>0</v>
      </c>
      <c r="R67" s="16" t="s">
        <v>41</v>
      </c>
      <c r="S67" s="37">
        <v>0</v>
      </c>
      <c r="T67" s="16" t="s">
        <v>41</v>
      </c>
      <c r="U67" s="37">
        <v>0</v>
      </c>
      <c r="V67" s="16" t="s">
        <v>41</v>
      </c>
      <c r="W67" s="37">
        <v>0</v>
      </c>
      <c r="X67" s="16" t="s">
        <v>41</v>
      </c>
      <c r="Y67" s="37">
        <v>0</v>
      </c>
      <c r="Z67" s="16" t="s">
        <v>41</v>
      </c>
      <c r="AA67" s="38">
        <f>C67+E67+G67+I67+K67+M67+O67+Q67+S67+U67+W67+Y67</f>
        <v>0</v>
      </c>
      <c r="AB67" s="16" t="s">
        <v>41</v>
      </c>
      <c r="AC67" s="38">
        <v>0</v>
      </c>
      <c r="AD67" s="16" t="s">
        <v>41</v>
      </c>
      <c r="AE67" s="19">
        <f>AA67-AC67</f>
        <v>0</v>
      </c>
    </row>
    <row r="68" spans="1:31" hidden="1">
      <c r="A68" s="20" t="s">
        <v>49</v>
      </c>
      <c r="B68" s="9" t="s">
        <v>41</v>
      </c>
      <c r="C68" s="35">
        <f>SUM(C64:C67)</f>
        <v>0</v>
      </c>
      <c r="D68" s="9" t="s">
        <v>41</v>
      </c>
      <c r="E68" s="35">
        <f>SUM(E64:E67)</f>
        <v>0</v>
      </c>
      <c r="F68" s="9" t="s">
        <v>41</v>
      </c>
      <c r="G68" s="35">
        <f>SUM(G64:G67)</f>
        <v>0</v>
      </c>
      <c r="H68" s="9" t="s">
        <v>41</v>
      </c>
      <c r="I68" s="35">
        <f>SUM(I64:I67)</f>
        <v>0</v>
      </c>
      <c r="J68" s="9" t="s">
        <v>41</v>
      </c>
      <c r="K68" s="35">
        <f>SUM(K64:K67)</f>
        <v>0</v>
      </c>
      <c r="L68" s="9" t="s">
        <v>41</v>
      </c>
      <c r="M68" s="35">
        <f>SUM(M64:M67)</f>
        <v>0</v>
      </c>
      <c r="N68" s="9" t="s">
        <v>41</v>
      </c>
      <c r="O68" s="35">
        <f>SUM(O64:O67)</f>
        <v>0</v>
      </c>
      <c r="P68" s="9" t="s">
        <v>41</v>
      </c>
      <c r="Q68" s="35">
        <f>SUM(Q64:Q67)</f>
        <v>0</v>
      </c>
      <c r="R68" s="9" t="s">
        <v>41</v>
      </c>
      <c r="S68" s="35">
        <f>SUM(S64:S67)</f>
        <v>0</v>
      </c>
      <c r="T68" s="9" t="s">
        <v>41</v>
      </c>
      <c r="U68" s="35">
        <f>SUM(U64:U67)</f>
        <v>0</v>
      </c>
      <c r="V68" s="9" t="s">
        <v>41</v>
      </c>
      <c r="W68" s="35">
        <f>SUM(W64:W67)</f>
        <v>0</v>
      </c>
      <c r="X68" s="9" t="s">
        <v>41</v>
      </c>
      <c r="Y68" s="35">
        <f>SUM(Y64:Y67)</f>
        <v>0</v>
      </c>
      <c r="Z68" s="9" t="s">
        <v>41</v>
      </c>
      <c r="AA68" s="35">
        <f>C68+E68+G68+I68+K68+M68+O68+Q68+S68+U68+W68+Y68</f>
        <v>0</v>
      </c>
      <c r="AB68" s="9" t="s">
        <v>41</v>
      </c>
      <c r="AC68" s="35">
        <f>SUM(AC64:AC67)</f>
        <v>0</v>
      </c>
      <c r="AD68" s="9" t="s">
        <v>41</v>
      </c>
      <c r="AE68" s="12">
        <f>AA68-AC68</f>
        <v>0</v>
      </c>
    </row>
    <row r="69" spans="1:31" hidden="1">
      <c r="A69" s="20"/>
      <c r="B69" s="9"/>
      <c r="C69" s="35"/>
      <c r="D69" s="9"/>
      <c r="E69" s="35"/>
      <c r="F69" s="9"/>
      <c r="G69" s="35"/>
      <c r="H69" s="9"/>
      <c r="I69" s="35"/>
      <c r="J69" s="9"/>
      <c r="K69" s="35"/>
      <c r="L69" s="9"/>
      <c r="M69" s="35"/>
      <c r="N69" s="9"/>
      <c r="O69" s="35"/>
      <c r="P69" s="9"/>
      <c r="Q69" s="35"/>
      <c r="R69" s="9"/>
      <c r="S69" s="35"/>
      <c r="T69" s="9"/>
      <c r="U69" s="35"/>
      <c r="V69" s="9"/>
      <c r="W69" s="35"/>
      <c r="X69" s="9"/>
      <c r="Y69" s="35"/>
      <c r="Z69" s="9"/>
      <c r="AA69" s="35"/>
      <c r="AB69" s="9"/>
      <c r="AC69" s="35"/>
      <c r="AD69" s="9"/>
      <c r="AE69" s="12"/>
    </row>
    <row r="70" spans="1:31" hidden="1">
      <c r="A70" s="10" t="s">
        <v>66</v>
      </c>
      <c r="B70" s="16" t="s">
        <v>41</v>
      </c>
      <c r="C70" s="37">
        <v>0</v>
      </c>
      <c r="D70" s="16" t="s">
        <v>41</v>
      </c>
      <c r="E70" s="37">
        <v>0</v>
      </c>
      <c r="F70" s="16" t="s">
        <v>41</v>
      </c>
      <c r="G70" s="37">
        <v>0</v>
      </c>
      <c r="H70" s="16" t="s">
        <v>41</v>
      </c>
      <c r="I70" s="37">
        <v>0</v>
      </c>
      <c r="J70" s="16" t="s">
        <v>41</v>
      </c>
      <c r="K70" s="37">
        <v>0</v>
      </c>
      <c r="L70" s="16" t="s">
        <v>41</v>
      </c>
      <c r="M70" s="37">
        <v>0</v>
      </c>
      <c r="N70" s="16" t="s">
        <v>41</v>
      </c>
      <c r="O70" s="37">
        <v>0</v>
      </c>
      <c r="P70" s="16" t="s">
        <v>41</v>
      </c>
      <c r="Q70" s="37">
        <v>0</v>
      </c>
      <c r="R70" s="16" t="s">
        <v>41</v>
      </c>
      <c r="S70" s="37">
        <v>0</v>
      </c>
      <c r="T70" s="16" t="s">
        <v>41</v>
      </c>
      <c r="U70" s="37">
        <v>0</v>
      </c>
      <c r="V70" s="16" t="s">
        <v>41</v>
      </c>
      <c r="W70" s="37">
        <v>0</v>
      </c>
      <c r="X70" s="16" t="s">
        <v>41</v>
      </c>
      <c r="Y70" s="37">
        <v>0</v>
      </c>
      <c r="Z70" s="16" t="s">
        <v>41</v>
      </c>
      <c r="AA70" s="38">
        <f>C70+E70+G70+I70+K70+M70+O70+Q70+S70+U70+W70+Y70</f>
        <v>0</v>
      </c>
      <c r="AB70" s="16" t="s">
        <v>41</v>
      </c>
      <c r="AC70" s="38">
        <v>0</v>
      </c>
      <c r="AD70" s="16" t="s">
        <v>41</v>
      </c>
      <c r="AE70" s="19">
        <f>AA70-AC70</f>
        <v>0</v>
      </c>
    </row>
    <row r="71" spans="1:31" hidden="1">
      <c r="A71" s="20" t="s">
        <v>67</v>
      </c>
      <c r="B71" s="6" t="s">
        <v>41</v>
      </c>
      <c r="C71" s="39">
        <f>SUM(C68:C70)</f>
        <v>0</v>
      </c>
      <c r="D71" s="6" t="s">
        <v>41</v>
      </c>
      <c r="E71" s="39">
        <f>SUM(E68:E70)</f>
        <v>0</v>
      </c>
      <c r="F71" s="6" t="s">
        <v>41</v>
      </c>
      <c r="G71" s="39">
        <f>SUM(G68:G70)</f>
        <v>0</v>
      </c>
      <c r="H71" s="6" t="s">
        <v>41</v>
      </c>
      <c r="I71" s="39">
        <f>SUM(I68:I70)</f>
        <v>0</v>
      </c>
      <c r="J71" s="6" t="s">
        <v>41</v>
      </c>
      <c r="K71" s="39">
        <f>SUM(K68:K70)</f>
        <v>0</v>
      </c>
      <c r="L71" s="6" t="s">
        <v>41</v>
      </c>
      <c r="M71" s="39">
        <f>SUM(M68:M70)</f>
        <v>0</v>
      </c>
      <c r="N71" s="6" t="s">
        <v>41</v>
      </c>
      <c r="O71" s="39">
        <f>SUM(O68:O70)</f>
        <v>0</v>
      </c>
      <c r="P71" s="6" t="s">
        <v>41</v>
      </c>
      <c r="Q71" s="39">
        <f>SUM(Q68:Q70)</f>
        <v>0</v>
      </c>
      <c r="R71" s="6" t="s">
        <v>41</v>
      </c>
      <c r="S71" s="39">
        <f>SUM(S68:S70)</f>
        <v>0</v>
      </c>
      <c r="T71" s="6" t="s">
        <v>41</v>
      </c>
      <c r="U71" s="39">
        <f>SUM(U68:U70)</f>
        <v>0</v>
      </c>
      <c r="V71" s="6" t="s">
        <v>41</v>
      </c>
      <c r="W71" s="39">
        <f>SUM(W68:W70)</f>
        <v>0</v>
      </c>
      <c r="X71" s="6" t="s">
        <v>41</v>
      </c>
      <c r="Y71" s="39">
        <f>SUM(Y68:Y70)</f>
        <v>0</v>
      </c>
      <c r="Z71" s="6" t="s">
        <v>41</v>
      </c>
      <c r="AA71" s="39">
        <f>SUM(AA68:AA70)</f>
        <v>0</v>
      </c>
      <c r="AB71" s="6" t="s">
        <v>41</v>
      </c>
      <c r="AC71" s="39">
        <f>SUM(AC68:AC70)</f>
        <v>0</v>
      </c>
      <c r="AD71" s="6" t="s">
        <v>41</v>
      </c>
      <c r="AE71" s="39">
        <f>SUM(AE68:AE70)</f>
        <v>0</v>
      </c>
    </row>
    <row r="72" spans="1:31" hidden="1">
      <c r="A72" s="10"/>
      <c r="B72" s="40"/>
      <c r="C72" s="39"/>
      <c r="D72" s="40"/>
      <c r="E72" s="39"/>
      <c r="F72" s="40"/>
      <c r="G72" s="39"/>
      <c r="H72" s="40"/>
      <c r="I72" s="39"/>
      <c r="J72" s="40"/>
      <c r="K72" s="39"/>
      <c r="L72" s="40"/>
      <c r="M72" s="39"/>
      <c r="N72" s="40"/>
      <c r="O72" s="39"/>
      <c r="P72" s="40"/>
      <c r="Q72" s="39"/>
      <c r="R72" s="40"/>
      <c r="S72" s="39"/>
      <c r="T72" s="40"/>
      <c r="U72" s="39"/>
      <c r="V72" s="40"/>
      <c r="W72" s="39"/>
      <c r="X72" s="40"/>
      <c r="Y72" s="39"/>
      <c r="Z72" s="40"/>
      <c r="AA72" s="41"/>
      <c r="AB72" s="40"/>
      <c r="AC72" s="41"/>
      <c r="AD72" s="40"/>
      <c r="AE72" s="42"/>
    </row>
    <row r="73" spans="1:31" hidden="1">
      <c r="A73" s="20" t="s">
        <v>54</v>
      </c>
      <c r="B73" s="16" t="s">
        <v>41</v>
      </c>
      <c r="C73" s="37">
        <f>C61-C71</f>
        <v>0</v>
      </c>
      <c r="D73" s="16" t="s">
        <v>41</v>
      </c>
      <c r="E73" s="37">
        <f>E61-E71</f>
        <v>0</v>
      </c>
      <c r="F73" s="16" t="s">
        <v>41</v>
      </c>
      <c r="G73" s="37">
        <f>G61-G71</f>
        <v>0</v>
      </c>
      <c r="H73" s="16" t="s">
        <v>41</v>
      </c>
      <c r="I73" s="37">
        <f>I61-I71</f>
        <v>0</v>
      </c>
      <c r="J73" s="16" t="s">
        <v>41</v>
      </c>
      <c r="K73" s="37">
        <f>K61-K71</f>
        <v>0</v>
      </c>
      <c r="L73" s="16" t="s">
        <v>41</v>
      </c>
      <c r="M73" s="37">
        <f>M61-M71</f>
        <v>0</v>
      </c>
      <c r="N73" s="16" t="s">
        <v>41</v>
      </c>
      <c r="O73" s="37">
        <f>O61-O71</f>
        <v>0</v>
      </c>
      <c r="P73" s="16" t="s">
        <v>41</v>
      </c>
      <c r="Q73" s="37">
        <f>Q61-Q71</f>
        <v>0</v>
      </c>
      <c r="R73" s="16" t="s">
        <v>41</v>
      </c>
      <c r="S73" s="37">
        <f>S61-S71</f>
        <v>0</v>
      </c>
      <c r="T73" s="16" t="s">
        <v>41</v>
      </c>
      <c r="U73" s="37">
        <f>U61-U71</f>
        <v>0</v>
      </c>
      <c r="V73" s="16" t="s">
        <v>41</v>
      </c>
      <c r="W73" s="37">
        <f>W61-W71</f>
        <v>0</v>
      </c>
      <c r="X73" s="16" t="s">
        <v>41</v>
      </c>
      <c r="Y73" s="37">
        <f>Y61-Y71</f>
        <v>0</v>
      </c>
      <c r="Z73" s="16" t="s">
        <v>41</v>
      </c>
      <c r="AA73" s="37">
        <f>AA61-AA71</f>
        <v>0</v>
      </c>
      <c r="AB73" s="16" t="s">
        <v>41</v>
      </c>
      <c r="AC73" s="37">
        <f>AC61-AC71</f>
        <v>0</v>
      </c>
      <c r="AD73" s="16" t="s">
        <v>41</v>
      </c>
      <c r="AE73" s="37">
        <f>AE61-AE71</f>
        <v>0</v>
      </c>
    </row>
    <row r="74" spans="1:31" hidden="1">
      <c r="B74" s="40"/>
      <c r="C74" s="39"/>
      <c r="D74" s="40"/>
      <c r="E74" s="39"/>
      <c r="F74" s="40"/>
      <c r="G74" s="39"/>
      <c r="H74" s="40"/>
      <c r="I74" s="39"/>
      <c r="J74" s="40"/>
      <c r="K74" s="39"/>
      <c r="L74" s="40"/>
      <c r="M74" s="39"/>
      <c r="N74" s="40"/>
      <c r="O74" s="39"/>
      <c r="P74" s="40"/>
      <c r="Q74" s="39"/>
      <c r="R74" s="40"/>
      <c r="S74" s="39"/>
      <c r="T74" s="40"/>
      <c r="U74" s="39"/>
      <c r="V74" s="40"/>
      <c r="W74" s="39"/>
      <c r="X74" s="40"/>
      <c r="Y74" s="39"/>
      <c r="Z74" s="40"/>
      <c r="AA74" s="41"/>
      <c r="AB74" s="40"/>
      <c r="AC74" s="41"/>
      <c r="AD74" s="40"/>
      <c r="AE74" s="42"/>
    </row>
    <row r="75" spans="1:31" ht="13.8" hidden="1" thickBot="1">
      <c r="A75" s="11" t="s">
        <v>55</v>
      </c>
      <c r="B75" s="6" t="s">
        <v>41</v>
      </c>
      <c r="C75" s="43">
        <f>+C54+C73</f>
        <v>0</v>
      </c>
      <c r="D75" s="6" t="s">
        <v>41</v>
      </c>
      <c r="E75" s="43">
        <f>+E54+E73</f>
        <v>0</v>
      </c>
      <c r="F75" s="6" t="s">
        <v>41</v>
      </c>
      <c r="G75" s="43">
        <f>+G54+G73</f>
        <v>0</v>
      </c>
      <c r="H75" s="6" t="s">
        <v>41</v>
      </c>
      <c r="I75" s="43">
        <f>+I54+I73</f>
        <v>0</v>
      </c>
      <c r="J75" s="6" t="s">
        <v>41</v>
      </c>
      <c r="K75" s="43">
        <f>+K54+K73</f>
        <v>0</v>
      </c>
      <c r="L75" s="6" t="s">
        <v>41</v>
      </c>
      <c r="M75" s="43">
        <f>+M54+M73</f>
        <v>0</v>
      </c>
      <c r="N75" s="6" t="s">
        <v>41</v>
      </c>
      <c r="O75" s="43">
        <f>+O54+O73</f>
        <v>0</v>
      </c>
      <c r="P75" s="6" t="s">
        <v>41</v>
      </c>
      <c r="Q75" s="43">
        <f>+Q54+Q73</f>
        <v>0</v>
      </c>
      <c r="R75" s="6" t="s">
        <v>41</v>
      </c>
      <c r="S75" s="43">
        <f>+S54+S73</f>
        <v>0</v>
      </c>
      <c r="T75" s="6" t="s">
        <v>41</v>
      </c>
      <c r="U75" s="43">
        <f>+U54+U73</f>
        <v>0</v>
      </c>
      <c r="V75" s="6" t="s">
        <v>41</v>
      </c>
      <c r="W75" s="43">
        <f>+W54+W73</f>
        <v>0</v>
      </c>
      <c r="X75" s="6" t="s">
        <v>41</v>
      </c>
      <c r="Y75" s="43">
        <f>+Y54+Y73</f>
        <v>0</v>
      </c>
      <c r="Z75" s="6" t="s">
        <v>41</v>
      </c>
      <c r="AA75" s="43">
        <f>+AA54+AA73</f>
        <v>0</v>
      </c>
      <c r="AB75" s="6" t="s">
        <v>41</v>
      </c>
      <c r="AC75" s="43">
        <f>+AC54+AC73</f>
        <v>0</v>
      </c>
      <c r="AD75" s="6" t="s">
        <v>41</v>
      </c>
      <c r="AE75" s="43">
        <f>+AE54+AE73</f>
        <v>0</v>
      </c>
    </row>
    <row r="76" spans="1:31" hidden="1">
      <c r="A76" s="10"/>
      <c r="B76" s="40"/>
      <c r="C76" s="39"/>
      <c r="D76" s="40"/>
      <c r="E76" s="39"/>
      <c r="F76" s="40"/>
      <c r="G76" s="39"/>
      <c r="H76" s="40"/>
      <c r="I76" s="39"/>
      <c r="J76" s="40"/>
      <c r="K76" s="39"/>
      <c r="L76" s="40"/>
      <c r="M76" s="39"/>
      <c r="N76" s="40"/>
      <c r="O76" s="39"/>
      <c r="P76" s="40"/>
      <c r="Q76" s="39"/>
      <c r="R76" s="40"/>
      <c r="S76" s="39"/>
      <c r="T76" s="40"/>
      <c r="U76" s="39"/>
      <c r="V76" s="40"/>
      <c r="W76" s="39"/>
      <c r="X76" s="40"/>
      <c r="Y76" s="39"/>
      <c r="Z76" s="40"/>
      <c r="AA76" s="41"/>
      <c r="AB76" s="40"/>
      <c r="AC76" s="41"/>
      <c r="AD76" s="40"/>
      <c r="AE76" s="42"/>
    </row>
    <row r="77" spans="1:31" hidden="1"/>
    <row r="78" spans="1:31" hidden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</row>
    <row r="79" spans="1:31" hidden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</row>
    <row r="80" spans="1:31" hidden="1"/>
    <row r="81" spans="1:32" ht="23.4" hidden="1" thickBot="1">
      <c r="A81" s="8" t="s">
        <v>68</v>
      </c>
    </row>
    <row r="82" spans="1:32" hidden="1"/>
    <row r="83" spans="1:32" hidden="1"/>
    <row r="84" spans="1:32" hidden="1">
      <c r="A84" s="10" t="s">
        <v>69</v>
      </c>
      <c r="B84" s="6" t="s">
        <v>41</v>
      </c>
      <c r="C84" s="36">
        <v>0</v>
      </c>
      <c r="D84" s="6" t="s">
        <v>41</v>
      </c>
      <c r="E84" s="36">
        <v>0</v>
      </c>
      <c r="F84" s="6" t="s">
        <v>41</v>
      </c>
      <c r="G84" s="36">
        <v>0</v>
      </c>
      <c r="H84" s="6" t="s">
        <v>41</v>
      </c>
      <c r="I84" s="36">
        <v>0</v>
      </c>
      <c r="J84" s="6" t="s">
        <v>41</v>
      </c>
      <c r="K84" s="36">
        <v>0</v>
      </c>
      <c r="L84" s="6" t="s">
        <v>41</v>
      </c>
      <c r="M84" s="36">
        <v>0</v>
      </c>
      <c r="N84" s="6" t="s">
        <v>41</v>
      </c>
      <c r="O84" s="36">
        <v>0</v>
      </c>
      <c r="P84" s="6" t="s">
        <v>41</v>
      </c>
      <c r="Q84" s="36">
        <v>0</v>
      </c>
      <c r="R84" s="6" t="s">
        <v>41</v>
      </c>
      <c r="S84" s="36">
        <v>0</v>
      </c>
      <c r="T84" s="6" t="s">
        <v>41</v>
      </c>
      <c r="U84" s="36">
        <v>0</v>
      </c>
      <c r="V84" s="6" t="s">
        <v>41</v>
      </c>
      <c r="W84" s="36">
        <v>0</v>
      </c>
      <c r="X84" s="6" t="s">
        <v>41</v>
      </c>
      <c r="Y84" s="36">
        <v>0</v>
      </c>
      <c r="Z84" s="6" t="s">
        <v>41</v>
      </c>
      <c r="AA84" s="28">
        <f>C84+E84+G84+I84+K84+M84+O84+Q84+S84+U84+W84+Y84</f>
        <v>0</v>
      </c>
      <c r="AB84" s="6" t="s">
        <v>41</v>
      </c>
      <c r="AC84" s="28">
        <v>0</v>
      </c>
      <c r="AD84" s="6" t="s">
        <v>41</v>
      </c>
      <c r="AE84" s="13">
        <f>AA84-AC84</f>
        <v>0</v>
      </c>
    </row>
    <row r="85" spans="1:32" hidden="1">
      <c r="A85" s="10" t="s">
        <v>70</v>
      </c>
      <c r="B85" s="6" t="s">
        <v>41</v>
      </c>
      <c r="C85" s="36">
        <v>0</v>
      </c>
      <c r="D85" s="6" t="s">
        <v>41</v>
      </c>
      <c r="E85" s="36">
        <v>0</v>
      </c>
      <c r="F85" s="6" t="s">
        <v>41</v>
      </c>
      <c r="G85" s="36">
        <v>0</v>
      </c>
      <c r="H85" s="6" t="s">
        <v>41</v>
      </c>
      <c r="I85" s="36">
        <v>0</v>
      </c>
      <c r="J85" s="6" t="s">
        <v>41</v>
      </c>
      <c r="K85" s="36">
        <v>0</v>
      </c>
      <c r="L85" s="6" t="s">
        <v>41</v>
      </c>
      <c r="M85" s="36">
        <v>0</v>
      </c>
      <c r="N85" s="6" t="s">
        <v>41</v>
      </c>
      <c r="O85" s="36">
        <v>0</v>
      </c>
      <c r="P85" s="6" t="s">
        <v>41</v>
      </c>
      <c r="Q85" s="36">
        <v>0</v>
      </c>
      <c r="R85" s="6" t="s">
        <v>41</v>
      </c>
      <c r="S85" s="36">
        <v>0</v>
      </c>
      <c r="T85" s="6" t="s">
        <v>41</v>
      </c>
      <c r="U85" s="36">
        <v>0</v>
      </c>
      <c r="V85" s="6" t="s">
        <v>41</v>
      </c>
      <c r="W85" s="36">
        <v>0</v>
      </c>
      <c r="X85" s="6" t="s">
        <v>41</v>
      </c>
      <c r="Y85" s="36">
        <v>0</v>
      </c>
      <c r="Z85" s="6" t="s">
        <v>41</v>
      </c>
      <c r="AA85" s="28">
        <f>C85+E85+G85+I85+K85+M85+O85+Q85+S85+U85+W85+Y85</f>
        <v>0</v>
      </c>
      <c r="AB85" s="6" t="s">
        <v>41</v>
      </c>
      <c r="AC85" s="28">
        <v>0</v>
      </c>
      <c r="AD85" s="6" t="s">
        <v>41</v>
      </c>
      <c r="AE85" s="13">
        <f>AA85-AC85</f>
        <v>0</v>
      </c>
    </row>
    <row r="86" spans="1:32" hidden="1">
      <c r="A86" s="10" t="s">
        <v>71</v>
      </c>
      <c r="B86" s="6" t="s">
        <v>41</v>
      </c>
      <c r="C86" s="36">
        <v>0</v>
      </c>
      <c r="D86" s="6" t="s">
        <v>41</v>
      </c>
      <c r="E86" s="36">
        <v>0</v>
      </c>
      <c r="F86" s="6" t="s">
        <v>41</v>
      </c>
      <c r="G86" s="36">
        <v>0</v>
      </c>
      <c r="H86" s="6" t="s">
        <v>41</v>
      </c>
      <c r="I86" s="36">
        <v>0</v>
      </c>
      <c r="J86" s="6" t="s">
        <v>41</v>
      </c>
      <c r="K86" s="36">
        <v>0</v>
      </c>
      <c r="L86" s="6" t="s">
        <v>41</v>
      </c>
      <c r="M86" s="36">
        <v>0</v>
      </c>
      <c r="N86" s="6" t="s">
        <v>41</v>
      </c>
      <c r="O86" s="36">
        <v>0</v>
      </c>
      <c r="P86" s="6" t="s">
        <v>41</v>
      </c>
      <c r="Q86" s="36">
        <v>0</v>
      </c>
      <c r="R86" s="6" t="s">
        <v>41</v>
      </c>
      <c r="S86" s="36">
        <v>0</v>
      </c>
      <c r="T86" s="6" t="s">
        <v>41</v>
      </c>
      <c r="U86" s="36">
        <v>0</v>
      </c>
      <c r="V86" s="6" t="s">
        <v>41</v>
      </c>
      <c r="W86" s="36">
        <v>0</v>
      </c>
      <c r="X86" s="6" t="s">
        <v>41</v>
      </c>
      <c r="Y86" s="36">
        <v>0</v>
      </c>
      <c r="Z86" s="6" t="s">
        <v>41</v>
      </c>
      <c r="AA86" s="28">
        <f>C86+E86+G86+I86+K86+M86+O86+Q86+S86+U86+W86+Y86</f>
        <v>0</v>
      </c>
      <c r="AB86" s="6" t="s">
        <v>41</v>
      </c>
      <c r="AC86" s="28">
        <v>0</v>
      </c>
      <c r="AD86" s="6" t="s">
        <v>41</v>
      </c>
      <c r="AE86" s="13">
        <f>AA86-AC86</f>
        <v>0</v>
      </c>
    </row>
    <row r="87" spans="1:32" hidden="1">
      <c r="A87" s="10" t="s">
        <v>72</v>
      </c>
      <c r="B87" s="40" t="s">
        <v>41</v>
      </c>
      <c r="C87" s="36">
        <v>0</v>
      </c>
      <c r="D87" s="40" t="s">
        <v>41</v>
      </c>
      <c r="E87" s="36">
        <v>0</v>
      </c>
      <c r="F87" s="40" t="s">
        <v>41</v>
      </c>
      <c r="G87" s="36">
        <v>0</v>
      </c>
      <c r="H87" s="40" t="s">
        <v>41</v>
      </c>
      <c r="I87" s="36">
        <v>0</v>
      </c>
      <c r="J87" s="40" t="s">
        <v>41</v>
      </c>
      <c r="K87" s="36">
        <v>0</v>
      </c>
      <c r="L87" s="40" t="s">
        <v>41</v>
      </c>
      <c r="M87" s="36">
        <v>0</v>
      </c>
      <c r="N87" s="40" t="s">
        <v>41</v>
      </c>
      <c r="O87" s="36">
        <v>0</v>
      </c>
      <c r="P87" s="40" t="s">
        <v>41</v>
      </c>
      <c r="Q87" s="36">
        <v>0</v>
      </c>
      <c r="R87" s="40" t="s">
        <v>41</v>
      </c>
      <c r="S87" s="36">
        <v>0</v>
      </c>
      <c r="T87" s="40" t="s">
        <v>41</v>
      </c>
      <c r="U87" s="36">
        <v>0</v>
      </c>
      <c r="V87" s="40" t="s">
        <v>41</v>
      </c>
      <c r="W87" s="36">
        <v>0</v>
      </c>
      <c r="X87" s="40" t="s">
        <v>41</v>
      </c>
      <c r="Y87" s="36">
        <v>0</v>
      </c>
      <c r="Z87" s="40" t="s">
        <v>41</v>
      </c>
      <c r="AA87" s="41">
        <f>C87+E87+G87+I87+K87+M87+O87+Q87+S87+U87+W87+Y87</f>
        <v>0</v>
      </c>
      <c r="AB87" s="6" t="s">
        <v>41</v>
      </c>
      <c r="AC87" s="28">
        <v>0</v>
      </c>
      <c r="AD87" s="40" t="s">
        <v>41</v>
      </c>
      <c r="AE87" s="13">
        <f>AA87-AC87</f>
        <v>0</v>
      </c>
    </row>
    <row r="88" spans="1:32" hidden="1"/>
    <row r="89" spans="1:32" hidden="1"/>
    <row r="90" spans="1:32" hidden="1"/>
    <row r="91" spans="1:32" hidden="1"/>
    <row r="92" spans="1:32" hidden="1"/>
    <row r="93" spans="1:32" hidden="1"/>
    <row r="94" spans="1:32" s="33" customFormat="1" hidden="1">
      <c r="A94" s="29"/>
      <c r="B94" s="30"/>
      <c r="C94" s="31"/>
      <c r="D94" s="30"/>
      <c r="E94" s="31"/>
      <c r="F94" s="30"/>
      <c r="G94" s="31"/>
      <c r="H94" s="30"/>
      <c r="I94" s="31"/>
      <c r="J94" s="30"/>
      <c r="K94" s="31"/>
      <c r="L94" s="30"/>
      <c r="M94" s="31"/>
      <c r="N94" s="30"/>
      <c r="O94" s="31"/>
      <c r="P94" s="30"/>
      <c r="Q94" s="31"/>
      <c r="R94" s="30"/>
      <c r="S94" s="31"/>
      <c r="T94" s="30"/>
      <c r="U94" s="31"/>
      <c r="V94" s="30"/>
      <c r="W94" s="31"/>
      <c r="X94" s="30"/>
      <c r="Y94" s="31"/>
      <c r="Z94" s="30"/>
      <c r="AA94" s="31"/>
      <c r="AB94" s="30"/>
      <c r="AC94" s="29"/>
      <c r="AD94" s="29"/>
      <c r="AE94" s="32"/>
      <c r="AF94" s="50"/>
    </row>
    <row r="95" spans="1:32" s="33" customFormat="1" hidden="1">
      <c r="A95" s="29"/>
      <c r="B95" s="30"/>
      <c r="C95" s="31"/>
      <c r="D95" s="30"/>
      <c r="E95" s="31"/>
      <c r="F95" s="30"/>
      <c r="G95" s="31"/>
      <c r="H95" s="30"/>
      <c r="I95" s="31"/>
      <c r="J95" s="30"/>
      <c r="K95" s="31"/>
      <c r="L95" s="30"/>
      <c r="M95" s="31"/>
      <c r="N95" s="30"/>
      <c r="O95" s="31"/>
      <c r="P95" s="30"/>
      <c r="Q95" s="31"/>
      <c r="R95" s="30"/>
      <c r="S95" s="31"/>
      <c r="T95" s="30"/>
      <c r="U95" s="31"/>
      <c r="V95" s="30"/>
      <c r="W95" s="31"/>
      <c r="X95" s="30"/>
      <c r="Y95" s="31"/>
      <c r="Z95" s="30"/>
      <c r="AA95" s="31"/>
      <c r="AB95" s="30"/>
      <c r="AC95" s="29"/>
      <c r="AD95" s="29"/>
      <c r="AE95" s="32"/>
      <c r="AF95" s="50"/>
    </row>
    <row r="96" spans="1:32" hidden="1">
      <c r="C96" s="28"/>
      <c r="E96" s="28"/>
      <c r="G96" s="28"/>
      <c r="I96" s="28"/>
      <c r="K96" s="28"/>
      <c r="M96" s="28"/>
      <c r="O96" s="28"/>
      <c r="Q96" s="28"/>
      <c r="S96" s="28"/>
      <c r="U96" s="28"/>
      <c r="W96" s="28"/>
      <c r="Y96" s="28"/>
      <c r="AA96" s="28"/>
      <c r="AE96" s="13"/>
    </row>
    <row r="97" spans="1:31" ht="24.9" hidden="1" customHeight="1" thickBot="1">
      <c r="A97" s="8" t="s">
        <v>73</v>
      </c>
      <c r="C97" s="28"/>
      <c r="E97" s="28"/>
      <c r="G97" s="28"/>
      <c r="I97" s="28"/>
      <c r="K97" s="28"/>
      <c r="M97" s="28"/>
      <c r="O97" s="28"/>
      <c r="Q97" s="28"/>
      <c r="S97" s="28"/>
      <c r="U97" s="28"/>
      <c r="W97" s="28"/>
      <c r="Y97" s="28"/>
      <c r="AA97" s="28"/>
      <c r="AE97" s="13"/>
    </row>
    <row r="98" spans="1:31" hidden="1"/>
    <row r="99" spans="1:31" hidden="1"/>
    <row r="100" spans="1:31" hidden="1"/>
    <row r="101" spans="1:31" hidden="1"/>
    <row r="102" spans="1:31" hidden="1"/>
    <row r="103" spans="1:31" hidden="1"/>
    <row r="104" spans="1:31" hidden="1"/>
    <row r="105" spans="1:31" hidden="1"/>
  </sheetData>
  <mergeCells count="4">
    <mergeCell ref="I6:AA6"/>
    <mergeCell ref="C6:G6"/>
    <mergeCell ref="A4:AF4"/>
    <mergeCell ref="A1:M1"/>
  </mergeCells>
  <printOptions horizontalCentered="1" gridLines="1"/>
  <pageMargins left="0.2" right="0.2" top="0.75" bottom="0.5" header="0.3" footer="0.3"/>
  <pageSetup scale="48" orientation="landscape" r:id="rId1"/>
  <headerFooter>
    <oddHeader>&amp;CCash Flow Projection
(Charter School with Fiscal Year Ending August 31)</oddHeader>
    <oddFooter xml:space="preserve">&amp;C&amp;P&amp;R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AY47"/>
  <sheetViews>
    <sheetView zoomScale="50" zoomScaleNormal="50" workbookViewId="0">
      <pane xSplit="2" ySplit="7" topLeftCell="C8" activePane="bottomRight" state="frozen"/>
      <selection activeCell="B40" sqref="B40"/>
      <selection pane="topRight" activeCell="B40" sqref="B40"/>
      <selection pane="bottomLeft" activeCell="B40" sqref="B40"/>
      <selection pane="bottomRight" activeCell="U56" sqref="U56"/>
    </sheetView>
  </sheetViews>
  <sheetFormatPr defaultRowHeight="13.2"/>
  <cols>
    <col min="1" max="1" width="38.88671875" style="7" customWidth="1"/>
    <col min="2" max="2" width="2.6640625" style="7" customWidth="1"/>
    <col min="3" max="3" width="12.6640625" style="7" customWidth="1"/>
    <col min="4" max="4" width="2.6640625" style="7" customWidth="1"/>
    <col min="5" max="5" width="12.6640625" style="7" customWidth="1"/>
    <col min="6" max="6" width="2.6640625" style="7" customWidth="1"/>
    <col min="7" max="7" width="12.6640625" style="7" customWidth="1"/>
    <col min="8" max="8" width="2.6640625" style="7" customWidth="1"/>
    <col min="9" max="9" width="12.6640625" style="7" customWidth="1"/>
    <col min="10" max="10" width="2.6640625" style="7" customWidth="1"/>
    <col min="11" max="11" width="12.6640625" style="7" customWidth="1"/>
    <col min="12" max="12" width="2.6640625" style="7" customWidth="1"/>
    <col min="13" max="13" width="12.6640625" style="7" customWidth="1"/>
    <col min="14" max="14" width="2.6640625" style="7" customWidth="1"/>
    <col min="15" max="15" width="12.6640625" style="7" customWidth="1"/>
    <col min="16" max="16" width="2.6640625" style="7" customWidth="1"/>
    <col min="17" max="17" width="12.6640625" style="7" customWidth="1"/>
    <col min="18" max="18" width="2.6640625" style="7" customWidth="1"/>
    <col min="19" max="19" width="12.6640625" style="7" customWidth="1"/>
    <col min="20" max="20" width="2.6640625" style="7" customWidth="1"/>
    <col min="21" max="21" width="12.6640625" style="7" customWidth="1"/>
    <col min="22" max="22" width="2.6640625" style="7" customWidth="1"/>
    <col min="23" max="23" width="12.6640625" style="7" customWidth="1"/>
    <col min="24" max="24" width="2.6640625" style="7" customWidth="1"/>
    <col min="25" max="25" width="12.6640625" style="7" customWidth="1"/>
    <col min="26" max="26" width="2.88671875" style="7" customWidth="1"/>
    <col min="27" max="27" width="13.5546875" style="7" customWidth="1"/>
    <col min="28" max="28" width="2.5546875" style="6" customWidth="1"/>
    <col min="29" max="29" width="13.6640625" style="7" customWidth="1"/>
    <col min="30" max="30" width="2.5546875" style="7" customWidth="1"/>
    <col min="31" max="31" width="13.44140625" style="7" customWidth="1"/>
    <col min="32" max="32" width="33.6640625" style="50" customWidth="1"/>
    <col min="33" max="255" width="9.109375" style="7"/>
    <col min="256" max="256" width="4.33203125" style="7" customWidth="1"/>
    <col min="257" max="257" width="38.88671875" style="7" customWidth="1"/>
    <col min="258" max="258" width="2.6640625" style="7" customWidth="1"/>
    <col min="259" max="259" width="12.6640625" style="7" customWidth="1"/>
    <col min="260" max="260" width="2.6640625" style="7" customWidth="1"/>
    <col min="261" max="261" width="12.6640625" style="7" customWidth="1"/>
    <col min="262" max="262" width="2.6640625" style="7" customWidth="1"/>
    <col min="263" max="263" width="12.6640625" style="7" customWidth="1"/>
    <col min="264" max="264" width="2.6640625" style="7" customWidth="1"/>
    <col min="265" max="265" width="12.6640625" style="7" customWidth="1"/>
    <col min="266" max="266" width="2.6640625" style="7" customWidth="1"/>
    <col min="267" max="267" width="12.6640625" style="7" customWidth="1"/>
    <col min="268" max="268" width="2.6640625" style="7" customWidth="1"/>
    <col min="269" max="269" width="12.6640625" style="7" customWidth="1"/>
    <col min="270" max="270" width="2.6640625" style="7" customWidth="1"/>
    <col min="271" max="271" width="12.6640625" style="7" customWidth="1"/>
    <col min="272" max="272" width="2.6640625" style="7" customWidth="1"/>
    <col min="273" max="273" width="12.6640625" style="7" customWidth="1"/>
    <col min="274" max="274" width="2.6640625" style="7" customWidth="1"/>
    <col min="275" max="275" width="12.6640625" style="7" customWidth="1"/>
    <col min="276" max="276" width="2.6640625" style="7" customWidth="1"/>
    <col min="277" max="277" width="12.6640625" style="7" customWidth="1"/>
    <col min="278" max="278" width="2.6640625" style="7" customWidth="1"/>
    <col min="279" max="279" width="12.6640625" style="7" customWidth="1"/>
    <col min="280" max="280" width="2.6640625" style="7" customWidth="1"/>
    <col min="281" max="281" width="12.6640625" style="7" customWidth="1"/>
    <col min="282" max="282" width="2.88671875" style="7" customWidth="1"/>
    <col min="283" max="283" width="13.6640625" style="7" customWidth="1"/>
    <col min="284" max="284" width="2.6640625" style="7" customWidth="1"/>
    <col min="285" max="285" width="13.6640625" style="7" customWidth="1"/>
    <col min="286" max="286" width="2.6640625" style="7" customWidth="1"/>
    <col min="287" max="287" width="12.6640625" style="7" customWidth="1"/>
    <col min="288" max="511" width="9.109375" style="7"/>
    <col min="512" max="512" width="4.33203125" style="7" customWidth="1"/>
    <col min="513" max="513" width="38.88671875" style="7" customWidth="1"/>
    <col min="514" max="514" width="2.6640625" style="7" customWidth="1"/>
    <col min="515" max="515" width="12.6640625" style="7" customWidth="1"/>
    <col min="516" max="516" width="2.6640625" style="7" customWidth="1"/>
    <col min="517" max="517" width="12.6640625" style="7" customWidth="1"/>
    <col min="518" max="518" width="2.6640625" style="7" customWidth="1"/>
    <col min="519" max="519" width="12.6640625" style="7" customWidth="1"/>
    <col min="520" max="520" width="2.6640625" style="7" customWidth="1"/>
    <col min="521" max="521" width="12.6640625" style="7" customWidth="1"/>
    <col min="522" max="522" width="2.6640625" style="7" customWidth="1"/>
    <col min="523" max="523" width="12.6640625" style="7" customWidth="1"/>
    <col min="524" max="524" width="2.6640625" style="7" customWidth="1"/>
    <col min="525" max="525" width="12.6640625" style="7" customWidth="1"/>
    <col min="526" max="526" width="2.6640625" style="7" customWidth="1"/>
    <col min="527" max="527" width="12.6640625" style="7" customWidth="1"/>
    <col min="528" max="528" width="2.6640625" style="7" customWidth="1"/>
    <col min="529" max="529" width="12.6640625" style="7" customWidth="1"/>
    <col min="530" max="530" width="2.6640625" style="7" customWidth="1"/>
    <col min="531" max="531" width="12.6640625" style="7" customWidth="1"/>
    <col min="532" max="532" width="2.6640625" style="7" customWidth="1"/>
    <col min="533" max="533" width="12.6640625" style="7" customWidth="1"/>
    <col min="534" max="534" width="2.6640625" style="7" customWidth="1"/>
    <col min="535" max="535" width="12.6640625" style="7" customWidth="1"/>
    <col min="536" max="536" width="2.6640625" style="7" customWidth="1"/>
    <col min="537" max="537" width="12.6640625" style="7" customWidth="1"/>
    <col min="538" max="538" width="2.88671875" style="7" customWidth="1"/>
    <col min="539" max="539" width="13.6640625" style="7" customWidth="1"/>
    <col min="540" max="540" width="2.6640625" style="7" customWidth="1"/>
    <col min="541" max="541" width="13.6640625" style="7" customWidth="1"/>
    <col min="542" max="542" width="2.6640625" style="7" customWidth="1"/>
    <col min="543" max="543" width="12.6640625" style="7" customWidth="1"/>
    <col min="544" max="767" width="9.109375" style="7"/>
    <col min="768" max="768" width="4.33203125" style="7" customWidth="1"/>
    <col min="769" max="769" width="38.88671875" style="7" customWidth="1"/>
    <col min="770" max="770" width="2.6640625" style="7" customWidth="1"/>
    <col min="771" max="771" width="12.6640625" style="7" customWidth="1"/>
    <col min="772" max="772" width="2.6640625" style="7" customWidth="1"/>
    <col min="773" max="773" width="12.6640625" style="7" customWidth="1"/>
    <col min="774" max="774" width="2.6640625" style="7" customWidth="1"/>
    <col min="775" max="775" width="12.6640625" style="7" customWidth="1"/>
    <col min="776" max="776" width="2.6640625" style="7" customWidth="1"/>
    <col min="777" max="777" width="12.6640625" style="7" customWidth="1"/>
    <col min="778" max="778" width="2.6640625" style="7" customWidth="1"/>
    <col min="779" max="779" width="12.6640625" style="7" customWidth="1"/>
    <col min="780" max="780" width="2.6640625" style="7" customWidth="1"/>
    <col min="781" max="781" width="12.6640625" style="7" customWidth="1"/>
    <col min="782" max="782" width="2.6640625" style="7" customWidth="1"/>
    <col min="783" max="783" width="12.6640625" style="7" customWidth="1"/>
    <col min="784" max="784" width="2.6640625" style="7" customWidth="1"/>
    <col min="785" max="785" width="12.6640625" style="7" customWidth="1"/>
    <col min="786" max="786" width="2.6640625" style="7" customWidth="1"/>
    <col min="787" max="787" width="12.6640625" style="7" customWidth="1"/>
    <col min="788" max="788" width="2.6640625" style="7" customWidth="1"/>
    <col min="789" max="789" width="12.6640625" style="7" customWidth="1"/>
    <col min="790" max="790" width="2.6640625" style="7" customWidth="1"/>
    <col min="791" max="791" width="12.6640625" style="7" customWidth="1"/>
    <col min="792" max="792" width="2.6640625" style="7" customWidth="1"/>
    <col min="793" max="793" width="12.6640625" style="7" customWidth="1"/>
    <col min="794" max="794" width="2.88671875" style="7" customWidth="1"/>
    <col min="795" max="795" width="13.6640625" style="7" customWidth="1"/>
    <col min="796" max="796" width="2.6640625" style="7" customWidth="1"/>
    <col min="797" max="797" width="13.6640625" style="7" customWidth="1"/>
    <col min="798" max="798" width="2.6640625" style="7" customWidth="1"/>
    <col min="799" max="799" width="12.6640625" style="7" customWidth="1"/>
    <col min="800" max="1023" width="9.109375" style="7"/>
    <col min="1024" max="1024" width="4.33203125" style="7" customWidth="1"/>
    <col min="1025" max="1025" width="38.88671875" style="7" customWidth="1"/>
    <col min="1026" max="1026" width="2.6640625" style="7" customWidth="1"/>
    <col min="1027" max="1027" width="12.6640625" style="7" customWidth="1"/>
    <col min="1028" max="1028" width="2.6640625" style="7" customWidth="1"/>
    <col min="1029" max="1029" width="12.6640625" style="7" customWidth="1"/>
    <col min="1030" max="1030" width="2.6640625" style="7" customWidth="1"/>
    <col min="1031" max="1031" width="12.6640625" style="7" customWidth="1"/>
    <col min="1032" max="1032" width="2.6640625" style="7" customWidth="1"/>
    <col min="1033" max="1033" width="12.6640625" style="7" customWidth="1"/>
    <col min="1034" max="1034" width="2.6640625" style="7" customWidth="1"/>
    <col min="1035" max="1035" width="12.6640625" style="7" customWidth="1"/>
    <col min="1036" max="1036" width="2.6640625" style="7" customWidth="1"/>
    <col min="1037" max="1037" width="12.6640625" style="7" customWidth="1"/>
    <col min="1038" max="1038" width="2.6640625" style="7" customWidth="1"/>
    <col min="1039" max="1039" width="12.6640625" style="7" customWidth="1"/>
    <col min="1040" max="1040" width="2.6640625" style="7" customWidth="1"/>
    <col min="1041" max="1041" width="12.6640625" style="7" customWidth="1"/>
    <col min="1042" max="1042" width="2.6640625" style="7" customWidth="1"/>
    <col min="1043" max="1043" width="12.6640625" style="7" customWidth="1"/>
    <col min="1044" max="1044" width="2.6640625" style="7" customWidth="1"/>
    <col min="1045" max="1045" width="12.6640625" style="7" customWidth="1"/>
    <col min="1046" max="1046" width="2.6640625" style="7" customWidth="1"/>
    <col min="1047" max="1047" width="12.6640625" style="7" customWidth="1"/>
    <col min="1048" max="1048" width="2.6640625" style="7" customWidth="1"/>
    <col min="1049" max="1049" width="12.6640625" style="7" customWidth="1"/>
    <col min="1050" max="1050" width="2.88671875" style="7" customWidth="1"/>
    <col min="1051" max="1051" width="13.6640625" style="7" customWidth="1"/>
    <col min="1052" max="1052" width="2.6640625" style="7" customWidth="1"/>
    <col min="1053" max="1053" width="13.6640625" style="7" customWidth="1"/>
    <col min="1054" max="1054" width="2.6640625" style="7" customWidth="1"/>
    <col min="1055" max="1055" width="12.6640625" style="7" customWidth="1"/>
    <col min="1056" max="1279" width="9.109375" style="7"/>
    <col min="1280" max="1280" width="4.33203125" style="7" customWidth="1"/>
    <col min="1281" max="1281" width="38.88671875" style="7" customWidth="1"/>
    <col min="1282" max="1282" width="2.6640625" style="7" customWidth="1"/>
    <col min="1283" max="1283" width="12.6640625" style="7" customWidth="1"/>
    <col min="1284" max="1284" width="2.6640625" style="7" customWidth="1"/>
    <col min="1285" max="1285" width="12.6640625" style="7" customWidth="1"/>
    <col min="1286" max="1286" width="2.6640625" style="7" customWidth="1"/>
    <col min="1287" max="1287" width="12.6640625" style="7" customWidth="1"/>
    <col min="1288" max="1288" width="2.6640625" style="7" customWidth="1"/>
    <col min="1289" max="1289" width="12.6640625" style="7" customWidth="1"/>
    <col min="1290" max="1290" width="2.6640625" style="7" customWidth="1"/>
    <col min="1291" max="1291" width="12.6640625" style="7" customWidth="1"/>
    <col min="1292" max="1292" width="2.6640625" style="7" customWidth="1"/>
    <col min="1293" max="1293" width="12.6640625" style="7" customWidth="1"/>
    <col min="1294" max="1294" width="2.6640625" style="7" customWidth="1"/>
    <col min="1295" max="1295" width="12.6640625" style="7" customWidth="1"/>
    <col min="1296" max="1296" width="2.6640625" style="7" customWidth="1"/>
    <col min="1297" max="1297" width="12.6640625" style="7" customWidth="1"/>
    <col min="1298" max="1298" width="2.6640625" style="7" customWidth="1"/>
    <col min="1299" max="1299" width="12.6640625" style="7" customWidth="1"/>
    <col min="1300" max="1300" width="2.6640625" style="7" customWidth="1"/>
    <col min="1301" max="1301" width="12.6640625" style="7" customWidth="1"/>
    <col min="1302" max="1302" width="2.6640625" style="7" customWidth="1"/>
    <col min="1303" max="1303" width="12.6640625" style="7" customWidth="1"/>
    <col min="1304" max="1304" width="2.6640625" style="7" customWidth="1"/>
    <col min="1305" max="1305" width="12.6640625" style="7" customWidth="1"/>
    <col min="1306" max="1306" width="2.88671875" style="7" customWidth="1"/>
    <col min="1307" max="1307" width="13.6640625" style="7" customWidth="1"/>
    <col min="1308" max="1308" width="2.6640625" style="7" customWidth="1"/>
    <col min="1309" max="1309" width="13.6640625" style="7" customWidth="1"/>
    <col min="1310" max="1310" width="2.6640625" style="7" customWidth="1"/>
    <col min="1311" max="1311" width="12.6640625" style="7" customWidth="1"/>
    <col min="1312" max="1535" width="9.109375" style="7"/>
    <col min="1536" max="1536" width="4.33203125" style="7" customWidth="1"/>
    <col min="1537" max="1537" width="38.88671875" style="7" customWidth="1"/>
    <col min="1538" max="1538" width="2.6640625" style="7" customWidth="1"/>
    <col min="1539" max="1539" width="12.6640625" style="7" customWidth="1"/>
    <col min="1540" max="1540" width="2.6640625" style="7" customWidth="1"/>
    <col min="1541" max="1541" width="12.6640625" style="7" customWidth="1"/>
    <col min="1542" max="1542" width="2.6640625" style="7" customWidth="1"/>
    <col min="1543" max="1543" width="12.6640625" style="7" customWidth="1"/>
    <col min="1544" max="1544" width="2.6640625" style="7" customWidth="1"/>
    <col min="1545" max="1545" width="12.6640625" style="7" customWidth="1"/>
    <col min="1546" max="1546" width="2.6640625" style="7" customWidth="1"/>
    <col min="1547" max="1547" width="12.6640625" style="7" customWidth="1"/>
    <col min="1548" max="1548" width="2.6640625" style="7" customWidth="1"/>
    <col min="1549" max="1549" width="12.6640625" style="7" customWidth="1"/>
    <col min="1550" max="1550" width="2.6640625" style="7" customWidth="1"/>
    <col min="1551" max="1551" width="12.6640625" style="7" customWidth="1"/>
    <col min="1552" max="1552" width="2.6640625" style="7" customWidth="1"/>
    <col min="1553" max="1553" width="12.6640625" style="7" customWidth="1"/>
    <col min="1554" max="1554" width="2.6640625" style="7" customWidth="1"/>
    <col min="1555" max="1555" width="12.6640625" style="7" customWidth="1"/>
    <col min="1556" max="1556" width="2.6640625" style="7" customWidth="1"/>
    <col min="1557" max="1557" width="12.6640625" style="7" customWidth="1"/>
    <col min="1558" max="1558" width="2.6640625" style="7" customWidth="1"/>
    <col min="1559" max="1559" width="12.6640625" style="7" customWidth="1"/>
    <col min="1560" max="1560" width="2.6640625" style="7" customWidth="1"/>
    <col min="1561" max="1561" width="12.6640625" style="7" customWidth="1"/>
    <col min="1562" max="1562" width="2.88671875" style="7" customWidth="1"/>
    <col min="1563" max="1563" width="13.6640625" style="7" customWidth="1"/>
    <col min="1564" max="1564" width="2.6640625" style="7" customWidth="1"/>
    <col min="1565" max="1565" width="13.6640625" style="7" customWidth="1"/>
    <col min="1566" max="1566" width="2.6640625" style="7" customWidth="1"/>
    <col min="1567" max="1567" width="12.6640625" style="7" customWidth="1"/>
    <col min="1568" max="1791" width="9.109375" style="7"/>
    <col min="1792" max="1792" width="4.33203125" style="7" customWidth="1"/>
    <col min="1793" max="1793" width="38.88671875" style="7" customWidth="1"/>
    <col min="1794" max="1794" width="2.6640625" style="7" customWidth="1"/>
    <col min="1795" max="1795" width="12.6640625" style="7" customWidth="1"/>
    <col min="1796" max="1796" width="2.6640625" style="7" customWidth="1"/>
    <col min="1797" max="1797" width="12.6640625" style="7" customWidth="1"/>
    <col min="1798" max="1798" width="2.6640625" style="7" customWidth="1"/>
    <col min="1799" max="1799" width="12.6640625" style="7" customWidth="1"/>
    <col min="1800" max="1800" width="2.6640625" style="7" customWidth="1"/>
    <col min="1801" max="1801" width="12.6640625" style="7" customWidth="1"/>
    <col min="1802" max="1802" width="2.6640625" style="7" customWidth="1"/>
    <col min="1803" max="1803" width="12.6640625" style="7" customWidth="1"/>
    <col min="1804" max="1804" width="2.6640625" style="7" customWidth="1"/>
    <col min="1805" max="1805" width="12.6640625" style="7" customWidth="1"/>
    <col min="1806" max="1806" width="2.6640625" style="7" customWidth="1"/>
    <col min="1807" max="1807" width="12.6640625" style="7" customWidth="1"/>
    <col min="1808" max="1808" width="2.6640625" style="7" customWidth="1"/>
    <col min="1809" max="1809" width="12.6640625" style="7" customWidth="1"/>
    <col min="1810" max="1810" width="2.6640625" style="7" customWidth="1"/>
    <col min="1811" max="1811" width="12.6640625" style="7" customWidth="1"/>
    <col min="1812" max="1812" width="2.6640625" style="7" customWidth="1"/>
    <col min="1813" max="1813" width="12.6640625" style="7" customWidth="1"/>
    <col min="1814" max="1814" width="2.6640625" style="7" customWidth="1"/>
    <col min="1815" max="1815" width="12.6640625" style="7" customWidth="1"/>
    <col min="1816" max="1816" width="2.6640625" style="7" customWidth="1"/>
    <col min="1817" max="1817" width="12.6640625" style="7" customWidth="1"/>
    <col min="1818" max="1818" width="2.88671875" style="7" customWidth="1"/>
    <col min="1819" max="1819" width="13.6640625" style="7" customWidth="1"/>
    <col min="1820" max="1820" width="2.6640625" style="7" customWidth="1"/>
    <col min="1821" max="1821" width="13.6640625" style="7" customWidth="1"/>
    <col min="1822" max="1822" width="2.6640625" style="7" customWidth="1"/>
    <col min="1823" max="1823" width="12.6640625" style="7" customWidth="1"/>
    <col min="1824" max="2047" width="9.109375" style="7"/>
    <col min="2048" max="2048" width="4.33203125" style="7" customWidth="1"/>
    <col min="2049" max="2049" width="38.88671875" style="7" customWidth="1"/>
    <col min="2050" max="2050" width="2.6640625" style="7" customWidth="1"/>
    <col min="2051" max="2051" width="12.6640625" style="7" customWidth="1"/>
    <col min="2052" max="2052" width="2.6640625" style="7" customWidth="1"/>
    <col min="2053" max="2053" width="12.6640625" style="7" customWidth="1"/>
    <col min="2054" max="2054" width="2.6640625" style="7" customWidth="1"/>
    <col min="2055" max="2055" width="12.6640625" style="7" customWidth="1"/>
    <col min="2056" max="2056" width="2.6640625" style="7" customWidth="1"/>
    <col min="2057" max="2057" width="12.6640625" style="7" customWidth="1"/>
    <col min="2058" max="2058" width="2.6640625" style="7" customWidth="1"/>
    <col min="2059" max="2059" width="12.6640625" style="7" customWidth="1"/>
    <col min="2060" max="2060" width="2.6640625" style="7" customWidth="1"/>
    <col min="2061" max="2061" width="12.6640625" style="7" customWidth="1"/>
    <col min="2062" max="2062" width="2.6640625" style="7" customWidth="1"/>
    <col min="2063" max="2063" width="12.6640625" style="7" customWidth="1"/>
    <col min="2064" max="2064" width="2.6640625" style="7" customWidth="1"/>
    <col min="2065" max="2065" width="12.6640625" style="7" customWidth="1"/>
    <col min="2066" max="2066" width="2.6640625" style="7" customWidth="1"/>
    <col min="2067" max="2067" width="12.6640625" style="7" customWidth="1"/>
    <col min="2068" max="2068" width="2.6640625" style="7" customWidth="1"/>
    <col min="2069" max="2069" width="12.6640625" style="7" customWidth="1"/>
    <col min="2070" max="2070" width="2.6640625" style="7" customWidth="1"/>
    <col min="2071" max="2071" width="12.6640625" style="7" customWidth="1"/>
    <col min="2072" max="2072" width="2.6640625" style="7" customWidth="1"/>
    <col min="2073" max="2073" width="12.6640625" style="7" customWidth="1"/>
    <col min="2074" max="2074" width="2.88671875" style="7" customWidth="1"/>
    <col min="2075" max="2075" width="13.6640625" style="7" customWidth="1"/>
    <col min="2076" max="2076" width="2.6640625" style="7" customWidth="1"/>
    <col min="2077" max="2077" width="13.6640625" style="7" customWidth="1"/>
    <col min="2078" max="2078" width="2.6640625" style="7" customWidth="1"/>
    <col min="2079" max="2079" width="12.6640625" style="7" customWidth="1"/>
    <col min="2080" max="2303" width="9.109375" style="7"/>
    <col min="2304" max="2304" width="4.33203125" style="7" customWidth="1"/>
    <col min="2305" max="2305" width="38.88671875" style="7" customWidth="1"/>
    <col min="2306" max="2306" width="2.6640625" style="7" customWidth="1"/>
    <col min="2307" max="2307" width="12.6640625" style="7" customWidth="1"/>
    <col min="2308" max="2308" width="2.6640625" style="7" customWidth="1"/>
    <col min="2309" max="2309" width="12.6640625" style="7" customWidth="1"/>
    <col min="2310" max="2310" width="2.6640625" style="7" customWidth="1"/>
    <col min="2311" max="2311" width="12.6640625" style="7" customWidth="1"/>
    <col min="2312" max="2312" width="2.6640625" style="7" customWidth="1"/>
    <col min="2313" max="2313" width="12.6640625" style="7" customWidth="1"/>
    <col min="2314" max="2314" width="2.6640625" style="7" customWidth="1"/>
    <col min="2315" max="2315" width="12.6640625" style="7" customWidth="1"/>
    <col min="2316" max="2316" width="2.6640625" style="7" customWidth="1"/>
    <col min="2317" max="2317" width="12.6640625" style="7" customWidth="1"/>
    <col min="2318" max="2318" width="2.6640625" style="7" customWidth="1"/>
    <col min="2319" max="2319" width="12.6640625" style="7" customWidth="1"/>
    <col min="2320" max="2320" width="2.6640625" style="7" customWidth="1"/>
    <col min="2321" max="2321" width="12.6640625" style="7" customWidth="1"/>
    <col min="2322" max="2322" width="2.6640625" style="7" customWidth="1"/>
    <col min="2323" max="2323" width="12.6640625" style="7" customWidth="1"/>
    <col min="2324" max="2324" width="2.6640625" style="7" customWidth="1"/>
    <col min="2325" max="2325" width="12.6640625" style="7" customWidth="1"/>
    <col min="2326" max="2326" width="2.6640625" style="7" customWidth="1"/>
    <col min="2327" max="2327" width="12.6640625" style="7" customWidth="1"/>
    <col min="2328" max="2328" width="2.6640625" style="7" customWidth="1"/>
    <col min="2329" max="2329" width="12.6640625" style="7" customWidth="1"/>
    <col min="2330" max="2330" width="2.88671875" style="7" customWidth="1"/>
    <col min="2331" max="2331" width="13.6640625" style="7" customWidth="1"/>
    <col min="2332" max="2332" width="2.6640625" style="7" customWidth="1"/>
    <col min="2333" max="2333" width="13.6640625" style="7" customWidth="1"/>
    <col min="2334" max="2334" width="2.6640625" style="7" customWidth="1"/>
    <col min="2335" max="2335" width="12.6640625" style="7" customWidth="1"/>
    <col min="2336" max="2559" width="9.109375" style="7"/>
    <col min="2560" max="2560" width="4.33203125" style="7" customWidth="1"/>
    <col min="2561" max="2561" width="38.88671875" style="7" customWidth="1"/>
    <col min="2562" max="2562" width="2.6640625" style="7" customWidth="1"/>
    <col min="2563" max="2563" width="12.6640625" style="7" customWidth="1"/>
    <col min="2564" max="2564" width="2.6640625" style="7" customWidth="1"/>
    <col min="2565" max="2565" width="12.6640625" style="7" customWidth="1"/>
    <col min="2566" max="2566" width="2.6640625" style="7" customWidth="1"/>
    <col min="2567" max="2567" width="12.6640625" style="7" customWidth="1"/>
    <col min="2568" max="2568" width="2.6640625" style="7" customWidth="1"/>
    <col min="2569" max="2569" width="12.6640625" style="7" customWidth="1"/>
    <col min="2570" max="2570" width="2.6640625" style="7" customWidth="1"/>
    <col min="2571" max="2571" width="12.6640625" style="7" customWidth="1"/>
    <col min="2572" max="2572" width="2.6640625" style="7" customWidth="1"/>
    <col min="2573" max="2573" width="12.6640625" style="7" customWidth="1"/>
    <col min="2574" max="2574" width="2.6640625" style="7" customWidth="1"/>
    <col min="2575" max="2575" width="12.6640625" style="7" customWidth="1"/>
    <col min="2576" max="2576" width="2.6640625" style="7" customWidth="1"/>
    <col min="2577" max="2577" width="12.6640625" style="7" customWidth="1"/>
    <col min="2578" max="2578" width="2.6640625" style="7" customWidth="1"/>
    <col min="2579" max="2579" width="12.6640625" style="7" customWidth="1"/>
    <col min="2580" max="2580" width="2.6640625" style="7" customWidth="1"/>
    <col min="2581" max="2581" width="12.6640625" style="7" customWidth="1"/>
    <col min="2582" max="2582" width="2.6640625" style="7" customWidth="1"/>
    <col min="2583" max="2583" width="12.6640625" style="7" customWidth="1"/>
    <col min="2584" max="2584" width="2.6640625" style="7" customWidth="1"/>
    <col min="2585" max="2585" width="12.6640625" style="7" customWidth="1"/>
    <col min="2586" max="2586" width="2.88671875" style="7" customWidth="1"/>
    <col min="2587" max="2587" width="13.6640625" style="7" customWidth="1"/>
    <col min="2588" max="2588" width="2.6640625" style="7" customWidth="1"/>
    <col min="2589" max="2589" width="13.6640625" style="7" customWidth="1"/>
    <col min="2590" max="2590" width="2.6640625" style="7" customWidth="1"/>
    <col min="2591" max="2591" width="12.6640625" style="7" customWidth="1"/>
    <col min="2592" max="2815" width="9.109375" style="7"/>
    <col min="2816" max="2816" width="4.33203125" style="7" customWidth="1"/>
    <col min="2817" max="2817" width="38.88671875" style="7" customWidth="1"/>
    <col min="2818" max="2818" width="2.6640625" style="7" customWidth="1"/>
    <col min="2819" max="2819" width="12.6640625" style="7" customWidth="1"/>
    <col min="2820" max="2820" width="2.6640625" style="7" customWidth="1"/>
    <col min="2821" max="2821" width="12.6640625" style="7" customWidth="1"/>
    <col min="2822" max="2822" width="2.6640625" style="7" customWidth="1"/>
    <col min="2823" max="2823" width="12.6640625" style="7" customWidth="1"/>
    <col min="2824" max="2824" width="2.6640625" style="7" customWidth="1"/>
    <col min="2825" max="2825" width="12.6640625" style="7" customWidth="1"/>
    <col min="2826" max="2826" width="2.6640625" style="7" customWidth="1"/>
    <col min="2827" max="2827" width="12.6640625" style="7" customWidth="1"/>
    <col min="2828" max="2828" width="2.6640625" style="7" customWidth="1"/>
    <col min="2829" max="2829" width="12.6640625" style="7" customWidth="1"/>
    <col min="2830" max="2830" width="2.6640625" style="7" customWidth="1"/>
    <col min="2831" max="2831" width="12.6640625" style="7" customWidth="1"/>
    <col min="2832" max="2832" width="2.6640625" style="7" customWidth="1"/>
    <col min="2833" max="2833" width="12.6640625" style="7" customWidth="1"/>
    <col min="2834" max="2834" width="2.6640625" style="7" customWidth="1"/>
    <col min="2835" max="2835" width="12.6640625" style="7" customWidth="1"/>
    <col min="2836" max="2836" width="2.6640625" style="7" customWidth="1"/>
    <col min="2837" max="2837" width="12.6640625" style="7" customWidth="1"/>
    <col min="2838" max="2838" width="2.6640625" style="7" customWidth="1"/>
    <col min="2839" max="2839" width="12.6640625" style="7" customWidth="1"/>
    <col min="2840" max="2840" width="2.6640625" style="7" customWidth="1"/>
    <col min="2841" max="2841" width="12.6640625" style="7" customWidth="1"/>
    <col min="2842" max="2842" width="2.88671875" style="7" customWidth="1"/>
    <col min="2843" max="2843" width="13.6640625" style="7" customWidth="1"/>
    <col min="2844" max="2844" width="2.6640625" style="7" customWidth="1"/>
    <col min="2845" max="2845" width="13.6640625" style="7" customWidth="1"/>
    <col min="2846" max="2846" width="2.6640625" style="7" customWidth="1"/>
    <col min="2847" max="2847" width="12.6640625" style="7" customWidth="1"/>
    <col min="2848" max="3071" width="9.109375" style="7"/>
    <col min="3072" max="3072" width="4.33203125" style="7" customWidth="1"/>
    <col min="3073" max="3073" width="38.88671875" style="7" customWidth="1"/>
    <col min="3074" max="3074" width="2.6640625" style="7" customWidth="1"/>
    <col min="3075" max="3075" width="12.6640625" style="7" customWidth="1"/>
    <col min="3076" max="3076" width="2.6640625" style="7" customWidth="1"/>
    <col min="3077" max="3077" width="12.6640625" style="7" customWidth="1"/>
    <col min="3078" max="3078" width="2.6640625" style="7" customWidth="1"/>
    <col min="3079" max="3079" width="12.6640625" style="7" customWidth="1"/>
    <col min="3080" max="3080" width="2.6640625" style="7" customWidth="1"/>
    <col min="3081" max="3081" width="12.6640625" style="7" customWidth="1"/>
    <col min="3082" max="3082" width="2.6640625" style="7" customWidth="1"/>
    <col min="3083" max="3083" width="12.6640625" style="7" customWidth="1"/>
    <col min="3084" max="3084" width="2.6640625" style="7" customWidth="1"/>
    <col min="3085" max="3085" width="12.6640625" style="7" customWidth="1"/>
    <col min="3086" max="3086" width="2.6640625" style="7" customWidth="1"/>
    <col min="3087" max="3087" width="12.6640625" style="7" customWidth="1"/>
    <col min="3088" max="3088" width="2.6640625" style="7" customWidth="1"/>
    <col min="3089" max="3089" width="12.6640625" style="7" customWidth="1"/>
    <col min="3090" max="3090" width="2.6640625" style="7" customWidth="1"/>
    <col min="3091" max="3091" width="12.6640625" style="7" customWidth="1"/>
    <col min="3092" max="3092" width="2.6640625" style="7" customWidth="1"/>
    <col min="3093" max="3093" width="12.6640625" style="7" customWidth="1"/>
    <col min="3094" max="3094" width="2.6640625" style="7" customWidth="1"/>
    <col min="3095" max="3095" width="12.6640625" style="7" customWidth="1"/>
    <col min="3096" max="3096" width="2.6640625" style="7" customWidth="1"/>
    <col min="3097" max="3097" width="12.6640625" style="7" customWidth="1"/>
    <col min="3098" max="3098" width="2.88671875" style="7" customWidth="1"/>
    <col min="3099" max="3099" width="13.6640625" style="7" customWidth="1"/>
    <col min="3100" max="3100" width="2.6640625" style="7" customWidth="1"/>
    <col min="3101" max="3101" width="13.6640625" style="7" customWidth="1"/>
    <col min="3102" max="3102" width="2.6640625" style="7" customWidth="1"/>
    <col min="3103" max="3103" width="12.6640625" style="7" customWidth="1"/>
    <col min="3104" max="3327" width="9.109375" style="7"/>
    <col min="3328" max="3328" width="4.33203125" style="7" customWidth="1"/>
    <col min="3329" max="3329" width="38.88671875" style="7" customWidth="1"/>
    <col min="3330" max="3330" width="2.6640625" style="7" customWidth="1"/>
    <col min="3331" max="3331" width="12.6640625" style="7" customWidth="1"/>
    <col min="3332" max="3332" width="2.6640625" style="7" customWidth="1"/>
    <col min="3333" max="3333" width="12.6640625" style="7" customWidth="1"/>
    <col min="3334" max="3334" width="2.6640625" style="7" customWidth="1"/>
    <col min="3335" max="3335" width="12.6640625" style="7" customWidth="1"/>
    <col min="3336" max="3336" width="2.6640625" style="7" customWidth="1"/>
    <col min="3337" max="3337" width="12.6640625" style="7" customWidth="1"/>
    <col min="3338" max="3338" width="2.6640625" style="7" customWidth="1"/>
    <col min="3339" max="3339" width="12.6640625" style="7" customWidth="1"/>
    <col min="3340" max="3340" width="2.6640625" style="7" customWidth="1"/>
    <col min="3341" max="3341" width="12.6640625" style="7" customWidth="1"/>
    <col min="3342" max="3342" width="2.6640625" style="7" customWidth="1"/>
    <col min="3343" max="3343" width="12.6640625" style="7" customWidth="1"/>
    <col min="3344" max="3344" width="2.6640625" style="7" customWidth="1"/>
    <col min="3345" max="3345" width="12.6640625" style="7" customWidth="1"/>
    <col min="3346" max="3346" width="2.6640625" style="7" customWidth="1"/>
    <col min="3347" max="3347" width="12.6640625" style="7" customWidth="1"/>
    <col min="3348" max="3348" width="2.6640625" style="7" customWidth="1"/>
    <col min="3349" max="3349" width="12.6640625" style="7" customWidth="1"/>
    <col min="3350" max="3350" width="2.6640625" style="7" customWidth="1"/>
    <col min="3351" max="3351" width="12.6640625" style="7" customWidth="1"/>
    <col min="3352" max="3352" width="2.6640625" style="7" customWidth="1"/>
    <col min="3353" max="3353" width="12.6640625" style="7" customWidth="1"/>
    <col min="3354" max="3354" width="2.88671875" style="7" customWidth="1"/>
    <col min="3355" max="3355" width="13.6640625" style="7" customWidth="1"/>
    <col min="3356" max="3356" width="2.6640625" style="7" customWidth="1"/>
    <col min="3357" max="3357" width="13.6640625" style="7" customWidth="1"/>
    <col min="3358" max="3358" width="2.6640625" style="7" customWidth="1"/>
    <col min="3359" max="3359" width="12.6640625" style="7" customWidth="1"/>
    <col min="3360" max="3583" width="9.109375" style="7"/>
    <col min="3584" max="3584" width="4.33203125" style="7" customWidth="1"/>
    <col min="3585" max="3585" width="38.88671875" style="7" customWidth="1"/>
    <col min="3586" max="3586" width="2.6640625" style="7" customWidth="1"/>
    <col min="3587" max="3587" width="12.6640625" style="7" customWidth="1"/>
    <col min="3588" max="3588" width="2.6640625" style="7" customWidth="1"/>
    <col min="3589" max="3589" width="12.6640625" style="7" customWidth="1"/>
    <col min="3590" max="3590" width="2.6640625" style="7" customWidth="1"/>
    <col min="3591" max="3591" width="12.6640625" style="7" customWidth="1"/>
    <col min="3592" max="3592" width="2.6640625" style="7" customWidth="1"/>
    <col min="3593" max="3593" width="12.6640625" style="7" customWidth="1"/>
    <col min="3594" max="3594" width="2.6640625" style="7" customWidth="1"/>
    <col min="3595" max="3595" width="12.6640625" style="7" customWidth="1"/>
    <col min="3596" max="3596" width="2.6640625" style="7" customWidth="1"/>
    <col min="3597" max="3597" width="12.6640625" style="7" customWidth="1"/>
    <col min="3598" max="3598" width="2.6640625" style="7" customWidth="1"/>
    <col min="3599" max="3599" width="12.6640625" style="7" customWidth="1"/>
    <col min="3600" max="3600" width="2.6640625" style="7" customWidth="1"/>
    <col min="3601" max="3601" width="12.6640625" style="7" customWidth="1"/>
    <col min="3602" max="3602" width="2.6640625" style="7" customWidth="1"/>
    <col min="3603" max="3603" width="12.6640625" style="7" customWidth="1"/>
    <col min="3604" max="3604" width="2.6640625" style="7" customWidth="1"/>
    <col min="3605" max="3605" width="12.6640625" style="7" customWidth="1"/>
    <col min="3606" max="3606" width="2.6640625" style="7" customWidth="1"/>
    <col min="3607" max="3607" width="12.6640625" style="7" customWidth="1"/>
    <col min="3608" max="3608" width="2.6640625" style="7" customWidth="1"/>
    <col min="3609" max="3609" width="12.6640625" style="7" customWidth="1"/>
    <col min="3610" max="3610" width="2.88671875" style="7" customWidth="1"/>
    <col min="3611" max="3611" width="13.6640625" style="7" customWidth="1"/>
    <col min="3612" max="3612" width="2.6640625" style="7" customWidth="1"/>
    <col min="3613" max="3613" width="13.6640625" style="7" customWidth="1"/>
    <col min="3614" max="3614" width="2.6640625" style="7" customWidth="1"/>
    <col min="3615" max="3615" width="12.6640625" style="7" customWidth="1"/>
    <col min="3616" max="3839" width="9.109375" style="7"/>
    <col min="3840" max="3840" width="4.33203125" style="7" customWidth="1"/>
    <col min="3841" max="3841" width="38.88671875" style="7" customWidth="1"/>
    <col min="3842" max="3842" width="2.6640625" style="7" customWidth="1"/>
    <col min="3843" max="3843" width="12.6640625" style="7" customWidth="1"/>
    <col min="3844" max="3844" width="2.6640625" style="7" customWidth="1"/>
    <col min="3845" max="3845" width="12.6640625" style="7" customWidth="1"/>
    <col min="3846" max="3846" width="2.6640625" style="7" customWidth="1"/>
    <col min="3847" max="3847" width="12.6640625" style="7" customWidth="1"/>
    <col min="3848" max="3848" width="2.6640625" style="7" customWidth="1"/>
    <col min="3849" max="3849" width="12.6640625" style="7" customWidth="1"/>
    <col min="3850" max="3850" width="2.6640625" style="7" customWidth="1"/>
    <col min="3851" max="3851" width="12.6640625" style="7" customWidth="1"/>
    <col min="3852" max="3852" width="2.6640625" style="7" customWidth="1"/>
    <col min="3853" max="3853" width="12.6640625" style="7" customWidth="1"/>
    <col min="3854" max="3854" width="2.6640625" style="7" customWidth="1"/>
    <col min="3855" max="3855" width="12.6640625" style="7" customWidth="1"/>
    <col min="3856" max="3856" width="2.6640625" style="7" customWidth="1"/>
    <col min="3857" max="3857" width="12.6640625" style="7" customWidth="1"/>
    <col min="3858" max="3858" width="2.6640625" style="7" customWidth="1"/>
    <col min="3859" max="3859" width="12.6640625" style="7" customWidth="1"/>
    <col min="3860" max="3860" width="2.6640625" style="7" customWidth="1"/>
    <col min="3861" max="3861" width="12.6640625" style="7" customWidth="1"/>
    <col min="3862" max="3862" width="2.6640625" style="7" customWidth="1"/>
    <col min="3863" max="3863" width="12.6640625" style="7" customWidth="1"/>
    <col min="3864" max="3864" width="2.6640625" style="7" customWidth="1"/>
    <col min="3865" max="3865" width="12.6640625" style="7" customWidth="1"/>
    <col min="3866" max="3866" width="2.88671875" style="7" customWidth="1"/>
    <col min="3867" max="3867" width="13.6640625" style="7" customWidth="1"/>
    <col min="3868" max="3868" width="2.6640625" style="7" customWidth="1"/>
    <col min="3869" max="3869" width="13.6640625" style="7" customWidth="1"/>
    <col min="3870" max="3870" width="2.6640625" style="7" customWidth="1"/>
    <col min="3871" max="3871" width="12.6640625" style="7" customWidth="1"/>
    <col min="3872" max="4095" width="9.109375" style="7"/>
    <col min="4096" max="4096" width="4.33203125" style="7" customWidth="1"/>
    <col min="4097" max="4097" width="38.88671875" style="7" customWidth="1"/>
    <col min="4098" max="4098" width="2.6640625" style="7" customWidth="1"/>
    <col min="4099" max="4099" width="12.6640625" style="7" customWidth="1"/>
    <col min="4100" max="4100" width="2.6640625" style="7" customWidth="1"/>
    <col min="4101" max="4101" width="12.6640625" style="7" customWidth="1"/>
    <col min="4102" max="4102" width="2.6640625" style="7" customWidth="1"/>
    <col min="4103" max="4103" width="12.6640625" style="7" customWidth="1"/>
    <col min="4104" max="4104" width="2.6640625" style="7" customWidth="1"/>
    <col min="4105" max="4105" width="12.6640625" style="7" customWidth="1"/>
    <col min="4106" max="4106" width="2.6640625" style="7" customWidth="1"/>
    <col min="4107" max="4107" width="12.6640625" style="7" customWidth="1"/>
    <col min="4108" max="4108" width="2.6640625" style="7" customWidth="1"/>
    <col min="4109" max="4109" width="12.6640625" style="7" customWidth="1"/>
    <col min="4110" max="4110" width="2.6640625" style="7" customWidth="1"/>
    <col min="4111" max="4111" width="12.6640625" style="7" customWidth="1"/>
    <col min="4112" max="4112" width="2.6640625" style="7" customWidth="1"/>
    <col min="4113" max="4113" width="12.6640625" style="7" customWidth="1"/>
    <col min="4114" max="4114" width="2.6640625" style="7" customWidth="1"/>
    <col min="4115" max="4115" width="12.6640625" style="7" customWidth="1"/>
    <col min="4116" max="4116" width="2.6640625" style="7" customWidth="1"/>
    <col min="4117" max="4117" width="12.6640625" style="7" customWidth="1"/>
    <col min="4118" max="4118" width="2.6640625" style="7" customWidth="1"/>
    <col min="4119" max="4119" width="12.6640625" style="7" customWidth="1"/>
    <col min="4120" max="4120" width="2.6640625" style="7" customWidth="1"/>
    <col min="4121" max="4121" width="12.6640625" style="7" customWidth="1"/>
    <col min="4122" max="4122" width="2.88671875" style="7" customWidth="1"/>
    <col min="4123" max="4123" width="13.6640625" style="7" customWidth="1"/>
    <col min="4124" max="4124" width="2.6640625" style="7" customWidth="1"/>
    <col min="4125" max="4125" width="13.6640625" style="7" customWidth="1"/>
    <col min="4126" max="4126" width="2.6640625" style="7" customWidth="1"/>
    <col min="4127" max="4127" width="12.6640625" style="7" customWidth="1"/>
    <col min="4128" max="4351" width="9.109375" style="7"/>
    <col min="4352" max="4352" width="4.33203125" style="7" customWidth="1"/>
    <col min="4353" max="4353" width="38.88671875" style="7" customWidth="1"/>
    <col min="4354" max="4354" width="2.6640625" style="7" customWidth="1"/>
    <col min="4355" max="4355" width="12.6640625" style="7" customWidth="1"/>
    <col min="4356" max="4356" width="2.6640625" style="7" customWidth="1"/>
    <col min="4357" max="4357" width="12.6640625" style="7" customWidth="1"/>
    <col min="4358" max="4358" width="2.6640625" style="7" customWidth="1"/>
    <col min="4359" max="4359" width="12.6640625" style="7" customWidth="1"/>
    <col min="4360" max="4360" width="2.6640625" style="7" customWidth="1"/>
    <col min="4361" max="4361" width="12.6640625" style="7" customWidth="1"/>
    <col min="4362" max="4362" width="2.6640625" style="7" customWidth="1"/>
    <col min="4363" max="4363" width="12.6640625" style="7" customWidth="1"/>
    <col min="4364" max="4364" width="2.6640625" style="7" customWidth="1"/>
    <col min="4365" max="4365" width="12.6640625" style="7" customWidth="1"/>
    <col min="4366" max="4366" width="2.6640625" style="7" customWidth="1"/>
    <col min="4367" max="4367" width="12.6640625" style="7" customWidth="1"/>
    <col min="4368" max="4368" width="2.6640625" style="7" customWidth="1"/>
    <col min="4369" max="4369" width="12.6640625" style="7" customWidth="1"/>
    <col min="4370" max="4370" width="2.6640625" style="7" customWidth="1"/>
    <col min="4371" max="4371" width="12.6640625" style="7" customWidth="1"/>
    <col min="4372" max="4372" width="2.6640625" style="7" customWidth="1"/>
    <col min="4373" max="4373" width="12.6640625" style="7" customWidth="1"/>
    <col min="4374" max="4374" width="2.6640625" style="7" customWidth="1"/>
    <col min="4375" max="4375" width="12.6640625" style="7" customWidth="1"/>
    <col min="4376" max="4376" width="2.6640625" style="7" customWidth="1"/>
    <col min="4377" max="4377" width="12.6640625" style="7" customWidth="1"/>
    <col min="4378" max="4378" width="2.88671875" style="7" customWidth="1"/>
    <col min="4379" max="4379" width="13.6640625" style="7" customWidth="1"/>
    <col min="4380" max="4380" width="2.6640625" style="7" customWidth="1"/>
    <col min="4381" max="4381" width="13.6640625" style="7" customWidth="1"/>
    <col min="4382" max="4382" width="2.6640625" style="7" customWidth="1"/>
    <col min="4383" max="4383" width="12.6640625" style="7" customWidth="1"/>
    <col min="4384" max="4607" width="9.109375" style="7"/>
    <col min="4608" max="4608" width="4.33203125" style="7" customWidth="1"/>
    <col min="4609" max="4609" width="38.88671875" style="7" customWidth="1"/>
    <col min="4610" max="4610" width="2.6640625" style="7" customWidth="1"/>
    <col min="4611" max="4611" width="12.6640625" style="7" customWidth="1"/>
    <col min="4612" max="4612" width="2.6640625" style="7" customWidth="1"/>
    <col min="4613" max="4613" width="12.6640625" style="7" customWidth="1"/>
    <col min="4614" max="4614" width="2.6640625" style="7" customWidth="1"/>
    <col min="4615" max="4615" width="12.6640625" style="7" customWidth="1"/>
    <col min="4616" max="4616" width="2.6640625" style="7" customWidth="1"/>
    <col min="4617" max="4617" width="12.6640625" style="7" customWidth="1"/>
    <col min="4618" max="4618" width="2.6640625" style="7" customWidth="1"/>
    <col min="4619" max="4619" width="12.6640625" style="7" customWidth="1"/>
    <col min="4620" max="4620" width="2.6640625" style="7" customWidth="1"/>
    <col min="4621" max="4621" width="12.6640625" style="7" customWidth="1"/>
    <col min="4622" max="4622" width="2.6640625" style="7" customWidth="1"/>
    <col min="4623" max="4623" width="12.6640625" style="7" customWidth="1"/>
    <col min="4624" max="4624" width="2.6640625" style="7" customWidth="1"/>
    <col min="4625" max="4625" width="12.6640625" style="7" customWidth="1"/>
    <col min="4626" max="4626" width="2.6640625" style="7" customWidth="1"/>
    <col min="4627" max="4627" width="12.6640625" style="7" customWidth="1"/>
    <col min="4628" max="4628" width="2.6640625" style="7" customWidth="1"/>
    <col min="4629" max="4629" width="12.6640625" style="7" customWidth="1"/>
    <col min="4630" max="4630" width="2.6640625" style="7" customWidth="1"/>
    <col min="4631" max="4631" width="12.6640625" style="7" customWidth="1"/>
    <col min="4632" max="4632" width="2.6640625" style="7" customWidth="1"/>
    <col min="4633" max="4633" width="12.6640625" style="7" customWidth="1"/>
    <col min="4634" max="4634" width="2.88671875" style="7" customWidth="1"/>
    <col min="4635" max="4635" width="13.6640625" style="7" customWidth="1"/>
    <col min="4636" max="4636" width="2.6640625" style="7" customWidth="1"/>
    <col min="4637" max="4637" width="13.6640625" style="7" customWidth="1"/>
    <col min="4638" max="4638" width="2.6640625" style="7" customWidth="1"/>
    <col min="4639" max="4639" width="12.6640625" style="7" customWidth="1"/>
    <col min="4640" max="4863" width="9.109375" style="7"/>
    <col min="4864" max="4864" width="4.33203125" style="7" customWidth="1"/>
    <col min="4865" max="4865" width="38.88671875" style="7" customWidth="1"/>
    <col min="4866" max="4866" width="2.6640625" style="7" customWidth="1"/>
    <col min="4867" max="4867" width="12.6640625" style="7" customWidth="1"/>
    <col min="4868" max="4868" width="2.6640625" style="7" customWidth="1"/>
    <col min="4869" max="4869" width="12.6640625" style="7" customWidth="1"/>
    <col min="4870" max="4870" width="2.6640625" style="7" customWidth="1"/>
    <col min="4871" max="4871" width="12.6640625" style="7" customWidth="1"/>
    <col min="4872" max="4872" width="2.6640625" style="7" customWidth="1"/>
    <col min="4873" max="4873" width="12.6640625" style="7" customWidth="1"/>
    <col min="4874" max="4874" width="2.6640625" style="7" customWidth="1"/>
    <col min="4875" max="4875" width="12.6640625" style="7" customWidth="1"/>
    <col min="4876" max="4876" width="2.6640625" style="7" customWidth="1"/>
    <col min="4877" max="4877" width="12.6640625" style="7" customWidth="1"/>
    <col min="4878" max="4878" width="2.6640625" style="7" customWidth="1"/>
    <col min="4879" max="4879" width="12.6640625" style="7" customWidth="1"/>
    <col min="4880" max="4880" width="2.6640625" style="7" customWidth="1"/>
    <col min="4881" max="4881" width="12.6640625" style="7" customWidth="1"/>
    <col min="4882" max="4882" width="2.6640625" style="7" customWidth="1"/>
    <col min="4883" max="4883" width="12.6640625" style="7" customWidth="1"/>
    <col min="4884" max="4884" width="2.6640625" style="7" customWidth="1"/>
    <col min="4885" max="4885" width="12.6640625" style="7" customWidth="1"/>
    <col min="4886" max="4886" width="2.6640625" style="7" customWidth="1"/>
    <col min="4887" max="4887" width="12.6640625" style="7" customWidth="1"/>
    <col min="4888" max="4888" width="2.6640625" style="7" customWidth="1"/>
    <col min="4889" max="4889" width="12.6640625" style="7" customWidth="1"/>
    <col min="4890" max="4890" width="2.88671875" style="7" customWidth="1"/>
    <col min="4891" max="4891" width="13.6640625" style="7" customWidth="1"/>
    <col min="4892" max="4892" width="2.6640625" style="7" customWidth="1"/>
    <col min="4893" max="4893" width="13.6640625" style="7" customWidth="1"/>
    <col min="4894" max="4894" width="2.6640625" style="7" customWidth="1"/>
    <col min="4895" max="4895" width="12.6640625" style="7" customWidth="1"/>
    <col min="4896" max="5119" width="9.109375" style="7"/>
    <col min="5120" max="5120" width="4.33203125" style="7" customWidth="1"/>
    <col min="5121" max="5121" width="38.88671875" style="7" customWidth="1"/>
    <col min="5122" max="5122" width="2.6640625" style="7" customWidth="1"/>
    <col min="5123" max="5123" width="12.6640625" style="7" customWidth="1"/>
    <col min="5124" max="5124" width="2.6640625" style="7" customWidth="1"/>
    <col min="5125" max="5125" width="12.6640625" style="7" customWidth="1"/>
    <col min="5126" max="5126" width="2.6640625" style="7" customWidth="1"/>
    <col min="5127" max="5127" width="12.6640625" style="7" customWidth="1"/>
    <col min="5128" max="5128" width="2.6640625" style="7" customWidth="1"/>
    <col min="5129" max="5129" width="12.6640625" style="7" customWidth="1"/>
    <col min="5130" max="5130" width="2.6640625" style="7" customWidth="1"/>
    <col min="5131" max="5131" width="12.6640625" style="7" customWidth="1"/>
    <col min="5132" max="5132" width="2.6640625" style="7" customWidth="1"/>
    <col min="5133" max="5133" width="12.6640625" style="7" customWidth="1"/>
    <col min="5134" max="5134" width="2.6640625" style="7" customWidth="1"/>
    <col min="5135" max="5135" width="12.6640625" style="7" customWidth="1"/>
    <col min="5136" max="5136" width="2.6640625" style="7" customWidth="1"/>
    <col min="5137" max="5137" width="12.6640625" style="7" customWidth="1"/>
    <col min="5138" max="5138" width="2.6640625" style="7" customWidth="1"/>
    <col min="5139" max="5139" width="12.6640625" style="7" customWidth="1"/>
    <col min="5140" max="5140" width="2.6640625" style="7" customWidth="1"/>
    <col min="5141" max="5141" width="12.6640625" style="7" customWidth="1"/>
    <col min="5142" max="5142" width="2.6640625" style="7" customWidth="1"/>
    <col min="5143" max="5143" width="12.6640625" style="7" customWidth="1"/>
    <col min="5144" max="5144" width="2.6640625" style="7" customWidth="1"/>
    <col min="5145" max="5145" width="12.6640625" style="7" customWidth="1"/>
    <col min="5146" max="5146" width="2.88671875" style="7" customWidth="1"/>
    <col min="5147" max="5147" width="13.6640625" style="7" customWidth="1"/>
    <col min="5148" max="5148" width="2.6640625" style="7" customWidth="1"/>
    <col min="5149" max="5149" width="13.6640625" style="7" customWidth="1"/>
    <col min="5150" max="5150" width="2.6640625" style="7" customWidth="1"/>
    <col min="5151" max="5151" width="12.6640625" style="7" customWidth="1"/>
    <col min="5152" max="5375" width="9.109375" style="7"/>
    <col min="5376" max="5376" width="4.33203125" style="7" customWidth="1"/>
    <col min="5377" max="5377" width="38.88671875" style="7" customWidth="1"/>
    <col min="5378" max="5378" width="2.6640625" style="7" customWidth="1"/>
    <col min="5379" max="5379" width="12.6640625" style="7" customWidth="1"/>
    <col min="5380" max="5380" width="2.6640625" style="7" customWidth="1"/>
    <col min="5381" max="5381" width="12.6640625" style="7" customWidth="1"/>
    <col min="5382" max="5382" width="2.6640625" style="7" customWidth="1"/>
    <col min="5383" max="5383" width="12.6640625" style="7" customWidth="1"/>
    <col min="5384" max="5384" width="2.6640625" style="7" customWidth="1"/>
    <col min="5385" max="5385" width="12.6640625" style="7" customWidth="1"/>
    <col min="5386" max="5386" width="2.6640625" style="7" customWidth="1"/>
    <col min="5387" max="5387" width="12.6640625" style="7" customWidth="1"/>
    <col min="5388" max="5388" width="2.6640625" style="7" customWidth="1"/>
    <col min="5389" max="5389" width="12.6640625" style="7" customWidth="1"/>
    <col min="5390" max="5390" width="2.6640625" style="7" customWidth="1"/>
    <col min="5391" max="5391" width="12.6640625" style="7" customWidth="1"/>
    <col min="5392" max="5392" width="2.6640625" style="7" customWidth="1"/>
    <col min="5393" max="5393" width="12.6640625" style="7" customWidth="1"/>
    <col min="5394" max="5394" width="2.6640625" style="7" customWidth="1"/>
    <col min="5395" max="5395" width="12.6640625" style="7" customWidth="1"/>
    <col min="5396" max="5396" width="2.6640625" style="7" customWidth="1"/>
    <col min="5397" max="5397" width="12.6640625" style="7" customWidth="1"/>
    <col min="5398" max="5398" width="2.6640625" style="7" customWidth="1"/>
    <col min="5399" max="5399" width="12.6640625" style="7" customWidth="1"/>
    <col min="5400" max="5400" width="2.6640625" style="7" customWidth="1"/>
    <col min="5401" max="5401" width="12.6640625" style="7" customWidth="1"/>
    <col min="5402" max="5402" width="2.88671875" style="7" customWidth="1"/>
    <col min="5403" max="5403" width="13.6640625" style="7" customWidth="1"/>
    <col min="5404" max="5404" width="2.6640625" style="7" customWidth="1"/>
    <col min="5405" max="5405" width="13.6640625" style="7" customWidth="1"/>
    <col min="5406" max="5406" width="2.6640625" style="7" customWidth="1"/>
    <col min="5407" max="5407" width="12.6640625" style="7" customWidth="1"/>
    <col min="5408" max="5631" width="9.109375" style="7"/>
    <col min="5632" max="5632" width="4.33203125" style="7" customWidth="1"/>
    <col min="5633" max="5633" width="38.88671875" style="7" customWidth="1"/>
    <col min="5634" max="5634" width="2.6640625" style="7" customWidth="1"/>
    <col min="5635" max="5635" width="12.6640625" style="7" customWidth="1"/>
    <col min="5636" max="5636" width="2.6640625" style="7" customWidth="1"/>
    <col min="5637" max="5637" width="12.6640625" style="7" customWidth="1"/>
    <col min="5638" max="5638" width="2.6640625" style="7" customWidth="1"/>
    <col min="5639" max="5639" width="12.6640625" style="7" customWidth="1"/>
    <col min="5640" max="5640" width="2.6640625" style="7" customWidth="1"/>
    <col min="5641" max="5641" width="12.6640625" style="7" customWidth="1"/>
    <col min="5642" max="5642" width="2.6640625" style="7" customWidth="1"/>
    <col min="5643" max="5643" width="12.6640625" style="7" customWidth="1"/>
    <col min="5644" max="5644" width="2.6640625" style="7" customWidth="1"/>
    <col min="5645" max="5645" width="12.6640625" style="7" customWidth="1"/>
    <col min="5646" max="5646" width="2.6640625" style="7" customWidth="1"/>
    <col min="5647" max="5647" width="12.6640625" style="7" customWidth="1"/>
    <col min="5648" max="5648" width="2.6640625" style="7" customWidth="1"/>
    <col min="5649" max="5649" width="12.6640625" style="7" customWidth="1"/>
    <col min="5650" max="5650" width="2.6640625" style="7" customWidth="1"/>
    <col min="5651" max="5651" width="12.6640625" style="7" customWidth="1"/>
    <col min="5652" max="5652" width="2.6640625" style="7" customWidth="1"/>
    <col min="5653" max="5653" width="12.6640625" style="7" customWidth="1"/>
    <col min="5654" max="5654" width="2.6640625" style="7" customWidth="1"/>
    <col min="5655" max="5655" width="12.6640625" style="7" customWidth="1"/>
    <col min="5656" max="5656" width="2.6640625" style="7" customWidth="1"/>
    <col min="5657" max="5657" width="12.6640625" style="7" customWidth="1"/>
    <col min="5658" max="5658" width="2.88671875" style="7" customWidth="1"/>
    <col min="5659" max="5659" width="13.6640625" style="7" customWidth="1"/>
    <col min="5660" max="5660" width="2.6640625" style="7" customWidth="1"/>
    <col min="5661" max="5661" width="13.6640625" style="7" customWidth="1"/>
    <col min="5662" max="5662" width="2.6640625" style="7" customWidth="1"/>
    <col min="5663" max="5663" width="12.6640625" style="7" customWidth="1"/>
    <col min="5664" max="5887" width="9.109375" style="7"/>
    <col min="5888" max="5888" width="4.33203125" style="7" customWidth="1"/>
    <col min="5889" max="5889" width="38.88671875" style="7" customWidth="1"/>
    <col min="5890" max="5890" width="2.6640625" style="7" customWidth="1"/>
    <col min="5891" max="5891" width="12.6640625" style="7" customWidth="1"/>
    <col min="5892" max="5892" width="2.6640625" style="7" customWidth="1"/>
    <col min="5893" max="5893" width="12.6640625" style="7" customWidth="1"/>
    <col min="5894" max="5894" width="2.6640625" style="7" customWidth="1"/>
    <col min="5895" max="5895" width="12.6640625" style="7" customWidth="1"/>
    <col min="5896" max="5896" width="2.6640625" style="7" customWidth="1"/>
    <col min="5897" max="5897" width="12.6640625" style="7" customWidth="1"/>
    <col min="5898" max="5898" width="2.6640625" style="7" customWidth="1"/>
    <col min="5899" max="5899" width="12.6640625" style="7" customWidth="1"/>
    <col min="5900" max="5900" width="2.6640625" style="7" customWidth="1"/>
    <col min="5901" max="5901" width="12.6640625" style="7" customWidth="1"/>
    <col min="5902" max="5902" width="2.6640625" style="7" customWidth="1"/>
    <col min="5903" max="5903" width="12.6640625" style="7" customWidth="1"/>
    <col min="5904" max="5904" width="2.6640625" style="7" customWidth="1"/>
    <col min="5905" max="5905" width="12.6640625" style="7" customWidth="1"/>
    <col min="5906" max="5906" width="2.6640625" style="7" customWidth="1"/>
    <col min="5907" max="5907" width="12.6640625" style="7" customWidth="1"/>
    <col min="5908" max="5908" width="2.6640625" style="7" customWidth="1"/>
    <col min="5909" max="5909" width="12.6640625" style="7" customWidth="1"/>
    <col min="5910" max="5910" width="2.6640625" style="7" customWidth="1"/>
    <col min="5911" max="5911" width="12.6640625" style="7" customWidth="1"/>
    <col min="5912" max="5912" width="2.6640625" style="7" customWidth="1"/>
    <col min="5913" max="5913" width="12.6640625" style="7" customWidth="1"/>
    <col min="5914" max="5914" width="2.88671875" style="7" customWidth="1"/>
    <col min="5915" max="5915" width="13.6640625" style="7" customWidth="1"/>
    <col min="5916" max="5916" width="2.6640625" style="7" customWidth="1"/>
    <col min="5917" max="5917" width="13.6640625" style="7" customWidth="1"/>
    <col min="5918" max="5918" width="2.6640625" style="7" customWidth="1"/>
    <col min="5919" max="5919" width="12.6640625" style="7" customWidth="1"/>
    <col min="5920" max="6143" width="9.109375" style="7"/>
    <col min="6144" max="6144" width="4.33203125" style="7" customWidth="1"/>
    <col min="6145" max="6145" width="38.88671875" style="7" customWidth="1"/>
    <col min="6146" max="6146" width="2.6640625" style="7" customWidth="1"/>
    <col min="6147" max="6147" width="12.6640625" style="7" customWidth="1"/>
    <col min="6148" max="6148" width="2.6640625" style="7" customWidth="1"/>
    <col min="6149" max="6149" width="12.6640625" style="7" customWidth="1"/>
    <col min="6150" max="6150" width="2.6640625" style="7" customWidth="1"/>
    <col min="6151" max="6151" width="12.6640625" style="7" customWidth="1"/>
    <col min="6152" max="6152" width="2.6640625" style="7" customWidth="1"/>
    <col min="6153" max="6153" width="12.6640625" style="7" customWidth="1"/>
    <col min="6154" max="6154" width="2.6640625" style="7" customWidth="1"/>
    <col min="6155" max="6155" width="12.6640625" style="7" customWidth="1"/>
    <col min="6156" max="6156" width="2.6640625" style="7" customWidth="1"/>
    <col min="6157" max="6157" width="12.6640625" style="7" customWidth="1"/>
    <col min="6158" max="6158" width="2.6640625" style="7" customWidth="1"/>
    <col min="6159" max="6159" width="12.6640625" style="7" customWidth="1"/>
    <col min="6160" max="6160" width="2.6640625" style="7" customWidth="1"/>
    <col min="6161" max="6161" width="12.6640625" style="7" customWidth="1"/>
    <col min="6162" max="6162" width="2.6640625" style="7" customWidth="1"/>
    <col min="6163" max="6163" width="12.6640625" style="7" customWidth="1"/>
    <col min="6164" max="6164" width="2.6640625" style="7" customWidth="1"/>
    <col min="6165" max="6165" width="12.6640625" style="7" customWidth="1"/>
    <col min="6166" max="6166" width="2.6640625" style="7" customWidth="1"/>
    <col min="6167" max="6167" width="12.6640625" style="7" customWidth="1"/>
    <col min="6168" max="6168" width="2.6640625" style="7" customWidth="1"/>
    <col min="6169" max="6169" width="12.6640625" style="7" customWidth="1"/>
    <col min="6170" max="6170" width="2.88671875" style="7" customWidth="1"/>
    <col min="6171" max="6171" width="13.6640625" style="7" customWidth="1"/>
    <col min="6172" max="6172" width="2.6640625" style="7" customWidth="1"/>
    <col min="6173" max="6173" width="13.6640625" style="7" customWidth="1"/>
    <col min="6174" max="6174" width="2.6640625" style="7" customWidth="1"/>
    <col min="6175" max="6175" width="12.6640625" style="7" customWidth="1"/>
    <col min="6176" max="6399" width="9.109375" style="7"/>
    <col min="6400" max="6400" width="4.33203125" style="7" customWidth="1"/>
    <col min="6401" max="6401" width="38.88671875" style="7" customWidth="1"/>
    <col min="6402" max="6402" width="2.6640625" style="7" customWidth="1"/>
    <col min="6403" max="6403" width="12.6640625" style="7" customWidth="1"/>
    <col min="6404" max="6404" width="2.6640625" style="7" customWidth="1"/>
    <col min="6405" max="6405" width="12.6640625" style="7" customWidth="1"/>
    <col min="6406" max="6406" width="2.6640625" style="7" customWidth="1"/>
    <col min="6407" max="6407" width="12.6640625" style="7" customWidth="1"/>
    <col min="6408" max="6408" width="2.6640625" style="7" customWidth="1"/>
    <col min="6409" max="6409" width="12.6640625" style="7" customWidth="1"/>
    <col min="6410" max="6410" width="2.6640625" style="7" customWidth="1"/>
    <col min="6411" max="6411" width="12.6640625" style="7" customWidth="1"/>
    <col min="6412" max="6412" width="2.6640625" style="7" customWidth="1"/>
    <col min="6413" max="6413" width="12.6640625" style="7" customWidth="1"/>
    <col min="6414" max="6414" width="2.6640625" style="7" customWidth="1"/>
    <col min="6415" max="6415" width="12.6640625" style="7" customWidth="1"/>
    <col min="6416" max="6416" width="2.6640625" style="7" customWidth="1"/>
    <col min="6417" max="6417" width="12.6640625" style="7" customWidth="1"/>
    <col min="6418" max="6418" width="2.6640625" style="7" customWidth="1"/>
    <col min="6419" max="6419" width="12.6640625" style="7" customWidth="1"/>
    <col min="6420" max="6420" width="2.6640625" style="7" customWidth="1"/>
    <col min="6421" max="6421" width="12.6640625" style="7" customWidth="1"/>
    <col min="6422" max="6422" width="2.6640625" style="7" customWidth="1"/>
    <col min="6423" max="6423" width="12.6640625" style="7" customWidth="1"/>
    <col min="6424" max="6424" width="2.6640625" style="7" customWidth="1"/>
    <col min="6425" max="6425" width="12.6640625" style="7" customWidth="1"/>
    <col min="6426" max="6426" width="2.88671875" style="7" customWidth="1"/>
    <col min="6427" max="6427" width="13.6640625" style="7" customWidth="1"/>
    <col min="6428" max="6428" width="2.6640625" style="7" customWidth="1"/>
    <col min="6429" max="6429" width="13.6640625" style="7" customWidth="1"/>
    <col min="6430" max="6430" width="2.6640625" style="7" customWidth="1"/>
    <col min="6431" max="6431" width="12.6640625" style="7" customWidth="1"/>
    <col min="6432" max="6655" width="9.109375" style="7"/>
    <col min="6656" max="6656" width="4.33203125" style="7" customWidth="1"/>
    <col min="6657" max="6657" width="38.88671875" style="7" customWidth="1"/>
    <col min="6658" max="6658" width="2.6640625" style="7" customWidth="1"/>
    <col min="6659" max="6659" width="12.6640625" style="7" customWidth="1"/>
    <col min="6660" max="6660" width="2.6640625" style="7" customWidth="1"/>
    <col min="6661" max="6661" width="12.6640625" style="7" customWidth="1"/>
    <col min="6662" max="6662" width="2.6640625" style="7" customWidth="1"/>
    <col min="6663" max="6663" width="12.6640625" style="7" customWidth="1"/>
    <col min="6664" max="6664" width="2.6640625" style="7" customWidth="1"/>
    <col min="6665" max="6665" width="12.6640625" style="7" customWidth="1"/>
    <col min="6666" max="6666" width="2.6640625" style="7" customWidth="1"/>
    <col min="6667" max="6667" width="12.6640625" style="7" customWidth="1"/>
    <col min="6668" max="6668" width="2.6640625" style="7" customWidth="1"/>
    <col min="6669" max="6669" width="12.6640625" style="7" customWidth="1"/>
    <col min="6670" max="6670" width="2.6640625" style="7" customWidth="1"/>
    <col min="6671" max="6671" width="12.6640625" style="7" customWidth="1"/>
    <col min="6672" max="6672" width="2.6640625" style="7" customWidth="1"/>
    <col min="6673" max="6673" width="12.6640625" style="7" customWidth="1"/>
    <col min="6674" max="6674" width="2.6640625" style="7" customWidth="1"/>
    <col min="6675" max="6675" width="12.6640625" style="7" customWidth="1"/>
    <col min="6676" max="6676" width="2.6640625" style="7" customWidth="1"/>
    <col min="6677" max="6677" width="12.6640625" style="7" customWidth="1"/>
    <col min="6678" max="6678" width="2.6640625" style="7" customWidth="1"/>
    <col min="6679" max="6679" width="12.6640625" style="7" customWidth="1"/>
    <col min="6680" max="6680" width="2.6640625" style="7" customWidth="1"/>
    <col min="6681" max="6681" width="12.6640625" style="7" customWidth="1"/>
    <col min="6682" max="6682" width="2.88671875" style="7" customWidth="1"/>
    <col min="6683" max="6683" width="13.6640625" style="7" customWidth="1"/>
    <col min="6684" max="6684" width="2.6640625" style="7" customWidth="1"/>
    <col min="6685" max="6685" width="13.6640625" style="7" customWidth="1"/>
    <col min="6686" max="6686" width="2.6640625" style="7" customWidth="1"/>
    <col min="6687" max="6687" width="12.6640625" style="7" customWidth="1"/>
    <col min="6688" max="6911" width="9.109375" style="7"/>
    <col min="6912" max="6912" width="4.33203125" style="7" customWidth="1"/>
    <col min="6913" max="6913" width="38.88671875" style="7" customWidth="1"/>
    <col min="6914" max="6914" width="2.6640625" style="7" customWidth="1"/>
    <col min="6915" max="6915" width="12.6640625" style="7" customWidth="1"/>
    <col min="6916" max="6916" width="2.6640625" style="7" customWidth="1"/>
    <col min="6917" max="6917" width="12.6640625" style="7" customWidth="1"/>
    <col min="6918" max="6918" width="2.6640625" style="7" customWidth="1"/>
    <col min="6919" max="6919" width="12.6640625" style="7" customWidth="1"/>
    <col min="6920" max="6920" width="2.6640625" style="7" customWidth="1"/>
    <col min="6921" max="6921" width="12.6640625" style="7" customWidth="1"/>
    <col min="6922" max="6922" width="2.6640625" style="7" customWidth="1"/>
    <col min="6923" max="6923" width="12.6640625" style="7" customWidth="1"/>
    <col min="6924" max="6924" width="2.6640625" style="7" customWidth="1"/>
    <col min="6925" max="6925" width="12.6640625" style="7" customWidth="1"/>
    <col min="6926" max="6926" width="2.6640625" style="7" customWidth="1"/>
    <col min="6927" max="6927" width="12.6640625" style="7" customWidth="1"/>
    <col min="6928" max="6928" width="2.6640625" style="7" customWidth="1"/>
    <col min="6929" max="6929" width="12.6640625" style="7" customWidth="1"/>
    <col min="6930" max="6930" width="2.6640625" style="7" customWidth="1"/>
    <col min="6931" max="6931" width="12.6640625" style="7" customWidth="1"/>
    <col min="6932" max="6932" width="2.6640625" style="7" customWidth="1"/>
    <col min="6933" max="6933" width="12.6640625" style="7" customWidth="1"/>
    <col min="6934" max="6934" width="2.6640625" style="7" customWidth="1"/>
    <col min="6935" max="6935" width="12.6640625" style="7" customWidth="1"/>
    <col min="6936" max="6936" width="2.6640625" style="7" customWidth="1"/>
    <col min="6937" max="6937" width="12.6640625" style="7" customWidth="1"/>
    <col min="6938" max="6938" width="2.88671875" style="7" customWidth="1"/>
    <col min="6939" max="6939" width="13.6640625" style="7" customWidth="1"/>
    <col min="6940" max="6940" width="2.6640625" style="7" customWidth="1"/>
    <col min="6941" max="6941" width="13.6640625" style="7" customWidth="1"/>
    <col min="6942" max="6942" width="2.6640625" style="7" customWidth="1"/>
    <col min="6943" max="6943" width="12.6640625" style="7" customWidth="1"/>
    <col min="6944" max="7167" width="9.109375" style="7"/>
    <col min="7168" max="7168" width="4.33203125" style="7" customWidth="1"/>
    <col min="7169" max="7169" width="38.88671875" style="7" customWidth="1"/>
    <col min="7170" max="7170" width="2.6640625" style="7" customWidth="1"/>
    <col min="7171" max="7171" width="12.6640625" style="7" customWidth="1"/>
    <col min="7172" max="7172" width="2.6640625" style="7" customWidth="1"/>
    <col min="7173" max="7173" width="12.6640625" style="7" customWidth="1"/>
    <col min="7174" max="7174" width="2.6640625" style="7" customWidth="1"/>
    <col min="7175" max="7175" width="12.6640625" style="7" customWidth="1"/>
    <col min="7176" max="7176" width="2.6640625" style="7" customWidth="1"/>
    <col min="7177" max="7177" width="12.6640625" style="7" customWidth="1"/>
    <col min="7178" max="7178" width="2.6640625" style="7" customWidth="1"/>
    <col min="7179" max="7179" width="12.6640625" style="7" customWidth="1"/>
    <col min="7180" max="7180" width="2.6640625" style="7" customWidth="1"/>
    <col min="7181" max="7181" width="12.6640625" style="7" customWidth="1"/>
    <col min="7182" max="7182" width="2.6640625" style="7" customWidth="1"/>
    <col min="7183" max="7183" width="12.6640625" style="7" customWidth="1"/>
    <col min="7184" max="7184" width="2.6640625" style="7" customWidth="1"/>
    <col min="7185" max="7185" width="12.6640625" style="7" customWidth="1"/>
    <col min="7186" max="7186" width="2.6640625" style="7" customWidth="1"/>
    <col min="7187" max="7187" width="12.6640625" style="7" customWidth="1"/>
    <col min="7188" max="7188" width="2.6640625" style="7" customWidth="1"/>
    <col min="7189" max="7189" width="12.6640625" style="7" customWidth="1"/>
    <col min="7190" max="7190" width="2.6640625" style="7" customWidth="1"/>
    <col min="7191" max="7191" width="12.6640625" style="7" customWidth="1"/>
    <col min="7192" max="7192" width="2.6640625" style="7" customWidth="1"/>
    <col min="7193" max="7193" width="12.6640625" style="7" customWidth="1"/>
    <col min="7194" max="7194" width="2.88671875" style="7" customWidth="1"/>
    <col min="7195" max="7195" width="13.6640625" style="7" customWidth="1"/>
    <col min="7196" max="7196" width="2.6640625" style="7" customWidth="1"/>
    <col min="7197" max="7197" width="13.6640625" style="7" customWidth="1"/>
    <col min="7198" max="7198" width="2.6640625" style="7" customWidth="1"/>
    <col min="7199" max="7199" width="12.6640625" style="7" customWidth="1"/>
    <col min="7200" max="7423" width="9.109375" style="7"/>
    <col min="7424" max="7424" width="4.33203125" style="7" customWidth="1"/>
    <col min="7425" max="7425" width="38.88671875" style="7" customWidth="1"/>
    <col min="7426" max="7426" width="2.6640625" style="7" customWidth="1"/>
    <col min="7427" max="7427" width="12.6640625" style="7" customWidth="1"/>
    <col min="7428" max="7428" width="2.6640625" style="7" customWidth="1"/>
    <col min="7429" max="7429" width="12.6640625" style="7" customWidth="1"/>
    <col min="7430" max="7430" width="2.6640625" style="7" customWidth="1"/>
    <col min="7431" max="7431" width="12.6640625" style="7" customWidth="1"/>
    <col min="7432" max="7432" width="2.6640625" style="7" customWidth="1"/>
    <col min="7433" max="7433" width="12.6640625" style="7" customWidth="1"/>
    <col min="7434" max="7434" width="2.6640625" style="7" customWidth="1"/>
    <col min="7435" max="7435" width="12.6640625" style="7" customWidth="1"/>
    <col min="7436" max="7436" width="2.6640625" style="7" customWidth="1"/>
    <col min="7437" max="7437" width="12.6640625" style="7" customWidth="1"/>
    <col min="7438" max="7438" width="2.6640625" style="7" customWidth="1"/>
    <col min="7439" max="7439" width="12.6640625" style="7" customWidth="1"/>
    <col min="7440" max="7440" width="2.6640625" style="7" customWidth="1"/>
    <col min="7441" max="7441" width="12.6640625" style="7" customWidth="1"/>
    <col min="7442" max="7442" width="2.6640625" style="7" customWidth="1"/>
    <col min="7443" max="7443" width="12.6640625" style="7" customWidth="1"/>
    <col min="7444" max="7444" width="2.6640625" style="7" customWidth="1"/>
    <col min="7445" max="7445" width="12.6640625" style="7" customWidth="1"/>
    <col min="7446" max="7446" width="2.6640625" style="7" customWidth="1"/>
    <col min="7447" max="7447" width="12.6640625" style="7" customWidth="1"/>
    <col min="7448" max="7448" width="2.6640625" style="7" customWidth="1"/>
    <col min="7449" max="7449" width="12.6640625" style="7" customWidth="1"/>
    <col min="7450" max="7450" width="2.88671875" style="7" customWidth="1"/>
    <col min="7451" max="7451" width="13.6640625" style="7" customWidth="1"/>
    <col min="7452" max="7452" width="2.6640625" style="7" customWidth="1"/>
    <col min="7453" max="7453" width="13.6640625" style="7" customWidth="1"/>
    <col min="7454" max="7454" width="2.6640625" style="7" customWidth="1"/>
    <col min="7455" max="7455" width="12.6640625" style="7" customWidth="1"/>
    <col min="7456" max="7679" width="9.109375" style="7"/>
    <col min="7680" max="7680" width="4.33203125" style="7" customWidth="1"/>
    <col min="7681" max="7681" width="38.88671875" style="7" customWidth="1"/>
    <col min="7682" max="7682" width="2.6640625" style="7" customWidth="1"/>
    <col min="7683" max="7683" width="12.6640625" style="7" customWidth="1"/>
    <col min="7684" max="7684" width="2.6640625" style="7" customWidth="1"/>
    <col min="7685" max="7685" width="12.6640625" style="7" customWidth="1"/>
    <col min="7686" max="7686" width="2.6640625" style="7" customWidth="1"/>
    <col min="7687" max="7687" width="12.6640625" style="7" customWidth="1"/>
    <col min="7688" max="7688" width="2.6640625" style="7" customWidth="1"/>
    <col min="7689" max="7689" width="12.6640625" style="7" customWidth="1"/>
    <col min="7690" max="7690" width="2.6640625" style="7" customWidth="1"/>
    <col min="7691" max="7691" width="12.6640625" style="7" customWidth="1"/>
    <col min="7692" max="7692" width="2.6640625" style="7" customWidth="1"/>
    <col min="7693" max="7693" width="12.6640625" style="7" customWidth="1"/>
    <col min="7694" max="7694" width="2.6640625" style="7" customWidth="1"/>
    <col min="7695" max="7695" width="12.6640625" style="7" customWidth="1"/>
    <col min="7696" max="7696" width="2.6640625" style="7" customWidth="1"/>
    <col min="7697" max="7697" width="12.6640625" style="7" customWidth="1"/>
    <col min="7698" max="7698" width="2.6640625" style="7" customWidth="1"/>
    <col min="7699" max="7699" width="12.6640625" style="7" customWidth="1"/>
    <col min="7700" max="7700" width="2.6640625" style="7" customWidth="1"/>
    <col min="7701" max="7701" width="12.6640625" style="7" customWidth="1"/>
    <col min="7702" max="7702" width="2.6640625" style="7" customWidth="1"/>
    <col min="7703" max="7703" width="12.6640625" style="7" customWidth="1"/>
    <col min="7704" max="7704" width="2.6640625" style="7" customWidth="1"/>
    <col min="7705" max="7705" width="12.6640625" style="7" customWidth="1"/>
    <col min="7706" max="7706" width="2.88671875" style="7" customWidth="1"/>
    <col min="7707" max="7707" width="13.6640625" style="7" customWidth="1"/>
    <col min="7708" max="7708" width="2.6640625" style="7" customWidth="1"/>
    <col min="7709" max="7709" width="13.6640625" style="7" customWidth="1"/>
    <col min="7710" max="7710" width="2.6640625" style="7" customWidth="1"/>
    <col min="7711" max="7711" width="12.6640625" style="7" customWidth="1"/>
    <col min="7712" max="7935" width="9.109375" style="7"/>
    <col min="7936" max="7936" width="4.33203125" style="7" customWidth="1"/>
    <col min="7937" max="7937" width="38.88671875" style="7" customWidth="1"/>
    <col min="7938" max="7938" width="2.6640625" style="7" customWidth="1"/>
    <col min="7939" max="7939" width="12.6640625" style="7" customWidth="1"/>
    <col min="7940" max="7940" width="2.6640625" style="7" customWidth="1"/>
    <col min="7941" max="7941" width="12.6640625" style="7" customWidth="1"/>
    <col min="7942" max="7942" width="2.6640625" style="7" customWidth="1"/>
    <col min="7943" max="7943" width="12.6640625" style="7" customWidth="1"/>
    <col min="7944" max="7944" width="2.6640625" style="7" customWidth="1"/>
    <col min="7945" max="7945" width="12.6640625" style="7" customWidth="1"/>
    <col min="7946" max="7946" width="2.6640625" style="7" customWidth="1"/>
    <col min="7947" max="7947" width="12.6640625" style="7" customWidth="1"/>
    <col min="7948" max="7948" width="2.6640625" style="7" customWidth="1"/>
    <col min="7949" max="7949" width="12.6640625" style="7" customWidth="1"/>
    <col min="7950" max="7950" width="2.6640625" style="7" customWidth="1"/>
    <col min="7951" max="7951" width="12.6640625" style="7" customWidth="1"/>
    <col min="7952" max="7952" width="2.6640625" style="7" customWidth="1"/>
    <col min="7953" max="7953" width="12.6640625" style="7" customWidth="1"/>
    <col min="7954" max="7954" width="2.6640625" style="7" customWidth="1"/>
    <col min="7955" max="7955" width="12.6640625" style="7" customWidth="1"/>
    <col min="7956" max="7956" width="2.6640625" style="7" customWidth="1"/>
    <col min="7957" max="7957" width="12.6640625" style="7" customWidth="1"/>
    <col min="7958" max="7958" width="2.6640625" style="7" customWidth="1"/>
    <col min="7959" max="7959" width="12.6640625" style="7" customWidth="1"/>
    <col min="7960" max="7960" width="2.6640625" style="7" customWidth="1"/>
    <col min="7961" max="7961" width="12.6640625" style="7" customWidth="1"/>
    <col min="7962" max="7962" width="2.88671875" style="7" customWidth="1"/>
    <col min="7963" max="7963" width="13.6640625" style="7" customWidth="1"/>
    <col min="7964" max="7964" width="2.6640625" style="7" customWidth="1"/>
    <col min="7965" max="7965" width="13.6640625" style="7" customWidth="1"/>
    <col min="7966" max="7966" width="2.6640625" style="7" customWidth="1"/>
    <col min="7967" max="7967" width="12.6640625" style="7" customWidth="1"/>
    <col min="7968" max="8191" width="9.109375" style="7"/>
    <col min="8192" max="8192" width="4.33203125" style="7" customWidth="1"/>
    <col min="8193" max="8193" width="38.88671875" style="7" customWidth="1"/>
    <col min="8194" max="8194" width="2.6640625" style="7" customWidth="1"/>
    <col min="8195" max="8195" width="12.6640625" style="7" customWidth="1"/>
    <col min="8196" max="8196" width="2.6640625" style="7" customWidth="1"/>
    <col min="8197" max="8197" width="12.6640625" style="7" customWidth="1"/>
    <col min="8198" max="8198" width="2.6640625" style="7" customWidth="1"/>
    <col min="8199" max="8199" width="12.6640625" style="7" customWidth="1"/>
    <col min="8200" max="8200" width="2.6640625" style="7" customWidth="1"/>
    <col min="8201" max="8201" width="12.6640625" style="7" customWidth="1"/>
    <col min="8202" max="8202" width="2.6640625" style="7" customWidth="1"/>
    <col min="8203" max="8203" width="12.6640625" style="7" customWidth="1"/>
    <col min="8204" max="8204" width="2.6640625" style="7" customWidth="1"/>
    <col min="8205" max="8205" width="12.6640625" style="7" customWidth="1"/>
    <col min="8206" max="8206" width="2.6640625" style="7" customWidth="1"/>
    <col min="8207" max="8207" width="12.6640625" style="7" customWidth="1"/>
    <col min="8208" max="8208" width="2.6640625" style="7" customWidth="1"/>
    <col min="8209" max="8209" width="12.6640625" style="7" customWidth="1"/>
    <col min="8210" max="8210" width="2.6640625" style="7" customWidth="1"/>
    <col min="8211" max="8211" width="12.6640625" style="7" customWidth="1"/>
    <col min="8212" max="8212" width="2.6640625" style="7" customWidth="1"/>
    <col min="8213" max="8213" width="12.6640625" style="7" customWidth="1"/>
    <col min="8214" max="8214" width="2.6640625" style="7" customWidth="1"/>
    <col min="8215" max="8215" width="12.6640625" style="7" customWidth="1"/>
    <col min="8216" max="8216" width="2.6640625" style="7" customWidth="1"/>
    <col min="8217" max="8217" width="12.6640625" style="7" customWidth="1"/>
    <col min="8218" max="8218" width="2.88671875" style="7" customWidth="1"/>
    <col min="8219" max="8219" width="13.6640625" style="7" customWidth="1"/>
    <col min="8220" max="8220" width="2.6640625" style="7" customWidth="1"/>
    <col min="8221" max="8221" width="13.6640625" style="7" customWidth="1"/>
    <col min="8222" max="8222" width="2.6640625" style="7" customWidth="1"/>
    <col min="8223" max="8223" width="12.6640625" style="7" customWidth="1"/>
    <col min="8224" max="8447" width="9.109375" style="7"/>
    <col min="8448" max="8448" width="4.33203125" style="7" customWidth="1"/>
    <col min="8449" max="8449" width="38.88671875" style="7" customWidth="1"/>
    <col min="8450" max="8450" width="2.6640625" style="7" customWidth="1"/>
    <col min="8451" max="8451" width="12.6640625" style="7" customWidth="1"/>
    <col min="8452" max="8452" width="2.6640625" style="7" customWidth="1"/>
    <col min="8453" max="8453" width="12.6640625" style="7" customWidth="1"/>
    <col min="8454" max="8454" width="2.6640625" style="7" customWidth="1"/>
    <col min="8455" max="8455" width="12.6640625" style="7" customWidth="1"/>
    <col min="8456" max="8456" width="2.6640625" style="7" customWidth="1"/>
    <col min="8457" max="8457" width="12.6640625" style="7" customWidth="1"/>
    <col min="8458" max="8458" width="2.6640625" style="7" customWidth="1"/>
    <col min="8459" max="8459" width="12.6640625" style="7" customWidth="1"/>
    <col min="8460" max="8460" width="2.6640625" style="7" customWidth="1"/>
    <col min="8461" max="8461" width="12.6640625" style="7" customWidth="1"/>
    <col min="8462" max="8462" width="2.6640625" style="7" customWidth="1"/>
    <col min="8463" max="8463" width="12.6640625" style="7" customWidth="1"/>
    <col min="8464" max="8464" width="2.6640625" style="7" customWidth="1"/>
    <col min="8465" max="8465" width="12.6640625" style="7" customWidth="1"/>
    <col min="8466" max="8466" width="2.6640625" style="7" customWidth="1"/>
    <col min="8467" max="8467" width="12.6640625" style="7" customWidth="1"/>
    <col min="8468" max="8468" width="2.6640625" style="7" customWidth="1"/>
    <col min="8469" max="8469" width="12.6640625" style="7" customWidth="1"/>
    <col min="8470" max="8470" width="2.6640625" style="7" customWidth="1"/>
    <col min="8471" max="8471" width="12.6640625" style="7" customWidth="1"/>
    <col min="8472" max="8472" width="2.6640625" style="7" customWidth="1"/>
    <col min="8473" max="8473" width="12.6640625" style="7" customWidth="1"/>
    <col min="8474" max="8474" width="2.88671875" style="7" customWidth="1"/>
    <col min="8475" max="8475" width="13.6640625" style="7" customWidth="1"/>
    <col min="8476" max="8476" width="2.6640625" style="7" customWidth="1"/>
    <col min="8477" max="8477" width="13.6640625" style="7" customWidth="1"/>
    <col min="8478" max="8478" width="2.6640625" style="7" customWidth="1"/>
    <col min="8479" max="8479" width="12.6640625" style="7" customWidth="1"/>
    <col min="8480" max="8703" width="9.109375" style="7"/>
    <col min="8704" max="8704" width="4.33203125" style="7" customWidth="1"/>
    <col min="8705" max="8705" width="38.88671875" style="7" customWidth="1"/>
    <col min="8706" max="8706" width="2.6640625" style="7" customWidth="1"/>
    <col min="8707" max="8707" width="12.6640625" style="7" customWidth="1"/>
    <col min="8708" max="8708" width="2.6640625" style="7" customWidth="1"/>
    <col min="8709" max="8709" width="12.6640625" style="7" customWidth="1"/>
    <col min="8710" max="8710" width="2.6640625" style="7" customWidth="1"/>
    <col min="8711" max="8711" width="12.6640625" style="7" customWidth="1"/>
    <col min="8712" max="8712" width="2.6640625" style="7" customWidth="1"/>
    <col min="8713" max="8713" width="12.6640625" style="7" customWidth="1"/>
    <col min="8714" max="8714" width="2.6640625" style="7" customWidth="1"/>
    <col min="8715" max="8715" width="12.6640625" style="7" customWidth="1"/>
    <col min="8716" max="8716" width="2.6640625" style="7" customWidth="1"/>
    <col min="8717" max="8717" width="12.6640625" style="7" customWidth="1"/>
    <col min="8718" max="8718" width="2.6640625" style="7" customWidth="1"/>
    <col min="8719" max="8719" width="12.6640625" style="7" customWidth="1"/>
    <col min="8720" max="8720" width="2.6640625" style="7" customWidth="1"/>
    <col min="8721" max="8721" width="12.6640625" style="7" customWidth="1"/>
    <col min="8722" max="8722" width="2.6640625" style="7" customWidth="1"/>
    <col min="8723" max="8723" width="12.6640625" style="7" customWidth="1"/>
    <col min="8724" max="8724" width="2.6640625" style="7" customWidth="1"/>
    <col min="8725" max="8725" width="12.6640625" style="7" customWidth="1"/>
    <col min="8726" max="8726" width="2.6640625" style="7" customWidth="1"/>
    <col min="8727" max="8727" width="12.6640625" style="7" customWidth="1"/>
    <col min="8728" max="8728" width="2.6640625" style="7" customWidth="1"/>
    <col min="8729" max="8729" width="12.6640625" style="7" customWidth="1"/>
    <col min="8730" max="8730" width="2.88671875" style="7" customWidth="1"/>
    <col min="8731" max="8731" width="13.6640625" style="7" customWidth="1"/>
    <col min="8732" max="8732" width="2.6640625" style="7" customWidth="1"/>
    <col min="8733" max="8733" width="13.6640625" style="7" customWidth="1"/>
    <col min="8734" max="8734" width="2.6640625" style="7" customWidth="1"/>
    <col min="8735" max="8735" width="12.6640625" style="7" customWidth="1"/>
    <col min="8736" max="8959" width="9.109375" style="7"/>
    <col min="8960" max="8960" width="4.33203125" style="7" customWidth="1"/>
    <col min="8961" max="8961" width="38.88671875" style="7" customWidth="1"/>
    <col min="8962" max="8962" width="2.6640625" style="7" customWidth="1"/>
    <col min="8963" max="8963" width="12.6640625" style="7" customWidth="1"/>
    <col min="8964" max="8964" width="2.6640625" style="7" customWidth="1"/>
    <col min="8965" max="8965" width="12.6640625" style="7" customWidth="1"/>
    <col min="8966" max="8966" width="2.6640625" style="7" customWidth="1"/>
    <col min="8967" max="8967" width="12.6640625" style="7" customWidth="1"/>
    <col min="8968" max="8968" width="2.6640625" style="7" customWidth="1"/>
    <col min="8969" max="8969" width="12.6640625" style="7" customWidth="1"/>
    <col min="8970" max="8970" width="2.6640625" style="7" customWidth="1"/>
    <col min="8971" max="8971" width="12.6640625" style="7" customWidth="1"/>
    <col min="8972" max="8972" width="2.6640625" style="7" customWidth="1"/>
    <col min="8973" max="8973" width="12.6640625" style="7" customWidth="1"/>
    <col min="8974" max="8974" width="2.6640625" style="7" customWidth="1"/>
    <col min="8975" max="8975" width="12.6640625" style="7" customWidth="1"/>
    <col min="8976" max="8976" width="2.6640625" style="7" customWidth="1"/>
    <col min="8977" max="8977" width="12.6640625" style="7" customWidth="1"/>
    <col min="8978" max="8978" width="2.6640625" style="7" customWidth="1"/>
    <col min="8979" max="8979" width="12.6640625" style="7" customWidth="1"/>
    <col min="8980" max="8980" width="2.6640625" style="7" customWidth="1"/>
    <col min="8981" max="8981" width="12.6640625" style="7" customWidth="1"/>
    <col min="8982" max="8982" width="2.6640625" style="7" customWidth="1"/>
    <col min="8983" max="8983" width="12.6640625" style="7" customWidth="1"/>
    <col min="8984" max="8984" width="2.6640625" style="7" customWidth="1"/>
    <col min="8985" max="8985" width="12.6640625" style="7" customWidth="1"/>
    <col min="8986" max="8986" width="2.88671875" style="7" customWidth="1"/>
    <col min="8987" max="8987" width="13.6640625" style="7" customWidth="1"/>
    <col min="8988" max="8988" width="2.6640625" style="7" customWidth="1"/>
    <col min="8989" max="8989" width="13.6640625" style="7" customWidth="1"/>
    <col min="8990" max="8990" width="2.6640625" style="7" customWidth="1"/>
    <col min="8991" max="8991" width="12.6640625" style="7" customWidth="1"/>
    <col min="8992" max="9215" width="9.109375" style="7"/>
    <col min="9216" max="9216" width="4.33203125" style="7" customWidth="1"/>
    <col min="9217" max="9217" width="38.88671875" style="7" customWidth="1"/>
    <col min="9218" max="9218" width="2.6640625" style="7" customWidth="1"/>
    <col min="9219" max="9219" width="12.6640625" style="7" customWidth="1"/>
    <col min="9220" max="9220" width="2.6640625" style="7" customWidth="1"/>
    <col min="9221" max="9221" width="12.6640625" style="7" customWidth="1"/>
    <col min="9222" max="9222" width="2.6640625" style="7" customWidth="1"/>
    <col min="9223" max="9223" width="12.6640625" style="7" customWidth="1"/>
    <col min="9224" max="9224" width="2.6640625" style="7" customWidth="1"/>
    <col min="9225" max="9225" width="12.6640625" style="7" customWidth="1"/>
    <col min="9226" max="9226" width="2.6640625" style="7" customWidth="1"/>
    <col min="9227" max="9227" width="12.6640625" style="7" customWidth="1"/>
    <col min="9228" max="9228" width="2.6640625" style="7" customWidth="1"/>
    <col min="9229" max="9229" width="12.6640625" style="7" customWidth="1"/>
    <col min="9230" max="9230" width="2.6640625" style="7" customWidth="1"/>
    <col min="9231" max="9231" width="12.6640625" style="7" customWidth="1"/>
    <col min="9232" max="9232" width="2.6640625" style="7" customWidth="1"/>
    <col min="9233" max="9233" width="12.6640625" style="7" customWidth="1"/>
    <col min="9234" max="9234" width="2.6640625" style="7" customWidth="1"/>
    <col min="9235" max="9235" width="12.6640625" style="7" customWidth="1"/>
    <col min="9236" max="9236" width="2.6640625" style="7" customWidth="1"/>
    <col min="9237" max="9237" width="12.6640625" style="7" customWidth="1"/>
    <col min="9238" max="9238" width="2.6640625" style="7" customWidth="1"/>
    <col min="9239" max="9239" width="12.6640625" style="7" customWidth="1"/>
    <col min="9240" max="9240" width="2.6640625" style="7" customWidth="1"/>
    <col min="9241" max="9241" width="12.6640625" style="7" customWidth="1"/>
    <col min="9242" max="9242" width="2.88671875" style="7" customWidth="1"/>
    <col min="9243" max="9243" width="13.6640625" style="7" customWidth="1"/>
    <col min="9244" max="9244" width="2.6640625" style="7" customWidth="1"/>
    <col min="9245" max="9245" width="13.6640625" style="7" customWidth="1"/>
    <col min="9246" max="9246" width="2.6640625" style="7" customWidth="1"/>
    <col min="9247" max="9247" width="12.6640625" style="7" customWidth="1"/>
    <col min="9248" max="9471" width="9.109375" style="7"/>
    <col min="9472" max="9472" width="4.33203125" style="7" customWidth="1"/>
    <col min="9473" max="9473" width="38.88671875" style="7" customWidth="1"/>
    <col min="9474" max="9474" width="2.6640625" style="7" customWidth="1"/>
    <col min="9475" max="9475" width="12.6640625" style="7" customWidth="1"/>
    <col min="9476" max="9476" width="2.6640625" style="7" customWidth="1"/>
    <col min="9477" max="9477" width="12.6640625" style="7" customWidth="1"/>
    <col min="9478" max="9478" width="2.6640625" style="7" customWidth="1"/>
    <col min="9479" max="9479" width="12.6640625" style="7" customWidth="1"/>
    <col min="9480" max="9480" width="2.6640625" style="7" customWidth="1"/>
    <col min="9481" max="9481" width="12.6640625" style="7" customWidth="1"/>
    <col min="9482" max="9482" width="2.6640625" style="7" customWidth="1"/>
    <col min="9483" max="9483" width="12.6640625" style="7" customWidth="1"/>
    <col min="9484" max="9484" width="2.6640625" style="7" customWidth="1"/>
    <col min="9485" max="9485" width="12.6640625" style="7" customWidth="1"/>
    <col min="9486" max="9486" width="2.6640625" style="7" customWidth="1"/>
    <col min="9487" max="9487" width="12.6640625" style="7" customWidth="1"/>
    <col min="9488" max="9488" width="2.6640625" style="7" customWidth="1"/>
    <col min="9489" max="9489" width="12.6640625" style="7" customWidth="1"/>
    <col min="9490" max="9490" width="2.6640625" style="7" customWidth="1"/>
    <col min="9491" max="9491" width="12.6640625" style="7" customWidth="1"/>
    <col min="9492" max="9492" width="2.6640625" style="7" customWidth="1"/>
    <col min="9493" max="9493" width="12.6640625" style="7" customWidth="1"/>
    <col min="9494" max="9494" width="2.6640625" style="7" customWidth="1"/>
    <col min="9495" max="9495" width="12.6640625" style="7" customWidth="1"/>
    <col min="9496" max="9496" width="2.6640625" style="7" customWidth="1"/>
    <col min="9497" max="9497" width="12.6640625" style="7" customWidth="1"/>
    <col min="9498" max="9498" width="2.88671875" style="7" customWidth="1"/>
    <col min="9499" max="9499" width="13.6640625" style="7" customWidth="1"/>
    <col min="9500" max="9500" width="2.6640625" style="7" customWidth="1"/>
    <col min="9501" max="9501" width="13.6640625" style="7" customWidth="1"/>
    <col min="9502" max="9502" width="2.6640625" style="7" customWidth="1"/>
    <col min="9503" max="9503" width="12.6640625" style="7" customWidth="1"/>
    <col min="9504" max="9727" width="9.109375" style="7"/>
    <col min="9728" max="9728" width="4.33203125" style="7" customWidth="1"/>
    <col min="9729" max="9729" width="38.88671875" style="7" customWidth="1"/>
    <col min="9730" max="9730" width="2.6640625" style="7" customWidth="1"/>
    <col min="9731" max="9731" width="12.6640625" style="7" customWidth="1"/>
    <col min="9732" max="9732" width="2.6640625" style="7" customWidth="1"/>
    <col min="9733" max="9733" width="12.6640625" style="7" customWidth="1"/>
    <col min="9734" max="9734" width="2.6640625" style="7" customWidth="1"/>
    <col min="9735" max="9735" width="12.6640625" style="7" customWidth="1"/>
    <col min="9736" max="9736" width="2.6640625" style="7" customWidth="1"/>
    <col min="9737" max="9737" width="12.6640625" style="7" customWidth="1"/>
    <col min="9738" max="9738" width="2.6640625" style="7" customWidth="1"/>
    <col min="9739" max="9739" width="12.6640625" style="7" customWidth="1"/>
    <col min="9740" max="9740" width="2.6640625" style="7" customWidth="1"/>
    <col min="9741" max="9741" width="12.6640625" style="7" customWidth="1"/>
    <col min="9742" max="9742" width="2.6640625" style="7" customWidth="1"/>
    <col min="9743" max="9743" width="12.6640625" style="7" customWidth="1"/>
    <col min="9744" max="9744" width="2.6640625" style="7" customWidth="1"/>
    <col min="9745" max="9745" width="12.6640625" style="7" customWidth="1"/>
    <col min="9746" max="9746" width="2.6640625" style="7" customWidth="1"/>
    <col min="9747" max="9747" width="12.6640625" style="7" customWidth="1"/>
    <col min="9748" max="9748" width="2.6640625" style="7" customWidth="1"/>
    <col min="9749" max="9749" width="12.6640625" style="7" customWidth="1"/>
    <col min="9750" max="9750" width="2.6640625" style="7" customWidth="1"/>
    <col min="9751" max="9751" width="12.6640625" style="7" customWidth="1"/>
    <col min="9752" max="9752" width="2.6640625" style="7" customWidth="1"/>
    <col min="9753" max="9753" width="12.6640625" style="7" customWidth="1"/>
    <col min="9754" max="9754" width="2.88671875" style="7" customWidth="1"/>
    <col min="9755" max="9755" width="13.6640625" style="7" customWidth="1"/>
    <col min="9756" max="9756" width="2.6640625" style="7" customWidth="1"/>
    <col min="9757" max="9757" width="13.6640625" style="7" customWidth="1"/>
    <col min="9758" max="9758" width="2.6640625" style="7" customWidth="1"/>
    <col min="9759" max="9759" width="12.6640625" style="7" customWidth="1"/>
    <col min="9760" max="9983" width="9.109375" style="7"/>
    <col min="9984" max="9984" width="4.33203125" style="7" customWidth="1"/>
    <col min="9985" max="9985" width="38.88671875" style="7" customWidth="1"/>
    <col min="9986" max="9986" width="2.6640625" style="7" customWidth="1"/>
    <col min="9987" max="9987" width="12.6640625" style="7" customWidth="1"/>
    <col min="9988" max="9988" width="2.6640625" style="7" customWidth="1"/>
    <col min="9989" max="9989" width="12.6640625" style="7" customWidth="1"/>
    <col min="9990" max="9990" width="2.6640625" style="7" customWidth="1"/>
    <col min="9991" max="9991" width="12.6640625" style="7" customWidth="1"/>
    <col min="9992" max="9992" width="2.6640625" style="7" customWidth="1"/>
    <col min="9993" max="9993" width="12.6640625" style="7" customWidth="1"/>
    <col min="9994" max="9994" width="2.6640625" style="7" customWidth="1"/>
    <col min="9995" max="9995" width="12.6640625" style="7" customWidth="1"/>
    <col min="9996" max="9996" width="2.6640625" style="7" customWidth="1"/>
    <col min="9997" max="9997" width="12.6640625" style="7" customWidth="1"/>
    <col min="9998" max="9998" width="2.6640625" style="7" customWidth="1"/>
    <col min="9999" max="9999" width="12.6640625" style="7" customWidth="1"/>
    <col min="10000" max="10000" width="2.6640625" style="7" customWidth="1"/>
    <col min="10001" max="10001" width="12.6640625" style="7" customWidth="1"/>
    <col min="10002" max="10002" width="2.6640625" style="7" customWidth="1"/>
    <col min="10003" max="10003" width="12.6640625" style="7" customWidth="1"/>
    <col min="10004" max="10004" width="2.6640625" style="7" customWidth="1"/>
    <col min="10005" max="10005" width="12.6640625" style="7" customWidth="1"/>
    <col min="10006" max="10006" width="2.6640625" style="7" customWidth="1"/>
    <col min="10007" max="10007" width="12.6640625" style="7" customWidth="1"/>
    <col min="10008" max="10008" width="2.6640625" style="7" customWidth="1"/>
    <col min="10009" max="10009" width="12.6640625" style="7" customWidth="1"/>
    <col min="10010" max="10010" width="2.88671875" style="7" customWidth="1"/>
    <col min="10011" max="10011" width="13.6640625" style="7" customWidth="1"/>
    <col min="10012" max="10012" width="2.6640625" style="7" customWidth="1"/>
    <col min="10013" max="10013" width="13.6640625" style="7" customWidth="1"/>
    <col min="10014" max="10014" width="2.6640625" style="7" customWidth="1"/>
    <col min="10015" max="10015" width="12.6640625" style="7" customWidth="1"/>
    <col min="10016" max="10239" width="9.109375" style="7"/>
    <col min="10240" max="10240" width="4.33203125" style="7" customWidth="1"/>
    <col min="10241" max="10241" width="38.88671875" style="7" customWidth="1"/>
    <col min="10242" max="10242" width="2.6640625" style="7" customWidth="1"/>
    <col min="10243" max="10243" width="12.6640625" style="7" customWidth="1"/>
    <col min="10244" max="10244" width="2.6640625" style="7" customWidth="1"/>
    <col min="10245" max="10245" width="12.6640625" style="7" customWidth="1"/>
    <col min="10246" max="10246" width="2.6640625" style="7" customWidth="1"/>
    <col min="10247" max="10247" width="12.6640625" style="7" customWidth="1"/>
    <col min="10248" max="10248" width="2.6640625" style="7" customWidth="1"/>
    <col min="10249" max="10249" width="12.6640625" style="7" customWidth="1"/>
    <col min="10250" max="10250" width="2.6640625" style="7" customWidth="1"/>
    <col min="10251" max="10251" width="12.6640625" style="7" customWidth="1"/>
    <col min="10252" max="10252" width="2.6640625" style="7" customWidth="1"/>
    <col min="10253" max="10253" width="12.6640625" style="7" customWidth="1"/>
    <col min="10254" max="10254" width="2.6640625" style="7" customWidth="1"/>
    <col min="10255" max="10255" width="12.6640625" style="7" customWidth="1"/>
    <col min="10256" max="10256" width="2.6640625" style="7" customWidth="1"/>
    <col min="10257" max="10257" width="12.6640625" style="7" customWidth="1"/>
    <col min="10258" max="10258" width="2.6640625" style="7" customWidth="1"/>
    <col min="10259" max="10259" width="12.6640625" style="7" customWidth="1"/>
    <col min="10260" max="10260" width="2.6640625" style="7" customWidth="1"/>
    <col min="10261" max="10261" width="12.6640625" style="7" customWidth="1"/>
    <col min="10262" max="10262" width="2.6640625" style="7" customWidth="1"/>
    <col min="10263" max="10263" width="12.6640625" style="7" customWidth="1"/>
    <col min="10264" max="10264" width="2.6640625" style="7" customWidth="1"/>
    <col min="10265" max="10265" width="12.6640625" style="7" customWidth="1"/>
    <col min="10266" max="10266" width="2.88671875" style="7" customWidth="1"/>
    <col min="10267" max="10267" width="13.6640625" style="7" customWidth="1"/>
    <col min="10268" max="10268" width="2.6640625" style="7" customWidth="1"/>
    <col min="10269" max="10269" width="13.6640625" style="7" customWidth="1"/>
    <col min="10270" max="10270" width="2.6640625" style="7" customWidth="1"/>
    <col min="10271" max="10271" width="12.6640625" style="7" customWidth="1"/>
    <col min="10272" max="10495" width="9.109375" style="7"/>
    <col min="10496" max="10496" width="4.33203125" style="7" customWidth="1"/>
    <col min="10497" max="10497" width="38.88671875" style="7" customWidth="1"/>
    <col min="10498" max="10498" width="2.6640625" style="7" customWidth="1"/>
    <col min="10499" max="10499" width="12.6640625" style="7" customWidth="1"/>
    <col min="10500" max="10500" width="2.6640625" style="7" customWidth="1"/>
    <col min="10501" max="10501" width="12.6640625" style="7" customWidth="1"/>
    <col min="10502" max="10502" width="2.6640625" style="7" customWidth="1"/>
    <col min="10503" max="10503" width="12.6640625" style="7" customWidth="1"/>
    <col min="10504" max="10504" width="2.6640625" style="7" customWidth="1"/>
    <col min="10505" max="10505" width="12.6640625" style="7" customWidth="1"/>
    <col min="10506" max="10506" width="2.6640625" style="7" customWidth="1"/>
    <col min="10507" max="10507" width="12.6640625" style="7" customWidth="1"/>
    <col min="10508" max="10508" width="2.6640625" style="7" customWidth="1"/>
    <col min="10509" max="10509" width="12.6640625" style="7" customWidth="1"/>
    <col min="10510" max="10510" width="2.6640625" style="7" customWidth="1"/>
    <col min="10511" max="10511" width="12.6640625" style="7" customWidth="1"/>
    <col min="10512" max="10512" width="2.6640625" style="7" customWidth="1"/>
    <col min="10513" max="10513" width="12.6640625" style="7" customWidth="1"/>
    <col min="10514" max="10514" width="2.6640625" style="7" customWidth="1"/>
    <col min="10515" max="10515" width="12.6640625" style="7" customWidth="1"/>
    <col min="10516" max="10516" width="2.6640625" style="7" customWidth="1"/>
    <col min="10517" max="10517" width="12.6640625" style="7" customWidth="1"/>
    <col min="10518" max="10518" width="2.6640625" style="7" customWidth="1"/>
    <col min="10519" max="10519" width="12.6640625" style="7" customWidth="1"/>
    <col min="10520" max="10520" width="2.6640625" style="7" customWidth="1"/>
    <col min="10521" max="10521" width="12.6640625" style="7" customWidth="1"/>
    <col min="10522" max="10522" width="2.88671875" style="7" customWidth="1"/>
    <col min="10523" max="10523" width="13.6640625" style="7" customWidth="1"/>
    <col min="10524" max="10524" width="2.6640625" style="7" customWidth="1"/>
    <col min="10525" max="10525" width="13.6640625" style="7" customWidth="1"/>
    <col min="10526" max="10526" width="2.6640625" style="7" customWidth="1"/>
    <col min="10527" max="10527" width="12.6640625" style="7" customWidth="1"/>
    <col min="10528" max="10751" width="9.109375" style="7"/>
    <col min="10752" max="10752" width="4.33203125" style="7" customWidth="1"/>
    <col min="10753" max="10753" width="38.88671875" style="7" customWidth="1"/>
    <col min="10754" max="10754" width="2.6640625" style="7" customWidth="1"/>
    <col min="10755" max="10755" width="12.6640625" style="7" customWidth="1"/>
    <col min="10756" max="10756" width="2.6640625" style="7" customWidth="1"/>
    <col min="10757" max="10757" width="12.6640625" style="7" customWidth="1"/>
    <col min="10758" max="10758" width="2.6640625" style="7" customWidth="1"/>
    <col min="10759" max="10759" width="12.6640625" style="7" customWidth="1"/>
    <col min="10760" max="10760" width="2.6640625" style="7" customWidth="1"/>
    <col min="10761" max="10761" width="12.6640625" style="7" customWidth="1"/>
    <col min="10762" max="10762" width="2.6640625" style="7" customWidth="1"/>
    <col min="10763" max="10763" width="12.6640625" style="7" customWidth="1"/>
    <col min="10764" max="10764" width="2.6640625" style="7" customWidth="1"/>
    <col min="10765" max="10765" width="12.6640625" style="7" customWidth="1"/>
    <col min="10766" max="10766" width="2.6640625" style="7" customWidth="1"/>
    <col min="10767" max="10767" width="12.6640625" style="7" customWidth="1"/>
    <col min="10768" max="10768" width="2.6640625" style="7" customWidth="1"/>
    <col min="10769" max="10769" width="12.6640625" style="7" customWidth="1"/>
    <col min="10770" max="10770" width="2.6640625" style="7" customWidth="1"/>
    <col min="10771" max="10771" width="12.6640625" style="7" customWidth="1"/>
    <col min="10772" max="10772" width="2.6640625" style="7" customWidth="1"/>
    <col min="10773" max="10773" width="12.6640625" style="7" customWidth="1"/>
    <col min="10774" max="10774" width="2.6640625" style="7" customWidth="1"/>
    <col min="10775" max="10775" width="12.6640625" style="7" customWidth="1"/>
    <col min="10776" max="10776" width="2.6640625" style="7" customWidth="1"/>
    <col min="10777" max="10777" width="12.6640625" style="7" customWidth="1"/>
    <col min="10778" max="10778" width="2.88671875" style="7" customWidth="1"/>
    <col min="10779" max="10779" width="13.6640625" style="7" customWidth="1"/>
    <col min="10780" max="10780" width="2.6640625" style="7" customWidth="1"/>
    <col min="10781" max="10781" width="13.6640625" style="7" customWidth="1"/>
    <col min="10782" max="10782" width="2.6640625" style="7" customWidth="1"/>
    <col min="10783" max="10783" width="12.6640625" style="7" customWidth="1"/>
    <col min="10784" max="11007" width="9.109375" style="7"/>
    <col min="11008" max="11008" width="4.33203125" style="7" customWidth="1"/>
    <col min="11009" max="11009" width="38.88671875" style="7" customWidth="1"/>
    <col min="11010" max="11010" width="2.6640625" style="7" customWidth="1"/>
    <col min="11011" max="11011" width="12.6640625" style="7" customWidth="1"/>
    <col min="11012" max="11012" width="2.6640625" style="7" customWidth="1"/>
    <col min="11013" max="11013" width="12.6640625" style="7" customWidth="1"/>
    <col min="11014" max="11014" width="2.6640625" style="7" customWidth="1"/>
    <col min="11015" max="11015" width="12.6640625" style="7" customWidth="1"/>
    <col min="11016" max="11016" width="2.6640625" style="7" customWidth="1"/>
    <col min="11017" max="11017" width="12.6640625" style="7" customWidth="1"/>
    <col min="11018" max="11018" width="2.6640625" style="7" customWidth="1"/>
    <col min="11019" max="11019" width="12.6640625" style="7" customWidth="1"/>
    <col min="11020" max="11020" width="2.6640625" style="7" customWidth="1"/>
    <col min="11021" max="11021" width="12.6640625" style="7" customWidth="1"/>
    <col min="11022" max="11022" width="2.6640625" style="7" customWidth="1"/>
    <col min="11023" max="11023" width="12.6640625" style="7" customWidth="1"/>
    <col min="11024" max="11024" width="2.6640625" style="7" customWidth="1"/>
    <col min="11025" max="11025" width="12.6640625" style="7" customWidth="1"/>
    <col min="11026" max="11026" width="2.6640625" style="7" customWidth="1"/>
    <col min="11027" max="11027" width="12.6640625" style="7" customWidth="1"/>
    <col min="11028" max="11028" width="2.6640625" style="7" customWidth="1"/>
    <col min="11029" max="11029" width="12.6640625" style="7" customWidth="1"/>
    <col min="11030" max="11030" width="2.6640625" style="7" customWidth="1"/>
    <col min="11031" max="11031" width="12.6640625" style="7" customWidth="1"/>
    <col min="11032" max="11032" width="2.6640625" style="7" customWidth="1"/>
    <col min="11033" max="11033" width="12.6640625" style="7" customWidth="1"/>
    <col min="11034" max="11034" width="2.88671875" style="7" customWidth="1"/>
    <col min="11035" max="11035" width="13.6640625" style="7" customWidth="1"/>
    <col min="11036" max="11036" width="2.6640625" style="7" customWidth="1"/>
    <col min="11037" max="11037" width="13.6640625" style="7" customWidth="1"/>
    <col min="11038" max="11038" width="2.6640625" style="7" customWidth="1"/>
    <col min="11039" max="11039" width="12.6640625" style="7" customWidth="1"/>
    <col min="11040" max="11263" width="9.109375" style="7"/>
    <col min="11264" max="11264" width="4.33203125" style="7" customWidth="1"/>
    <col min="11265" max="11265" width="38.88671875" style="7" customWidth="1"/>
    <col min="11266" max="11266" width="2.6640625" style="7" customWidth="1"/>
    <col min="11267" max="11267" width="12.6640625" style="7" customWidth="1"/>
    <col min="11268" max="11268" width="2.6640625" style="7" customWidth="1"/>
    <col min="11269" max="11269" width="12.6640625" style="7" customWidth="1"/>
    <col min="11270" max="11270" width="2.6640625" style="7" customWidth="1"/>
    <col min="11271" max="11271" width="12.6640625" style="7" customWidth="1"/>
    <col min="11272" max="11272" width="2.6640625" style="7" customWidth="1"/>
    <col min="11273" max="11273" width="12.6640625" style="7" customWidth="1"/>
    <col min="11274" max="11274" width="2.6640625" style="7" customWidth="1"/>
    <col min="11275" max="11275" width="12.6640625" style="7" customWidth="1"/>
    <col min="11276" max="11276" width="2.6640625" style="7" customWidth="1"/>
    <col min="11277" max="11277" width="12.6640625" style="7" customWidth="1"/>
    <col min="11278" max="11278" width="2.6640625" style="7" customWidth="1"/>
    <col min="11279" max="11279" width="12.6640625" style="7" customWidth="1"/>
    <col min="11280" max="11280" width="2.6640625" style="7" customWidth="1"/>
    <col min="11281" max="11281" width="12.6640625" style="7" customWidth="1"/>
    <col min="11282" max="11282" width="2.6640625" style="7" customWidth="1"/>
    <col min="11283" max="11283" width="12.6640625" style="7" customWidth="1"/>
    <col min="11284" max="11284" width="2.6640625" style="7" customWidth="1"/>
    <col min="11285" max="11285" width="12.6640625" style="7" customWidth="1"/>
    <col min="11286" max="11286" width="2.6640625" style="7" customWidth="1"/>
    <col min="11287" max="11287" width="12.6640625" style="7" customWidth="1"/>
    <col min="11288" max="11288" width="2.6640625" style="7" customWidth="1"/>
    <col min="11289" max="11289" width="12.6640625" style="7" customWidth="1"/>
    <col min="11290" max="11290" width="2.88671875" style="7" customWidth="1"/>
    <col min="11291" max="11291" width="13.6640625" style="7" customWidth="1"/>
    <col min="11292" max="11292" width="2.6640625" style="7" customWidth="1"/>
    <col min="11293" max="11293" width="13.6640625" style="7" customWidth="1"/>
    <col min="11294" max="11294" width="2.6640625" style="7" customWidth="1"/>
    <col min="11295" max="11295" width="12.6640625" style="7" customWidth="1"/>
    <col min="11296" max="11519" width="9.109375" style="7"/>
    <col min="11520" max="11520" width="4.33203125" style="7" customWidth="1"/>
    <col min="11521" max="11521" width="38.88671875" style="7" customWidth="1"/>
    <col min="11522" max="11522" width="2.6640625" style="7" customWidth="1"/>
    <col min="11523" max="11523" width="12.6640625" style="7" customWidth="1"/>
    <col min="11524" max="11524" width="2.6640625" style="7" customWidth="1"/>
    <col min="11525" max="11525" width="12.6640625" style="7" customWidth="1"/>
    <col min="11526" max="11526" width="2.6640625" style="7" customWidth="1"/>
    <col min="11527" max="11527" width="12.6640625" style="7" customWidth="1"/>
    <col min="11528" max="11528" width="2.6640625" style="7" customWidth="1"/>
    <col min="11529" max="11529" width="12.6640625" style="7" customWidth="1"/>
    <col min="11530" max="11530" width="2.6640625" style="7" customWidth="1"/>
    <col min="11531" max="11531" width="12.6640625" style="7" customWidth="1"/>
    <col min="11532" max="11532" width="2.6640625" style="7" customWidth="1"/>
    <col min="11533" max="11533" width="12.6640625" style="7" customWidth="1"/>
    <col min="11534" max="11534" width="2.6640625" style="7" customWidth="1"/>
    <col min="11535" max="11535" width="12.6640625" style="7" customWidth="1"/>
    <col min="11536" max="11536" width="2.6640625" style="7" customWidth="1"/>
    <col min="11537" max="11537" width="12.6640625" style="7" customWidth="1"/>
    <col min="11538" max="11538" width="2.6640625" style="7" customWidth="1"/>
    <col min="11539" max="11539" width="12.6640625" style="7" customWidth="1"/>
    <col min="11540" max="11540" width="2.6640625" style="7" customWidth="1"/>
    <col min="11541" max="11541" width="12.6640625" style="7" customWidth="1"/>
    <col min="11542" max="11542" width="2.6640625" style="7" customWidth="1"/>
    <col min="11543" max="11543" width="12.6640625" style="7" customWidth="1"/>
    <col min="11544" max="11544" width="2.6640625" style="7" customWidth="1"/>
    <col min="11545" max="11545" width="12.6640625" style="7" customWidth="1"/>
    <col min="11546" max="11546" width="2.88671875" style="7" customWidth="1"/>
    <col min="11547" max="11547" width="13.6640625" style="7" customWidth="1"/>
    <col min="11548" max="11548" width="2.6640625" style="7" customWidth="1"/>
    <col min="11549" max="11549" width="13.6640625" style="7" customWidth="1"/>
    <col min="11550" max="11550" width="2.6640625" style="7" customWidth="1"/>
    <col min="11551" max="11551" width="12.6640625" style="7" customWidth="1"/>
    <col min="11552" max="11775" width="9.109375" style="7"/>
    <col min="11776" max="11776" width="4.33203125" style="7" customWidth="1"/>
    <col min="11777" max="11777" width="38.88671875" style="7" customWidth="1"/>
    <col min="11778" max="11778" width="2.6640625" style="7" customWidth="1"/>
    <col min="11779" max="11779" width="12.6640625" style="7" customWidth="1"/>
    <col min="11780" max="11780" width="2.6640625" style="7" customWidth="1"/>
    <col min="11781" max="11781" width="12.6640625" style="7" customWidth="1"/>
    <col min="11782" max="11782" width="2.6640625" style="7" customWidth="1"/>
    <col min="11783" max="11783" width="12.6640625" style="7" customWidth="1"/>
    <col min="11784" max="11784" width="2.6640625" style="7" customWidth="1"/>
    <col min="11785" max="11785" width="12.6640625" style="7" customWidth="1"/>
    <col min="11786" max="11786" width="2.6640625" style="7" customWidth="1"/>
    <col min="11787" max="11787" width="12.6640625" style="7" customWidth="1"/>
    <col min="11788" max="11788" width="2.6640625" style="7" customWidth="1"/>
    <col min="11789" max="11789" width="12.6640625" style="7" customWidth="1"/>
    <col min="11790" max="11790" width="2.6640625" style="7" customWidth="1"/>
    <col min="11791" max="11791" width="12.6640625" style="7" customWidth="1"/>
    <col min="11792" max="11792" width="2.6640625" style="7" customWidth="1"/>
    <col min="11793" max="11793" width="12.6640625" style="7" customWidth="1"/>
    <col min="11794" max="11794" width="2.6640625" style="7" customWidth="1"/>
    <col min="11795" max="11795" width="12.6640625" style="7" customWidth="1"/>
    <col min="11796" max="11796" width="2.6640625" style="7" customWidth="1"/>
    <col min="11797" max="11797" width="12.6640625" style="7" customWidth="1"/>
    <col min="11798" max="11798" width="2.6640625" style="7" customWidth="1"/>
    <col min="11799" max="11799" width="12.6640625" style="7" customWidth="1"/>
    <col min="11800" max="11800" width="2.6640625" style="7" customWidth="1"/>
    <col min="11801" max="11801" width="12.6640625" style="7" customWidth="1"/>
    <col min="11802" max="11802" width="2.88671875" style="7" customWidth="1"/>
    <col min="11803" max="11803" width="13.6640625" style="7" customWidth="1"/>
    <col min="11804" max="11804" width="2.6640625" style="7" customWidth="1"/>
    <col min="11805" max="11805" width="13.6640625" style="7" customWidth="1"/>
    <col min="11806" max="11806" width="2.6640625" style="7" customWidth="1"/>
    <col min="11807" max="11807" width="12.6640625" style="7" customWidth="1"/>
    <col min="11808" max="12031" width="9.109375" style="7"/>
    <col min="12032" max="12032" width="4.33203125" style="7" customWidth="1"/>
    <col min="12033" max="12033" width="38.88671875" style="7" customWidth="1"/>
    <col min="12034" max="12034" width="2.6640625" style="7" customWidth="1"/>
    <col min="12035" max="12035" width="12.6640625" style="7" customWidth="1"/>
    <col min="12036" max="12036" width="2.6640625" style="7" customWidth="1"/>
    <col min="12037" max="12037" width="12.6640625" style="7" customWidth="1"/>
    <col min="12038" max="12038" width="2.6640625" style="7" customWidth="1"/>
    <col min="12039" max="12039" width="12.6640625" style="7" customWidth="1"/>
    <col min="12040" max="12040" width="2.6640625" style="7" customWidth="1"/>
    <col min="12041" max="12041" width="12.6640625" style="7" customWidth="1"/>
    <col min="12042" max="12042" width="2.6640625" style="7" customWidth="1"/>
    <col min="12043" max="12043" width="12.6640625" style="7" customWidth="1"/>
    <col min="12044" max="12044" width="2.6640625" style="7" customWidth="1"/>
    <col min="12045" max="12045" width="12.6640625" style="7" customWidth="1"/>
    <col min="12046" max="12046" width="2.6640625" style="7" customWidth="1"/>
    <col min="12047" max="12047" width="12.6640625" style="7" customWidth="1"/>
    <col min="12048" max="12048" width="2.6640625" style="7" customWidth="1"/>
    <col min="12049" max="12049" width="12.6640625" style="7" customWidth="1"/>
    <col min="12050" max="12050" width="2.6640625" style="7" customWidth="1"/>
    <col min="12051" max="12051" width="12.6640625" style="7" customWidth="1"/>
    <col min="12052" max="12052" width="2.6640625" style="7" customWidth="1"/>
    <col min="12053" max="12053" width="12.6640625" style="7" customWidth="1"/>
    <col min="12054" max="12054" width="2.6640625" style="7" customWidth="1"/>
    <col min="12055" max="12055" width="12.6640625" style="7" customWidth="1"/>
    <col min="12056" max="12056" width="2.6640625" style="7" customWidth="1"/>
    <col min="12057" max="12057" width="12.6640625" style="7" customWidth="1"/>
    <col min="12058" max="12058" width="2.88671875" style="7" customWidth="1"/>
    <col min="12059" max="12059" width="13.6640625" style="7" customWidth="1"/>
    <col min="12060" max="12060" width="2.6640625" style="7" customWidth="1"/>
    <col min="12061" max="12061" width="13.6640625" style="7" customWidth="1"/>
    <col min="12062" max="12062" width="2.6640625" style="7" customWidth="1"/>
    <col min="12063" max="12063" width="12.6640625" style="7" customWidth="1"/>
    <col min="12064" max="12287" width="9.109375" style="7"/>
    <col min="12288" max="12288" width="4.33203125" style="7" customWidth="1"/>
    <col min="12289" max="12289" width="38.88671875" style="7" customWidth="1"/>
    <col min="12290" max="12290" width="2.6640625" style="7" customWidth="1"/>
    <col min="12291" max="12291" width="12.6640625" style="7" customWidth="1"/>
    <col min="12292" max="12292" width="2.6640625" style="7" customWidth="1"/>
    <col min="12293" max="12293" width="12.6640625" style="7" customWidth="1"/>
    <col min="12294" max="12294" width="2.6640625" style="7" customWidth="1"/>
    <col min="12295" max="12295" width="12.6640625" style="7" customWidth="1"/>
    <col min="12296" max="12296" width="2.6640625" style="7" customWidth="1"/>
    <col min="12297" max="12297" width="12.6640625" style="7" customWidth="1"/>
    <col min="12298" max="12298" width="2.6640625" style="7" customWidth="1"/>
    <col min="12299" max="12299" width="12.6640625" style="7" customWidth="1"/>
    <col min="12300" max="12300" width="2.6640625" style="7" customWidth="1"/>
    <col min="12301" max="12301" width="12.6640625" style="7" customWidth="1"/>
    <col min="12302" max="12302" width="2.6640625" style="7" customWidth="1"/>
    <col min="12303" max="12303" width="12.6640625" style="7" customWidth="1"/>
    <col min="12304" max="12304" width="2.6640625" style="7" customWidth="1"/>
    <col min="12305" max="12305" width="12.6640625" style="7" customWidth="1"/>
    <col min="12306" max="12306" width="2.6640625" style="7" customWidth="1"/>
    <col min="12307" max="12307" width="12.6640625" style="7" customWidth="1"/>
    <col min="12308" max="12308" width="2.6640625" style="7" customWidth="1"/>
    <col min="12309" max="12309" width="12.6640625" style="7" customWidth="1"/>
    <col min="12310" max="12310" width="2.6640625" style="7" customWidth="1"/>
    <col min="12311" max="12311" width="12.6640625" style="7" customWidth="1"/>
    <col min="12312" max="12312" width="2.6640625" style="7" customWidth="1"/>
    <col min="12313" max="12313" width="12.6640625" style="7" customWidth="1"/>
    <col min="12314" max="12314" width="2.88671875" style="7" customWidth="1"/>
    <col min="12315" max="12315" width="13.6640625" style="7" customWidth="1"/>
    <col min="12316" max="12316" width="2.6640625" style="7" customWidth="1"/>
    <col min="12317" max="12317" width="13.6640625" style="7" customWidth="1"/>
    <col min="12318" max="12318" width="2.6640625" style="7" customWidth="1"/>
    <col min="12319" max="12319" width="12.6640625" style="7" customWidth="1"/>
    <col min="12320" max="12543" width="9.109375" style="7"/>
    <col min="12544" max="12544" width="4.33203125" style="7" customWidth="1"/>
    <col min="12545" max="12545" width="38.88671875" style="7" customWidth="1"/>
    <col min="12546" max="12546" width="2.6640625" style="7" customWidth="1"/>
    <col min="12547" max="12547" width="12.6640625" style="7" customWidth="1"/>
    <col min="12548" max="12548" width="2.6640625" style="7" customWidth="1"/>
    <col min="12549" max="12549" width="12.6640625" style="7" customWidth="1"/>
    <col min="12550" max="12550" width="2.6640625" style="7" customWidth="1"/>
    <col min="12551" max="12551" width="12.6640625" style="7" customWidth="1"/>
    <col min="12552" max="12552" width="2.6640625" style="7" customWidth="1"/>
    <col min="12553" max="12553" width="12.6640625" style="7" customWidth="1"/>
    <col min="12554" max="12554" width="2.6640625" style="7" customWidth="1"/>
    <col min="12555" max="12555" width="12.6640625" style="7" customWidth="1"/>
    <col min="12556" max="12556" width="2.6640625" style="7" customWidth="1"/>
    <col min="12557" max="12557" width="12.6640625" style="7" customWidth="1"/>
    <col min="12558" max="12558" width="2.6640625" style="7" customWidth="1"/>
    <col min="12559" max="12559" width="12.6640625" style="7" customWidth="1"/>
    <col min="12560" max="12560" width="2.6640625" style="7" customWidth="1"/>
    <col min="12561" max="12561" width="12.6640625" style="7" customWidth="1"/>
    <col min="12562" max="12562" width="2.6640625" style="7" customWidth="1"/>
    <col min="12563" max="12563" width="12.6640625" style="7" customWidth="1"/>
    <col min="12564" max="12564" width="2.6640625" style="7" customWidth="1"/>
    <col min="12565" max="12565" width="12.6640625" style="7" customWidth="1"/>
    <col min="12566" max="12566" width="2.6640625" style="7" customWidth="1"/>
    <col min="12567" max="12567" width="12.6640625" style="7" customWidth="1"/>
    <col min="12568" max="12568" width="2.6640625" style="7" customWidth="1"/>
    <col min="12569" max="12569" width="12.6640625" style="7" customWidth="1"/>
    <col min="12570" max="12570" width="2.88671875" style="7" customWidth="1"/>
    <col min="12571" max="12571" width="13.6640625" style="7" customWidth="1"/>
    <col min="12572" max="12572" width="2.6640625" style="7" customWidth="1"/>
    <col min="12573" max="12573" width="13.6640625" style="7" customWidth="1"/>
    <col min="12574" max="12574" width="2.6640625" style="7" customWidth="1"/>
    <col min="12575" max="12575" width="12.6640625" style="7" customWidth="1"/>
    <col min="12576" max="12799" width="9.109375" style="7"/>
    <col min="12800" max="12800" width="4.33203125" style="7" customWidth="1"/>
    <col min="12801" max="12801" width="38.88671875" style="7" customWidth="1"/>
    <col min="12802" max="12802" width="2.6640625" style="7" customWidth="1"/>
    <col min="12803" max="12803" width="12.6640625" style="7" customWidth="1"/>
    <col min="12804" max="12804" width="2.6640625" style="7" customWidth="1"/>
    <col min="12805" max="12805" width="12.6640625" style="7" customWidth="1"/>
    <col min="12806" max="12806" width="2.6640625" style="7" customWidth="1"/>
    <col min="12807" max="12807" width="12.6640625" style="7" customWidth="1"/>
    <col min="12808" max="12808" width="2.6640625" style="7" customWidth="1"/>
    <col min="12809" max="12809" width="12.6640625" style="7" customWidth="1"/>
    <col min="12810" max="12810" width="2.6640625" style="7" customWidth="1"/>
    <col min="12811" max="12811" width="12.6640625" style="7" customWidth="1"/>
    <col min="12812" max="12812" width="2.6640625" style="7" customWidth="1"/>
    <col min="12813" max="12813" width="12.6640625" style="7" customWidth="1"/>
    <col min="12814" max="12814" width="2.6640625" style="7" customWidth="1"/>
    <col min="12815" max="12815" width="12.6640625" style="7" customWidth="1"/>
    <col min="12816" max="12816" width="2.6640625" style="7" customWidth="1"/>
    <col min="12817" max="12817" width="12.6640625" style="7" customWidth="1"/>
    <col min="12818" max="12818" width="2.6640625" style="7" customWidth="1"/>
    <col min="12819" max="12819" width="12.6640625" style="7" customWidth="1"/>
    <col min="12820" max="12820" width="2.6640625" style="7" customWidth="1"/>
    <col min="12821" max="12821" width="12.6640625" style="7" customWidth="1"/>
    <col min="12822" max="12822" width="2.6640625" style="7" customWidth="1"/>
    <col min="12823" max="12823" width="12.6640625" style="7" customWidth="1"/>
    <col min="12824" max="12824" width="2.6640625" style="7" customWidth="1"/>
    <col min="12825" max="12825" width="12.6640625" style="7" customWidth="1"/>
    <col min="12826" max="12826" width="2.88671875" style="7" customWidth="1"/>
    <col min="12827" max="12827" width="13.6640625" style="7" customWidth="1"/>
    <col min="12828" max="12828" width="2.6640625" style="7" customWidth="1"/>
    <col min="12829" max="12829" width="13.6640625" style="7" customWidth="1"/>
    <col min="12830" max="12830" width="2.6640625" style="7" customWidth="1"/>
    <col min="12831" max="12831" width="12.6640625" style="7" customWidth="1"/>
    <col min="12832" max="13055" width="9.109375" style="7"/>
    <col min="13056" max="13056" width="4.33203125" style="7" customWidth="1"/>
    <col min="13057" max="13057" width="38.88671875" style="7" customWidth="1"/>
    <col min="13058" max="13058" width="2.6640625" style="7" customWidth="1"/>
    <col min="13059" max="13059" width="12.6640625" style="7" customWidth="1"/>
    <col min="13060" max="13060" width="2.6640625" style="7" customWidth="1"/>
    <col min="13061" max="13061" width="12.6640625" style="7" customWidth="1"/>
    <col min="13062" max="13062" width="2.6640625" style="7" customWidth="1"/>
    <col min="13063" max="13063" width="12.6640625" style="7" customWidth="1"/>
    <col min="13064" max="13064" width="2.6640625" style="7" customWidth="1"/>
    <col min="13065" max="13065" width="12.6640625" style="7" customWidth="1"/>
    <col min="13066" max="13066" width="2.6640625" style="7" customWidth="1"/>
    <col min="13067" max="13067" width="12.6640625" style="7" customWidth="1"/>
    <col min="13068" max="13068" width="2.6640625" style="7" customWidth="1"/>
    <col min="13069" max="13069" width="12.6640625" style="7" customWidth="1"/>
    <col min="13070" max="13070" width="2.6640625" style="7" customWidth="1"/>
    <col min="13071" max="13071" width="12.6640625" style="7" customWidth="1"/>
    <col min="13072" max="13072" width="2.6640625" style="7" customWidth="1"/>
    <col min="13073" max="13073" width="12.6640625" style="7" customWidth="1"/>
    <col min="13074" max="13074" width="2.6640625" style="7" customWidth="1"/>
    <col min="13075" max="13075" width="12.6640625" style="7" customWidth="1"/>
    <col min="13076" max="13076" width="2.6640625" style="7" customWidth="1"/>
    <col min="13077" max="13077" width="12.6640625" style="7" customWidth="1"/>
    <col min="13078" max="13078" width="2.6640625" style="7" customWidth="1"/>
    <col min="13079" max="13079" width="12.6640625" style="7" customWidth="1"/>
    <col min="13080" max="13080" width="2.6640625" style="7" customWidth="1"/>
    <col min="13081" max="13081" width="12.6640625" style="7" customWidth="1"/>
    <col min="13082" max="13082" width="2.88671875" style="7" customWidth="1"/>
    <col min="13083" max="13083" width="13.6640625" style="7" customWidth="1"/>
    <col min="13084" max="13084" width="2.6640625" style="7" customWidth="1"/>
    <col min="13085" max="13085" width="13.6640625" style="7" customWidth="1"/>
    <col min="13086" max="13086" width="2.6640625" style="7" customWidth="1"/>
    <col min="13087" max="13087" width="12.6640625" style="7" customWidth="1"/>
    <col min="13088" max="13311" width="9.109375" style="7"/>
    <col min="13312" max="13312" width="4.33203125" style="7" customWidth="1"/>
    <col min="13313" max="13313" width="38.88671875" style="7" customWidth="1"/>
    <col min="13314" max="13314" width="2.6640625" style="7" customWidth="1"/>
    <col min="13315" max="13315" width="12.6640625" style="7" customWidth="1"/>
    <col min="13316" max="13316" width="2.6640625" style="7" customWidth="1"/>
    <col min="13317" max="13317" width="12.6640625" style="7" customWidth="1"/>
    <col min="13318" max="13318" width="2.6640625" style="7" customWidth="1"/>
    <col min="13319" max="13319" width="12.6640625" style="7" customWidth="1"/>
    <col min="13320" max="13320" width="2.6640625" style="7" customWidth="1"/>
    <col min="13321" max="13321" width="12.6640625" style="7" customWidth="1"/>
    <col min="13322" max="13322" width="2.6640625" style="7" customWidth="1"/>
    <col min="13323" max="13323" width="12.6640625" style="7" customWidth="1"/>
    <col min="13324" max="13324" width="2.6640625" style="7" customWidth="1"/>
    <col min="13325" max="13325" width="12.6640625" style="7" customWidth="1"/>
    <col min="13326" max="13326" width="2.6640625" style="7" customWidth="1"/>
    <col min="13327" max="13327" width="12.6640625" style="7" customWidth="1"/>
    <col min="13328" max="13328" width="2.6640625" style="7" customWidth="1"/>
    <col min="13329" max="13329" width="12.6640625" style="7" customWidth="1"/>
    <col min="13330" max="13330" width="2.6640625" style="7" customWidth="1"/>
    <col min="13331" max="13331" width="12.6640625" style="7" customWidth="1"/>
    <col min="13332" max="13332" width="2.6640625" style="7" customWidth="1"/>
    <col min="13333" max="13333" width="12.6640625" style="7" customWidth="1"/>
    <col min="13334" max="13334" width="2.6640625" style="7" customWidth="1"/>
    <col min="13335" max="13335" width="12.6640625" style="7" customWidth="1"/>
    <col min="13336" max="13336" width="2.6640625" style="7" customWidth="1"/>
    <col min="13337" max="13337" width="12.6640625" style="7" customWidth="1"/>
    <col min="13338" max="13338" width="2.88671875" style="7" customWidth="1"/>
    <col min="13339" max="13339" width="13.6640625" style="7" customWidth="1"/>
    <col min="13340" max="13340" width="2.6640625" style="7" customWidth="1"/>
    <col min="13341" max="13341" width="13.6640625" style="7" customWidth="1"/>
    <col min="13342" max="13342" width="2.6640625" style="7" customWidth="1"/>
    <col min="13343" max="13343" width="12.6640625" style="7" customWidth="1"/>
    <col min="13344" max="13567" width="9.109375" style="7"/>
    <col min="13568" max="13568" width="4.33203125" style="7" customWidth="1"/>
    <col min="13569" max="13569" width="38.88671875" style="7" customWidth="1"/>
    <col min="13570" max="13570" width="2.6640625" style="7" customWidth="1"/>
    <col min="13571" max="13571" width="12.6640625" style="7" customWidth="1"/>
    <col min="13572" max="13572" width="2.6640625" style="7" customWidth="1"/>
    <col min="13573" max="13573" width="12.6640625" style="7" customWidth="1"/>
    <col min="13574" max="13574" width="2.6640625" style="7" customWidth="1"/>
    <col min="13575" max="13575" width="12.6640625" style="7" customWidth="1"/>
    <col min="13576" max="13576" width="2.6640625" style="7" customWidth="1"/>
    <col min="13577" max="13577" width="12.6640625" style="7" customWidth="1"/>
    <col min="13578" max="13578" width="2.6640625" style="7" customWidth="1"/>
    <col min="13579" max="13579" width="12.6640625" style="7" customWidth="1"/>
    <col min="13580" max="13580" width="2.6640625" style="7" customWidth="1"/>
    <col min="13581" max="13581" width="12.6640625" style="7" customWidth="1"/>
    <col min="13582" max="13582" width="2.6640625" style="7" customWidth="1"/>
    <col min="13583" max="13583" width="12.6640625" style="7" customWidth="1"/>
    <col min="13584" max="13584" width="2.6640625" style="7" customWidth="1"/>
    <col min="13585" max="13585" width="12.6640625" style="7" customWidth="1"/>
    <col min="13586" max="13586" width="2.6640625" style="7" customWidth="1"/>
    <col min="13587" max="13587" width="12.6640625" style="7" customWidth="1"/>
    <col min="13588" max="13588" width="2.6640625" style="7" customWidth="1"/>
    <col min="13589" max="13589" width="12.6640625" style="7" customWidth="1"/>
    <col min="13590" max="13590" width="2.6640625" style="7" customWidth="1"/>
    <col min="13591" max="13591" width="12.6640625" style="7" customWidth="1"/>
    <col min="13592" max="13592" width="2.6640625" style="7" customWidth="1"/>
    <col min="13593" max="13593" width="12.6640625" style="7" customWidth="1"/>
    <col min="13594" max="13594" width="2.88671875" style="7" customWidth="1"/>
    <col min="13595" max="13595" width="13.6640625" style="7" customWidth="1"/>
    <col min="13596" max="13596" width="2.6640625" style="7" customWidth="1"/>
    <col min="13597" max="13597" width="13.6640625" style="7" customWidth="1"/>
    <col min="13598" max="13598" width="2.6640625" style="7" customWidth="1"/>
    <col min="13599" max="13599" width="12.6640625" style="7" customWidth="1"/>
    <col min="13600" max="13823" width="9.109375" style="7"/>
    <col min="13824" max="13824" width="4.33203125" style="7" customWidth="1"/>
    <col min="13825" max="13825" width="38.88671875" style="7" customWidth="1"/>
    <col min="13826" max="13826" width="2.6640625" style="7" customWidth="1"/>
    <col min="13827" max="13827" width="12.6640625" style="7" customWidth="1"/>
    <col min="13828" max="13828" width="2.6640625" style="7" customWidth="1"/>
    <col min="13829" max="13829" width="12.6640625" style="7" customWidth="1"/>
    <col min="13830" max="13830" width="2.6640625" style="7" customWidth="1"/>
    <col min="13831" max="13831" width="12.6640625" style="7" customWidth="1"/>
    <col min="13832" max="13832" width="2.6640625" style="7" customWidth="1"/>
    <col min="13833" max="13833" width="12.6640625" style="7" customWidth="1"/>
    <col min="13834" max="13834" width="2.6640625" style="7" customWidth="1"/>
    <col min="13835" max="13835" width="12.6640625" style="7" customWidth="1"/>
    <col min="13836" max="13836" width="2.6640625" style="7" customWidth="1"/>
    <col min="13837" max="13837" width="12.6640625" style="7" customWidth="1"/>
    <col min="13838" max="13838" width="2.6640625" style="7" customWidth="1"/>
    <col min="13839" max="13839" width="12.6640625" style="7" customWidth="1"/>
    <col min="13840" max="13840" width="2.6640625" style="7" customWidth="1"/>
    <col min="13841" max="13841" width="12.6640625" style="7" customWidth="1"/>
    <col min="13842" max="13842" width="2.6640625" style="7" customWidth="1"/>
    <col min="13843" max="13843" width="12.6640625" style="7" customWidth="1"/>
    <col min="13844" max="13844" width="2.6640625" style="7" customWidth="1"/>
    <col min="13845" max="13845" width="12.6640625" style="7" customWidth="1"/>
    <col min="13846" max="13846" width="2.6640625" style="7" customWidth="1"/>
    <col min="13847" max="13847" width="12.6640625" style="7" customWidth="1"/>
    <col min="13848" max="13848" width="2.6640625" style="7" customWidth="1"/>
    <col min="13849" max="13849" width="12.6640625" style="7" customWidth="1"/>
    <col min="13850" max="13850" width="2.88671875" style="7" customWidth="1"/>
    <col min="13851" max="13851" width="13.6640625" style="7" customWidth="1"/>
    <col min="13852" max="13852" width="2.6640625" style="7" customWidth="1"/>
    <col min="13853" max="13853" width="13.6640625" style="7" customWidth="1"/>
    <col min="13854" max="13854" width="2.6640625" style="7" customWidth="1"/>
    <col min="13855" max="13855" width="12.6640625" style="7" customWidth="1"/>
    <col min="13856" max="14079" width="9.109375" style="7"/>
    <col min="14080" max="14080" width="4.33203125" style="7" customWidth="1"/>
    <col min="14081" max="14081" width="38.88671875" style="7" customWidth="1"/>
    <col min="14082" max="14082" width="2.6640625" style="7" customWidth="1"/>
    <col min="14083" max="14083" width="12.6640625" style="7" customWidth="1"/>
    <col min="14084" max="14084" width="2.6640625" style="7" customWidth="1"/>
    <col min="14085" max="14085" width="12.6640625" style="7" customWidth="1"/>
    <col min="14086" max="14086" width="2.6640625" style="7" customWidth="1"/>
    <col min="14087" max="14087" width="12.6640625" style="7" customWidth="1"/>
    <col min="14088" max="14088" width="2.6640625" style="7" customWidth="1"/>
    <col min="14089" max="14089" width="12.6640625" style="7" customWidth="1"/>
    <col min="14090" max="14090" width="2.6640625" style="7" customWidth="1"/>
    <col min="14091" max="14091" width="12.6640625" style="7" customWidth="1"/>
    <col min="14092" max="14092" width="2.6640625" style="7" customWidth="1"/>
    <col min="14093" max="14093" width="12.6640625" style="7" customWidth="1"/>
    <col min="14094" max="14094" width="2.6640625" style="7" customWidth="1"/>
    <col min="14095" max="14095" width="12.6640625" style="7" customWidth="1"/>
    <col min="14096" max="14096" width="2.6640625" style="7" customWidth="1"/>
    <col min="14097" max="14097" width="12.6640625" style="7" customWidth="1"/>
    <col min="14098" max="14098" width="2.6640625" style="7" customWidth="1"/>
    <col min="14099" max="14099" width="12.6640625" style="7" customWidth="1"/>
    <col min="14100" max="14100" width="2.6640625" style="7" customWidth="1"/>
    <col min="14101" max="14101" width="12.6640625" style="7" customWidth="1"/>
    <col min="14102" max="14102" width="2.6640625" style="7" customWidth="1"/>
    <col min="14103" max="14103" width="12.6640625" style="7" customWidth="1"/>
    <col min="14104" max="14104" width="2.6640625" style="7" customWidth="1"/>
    <col min="14105" max="14105" width="12.6640625" style="7" customWidth="1"/>
    <col min="14106" max="14106" width="2.88671875" style="7" customWidth="1"/>
    <col min="14107" max="14107" width="13.6640625" style="7" customWidth="1"/>
    <col min="14108" max="14108" width="2.6640625" style="7" customWidth="1"/>
    <col min="14109" max="14109" width="13.6640625" style="7" customWidth="1"/>
    <col min="14110" max="14110" width="2.6640625" style="7" customWidth="1"/>
    <col min="14111" max="14111" width="12.6640625" style="7" customWidth="1"/>
    <col min="14112" max="14335" width="9.109375" style="7"/>
    <col min="14336" max="14336" width="4.33203125" style="7" customWidth="1"/>
    <col min="14337" max="14337" width="38.88671875" style="7" customWidth="1"/>
    <col min="14338" max="14338" width="2.6640625" style="7" customWidth="1"/>
    <col min="14339" max="14339" width="12.6640625" style="7" customWidth="1"/>
    <col min="14340" max="14340" width="2.6640625" style="7" customWidth="1"/>
    <col min="14341" max="14341" width="12.6640625" style="7" customWidth="1"/>
    <col min="14342" max="14342" width="2.6640625" style="7" customWidth="1"/>
    <col min="14343" max="14343" width="12.6640625" style="7" customWidth="1"/>
    <col min="14344" max="14344" width="2.6640625" style="7" customWidth="1"/>
    <col min="14345" max="14345" width="12.6640625" style="7" customWidth="1"/>
    <col min="14346" max="14346" width="2.6640625" style="7" customWidth="1"/>
    <col min="14347" max="14347" width="12.6640625" style="7" customWidth="1"/>
    <col min="14348" max="14348" width="2.6640625" style="7" customWidth="1"/>
    <col min="14349" max="14349" width="12.6640625" style="7" customWidth="1"/>
    <col min="14350" max="14350" width="2.6640625" style="7" customWidth="1"/>
    <col min="14351" max="14351" width="12.6640625" style="7" customWidth="1"/>
    <col min="14352" max="14352" width="2.6640625" style="7" customWidth="1"/>
    <col min="14353" max="14353" width="12.6640625" style="7" customWidth="1"/>
    <col min="14354" max="14354" width="2.6640625" style="7" customWidth="1"/>
    <col min="14355" max="14355" width="12.6640625" style="7" customWidth="1"/>
    <col min="14356" max="14356" width="2.6640625" style="7" customWidth="1"/>
    <col min="14357" max="14357" width="12.6640625" style="7" customWidth="1"/>
    <col min="14358" max="14358" width="2.6640625" style="7" customWidth="1"/>
    <col min="14359" max="14359" width="12.6640625" style="7" customWidth="1"/>
    <col min="14360" max="14360" width="2.6640625" style="7" customWidth="1"/>
    <col min="14361" max="14361" width="12.6640625" style="7" customWidth="1"/>
    <col min="14362" max="14362" width="2.88671875" style="7" customWidth="1"/>
    <col min="14363" max="14363" width="13.6640625" style="7" customWidth="1"/>
    <col min="14364" max="14364" width="2.6640625" style="7" customWidth="1"/>
    <col min="14365" max="14365" width="13.6640625" style="7" customWidth="1"/>
    <col min="14366" max="14366" width="2.6640625" style="7" customWidth="1"/>
    <col min="14367" max="14367" width="12.6640625" style="7" customWidth="1"/>
    <col min="14368" max="14591" width="9.109375" style="7"/>
    <col min="14592" max="14592" width="4.33203125" style="7" customWidth="1"/>
    <col min="14593" max="14593" width="38.88671875" style="7" customWidth="1"/>
    <col min="14594" max="14594" width="2.6640625" style="7" customWidth="1"/>
    <col min="14595" max="14595" width="12.6640625" style="7" customWidth="1"/>
    <col min="14596" max="14596" width="2.6640625" style="7" customWidth="1"/>
    <col min="14597" max="14597" width="12.6640625" style="7" customWidth="1"/>
    <col min="14598" max="14598" width="2.6640625" style="7" customWidth="1"/>
    <col min="14599" max="14599" width="12.6640625" style="7" customWidth="1"/>
    <col min="14600" max="14600" width="2.6640625" style="7" customWidth="1"/>
    <col min="14601" max="14601" width="12.6640625" style="7" customWidth="1"/>
    <col min="14602" max="14602" width="2.6640625" style="7" customWidth="1"/>
    <col min="14603" max="14603" width="12.6640625" style="7" customWidth="1"/>
    <col min="14604" max="14604" width="2.6640625" style="7" customWidth="1"/>
    <col min="14605" max="14605" width="12.6640625" style="7" customWidth="1"/>
    <col min="14606" max="14606" width="2.6640625" style="7" customWidth="1"/>
    <col min="14607" max="14607" width="12.6640625" style="7" customWidth="1"/>
    <col min="14608" max="14608" width="2.6640625" style="7" customWidth="1"/>
    <col min="14609" max="14609" width="12.6640625" style="7" customWidth="1"/>
    <col min="14610" max="14610" width="2.6640625" style="7" customWidth="1"/>
    <col min="14611" max="14611" width="12.6640625" style="7" customWidth="1"/>
    <col min="14612" max="14612" width="2.6640625" style="7" customWidth="1"/>
    <col min="14613" max="14613" width="12.6640625" style="7" customWidth="1"/>
    <col min="14614" max="14614" width="2.6640625" style="7" customWidth="1"/>
    <col min="14615" max="14615" width="12.6640625" style="7" customWidth="1"/>
    <col min="14616" max="14616" width="2.6640625" style="7" customWidth="1"/>
    <col min="14617" max="14617" width="12.6640625" style="7" customWidth="1"/>
    <col min="14618" max="14618" width="2.88671875" style="7" customWidth="1"/>
    <col min="14619" max="14619" width="13.6640625" style="7" customWidth="1"/>
    <col min="14620" max="14620" width="2.6640625" style="7" customWidth="1"/>
    <col min="14621" max="14621" width="13.6640625" style="7" customWidth="1"/>
    <col min="14622" max="14622" width="2.6640625" style="7" customWidth="1"/>
    <col min="14623" max="14623" width="12.6640625" style="7" customWidth="1"/>
    <col min="14624" max="14847" width="9.109375" style="7"/>
    <col min="14848" max="14848" width="4.33203125" style="7" customWidth="1"/>
    <col min="14849" max="14849" width="38.88671875" style="7" customWidth="1"/>
    <col min="14850" max="14850" width="2.6640625" style="7" customWidth="1"/>
    <col min="14851" max="14851" width="12.6640625" style="7" customWidth="1"/>
    <col min="14852" max="14852" width="2.6640625" style="7" customWidth="1"/>
    <col min="14853" max="14853" width="12.6640625" style="7" customWidth="1"/>
    <col min="14854" max="14854" width="2.6640625" style="7" customWidth="1"/>
    <col min="14855" max="14855" width="12.6640625" style="7" customWidth="1"/>
    <col min="14856" max="14856" width="2.6640625" style="7" customWidth="1"/>
    <col min="14857" max="14857" width="12.6640625" style="7" customWidth="1"/>
    <col min="14858" max="14858" width="2.6640625" style="7" customWidth="1"/>
    <col min="14859" max="14859" width="12.6640625" style="7" customWidth="1"/>
    <col min="14860" max="14860" width="2.6640625" style="7" customWidth="1"/>
    <col min="14861" max="14861" width="12.6640625" style="7" customWidth="1"/>
    <col min="14862" max="14862" width="2.6640625" style="7" customWidth="1"/>
    <col min="14863" max="14863" width="12.6640625" style="7" customWidth="1"/>
    <col min="14864" max="14864" width="2.6640625" style="7" customWidth="1"/>
    <col min="14865" max="14865" width="12.6640625" style="7" customWidth="1"/>
    <col min="14866" max="14866" width="2.6640625" style="7" customWidth="1"/>
    <col min="14867" max="14867" width="12.6640625" style="7" customWidth="1"/>
    <col min="14868" max="14868" width="2.6640625" style="7" customWidth="1"/>
    <col min="14869" max="14869" width="12.6640625" style="7" customWidth="1"/>
    <col min="14870" max="14870" width="2.6640625" style="7" customWidth="1"/>
    <col min="14871" max="14871" width="12.6640625" style="7" customWidth="1"/>
    <col min="14872" max="14872" width="2.6640625" style="7" customWidth="1"/>
    <col min="14873" max="14873" width="12.6640625" style="7" customWidth="1"/>
    <col min="14874" max="14874" width="2.88671875" style="7" customWidth="1"/>
    <col min="14875" max="14875" width="13.6640625" style="7" customWidth="1"/>
    <col min="14876" max="14876" width="2.6640625" style="7" customWidth="1"/>
    <col min="14877" max="14877" width="13.6640625" style="7" customWidth="1"/>
    <col min="14878" max="14878" width="2.6640625" style="7" customWidth="1"/>
    <col min="14879" max="14879" width="12.6640625" style="7" customWidth="1"/>
    <col min="14880" max="15103" width="9.109375" style="7"/>
    <col min="15104" max="15104" width="4.33203125" style="7" customWidth="1"/>
    <col min="15105" max="15105" width="38.88671875" style="7" customWidth="1"/>
    <col min="15106" max="15106" width="2.6640625" style="7" customWidth="1"/>
    <col min="15107" max="15107" width="12.6640625" style="7" customWidth="1"/>
    <col min="15108" max="15108" width="2.6640625" style="7" customWidth="1"/>
    <col min="15109" max="15109" width="12.6640625" style="7" customWidth="1"/>
    <col min="15110" max="15110" width="2.6640625" style="7" customWidth="1"/>
    <col min="15111" max="15111" width="12.6640625" style="7" customWidth="1"/>
    <col min="15112" max="15112" width="2.6640625" style="7" customWidth="1"/>
    <col min="15113" max="15113" width="12.6640625" style="7" customWidth="1"/>
    <col min="15114" max="15114" width="2.6640625" style="7" customWidth="1"/>
    <col min="15115" max="15115" width="12.6640625" style="7" customWidth="1"/>
    <col min="15116" max="15116" width="2.6640625" style="7" customWidth="1"/>
    <col min="15117" max="15117" width="12.6640625" style="7" customWidth="1"/>
    <col min="15118" max="15118" width="2.6640625" style="7" customWidth="1"/>
    <col min="15119" max="15119" width="12.6640625" style="7" customWidth="1"/>
    <col min="15120" max="15120" width="2.6640625" style="7" customWidth="1"/>
    <col min="15121" max="15121" width="12.6640625" style="7" customWidth="1"/>
    <col min="15122" max="15122" width="2.6640625" style="7" customWidth="1"/>
    <col min="15123" max="15123" width="12.6640625" style="7" customWidth="1"/>
    <col min="15124" max="15124" width="2.6640625" style="7" customWidth="1"/>
    <col min="15125" max="15125" width="12.6640625" style="7" customWidth="1"/>
    <col min="15126" max="15126" width="2.6640625" style="7" customWidth="1"/>
    <col min="15127" max="15127" width="12.6640625" style="7" customWidth="1"/>
    <col min="15128" max="15128" width="2.6640625" style="7" customWidth="1"/>
    <col min="15129" max="15129" width="12.6640625" style="7" customWidth="1"/>
    <col min="15130" max="15130" width="2.88671875" style="7" customWidth="1"/>
    <col min="15131" max="15131" width="13.6640625" style="7" customWidth="1"/>
    <col min="15132" max="15132" width="2.6640625" style="7" customWidth="1"/>
    <col min="15133" max="15133" width="13.6640625" style="7" customWidth="1"/>
    <col min="15134" max="15134" width="2.6640625" style="7" customWidth="1"/>
    <col min="15135" max="15135" width="12.6640625" style="7" customWidth="1"/>
    <col min="15136" max="15359" width="9.109375" style="7"/>
    <col min="15360" max="15360" width="4.33203125" style="7" customWidth="1"/>
    <col min="15361" max="15361" width="38.88671875" style="7" customWidth="1"/>
    <col min="15362" max="15362" width="2.6640625" style="7" customWidth="1"/>
    <col min="15363" max="15363" width="12.6640625" style="7" customWidth="1"/>
    <col min="15364" max="15364" width="2.6640625" style="7" customWidth="1"/>
    <col min="15365" max="15365" width="12.6640625" style="7" customWidth="1"/>
    <col min="15366" max="15366" width="2.6640625" style="7" customWidth="1"/>
    <col min="15367" max="15367" width="12.6640625" style="7" customWidth="1"/>
    <col min="15368" max="15368" width="2.6640625" style="7" customWidth="1"/>
    <col min="15369" max="15369" width="12.6640625" style="7" customWidth="1"/>
    <col min="15370" max="15370" width="2.6640625" style="7" customWidth="1"/>
    <col min="15371" max="15371" width="12.6640625" style="7" customWidth="1"/>
    <col min="15372" max="15372" width="2.6640625" style="7" customWidth="1"/>
    <col min="15373" max="15373" width="12.6640625" style="7" customWidth="1"/>
    <col min="15374" max="15374" width="2.6640625" style="7" customWidth="1"/>
    <col min="15375" max="15375" width="12.6640625" style="7" customWidth="1"/>
    <col min="15376" max="15376" width="2.6640625" style="7" customWidth="1"/>
    <col min="15377" max="15377" width="12.6640625" style="7" customWidth="1"/>
    <col min="15378" max="15378" width="2.6640625" style="7" customWidth="1"/>
    <col min="15379" max="15379" width="12.6640625" style="7" customWidth="1"/>
    <col min="15380" max="15380" width="2.6640625" style="7" customWidth="1"/>
    <col min="15381" max="15381" width="12.6640625" style="7" customWidth="1"/>
    <col min="15382" max="15382" width="2.6640625" style="7" customWidth="1"/>
    <col min="15383" max="15383" width="12.6640625" style="7" customWidth="1"/>
    <col min="15384" max="15384" width="2.6640625" style="7" customWidth="1"/>
    <col min="15385" max="15385" width="12.6640625" style="7" customWidth="1"/>
    <col min="15386" max="15386" width="2.88671875" style="7" customWidth="1"/>
    <col min="15387" max="15387" width="13.6640625" style="7" customWidth="1"/>
    <col min="15388" max="15388" width="2.6640625" style="7" customWidth="1"/>
    <col min="15389" max="15389" width="13.6640625" style="7" customWidth="1"/>
    <col min="15390" max="15390" width="2.6640625" style="7" customWidth="1"/>
    <col min="15391" max="15391" width="12.6640625" style="7" customWidth="1"/>
    <col min="15392" max="15615" width="9.109375" style="7"/>
    <col min="15616" max="15616" width="4.33203125" style="7" customWidth="1"/>
    <col min="15617" max="15617" width="38.88671875" style="7" customWidth="1"/>
    <col min="15618" max="15618" width="2.6640625" style="7" customWidth="1"/>
    <col min="15619" max="15619" width="12.6640625" style="7" customWidth="1"/>
    <col min="15620" max="15620" width="2.6640625" style="7" customWidth="1"/>
    <col min="15621" max="15621" width="12.6640625" style="7" customWidth="1"/>
    <col min="15622" max="15622" width="2.6640625" style="7" customWidth="1"/>
    <col min="15623" max="15623" width="12.6640625" style="7" customWidth="1"/>
    <col min="15624" max="15624" width="2.6640625" style="7" customWidth="1"/>
    <col min="15625" max="15625" width="12.6640625" style="7" customWidth="1"/>
    <col min="15626" max="15626" width="2.6640625" style="7" customWidth="1"/>
    <col min="15627" max="15627" width="12.6640625" style="7" customWidth="1"/>
    <col min="15628" max="15628" width="2.6640625" style="7" customWidth="1"/>
    <col min="15629" max="15629" width="12.6640625" style="7" customWidth="1"/>
    <col min="15630" max="15630" width="2.6640625" style="7" customWidth="1"/>
    <col min="15631" max="15631" width="12.6640625" style="7" customWidth="1"/>
    <col min="15632" max="15632" width="2.6640625" style="7" customWidth="1"/>
    <col min="15633" max="15633" width="12.6640625" style="7" customWidth="1"/>
    <col min="15634" max="15634" width="2.6640625" style="7" customWidth="1"/>
    <col min="15635" max="15635" width="12.6640625" style="7" customWidth="1"/>
    <col min="15636" max="15636" width="2.6640625" style="7" customWidth="1"/>
    <col min="15637" max="15637" width="12.6640625" style="7" customWidth="1"/>
    <col min="15638" max="15638" width="2.6640625" style="7" customWidth="1"/>
    <col min="15639" max="15639" width="12.6640625" style="7" customWidth="1"/>
    <col min="15640" max="15640" width="2.6640625" style="7" customWidth="1"/>
    <col min="15641" max="15641" width="12.6640625" style="7" customWidth="1"/>
    <col min="15642" max="15642" width="2.88671875" style="7" customWidth="1"/>
    <col min="15643" max="15643" width="13.6640625" style="7" customWidth="1"/>
    <col min="15644" max="15644" width="2.6640625" style="7" customWidth="1"/>
    <col min="15645" max="15645" width="13.6640625" style="7" customWidth="1"/>
    <col min="15646" max="15646" width="2.6640625" style="7" customWidth="1"/>
    <col min="15647" max="15647" width="12.6640625" style="7" customWidth="1"/>
    <col min="15648" max="15871" width="9.109375" style="7"/>
    <col min="15872" max="15872" width="4.33203125" style="7" customWidth="1"/>
    <col min="15873" max="15873" width="38.88671875" style="7" customWidth="1"/>
    <col min="15874" max="15874" width="2.6640625" style="7" customWidth="1"/>
    <col min="15875" max="15875" width="12.6640625" style="7" customWidth="1"/>
    <col min="15876" max="15876" width="2.6640625" style="7" customWidth="1"/>
    <col min="15877" max="15877" width="12.6640625" style="7" customWidth="1"/>
    <col min="15878" max="15878" width="2.6640625" style="7" customWidth="1"/>
    <col min="15879" max="15879" width="12.6640625" style="7" customWidth="1"/>
    <col min="15880" max="15880" width="2.6640625" style="7" customWidth="1"/>
    <col min="15881" max="15881" width="12.6640625" style="7" customWidth="1"/>
    <col min="15882" max="15882" width="2.6640625" style="7" customWidth="1"/>
    <col min="15883" max="15883" width="12.6640625" style="7" customWidth="1"/>
    <col min="15884" max="15884" width="2.6640625" style="7" customWidth="1"/>
    <col min="15885" max="15885" width="12.6640625" style="7" customWidth="1"/>
    <col min="15886" max="15886" width="2.6640625" style="7" customWidth="1"/>
    <col min="15887" max="15887" width="12.6640625" style="7" customWidth="1"/>
    <col min="15888" max="15888" width="2.6640625" style="7" customWidth="1"/>
    <col min="15889" max="15889" width="12.6640625" style="7" customWidth="1"/>
    <col min="15890" max="15890" width="2.6640625" style="7" customWidth="1"/>
    <col min="15891" max="15891" width="12.6640625" style="7" customWidth="1"/>
    <col min="15892" max="15892" width="2.6640625" style="7" customWidth="1"/>
    <col min="15893" max="15893" width="12.6640625" style="7" customWidth="1"/>
    <col min="15894" max="15894" width="2.6640625" style="7" customWidth="1"/>
    <col min="15895" max="15895" width="12.6640625" style="7" customWidth="1"/>
    <col min="15896" max="15896" width="2.6640625" style="7" customWidth="1"/>
    <col min="15897" max="15897" width="12.6640625" style="7" customWidth="1"/>
    <col min="15898" max="15898" width="2.88671875" style="7" customWidth="1"/>
    <col min="15899" max="15899" width="13.6640625" style="7" customWidth="1"/>
    <col min="15900" max="15900" width="2.6640625" style="7" customWidth="1"/>
    <col min="15901" max="15901" width="13.6640625" style="7" customWidth="1"/>
    <col min="15902" max="15902" width="2.6640625" style="7" customWidth="1"/>
    <col min="15903" max="15903" width="12.6640625" style="7" customWidth="1"/>
    <col min="15904" max="16127" width="9.109375" style="7"/>
    <col min="16128" max="16128" width="4.33203125" style="7" customWidth="1"/>
    <col min="16129" max="16129" width="38.88671875" style="7" customWidth="1"/>
    <col min="16130" max="16130" width="2.6640625" style="7" customWidth="1"/>
    <col min="16131" max="16131" width="12.6640625" style="7" customWidth="1"/>
    <col min="16132" max="16132" width="2.6640625" style="7" customWidth="1"/>
    <col min="16133" max="16133" width="12.6640625" style="7" customWidth="1"/>
    <col min="16134" max="16134" width="2.6640625" style="7" customWidth="1"/>
    <col min="16135" max="16135" width="12.6640625" style="7" customWidth="1"/>
    <col min="16136" max="16136" width="2.6640625" style="7" customWidth="1"/>
    <col min="16137" max="16137" width="12.6640625" style="7" customWidth="1"/>
    <col min="16138" max="16138" width="2.6640625" style="7" customWidth="1"/>
    <col min="16139" max="16139" width="12.6640625" style="7" customWidth="1"/>
    <col min="16140" max="16140" width="2.6640625" style="7" customWidth="1"/>
    <col min="16141" max="16141" width="12.6640625" style="7" customWidth="1"/>
    <col min="16142" max="16142" width="2.6640625" style="7" customWidth="1"/>
    <col min="16143" max="16143" width="12.6640625" style="7" customWidth="1"/>
    <col min="16144" max="16144" width="2.6640625" style="7" customWidth="1"/>
    <col min="16145" max="16145" width="12.6640625" style="7" customWidth="1"/>
    <col min="16146" max="16146" width="2.6640625" style="7" customWidth="1"/>
    <col min="16147" max="16147" width="12.6640625" style="7" customWidth="1"/>
    <col min="16148" max="16148" width="2.6640625" style="7" customWidth="1"/>
    <col min="16149" max="16149" width="12.6640625" style="7" customWidth="1"/>
    <col min="16150" max="16150" width="2.6640625" style="7" customWidth="1"/>
    <col min="16151" max="16151" width="12.6640625" style="7" customWidth="1"/>
    <col min="16152" max="16152" width="2.6640625" style="7" customWidth="1"/>
    <col min="16153" max="16153" width="12.6640625" style="7" customWidth="1"/>
    <col min="16154" max="16154" width="2.88671875" style="7" customWidth="1"/>
    <col min="16155" max="16155" width="13.6640625" style="7" customWidth="1"/>
    <col min="16156" max="16156" width="2.6640625" style="7" customWidth="1"/>
    <col min="16157" max="16157" width="13.6640625" style="7" customWidth="1"/>
    <col min="16158" max="16158" width="2.6640625" style="7" customWidth="1"/>
    <col min="16159" max="16159" width="12.6640625" style="7" customWidth="1"/>
    <col min="16160" max="16384" width="9.109375" style="7"/>
  </cols>
  <sheetData>
    <row r="1" spans="1:51" ht="13.8">
      <c r="A1" s="129" t="s">
        <v>110</v>
      </c>
    </row>
    <row r="2" spans="1:51" ht="18">
      <c r="A2" s="124" t="s">
        <v>106</v>
      </c>
      <c r="B2" s="93"/>
      <c r="C2" s="93"/>
      <c r="D2" s="93"/>
      <c r="E2" s="93"/>
      <c r="F2" s="93"/>
      <c r="G2" s="93"/>
      <c r="H2" s="93"/>
      <c r="I2" s="94"/>
      <c r="J2" s="93"/>
      <c r="K2" s="94"/>
      <c r="L2" s="95"/>
      <c r="M2" s="94"/>
      <c r="N2" s="95"/>
      <c r="O2" s="94"/>
      <c r="P2" s="95"/>
      <c r="Q2" s="94"/>
      <c r="R2" s="95"/>
      <c r="S2" s="94"/>
      <c r="T2" s="95"/>
      <c r="U2" s="94"/>
      <c r="V2" s="95"/>
      <c r="W2" s="94"/>
      <c r="X2" s="95"/>
      <c r="Y2" s="94"/>
      <c r="Z2" s="95"/>
      <c r="AA2" s="96"/>
      <c r="AB2" s="95"/>
      <c r="AC2" s="94"/>
      <c r="AD2" s="94"/>
      <c r="AE2" s="94"/>
      <c r="AF2" s="97"/>
    </row>
    <row r="3" spans="1:51" ht="18">
      <c r="A3" s="84" t="s">
        <v>90</v>
      </c>
      <c r="B3" s="98"/>
      <c r="C3" s="98"/>
      <c r="D3" s="98"/>
      <c r="E3" s="98"/>
      <c r="F3" s="98"/>
      <c r="G3" s="98"/>
      <c r="H3" s="98"/>
      <c r="I3" s="99"/>
      <c r="J3" s="98"/>
      <c r="K3" s="99"/>
      <c r="L3" s="40"/>
      <c r="M3" s="99"/>
      <c r="N3" s="40"/>
      <c r="O3" s="99"/>
      <c r="P3" s="40"/>
      <c r="Q3" s="99"/>
      <c r="R3" s="40"/>
      <c r="S3" s="99"/>
      <c r="T3" s="40"/>
      <c r="U3" s="99"/>
      <c r="V3" s="40"/>
      <c r="W3" s="99"/>
      <c r="X3" s="40"/>
      <c r="Y3" s="99"/>
      <c r="Z3" s="40"/>
      <c r="AA3" s="100"/>
      <c r="AB3" s="40"/>
      <c r="AC3" s="99"/>
      <c r="AD3" s="99"/>
      <c r="AE3" s="99"/>
      <c r="AF3" s="101"/>
    </row>
    <row r="4" spans="1:51" s="50" customFormat="1" ht="24" customHeight="1" thickBot="1">
      <c r="A4" s="170" t="s">
        <v>27</v>
      </c>
      <c r="B4" s="171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  <c r="AA4" s="171"/>
      <c r="AB4" s="171"/>
      <c r="AC4" s="171"/>
      <c r="AD4" s="171"/>
      <c r="AE4" s="171"/>
      <c r="AF4" s="172"/>
      <c r="AG4" s="83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3"/>
      <c r="AT4" s="83"/>
      <c r="AU4" s="83"/>
      <c r="AV4" s="83"/>
      <c r="AW4" s="83"/>
      <c r="AX4" s="83"/>
      <c r="AY4" s="83"/>
    </row>
    <row r="5" spans="1:51" ht="33.75" customHeight="1" thickBot="1">
      <c r="A5" s="120" t="s">
        <v>89</v>
      </c>
      <c r="B5" s="40"/>
      <c r="C5" s="99"/>
      <c r="D5" s="40"/>
      <c r="E5" s="99"/>
      <c r="F5" s="40"/>
      <c r="G5" s="99"/>
      <c r="H5" s="40"/>
      <c r="I5" s="99"/>
      <c r="J5" s="40"/>
      <c r="K5" s="99"/>
      <c r="L5" s="40"/>
      <c r="M5" s="99"/>
      <c r="N5" s="40"/>
      <c r="O5" s="99"/>
      <c r="P5" s="40"/>
      <c r="Q5" s="99"/>
      <c r="R5" s="40"/>
      <c r="S5" s="99"/>
      <c r="T5" s="40"/>
      <c r="U5" s="99"/>
      <c r="V5" s="40"/>
      <c r="W5" s="99"/>
      <c r="X5" s="40"/>
      <c r="Y5" s="99"/>
      <c r="Z5" s="40"/>
      <c r="AA5" s="99"/>
      <c r="AB5" s="40"/>
      <c r="AC5" s="99"/>
      <c r="AD5" s="99"/>
      <c r="AE5" s="104"/>
      <c r="AF5" s="101"/>
    </row>
    <row r="6" spans="1:51" s="50" customFormat="1">
      <c r="A6" s="65"/>
      <c r="B6" s="92"/>
      <c r="C6" s="174" t="s">
        <v>75</v>
      </c>
      <c r="D6" s="174"/>
      <c r="E6" s="174"/>
      <c r="F6" s="174"/>
      <c r="G6" s="174"/>
      <c r="H6" s="174"/>
      <c r="I6" s="174"/>
      <c r="J6" s="174"/>
      <c r="K6" s="175"/>
      <c r="L6" s="44"/>
      <c r="M6" s="174" t="s">
        <v>76</v>
      </c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60"/>
      <c r="AA6" s="60"/>
      <c r="AB6" s="60"/>
      <c r="AC6" s="60"/>
      <c r="AD6" s="72"/>
      <c r="AE6" s="121"/>
      <c r="AF6" s="122"/>
    </row>
    <row r="7" spans="1:51">
      <c r="A7" s="105"/>
      <c r="B7" s="40"/>
      <c r="C7" s="80" t="s">
        <v>38</v>
      </c>
      <c r="D7" s="81"/>
      <c r="E7" s="80" t="s">
        <v>39</v>
      </c>
      <c r="F7" s="81"/>
      <c r="G7" s="80" t="s">
        <v>28</v>
      </c>
      <c r="H7" s="45"/>
      <c r="I7" s="80" t="s">
        <v>29</v>
      </c>
      <c r="J7" s="81"/>
      <c r="K7" s="80" t="s">
        <v>30</v>
      </c>
      <c r="L7" s="79"/>
      <c r="M7" s="80" t="s">
        <v>31</v>
      </c>
      <c r="N7" s="81"/>
      <c r="O7" s="80" t="s">
        <v>32</v>
      </c>
      <c r="P7" s="81"/>
      <c r="Q7" s="80" t="s">
        <v>33</v>
      </c>
      <c r="R7" s="81"/>
      <c r="S7" s="80" t="s">
        <v>34</v>
      </c>
      <c r="T7" s="81"/>
      <c r="U7" s="80" t="s">
        <v>35</v>
      </c>
      <c r="V7" s="81"/>
      <c r="W7" s="80" t="s">
        <v>36</v>
      </c>
      <c r="X7" s="81"/>
      <c r="Y7" s="80" t="s">
        <v>37</v>
      </c>
      <c r="Z7" s="81"/>
      <c r="AA7" s="125" t="s">
        <v>98</v>
      </c>
      <c r="AB7" s="81"/>
      <c r="AC7" s="125" t="s">
        <v>99</v>
      </c>
      <c r="AD7" s="123"/>
      <c r="AE7" s="126" t="s">
        <v>18</v>
      </c>
      <c r="AF7" s="91" t="s">
        <v>101</v>
      </c>
    </row>
    <row r="8" spans="1:51">
      <c r="A8" s="76" t="s">
        <v>40</v>
      </c>
      <c r="B8" s="27" t="s">
        <v>41</v>
      </c>
      <c r="C8" s="107">
        <v>0</v>
      </c>
      <c r="D8" s="25" t="s">
        <v>41</v>
      </c>
      <c r="E8" s="24">
        <f>+C32</f>
        <v>0</v>
      </c>
      <c r="F8" s="25" t="s">
        <v>41</v>
      </c>
      <c r="G8" s="24">
        <f>+E32</f>
        <v>0</v>
      </c>
      <c r="H8" s="25" t="s">
        <v>41</v>
      </c>
      <c r="I8" s="24">
        <f>+G32</f>
        <v>0</v>
      </c>
      <c r="J8" s="25" t="s">
        <v>41</v>
      </c>
      <c r="K8" s="24">
        <f>+I32</f>
        <v>0</v>
      </c>
      <c r="L8" s="46" t="s">
        <v>41</v>
      </c>
      <c r="M8" s="24">
        <f>+K32</f>
        <v>0</v>
      </c>
      <c r="N8" s="25" t="s">
        <v>41</v>
      </c>
      <c r="O8" s="24">
        <f>+M32</f>
        <v>0</v>
      </c>
      <c r="P8" s="25" t="s">
        <v>41</v>
      </c>
      <c r="Q8" s="24">
        <f>+O32</f>
        <v>0</v>
      </c>
      <c r="R8" s="25" t="s">
        <v>41</v>
      </c>
      <c r="S8" s="24">
        <f>+Q32</f>
        <v>0</v>
      </c>
      <c r="T8" s="25" t="s">
        <v>41</v>
      </c>
      <c r="U8" s="24">
        <f>+S32</f>
        <v>0</v>
      </c>
      <c r="V8" s="25" t="s">
        <v>41</v>
      </c>
      <c r="W8" s="24">
        <f>+U32</f>
        <v>0</v>
      </c>
      <c r="X8" s="25" t="s">
        <v>41</v>
      </c>
      <c r="Y8" s="24">
        <f>+W32</f>
        <v>0</v>
      </c>
      <c r="Z8" s="25" t="s">
        <v>41</v>
      </c>
      <c r="AA8" s="108" t="s">
        <v>42</v>
      </c>
      <c r="AB8" s="25" t="s">
        <v>41</v>
      </c>
      <c r="AC8" s="109">
        <v>0</v>
      </c>
      <c r="AD8" s="24"/>
      <c r="AE8" s="54">
        <f>AC8-C8</f>
        <v>0</v>
      </c>
      <c r="AF8" s="161"/>
    </row>
    <row r="9" spans="1:51">
      <c r="A9" s="105"/>
      <c r="B9" s="40"/>
      <c r="C9" s="42"/>
      <c r="D9" s="26"/>
      <c r="E9" s="42"/>
      <c r="F9" s="26"/>
      <c r="G9" s="42"/>
      <c r="H9" s="26"/>
      <c r="I9" s="42"/>
      <c r="J9" s="26"/>
      <c r="K9" s="42"/>
      <c r="L9" s="47"/>
      <c r="M9" s="42"/>
      <c r="N9" s="26"/>
      <c r="O9" s="42"/>
      <c r="P9" s="26"/>
      <c r="Q9" s="42"/>
      <c r="R9" s="26"/>
      <c r="S9" s="42"/>
      <c r="T9" s="26"/>
      <c r="U9" s="42"/>
      <c r="V9" s="26"/>
      <c r="W9" s="42"/>
      <c r="X9" s="26"/>
      <c r="Y9" s="42"/>
      <c r="Z9" s="26"/>
      <c r="AA9" s="42"/>
      <c r="AB9" s="26"/>
      <c r="AC9" s="42"/>
      <c r="AD9" s="42"/>
      <c r="AE9" s="61"/>
      <c r="AF9" s="161"/>
    </row>
    <row r="10" spans="1:51">
      <c r="A10" s="86" t="s">
        <v>91</v>
      </c>
      <c r="B10" s="27"/>
      <c r="C10" s="42"/>
      <c r="D10" s="25"/>
      <c r="E10" s="42"/>
      <c r="F10" s="25"/>
      <c r="G10" s="42"/>
      <c r="H10" s="25"/>
      <c r="I10" s="42"/>
      <c r="J10" s="25"/>
      <c r="K10" s="42"/>
      <c r="L10" s="46"/>
      <c r="M10" s="42"/>
      <c r="N10" s="25"/>
      <c r="O10" s="42"/>
      <c r="P10" s="25"/>
      <c r="Q10" s="42"/>
      <c r="R10" s="25"/>
      <c r="S10" s="42"/>
      <c r="T10" s="25"/>
      <c r="U10" s="42"/>
      <c r="V10" s="25"/>
      <c r="W10" s="42"/>
      <c r="X10" s="25"/>
      <c r="Y10" s="42"/>
      <c r="Z10" s="25"/>
      <c r="AA10" s="42"/>
      <c r="AB10" s="25"/>
      <c r="AC10" s="42"/>
      <c r="AD10" s="42"/>
      <c r="AE10" s="61"/>
      <c r="AF10" s="161"/>
    </row>
    <row r="11" spans="1:51">
      <c r="A11" s="110" t="s">
        <v>22</v>
      </c>
      <c r="B11" s="40" t="s">
        <v>41</v>
      </c>
      <c r="C11" s="48">
        <v>0</v>
      </c>
      <c r="D11" s="26" t="s">
        <v>41</v>
      </c>
      <c r="E11" s="48">
        <v>0</v>
      </c>
      <c r="F11" s="165" t="s">
        <v>41</v>
      </c>
      <c r="G11" s="48">
        <v>0</v>
      </c>
      <c r="H11" s="26" t="s">
        <v>41</v>
      </c>
      <c r="I11" s="48">
        <v>0</v>
      </c>
      <c r="J11" s="165" t="s">
        <v>41</v>
      </c>
      <c r="K11" s="48">
        <v>0</v>
      </c>
      <c r="L11" s="47" t="s">
        <v>41</v>
      </c>
      <c r="M11" s="48">
        <v>0</v>
      </c>
      <c r="N11" s="26" t="s">
        <v>41</v>
      </c>
      <c r="O11" s="48">
        <v>0</v>
      </c>
      <c r="P11" s="26" t="s">
        <v>41</v>
      </c>
      <c r="Q11" s="48">
        <v>0</v>
      </c>
      <c r="R11" s="26" t="s">
        <v>41</v>
      </c>
      <c r="S11" s="48">
        <v>0</v>
      </c>
      <c r="T11" s="26" t="s">
        <v>41</v>
      </c>
      <c r="U11" s="48">
        <v>0</v>
      </c>
      <c r="V11" s="26" t="s">
        <v>41</v>
      </c>
      <c r="W11" s="48">
        <v>0</v>
      </c>
      <c r="X11" s="26" t="s">
        <v>41</v>
      </c>
      <c r="Y11" s="48">
        <v>0</v>
      </c>
      <c r="Z11" s="26" t="s">
        <v>41</v>
      </c>
      <c r="AA11" s="42">
        <f>SUM(C11:Z11)</f>
        <v>0</v>
      </c>
      <c r="AB11" s="26" t="s">
        <v>41</v>
      </c>
      <c r="AC11" s="48">
        <v>0</v>
      </c>
      <c r="AD11" s="26" t="s">
        <v>41</v>
      </c>
      <c r="AE11" s="61">
        <f>AA11-AC11</f>
        <v>0</v>
      </c>
      <c r="AF11" s="161"/>
    </row>
    <row r="12" spans="1:51">
      <c r="A12" s="110" t="s">
        <v>79</v>
      </c>
      <c r="B12" s="40" t="s">
        <v>41</v>
      </c>
      <c r="C12" s="48">
        <v>0</v>
      </c>
      <c r="D12" s="26" t="s">
        <v>41</v>
      </c>
      <c r="E12" s="48">
        <v>0</v>
      </c>
      <c r="F12" s="26" t="s">
        <v>41</v>
      </c>
      <c r="G12" s="48">
        <v>0</v>
      </c>
      <c r="H12" s="26" t="s">
        <v>41</v>
      </c>
      <c r="I12" s="48">
        <v>0</v>
      </c>
      <c r="J12" s="26" t="s">
        <v>41</v>
      </c>
      <c r="K12" s="48">
        <v>0</v>
      </c>
      <c r="L12" s="47" t="s">
        <v>41</v>
      </c>
      <c r="M12" s="48">
        <v>0</v>
      </c>
      <c r="N12" s="26" t="s">
        <v>41</v>
      </c>
      <c r="O12" s="48">
        <v>0</v>
      </c>
      <c r="P12" s="26" t="s">
        <v>41</v>
      </c>
      <c r="Q12" s="48">
        <v>0</v>
      </c>
      <c r="R12" s="26" t="s">
        <v>41</v>
      </c>
      <c r="S12" s="48">
        <v>0</v>
      </c>
      <c r="T12" s="26" t="s">
        <v>41</v>
      </c>
      <c r="U12" s="48">
        <v>0</v>
      </c>
      <c r="V12" s="26" t="s">
        <v>41</v>
      </c>
      <c r="W12" s="48">
        <v>0</v>
      </c>
      <c r="X12" s="26" t="s">
        <v>41</v>
      </c>
      <c r="Y12" s="48">
        <v>0</v>
      </c>
      <c r="Z12" s="26" t="s">
        <v>41</v>
      </c>
      <c r="AA12" s="42">
        <f t="shared" ref="AA12:AA15" si="0">SUM(C12:Z12)</f>
        <v>0</v>
      </c>
      <c r="AB12" s="26" t="s">
        <v>41</v>
      </c>
      <c r="AC12" s="48">
        <v>0</v>
      </c>
      <c r="AD12" s="26" t="s">
        <v>41</v>
      </c>
      <c r="AE12" s="61">
        <f>AA12-AC12</f>
        <v>0</v>
      </c>
      <c r="AF12" s="161"/>
    </row>
    <row r="13" spans="1:51">
      <c r="A13" s="110" t="s">
        <v>93</v>
      </c>
      <c r="B13" s="40" t="s">
        <v>41</v>
      </c>
      <c r="C13" s="48">
        <v>0</v>
      </c>
      <c r="D13" s="26" t="s">
        <v>41</v>
      </c>
      <c r="E13" s="48">
        <v>0</v>
      </c>
      <c r="F13" s="26" t="s">
        <v>41</v>
      </c>
      <c r="G13" s="48">
        <v>0</v>
      </c>
      <c r="H13" s="26" t="s">
        <v>41</v>
      </c>
      <c r="I13" s="48">
        <v>0</v>
      </c>
      <c r="J13" s="26" t="s">
        <v>41</v>
      </c>
      <c r="K13" s="48">
        <v>0</v>
      </c>
      <c r="L13" s="47" t="s">
        <v>41</v>
      </c>
      <c r="M13" s="48">
        <v>0</v>
      </c>
      <c r="N13" s="26" t="s">
        <v>41</v>
      </c>
      <c r="O13" s="48">
        <v>0</v>
      </c>
      <c r="P13" s="26" t="s">
        <v>41</v>
      </c>
      <c r="Q13" s="48">
        <v>0</v>
      </c>
      <c r="R13" s="26" t="s">
        <v>41</v>
      </c>
      <c r="S13" s="48">
        <v>0</v>
      </c>
      <c r="T13" s="26" t="s">
        <v>41</v>
      </c>
      <c r="U13" s="48">
        <v>0</v>
      </c>
      <c r="V13" s="26" t="s">
        <v>41</v>
      </c>
      <c r="W13" s="48">
        <v>0</v>
      </c>
      <c r="X13" s="26" t="s">
        <v>41</v>
      </c>
      <c r="Y13" s="48">
        <v>0</v>
      </c>
      <c r="Z13" s="26" t="s">
        <v>41</v>
      </c>
      <c r="AA13" s="42">
        <f t="shared" si="0"/>
        <v>0</v>
      </c>
      <c r="AB13" s="26" t="s">
        <v>41</v>
      </c>
      <c r="AC13" s="48">
        <v>0</v>
      </c>
      <c r="AD13" s="26" t="s">
        <v>41</v>
      </c>
      <c r="AE13" s="61">
        <f>AA13-AC13</f>
        <v>0</v>
      </c>
      <c r="AF13" s="161"/>
    </row>
    <row r="14" spans="1:51">
      <c r="A14" s="110" t="s">
        <v>44</v>
      </c>
      <c r="B14" s="40" t="s">
        <v>41</v>
      </c>
      <c r="C14" s="48">
        <v>0</v>
      </c>
      <c r="D14" s="26" t="s">
        <v>41</v>
      </c>
      <c r="E14" s="48">
        <v>0</v>
      </c>
      <c r="F14" s="165" t="s">
        <v>41</v>
      </c>
      <c r="G14" s="48">
        <v>0</v>
      </c>
      <c r="H14" s="26" t="s">
        <v>41</v>
      </c>
      <c r="I14" s="48">
        <v>0</v>
      </c>
      <c r="J14" s="165" t="s">
        <v>41</v>
      </c>
      <c r="K14" s="48">
        <v>0</v>
      </c>
      <c r="L14" s="47" t="s">
        <v>41</v>
      </c>
      <c r="M14" s="48">
        <v>0</v>
      </c>
      <c r="N14" s="26" t="s">
        <v>41</v>
      </c>
      <c r="O14" s="48">
        <v>0</v>
      </c>
      <c r="P14" s="26" t="s">
        <v>41</v>
      </c>
      <c r="Q14" s="48">
        <v>0</v>
      </c>
      <c r="R14" s="26" t="s">
        <v>41</v>
      </c>
      <c r="S14" s="48">
        <v>0</v>
      </c>
      <c r="T14" s="26" t="s">
        <v>41</v>
      </c>
      <c r="U14" s="48">
        <v>0</v>
      </c>
      <c r="V14" s="26" t="s">
        <v>41</v>
      </c>
      <c r="W14" s="48">
        <v>0</v>
      </c>
      <c r="X14" s="26" t="s">
        <v>41</v>
      </c>
      <c r="Y14" s="48">
        <v>0</v>
      </c>
      <c r="Z14" s="26" t="s">
        <v>41</v>
      </c>
      <c r="AA14" s="42">
        <f t="shared" si="0"/>
        <v>0</v>
      </c>
      <c r="AB14" s="26" t="s">
        <v>41</v>
      </c>
      <c r="AC14" s="48">
        <v>0</v>
      </c>
      <c r="AD14" s="26" t="s">
        <v>41</v>
      </c>
      <c r="AE14" s="61">
        <f>AA14-AC14</f>
        <v>0</v>
      </c>
      <c r="AF14" s="161"/>
    </row>
    <row r="15" spans="1:51">
      <c r="A15" s="110" t="s">
        <v>0</v>
      </c>
      <c r="B15" s="16" t="s">
        <v>41</v>
      </c>
      <c r="C15" s="17">
        <v>0</v>
      </c>
      <c r="D15" s="18" t="s">
        <v>41</v>
      </c>
      <c r="E15" s="17">
        <v>0</v>
      </c>
      <c r="F15" s="18" t="s">
        <v>41</v>
      </c>
      <c r="G15" s="17">
        <v>0</v>
      </c>
      <c r="H15" s="18" t="s">
        <v>41</v>
      </c>
      <c r="I15" s="17">
        <v>0</v>
      </c>
      <c r="J15" s="18" t="s">
        <v>41</v>
      </c>
      <c r="K15" s="17">
        <v>0</v>
      </c>
      <c r="L15" s="49" t="s">
        <v>41</v>
      </c>
      <c r="M15" s="17">
        <v>0</v>
      </c>
      <c r="N15" s="18" t="s">
        <v>41</v>
      </c>
      <c r="O15" s="17">
        <v>0</v>
      </c>
      <c r="P15" s="18" t="s">
        <v>41</v>
      </c>
      <c r="Q15" s="17">
        <v>0</v>
      </c>
      <c r="R15" s="18" t="s">
        <v>41</v>
      </c>
      <c r="S15" s="17">
        <v>0</v>
      </c>
      <c r="T15" s="18" t="s">
        <v>41</v>
      </c>
      <c r="U15" s="17">
        <v>0</v>
      </c>
      <c r="V15" s="18" t="s">
        <v>41</v>
      </c>
      <c r="W15" s="17">
        <v>0</v>
      </c>
      <c r="X15" s="18" t="s">
        <v>41</v>
      </c>
      <c r="Y15" s="17">
        <v>0</v>
      </c>
      <c r="Z15" s="18" t="s">
        <v>41</v>
      </c>
      <c r="AA15" s="19">
        <f t="shared" si="0"/>
        <v>0</v>
      </c>
      <c r="AB15" s="18" t="s">
        <v>41</v>
      </c>
      <c r="AC15" s="17">
        <v>0</v>
      </c>
      <c r="AD15" s="18" t="s">
        <v>41</v>
      </c>
      <c r="AE15" s="51">
        <f>AA15-AC15</f>
        <v>0</v>
      </c>
      <c r="AF15" s="161"/>
    </row>
    <row r="16" spans="1:51">
      <c r="A16" s="69" t="s">
        <v>45</v>
      </c>
      <c r="B16" s="27" t="s">
        <v>41</v>
      </c>
      <c r="C16" s="24">
        <f>SUM(C11:C15)</f>
        <v>0</v>
      </c>
      <c r="D16" s="25" t="s">
        <v>41</v>
      </c>
      <c r="E16" s="24">
        <f>SUM(E11:E15)</f>
        <v>0</v>
      </c>
      <c r="F16" s="25" t="s">
        <v>41</v>
      </c>
      <c r="G16" s="24">
        <f>SUM(G11:G15)</f>
        <v>0</v>
      </c>
      <c r="H16" s="25" t="s">
        <v>41</v>
      </c>
      <c r="I16" s="24">
        <f>SUM(I11:I15)</f>
        <v>0</v>
      </c>
      <c r="J16" s="25" t="s">
        <v>41</v>
      </c>
      <c r="K16" s="24">
        <f>SUM(K11:K15)</f>
        <v>0</v>
      </c>
      <c r="L16" s="46" t="s">
        <v>41</v>
      </c>
      <c r="M16" s="24">
        <f>SUM(M11:M15)</f>
        <v>0</v>
      </c>
      <c r="N16" s="25" t="s">
        <v>41</v>
      </c>
      <c r="O16" s="24">
        <f>SUM(O11:O15)</f>
        <v>0</v>
      </c>
      <c r="P16" s="25" t="s">
        <v>41</v>
      </c>
      <c r="Q16" s="24">
        <f>SUM(Q11:Q15)</f>
        <v>0</v>
      </c>
      <c r="R16" s="25" t="s">
        <v>41</v>
      </c>
      <c r="S16" s="24">
        <f>SUM(S11:S15)</f>
        <v>0</v>
      </c>
      <c r="T16" s="25" t="s">
        <v>41</v>
      </c>
      <c r="U16" s="24">
        <f>SUM(U11:U15)</f>
        <v>0</v>
      </c>
      <c r="V16" s="25" t="s">
        <v>41</v>
      </c>
      <c r="W16" s="24">
        <f>SUM(W11:W15)</f>
        <v>0</v>
      </c>
      <c r="X16" s="25" t="s">
        <v>41</v>
      </c>
      <c r="Y16" s="24">
        <f>SUM(Y11:Y15)</f>
        <v>0</v>
      </c>
      <c r="Z16" s="25" t="s">
        <v>41</v>
      </c>
      <c r="AA16" s="24">
        <f>SUM(AA11:AA15)</f>
        <v>0</v>
      </c>
      <c r="AB16" s="25" t="s">
        <v>41</v>
      </c>
      <c r="AC16" s="111">
        <f>SUM(AC11:AC15)</f>
        <v>0</v>
      </c>
      <c r="AD16" s="25" t="s">
        <v>41</v>
      </c>
      <c r="AE16" s="55">
        <f>SUM(AE11:AE15)</f>
        <v>0</v>
      </c>
      <c r="AF16" s="161"/>
    </row>
    <row r="17" spans="1:32">
      <c r="A17" s="105"/>
      <c r="B17" s="40"/>
      <c r="C17" s="42"/>
      <c r="D17" s="26"/>
      <c r="E17" s="42"/>
      <c r="F17" s="26"/>
      <c r="G17" s="42"/>
      <c r="H17" s="26"/>
      <c r="I17" s="42"/>
      <c r="J17" s="26"/>
      <c r="K17" s="42"/>
      <c r="L17" s="47"/>
      <c r="M17" s="42"/>
      <c r="N17" s="26"/>
      <c r="O17" s="42"/>
      <c r="P17" s="26"/>
      <c r="Q17" s="42"/>
      <c r="R17" s="26"/>
      <c r="S17" s="42"/>
      <c r="T17" s="26"/>
      <c r="U17" s="42"/>
      <c r="V17" s="26"/>
      <c r="W17" s="42"/>
      <c r="X17" s="26"/>
      <c r="Y17" s="42"/>
      <c r="Z17" s="26"/>
      <c r="AA17" s="42"/>
      <c r="AB17" s="26"/>
      <c r="AC17" s="42"/>
      <c r="AD17" s="42"/>
      <c r="AE17" s="61"/>
      <c r="AF17" s="161"/>
    </row>
    <row r="18" spans="1:32">
      <c r="A18" s="86" t="s">
        <v>92</v>
      </c>
      <c r="B18" s="40"/>
      <c r="C18" s="42"/>
      <c r="D18" s="26"/>
      <c r="E18" s="42"/>
      <c r="F18" s="26"/>
      <c r="G18" s="42"/>
      <c r="H18" s="26"/>
      <c r="I18" s="42"/>
      <c r="J18" s="26"/>
      <c r="K18" s="42"/>
      <c r="L18" s="47"/>
      <c r="M18" s="42"/>
      <c r="N18" s="26"/>
      <c r="O18" s="42"/>
      <c r="P18" s="26"/>
      <c r="Q18" s="42"/>
      <c r="R18" s="26"/>
      <c r="S18" s="42"/>
      <c r="T18" s="26"/>
      <c r="U18" s="42"/>
      <c r="V18" s="26"/>
      <c r="W18" s="42"/>
      <c r="X18" s="26"/>
      <c r="Y18" s="42"/>
      <c r="Z18" s="26"/>
      <c r="AA18" s="42"/>
      <c r="AB18" s="26"/>
      <c r="AC18" s="42"/>
      <c r="AD18" s="42"/>
      <c r="AE18" s="61"/>
      <c r="AF18" s="161"/>
    </row>
    <row r="19" spans="1:32">
      <c r="A19" s="110" t="s">
        <v>47</v>
      </c>
      <c r="B19" s="40" t="s">
        <v>41</v>
      </c>
      <c r="C19" s="48">
        <v>0</v>
      </c>
      <c r="D19" s="26" t="s">
        <v>41</v>
      </c>
      <c r="E19" s="48">
        <v>0</v>
      </c>
      <c r="F19" s="26" t="s">
        <v>41</v>
      </c>
      <c r="G19" s="48">
        <v>0</v>
      </c>
      <c r="H19" s="26" t="s">
        <v>41</v>
      </c>
      <c r="I19" s="48">
        <v>0</v>
      </c>
      <c r="J19" s="26" t="s">
        <v>41</v>
      </c>
      <c r="K19" s="48">
        <v>0</v>
      </c>
      <c r="L19" s="47" t="s">
        <v>41</v>
      </c>
      <c r="M19" s="48">
        <v>0</v>
      </c>
      <c r="N19" s="26" t="s">
        <v>41</v>
      </c>
      <c r="O19" s="48">
        <v>0</v>
      </c>
      <c r="P19" s="26" t="s">
        <v>41</v>
      </c>
      <c r="Q19" s="48">
        <v>0</v>
      </c>
      <c r="R19" s="26" t="s">
        <v>41</v>
      </c>
      <c r="S19" s="48">
        <v>0</v>
      </c>
      <c r="T19" s="26" t="s">
        <v>41</v>
      </c>
      <c r="U19" s="48">
        <v>0</v>
      </c>
      <c r="V19" s="26" t="s">
        <v>41</v>
      </c>
      <c r="W19" s="48">
        <v>0</v>
      </c>
      <c r="X19" s="26" t="s">
        <v>41</v>
      </c>
      <c r="Y19" s="48">
        <v>0</v>
      </c>
      <c r="Z19" s="26" t="s">
        <v>41</v>
      </c>
      <c r="AA19" s="42">
        <f t="shared" ref="AA19:AA27" si="1">SUM(C19:Z19)</f>
        <v>0</v>
      </c>
      <c r="AB19" s="26" t="s">
        <v>41</v>
      </c>
      <c r="AC19" s="48">
        <v>0</v>
      </c>
      <c r="AD19" s="26" t="s">
        <v>41</v>
      </c>
      <c r="AE19" s="61">
        <f>AA19-AC19</f>
        <v>0</v>
      </c>
      <c r="AF19" s="161"/>
    </row>
    <row r="20" spans="1:32">
      <c r="A20" s="110" t="s">
        <v>2</v>
      </c>
      <c r="B20" s="40" t="s">
        <v>41</v>
      </c>
      <c r="C20" s="48">
        <v>0</v>
      </c>
      <c r="D20" s="26" t="s">
        <v>41</v>
      </c>
      <c r="E20" s="48">
        <v>0</v>
      </c>
      <c r="F20" s="26" t="s">
        <v>41</v>
      </c>
      <c r="G20" s="48">
        <v>0</v>
      </c>
      <c r="H20" s="26" t="s">
        <v>41</v>
      </c>
      <c r="I20" s="48">
        <v>0</v>
      </c>
      <c r="J20" s="26" t="s">
        <v>41</v>
      </c>
      <c r="K20" s="48">
        <v>0</v>
      </c>
      <c r="L20" s="47" t="s">
        <v>41</v>
      </c>
      <c r="M20" s="48">
        <v>0</v>
      </c>
      <c r="N20" s="26" t="s">
        <v>41</v>
      </c>
      <c r="O20" s="48">
        <v>0</v>
      </c>
      <c r="P20" s="26" t="s">
        <v>41</v>
      </c>
      <c r="Q20" s="48">
        <v>0</v>
      </c>
      <c r="R20" s="26" t="s">
        <v>41</v>
      </c>
      <c r="S20" s="48">
        <v>0</v>
      </c>
      <c r="T20" s="26" t="s">
        <v>41</v>
      </c>
      <c r="U20" s="48">
        <v>0</v>
      </c>
      <c r="V20" s="26" t="s">
        <v>41</v>
      </c>
      <c r="W20" s="48">
        <v>0</v>
      </c>
      <c r="X20" s="26" t="s">
        <v>41</v>
      </c>
      <c r="Y20" s="48">
        <v>0</v>
      </c>
      <c r="Z20" s="26" t="s">
        <v>41</v>
      </c>
      <c r="AA20" s="42">
        <f t="shared" si="1"/>
        <v>0</v>
      </c>
      <c r="AB20" s="26" t="s">
        <v>41</v>
      </c>
      <c r="AC20" s="48">
        <v>0</v>
      </c>
      <c r="AD20" s="26" t="s">
        <v>41</v>
      </c>
      <c r="AE20" s="61">
        <f>AA20-AC20</f>
        <v>0</v>
      </c>
      <c r="AF20" s="161"/>
    </row>
    <row r="21" spans="1:32">
      <c r="A21" s="110" t="s">
        <v>3</v>
      </c>
      <c r="B21" s="40" t="s">
        <v>41</v>
      </c>
      <c r="C21" s="48">
        <v>0</v>
      </c>
      <c r="D21" s="26" t="s">
        <v>41</v>
      </c>
      <c r="E21" s="48">
        <v>0</v>
      </c>
      <c r="F21" s="26" t="s">
        <v>41</v>
      </c>
      <c r="G21" s="48">
        <v>0</v>
      </c>
      <c r="H21" s="26" t="s">
        <v>41</v>
      </c>
      <c r="I21" s="48">
        <v>0</v>
      </c>
      <c r="J21" s="26" t="s">
        <v>41</v>
      </c>
      <c r="K21" s="48">
        <v>0</v>
      </c>
      <c r="L21" s="47" t="s">
        <v>41</v>
      </c>
      <c r="M21" s="48">
        <v>0</v>
      </c>
      <c r="N21" s="26" t="s">
        <v>41</v>
      </c>
      <c r="O21" s="48">
        <v>0</v>
      </c>
      <c r="P21" s="26" t="s">
        <v>41</v>
      </c>
      <c r="Q21" s="48">
        <v>0</v>
      </c>
      <c r="R21" s="26" t="s">
        <v>41</v>
      </c>
      <c r="S21" s="48">
        <v>0</v>
      </c>
      <c r="T21" s="26" t="s">
        <v>41</v>
      </c>
      <c r="U21" s="48">
        <v>0</v>
      </c>
      <c r="V21" s="26" t="s">
        <v>41</v>
      </c>
      <c r="W21" s="48">
        <v>0</v>
      </c>
      <c r="X21" s="26" t="s">
        <v>41</v>
      </c>
      <c r="Y21" s="48">
        <v>0</v>
      </c>
      <c r="Z21" s="26" t="s">
        <v>41</v>
      </c>
      <c r="AA21" s="42">
        <f t="shared" si="1"/>
        <v>0</v>
      </c>
      <c r="AB21" s="26" t="s">
        <v>41</v>
      </c>
      <c r="AC21" s="48">
        <v>0</v>
      </c>
      <c r="AD21" s="26" t="s">
        <v>41</v>
      </c>
      <c r="AE21" s="61">
        <f>AA21-AC21</f>
        <v>0</v>
      </c>
      <c r="AF21" s="161"/>
    </row>
    <row r="22" spans="1:32">
      <c r="A22" s="110" t="s">
        <v>48</v>
      </c>
      <c r="B22" s="16" t="s">
        <v>41</v>
      </c>
      <c r="C22" s="17">
        <v>0</v>
      </c>
      <c r="D22" s="18" t="s">
        <v>41</v>
      </c>
      <c r="E22" s="17">
        <v>0</v>
      </c>
      <c r="F22" s="18" t="s">
        <v>41</v>
      </c>
      <c r="G22" s="17">
        <v>0</v>
      </c>
      <c r="H22" s="18" t="s">
        <v>41</v>
      </c>
      <c r="I22" s="17">
        <v>0</v>
      </c>
      <c r="J22" s="18" t="s">
        <v>41</v>
      </c>
      <c r="K22" s="17">
        <v>0</v>
      </c>
      <c r="L22" s="49" t="s">
        <v>41</v>
      </c>
      <c r="M22" s="17">
        <v>0</v>
      </c>
      <c r="N22" s="18" t="s">
        <v>41</v>
      </c>
      <c r="O22" s="17">
        <v>0</v>
      </c>
      <c r="P22" s="18" t="s">
        <v>41</v>
      </c>
      <c r="Q22" s="17">
        <v>0</v>
      </c>
      <c r="R22" s="18" t="s">
        <v>41</v>
      </c>
      <c r="S22" s="17">
        <v>0</v>
      </c>
      <c r="T22" s="18" t="s">
        <v>41</v>
      </c>
      <c r="U22" s="17">
        <v>0</v>
      </c>
      <c r="V22" s="18" t="s">
        <v>41</v>
      </c>
      <c r="W22" s="17">
        <v>0</v>
      </c>
      <c r="X22" s="18" t="s">
        <v>41</v>
      </c>
      <c r="Y22" s="17">
        <v>0</v>
      </c>
      <c r="Z22" s="18" t="s">
        <v>41</v>
      </c>
      <c r="AA22" s="19">
        <f t="shared" si="1"/>
        <v>0</v>
      </c>
      <c r="AB22" s="18" t="s">
        <v>41</v>
      </c>
      <c r="AC22" s="17">
        <v>0</v>
      </c>
      <c r="AD22" s="18" t="s">
        <v>41</v>
      </c>
      <c r="AE22" s="51">
        <f>AA22-AC22</f>
        <v>0</v>
      </c>
      <c r="AF22" s="161"/>
    </row>
    <row r="23" spans="1:32">
      <c r="A23" s="69" t="s">
        <v>49</v>
      </c>
      <c r="B23" s="27" t="s">
        <v>41</v>
      </c>
      <c r="C23" s="24">
        <f>SUM(C19:C22)</f>
        <v>0</v>
      </c>
      <c r="D23" s="25" t="s">
        <v>41</v>
      </c>
      <c r="E23" s="24">
        <f>SUM(E19:E22)</f>
        <v>0</v>
      </c>
      <c r="F23" s="25" t="s">
        <v>41</v>
      </c>
      <c r="G23" s="24">
        <f>SUM(G19:G22)</f>
        <v>0</v>
      </c>
      <c r="H23" s="25" t="s">
        <v>41</v>
      </c>
      <c r="I23" s="24">
        <f>SUM(I19:I22)</f>
        <v>0</v>
      </c>
      <c r="J23" s="25" t="s">
        <v>41</v>
      </c>
      <c r="K23" s="24">
        <f>SUM(K19:K22)</f>
        <v>0</v>
      </c>
      <c r="L23" s="46" t="s">
        <v>41</v>
      </c>
      <c r="M23" s="24">
        <f>SUM(M19:M22)</f>
        <v>0</v>
      </c>
      <c r="N23" s="25" t="s">
        <v>41</v>
      </c>
      <c r="O23" s="24">
        <f>SUM(O19:O22)</f>
        <v>0</v>
      </c>
      <c r="P23" s="25" t="s">
        <v>41</v>
      </c>
      <c r="Q23" s="24">
        <f>SUM(Q19:Q22)</f>
        <v>0</v>
      </c>
      <c r="R23" s="25" t="s">
        <v>41</v>
      </c>
      <c r="S23" s="24">
        <f>SUM(S19:S22)</f>
        <v>0</v>
      </c>
      <c r="T23" s="25" t="s">
        <v>41</v>
      </c>
      <c r="U23" s="24">
        <f>SUM(U19:U22)</f>
        <v>0</v>
      </c>
      <c r="V23" s="25" t="s">
        <v>41</v>
      </c>
      <c r="W23" s="24">
        <f>SUM(W19:W22)</f>
        <v>0</v>
      </c>
      <c r="X23" s="25" t="s">
        <v>41</v>
      </c>
      <c r="Y23" s="24">
        <f>SUM(Y19:Y22)</f>
        <v>0</v>
      </c>
      <c r="Z23" s="25" t="s">
        <v>41</v>
      </c>
      <c r="AA23" s="24">
        <f t="shared" si="1"/>
        <v>0</v>
      </c>
      <c r="AB23" s="25" t="s">
        <v>41</v>
      </c>
      <c r="AC23" s="24">
        <f>SUM(AC19:AC22)</f>
        <v>0</v>
      </c>
      <c r="AD23" s="25" t="s">
        <v>41</v>
      </c>
      <c r="AE23" s="55">
        <f>AA23-AC23</f>
        <v>0</v>
      </c>
      <c r="AF23" s="161"/>
    </row>
    <row r="24" spans="1:32">
      <c r="A24" s="110"/>
      <c r="B24" s="40"/>
      <c r="C24" s="42"/>
      <c r="D24" s="26"/>
      <c r="E24" s="42"/>
      <c r="F24" s="26"/>
      <c r="G24" s="42"/>
      <c r="H24" s="26"/>
      <c r="I24" s="42"/>
      <c r="J24" s="26"/>
      <c r="K24" s="42"/>
      <c r="L24" s="47"/>
      <c r="M24" s="42"/>
      <c r="N24" s="26"/>
      <c r="O24" s="42"/>
      <c r="P24" s="26"/>
      <c r="Q24" s="42"/>
      <c r="R24" s="26"/>
      <c r="S24" s="42"/>
      <c r="T24" s="26"/>
      <c r="U24" s="42"/>
      <c r="V24" s="26"/>
      <c r="W24" s="42"/>
      <c r="X24" s="26"/>
      <c r="Y24" s="42"/>
      <c r="Z24" s="26"/>
      <c r="AA24" s="42"/>
      <c r="AB24" s="26"/>
      <c r="AC24" s="42"/>
      <c r="AD24" s="42"/>
      <c r="AE24" s="61"/>
      <c r="AF24" s="161"/>
    </row>
    <row r="25" spans="1:32">
      <c r="A25" s="110" t="s">
        <v>50</v>
      </c>
      <c r="B25" s="40" t="s">
        <v>41</v>
      </c>
      <c r="C25" s="48">
        <v>0</v>
      </c>
      <c r="D25" s="26" t="s">
        <v>41</v>
      </c>
      <c r="E25" s="48">
        <v>0</v>
      </c>
      <c r="F25" s="26" t="s">
        <v>41</v>
      </c>
      <c r="G25" s="48">
        <v>0</v>
      </c>
      <c r="H25" s="26" t="s">
        <v>41</v>
      </c>
      <c r="I25" s="48">
        <v>0</v>
      </c>
      <c r="J25" s="26" t="s">
        <v>41</v>
      </c>
      <c r="K25" s="48">
        <v>0</v>
      </c>
      <c r="L25" s="47" t="s">
        <v>41</v>
      </c>
      <c r="M25" s="48">
        <v>0</v>
      </c>
      <c r="N25" s="26" t="s">
        <v>41</v>
      </c>
      <c r="O25" s="48">
        <v>0</v>
      </c>
      <c r="P25" s="26" t="s">
        <v>41</v>
      </c>
      <c r="Q25" s="48">
        <v>0</v>
      </c>
      <c r="R25" s="26" t="s">
        <v>41</v>
      </c>
      <c r="S25" s="48">
        <v>0</v>
      </c>
      <c r="T25" s="26" t="s">
        <v>41</v>
      </c>
      <c r="U25" s="48">
        <v>0</v>
      </c>
      <c r="V25" s="26" t="s">
        <v>41</v>
      </c>
      <c r="W25" s="48">
        <v>0</v>
      </c>
      <c r="X25" s="26" t="s">
        <v>41</v>
      </c>
      <c r="Y25" s="48">
        <v>0</v>
      </c>
      <c r="Z25" s="26" t="s">
        <v>41</v>
      </c>
      <c r="AA25" s="42">
        <f t="shared" si="1"/>
        <v>0</v>
      </c>
      <c r="AB25" s="26" t="s">
        <v>41</v>
      </c>
      <c r="AC25" s="48">
        <v>0</v>
      </c>
      <c r="AD25" s="26" t="s">
        <v>41</v>
      </c>
      <c r="AE25" s="61">
        <f>AA25-AC25</f>
        <v>0</v>
      </c>
      <c r="AF25" s="161"/>
    </row>
    <row r="26" spans="1:32">
      <c r="A26" s="110" t="s">
        <v>51</v>
      </c>
      <c r="B26" s="40" t="s">
        <v>41</v>
      </c>
      <c r="C26" s="48">
        <v>0</v>
      </c>
      <c r="D26" s="26" t="s">
        <v>41</v>
      </c>
      <c r="E26" s="48">
        <v>0</v>
      </c>
      <c r="F26" s="26" t="s">
        <v>41</v>
      </c>
      <c r="G26" s="48">
        <v>0</v>
      </c>
      <c r="H26" s="26" t="s">
        <v>41</v>
      </c>
      <c r="I26" s="48">
        <v>0</v>
      </c>
      <c r="J26" s="26" t="s">
        <v>41</v>
      </c>
      <c r="K26" s="48">
        <v>0</v>
      </c>
      <c r="L26" s="47" t="s">
        <v>41</v>
      </c>
      <c r="M26" s="48">
        <v>0</v>
      </c>
      <c r="N26" s="26" t="s">
        <v>41</v>
      </c>
      <c r="O26" s="48">
        <v>0</v>
      </c>
      <c r="P26" s="26" t="s">
        <v>41</v>
      </c>
      <c r="Q26" s="48">
        <v>0</v>
      </c>
      <c r="R26" s="26" t="s">
        <v>41</v>
      </c>
      <c r="S26" s="48">
        <v>0</v>
      </c>
      <c r="T26" s="26" t="s">
        <v>41</v>
      </c>
      <c r="U26" s="48">
        <v>0</v>
      </c>
      <c r="V26" s="26" t="s">
        <v>41</v>
      </c>
      <c r="W26" s="48">
        <v>0</v>
      </c>
      <c r="X26" s="26" t="s">
        <v>41</v>
      </c>
      <c r="Y26" s="48">
        <v>0</v>
      </c>
      <c r="Z26" s="26" t="s">
        <v>41</v>
      </c>
      <c r="AA26" s="42">
        <f t="shared" si="1"/>
        <v>0</v>
      </c>
      <c r="AB26" s="26" t="s">
        <v>41</v>
      </c>
      <c r="AC26" s="48">
        <v>0</v>
      </c>
      <c r="AD26" s="26" t="s">
        <v>41</v>
      </c>
      <c r="AE26" s="61">
        <f>AA26-AC26</f>
        <v>0</v>
      </c>
      <c r="AF26" s="161"/>
    </row>
    <row r="27" spans="1:32" ht="26.4">
      <c r="A27" s="112" t="s">
        <v>74</v>
      </c>
      <c r="B27" s="16" t="s">
        <v>41</v>
      </c>
      <c r="C27" s="17">
        <v>0</v>
      </c>
      <c r="D27" s="18" t="s">
        <v>41</v>
      </c>
      <c r="E27" s="17">
        <v>0</v>
      </c>
      <c r="F27" s="18" t="s">
        <v>41</v>
      </c>
      <c r="G27" s="17">
        <v>0</v>
      </c>
      <c r="H27" s="18" t="s">
        <v>41</v>
      </c>
      <c r="I27" s="17">
        <v>0</v>
      </c>
      <c r="J27" s="18" t="s">
        <v>41</v>
      </c>
      <c r="K27" s="17">
        <v>0</v>
      </c>
      <c r="L27" s="49" t="s">
        <v>41</v>
      </c>
      <c r="M27" s="17">
        <v>0</v>
      </c>
      <c r="N27" s="18" t="s">
        <v>41</v>
      </c>
      <c r="O27" s="17">
        <v>0</v>
      </c>
      <c r="P27" s="18" t="s">
        <v>41</v>
      </c>
      <c r="Q27" s="17">
        <v>0</v>
      </c>
      <c r="R27" s="18" t="s">
        <v>41</v>
      </c>
      <c r="S27" s="17">
        <v>0</v>
      </c>
      <c r="T27" s="18" t="s">
        <v>41</v>
      </c>
      <c r="U27" s="17">
        <v>0</v>
      </c>
      <c r="V27" s="18" t="s">
        <v>41</v>
      </c>
      <c r="W27" s="17">
        <v>0</v>
      </c>
      <c r="X27" s="18" t="s">
        <v>41</v>
      </c>
      <c r="Y27" s="17">
        <v>0</v>
      </c>
      <c r="Z27" s="18" t="s">
        <v>41</v>
      </c>
      <c r="AA27" s="19">
        <f t="shared" si="1"/>
        <v>0</v>
      </c>
      <c r="AB27" s="18" t="s">
        <v>41</v>
      </c>
      <c r="AC27" s="17">
        <v>0</v>
      </c>
      <c r="AD27" s="18" t="s">
        <v>41</v>
      </c>
      <c r="AE27" s="51">
        <f>AA27-AC27</f>
        <v>0</v>
      </c>
      <c r="AF27" s="161"/>
    </row>
    <row r="28" spans="1:32">
      <c r="A28" s="69" t="s">
        <v>53</v>
      </c>
      <c r="B28" s="27" t="s">
        <v>41</v>
      </c>
      <c r="C28" s="24">
        <f>SUM(C23:C27)</f>
        <v>0</v>
      </c>
      <c r="D28" s="25" t="s">
        <v>41</v>
      </c>
      <c r="E28" s="24">
        <f>SUM(E23:E27)</f>
        <v>0</v>
      </c>
      <c r="F28" s="25" t="s">
        <v>41</v>
      </c>
      <c r="G28" s="24">
        <f>SUM(G23:G27)</f>
        <v>0</v>
      </c>
      <c r="H28" s="25" t="s">
        <v>41</v>
      </c>
      <c r="I28" s="24">
        <f>SUM(I23:I27)</f>
        <v>0</v>
      </c>
      <c r="J28" s="25" t="s">
        <v>41</v>
      </c>
      <c r="K28" s="24">
        <f>SUM(K23:K27)</f>
        <v>0</v>
      </c>
      <c r="L28" s="46" t="s">
        <v>41</v>
      </c>
      <c r="M28" s="24">
        <f>SUM(M23:M27)</f>
        <v>0</v>
      </c>
      <c r="N28" s="25" t="s">
        <v>41</v>
      </c>
      <c r="O28" s="24">
        <f>SUM(O23:O27)</f>
        <v>0</v>
      </c>
      <c r="P28" s="25" t="s">
        <v>41</v>
      </c>
      <c r="Q28" s="24">
        <f>SUM(Q23:Q27)</f>
        <v>0</v>
      </c>
      <c r="R28" s="25" t="s">
        <v>41</v>
      </c>
      <c r="S28" s="24">
        <f>SUM(S23:S27)</f>
        <v>0</v>
      </c>
      <c r="T28" s="25" t="s">
        <v>41</v>
      </c>
      <c r="U28" s="24">
        <f>SUM(U23:U27)</f>
        <v>0</v>
      </c>
      <c r="V28" s="25" t="s">
        <v>41</v>
      </c>
      <c r="W28" s="24">
        <f>SUM(W23:W27)</f>
        <v>0</v>
      </c>
      <c r="X28" s="25" t="s">
        <v>41</v>
      </c>
      <c r="Y28" s="24">
        <f>SUM(Y23:Y27)</f>
        <v>0</v>
      </c>
      <c r="Z28" s="25" t="s">
        <v>41</v>
      </c>
      <c r="AA28" s="24">
        <f>SUM(AA23:AA27)</f>
        <v>0</v>
      </c>
      <c r="AB28" s="25" t="s">
        <v>41</v>
      </c>
      <c r="AC28" s="24">
        <f>SUM(AC23:AC27)</f>
        <v>0</v>
      </c>
      <c r="AD28" s="25" t="s">
        <v>41</v>
      </c>
      <c r="AE28" s="55">
        <f>SUM(AE23:AE27)</f>
        <v>0</v>
      </c>
      <c r="AF28" s="161"/>
    </row>
    <row r="29" spans="1:32">
      <c r="A29" s="110"/>
      <c r="B29" s="40"/>
      <c r="C29" s="42"/>
      <c r="D29" s="26"/>
      <c r="E29" s="42"/>
      <c r="F29" s="26"/>
      <c r="G29" s="42"/>
      <c r="H29" s="26"/>
      <c r="I29" s="42"/>
      <c r="J29" s="26"/>
      <c r="K29" s="42"/>
      <c r="L29" s="47"/>
      <c r="M29" s="42"/>
      <c r="N29" s="26"/>
      <c r="O29" s="42"/>
      <c r="P29" s="26"/>
      <c r="Q29" s="42"/>
      <c r="R29" s="26"/>
      <c r="S29" s="42"/>
      <c r="T29" s="26"/>
      <c r="U29" s="42"/>
      <c r="V29" s="26"/>
      <c r="W29" s="42"/>
      <c r="X29" s="26"/>
      <c r="Y29" s="42"/>
      <c r="Z29" s="26"/>
      <c r="AA29" s="42"/>
      <c r="AB29" s="26"/>
      <c r="AC29" s="42"/>
      <c r="AD29" s="42"/>
      <c r="AE29" s="61"/>
      <c r="AF29" s="161"/>
    </row>
    <row r="30" spans="1:32">
      <c r="A30" s="69" t="s">
        <v>54</v>
      </c>
      <c r="B30" s="40" t="s">
        <v>41</v>
      </c>
      <c r="C30" s="19">
        <f>+C16-C28</f>
        <v>0</v>
      </c>
      <c r="D30" s="26" t="s">
        <v>41</v>
      </c>
      <c r="E30" s="19">
        <f>+E16-E28</f>
        <v>0</v>
      </c>
      <c r="F30" s="26" t="s">
        <v>41</v>
      </c>
      <c r="G30" s="19">
        <f>+G16-G28</f>
        <v>0</v>
      </c>
      <c r="H30" s="26" t="s">
        <v>41</v>
      </c>
      <c r="I30" s="19">
        <f>+I16-I28</f>
        <v>0</v>
      </c>
      <c r="J30" s="26" t="s">
        <v>41</v>
      </c>
      <c r="K30" s="19">
        <f>+K16-K28</f>
        <v>0</v>
      </c>
      <c r="L30" s="47" t="s">
        <v>41</v>
      </c>
      <c r="M30" s="19">
        <f>+M16-M28</f>
        <v>0</v>
      </c>
      <c r="N30" s="26" t="s">
        <v>41</v>
      </c>
      <c r="O30" s="19">
        <f>+O16-O28</f>
        <v>0</v>
      </c>
      <c r="P30" s="26" t="s">
        <v>41</v>
      </c>
      <c r="Q30" s="19">
        <f>+Q16-Q28</f>
        <v>0</v>
      </c>
      <c r="R30" s="26" t="s">
        <v>41</v>
      </c>
      <c r="S30" s="19">
        <f>+S16-S28</f>
        <v>0</v>
      </c>
      <c r="T30" s="26" t="s">
        <v>41</v>
      </c>
      <c r="U30" s="19">
        <f>+U16-U28</f>
        <v>0</v>
      </c>
      <c r="V30" s="26" t="s">
        <v>41</v>
      </c>
      <c r="W30" s="19">
        <f>+W16-W28</f>
        <v>0</v>
      </c>
      <c r="X30" s="26" t="s">
        <v>41</v>
      </c>
      <c r="Y30" s="19">
        <f>+Y16-Y28</f>
        <v>0</v>
      </c>
      <c r="Z30" s="26" t="s">
        <v>41</v>
      </c>
      <c r="AA30" s="42">
        <f t="shared" ref="AA30" si="2">SUM(C30:Z30)</f>
        <v>0</v>
      </c>
      <c r="AB30" s="26" t="s">
        <v>41</v>
      </c>
      <c r="AC30" s="21" t="s">
        <v>42</v>
      </c>
      <c r="AD30" s="26" t="s">
        <v>41</v>
      </c>
      <c r="AE30" s="52" t="s">
        <v>42</v>
      </c>
      <c r="AF30" s="161"/>
    </row>
    <row r="31" spans="1:32">
      <c r="A31" s="105"/>
      <c r="B31" s="40"/>
      <c r="C31" s="42"/>
      <c r="D31" s="26"/>
      <c r="E31" s="42"/>
      <c r="F31" s="26"/>
      <c r="G31" s="42"/>
      <c r="H31" s="26"/>
      <c r="I31" s="42"/>
      <c r="J31" s="26"/>
      <c r="K31" s="42"/>
      <c r="L31" s="47"/>
      <c r="M31" s="42"/>
      <c r="N31" s="26"/>
      <c r="O31" s="42"/>
      <c r="P31" s="26"/>
      <c r="Q31" s="42"/>
      <c r="R31" s="26"/>
      <c r="S31" s="42"/>
      <c r="T31" s="26"/>
      <c r="U31" s="42"/>
      <c r="V31" s="26"/>
      <c r="W31" s="42"/>
      <c r="X31" s="26"/>
      <c r="Y31" s="42"/>
      <c r="Z31" s="26"/>
      <c r="AA31" s="42"/>
      <c r="AB31" s="26"/>
      <c r="AC31" s="42"/>
      <c r="AD31" s="42"/>
      <c r="AE31" s="61"/>
      <c r="AF31" s="161"/>
    </row>
    <row r="32" spans="1:32" ht="13.8" thickBot="1">
      <c r="A32" s="76" t="s">
        <v>55</v>
      </c>
      <c r="B32" s="27" t="s">
        <v>41</v>
      </c>
      <c r="C32" s="22">
        <f>+C8+C30</f>
        <v>0</v>
      </c>
      <c r="D32" s="25" t="s">
        <v>41</v>
      </c>
      <c r="E32" s="22">
        <f>+E8+E30</f>
        <v>0</v>
      </c>
      <c r="F32" s="25" t="s">
        <v>41</v>
      </c>
      <c r="G32" s="22">
        <f>+G8+G30</f>
        <v>0</v>
      </c>
      <c r="H32" s="25" t="s">
        <v>41</v>
      </c>
      <c r="I32" s="22">
        <f>+I8+I30</f>
        <v>0</v>
      </c>
      <c r="J32" s="25" t="s">
        <v>41</v>
      </c>
      <c r="K32" s="22">
        <f>+K8+K30</f>
        <v>0</v>
      </c>
      <c r="L32" s="46" t="s">
        <v>41</v>
      </c>
      <c r="M32" s="22">
        <f>+M8+M30</f>
        <v>0</v>
      </c>
      <c r="N32" s="25" t="s">
        <v>41</v>
      </c>
      <c r="O32" s="22">
        <f>+O8+O30</f>
        <v>0</v>
      </c>
      <c r="P32" s="25" t="s">
        <v>41</v>
      </c>
      <c r="Q32" s="22">
        <f>+Q8+Q30</f>
        <v>0</v>
      </c>
      <c r="R32" s="25" t="s">
        <v>41</v>
      </c>
      <c r="S32" s="22">
        <f>+S8+S30</f>
        <v>0</v>
      </c>
      <c r="T32" s="25" t="s">
        <v>41</v>
      </c>
      <c r="U32" s="22">
        <f>+U8+U30</f>
        <v>0</v>
      </c>
      <c r="V32" s="25" t="s">
        <v>41</v>
      </c>
      <c r="W32" s="22">
        <f>+W8+W30</f>
        <v>0</v>
      </c>
      <c r="X32" s="25" t="s">
        <v>41</v>
      </c>
      <c r="Y32" s="22">
        <f>+Y8+Y30</f>
        <v>0</v>
      </c>
      <c r="Z32" s="25" t="s">
        <v>41</v>
      </c>
      <c r="AA32" s="22">
        <f>Y32</f>
        <v>0</v>
      </c>
      <c r="AB32" s="25" t="s">
        <v>41</v>
      </c>
      <c r="AC32" s="23">
        <f>AC8+AC16-AC28</f>
        <v>0</v>
      </c>
      <c r="AD32" s="25" t="s">
        <v>41</v>
      </c>
      <c r="AE32" s="53">
        <f>AA32-AC32</f>
        <v>0</v>
      </c>
      <c r="AF32" s="161"/>
    </row>
    <row r="33" spans="1:32" ht="13.8" thickTop="1">
      <c r="A33" s="76"/>
      <c r="B33" s="27"/>
      <c r="C33" s="24"/>
      <c r="D33" s="25"/>
      <c r="E33" s="24"/>
      <c r="F33" s="25"/>
      <c r="G33" s="24"/>
      <c r="H33" s="25"/>
      <c r="I33" s="24"/>
      <c r="J33" s="25"/>
      <c r="K33" s="24"/>
      <c r="L33" s="46"/>
      <c r="M33" s="24"/>
      <c r="N33" s="25"/>
      <c r="O33" s="24"/>
      <c r="P33" s="25"/>
      <c r="Q33" s="24"/>
      <c r="R33" s="25"/>
      <c r="S33" s="24"/>
      <c r="T33" s="25"/>
      <c r="U33" s="24"/>
      <c r="V33" s="25"/>
      <c r="W33" s="24"/>
      <c r="X33" s="25"/>
      <c r="Y33" s="24"/>
      <c r="Z33" s="25"/>
      <c r="AA33" s="24"/>
      <c r="AB33" s="25"/>
      <c r="AC33" s="25"/>
      <c r="AD33" s="25"/>
      <c r="AE33" s="54"/>
      <c r="AF33" s="161"/>
    </row>
    <row r="34" spans="1:32">
      <c r="A34" s="69" t="s">
        <v>97</v>
      </c>
      <c r="B34" s="27"/>
      <c r="C34" s="24"/>
      <c r="D34" s="25"/>
      <c r="E34" s="24"/>
      <c r="F34" s="25"/>
      <c r="G34" s="24"/>
      <c r="H34" s="25"/>
      <c r="I34" s="24"/>
      <c r="J34" s="25"/>
      <c r="K34" s="24"/>
      <c r="L34" s="46"/>
      <c r="M34" s="24"/>
      <c r="N34" s="25"/>
      <c r="O34" s="24"/>
      <c r="P34" s="25"/>
      <c r="Q34" s="24"/>
      <c r="R34" s="25"/>
      <c r="S34" s="24"/>
      <c r="T34" s="25"/>
      <c r="U34" s="24"/>
      <c r="V34" s="25"/>
      <c r="W34" s="24"/>
      <c r="X34" s="25"/>
      <c r="Y34" s="24"/>
      <c r="Z34" s="25"/>
      <c r="AA34" s="24"/>
      <c r="AB34" s="25"/>
      <c r="AC34" s="25"/>
      <c r="AD34" s="25"/>
      <c r="AE34" s="54"/>
      <c r="AF34" s="161"/>
    </row>
    <row r="35" spans="1:32">
      <c r="A35" s="110" t="s">
        <v>25</v>
      </c>
      <c r="B35" s="40" t="s">
        <v>41</v>
      </c>
      <c r="C35" s="48">
        <v>0</v>
      </c>
      <c r="D35" s="26" t="s">
        <v>41</v>
      </c>
      <c r="E35" s="48">
        <v>0</v>
      </c>
      <c r="F35" s="26" t="s">
        <v>41</v>
      </c>
      <c r="G35" s="48">
        <v>0</v>
      </c>
      <c r="H35" s="26" t="s">
        <v>41</v>
      </c>
      <c r="I35" s="48">
        <v>0</v>
      </c>
      <c r="J35" s="26" t="s">
        <v>41</v>
      </c>
      <c r="K35" s="48">
        <v>0</v>
      </c>
      <c r="L35" s="47" t="s">
        <v>41</v>
      </c>
      <c r="M35" s="48">
        <v>0</v>
      </c>
      <c r="N35" s="26" t="s">
        <v>41</v>
      </c>
      <c r="O35" s="48">
        <v>0</v>
      </c>
      <c r="P35" s="26" t="s">
        <v>41</v>
      </c>
      <c r="Q35" s="48">
        <v>0</v>
      </c>
      <c r="R35" s="26" t="s">
        <v>41</v>
      </c>
      <c r="S35" s="48">
        <v>0</v>
      </c>
      <c r="T35" s="26" t="s">
        <v>41</v>
      </c>
      <c r="U35" s="48">
        <v>0</v>
      </c>
      <c r="V35" s="26" t="s">
        <v>41</v>
      </c>
      <c r="W35" s="48">
        <v>0</v>
      </c>
      <c r="X35" s="26" t="s">
        <v>41</v>
      </c>
      <c r="Y35" s="48">
        <v>0</v>
      </c>
      <c r="Z35" s="26" t="s">
        <v>41</v>
      </c>
      <c r="AA35" s="42">
        <f>SUM(C35:Z35)</f>
        <v>0</v>
      </c>
      <c r="AB35" s="26" t="s">
        <v>41</v>
      </c>
      <c r="AC35" s="48">
        <v>0</v>
      </c>
      <c r="AD35" s="26" t="s">
        <v>41</v>
      </c>
      <c r="AE35" s="61">
        <f>AA35-AC35</f>
        <v>0</v>
      </c>
      <c r="AF35" s="161"/>
    </row>
    <row r="36" spans="1:32">
      <c r="A36" s="110" t="s">
        <v>25</v>
      </c>
      <c r="B36" s="40" t="s">
        <v>41</v>
      </c>
      <c r="C36" s="48">
        <v>0</v>
      </c>
      <c r="D36" s="26" t="s">
        <v>41</v>
      </c>
      <c r="E36" s="48">
        <v>0</v>
      </c>
      <c r="F36" s="26" t="s">
        <v>41</v>
      </c>
      <c r="G36" s="48">
        <v>0</v>
      </c>
      <c r="H36" s="26" t="s">
        <v>41</v>
      </c>
      <c r="I36" s="48">
        <v>0</v>
      </c>
      <c r="J36" s="26" t="s">
        <v>41</v>
      </c>
      <c r="K36" s="48">
        <v>0</v>
      </c>
      <c r="L36" s="47" t="s">
        <v>41</v>
      </c>
      <c r="M36" s="48">
        <v>0</v>
      </c>
      <c r="N36" s="26" t="s">
        <v>41</v>
      </c>
      <c r="O36" s="48">
        <v>0</v>
      </c>
      <c r="P36" s="26" t="s">
        <v>41</v>
      </c>
      <c r="Q36" s="48">
        <v>0</v>
      </c>
      <c r="R36" s="26" t="s">
        <v>41</v>
      </c>
      <c r="S36" s="48">
        <v>0</v>
      </c>
      <c r="T36" s="26" t="s">
        <v>41</v>
      </c>
      <c r="U36" s="48">
        <v>0</v>
      </c>
      <c r="V36" s="26" t="s">
        <v>41</v>
      </c>
      <c r="W36" s="48">
        <v>0</v>
      </c>
      <c r="X36" s="26" t="s">
        <v>41</v>
      </c>
      <c r="Y36" s="48">
        <v>0</v>
      </c>
      <c r="Z36" s="26" t="s">
        <v>41</v>
      </c>
      <c r="AA36" s="42">
        <f t="shared" ref="AA36:AA37" si="3">SUM(C36:Z36)</f>
        <v>0</v>
      </c>
      <c r="AB36" s="26"/>
      <c r="AC36" s="48">
        <v>0</v>
      </c>
      <c r="AD36" s="26" t="s">
        <v>41</v>
      </c>
      <c r="AE36" s="61">
        <f>AA36-AC36</f>
        <v>0</v>
      </c>
      <c r="AF36" s="161"/>
    </row>
    <row r="37" spans="1:32">
      <c r="A37" s="110" t="s">
        <v>25</v>
      </c>
      <c r="B37" s="16" t="s">
        <v>41</v>
      </c>
      <c r="C37" s="17">
        <v>0</v>
      </c>
      <c r="D37" s="18" t="s">
        <v>41</v>
      </c>
      <c r="E37" s="17">
        <v>0</v>
      </c>
      <c r="F37" s="18" t="s">
        <v>41</v>
      </c>
      <c r="G37" s="17">
        <v>0</v>
      </c>
      <c r="H37" s="18" t="s">
        <v>41</v>
      </c>
      <c r="I37" s="17">
        <v>0</v>
      </c>
      <c r="J37" s="18" t="s">
        <v>41</v>
      </c>
      <c r="K37" s="17">
        <v>0</v>
      </c>
      <c r="L37" s="49" t="s">
        <v>41</v>
      </c>
      <c r="M37" s="17">
        <v>0</v>
      </c>
      <c r="N37" s="18" t="s">
        <v>41</v>
      </c>
      <c r="O37" s="17">
        <v>0</v>
      </c>
      <c r="P37" s="18" t="s">
        <v>41</v>
      </c>
      <c r="Q37" s="17">
        <v>0</v>
      </c>
      <c r="R37" s="18" t="s">
        <v>41</v>
      </c>
      <c r="S37" s="17">
        <v>0</v>
      </c>
      <c r="T37" s="18" t="s">
        <v>41</v>
      </c>
      <c r="U37" s="17">
        <v>0</v>
      </c>
      <c r="V37" s="18" t="s">
        <v>41</v>
      </c>
      <c r="W37" s="17">
        <v>0</v>
      </c>
      <c r="X37" s="18" t="s">
        <v>41</v>
      </c>
      <c r="Y37" s="17">
        <v>0</v>
      </c>
      <c r="Z37" s="18" t="s">
        <v>41</v>
      </c>
      <c r="AA37" s="19">
        <f t="shared" si="3"/>
        <v>0</v>
      </c>
      <c r="AB37" s="18" t="s">
        <v>41</v>
      </c>
      <c r="AC37" s="17">
        <v>0</v>
      </c>
      <c r="AD37" s="18" t="s">
        <v>41</v>
      </c>
      <c r="AE37" s="51">
        <f>AA37-AC37</f>
        <v>0</v>
      </c>
      <c r="AF37" s="161"/>
    </row>
    <row r="38" spans="1:32">
      <c r="A38" s="110" t="s">
        <v>56</v>
      </c>
      <c r="B38" s="27" t="s">
        <v>41</v>
      </c>
      <c r="C38" s="24">
        <f>+C35+C36-C37</f>
        <v>0</v>
      </c>
      <c r="D38" s="25" t="s">
        <v>41</v>
      </c>
      <c r="E38" s="24">
        <f>+E35+E36-E37</f>
        <v>0</v>
      </c>
      <c r="F38" s="25" t="s">
        <v>41</v>
      </c>
      <c r="G38" s="24">
        <f>+G35+G36-G37</f>
        <v>0</v>
      </c>
      <c r="H38" s="25" t="s">
        <v>41</v>
      </c>
      <c r="I38" s="24">
        <f>+I35+I36-I37</f>
        <v>0</v>
      </c>
      <c r="J38" s="25" t="s">
        <v>41</v>
      </c>
      <c r="K38" s="24">
        <f>+K35+K36-K37</f>
        <v>0</v>
      </c>
      <c r="L38" s="46" t="s">
        <v>41</v>
      </c>
      <c r="M38" s="24">
        <f>+M35+M36-M37</f>
        <v>0</v>
      </c>
      <c r="N38" s="25" t="s">
        <v>41</v>
      </c>
      <c r="O38" s="24">
        <f>+O35+O36-O37</f>
        <v>0</v>
      </c>
      <c r="P38" s="25" t="s">
        <v>41</v>
      </c>
      <c r="Q38" s="24">
        <f>+Q35+Q36-Q37</f>
        <v>0</v>
      </c>
      <c r="R38" s="25" t="s">
        <v>41</v>
      </c>
      <c r="S38" s="24">
        <f>+S35+S36-S37</f>
        <v>0</v>
      </c>
      <c r="T38" s="25" t="s">
        <v>41</v>
      </c>
      <c r="U38" s="24">
        <f>+U35+U36-U37</f>
        <v>0</v>
      </c>
      <c r="V38" s="25" t="s">
        <v>41</v>
      </c>
      <c r="W38" s="24">
        <f>+W35+W36-W37</f>
        <v>0</v>
      </c>
      <c r="X38" s="25" t="s">
        <v>41</v>
      </c>
      <c r="Y38" s="24">
        <f>+Y35+Y36-Y37</f>
        <v>0</v>
      </c>
      <c r="Z38" s="25" t="s">
        <v>41</v>
      </c>
      <c r="AA38" s="57">
        <f>+AA35+AA36-AA37</f>
        <v>0</v>
      </c>
      <c r="AB38" s="58" t="s">
        <v>41</v>
      </c>
      <c r="AC38" s="57">
        <f>+AC35+AC36-AC37</f>
        <v>0</v>
      </c>
      <c r="AD38" s="58" t="s">
        <v>41</v>
      </c>
      <c r="AE38" s="55">
        <f>AA38-AC38</f>
        <v>0</v>
      </c>
      <c r="AF38" s="161"/>
    </row>
    <row r="39" spans="1:32">
      <c r="A39" s="105"/>
      <c r="B39" s="40"/>
      <c r="C39" s="42"/>
      <c r="D39" s="26"/>
      <c r="E39" s="42"/>
      <c r="F39" s="26"/>
      <c r="G39" s="42"/>
      <c r="H39" s="26"/>
      <c r="I39" s="42"/>
      <c r="J39" s="26"/>
      <c r="K39" s="42"/>
      <c r="L39" s="47"/>
      <c r="M39" s="42"/>
      <c r="N39" s="26"/>
      <c r="O39" s="42"/>
      <c r="P39" s="26"/>
      <c r="Q39" s="42"/>
      <c r="R39" s="26"/>
      <c r="S39" s="42"/>
      <c r="T39" s="26"/>
      <c r="U39" s="42"/>
      <c r="V39" s="26"/>
      <c r="W39" s="42"/>
      <c r="X39" s="26"/>
      <c r="Y39" s="42"/>
      <c r="Z39" s="26"/>
      <c r="AA39" s="42"/>
      <c r="AB39" s="26"/>
      <c r="AC39" s="42"/>
      <c r="AD39" s="42"/>
      <c r="AE39" s="61"/>
      <c r="AF39" s="161"/>
    </row>
    <row r="40" spans="1:32">
      <c r="A40" s="69" t="s">
        <v>94</v>
      </c>
      <c r="B40" s="40"/>
      <c r="C40" s="42"/>
      <c r="D40" s="26"/>
      <c r="E40" s="42"/>
      <c r="F40" s="26"/>
      <c r="G40" s="42"/>
      <c r="H40" s="26"/>
      <c r="I40" s="42"/>
      <c r="J40" s="26"/>
      <c r="K40" s="42"/>
      <c r="L40" s="47"/>
      <c r="M40" s="42"/>
      <c r="N40" s="26"/>
      <c r="O40" s="42"/>
      <c r="P40" s="26"/>
      <c r="Q40" s="42"/>
      <c r="R40" s="26"/>
      <c r="S40" s="42"/>
      <c r="T40" s="26"/>
      <c r="U40" s="42"/>
      <c r="V40" s="26"/>
      <c r="W40" s="42"/>
      <c r="X40" s="26"/>
      <c r="Y40" s="42"/>
      <c r="Z40" s="26"/>
      <c r="AA40" s="42"/>
      <c r="AB40" s="26"/>
      <c r="AC40" s="42"/>
      <c r="AD40" s="42"/>
      <c r="AE40" s="61"/>
      <c r="AF40" s="161"/>
    </row>
    <row r="41" spans="1:32">
      <c r="A41" s="76" t="s">
        <v>40</v>
      </c>
      <c r="B41" s="40" t="s">
        <v>41</v>
      </c>
      <c r="C41" s="48">
        <v>0</v>
      </c>
      <c r="D41" s="26" t="s">
        <v>41</v>
      </c>
      <c r="E41" s="42">
        <f>+C44</f>
        <v>0</v>
      </c>
      <c r="F41" s="26" t="s">
        <v>41</v>
      </c>
      <c r="G41" s="42">
        <f>+E44</f>
        <v>0</v>
      </c>
      <c r="H41" s="26" t="s">
        <v>41</v>
      </c>
      <c r="I41" s="42">
        <f>+G44</f>
        <v>0</v>
      </c>
      <c r="J41" s="26" t="s">
        <v>41</v>
      </c>
      <c r="K41" s="42">
        <f>+I44</f>
        <v>0</v>
      </c>
      <c r="L41" s="47" t="s">
        <v>41</v>
      </c>
      <c r="M41" s="42">
        <f>+K44</f>
        <v>0</v>
      </c>
      <c r="N41" s="26" t="s">
        <v>41</v>
      </c>
      <c r="O41" s="42">
        <f>+M44</f>
        <v>0</v>
      </c>
      <c r="P41" s="26" t="s">
        <v>41</v>
      </c>
      <c r="Q41" s="42">
        <f>+O44</f>
        <v>0</v>
      </c>
      <c r="R41" s="26" t="s">
        <v>41</v>
      </c>
      <c r="S41" s="42">
        <f>+Q44</f>
        <v>0</v>
      </c>
      <c r="T41" s="26" t="s">
        <v>41</v>
      </c>
      <c r="U41" s="42">
        <f>+S44</f>
        <v>0</v>
      </c>
      <c r="V41" s="26" t="s">
        <v>41</v>
      </c>
      <c r="W41" s="42">
        <f>+U44</f>
        <v>0</v>
      </c>
      <c r="X41" s="26" t="s">
        <v>41</v>
      </c>
      <c r="Y41" s="42">
        <f>+W44</f>
        <v>0</v>
      </c>
      <c r="Z41" s="26" t="s">
        <v>41</v>
      </c>
      <c r="AA41" s="42">
        <f>+C41</f>
        <v>0</v>
      </c>
      <c r="AB41" s="26" t="s">
        <v>41</v>
      </c>
      <c r="AC41" s="48">
        <v>0</v>
      </c>
      <c r="AD41" s="26" t="s">
        <v>41</v>
      </c>
      <c r="AE41" s="61">
        <f>AA41-AC41</f>
        <v>0</v>
      </c>
      <c r="AF41" s="161"/>
    </row>
    <row r="42" spans="1:32">
      <c r="A42" s="110" t="s">
        <v>57</v>
      </c>
      <c r="B42" s="40" t="s">
        <v>41</v>
      </c>
      <c r="C42" s="48">
        <v>0</v>
      </c>
      <c r="D42" s="26" t="s">
        <v>41</v>
      </c>
      <c r="E42" s="48">
        <v>0</v>
      </c>
      <c r="F42" s="26" t="s">
        <v>41</v>
      </c>
      <c r="G42" s="48">
        <v>0</v>
      </c>
      <c r="H42" s="26" t="s">
        <v>41</v>
      </c>
      <c r="I42" s="48">
        <v>0</v>
      </c>
      <c r="J42" s="26" t="s">
        <v>41</v>
      </c>
      <c r="K42" s="48">
        <v>0</v>
      </c>
      <c r="L42" s="47" t="s">
        <v>41</v>
      </c>
      <c r="M42" s="48">
        <v>0</v>
      </c>
      <c r="N42" s="26" t="s">
        <v>41</v>
      </c>
      <c r="O42" s="48">
        <v>0</v>
      </c>
      <c r="P42" s="26" t="s">
        <v>41</v>
      </c>
      <c r="Q42" s="48">
        <v>0</v>
      </c>
      <c r="R42" s="26" t="s">
        <v>41</v>
      </c>
      <c r="S42" s="48">
        <v>0</v>
      </c>
      <c r="T42" s="26" t="s">
        <v>41</v>
      </c>
      <c r="U42" s="48">
        <v>0</v>
      </c>
      <c r="V42" s="26" t="s">
        <v>41</v>
      </c>
      <c r="W42" s="48">
        <v>0</v>
      </c>
      <c r="X42" s="26" t="s">
        <v>41</v>
      </c>
      <c r="Y42" s="48">
        <v>0</v>
      </c>
      <c r="Z42" s="26" t="s">
        <v>41</v>
      </c>
      <c r="AA42" s="42">
        <f>SUM(C42:Y42)</f>
        <v>0</v>
      </c>
      <c r="AB42" s="26" t="s">
        <v>41</v>
      </c>
      <c r="AC42" s="48">
        <v>0</v>
      </c>
      <c r="AD42" s="26" t="s">
        <v>41</v>
      </c>
      <c r="AE42" s="61">
        <f>AA42-AC42</f>
        <v>0</v>
      </c>
      <c r="AF42" s="161"/>
    </row>
    <row r="43" spans="1:32">
      <c r="A43" s="110" t="s">
        <v>58</v>
      </c>
      <c r="B43" s="16" t="s">
        <v>41</v>
      </c>
      <c r="C43" s="17">
        <v>0</v>
      </c>
      <c r="D43" s="18" t="s">
        <v>41</v>
      </c>
      <c r="E43" s="17">
        <v>0</v>
      </c>
      <c r="F43" s="18" t="s">
        <v>41</v>
      </c>
      <c r="G43" s="17">
        <v>0</v>
      </c>
      <c r="H43" s="18" t="s">
        <v>41</v>
      </c>
      <c r="I43" s="17">
        <v>0</v>
      </c>
      <c r="J43" s="18" t="s">
        <v>41</v>
      </c>
      <c r="K43" s="17">
        <v>0</v>
      </c>
      <c r="L43" s="49" t="s">
        <v>41</v>
      </c>
      <c r="M43" s="17">
        <v>0</v>
      </c>
      <c r="N43" s="18" t="s">
        <v>41</v>
      </c>
      <c r="O43" s="17">
        <v>0</v>
      </c>
      <c r="P43" s="18" t="s">
        <v>41</v>
      </c>
      <c r="Q43" s="17">
        <v>0</v>
      </c>
      <c r="R43" s="18" t="s">
        <v>41</v>
      </c>
      <c r="S43" s="17">
        <v>0</v>
      </c>
      <c r="T43" s="18" t="s">
        <v>41</v>
      </c>
      <c r="U43" s="17">
        <v>0</v>
      </c>
      <c r="V43" s="18" t="s">
        <v>41</v>
      </c>
      <c r="W43" s="17">
        <v>0</v>
      </c>
      <c r="X43" s="18" t="s">
        <v>41</v>
      </c>
      <c r="Y43" s="17">
        <v>0</v>
      </c>
      <c r="Z43" s="18" t="s">
        <v>41</v>
      </c>
      <c r="AA43" s="19">
        <f>SUM(C43:Y43)</f>
        <v>0</v>
      </c>
      <c r="AB43" s="18" t="s">
        <v>41</v>
      </c>
      <c r="AC43" s="17">
        <v>0</v>
      </c>
      <c r="AD43" s="18" t="s">
        <v>41</v>
      </c>
      <c r="AE43" s="51">
        <f>AA43-AC43</f>
        <v>0</v>
      </c>
      <c r="AF43" s="161"/>
    </row>
    <row r="44" spans="1:32">
      <c r="A44" s="110" t="s">
        <v>59</v>
      </c>
      <c r="B44" s="27" t="s">
        <v>41</v>
      </c>
      <c r="C44" s="24">
        <f>+C41+C42-C43</f>
        <v>0</v>
      </c>
      <c r="D44" s="25" t="s">
        <v>41</v>
      </c>
      <c r="E44" s="24">
        <f>+E41+E42-E43</f>
        <v>0</v>
      </c>
      <c r="F44" s="25" t="s">
        <v>41</v>
      </c>
      <c r="G44" s="24">
        <f>+G41+G42-G43</f>
        <v>0</v>
      </c>
      <c r="H44" s="25" t="s">
        <v>41</v>
      </c>
      <c r="I44" s="24">
        <f>+I41+I42-I43</f>
        <v>0</v>
      </c>
      <c r="J44" s="25" t="s">
        <v>41</v>
      </c>
      <c r="K44" s="24">
        <f>+K41+K42-K43</f>
        <v>0</v>
      </c>
      <c r="L44" s="46" t="s">
        <v>41</v>
      </c>
      <c r="M44" s="24">
        <f>+M41+M42-M43</f>
        <v>0</v>
      </c>
      <c r="N44" s="25" t="s">
        <v>41</v>
      </c>
      <c r="O44" s="24">
        <f>+O41+O42-O43</f>
        <v>0</v>
      </c>
      <c r="P44" s="25" t="s">
        <v>41</v>
      </c>
      <c r="Q44" s="24">
        <f>+Q41+Q42-Q43</f>
        <v>0</v>
      </c>
      <c r="R44" s="25" t="s">
        <v>41</v>
      </c>
      <c r="S44" s="24">
        <f>+S41+S42-S43</f>
        <v>0</v>
      </c>
      <c r="T44" s="25" t="s">
        <v>41</v>
      </c>
      <c r="U44" s="24">
        <f>+U41+U42-U43</f>
        <v>0</v>
      </c>
      <c r="V44" s="25" t="s">
        <v>41</v>
      </c>
      <c r="W44" s="24">
        <f>+W41+W42-W43</f>
        <v>0</v>
      </c>
      <c r="X44" s="25" t="s">
        <v>41</v>
      </c>
      <c r="Y44" s="24">
        <f>+Y41+Y42-Y43</f>
        <v>0</v>
      </c>
      <c r="Z44" s="25" t="s">
        <v>41</v>
      </c>
      <c r="AA44" s="57">
        <f>+AA41+AA42-AA43</f>
        <v>0</v>
      </c>
      <c r="AB44" s="58" t="s">
        <v>41</v>
      </c>
      <c r="AC44" s="57">
        <f>+AC41+AC42-AC43</f>
        <v>0</v>
      </c>
      <c r="AD44" s="58" t="s">
        <v>41</v>
      </c>
      <c r="AE44" s="55">
        <f>AA44-AC44</f>
        <v>0</v>
      </c>
      <c r="AF44" s="161"/>
    </row>
    <row r="45" spans="1:32">
      <c r="A45" s="105"/>
      <c r="B45" s="40"/>
      <c r="C45" s="42"/>
      <c r="D45" s="26"/>
      <c r="E45" s="42"/>
      <c r="F45" s="26"/>
      <c r="G45" s="42"/>
      <c r="H45" s="26"/>
      <c r="I45" s="42"/>
      <c r="J45" s="26"/>
      <c r="K45" s="42"/>
      <c r="L45" s="47"/>
      <c r="M45" s="42"/>
      <c r="N45" s="26"/>
      <c r="O45" s="42"/>
      <c r="P45" s="26"/>
      <c r="Q45" s="42"/>
      <c r="R45" s="26"/>
      <c r="S45" s="42"/>
      <c r="T45" s="26"/>
      <c r="U45" s="42"/>
      <c r="V45" s="26"/>
      <c r="W45" s="42"/>
      <c r="X45" s="26"/>
      <c r="Y45" s="42"/>
      <c r="Z45" s="26"/>
      <c r="AA45" s="42"/>
      <c r="AB45" s="26"/>
      <c r="AC45" s="42"/>
      <c r="AD45" s="42"/>
      <c r="AE45" s="61"/>
      <c r="AF45" s="161"/>
    </row>
    <row r="46" spans="1:32" ht="15.6">
      <c r="A46" s="114" t="s">
        <v>96</v>
      </c>
      <c r="B46" s="115" t="s">
        <v>41</v>
      </c>
      <c r="C46" s="116">
        <f>+C32+C38+C44</f>
        <v>0</v>
      </c>
      <c r="D46" s="117" t="s">
        <v>41</v>
      </c>
      <c r="E46" s="116">
        <f>+E32+E38+E44</f>
        <v>0</v>
      </c>
      <c r="F46" s="117" t="s">
        <v>41</v>
      </c>
      <c r="G46" s="116">
        <f>+G32+G38+G44</f>
        <v>0</v>
      </c>
      <c r="H46" s="117" t="s">
        <v>41</v>
      </c>
      <c r="I46" s="116">
        <f>+I32+I38+I44</f>
        <v>0</v>
      </c>
      <c r="J46" s="117" t="s">
        <v>41</v>
      </c>
      <c r="K46" s="116">
        <f>+K32+K38+K44</f>
        <v>0</v>
      </c>
      <c r="L46" s="118" t="s">
        <v>41</v>
      </c>
      <c r="M46" s="116">
        <f>+M32+M38+M44</f>
        <v>0</v>
      </c>
      <c r="N46" s="117" t="s">
        <v>41</v>
      </c>
      <c r="O46" s="116">
        <f>+O32+O38+O44</f>
        <v>0</v>
      </c>
      <c r="P46" s="117" t="s">
        <v>41</v>
      </c>
      <c r="Q46" s="116">
        <f>+Q32+Q38+Q44</f>
        <v>0</v>
      </c>
      <c r="R46" s="117" t="s">
        <v>41</v>
      </c>
      <c r="S46" s="116">
        <f>+S32+S38+S44</f>
        <v>0</v>
      </c>
      <c r="T46" s="117" t="s">
        <v>41</v>
      </c>
      <c r="U46" s="116">
        <f>+U32+U38+U44</f>
        <v>0</v>
      </c>
      <c r="V46" s="117" t="s">
        <v>41</v>
      </c>
      <c r="W46" s="116">
        <f>+W32+W38+W44</f>
        <v>0</v>
      </c>
      <c r="X46" s="117" t="s">
        <v>41</v>
      </c>
      <c r="Y46" s="116">
        <f>+Y32+Y38+Y44</f>
        <v>0</v>
      </c>
      <c r="Z46" s="117" t="s">
        <v>41</v>
      </c>
      <c r="AA46" s="116">
        <f>+AA32+AA38+AA44</f>
        <v>0</v>
      </c>
      <c r="AB46" s="117" t="s">
        <v>41</v>
      </c>
      <c r="AC46" s="116">
        <f>+AC32+AC38+AC44</f>
        <v>0</v>
      </c>
      <c r="AD46" s="117" t="s">
        <v>41</v>
      </c>
      <c r="AE46" s="119">
        <f>+AE32+AE38+AE44</f>
        <v>0</v>
      </c>
      <c r="AF46" s="162"/>
    </row>
    <row r="47" spans="1:32">
      <c r="B47" s="6"/>
      <c r="C47" s="13"/>
      <c r="D47" s="14"/>
      <c r="E47" s="13"/>
      <c r="F47" s="14"/>
      <c r="G47" s="13"/>
      <c r="H47" s="14"/>
      <c r="I47" s="13"/>
      <c r="J47" s="14"/>
      <c r="K47" s="13"/>
      <c r="L47" s="14"/>
      <c r="M47" s="13"/>
      <c r="N47" s="14"/>
      <c r="O47" s="13"/>
      <c r="P47" s="14"/>
      <c r="Q47" s="13"/>
      <c r="R47" s="14"/>
      <c r="S47" s="13"/>
      <c r="T47" s="14"/>
      <c r="U47" s="13"/>
      <c r="V47" s="14"/>
      <c r="W47" s="13"/>
      <c r="X47" s="14"/>
      <c r="Y47" s="13"/>
      <c r="Z47" s="14"/>
      <c r="AA47" s="28"/>
      <c r="AE47" s="13"/>
    </row>
  </sheetData>
  <mergeCells count="3">
    <mergeCell ref="A4:AF4"/>
    <mergeCell ref="C6:K6"/>
    <mergeCell ref="M6:Y6"/>
  </mergeCells>
  <printOptions horizontalCentered="1" gridLines="1"/>
  <pageMargins left="0.2" right="0.2" top="0.75" bottom="0.5" header="0.3" footer="0.3"/>
  <pageSetup scale="44" orientation="landscape" r:id="rId1"/>
  <headerFooter>
    <oddHeader xml:space="preserve">&amp;CCash Flow Projection
(Charter School with Fiscal Year Ending June 30)
</oddHeader>
    <oddFooter xml:space="preserve">&amp;C&amp;P&amp;R
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>
    <Document_x0020_Type xmlns="e2779737-15b4-45b5-945f-ac870c16383a">Tracked Changes</Document_x0020_Type>
    <FASRG_x0020_Version xmlns="e2779737-15b4-45b5-945f-ac870c16383a" xsi:nil="true"/>
    <Physical_x0020_Location xmlns="e2779737-15b4-45b5-945f-ac870c16383a" xsi:nil="true"/>
    <Hard_x0020_Copy_x0020_Kept_x0020_By xmlns="e2779737-15b4-45b5-945f-ac870c16383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B571677321E245ABC658B6DA4F29FA" ma:contentTypeVersion="7" ma:contentTypeDescription="Create a new document." ma:contentTypeScope="" ma:versionID="e6b83e7e8905ad8a4ef6200a712ef380">
  <xsd:schema xmlns:xsd="http://www.w3.org/2001/XMLSchema" xmlns:p="http://schemas.microsoft.com/office/2006/metadata/properties" xmlns:ns2="e2779737-15b4-45b5-945f-ac870c16383a" targetNamespace="http://schemas.microsoft.com/office/2006/metadata/properties" ma:root="true" ma:fieldsID="2a1d9400700090a5ba633230e4d528d8" ns2:_="">
    <xsd:import namespace="e2779737-15b4-45b5-945f-ac870c16383a"/>
    <xsd:element name="properties">
      <xsd:complexType>
        <xsd:sequence>
          <xsd:element name="documentManagement">
            <xsd:complexType>
              <xsd:all>
                <xsd:element ref="ns2:Physical_x0020_Location" minOccurs="0"/>
                <xsd:element ref="ns2:Hard_x0020_Copy_x0020_Kept_x0020_By" minOccurs="0"/>
                <xsd:element ref="ns2:FASRG_x0020_Version" minOccurs="0"/>
                <xsd:element ref="ns2:Document_x0020_Typ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e2779737-15b4-45b5-945f-ac870c16383a" elementFormDefault="qualified">
    <xsd:import namespace="http://schemas.microsoft.com/office/2006/documentManagement/types"/>
    <xsd:element name="Physical_x0020_Location" ma:index="8" nillable="true" ma:displayName="Physical Location" ma:default="" ma:internalName="Physical_x0020_Location">
      <xsd:simpleType>
        <xsd:restriction base="dms:Text">
          <xsd:maxLength value="255"/>
        </xsd:restriction>
      </xsd:simpleType>
    </xsd:element>
    <xsd:element name="Hard_x0020_Copy_x0020_Kept_x0020_By" ma:index="9" nillable="true" ma:displayName="Hard Copy Kept By" ma:default="" ma:internalName="Hard_x0020_Copy_x0020_Kept_x0020_By">
      <xsd:simpleType>
        <xsd:restriction base="dms:Text">
          <xsd:maxLength value="255"/>
        </xsd:restriction>
      </xsd:simpleType>
    </xsd:element>
    <xsd:element name="FASRG_x0020_Version" ma:index="10" nillable="true" ma:displayName="FASRG Version" ma:default="" ma:description="version number" ma:internalName="FASRG_x0020_Version">
      <xsd:simpleType>
        <xsd:restriction base="dms:Text">
          <xsd:maxLength value="10"/>
        </xsd:restriction>
      </xsd:simpleType>
    </xsd:element>
    <xsd:element name="Document_x0020_Type" ma:index="11" nillable="true" ma:displayName="Document Type" ma:default="Tracked Changes" ma:format="Dropdown" ma:internalName="Document_x0020_Type">
      <xsd:simpleType>
        <xsd:restriction base="dms:Choice">
          <xsd:enumeration value="Reviewed"/>
          <xsd:enumeration value="Tracked Changes"/>
          <xsd:enumeration value="Changes Accepted"/>
          <xsd:enumeration value="PDF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837B92AC-8B7E-4E00-A014-492AFBEB009D}"/>
</file>

<file path=customXml/itemProps2.xml><?xml version="1.0" encoding="utf-8"?>
<ds:datastoreItem xmlns:ds="http://schemas.openxmlformats.org/officeDocument/2006/customXml" ds:itemID="{AE1ADC9F-3972-4858-9BA3-7ECB442FEE38}"/>
</file>

<file path=customXml/itemProps3.xml><?xml version="1.0" encoding="utf-8"?>
<ds:datastoreItem xmlns:ds="http://schemas.openxmlformats.org/officeDocument/2006/customXml" ds:itemID="{56130C9E-DDA5-4E9D-8FEC-408613AC23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Budget</vt:lpstr>
      <vt:lpstr>Cash (FY ending Aug 31)</vt:lpstr>
      <vt:lpstr>Cash (FY ending Jun 30)</vt:lpstr>
      <vt:lpstr>Budget!Print_Area</vt:lpstr>
      <vt:lpstr>'Cash (FY ending Aug 31)'!Print_Area</vt:lpstr>
      <vt:lpstr>'Cash (FY ending Jun 30)'!Print_Area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ttelkes</dc:creator>
  <cp:lastModifiedBy>treyes</cp:lastModifiedBy>
  <cp:lastPrinted>2012-10-24T19:33:00Z</cp:lastPrinted>
  <dcterms:created xsi:type="dcterms:W3CDTF">2012-10-11T16:07:06Z</dcterms:created>
  <dcterms:modified xsi:type="dcterms:W3CDTF">2012-10-24T20:41:11Z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0x010100B2B571677321E245ABC658B6DA4F29FA</vt:lpwstr>
  </property>
</Properties>
</file>