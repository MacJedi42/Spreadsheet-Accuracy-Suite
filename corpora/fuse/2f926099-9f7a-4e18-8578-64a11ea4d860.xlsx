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1355" windowHeight="9210" activeTab="6"/>
  </bookViews>
  <sheets>
    <sheet name="Exh 1" sheetId="1" r:id="rId1"/>
    <sheet name="Exh 2" sheetId="2" r:id="rId2"/>
    <sheet name="Exh 3" sheetId="3" r:id="rId3"/>
    <sheet name="Exh 4" sheetId="4" r:id="rId4"/>
    <sheet name="Exh 5" sheetId="7" r:id="rId5"/>
    <sheet name="Exh 6" sheetId="5" r:id="rId6"/>
    <sheet name="Exh 7" sheetId="6" r:id="rId7"/>
  </sheets>
  <calcPr calcId="125725"/>
</workbook>
</file>

<file path=xl/calcChain.xml><?xml version="1.0" encoding="utf-8"?>
<calcChain xmlns="http://schemas.openxmlformats.org/spreadsheetml/2006/main">
  <c r="G4" i="1"/>
  <c r="G5"/>
  <c r="G6"/>
  <c r="G7"/>
  <c r="G8"/>
  <c r="G9"/>
  <c r="G10"/>
  <c r="G27" i="2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H7" s="1"/>
  <c r="C32"/>
  <c r="C33"/>
  <c r="C34"/>
  <c r="C35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 s="1"/>
  <c r="C4" s="1"/>
  <c r="B35"/>
  <c r="B34"/>
  <c r="B33"/>
  <c r="B32"/>
  <c r="B31"/>
  <c r="B30"/>
  <c r="B29"/>
  <c r="B28"/>
  <c r="B27"/>
  <c r="B26"/>
  <c r="B25"/>
  <c r="E25" s="1"/>
  <c r="B24"/>
  <c r="B23"/>
  <c r="B22"/>
  <c r="B21"/>
  <c r="B20"/>
  <c r="B19"/>
  <c r="B18"/>
  <c r="B17"/>
  <c r="E17" s="1"/>
  <c r="B16"/>
  <c r="B15"/>
  <c r="B14"/>
  <c r="B13"/>
  <c r="B12"/>
  <c r="B11"/>
  <c r="B10"/>
  <c r="B9"/>
  <c r="E9" s="1"/>
  <c r="B8"/>
  <c r="B7"/>
  <c r="E7" s="1"/>
  <c r="I7" s="1"/>
  <c r="B6"/>
  <c r="B5"/>
  <c r="B4"/>
  <c r="B11" i="3"/>
  <c r="B10"/>
  <c r="B9"/>
  <c r="B8"/>
  <c r="B7"/>
  <c r="B6"/>
  <c r="X51" i="4"/>
  <c r="T51"/>
  <c r="P51"/>
  <c r="L51"/>
  <c r="X52"/>
  <c r="T52"/>
  <c r="P52"/>
  <c r="L52"/>
  <c r="G6" i="7"/>
  <c r="H51" i="4"/>
  <c r="H52" s="1"/>
  <c r="D51"/>
  <c r="W21"/>
  <c r="V21"/>
  <c r="W20"/>
  <c r="X20" s="1"/>
  <c r="V20"/>
  <c r="W19"/>
  <c r="V19"/>
  <c r="W18"/>
  <c r="X18" s="1"/>
  <c r="V18"/>
  <c r="W17"/>
  <c r="V17"/>
  <c r="W16"/>
  <c r="X16" s="1"/>
  <c r="V16"/>
  <c r="W15"/>
  <c r="V15"/>
  <c r="W14"/>
  <c r="X14" s="1"/>
  <c r="V14"/>
  <c r="W13"/>
  <c r="V13"/>
  <c r="W12"/>
  <c r="X12" s="1"/>
  <c r="V12"/>
  <c r="W11"/>
  <c r="X11" s="1"/>
  <c r="V11"/>
  <c r="W10"/>
  <c r="X10" s="1"/>
  <c r="V10"/>
  <c r="W9"/>
  <c r="V9"/>
  <c r="W8"/>
  <c r="X8" s="1"/>
  <c r="V8"/>
  <c r="W7"/>
  <c r="X7" s="1"/>
  <c r="V7"/>
  <c r="W6"/>
  <c r="X6" s="1"/>
  <c r="V6"/>
  <c r="W5"/>
  <c r="V5"/>
  <c r="W4"/>
  <c r="X4" s="1"/>
  <c r="V4"/>
  <c r="S25"/>
  <c r="T25" s="1"/>
  <c r="R25"/>
  <c r="S24"/>
  <c r="T24" s="1"/>
  <c r="R24"/>
  <c r="S23"/>
  <c r="T23" s="1"/>
  <c r="R23"/>
  <c r="S22"/>
  <c r="T22" s="1"/>
  <c r="R22"/>
  <c r="S21"/>
  <c r="T21" s="1"/>
  <c r="R21"/>
  <c r="S20"/>
  <c r="T20" s="1"/>
  <c r="R20"/>
  <c r="S19"/>
  <c r="T19" s="1"/>
  <c r="R19"/>
  <c r="S18"/>
  <c r="R18"/>
  <c r="S17"/>
  <c r="T17" s="1"/>
  <c r="R17"/>
  <c r="S16"/>
  <c r="T16" s="1"/>
  <c r="R16"/>
  <c r="S15"/>
  <c r="T15" s="1"/>
  <c r="R15"/>
  <c r="S14"/>
  <c r="T14" s="1"/>
  <c r="R14"/>
  <c r="S13"/>
  <c r="T13" s="1"/>
  <c r="R13"/>
  <c r="S12"/>
  <c r="T12" s="1"/>
  <c r="R12"/>
  <c r="S11"/>
  <c r="R11"/>
  <c r="S10"/>
  <c r="T10" s="1"/>
  <c r="R10"/>
  <c r="S9"/>
  <c r="T9" s="1"/>
  <c r="R9"/>
  <c r="S8"/>
  <c r="T8" s="1"/>
  <c r="R8"/>
  <c r="S7"/>
  <c r="T7" s="1"/>
  <c r="R7"/>
  <c r="S6"/>
  <c r="T6" s="1"/>
  <c r="R6"/>
  <c r="S5"/>
  <c r="T5" s="1"/>
  <c r="R5"/>
  <c r="S4"/>
  <c r="T45" s="1"/>
  <c r="R4"/>
  <c r="X21"/>
  <c r="X19"/>
  <c r="X17"/>
  <c r="X15"/>
  <c r="X13"/>
  <c r="X9"/>
  <c r="X5"/>
  <c r="T11"/>
  <c r="T18"/>
  <c r="O29"/>
  <c r="N29"/>
  <c r="O28"/>
  <c r="N28"/>
  <c r="O27"/>
  <c r="N27"/>
  <c r="O26"/>
  <c r="N26"/>
  <c r="O25"/>
  <c r="N25"/>
  <c r="O24"/>
  <c r="N24"/>
  <c r="O23"/>
  <c r="N23"/>
  <c r="O22"/>
  <c r="P22" s="1"/>
  <c r="N22"/>
  <c r="O21"/>
  <c r="N21"/>
  <c r="O20"/>
  <c r="N20"/>
  <c r="O19"/>
  <c r="N19"/>
  <c r="O18"/>
  <c r="P18" s="1"/>
  <c r="N18"/>
  <c r="O17"/>
  <c r="N17"/>
  <c r="O16"/>
  <c r="N16"/>
  <c r="O15"/>
  <c r="N15"/>
  <c r="O14"/>
  <c r="P14" s="1"/>
  <c r="N14"/>
  <c r="O13"/>
  <c r="N13"/>
  <c r="O12"/>
  <c r="N12"/>
  <c r="O11"/>
  <c r="N11"/>
  <c r="O10"/>
  <c r="N10"/>
  <c r="O9"/>
  <c r="N9"/>
  <c r="O8"/>
  <c r="N8"/>
  <c r="O7"/>
  <c r="N7"/>
  <c r="O6"/>
  <c r="P6" s="1"/>
  <c r="N6"/>
  <c r="O5"/>
  <c r="N5"/>
  <c r="O4"/>
  <c r="N4"/>
  <c r="P26"/>
  <c r="P10"/>
  <c r="K33"/>
  <c r="J33"/>
  <c r="L33" s="1"/>
  <c r="K32"/>
  <c r="J32"/>
  <c r="K31"/>
  <c r="J31"/>
  <c r="K30"/>
  <c r="J30"/>
  <c r="K29"/>
  <c r="J29"/>
  <c r="K28"/>
  <c r="J28"/>
  <c r="K27"/>
  <c r="J27"/>
  <c r="K26"/>
  <c r="J26"/>
  <c r="K25"/>
  <c r="J25"/>
  <c r="K24"/>
  <c r="J24"/>
  <c r="K23"/>
  <c r="J23"/>
  <c r="K22"/>
  <c r="J22"/>
  <c r="K21"/>
  <c r="J21"/>
  <c r="K20"/>
  <c r="J20"/>
  <c r="K19"/>
  <c r="J19"/>
  <c r="K18"/>
  <c r="J18"/>
  <c r="K17"/>
  <c r="J17"/>
  <c r="L17" s="1"/>
  <c r="K16"/>
  <c r="J16"/>
  <c r="K15"/>
  <c r="J15"/>
  <c r="K14"/>
  <c r="J14"/>
  <c r="K13"/>
  <c r="J13"/>
  <c r="K12"/>
  <c r="J12"/>
  <c r="K11"/>
  <c r="J11"/>
  <c r="K10"/>
  <c r="J10"/>
  <c r="K9"/>
  <c r="J9"/>
  <c r="K8"/>
  <c r="J8"/>
  <c r="K7"/>
  <c r="J7"/>
  <c r="K6"/>
  <c r="J6"/>
  <c r="K5"/>
  <c r="J5"/>
  <c r="K4"/>
  <c r="J4"/>
  <c r="L25"/>
  <c r="L9"/>
  <c r="G22"/>
  <c r="G37"/>
  <c r="G36"/>
  <c r="G35"/>
  <c r="H35" s="1"/>
  <c r="G34"/>
  <c r="G33"/>
  <c r="G32"/>
  <c r="G31"/>
  <c r="G30"/>
  <c r="G29"/>
  <c r="G28"/>
  <c r="G27"/>
  <c r="G26"/>
  <c r="G25"/>
  <c r="G24"/>
  <c r="G23"/>
  <c r="G21"/>
  <c r="G20"/>
  <c r="G19"/>
  <c r="G18"/>
  <c r="H18" s="1"/>
  <c r="G17"/>
  <c r="G16"/>
  <c r="G15"/>
  <c r="G14"/>
  <c r="G13"/>
  <c r="G12"/>
  <c r="G11"/>
  <c r="G10"/>
  <c r="H10" s="1"/>
  <c r="G9"/>
  <c r="G8"/>
  <c r="G7"/>
  <c r="G6"/>
  <c r="G5"/>
  <c r="G4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H27"/>
  <c r="H14"/>
  <c r="H6"/>
  <c r="C12" i="7"/>
  <c r="D12" s="1"/>
  <c r="AE57" i="6"/>
  <c r="C4" i="4"/>
  <c r="C5"/>
  <c r="D45" s="1"/>
  <c r="C6"/>
  <c r="C7"/>
  <c r="D7" s="1"/>
  <c r="C8"/>
  <c r="C9"/>
  <c r="C10"/>
  <c r="C11"/>
  <c r="D11" s="1"/>
  <c r="C12"/>
  <c r="C13"/>
  <c r="C14"/>
  <c r="C15"/>
  <c r="D15" s="1"/>
  <c r="C16"/>
  <c r="C17"/>
  <c r="C18"/>
  <c r="E4" i="1" s="1"/>
  <c r="C19" i="4"/>
  <c r="D19" s="1"/>
  <c r="C20"/>
  <c r="C21"/>
  <c r="C22"/>
  <c r="E5" i="1" s="1"/>
  <c r="C23" i="4"/>
  <c r="D23" s="1"/>
  <c r="C24"/>
  <c r="C25"/>
  <c r="C26"/>
  <c r="E6" i="1" s="1"/>
  <c r="C27" i="4"/>
  <c r="D27" s="1"/>
  <c r="C28"/>
  <c r="C29"/>
  <c r="C30"/>
  <c r="E7" i="1" s="1"/>
  <c r="C31" i="4"/>
  <c r="D31" s="1"/>
  <c r="C32"/>
  <c r="C33"/>
  <c r="C34"/>
  <c r="E8" i="1" s="1"/>
  <c r="C35" i="4"/>
  <c r="D35" s="1"/>
  <c r="C36"/>
  <c r="C37"/>
  <c r="C38"/>
  <c r="E9" i="1" s="1"/>
  <c r="C39" i="4"/>
  <c r="D39" s="1"/>
  <c r="C40"/>
  <c r="C4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D5"/>
  <c r="D9"/>
  <c r="D13"/>
  <c r="D17"/>
  <c r="D21"/>
  <c r="D25"/>
  <c r="D29"/>
  <c r="D33"/>
  <c r="D37"/>
  <c r="D41"/>
  <c r="AD57" i="6"/>
  <c r="AC51"/>
  <c r="AC53" s="1"/>
  <c r="AC55" s="1"/>
  <c r="AB51"/>
  <c r="AB53" s="1"/>
  <c r="AA51"/>
  <c r="AA53" s="1"/>
  <c r="Z51"/>
  <c r="Z53" s="1"/>
  <c r="Y51"/>
  <c r="Y53" s="1"/>
  <c r="X51"/>
  <c r="X53" s="1"/>
  <c r="W51"/>
  <c r="W53" s="1"/>
  <c r="V51"/>
  <c r="V53" s="1"/>
  <c r="U51"/>
  <c r="U53" s="1"/>
  <c r="T51"/>
  <c r="T53" s="1"/>
  <c r="S51"/>
  <c r="S53" s="1"/>
  <c r="R51"/>
  <c r="R53" s="1"/>
  <c r="Q51"/>
  <c r="Q53" s="1"/>
  <c r="P51"/>
  <c r="P53" s="1"/>
  <c r="O51"/>
  <c r="O53" s="1"/>
  <c r="N51"/>
  <c r="N53" s="1"/>
  <c r="M51"/>
  <c r="M53" s="1"/>
  <c r="L51"/>
  <c r="L53" s="1"/>
  <c r="K51"/>
  <c r="K53" s="1"/>
  <c r="J51"/>
  <c r="J53" s="1"/>
  <c r="I51"/>
  <c r="I53" s="1"/>
  <c r="H51"/>
  <c r="H53" s="1"/>
  <c r="G51"/>
  <c r="G53" s="1"/>
  <c r="F51"/>
  <c r="F53" s="1"/>
  <c r="E51"/>
  <c r="E53" s="1"/>
  <c r="D51"/>
  <c r="D53" s="1"/>
  <c r="C51"/>
  <c r="C53" s="1"/>
  <c r="B51"/>
  <c r="B53" s="1"/>
  <c r="C3"/>
  <c r="D3"/>
  <c r="E3" s="1"/>
  <c r="F3" s="1"/>
  <c r="G3" s="1"/>
  <c r="H3" s="1"/>
  <c r="I3" s="1"/>
  <c r="J3" s="1"/>
  <c r="K3" s="1"/>
  <c r="L3" s="1"/>
  <c r="M3" s="1"/>
  <c r="N3" s="1"/>
  <c r="O3" s="1"/>
  <c r="P3" s="1"/>
  <c r="Q3" s="1"/>
  <c r="R3" s="1"/>
  <c r="S3" s="1"/>
  <c r="T3" s="1"/>
  <c r="U3" s="1"/>
  <c r="V3" s="1"/>
  <c r="W3" s="1"/>
  <c r="X3" s="1"/>
  <c r="Y3" s="1"/>
  <c r="Z3" s="1"/>
  <c r="AA3" s="1"/>
  <c r="AB3" s="1"/>
  <c r="AC3" s="1"/>
  <c r="AD3" s="1"/>
  <c r="C3" i="5"/>
  <c r="D3"/>
  <c r="E3" s="1"/>
  <c r="F3" s="1"/>
  <c r="G3" s="1"/>
  <c r="H3" s="1"/>
  <c r="I3" s="1"/>
  <c r="J3" s="1"/>
  <c r="K3" s="1"/>
  <c r="L3" s="1"/>
  <c r="M3" s="1"/>
  <c r="N3" s="1"/>
  <c r="O3" s="1"/>
  <c r="P3" s="1"/>
  <c r="Q3" s="1"/>
  <c r="R3" s="1"/>
  <c r="S3" s="1"/>
  <c r="T3" s="1"/>
  <c r="U3" s="1"/>
  <c r="V3" s="1"/>
  <c r="W3" s="1"/>
  <c r="X3" s="1"/>
  <c r="Y3" s="1"/>
  <c r="Z3" s="1"/>
  <c r="AA3" s="1"/>
  <c r="AB3" s="1"/>
  <c r="AC3" s="1"/>
  <c r="AD3" s="1"/>
  <c r="G37" i="2"/>
  <c r="H35"/>
  <c r="H31"/>
  <c r="H27"/>
  <c r="H23"/>
  <c r="H19"/>
  <c r="H15"/>
  <c r="H11"/>
  <c r="H23" i="4" l="1"/>
  <c r="H31"/>
  <c r="L4"/>
  <c r="L5"/>
  <c r="L6"/>
  <c r="L7"/>
  <c r="L8"/>
  <c r="L10"/>
  <c r="L11"/>
  <c r="L12"/>
  <c r="L13"/>
  <c r="L14"/>
  <c r="L15"/>
  <c r="L16"/>
  <c r="L18"/>
  <c r="L19"/>
  <c r="L20"/>
  <c r="L21"/>
  <c r="L22"/>
  <c r="L23"/>
  <c r="L24"/>
  <c r="L26"/>
  <c r="L27"/>
  <c r="L28"/>
  <c r="L29"/>
  <c r="L30"/>
  <c r="L31"/>
  <c r="L32"/>
  <c r="T4"/>
  <c r="E35" i="2"/>
  <c r="I35" s="1"/>
  <c r="E11"/>
  <c r="I11" s="1"/>
  <c r="E13"/>
  <c r="I13" s="1"/>
  <c r="E15"/>
  <c r="I15" s="1"/>
  <c r="E19"/>
  <c r="I19" s="1"/>
  <c r="E21"/>
  <c r="I21" s="1"/>
  <c r="E23"/>
  <c r="I23" s="1"/>
  <c r="E27"/>
  <c r="I27" s="1"/>
  <c r="E29"/>
  <c r="E31"/>
  <c r="I31" s="1"/>
  <c r="E33"/>
  <c r="E6"/>
  <c r="I6" s="1"/>
  <c r="E8"/>
  <c r="I8" s="1"/>
  <c r="E10"/>
  <c r="I10" s="1"/>
  <c r="E12"/>
  <c r="I12" s="1"/>
  <c r="E14"/>
  <c r="I14" s="1"/>
  <c r="E16"/>
  <c r="I16" s="1"/>
  <c r="E18"/>
  <c r="I18" s="1"/>
  <c r="E20"/>
  <c r="I20" s="1"/>
  <c r="E22"/>
  <c r="I22" s="1"/>
  <c r="E24"/>
  <c r="I24" s="1"/>
  <c r="E26"/>
  <c r="I26" s="1"/>
  <c r="E28"/>
  <c r="I28" s="1"/>
  <c r="E30"/>
  <c r="I30" s="1"/>
  <c r="E32"/>
  <c r="I32" s="1"/>
  <c r="E34"/>
  <c r="I34" s="1"/>
  <c r="E4"/>
  <c r="I4" s="1"/>
  <c r="E5"/>
  <c r="I5" s="1"/>
  <c r="B37"/>
  <c r="H37"/>
  <c r="H22" i="4"/>
  <c r="H4"/>
  <c r="H8"/>
  <c r="H12"/>
  <c r="H16"/>
  <c r="H20"/>
  <c r="H25"/>
  <c r="H29"/>
  <c r="H33"/>
  <c r="H37"/>
  <c r="P4"/>
  <c r="P5"/>
  <c r="P7"/>
  <c r="P8"/>
  <c r="P9"/>
  <c r="P11"/>
  <c r="P12"/>
  <c r="P13"/>
  <c r="P15"/>
  <c r="P16"/>
  <c r="P17"/>
  <c r="P19"/>
  <c r="P20"/>
  <c r="P21"/>
  <c r="P23"/>
  <c r="P24"/>
  <c r="P25"/>
  <c r="P27"/>
  <c r="P28"/>
  <c r="P29"/>
  <c r="T44"/>
  <c r="X44"/>
  <c r="D40"/>
  <c r="D38"/>
  <c r="D36"/>
  <c r="D34"/>
  <c r="D32"/>
  <c r="D30"/>
  <c r="D28"/>
  <c r="D26"/>
  <c r="D24"/>
  <c r="D22"/>
  <c r="D20"/>
  <c r="D18"/>
  <c r="D16"/>
  <c r="D14"/>
  <c r="D12"/>
  <c r="D10"/>
  <c r="D8"/>
  <c r="D6"/>
  <c r="D4"/>
  <c r="L44"/>
  <c r="X45"/>
  <c r="H5"/>
  <c r="H7"/>
  <c r="H9"/>
  <c r="H11"/>
  <c r="H13"/>
  <c r="H15"/>
  <c r="H17"/>
  <c r="H19"/>
  <c r="H21"/>
  <c r="H24"/>
  <c r="H26"/>
  <c r="H28"/>
  <c r="H30"/>
  <c r="H32"/>
  <c r="H34"/>
  <c r="H36"/>
  <c r="P45"/>
  <c r="I9" i="2"/>
  <c r="I17"/>
  <c r="I25"/>
  <c r="AC57" i="6"/>
  <c r="AB55"/>
  <c r="F15" i="2"/>
  <c r="H45" i="4"/>
  <c r="L45"/>
  <c r="P44" l="1"/>
  <c r="F27" i="2"/>
  <c r="F19"/>
  <c r="F11"/>
  <c r="E37"/>
  <c r="F35"/>
  <c r="F31"/>
  <c r="J15"/>
  <c r="B6" i="1" s="1"/>
  <c r="J23" i="2"/>
  <c r="B8" i="1" s="1"/>
  <c r="I33" i="2"/>
  <c r="J35" s="1"/>
  <c r="I29"/>
  <c r="J31" s="1"/>
  <c r="F23"/>
  <c r="J27"/>
  <c r="B9" i="1" s="1"/>
  <c r="J19" i="2"/>
  <c r="B7" i="1" s="1"/>
  <c r="J11" i="2"/>
  <c r="B5" i="1" s="1"/>
  <c r="F7" i="2"/>
  <c r="J7"/>
  <c r="B4" i="1" s="1"/>
  <c r="H44" i="4"/>
  <c r="D44"/>
  <c r="AB57" i="6"/>
  <c r="AA55"/>
  <c r="F37" i="2" l="1"/>
  <c r="B10" i="1"/>
  <c r="J37" i="2"/>
  <c r="I37"/>
  <c r="AA57" i="6"/>
  <c r="C11" i="7" s="1"/>
  <c r="Z55" i="6"/>
  <c r="D11" i="7" l="1"/>
  <c r="C12" i="3"/>
  <c r="Z57" i="6"/>
  <c r="Y55"/>
  <c r="E12" i="3" l="1"/>
  <c r="F12" s="1"/>
  <c r="G12"/>
  <c r="D12"/>
  <c r="G12" i="7"/>
  <c r="Y57" i="6"/>
  <c r="X55"/>
  <c r="H12" i="3" l="1"/>
  <c r="C4" i="1" s="1"/>
  <c r="D4" s="1"/>
  <c r="F4" s="1"/>
  <c r="H4" s="1"/>
  <c r="X57" i="6"/>
  <c r="W55"/>
  <c r="W57" l="1"/>
  <c r="C10" i="7" s="1"/>
  <c r="V55" i="6"/>
  <c r="D10" i="7" l="1"/>
  <c r="C11" i="3"/>
  <c r="V57" i="6"/>
  <c r="U55"/>
  <c r="D11" i="3" l="1"/>
  <c r="E11"/>
  <c r="F11" s="1"/>
  <c r="G11"/>
  <c r="G11" i="7"/>
  <c r="U57" i="6"/>
  <c r="T55"/>
  <c r="H11" i="3" l="1"/>
  <c r="C5" i="1" s="1"/>
  <c r="D5" s="1"/>
  <c r="F5" s="1"/>
  <c r="H5" s="1"/>
  <c r="T57" i="6"/>
  <c r="S55"/>
  <c r="S57" l="1"/>
  <c r="C9" i="7" s="1"/>
  <c r="R55" i="6"/>
  <c r="C10" i="3" l="1"/>
  <c r="R57" i="6"/>
  <c r="Q55"/>
  <c r="D9" i="7"/>
  <c r="G10" l="1"/>
  <c r="D10" i="3"/>
  <c r="E10"/>
  <c r="F10" s="1"/>
  <c r="G10"/>
  <c r="Q57" i="6"/>
  <c r="P55"/>
  <c r="H10" i="3" l="1"/>
  <c r="C6" i="1" s="1"/>
  <c r="D6" s="1"/>
  <c r="F6" s="1"/>
  <c r="H6" s="1"/>
  <c r="P57" i="6"/>
  <c r="O55"/>
  <c r="O57" l="1"/>
  <c r="C8" i="7" s="1"/>
  <c r="N55" i="6"/>
  <c r="C9" i="3" l="1"/>
  <c r="N57" i="6"/>
  <c r="M55"/>
  <c r="D8" i="7"/>
  <c r="D9" i="3" l="1"/>
  <c r="E9"/>
  <c r="F9" s="1"/>
  <c r="G9"/>
  <c r="G9" i="7"/>
  <c r="M57" i="6"/>
  <c r="L55"/>
  <c r="H9" i="3" l="1"/>
  <c r="C7" i="1" s="1"/>
  <c r="D7" s="1"/>
  <c r="F7" s="1"/>
  <c r="H7" s="1"/>
  <c r="L57" i="6"/>
  <c r="K55"/>
  <c r="K57" l="1"/>
  <c r="C7" i="7" s="1"/>
  <c r="J55" i="6"/>
  <c r="C8" i="3" l="1"/>
  <c r="J57" i="6"/>
  <c r="I55"/>
  <c r="D7" i="7"/>
  <c r="D8" i="3" l="1"/>
  <c r="E8"/>
  <c r="F8" s="1"/>
  <c r="G8"/>
  <c r="G8" i="7"/>
  <c r="I57" i="6"/>
  <c r="H55"/>
  <c r="H8" i="3" l="1"/>
  <c r="C8" i="1" s="1"/>
  <c r="D8" s="1"/>
  <c r="F8" s="1"/>
  <c r="H8" s="1"/>
  <c r="H57" i="6"/>
  <c r="G55"/>
  <c r="G57" l="1"/>
  <c r="C6" i="7" s="1"/>
  <c r="F55" i="6"/>
  <c r="C6" i="3" l="1"/>
  <c r="C7"/>
  <c r="F57" i="6"/>
  <c r="E55"/>
  <c r="D6" i="7"/>
  <c r="D7" i="3" l="1"/>
  <c r="E7"/>
  <c r="F7" s="1"/>
  <c r="G7"/>
  <c r="G6" s="1"/>
  <c r="D52" i="4"/>
  <c r="G7" i="7"/>
  <c r="D6" i="3"/>
  <c r="E6"/>
  <c r="E57" i="6"/>
  <c r="D55"/>
  <c r="H7" i="3" l="1"/>
  <c r="C9" i="1" s="1"/>
  <c r="D9" s="1"/>
  <c r="F9" s="1"/>
  <c r="H9" s="1"/>
  <c r="F6" i="3"/>
  <c r="H6" s="1"/>
  <c r="C10" i="1" s="1"/>
  <c r="D10" s="1"/>
  <c r="F10" s="1"/>
  <c r="H10" s="1"/>
  <c r="D57" i="6"/>
  <c r="C55"/>
  <c r="C57" l="1"/>
  <c r="B55"/>
  <c r="B57" s="1"/>
</calcChain>
</file>

<file path=xl/comments1.xml><?xml version="1.0" encoding="utf-8"?>
<comments xmlns="http://schemas.openxmlformats.org/spreadsheetml/2006/main">
  <authors>
    <author>Helena.Swiatek</author>
  </authors>
  <commentList>
    <comment ref="F37" authorId="0">
      <text>
        <r>
          <rPr>
            <b/>
            <sz val="8"/>
            <color indexed="81"/>
            <rFont val="Tahoma"/>
            <family val="2"/>
          </rPr>
          <t xml:space="preserve">Rob Swiatek:
</t>
        </r>
        <r>
          <rPr>
            <sz val="8"/>
            <color indexed="81"/>
            <rFont val="Tahoma"/>
            <family val="2"/>
          </rPr>
          <t>Not sure why TP differs...</t>
        </r>
      </text>
    </comment>
  </commentList>
</comments>
</file>

<file path=xl/comments2.xml><?xml version="1.0" encoding="utf-8"?>
<comments xmlns="http://schemas.openxmlformats.org/spreadsheetml/2006/main">
  <authors>
    <author>Helena.Swiatek</author>
  </authors>
  <commentList>
    <comment ref="A51" authorId="0">
      <text>
        <r>
          <rPr>
            <b/>
            <sz val="8"/>
            <color indexed="81"/>
            <rFont val="Tahoma"/>
            <family val="2"/>
          </rPr>
          <t>Rob Swiatek:</t>
        </r>
        <r>
          <rPr>
            <sz val="8"/>
            <color indexed="81"/>
            <rFont val="Tahoma"/>
            <family val="2"/>
          </rPr>
          <t xml:space="preserve">
Use the cumulative capped loss ratio for the PDLD calculation.  T/P uses the incremental, but I might assume that the ultimate SP ELR may change at later adjustments.</t>
        </r>
      </text>
    </comment>
  </commentList>
</comments>
</file>

<file path=xl/sharedStrings.xml><?xml version="1.0" encoding="utf-8"?>
<sst xmlns="http://schemas.openxmlformats.org/spreadsheetml/2006/main" count="307" uniqueCount="135">
  <si>
    <t>1987.1 to 1987.4</t>
  </si>
  <si>
    <t>1988.1 to 1988.4</t>
  </si>
  <si>
    <t>1989.1 to 1989.4</t>
  </si>
  <si>
    <t>1990.1 to 1990.4</t>
  </si>
  <si>
    <t>1991.1 to 1991.4</t>
  </si>
  <si>
    <t>1992.1 to 1992.4</t>
  </si>
  <si>
    <t>1993.1 to 1994.4</t>
  </si>
  <si>
    <t>Expected</t>
  </si>
  <si>
    <t>Future Loss</t>
  </si>
  <si>
    <t>Emergence</t>
  </si>
  <si>
    <t>Policy</t>
  </si>
  <si>
    <t>Period</t>
  </si>
  <si>
    <t>CPDLD</t>
  </si>
  <si>
    <t>Effective</t>
  </si>
  <si>
    <t>Quarter</t>
  </si>
  <si>
    <t>Reported</t>
  </si>
  <si>
    <t>Losses @</t>
  </si>
  <si>
    <t>1987.1</t>
  </si>
  <si>
    <t>1987.2</t>
  </si>
  <si>
    <t>1987.3</t>
  </si>
  <si>
    <t>1987.4</t>
  </si>
  <si>
    <t>1988.1</t>
  </si>
  <si>
    <t>1988.2</t>
  </si>
  <si>
    <t>1988.3</t>
  </si>
  <si>
    <t>1988.4</t>
  </si>
  <si>
    <t>1989.1</t>
  </si>
  <si>
    <t>1989.2</t>
  </si>
  <si>
    <t>1989.3</t>
  </si>
  <si>
    <t>1989.4</t>
  </si>
  <si>
    <t>1990.1</t>
  </si>
  <si>
    <t>1990.2</t>
  </si>
  <si>
    <t>1990.3</t>
  </si>
  <si>
    <t>1990.4</t>
  </si>
  <si>
    <t>1991.1</t>
  </si>
  <si>
    <t>1991.2</t>
  </si>
  <si>
    <t>1991.3</t>
  </si>
  <si>
    <t>LDF</t>
  </si>
  <si>
    <t>to Ult</t>
  </si>
  <si>
    <t>% Earned</t>
  </si>
  <si>
    <t>at</t>
  </si>
  <si>
    <t>Ultimate</t>
  </si>
  <si>
    <t>Losses</t>
  </si>
  <si>
    <t>Annual</t>
  </si>
  <si>
    <t>Total</t>
  </si>
  <si>
    <t>Prior Retro Adj.</t>
  </si>
  <si>
    <t>Loss</t>
  </si>
  <si>
    <t>1991.4</t>
  </si>
  <si>
    <t>1992.1</t>
  </si>
  <si>
    <t>1992.2</t>
  </si>
  <si>
    <t>1992.3</t>
  </si>
  <si>
    <t>1992.4</t>
  </si>
  <si>
    <t>1993.1</t>
  </si>
  <si>
    <t>1993.2</t>
  </si>
  <si>
    <t>1993.3</t>
  </si>
  <si>
    <t>1993.4</t>
  </si>
  <si>
    <t>1994.1</t>
  </si>
  <si>
    <t>1994.2</t>
  </si>
  <si>
    <t>1994.3</t>
  </si>
  <si>
    <t>1994.4</t>
  </si>
  <si>
    <t>Retro</t>
  </si>
  <si>
    <t>Adj.</t>
  </si>
  <si>
    <t>Periods</t>
  </si>
  <si>
    <t>7+</t>
  </si>
  <si>
    <t>0-18</t>
  </si>
  <si>
    <t>Prem</t>
  </si>
  <si>
    <t>0-27</t>
  </si>
  <si>
    <t>PDLD</t>
  </si>
  <si>
    <t>1983.3</t>
  </si>
  <si>
    <t>1983.4</t>
  </si>
  <si>
    <t>1984.1</t>
  </si>
  <si>
    <t>1984.2</t>
  </si>
  <si>
    <t>1984.3</t>
  </si>
  <si>
    <t>1984.4</t>
  </si>
  <si>
    <t>1985.1</t>
  </si>
  <si>
    <t>1985.2</t>
  </si>
  <si>
    <t>1985.3</t>
  </si>
  <si>
    <t>1985.4</t>
  </si>
  <si>
    <t>1986.1</t>
  </si>
  <si>
    <t>1986.2</t>
  </si>
  <si>
    <t>1986.3</t>
  </si>
  <si>
    <t>1986.4</t>
  </si>
  <si>
    <t>Booked Premium Development</t>
  </si>
  <si>
    <t>Reported Loss Development</t>
  </si>
  <si>
    <t>Wt'd Avg 16</t>
  </si>
  <si>
    <t>Selected</t>
  </si>
  <si>
    <t>A2U</t>
  </si>
  <si>
    <t>% Emerged</t>
  </si>
  <si>
    <t>Average All</t>
  </si>
  <si>
    <t>Weighted Avg All</t>
  </si>
  <si>
    <t>Retro Formula</t>
  </si>
  <si>
    <t>LCF</t>
  </si>
  <si>
    <t>BP</t>
  </si>
  <si>
    <t>TM</t>
  </si>
  <si>
    <t>CL/L</t>
  </si>
  <si>
    <t>% Loss</t>
  </si>
  <si>
    <t>First Adjustment</t>
  </si>
  <si>
    <t>Empirical</t>
  </si>
  <si>
    <t>SP</t>
  </si>
  <si>
    <t>Loss Ratio</t>
  </si>
  <si>
    <t>Emerged</t>
  </si>
  <si>
    <t>LR</t>
  </si>
  <si>
    <t>Increm</t>
  </si>
  <si>
    <t>Table M Stuff in Between  Not Relevant For Exam</t>
  </si>
  <si>
    <t>19-30</t>
  </si>
  <si>
    <t>28-39</t>
  </si>
  <si>
    <t>Cumulative</t>
  </si>
  <si>
    <t>Second Adjustment</t>
  </si>
  <si>
    <t>Third Adjustment</t>
  </si>
  <si>
    <t>31-42</t>
  </si>
  <si>
    <t>40-51</t>
  </si>
  <si>
    <t>Fourth Adjustment</t>
  </si>
  <si>
    <t>43-54</t>
  </si>
  <si>
    <t>52-63</t>
  </si>
  <si>
    <t>Fifth Adjustment</t>
  </si>
  <si>
    <t>Sixth Adjustment</t>
  </si>
  <si>
    <t>55-66</t>
  </si>
  <si>
    <t>64-75</t>
  </si>
  <si>
    <t>67-78</t>
  </si>
  <si>
    <t>76-87</t>
  </si>
  <si>
    <t>% of Total</t>
  </si>
  <si>
    <t>Loss Emerged</t>
  </si>
  <si>
    <t>Quick</t>
  </si>
  <si>
    <t>PDLD x</t>
  </si>
  <si>
    <t>Loss Emg</t>
  </si>
  <si>
    <t>Upward</t>
  </si>
  <si>
    <t>Slow</t>
  </si>
  <si>
    <t>Prior Col.</t>
  </si>
  <si>
    <t>Future</t>
  </si>
  <si>
    <t>Premium</t>
  </si>
  <si>
    <t>Booked</t>
  </si>
  <si>
    <t>Prem From</t>
  </si>
  <si>
    <t>Prior Adj.</t>
  </si>
  <si>
    <t>Estimated</t>
  </si>
  <si>
    <t>Booked @</t>
  </si>
  <si>
    <t>Asset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</si>
</sst>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.000_);_(* \(#,##0.000\);_(* &quot;-&quot;???_);_(@_)"/>
    <numFmt numFmtId="168" formatCode="0.000"/>
  </numFmts>
  <fonts count="8">
    <font>
      <sz val="10"/>
      <name val="Arial"/>
    </font>
    <font>
      <sz val="10"/>
      <name val="Arial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4" fontId="0" fillId="0" borderId="0" xfId="0" applyNumberFormat="1" applyAlignment="1">
      <alignment horizontal="center"/>
    </xf>
    <xf numFmtId="165" fontId="0" fillId="0" borderId="0" xfId="1" applyNumberFormat="1" applyFont="1"/>
    <xf numFmtId="9" fontId="0" fillId="0" borderId="0" xfId="2" applyFont="1"/>
    <xf numFmtId="166" fontId="0" fillId="0" borderId="0" xfId="2" applyNumberFormat="1" applyFont="1"/>
    <xf numFmtId="9" fontId="0" fillId="0" borderId="0" xfId="2" applyNumberFormat="1" applyFont="1"/>
    <xf numFmtId="164" fontId="0" fillId="0" borderId="0" xfId="0" applyNumberFormat="1"/>
    <xf numFmtId="165" fontId="0" fillId="0" borderId="0" xfId="0" applyNumberFormat="1"/>
    <xf numFmtId="164" fontId="5" fillId="0" borderId="0" xfId="1" applyNumberFormat="1" applyFont="1"/>
    <xf numFmtId="0" fontId="0" fillId="0" borderId="0" xfId="0" applyAlignment="1">
      <alignment horizontal="left" indent="1"/>
    </xf>
    <xf numFmtId="168" fontId="0" fillId="0" borderId="0" xfId="0" applyNumberFormat="1"/>
    <xf numFmtId="166" fontId="0" fillId="0" borderId="0" xfId="0" applyNumberFormat="1"/>
    <xf numFmtId="0" fontId="5" fillId="0" borderId="0" xfId="0" applyFont="1" applyAlignment="1">
      <alignment horizontal="center"/>
    </xf>
    <xf numFmtId="165" fontId="7" fillId="0" borderId="0" xfId="1" applyNumberFormat="1" applyFont="1"/>
    <xf numFmtId="165" fontId="5" fillId="0" borderId="0" xfId="1" applyNumberFormat="1" applyFont="1"/>
    <xf numFmtId="0" fontId="0" fillId="0" borderId="0" xfId="0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167" fontId="0" fillId="0" borderId="0" xfId="0" applyNumberFormat="1"/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0" fillId="0" borderId="2" xfId="1" applyNumberFormat="1" applyFont="1" applyBorder="1"/>
    <xf numFmtId="165" fontId="0" fillId="0" borderId="3" xfId="1" applyNumberFormat="1" applyFont="1" applyBorder="1"/>
    <xf numFmtId="0" fontId="0" fillId="0" borderId="8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3" fontId="0" fillId="0" borderId="8" xfId="0" applyNumberFormat="1" applyBorder="1"/>
    <xf numFmtId="43" fontId="0" fillId="0" borderId="0" xfId="0" applyNumberFormat="1" applyBorder="1"/>
    <xf numFmtId="166" fontId="0" fillId="0" borderId="0" xfId="0" applyNumberFormat="1" applyBorder="1"/>
    <xf numFmtId="165" fontId="0" fillId="0" borderId="9" xfId="0" applyNumberFormat="1" applyBorder="1"/>
    <xf numFmtId="43" fontId="0" fillId="0" borderId="10" xfId="0" applyNumberFormat="1" applyBorder="1"/>
    <xf numFmtId="43" fontId="0" fillId="0" borderId="11" xfId="0" applyNumberFormat="1" applyBorder="1"/>
    <xf numFmtId="166" fontId="0" fillId="0" borderId="11" xfId="0" applyNumberFormat="1" applyBorder="1"/>
    <xf numFmtId="165" fontId="0" fillId="0" borderId="12" xfId="0" applyNumberFormat="1" applyBorder="1"/>
    <xf numFmtId="0" fontId="0" fillId="0" borderId="0" xfId="0" applyFont="1" applyAlignment="1">
      <alignment horizontal="center"/>
    </xf>
    <xf numFmtId="14" fontId="0" fillId="0" borderId="0" xfId="0" applyNumberFormat="1"/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selection activeCell="C9" sqref="C9"/>
    </sheetView>
  </sheetViews>
  <sheetFormatPr defaultRowHeight="12.75"/>
  <cols>
    <col min="1" max="1" width="15" bestFit="1" customWidth="1"/>
    <col min="2" max="2" width="11.28515625" bestFit="1" customWidth="1"/>
    <col min="4" max="4" width="8.85546875" bestFit="1" customWidth="1"/>
    <col min="5" max="5" width="12.28515625" bestFit="1" customWidth="1"/>
    <col min="7" max="7" width="11.28515625" bestFit="1" customWidth="1"/>
  </cols>
  <sheetData>
    <row r="1" spans="1:8">
      <c r="A1" s="1"/>
      <c r="B1" s="1" t="s">
        <v>7</v>
      </c>
      <c r="D1" s="14" t="s">
        <v>7</v>
      </c>
      <c r="E1" s="14" t="s">
        <v>129</v>
      </c>
      <c r="F1" s="14" t="s">
        <v>132</v>
      </c>
      <c r="G1" s="14" t="s">
        <v>128</v>
      </c>
    </row>
    <row r="2" spans="1:8">
      <c r="A2" s="1" t="s">
        <v>10</v>
      </c>
      <c r="B2" s="1" t="s">
        <v>8</v>
      </c>
      <c r="D2" s="14" t="s">
        <v>127</v>
      </c>
      <c r="E2" s="14" t="s">
        <v>130</v>
      </c>
      <c r="F2" s="14" t="s">
        <v>43</v>
      </c>
      <c r="G2" s="14" t="s">
        <v>133</v>
      </c>
      <c r="H2" s="14" t="s">
        <v>128</v>
      </c>
    </row>
    <row r="3" spans="1:8">
      <c r="A3" s="1" t="s">
        <v>11</v>
      </c>
      <c r="B3" s="1" t="s">
        <v>9</v>
      </c>
      <c r="C3" s="1" t="s">
        <v>12</v>
      </c>
      <c r="D3" s="39" t="s">
        <v>128</v>
      </c>
      <c r="E3" s="39" t="s">
        <v>131</v>
      </c>
      <c r="F3" s="39" t="s">
        <v>128</v>
      </c>
      <c r="G3" s="40">
        <v>34699</v>
      </c>
      <c r="H3" s="39" t="s">
        <v>134</v>
      </c>
    </row>
    <row r="4" spans="1:8">
      <c r="A4" t="s">
        <v>0</v>
      </c>
      <c r="B4" s="2">
        <f>'Exh 2'!J7</f>
        <v>-262</v>
      </c>
      <c r="C4" s="4">
        <f>'Exh 3'!H12</f>
        <v>0</v>
      </c>
      <c r="D4" s="2">
        <f>B4*C4</f>
        <v>0</v>
      </c>
      <c r="E4" s="2">
        <f>SUM('Exh 4'!C18:C21,'Exh 4'!G18:G21,'Exh 4'!K18:K21,'Exh 4'!O18:O21,'Exh 4'!S18:S21,'Exh 4'!W18:W21)</f>
        <v>494928</v>
      </c>
      <c r="F4" s="8">
        <f>D4+E4</f>
        <v>494928</v>
      </c>
      <c r="G4" s="2">
        <f>'Exh 6'!AD21+'Exh 6'!AD20+'Exh 6'!AD19+'Exh 6'!AD18</f>
        <v>494928</v>
      </c>
      <c r="H4" s="8">
        <f>F4-G4</f>
        <v>0</v>
      </c>
    </row>
    <row r="5" spans="1:8">
      <c r="A5" t="s">
        <v>1</v>
      </c>
      <c r="B5" s="2">
        <f>'Exh 2'!J11</f>
        <v>3438.1711998349638</v>
      </c>
      <c r="C5" s="4">
        <f>'Exh 3'!H11</f>
        <v>0.31785967289501232</v>
      </c>
      <c r="D5" s="2">
        <f t="shared" ref="D5:D10" si="0">B5*C5</f>
        <v>1092.8559729365936</v>
      </c>
      <c r="E5" s="2">
        <f>SUM('Exh 4'!C22:C25,'Exh 4'!G22:G25,'Exh 4'!K22:K25,'Exh 4'!O22:O25,'Exh 4'!S22:S25)</f>
        <v>467489</v>
      </c>
      <c r="F5" s="8">
        <f t="shared" ref="F5:F10" si="1">D5+E5</f>
        <v>468581.85597293661</v>
      </c>
      <c r="G5" s="2">
        <f>'Exh 6'!Z25+'Exh 6'!AA24+'Exh 6'!AB23+'Exh 6'!AC22</f>
        <v>467896</v>
      </c>
      <c r="H5" s="8">
        <f t="shared" ref="H5:H10" si="2">F5-G5</f>
        <v>685.85597293660976</v>
      </c>
    </row>
    <row r="6" spans="1:8">
      <c r="A6" t="s">
        <v>2</v>
      </c>
      <c r="B6" s="2">
        <f>'Exh 2'!J15</f>
        <v>9254.3045275663899</v>
      </c>
      <c r="C6" s="4">
        <f>'Exh 3'!H10</f>
        <v>0.36660132184702637</v>
      </c>
      <c r="D6" s="2">
        <f t="shared" si="0"/>
        <v>3392.6402725807593</v>
      </c>
      <c r="E6" s="2">
        <f>SUM('Exh 4'!C26:C29,'Exh 4'!G26:G29,'Exh 4'!K26:K29,'Exh 4'!O26:O29)</f>
        <v>460659</v>
      </c>
      <c r="F6" s="8">
        <f t="shared" si="1"/>
        <v>464051.64027258079</v>
      </c>
      <c r="G6" s="2">
        <f>'Exh 6'!V29+'Exh 6'!W28+'Exh 6'!X27+'Exh 6'!Y26</f>
        <v>460716</v>
      </c>
      <c r="H6" s="8">
        <f t="shared" si="2"/>
        <v>3335.6402725807857</v>
      </c>
    </row>
    <row r="7" spans="1:8">
      <c r="A7" t="s">
        <v>3</v>
      </c>
      <c r="B7" s="2">
        <f>'Exh 2'!J19</f>
        <v>21508.950963982083</v>
      </c>
      <c r="C7" s="4">
        <f>'Exh 3'!H9</f>
        <v>0.39631960287667045</v>
      </c>
      <c r="D7" s="2">
        <f t="shared" si="0"/>
        <v>8524.418904339158</v>
      </c>
      <c r="E7" s="2">
        <f>SUM('Exh 4'!C30:C33)+SUM('Exh 4'!G30:G33)+SUM('Exh 4'!K30:K33)</f>
        <v>453525</v>
      </c>
      <c r="F7" s="8">
        <f t="shared" si="1"/>
        <v>462049.41890433914</v>
      </c>
      <c r="G7" s="2">
        <f>'Exh 6'!R33+'Exh 6'!S32+'Exh 6'!T31+'Exh 6'!U30</f>
        <v>452519</v>
      </c>
      <c r="H7" s="8">
        <f t="shared" si="2"/>
        <v>9530.418904339138</v>
      </c>
    </row>
    <row r="8" spans="1:8">
      <c r="A8" t="s">
        <v>4</v>
      </c>
      <c r="B8" s="2">
        <f>'Exh 2'!J23</f>
        <v>25022.628402052484</v>
      </c>
      <c r="C8" s="4">
        <f>'Exh 3'!H8</f>
        <v>0.45237038264706086</v>
      </c>
      <c r="D8" s="2">
        <f t="shared" si="0"/>
        <v>11319.495985071695</v>
      </c>
      <c r="E8" s="2">
        <f>SUM('Exh 4'!C34:C37)+SUM('Exh 4'!G34:G37)</f>
        <v>336654</v>
      </c>
      <c r="F8" s="8">
        <f t="shared" si="1"/>
        <v>347973.4959850717</v>
      </c>
      <c r="G8" s="2">
        <f>'Exh 6'!N37+'Exh 6'!O36+'Exh 6'!P35+'Exh 6'!Q34</f>
        <v>337966</v>
      </c>
      <c r="H8" s="8">
        <f t="shared" si="2"/>
        <v>10007.495985071699</v>
      </c>
    </row>
    <row r="9" spans="1:8">
      <c r="A9" t="s">
        <v>5</v>
      </c>
      <c r="B9" s="2">
        <f>'Exh 2'!J27</f>
        <v>56244.491560397109</v>
      </c>
      <c r="C9" s="4">
        <f>'Exh 3'!H7</f>
        <v>0.55808168844073358</v>
      </c>
      <c r="D9" s="2">
        <f t="shared" si="0"/>
        <v>31389.020815517008</v>
      </c>
      <c r="E9" s="2">
        <f>SUM('Exh 4'!C38:C41)</f>
        <v>328777</v>
      </c>
      <c r="F9" s="8">
        <f t="shared" si="1"/>
        <v>360166.020815517</v>
      </c>
      <c r="G9" s="2">
        <f>'Exh 6'!J41+'Exh 6'!K40+'Exh 6'!L39+'Exh 6'!M38</f>
        <v>330216</v>
      </c>
      <c r="H9" s="8">
        <f t="shared" si="2"/>
        <v>29950.020815516997</v>
      </c>
    </row>
    <row r="10" spans="1:8">
      <c r="A10" t="s">
        <v>6</v>
      </c>
      <c r="B10" s="2">
        <f>'Exh 2'!J31+'Exh 2'!J35</f>
        <v>279947.894977613</v>
      </c>
      <c r="C10" s="4">
        <f>'Exh 3'!H6</f>
        <v>1.4970786269164167</v>
      </c>
      <c r="D10" s="2">
        <f t="shared" si="0"/>
        <v>419104.01022122608</v>
      </c>
      <c r="F10" s="8">
        <f t="shared" si="1"/>
        <v>419104.01022122608</v>
      </c>
      <c r="G10" s="2">
        <f>'Exh 6'!B49+'Exh 6'!C48+'Exh 6'!D47+'Exh 6'!E46+'Exh 6'!F45+'Exh 6'!G44+'Exh 6'!H43+'Exh 6'!I42</f>
        <v>425591</v>
      </c>
      <c r="H10" s="8">
        <f t="shared" si="2"/>
        <v>-6486.9897787739174</v>
      </c>
    </row>
    <row r="11" spans="1:8">
      <c r="B11" s="2"/>
    </row>
    <row r="36" spans="2:2">
      <c r="B36" s="2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ySplit="3" topLeftCell="A4" activePane="bottomLeft" state="frozen"/>
      <selection pane="bottomLeft" activeCell="I35" sqref="I35"/>
    </sheetView>
  </sheetViews>
  <sheetFormatPr defaultRowHeight="12.75"/>
  <cols>
    <col min="1" max="1" width="10.28515625" bestFit="1" customWidth="1"/>
    <col min="2" max="2" width="11.28515625" bestFit="1" customWidth="1"/>
    <col min="4" max="4" width="10.140625" bestFit="1" customWidth="1"/>
    <col min="5" max="5" width="11.28515625" bestFit="1" customWidth="1"/>
    <col min="6" max="6" width="10.28515625" bestFit="1" customWidth="1"/>
    <col min="7" max="7" width="13.85546875" bestFit="1" customWidth="1"/>
    <col min="8" max="8" width="10.28515625" bestFit="1" customWidth="1"/>
    <col min="9" max="9" width="10.42578125" bestFit="1" customWidth="1"/>
  </cols>
  <sheetData>
    <row r="1" spans="1:10" s="1" customFormat="1">
      <c r="A1" s="1" t="s">
        <v>10</v>
      </c>
      <c r="B1" s="1" t="s">
        <v>15</v>
      </c>
      <c r="D1" s="1" t="s">
        <v>38</v>
      </c>
      <c r="G1" s="1" t="s">
        <v>15</v>
      </c>
      <c r="I1" s="1" t="s">
        <v>7</v>
      </c>
    </row>
    <row r="2" spans="1:10" s="1" customFormat="1">
      <c r="A2" s="1" t="s">
        <v>13</v>
      </c>
      <c r="B2" s="1" t="s">
        <v>16</v>
      </c>
      <c r="C2" s="1" t="s">
        <v>36</v>
      </c>
      <c r="D2" s="1" t="s">
        <v>39</v>
      </c>
      <c r="E2" s="1" t="s">
        <v>40</v>
      </c>
      <c r="F2" s="1" t="s">
        <v>42</v>
      </c>
      <c r="G2" s="1" t="s">
        <v>16</v>
      </c>
      <c r="H2" s="1" t="s">
        <v>42</v>
      </c>
      <c r="I2" s="1" t="s">
        <v>45</v>
      </c>
      <c r="J2" s="1" t="s">
        <v>42</v>
      </c>
    </row>
    <row r="3" spans="1:10" s="1" customFormat="1">
      <c r="A3" s="1" t="s">
        <v>14</v>
      </c>
      <c r="B3" s="3">
        <v>34699</v>
      </c>
      <c r="C3" s="1" t="s">
        <v>37</v>
      </c>
      <c r="D3" s="3">
        <v>34699</v>
      </c>
      <c r="E3" s="1" t="s">
        <v>41</v>
      </c>
      <c r="F3" s="1" t="s">
        <v>43</v>
      </c>
      <c r="G3" s="1" t="s">
        <v>44</v>
      </c>
      <c r="H3" s="1" t="s">
        <v>43</v>
      </c>
      <c r="I3" s="1" t="s">
        <v>9</v>
      </c>
      <c r="J3" s="1" t="s">
        <v>43</v>
      </c>
    </row>
    <row r="4" spans="1:10">
      <c r="A4" t="s">
        <v>17</v>
      </c>
      <c r="B4" s="2">
        <f>'Exh 7'!AD18</f>
        <v>102064</v>
      </c>
      <c r="C4" s="4">
        <f>C5</f>
        <v>1</v>
      </c>
      <c r="D4" s="7">
        <v>1</v>
      </c>
      <c r="E4" s="2">
        <f t="shared" ref="E4:E35" si="0">B4*C4*D4</f>
        <v>102064</v>
      </c>
      <c r="G4" s="2">
        <f>'Exh 7'!AA18</f>
        <v>102059</v>
      </c>
      <c r="I4" s="8">
        <f t="shared" ref="I4:I35" si="1">E4-G4</f>
        <v>5</v>
      </c>
    </row>
    <row r="5" spans="1:10">
      <c r="A5" t="s">
        <v>18</v>
      </c>
      <c r="B5" s="2">
        <f>'Exh 7'!AD19</f>
        <v>65339</v>
      </c>
      <c r="C5" s="4">
        <f>C6</f>
        <v>1</v>
      </c>
      <c r="D5" s="7">
        <v>1</v>
      </c>
      <c r="E5" s="2">
        <f t="shared" si="0"/>
        <v>65339</v>
      </c>
      <c r="G5" s="2">
        <f>'Exh 7'!AA19</f>
        <v>65264</v>
      </c>
      <c r="I5" s="8">
        <f t="shared" si="1"/>
        <v>75</v>
      </c>
    </row>
    <row r="6" spans="1:10">
      <c r="A6" t="s">
        <v>19</v>
      </c>
      <c r="B6" s="2">
        <f>'Exh 7'!AD20</f>
        <v>155738</v>
      </c>
      <c r="C6" s="4">
        <f>'Exh 7'!AE55</f>
        <v>1</v>
      </c>
      <c r="D6" s="7">
        <v>1</v>
      </c>
      <c r="E6" s="2">
        <f t="shared" si="0"/>
        <v>155738</v>
      </c>
      <c r="G6" s="2">
        <f>'Exh 7'!AA20</f>
        <v>155950</v>
      </c>
      <c r="I6" s="8">
        <f t="shared" si="1"/>
        <v>-212</v>
      </c>
    </row>
    <row r="7" spans="1:10">
      <c r="A7" t="s">
        <v>20</v>
      </c>
      <c r="B7" s="2">
        <f>'Exh 7'!AD21</f>
        <v>94067</v>
      </c>
      <c r="C7" s="4">
        <f>'Exh 7'!AD55</f>
        <v>1</v>
      </c>
      <c r="D7" s="7">
        <v>1</v>
      </c>
      <c r="E7" s="2">
        <f t="shared" si="0"/>
        <v>94067</v>
      </c>
      <c r="F7" s="8">
        <f>SUM(E4:E7)</f>
        <v>417208</v>
      </c>
      <c r="G7" s="2">
        <f>'Exh 7'!AA21</f>
        <v>94197</v>
      </c>
      <c r="H7" s="8">
        <f>SUM(G4:G7)</f>
        <v>417470</v>
      </c>
      <c r="I7" s="8">
        <f t="shared" si="1"/>
        <v>-130</v>
      </c>
      <c r="J7" s="8">
        <f>SUM(I4:I7)</f>
        <v>-262</v>
      </c>
    </row>
    <row r="8" spans="1:10">
      <c r="A8" t="s">
        <v>21</v>
      </c>
      <c r="B8">
        <f>'Exh 7'!AC22</f>
        <v>88908</v>
      </c>
      <c r="C8" s="4">
        <f>'Exh 7'!AC55</f>
        <v>1.0017098720856623</v>
      </c>
      <c r="D8" s="7">
        <v>1</v>
      </c>
      <c r="E8" s="2">
        <f t="shared" si="0"/>
        <v>89060.02130739206</v>
      </c>
      <c r="G8" s="2">
        <f>'Exh 7'!W22</f>
        <v>87781</v>
      </c>
      <c r="I8" s="8">
        <f t="shared" si="1"/>
        <v>1279.0213073920604</v>
      </c>
    </row>
    <row r="9" spans="1:10">
      <c r="A9" t="s">
        <v>22</v>
      </c>
      <c r="B9">
        <f>'Exh 7'!AB23</f>
        <v>57763</v>
      </c>
      <c r="C9" s="4">
        <f>'Exh 7'!AB55</f>
        <v>1.0023314266774077</v>
      </c>
      <c r="D9" s="7">
        <v>1</v>
      </c>
      <c r="E9" s="2">
        <f t="shared" si="0"/>
        <v>57897.6701991671</v>
      </c>
      <c r="G9" s="2">
        <f>'Exh 7'!W23</f>
        <v>58054</v>
      </c>
      <c r="I9" s="8">
        <f t="shared" si="1"/>
        <v>-156.32980083290022</v>
      </c>
    </row>
    <row r="10" spans="1:10">
      <c r="A10" t="s">
        <v>23</v>
      </c>
      <c r="B10">
        <f>'Exh 7'!AA24</f>
        <v>152121</v>
      </c>
      <c r="C10" s="4">
        <f>'Exh 7'!AA55</f>
        <v>1.0041693736062622</v>
      </c>
      <c r="D10" s="7">
        <v>1</v>
      </c>
      <c r="E10" s="2">
        <f t="shared" si="0"/>
        <v>152755.24928235821</v>
      </c>
      <c r="G10" s="2">
        <f>'Exh 7'!W24</f>
        <v>151031</v>
      </c>
      <c r="I10" s="8">
        <f t="shared" si="1"/>
        <v>1724.2492823582143</v>
      </c>
    </row>
    <row r="11" spans="1:10">
      <c r="A11" t="s">
        <v>24</v>
      </c>
      <c r="B11">
        <f>'Exh 7'!Z25</f>
        <v>96809</v>
      </c>
      <c r="C11" s="4">
        <f>'Exh 7'!Z55</f>
        <v>1.0100324392454998</v>
      </c>
      <c r="D11" s="7">
        <v>1</v>
      </c>
      <c r="E11" s="2">
        <f t="shared" si="0"/>
        <v>97780.230410917589</v>
      </c>
      <c r="F11" s="8">
        <f>SUM(E8:E11)</f>
        <v>397493.17119983496</v>
      </c>
      <c r="G11" s="2">
        <f>'Exh 7'!W25</f>
        <v>97189</v>
      </c>
      <c r="H11" s="8">
        <f>SUM(G8:G11)</f>
        <v>394055</v>
      </c>
      <c r="I11" s="8">
        <f t="shared" si="1"/>
        <v>591.23041091758932</v>
      </c>
      <c r="J11" s="8">
        <f>SUM(I8:I11)</f>
        <v>3438.1711998349638</v>
      </c>
    </row>
    <row r="12" spans="1:10">
      <c r="A12" t="s">
        <v>25</v>
      </c>
      <c r="B12">
        <f>'Exh 7'!Y26</f>
        <v>81384</v>
      </c>
      <c r="C12" s="4">
        <f>'Exh 7'!Y55</f>
        <v>1.0105315987747288</v>
      </c>
      <c r="D12" s="7">
        <v>1</v>
      </c>
      <c r="E12" s="2">
        <f t="shared" si="0"/>
        <v>82241.103634682528</v>
      </c>
      <c r="G12" s="2">
        <f>'Exh 7'!S26</f>
        <v>80475</v>
      </c>
      <c r="I12" s="8">
        <f t="shared" si="1"/>
        <v>1766.1036346825276</v>
      </c>
    </row>
    <row r="13" spans="1:10">
      <c r="A13" t="s">
        <v>26</v>
      </c>
      <c r="B13">
        <f>'Exh 7'!X27</f>
        <v>55898</v>
      </c>
      <c r="C13" s="4">
        <f>'Exh 7'!X55</f>
        <v>1.0126992654414526</v>
      </c>
      <c r="D13" s="7">
        <v>1</v>
      </c>
      <c r="E13" s="2">
        <f t="shared" si="0"/>
        <v>56607.863539646321</v>
      </c>
      <c r="G13" s="2">
        <f>'Exh 7'!S27</f>
        <v>55541</v>
      </c>
      <c r="I13" s="8">
        <f t="shared" si="1"/>
        <v>1066.8635396463214</v>
      </c>
    </row>
    <row r="14" spans="1:10">
      <c r="A14" t="s">
        <v>27</v>
      </c>
      <c r="B14">
        <f>'Exh 7'!W28</f>
        <v>131539</v>
      </c>
      <c r="C14" s="4">
        <f>'Exh 7'!W55</f>
        <v>1.0206366192205967</v>
      </c>
      <c r="D14" s="7">
        <v>1</v>
      </c>
      <c r="E14" s="2">
        <f t="shared" si="0"/>
        <v>134253.52025565808</v>
      </c>
      <c r="G14" s="2">
        <f>'Exh 7'!S28</f>
        <v>130944</v>
      </c>
      <c r="I14" s="8">
        <f t="shared" si="1"/>
        <v>3309.5202556580771</v>
      </c>
    </row>
    <row r="15" spans="1:10">
      <c r="A15" t="s">
        <v>28</v>
      </c>
      <c r="B15">
        <f>'Exh 7'!V29</f>
        <v>91423</v>
      </c>
      <c r="C15" s="4">
        <f>'Exh 7'!V55</f>
        <v>1.0300451428806696</v>
      </c>
      <c r="D15" s="7">
        <v>1</v>
      </c>
      <c r="E15" s="2">
        <f t="shared" si="0"/>
        <v>94169.817097579464</v>
      </c>
      <c r="F15" s="8">
        <f>SUM(E12:E15)</f>
        <v>367272.30452756642</v>
      </c>
      <c r="G15" s="2">
        <f>'Exh 7'!S29</f>
        <v>91058</v>
      </c>
      <c r="H15" s="8">
        <f>SUM(G12:G15)</f>
        <v>358018</v>
      </c>
      <c r="I15" s="8">
        <f t="shared" si="1"/>
        <v>3111.8170975794637</v>
      </c>
      <c r="J15" s="8">
        <f>SUM(I12:I15)</f>
        <v>9254.3045275663899</v>
      </c>
    </row>
    <row r="16" spans="1:10">
      <c r="A16" t="s">
        <v>29</v>
      </c>
      <c r="B16">
        <f>'Exh 7'!U30</f>
        <v>89715</v>
      </c>
      <c r="C16" s="4">
        <f>'Exh 7'!U55</f>
        <v>1.0326155134008534</v>
      </c>
      <c r="D16" s="7">
        <v>1</v>
      </c>
      <c r="E16" s="2">
        <f t="shared" si="0"/>
        <v>92641.100784757567</v>
      </c>
      <c r="G16" s="2">
        <f>'Exh 7'!O30</f>
        <v>87639</v>
      </c>
      <c r="I16" s="8">
        <f t="shared" si="1"/>
        <v>5002.1007847575675</v>
      </c>
    </row>
    <row r="17" spans="1:10">
      <c r="A17" t="s">
        <v>30</v>
      </c>
      <c r="B17">
        <f>'Exh 7'!T31</f>
        <v>56032</v>
      </c>
      <c r="C17" s="4">
        <f>'Exh 7'!T55</f>
        <v>1.0398639507831782</v>
      </c>
      <c r="D17" s="7">
        <v>1</v>
      </c>
      <c r="E17" s="2">
        <f t="shared" si="0"/>
        <v>58265.65689028304</v>
      </c>
      <c r="G17" s="2">
        <f>'Exh 7'!O31</f>
        <v>54473</v>
      </c>
      <c r="I17" s="8">
        <f t="shared" si="1"/>
        <v>3792.6568902830404</v>
      </c>
    </row>
    <row r="18" spans="1:10">
      <c r="A18" t="s">
        <v>31</v>
      </c>
      <c r="B18">
        <f>'Exh 7'!S32</f>
        <v>118268</v>
      </c>
      <c r="C18" s="4">
        <f>'Exh 7'!S55</f>
        <v>1.0523294637173664</v>
      </c>
      <c r="D18" s="7">
        <v>1</v>
      </c>
      <c r="E18" s="2">
        <f t="shared" si="0"/>
        <v>124456.90101492549</v>
      </c>
      <c r="G18" s="2">
        <f>'Exh 7'!O32</f>
        <v>117202</v>
      </c>
      <c r="I18" s="8">
        <f t="shared" si="1"/>
        <v>7254.90101492549</v>
      </c>
    </row>
    <row r="19" spans="1:10">
      <c r="A19" t="s">
        <v>32</v>
      </c>
      <c r="B19">
        <f>'Exh 7'!R33</f>
        <v>73037</v>
      </c>
      <c r="C19" s="4">
        <f>'Exh 7'!R55</f>
        <v>1.0637798961350546</v>
      </c>
      <c r="D19" s="7">
        <v>1</v>
      </c>
      <c r="E19" s="2">
        <f t="shared" si="0"/>
        <v>77695.292274015985</v>
      </c>
      <c r="F19" s="8">
        <f>SUM(E16:E19)</f>
        <v>353058.95096398203</v>
      </c>
      <c r="G19" s="2">
        <f>'Exh 7'!O33</f>
        <v>72236</v>
      </c>
      <c r="H19" s="8">
        <f>SUM(G16:G19)</f>
        <v>331550</v>
      </c>
      <c r="I19" s="8">
        <f t="shared" si="1"/>
        <v>5459.2922740159847</v>
      </c>
      <c r="J19" s="8">
        <f>SUM(I16:I19)</f>
        <v>21508.950963982083</v>
      </c>
    </row>
    <row r="20" spans="1:10">
      <c r="A20" t="s">
        <v>33</v>
      </c>
      <c r="B20">
        <f>'Exh 7'!Q34</f>
        <v>60399</v>
      </c>
      <c r="C20" s="4">
        <f>'Exh 7'!Q55</f>
        <v>1.0649440078653267</v>
      </c>
      <c r="D20" s="7">
        <v>1</v>
      </c>
      <c r="E20" s="2">
        <f t="shared" si="0"/>
        <v>64321.553131057866</v>
      </c>
      <c r="G20" s="2">
        <f>'Exh 7'!K34</f>
        <v>57620</v>
      </c>
      <c r="I20" s="8">
        <f t="shared" si="1"/>
        <v>6701.5531310578663</v>
      </c>
    </row>
    <row r="21" spans="1:10">
      <c r="A21" t="s">
        <v>34</v>
      </c>
      <c r="B21" s="2">
        <f>'Exh 7'!P35</f>
        <v>34136</v>
      </c>
      <c r="C21" s="4">
        <f>'Exh 7'!P55</f>
        <v>1.0663543669478255</v>
      </c>
      <c r="D21" s="7">
        <v>1</v>
      </c>
      <c r="E21" s="2">
        <f t="shared" si="0"/>
        <v>36401.072670130969</v>
      </c>
      <c r="G21" s="2">
        <f>'Exh 7'!K35</f>
        <v>33064</v>
      </c>
      <c r="I21" s="8">
        <f t="shared" si="1"/>
        <v>3337.0726701309686</v>
      </c>
    </row>
    <row r="22" spans="1:10">
      <c r="A22" t="s">
        <v>35</v>
      </c>
      <c r="B22" s="2">
        <f>'Exh 7'!O36</f>
        <v>60696</v>
      </c>
      <c r="C22" s="4">
        <f>'Exh 7'!O55</f>
        <v>1.0837254046581195</v>
      </c>
      <c r="D22" s="7">
        <v>1</v>
      </c>
      <c r="E22" s="2">
        <f t="shared" si="0"/>
        <v>65777.797161129216</v>
      </c>
      <c r="G22" s="2">
        <f>'Exh 7'!K36</f>
        <v>58493</v>
      </c>
      <c r="I22" s="8">
        <f t="shared" si="1"/>
        <v>7284.797161129216</v>
      </c>
    </row>
    <row r="23" spans="1:10">
      <c r="A23" t="s">
        <v>46</v>
      </c>
      <c r="B23" s="2">
        <f>'Exh 7'!N37</f>
        <v>61068</v>
      </c>
      <c r="C23" s="4">
        <f>'Exh 7'!N55</f>
        <v>1.0984346210737936</v>
      </c>
      <c r="D23" s="7">
        <v>1</v>
      </c>
      <c r="E23" s="2">
        <f t="shared" si="0"/>
        <v>67079.205439734433</v>
      </c>
      <c r="F23" s="8">
        <f>SUM(E20:E23)</f>
        <v>233579.62840205251</v>
      </c>
      <c r="G23" s="2">
        <f>'Exh 7'!K37</f>
        <v>59380</v>
      </c>
      <c r="H23" s="8">
        <f>SUM(G20:G23)</f>
        <v>208557</v>
      </c>
      <c r="I23" s="8">
        <f t="shared" si="1"/>
        <v>7699.2054397344327</v>
      </c>
      <c r="J23" s="8">
        <f>SUM(I20:I23)</f>
        <v>25022.628402052484</v>
      </c>
    </row>
    <row r="24" spans="1:10">
      <c r="A24" t="s">
        <v>47</v>
      </c>
      <c r="B24" s="2">
        <f>'Exh 7'!M38</f>
        <v>53455</v>
      </c>
      <c r="C24" s="4">
        <f>'Exh 7'!M55</f>
        <v>1.1048098110427635</v>
      </c>
      <c r="D24" s="7">
        <v>1</v>
      </c>
      <c r="E24" s="2">
        <f t="shared" si="0"/>
        <v>59057.608449290929</v>
      </c>
      <c r="G24" s="2">
        <f>'Exh 7'!G38</f>
        <v>49161</v>
      </c>
      <c r="I24" s="8">
        <f t="shared" si="1"/>
        <v>9896.6084492909285</v>
      </c>
    </row>
    <row r="25" spans="1:10">
      <c r="A25" t="s">
        <v>48</v>
      </c>
      <c r="B25" s="2">
        <f>'Exh 7'!L39</f>
        <v>37393</v>
      </c>
      <c r="C25" s="4">
        <f>'Exh 7'!L55</f>
        <v>1.1102849501342382</v>
      </c>
      <c r="D25" s="7">
        <v>1</v>
      </c>
      <c r="E25" s="2">
        <f t="shared" si="0"/>
        <v>41516.885140369573</v>
      </c>
      <c r="G25" s="2">
        <f>'Exh 7'!G39</f>
        <v>33060</v>
      </c>
      <c r="I25" s="8">
        <f t="shared" si="1"/>
        <v>8456.8851403695735</v>
      </c>
    </row>
    <row r="26" spans="1:10">
      <c r="A26" t="s">
        <v>49</v>
      </c>
      <c r="B26" s="2">
        <f>'Exh 7'!K40</f>
        <v>62118</v>
      </c>
      <c r="C26" s="4">
        <f>'Exh 7'!K55</f>
        <v>1.1384485081260562</v>
      </c>
      <c r="D26" s="7">
        <v>1</v>
      </c>
      <c r="E26" s="2">
        <f t="shared" si="0"/>
        <v>70718.144427774358</v>
      </c>
      <c r="G26" s="2">
        <f>'Exh 7'!G40</f>
        <v>53069</v>
      </c>
      <c r="I26" s="8">
        <f t="shared" si="1"/>
        <v>17649.144427774358</v>
      </c>
    </row>
    <row r="27" spans="1:10">
      <c r="A27" t="s">
        <v>50</v>
      </c>
      <c r="B27" s="2">
        <f>'Exh 7'!J41</f>
        <v>50766</v>
      </c>
      <c r="C27" s="4">
        <f>'Exh 7'!J55</f>
        <v>1.280913476400785</v>
      </c>
      <c r="D27" s="7">
        <v>1</v>
      </c>
      <c r="E27" s="2">
        <f t="shared" si="0"/>
        <v>65026.85354296225</v>
      </c>
      <c r="F27" s="8">
        <f>SUM(E24:E27)</f>
        <v>236319.49156039712</v>
      </c>
      <c r="G27" s="2">
        <f>'Exh 7'!G41</f>
        <v>44785</v>
      </c>
      <c r="H27" s="8">
        <f>SUM(G24:G27)</f>
        <v>180075</v>
      </c>
      <c r="I27" s="8">
        <f t="shared" si="1"/>
        <v>20241.85354296225</v>
      </c>
      <c r="J27" s="8">
        <f>SUM(I24:I27)</f>
        <v>56244.491560397109</v>
      </c>
    </row>
    <row r="28" spans="1:10">
      <c r="A28" t="s">
        <v>51</v>
      </c>
      <c r="B28" s="2">
        <f>'Exh 7'!I42</f>
        <v>39519</v>
      </c>
      <c r="C28" s="4">
        <f>'Exh 7'!I55</f>
        <v>1.1782596778876879</v>
      </c>
      <c r="D28" s="7">
        <v>1</v>
      </c>
      <c r="E28" s="2">
        <f t="shared" si="0"/>
        <v>46563.644210443541</v>
      </c>
      <c r="G28" s="2">
        <v>0</v>
      </c>
      <c r="I28" s="8">
        <f t="shared" si="1"/>
        <v>46563.644210443541</v>
      </c>
    </row>
    <row r="29" spans="1:10">
      <c r="A29" t="s">
        <v>52</v>
      </c>
      <c r="B29" s="2">
        <f>'Exh 7'!H43</f>
        <v>30286</v>
      </c>
      <c r="C29" s="4">
        <f>'Exh 7'!H55</f>
        <v>1.2087398398574334</v>
      </c>
      <c r="D29" s="7">
        <v>1</v>
      </c>
      <c r="E29" s="2">
        <f t="shared" si="0"/>
        <v>36607.894789922226</v>
      </c>
      <c r="G29" s="2">
        <v>0</v>
      </c>
      <c r="I29" s="8">
        <f t="shared" si="1"/>
        <v>36607.894789922226</v>
      </c>
    </row>
    <row r="30" spans="1:10">
      <c r="A30" t="s">
        <v>53</v>
      </c>
      <c r="B30" s="2">
        <f>'Exh 7'!G44</f>
        <v>51005</v>
      </c>
      <c r="C30" s="4">
        <f>'Exh 7'!G55</f>
        <v>1.269352713219877</v>
      </c>
      <c r="D30" s="7">
        <v>1</v>
      </c>
      <c r="E30" s="2">
        <f t="shared" si="0"/>
        <v>64743.335137779824</v>
      </c>
      <c r="F30" s="8"/>
      <c r="G30" s="2">
        <v>0</v>
      </c>
      <c r="I30" s="8">
        <f t="shared" si="1"/>
        <v>64743.335137779824</v>
      </c>
    </row>
    <row r="31" spans="1:10">
      <c r="A31" t="s">
        <v>54</v>
      </c>
      <c r="B31" s="2">
        <f>'Exh 7'!F45</f>
        <v>34516</v>
      </c>
      <c r="C31" s="4">
        <f>'Exh 7'!F55</f>
        <v>1.3860459639181131</v>
      </c>
      <c r="D31" s="7">
        <v>1</v>
      </c>
      <c r="E31" s="2">
        <f t="shared" si="0"/>
        <v>47840.76249059759</v>
      </c>
      <c r="F31" s="8">
        <f>SUM(E28:E31)</f>
        <v>195755.63662874317</v>
      </c>
      <c r="G31" s="2">
        <v>0</v>
      </c>
      <c r="H31" s="8">
        <f>SUM(G28:G31)</f>
        <v>0</v>
      </c>
      <c r="I31" s="8">
        <f t="shared" si="1"/>
        <v>47840.76249059759</v>
      </c>
      <c r="J31" s="8">
        <f>SUM(I28:I31)</f>
        <v>195755.63662874317</v>
      </c>
    </row>
    <row r="32" spans="1:10">
      <c r="A32" t="s">
        <v>55</v>
      </c>
      <c r="B32" s="2">
        <f>'Exh 7'!E46</f>
        <v>21189</v>
      </c>
      <c r="C32" s="4">
        <f>'Exh 7'!E55</f>
        <v>1.652548253620328</v>
      </c>
      <c r="D32" s="7">
        <v>0.9</v>
      </c>
      <c r="E32" s="2">
        <f t="shared" si="0"/>
        <v>31514.260451365019</v>
      </c>
      <c r="G32" s="2">
        <v>0</v>
      </c>
      <c r="I32" s="8">
        <f t="shared" si="1"/>
        <v>31514.260451365019</v>
      </c>
    </row>
    <row r="33" spans="1:10">
      <c r="A33" t="s">
        <v>56</v>
      </c>
      <c r="B33" s="2">
        <f>'Exh 7'!D47</f>
        <v>11381</v>
      </c>
      <c r="C33" s="4">
        <f>'Exh 7'!D55</f>
        <v>2.4648060430906384</v>
      </c>
      <c r="D33" s="7">
        <v>0.7</v>
      </c>
      <c r="E33" s="2">
        <f t="shared" si="0"/>
        <v>19636.370303490188</v>
      </c>
      <c r="G33" s="2">
        <v>0</v>
      </c>
      <c r="I33" s="8">
        <f t="shared" si="1"/>
        <v>19636.370303490188</v>
      </c>
    </row>
    <row r="34" spans="1:10">
      <c r="A34" t="s">
        <v>57</v>
      </c>
      <c r="B34" s="2">
        <f>'Exh 7'!C48</f>
        <v>14339</v>
      </c>
      <c r="C34" s="4">
        <f>'Exh 7'!C55</f>
        <v>4.37189720744861</v>
      </c>
      <c r="D34" s="7">
        <v>0.45</v>
      </c>
      <c r="E34" s="2">
        <f t="shared" si="0"/>
        <v>28209.885325922529</v>
      </c>
      <c r="G34" s="2">
        <v>0</v>
      </c>
      <c r="I34" s="8">
        <f t="shared" si="1"/>
        <v>28209.885325922529</v>
      </c>
    </row>
    <row r="35" spans="1:10">
      <c r="A35" t="s">
        <v>58</v>
      </c>
      <c r="B35" s="2">
        <f>'Exh 7'!B49</f>
        <v>1862</v>
      </c>
      <c r="C35" s="4">
        <f>'Exh 7'!B55</f>
        <v>12.9746032977769</v>
      </c>
      <c r="D35" s="7">
        <v>0.2</v>
      </c>
      <c r="E35" s="2">
        <f t="shared" si="0"/>
        <v>4831.7422680921181</v>
      </c>
      <c r="F35" s="8">
        <f>SUM(E32:E35)</f>
        <v>84192.258348869858</v>
      </c>
      <c r="G35" s="2">
        <v>0</v>
      </c>
      <c r="H35" s="8">
        <f>SUM(G32:G35)</f>
        <v>0</v>
      </c>
      <c r="I35" s="8">
        <f t="shared" si="1"/>
        <v>4831.7422680921181</v>
      </c>
      <c r="J35" s="8">
        <f>SUM(I32:I35)</f>
        <v>84192.258348869858</v>
      </c>
    </row>
    <row r="36" spans="1:10">
      <c r="G36" s="2"/>
    </row>
    <row r="37" spans="1:10">
      <c r="A37" t="s">
        <v>43</v>
      </c>
      <c r="B37" s="8">
        <f>SUM(B4:B35)</f>
        <v>2134233</v>
      </c>
      <c r="C37" s="8"/>
      <c r="D37" s="8"/>
      <c r="E37" s="8">
        <f t="shared" ref="E37:J37" si="2">SUM(E4:E35)</f>
        <v>2284879.4416314461</v>
      </c>
      <c r="F37" s="8">
        <f t="shared" si="2"/>
        <v>2284879.4416314457</v>
      </c>
      <c r="G37" s="8">
        <f>SUM(G4:G35)</f>
        <v>1889725</v>
      </c>
      <c r="H37" s="8">
        <f t="shared" si="2"/>
        <v>1889725</v>
      </c>
      <c r="I37" s="8">
        <f t="shared" si="2"/>
        <v>395154.44163144607</v>
      </c>
      <c r="J37" s="8">
        <f t="shared" si="2"/>
        <v>395154.44163144607</v>
      </c>
    </row>
  </sheetData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H13"/>
  <sheetViews>
    <sheetView workbookViewId="0">
      <selection activeCell="E20" sqref="E20"/>
    </sheetView>
  </sheetViews>
  <sheetFormatPr defaultRowHeight="12.75"/>
  <sheetData>
    <row r="2" spans="1:8">
      <c r="D2" s="21" t="s">
        <v>121</v>
      </c>
      <c r="E2" s="41" t="s">
        <v>125</v>
      </c>
      <c r="F2" s="42"/>
      <c r="G2" s="42"/>
      <c r="H2" s="43"/>
    </row>
    <row r="3" spans="1:8" s="1" customFormat="1">
      <c r="A3" s="1" t="s">
        <v>59</v>
      </c>
      <c r="D3" s="22"/>
      <c r="E3" s="26"/>
      <c r="F3" s="27" t="s">
        <v>126</v>
      </c>
      <c r="G3" s="27" t="s">
        <v>94</v>
      </c>
      <c r="H3" s="28"/>
    </row>
    <row r="4" spans="1:8" s="1" customFormat="1">
      <c r="A4" s="1" t="s">
        <v>60</v>
      </c>
      <c r="B4" s="1" t="s">
        <v>84</v>
      </c>
      <c r="C4" s="14" t="s">
        <v>94</v>
      </c>
      <c r="D4" s="22"/>
      <c r="E4" s="29" t="s">
        <v>122</v>
      </c>
      <c r="F4" s="27" t="s">
        <v>124</v>
      </c>
      <c r="G4" s="27" t="s">
        <v>124</v>
      </c>
      <c r="H4" s="30"/>
    </row>
    <row r="5" spans="1:8" s="1" customFormat="1">
      <c r="A5" s="1" t="s">
        <v>61</v>
      </c>
      <c r="B5" s="1" t="s">
        <v>66</v>
      </c>
      <c r="C5" s="14" t="s">
        <v>99</v>
      </c>
      <c r="D5" s="23" t="s">
        <v>12</v>
      </c>
      <c r="E5" s="29" t="s">
        <v>123</v>
      </c>
      <c r="F5" s="27" t="s">
        <v>105</v>
      </c>
      <c r="G5" s="27" t="s">
        <v>105</v>
      </c>
      <c r="H5" s="30" t="s">
        <v>12</v>
      </c>
    </row>
    <row r="6" spans="1:8">
      <c r="A6" s="1">
        <v>1</v>
      </c>
      <c r="B6" s="4">
        <f>'Exh 4'!D55</f>
        <v>1.75</v>
      </c>
      <c r="C6" s="6">
        <f>'Exh 5'!C6</f>
        <v>0.78780309805567827</v>
      </c>
      <c r="D6" s="24">
        <f>SUMPRODUCT(B6:$B$12,C6:$C$12)/SUM(C6:$C$12)</f>
        <v>1.4970786269164167</v>
      </c>
      <c r="E6" s="31">
        <f>B6*C6</f>
        <v>1.3786554215974369</v>
      </c>
      <c r="F6" s="32">
        <f t="shared" ref="F6:F10" si="0">F7+E6</f>
        <v>1.4970786269164167</v>
      </c>
      <c r="G6" s="33">
        <f t="shared" ref="G6:G10" si="1">G7+C6</f>
        <v>1</v>
      </c>
      <c r="H6" s="34">
        <f>F6/G6</f>
        <v>1.4970786269164167</v>
      </c>
    </row>
    <row r="7" spans="1:8">
      <c r="A7" s="1">
        <v>2</v>
      </c>
      <c r="B7" s="4">
        <f>'Exh 4'!H55</f>
        <v>0.7</v>
      </c>
      <c r="C7" s="6">
        <f>'Exh 5'!C7-'Exh 5'!C6</f>
        <v>9.0585333974550708E-2</v>
      </c>
      <c r="D7" s="24">
        <f>SUMPRODUCT(B7:$B$12,C7:$C$12)/SUM(C7:$C$12)</f>
        <v>0.55808168844073358</v>
      </c>
      <c r="E7" s="31">
        <f t="shared" ref="E7:E12" si="2">B7*C7</f>
        <v>6.3409733782185493E-2</v>
      </c>
      <c r="F7" s="32">
        <f t="shared" si="0"/>
        <v>0.11842320531897986</v>
      </c>
      <c r="G7" s="33">
        <f t="shared" si="1"/>
        <v>0.21219690194432173</v>
      </c>
      <c r="H7" s="34">
        <f t="shared" ref="H7:H12" si="3">F7/G7</f>
        <v>0.55808168844073358</v>
      </c>
    </row>
    <row r="8" spans="1:8">
      <c r="A8" s="1">
        <v>3</v>
      </c>
      <c r="B8" s="4">
        <f>'Exh 4'!L55</f>
        <v>0.55000000000000004</v>
      </c>
      <c r="C8" s="6">
        <f>'Exh 5'!C8-'Exh 5'!C7</f>
        <v>4.4354539299734319E-2</v>
      </c>
      <c r="D8" s="24">
        <f>SUMPRODUCT(B8:$B$12,C8:$C$12)/SUM(C8:$C$12)</f>
        <v>0.45237038264706086</v>
      </c>
      <c r="E8" s="31">
        <f t="shared" si="2"/>
        <v>2.4394996614853878E-2</v>
      </c>
      <c r="F8" s="32">
        <f t="shared" si="0"/>
        <v>5.5013471536794367E-2</v>
      </c>
      <c r="G8" s="33">
        <f t="shared" si="1"/>
        <v>0.12161156796977102</v>
      </c>
      <c r="H8" s="34">
        <f t="shared" si="3"/>
        <v>0.45237038264706086</v>
      </c>
    </row>
    <row r="9" spans="1:8">
      <c r="A9" s="1">
        <v>4</v>
      </c>
      <c r="B9" s="4">
        <f>'Exh 4'!P55</f>
        <v>0.45</v>
      </c>
      <c r="C9" s="6">
        <f>'Exh 5'!C9-'Exh 5'!C8</f>
        <v>2.7529765943293372E-2</v>
      </c>
      <c r="D9" s="24">
        <f>SUMPRODUCT(B9:$B$12,C9:$C$12)/SUM(C9:$C$12)</f>
        <v>0.39631960287667045</v>
      </c>
      <c r="E9" s="31">
        <f t="shared" si="2"/>
        <v>1.2388394674482018E-2</v>
      </c>
      <c r="F9" s="32">
        <f t="shared" si="0"/>
        <v>3.0618474921940489E-2</v>
      </c>
      <c r="G9" s="33">
        <f t="shared" si="1"/>
        <v>7.7257028670036698E-2</v>
      </c>
      <c r="H9" s="34">
        <f t="shared" si="3"/>
        <v>0.39631960287667045</v>
      </c>
    </row>
    <row r="10" spans="1:8">
      <c r="A10" s="1">
        <v>5</v>
      </c>
      <c r="B10" s="4">
        <f>'Exh 4'!T55</f>
        <v>0.4</v>
      </c>
      <c r="C10" s="6">
        <f>'Exh 5'!C10-'Exh 5'!C9</f>
        <v>2.950790273909587E-2</v>
      </c>
      <c r="D10" s="24">
        <f>SUMPRODUCT(B10:$B$12,C10:$C$12)/SUM(C10:$C$12)</f>
        <v>0.36660132184702637</v>
      </c>
      <c r="E10" s="31">
        <f t="shared" si="2"/>
        <v>1.1803161095638349E-2</v>
      </c>
      <c r="F10" s="32">
        <f t="shared" si="0"/>
        <v>1.823008024745847E-2</v>
      </c>
      <c r="G10" s="33">
        <f t="shared" si="1"/>
        <v>4.9727262726743326E-2</v>
      </c>
      <c r="H10" s="34">
        <f t="shared" si="3"/>
        <v>0.36660132184702637</v>
      </c>
    </row>
    <row r="11" spans="1:8">
      <c r="A11" s="1">
        <v>6</v>
      </c>
      <c r="B11" s="4">
        <f>'Exh 4'!X55</f>
        <v>0.4</v>
      </c>
      <c r="C11" s="6">
        <f>'Exh 5'!C11-'Exh 5'!C10</f>
        <v>1.6067297879550302E-2</v>
      </c>
      <c r="D11" s="24">
        <f>SUMPRODUCT(B11:$B$12,C11:$C$12)/SUM(C11:$C$12)</f>
        <v>0.31785967289501232</v>
      </c>
      <c r="E11" s="31">
        <f t="shared" si="2"/>
        <v>6.4269191518201213E-3</v>
      </c>
      <c r="F11" s="32">
        <f>F12+E11</f>
        <v>6.4269191518201213E-3</v>
      </c>
      <c r="G11" s="33">
        <f>G12+C11</f>
        <v>2.0219359987647456E-2</v>
      </c>
      <c r="H11" s="34">
        <f t="shared" si="3"/>
        <v>0.31785967289501232</v>
      </c>
    </row>
    <row r="12" spans="1:8">
      <c r="A12" s="1" t="s">
        <v>62</v>
      </c>
      <c r="B12" s="16">
        <v>0</v>
      </c>
      <c r="C12" s="6">
        <f>'Exh 5'!C12-'Exh 5'!C11</f>
        <v>4.1520621080971543E-3</v>
      </c>
      <c r="D12" s="25">
        <f>SUMPRODUCT(B12:$B$12,C12:$C$12)/SUM(C12:$C$12)</f>
        <v>0</v>
      </c>
      <c r="E12" s="35">
        <f t="shared" si="2"/>
        <v>0</v>
      </c>
      <c r="F12" s="36">
        <f>E12</f>
        <v>0</v>
      </c>
      <c r="G12" s="37">
        <f>C12</f>
        <v>4.1520621080971543E-3</v>
      </c>
      <c r="H12" s="38">
        <f t="shared" si="3"/>
        <v>0</v>
      </c>
    </row>
    <row r="13" spans="1:8">
      <c r="C13" s="20"/>
    </row>
  </sheetData>
  <mergeCells count="1">
    <mergeCell ref="E2:H2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X58"/>
  <sheetViews>
    <sheetView workbookViewId="0">
      <pane xSplit="1" ySplit="3" topLeftCell="L4" activePane="bottomRight" state="frozen"/>
      <selection pane="topRight" activeCell="B1" sqref="B1"/>
      <selection pane="bottomLeft" activeCell="A4" sqref="A4"/>
      <selection pane="bottomRight" activeCell="F38" sqref="F38"/>
    </sheetView>
  </sheetViews>
  <sheetFormatPr defaultRowHeight="12.75"/>
  <cols>
    <col min="2" max="2" width="11.28515625" bestFit="1" customWidth="1"/>
    <col min="3" max="3" width="10.28515625" bestFit="1" customWidth="1"/>
  </cols>
  <sheetData>
    <row r="1" spans="1:24">
      <c r="A1" s="1" t="s">
        <v>10</v>
      </c>
      <c r="B1" s="44" t="s">
        <v>95</v>
      </c>
      <c r="C1" s="44"/>
      <c r="D1" s="44"/>
      <c r="F1" s="44" t="s">
        <v>106</v>
      </c>
      <c r="G1" s="44"/>
      <c r="H1" s="44"/>
      <c r="J1" s="44" t="s">
        <v>107</v>
      </c>
      <c r="K1" s="44"/>
      <c r="L1" s="44"/>
      <c r="N1" s="44" t="s">
        <v>110</v>
      </c>
      <c r="O1" s="44"/>
      <c r="P1" s="44"/>
      <c r="R1" s="44" t="s">
        <v>113</v>
      </c>
      <c r="S1" s="44"/>
      <c r="T1" s="44"/>
      <c r="V1" s="44" t="s">
        <v>114</v>
      </c>
      <c r="W1" s="44"/>
      <c r="X1" s="44"/>
    </row>
    <row r="2" spans="1:24">
      <c r="A2" s="1" t="s">
        <v>13</v>
      </c>
      <c r="B2" s="1" t="s">
        <v>45</v>
      </c>
      <c r="C2" s="1" t="s">
        <v>64</v>
      </c>
      <c r="D2" s="1"/>
      <c r="F2" s="1" t="s">
        <v>45</v>
      </c>
      <c r="G2" s="1" t="s">
        <v>64</v>
      </c>
      <c r="H2" s="1"/>
      <c r="J2" s="1" t="s">
        <v>45</v>
      </c>
      <c r="K2" s="1" t="s">
        <v>64</v>
      </c>
      <c r="L2" s="1"/>
      <c r="N2" s="1" t="s">
        <v>45</v>
      </c>
      <c r="O2" s="1" t="s">
        <v>64</v>
      </c>
      <c r="P2" s="1"/>
      <c r="R2" s="1" t="s">
        <v>45</v>
      </c>
      <c r="S2" s="1" t="s">
        <v>64</v>
      </c>
      <c r="T2" s="1"/>
      <c r="V2" s="1" t="s">
        <v>45</v>
      </c>
      <c r="W2" s="1" t="s">
        <v>64</v>
      </c>
      <c r="X2" s="1"/>
    </row>
    <row r="3" spans="1:24">
      <c r="A3" s="1" t="s">
        <v>14</v>
      </c>
      <c r="B3" s="1" t="s">
        <v>63</v>
      </c>
      <c r="C3" s="1" t="s">
        <v>65</v>
      </c>
      <c r="D3" s="1" t="s">
        <v>66</v>
      </c>
      <c r="F3" s="1" t="s">
        <v>103</v>
      </c>
      <c r="G3" s="1" t="s">
        <v>104</v>
      </c>
      <c r="H3" s="1" t="s">
        <v>66</v>
      </c>
      <c r="J3" s="1" t="s">
        <v>108</v>
      </c>
      <c r="K3" s="1" t="s">
        <v>109</v>
      </c>
      <c r="L3" s="1" t="s">
        <v>66</v>
      </c>
      <c r="N3" s="1" t="s">
        <v>111</v>
      </c>
      <c r="O3" s="1" t="s">
        <v>112</v>
      </c>
      <c r="P3" s="1" t="s">
        <v>66</v>
      </c>
      <c r="R3" s="14" t="s">
        <v>115</v>
      </c>
      <c r="S3" s="14" t="s">
        <v>116</v>
      </c>
      <c r="T3" s="1" t="s">
        <v>66</v>
      </c>
      <c r="V3" s="14" t="s">
        <v>117</v>
      </c>
      <c r="W3" s="14" t="s">
        <v>118</v>
      </c>
      <c r="X3" s="1" t="s">
        <v>66</v>
      </c>
    </row>
    <row r="4" spans="1:24">
      <c r="A4" t="s">
        <v>67</v>
      </c>
      <c r="B4" s="2">
        <f>'Exh 7'!G4</f>
        <v>42461</v>
      </c>
      <c r="C4" s="2">
        <f>'Exh 6'!J4</f>
        <v>52436</v>
      </c>
      <c r="D4" s="4">
        <f>C4/B4</f>
        <v>1.2349214573373213</v>
      </c>
      <c r="F4" s="2">
        <f>'Exh 7'!K4-'Exh 7'!G4</f>
        <v>5515</v>
      </c>
      <c r="G4" s="2">
        <f>'Exh 6'!N4-'Exh 6'!J4</f>
        <v>4012</v>
      </c>
      <c r="H4" s="4">
        <f>G4/F4</f>
        <v>0.72747053490480507</v>
      </c>
      <c r="J4" s="2">
        <f>'Exh 7'!O4-'Exh 7'!K4</f>
        <v>4532</v>
      </c>
      <c r="K4" s="2">
        <f>'Exh 6'!R4-'Exh 6'!N4</f>
        <v>2351</v>
      </c>
      <c r="L4" s="4">
        <f>K4/J4</f>
        <v>0.51875551632833183</v>
      </c>
      <c r="N4" s="2">
        <f>'Exh 7'!S4-'Exh 7'!O4</f>
        <v>1925</v>
      </c>
      <c r="O4" s="2">
        <f>'Exh 6'!V4-'Exh 6'!R4</f>
        <v>763</v>
      </c>
      <c r="P4" s="4">
        <f>O4/N4</f>
        <v>0.39636363636363636</v>
      </c>
      <c r="R4" s="2">
        <f>'Exh 7'!W4-'Exh 7'!S4</f>
        <v>2056</v>
      </c>
      <c r="S4" s="2">
        <f>'Exh 6'!Z4-'Exh 6'!V4</f>
        <v>713</v>
      </c>
      <c r="T4" s="4">
        <f>S4/R4</f>
        <v>0.34678988326848248</v>
      </c>
      <c r="V4" s="2">
        <f>'Exh 7'!AA4-'Exh 7'!W4</f>
        <v>1171</v>
      </c>
      <c r="W4" s="2">
        <f>'Exh 6'!AD4-'Exh 6'!Z4</f>
        <v>255</v>
      </c>
      <c r="X4" s="4">
        <f>W4/V4</f>
        <v>0.21776259607173357</v>
      </c>
    </row>
    <row r="5" spans="1:24">
      <c r="A5" t="s">
        <v>68</v>
      </c>
      <c r="B5" s="2">
        <f>'Exh 7'!G5</f>
        <v>20151</v>
      </c>
      <c r="C5" s="2">
        <f>'Exh 6'!J5</f>
        <v>26222</v>
      </c>
      <c r="D5" s="4">
        <f t="shared" ref="D5:D41" si="0">C5/B5</f>
        <v>1.3012753709493325</v>
      </c>
      <c r="F5" s="2">
        <f>'Exh 7'!K5-'Exh 7'!G5</f>
        <v>2738</v>
      </c>
      <c r="G5" s="2">
        <f>'Exh 6'!N5-'Exh 6'!J5</f>
        <v>2722</v>
      </c>
      <c r="H5" s="4">
        <f t="shared" ref="H5:H37" si="1">G5/F5</f>
        <v>0.99415631848064279</v>
      </c>
      <c r="J5" s="2">
        <f>'Exh 7'!O5-'Exh 7'!K5</f>
        <v>1480</v>
      </c>
      <c r="K5" s="2">
        <f>'Exh 6'!R5-'Exh 6'!N5</f>
        <v>576</v>
      </c>
      <c r="L5" s="4">
        <f t="shared" ref="L5:L33" si="2">K5/J5</f>
        <v>0.38918918918918921</v>
      </c>
      <c r="N5" s="2">
        <f>'Exh 7'!S5-'Exh 7'!O5</f>
        <v>1078</v>
      </c>
      <c r="O5" s="2">
        <f>'Exh 6'!V5-'Exh 6'!R5</f>
        <v>662</v>
      </c>
      <c r="P5" s="4">
        <f t="shared" ref="P5:P29" si="3">O5/N5</f>
        <v>0.614100185528757</v>
      </c>
      <c r="R5" s="2">
        <f>'Exh 7'!W5-'Exh 7'!S5</f>
        <v>64</v>
      </c>
      <c r="S5" s="2">
        <f>'Exh 6'!Z5-'Exh 6'!V5</f>
        <v>56</v>
      </c>
      <c r="T5" s="4">
        <f t="shared" ref="T5:T25" si="4">S5/R5</f>
        <v>0.875</v>
      </c>
      <c r="V5" s="2">
        <f>'Exh 7'!AA5-'Exh 7'!W5</f>
        <v>525</v>
      </c>
      <c r="W5" s="2">
        <f>'Exh 6'!AD5-'Exh 6'!Z5</f>
        <v>186</v>
      </c>
      <c r="X5" s="4">
        <f t="shared" ref="X5:X21" si="5">W5/V5</f>
        <v>0.35428571428571426</v>
      </c>
    </row>
    <row r="6" spans="1:24">
      <c r="A6" t="s">
        <v>69</v>
      </c>
      <c r="B6" s="2">
        <f>'Exh 7'!G6</f>
        <v>23076</v>
      </c>
      <c r="C6" s="2">
        <f>'Exh 6'!J6</f>
        <v>29189</v>
      </c>
      <c r="D6" s="4">
        <f t="shared" si="0"/>
        <v>1.2649072629571849</v>
      </c>
      <c r="F6" s="2">
        <f>'Exh 7'!K6-'Exh 7'!G6</f>
        <v>2142</v>
      </c>
      <c r="G6" s="2">
        <f>'Exh 6'!N6-'Exh 6'!J6</f>
        <v>1927</v>
      </c>
      <c r="H6" s="4">
        <f t="shared" si="1"/>
        <v>0.89962651727357612</v>
      </c>
      <c r="J6" s="2">
        <f>'Exh 7'!O6-'Exh 7'!K6</f>
        <v>2076</v>
      </c>
      <c r="K6" s="2">
        <f>'Exh 6'!R6-'Exh 6'!N6</f>
        <v>1086</v>
      </c>
      <c r="L6" s="4">
        <f t="shared" si="2"/>
        <v>0.52312138728323698</v>
      </c>
      <c r="N6" s="2">
        <f>'Exh 7'!S6-'Exh 7'!O6</f>
        <v>1139</v>
      </c>
      <c r="O6" s="2">
        <f>'Exh 6'!V6-'Exh 6'!R6</f>
        <v>883</v>
      </c>
      <c r="P6" s="4">
        <f t="shared" si="3"/>
        <v>0.77524143985952587</v>
      </c>
      <c r="R6" s="2">
        <f>'Exh 7'!W6-'Exh 7'!S6</f>
        <v>828</v>
      </c>
      <c r="S6" s="2">
        <f>'Exh 6'!Z6-'Exh 6'!V6</f>
        <v>527</v>
      </c>
      <c r="T6" s="4">
        <f t="shared" si="4"/>
        <v>0.63647342995169087</v>
      </c>
      <c r="V6" s="2">
        <f>'Exh 7'!AA6-'Exh 7'!W6</f>
        <v>1123</v>
      </c>
      <c r="W6" s="2">
        <f>'Exh 6'!AD6-'Exh 6'!Z6</f>
        <v>-103</v>
      </c>
      <c r="X6" s="15">
        <f t="shared" si="5"/>
        <v>-9.1718610863757793E-2</v>
      </c>
    </row>
    <row r="7" spans="1:24">
      <c r="A7" t="s">
        <v>70</v>
      </c>
      <c r="B7" s="2">
        <f>'Exh 7'!G7</f>
        <v>19243</v>
      </c>
      <c r="C7" s="2">
        <f>'Exh 6'!J7</f>
        <v>23422</v>
      </c>
      <c r="D7" s="4">
        <f t="shared" si="0"/>
        <v>1.2171698799563477</v>
      </c>
      <c r="F7" s="2">
        <f>'Exh 7'!K7-'Exh 7'!G7</f>
        <v>1133</v>
      </c>
      <c r="G7" s="2">
        <f>'Exh 6'!N7-'Exh 6'!J7</f>
        <v>1904</v>
      </c>
      <c r="H7" s="4">
        <f t="shared" si="1"/>
        <v>1.6804942630185349</v>
      </c>
      <c r="J7" s="2">
        <f>'Exh 7'!O7-'Exh 7'!K7</f>
        <v>406</v>
      </c>
      <c r="K7" s="2">
        <f>'Exh 6'!R7-'Exh 6'!N7</f>
        <v>740</v>
      </c>
      <c r="L7" s="4">
        <f t="shared" si="2"/>
        <v>1.8226600985221675</v>
      </c>
      <c r="N7" s="2">
        <f>'Exh 7'!S7-'Exh 7'!O7</f>
        <v>1137</v>
      </c>
      <c r="O7" s="2">
        <f>'Exh 6'!V7-'Exh 6'!R7</f>
        <v>573</v>
      </c>
      <c r="P7" s="4">
        <f t="shared" si="3"/>
        <v>0.50395778364116095</v>
      </c>
      <c r="R7" s="2">
        <f>'Exh 7'!W7-'Exh 7'!S7</f>
        <v>906</v>
      </c>
      <c r="S7" s="2">
        <f>'Exh 6'!Z7-'Exh 6'!V7</f>
        <v>593</v>
      </c>
      <c r="T7" s="4">
        <f t="shared" si="4"/>
        <v>0.6545253863134658</v>
      </c>
      <c r="V7" s="2">
        <f>'Exh 7'!AA7-'Exh 7'!W7</f>
        <v>165</v>
      </c>
      <c r="W7" s="2">
        <f>'Exh 6'!AD7-'Exh 6'!Z7</f>
        <v>15</v>
      </c>
      <c r="X7" s="4">
        <f t="shared" si="5"/>
        <v>9.0909090909090912E-2</v>
      </c>
    </row>
    <row r="8" spans="1:24">
      <c r="A8" t="s">
        <v>71</v>
      </c>
      <c r="B8" s="2">
        <f>'Exh 7'!G8</f>
        <v>54927</v>
      </c>
      <c r="C8" s="2">
        <f>'Exh 6'!J8</f>
        <v>69310</v>
      </c>
      <c r="D8" s="4">
        <f t="shared" si="0"/>
        <v>1.2618566460939065</v>
      </c>
      <c r="F8" s="2">
        <f>'Exh 7'!K8-'Exh 7'!G8</f>
        <v>8900</v>
      </c>
      <c r="G8" s="2">
        <f>'Exh 6'!N8-'Exh 6'!J8</f>
        <v>6371</v>
      </c>
      <c r="H8" s="4">
        <f t="shared" si="1"/>
        <v>0.71584269662921352</v>
      </c>
      <c r="J8" s="2">
        <f>'Exh 7'!O8-'Exh 7'!K8</f>
        <v>3804</v>
      </c>
      <c r="K8" s="2">
        <f>'Exh 6'!R8-'Exh 6'!N8</f>
        <v>3432</v>
      </c>
      <c r="L8" s="4">
        <f t="shared" si="2"/>
        <v>0.90220820189274453</v>
      </c>
      <c r="N8" s="2">
        <f>'Exh 7'!S8-'Exh 7'!O8</f>
        <v>2950</v>
      </c>
      <c r="O8" s="2">
        <f>'Exh 6'!V8-'Exh 6'!R8</f>
        <v>1159</v>
      </c>
      <c r="P8" s="4">
        <f t="shared" si="3"/>
        <v>0.39288135593220341</v>
      </c>
      <c r="R8" s="2">
        <f>'Exh 7'!W8-'Exh 7'!S8</f>
        <v>2618</v>
      </c>
      <c r="S8" s="2">
        <f>'Exh 6'!Z8-'Exh 6'!V8</f>
        <v>635</v>
      </c>
      <c r="T8" s="4">
        <f t="shared" si="4"/>
        <v>0.24255156608097786</v>
      </c>
      <c r="V8" s="2">
        <f>'Exh 7'!AA8-'Exh 7'!W8</f>
        <v>2476</v>
      </c>
      <c r="W8" s="2">
        <f>'Exh 6'!AD8-'Exh 6'!Z8</f>
        <v>137</v>
      </c>
      <c r="X8" s="4">
        <f t="shared" si="5"/>
        <v>5.5331179321486269E-2</v>
      </c>
    </row>
    <row r="9" spans="1:24">
      <c r="A9" t="s">
        <v>72</v>
      </c>
      <c r="B9" s="2">
        <f>'Exh 7'!G9</f>
        <v>33393</v>
      </c>
      <c r="C9" s="2">
        <f>'Exh 6'!J9</f>
        <v>43305</v>
      </c>
      <c r="D9" s="4">
        <f t="shared" si="0"/>
        <v>1.2968286766687629</v>
      </c>
      <c r="F9" s="2">
        <f>'Exh 7'!K9-'Exh 7'!G9</f>
        <v>4308</v>
      </c>
      <c r="G9" s="2">
        <f>'Exh 6'!N9-'Exh 6'!J9</f>
        <v>3190</v>
      </c>
      <c r="H9" s="4">
        <f t="shared" si="1"/>
        <v>0.74048282265552456</v>
      </c>
      <c r="J9" s="2">
        <f>'Exh 7'!O9-'Exh 7'!K9</f>
        <v>2819</v>
      </c>
      <c r="K9" s="2">
        <f>'Exh 6'!R9-'Exh 6'!N9</f>
        <v>1273</v>
      </c>
      <c r="L9" s="4">
        <f t="shared" si="2"/>
        <v>0.45157857396239803</v>
      </c>
      <c r="N9" s="2">
        <f>'Exh 7'!S9-'Exh 7'!O9</f>
        <v>1424</v>
      </c>
      <c r="O9" s="2">
        <f>'Exh 6'!V9-'Exh 6'!R9</f>
        <v>206</v>
      </c>
      <c r="P9" s="4">
        <f t="shared" si="3"/>
        <v>0.1446629213483146</v>
      </c>
      <c r="R9" s="2">
        <f>'Exh 7'!W9-'Exh 7'!S9</f>
        <v>1379</v>
      </c>
      <c r="S9" s="2">
        <f>'Exh 6'!Z9-'Exh 6'!V9</f>
        <v>46</v>
      </c>
      <c r="T9" s="4">
        <f t="shared" si="4"/>
        <v>3.3357505438723713E-2</v>
      </c>
      <c r="V9" s="2">
        <f>'Exh 7'!AA9-'Exh 7'!W9</f>
        <v>1329</v>
      </c>
      <c r="W9" s="2">
        <f>'Exh 6'!AD9-'Exh 6'!Z9</f>
        <v>86</v>
      </c>
      <c r="X9" s="4">
        <f t="shared" si="5"/>
        <v>6.4710308502633554E-2</v>
      </c>
    </row>
    <row r="10" spans="1:24">
      <c r="A10" t="s">
        <v>73</v>
      </c>
      <c r="B10" s="2">
        <f>'Exh 7'!G10</f>
        <v>46100</v>
      </c>
      <c r="C10" s="2">
        <f>'Exh 6'!J10</f>
        <v>59203</v>
      </c>
      <c r="D10" s="4">
        <f t="shared" si="0"/>
        <v>1.284229934924078</v>
      </c>
      <c r="F10" s="2">
        <f>'Exh 7'!K10-'Exh 7'!G10</f>
        <v>3385</v>
      </c>
      <c r="G10" s="2">
        <f>'Exh 6'!N10-'Exh 6'!J10</f>
        <v>3349</v>
      </c>
      <c r="H10" s="4">
        <f t="shared" si="1"/>
        <v>0.98936484490398824</v>
      </c>
      <c r="J10" s="2">
        <f>'Exh 7'!O10-'Exh 7'!K10</f>
        <v>2311</v>
      </c>
      <c r="K10" s="2">
        <f>'Exh 6'!R10-'Exh 6'!N10</f>
        <v>1347</v>
      </c>
      <c r="L10" s="4">
        <f t="shared" si="2"/>
        <v>0.58286456079619209</v>
      </c>
      <c r="N10" s="2">
        <f>'Exh 7'!S10-'Exh 7'!O10</f>
        <v>1538</v>
      </c>
      <c r="O10" s="2">
        <f>'Exh 6'!V10-'Exh 6'!R10</f>
        <v>267</v>
      </c>
      <c r="P10" s="4">
        <f t="shared" si="3"/>
        <v>0.17360208062418725</v>
      </c>
      <c r="R10" s="2">
        <f>'Exh 7'!W10-'Exh 7'!S10</f>
        <v>2266</v>
      </c>
      <c r="S10" s="2">
        <f>'Exh 6'!Z10-'Exh 6'!V10</f>
        <v>120</v>
      </c>
      <c r="T10" s="4">
        <f t="shared" si="4"/>
        <v>5.2956751985878202E-2</v>
      </c>
      <c r="V10" s="2">
        <f>'Exh 7'!AA10-'Exh 7'!W10</f>
        <v>528</v>
      </c>
      <c r="W10" s="2">
        <f>'Exh 6'!AD10-'Exh 6'!Z10</f>
        <v>615</v>
      </c>
      <c r="X10" s="4">
        <f t="shared" si="5"/>
        <v>1.1647727272727273</v>
      </c>
    </row>
    <row r="11" spans="1:24">
      <c r="A11" t="s">
        <v>74</v>
      </c>
      <c r="B11" s="2">
        <f>'Exh 7'!G11</f>
        <v>27696</v>
      </c>
      <c r="C11" s="2">
        <f>'Exh 6'!J11</f>
        <v>38717</v>
      </c>
      <c r="D11" s="4">
        <f t="shared" si="0"/>
        <v>1.3979274985557482</v>
      </c>
      <c r="F11" s="2">
        <f>'Exh 7'!K11-'Exh 7'!G11</f>
        <v>2679</v>
      </c>
      <c r="G11" s="2">
        <f>'Exh 6'!N11-'Exh 6'!J11</f>
        <v>2119</v>
      </c>
      <c r="H11" s="4">
        <f t="shared" si="1"/>
        <v>0.79096677864874954</v>
      </c>
      <c r="J11" s="2">
        <f>'Exh 7'!O11-'Exh 7'!K11</f>
        <v>2676</v>
      </c>
      <c r="K11" s="2">
        <f>'Exh 6'!R11-'Exh 6'!N11</f>
        <v>1687</v>
      </c>
      <c r="L11" s="4">
        <f t="shared" si="2"/>
        <v>0.63041853512705526</v>
      </c>
      <c r="N11" s="2">
        <f>'Exh 7'!S11-'Exh 7'!O11</f>
        <v>2026</v>
      </c>
      <c r="O11" s="2">
        <f>'Exh 6'!V11-'Exh 6'!R11</f>
        <v>773</v>
      </c>
      <c r="P11" s="4">
        <f t="shared" si="3"/>
        <v>0.38153998025666336</v>
      </c>
      <c r="R11" s="2">
        <f>'Exh 7'!W11-'Exh 7'!S11</f>
        <v>1729</v>
      </c>
      <c r="S11" s="2">
        <f>'Exh 6'!Z11-'Exh 6'!V11</f>
        <v>189</v>
      </c>
      <c r="T11" s="4">
        <f t="shared" si="4"/>
        <v>0.10931174089068826</v>
      </c>
      <c r="V11" s="2">
        <f>'Exh 7'!AA11-'Exh 7'!W11</f>
        <v>1072</v>
      </c>
      <c r="W11" s="2">
        <f>'Exh 6'!AD11-'Exh 6'!Z11</f>
        <v>210</v>
      </c>
      <c r="X11" s="4">
        <f t="shared" si="5"/>
        <v>0.19589552238805971</v>
      </c>
    </row>
    <row r="12" spans="1:24">
      <c r="A12" t="s">
        <v>75</v>
      </c>
      <c r="B12" s="2">
        <f>'Exh 7'!G12</f>
        <v>96041</v>
      </c>
      <c r="C12" s="2">
        <f>'Exh 6'!J12</f>
        <v>133094</v>
      </c>
      <c r="D12" s="4">
        <f t="shared" si="0"/>
        <v>1.3858039795504002</v>
      </c>
      <c r="F12" s="2">
        <f>'Exh 7'!K12-'Exh 7'!G12</f>
        <v>9717</v>
      </c>
      <c r="G12" s="2">
        <f>'Exh 6'!N12-'Exh 6'!J12</f>
        <v>7926</v>
      </c>
      <c r="H12" s="4">
        <f t="shared" si="1"/>
        <v>0.81568385304106206</v>
      </c>
      <c r="J12" s="2">
        <f>'Exh 7'!O12-'Exh 7'!K12</f>
        <v>6465</v>
      </c>
      <c r="K12" s="2">
        <f>'Exh 6'!R12-'Exh 6'!N12</f>
        <v>3053</v>
      </c>
      <c r="L12" s="4">
        <f t="shared" si="2"/>
        <v>0.47223511214230474</v>
      </c>
      <c r="N12" s="2">
        <f>'Exh 7'!S12-'Exh 7'!O12</f>
        <v>6526</v>
      </c>
      <c r="O12" s="2">
        <f>'Exh 6'!V12-'Exh 6'!R12</f>
        <v>2670</v>
      </c>
      <c r="P12" s="4">
        <f t="shared" si="3"/>
        <v>0.40913269996935336</v>
      </c>
      <c r="R12" s="2">
        <f>'Exh 7'!W12-'Exh 7'!S12</f>
        <v>6603</v>
      </c>
      <c r="S12" s="2">
        <f>'Exh 6'!Z12-'Exh 6'!V12</f>
        <v>2611</v>
      </c>
      <c r="T12" s="4">
        <f t="shared" si="4"/>
        <v>0.39542632136907468</v>
      </c>
      <c r="V12" s="2">
        <f>'Exh 7'!AA12-'Exh 7'!W12</f>
        <v>3566</v>
      </c>
      <c r="W12" s="2">
        <f>'Exh 6'!AD12-'Exh 6'!Z12</f>
        <v>155</v>
      </c>
      <c r="X12" s="4">
        <f t="shared" si="5"/>
        <v>4.3466068424004488E-2</v>
      </c>
    </row>
    <row r="13" spans="1:24">
      <c r="A13" t="s">
        <v>76</v>
      </c>
      <c r="B13" s="2">
        <f>'Exh 7'!G13</f>
        <v>49481</v>
      </c>
      <c r="C13" s="2">
        <f>'Exh 6'!J13</f>
        <v>66351</v>
      </c>
      <c r="D13" s="4">
        <f t="shared" si="0"/>
        <v>1.3409389462622017</v>
      </c>
      <c r="F13" s="2">
        <f>'Exh 7'!K13-'Exh 7'!G13</f>
        <v>7193</v>
      </c>
      <c r="G13" s="2">
        <f>'Exh 6'!N13-'Exh 6'!J13</f>
        <v>4063</v>
      </c>
      <c r="H13" s="4">
        <f t="shared" si="1"/>
        <v>0.5648547198665369</v>
      </c>
      <c r="J13" s="2">
        <f>'Exh 7'!O13-'Exh 7'!K13</f>
        <v>4268</v>
      </c>
      <c r="K13" s="2">
        <f>'Exh 6'!R13-'Exh 6'!N13</f>
        <v>2560</v>
      </c>
      <c r="L13" s="4">
        <f t="shared" si="2"/>
        <v>0.59981255857544513</v>
      </c>
      <c r="N13" s="2">
        <f>'Exh 7'!S13-'Exh 7'!O13</f>
        <v>3050</v>
      </c>
      <c r="O13" s="2">
        <f>'Exh 6'!V13-'Exh 6'!R13</f>
        <v>1196</v>
      </c>
      <c r="P13" s="4">
        <f t="shared" si="3"/>
        <v>0.3921311475409836</v>
      </c>
      <c r="R13" s="2">
        <f>'Exh 7'!W13-'Exh 7'!S13</f>
        <v>2194</v>
      </c>
      <c r="S13" s="2">
        <f>'Exh 6'!Z13-'Exh 6'!V13</f>
        <v>1091</v>
      </c>
      <c r="T13" s="4">
        <f t="shared" si="4"/>
        <v>0.49726526891522332</v>
      </c>
      <c r="V13" s="2">
        <f>'Exh 7'!AA13-'Exh 7'!W13</f>
        <v>2533</v>
      </c>
      <c r="W13" s="2">
        <f>'Exh 6'!AD13-'Exh 6'!Z13</f>
        <v>958</v>
      </c>
      <c r="X13" s="4">
        <f t="shared" si="5"/>
        <v>0.37820765890248714</v>
      </c>
    </row>
    <row r="14" spans="1:24">
      <c r="A14" t="s">
        <v>77</v>
      </c>
      <c r="B14" s="2">
        <f>'Exh 7'!G14</f>
        <v>63095</v>
      </c>
      <c r="C14" s="2">
        <f>'Exh 6'!J14</f>
        <v>87173</v>
      </c>
      <c r="D14" s="4">
        <f t="shared" si="0"/>
        <v>1.3816150249623584</v>
      </c>
      <c r="F14" s="2">
        <f>'Exh 7'!K14-'Exh 7'!G14</f>
        <v>5865</v>
      </c>
      <c r="G14" s="2">
        <f>'Exh 6'!N14-'Exh 6'!J14</f>
        <v>4249</v>
      </c>
      <c r="H14" s="4">
        <f t="shared" si="1"/>
        <v>0.72446717817561812</v>
      </c>
      <c r="J14" s="2">
        <f>'Exh 7'!O14-'Exh 7'!K14</f>
        <v>4045</v>
      </c>
      <c r="K14" s="2">
        <f>'Exh 6'!R14-'Exh 6'!N14</f>
        <v>2298</v>
      </c>
      <c r="L14" s="4">
        <f t="shared" si="2"/>
        <v>0.5681087762669963</v>
      </c>
      <c r="N14" s="2">
        <f>'Exh 7'!S14-'Exh 7'!O14</f>
        <v>1699</v>
      </c>
      <c r="O14" s="2">
        <f>'Exh 6'!V14-'Exh 6'!R14</f>
        <v>1243</v>
      </c>
      <c r="P14" s="4">
        <f t="shared" si="3"/>
        <v>0.73160682754561501</v>
      </c>
      <c r="R14" s="2">
        <f>'Exh 7'!W14-'Exh 7'!S14</f>
        <v>3519</v>
      </c>
      <c r="S14" s="2">
        <f>'Exh 6'!Z14-'Exh 6'!V14</f>
        <v>874</v>
      </c>
      <c r="T14" s="4">
        <f t="shared" si="4"/>
        <v>0.24836601307189543</v>
      </c>
      <c r="V14" s="2">
        <f>'Exh 7'!AA14-'Exh 7'!W14</f>
        <v>1477</v>
      </c>
      <c r="W14" s="2">
        <f>'Exh 6'!AD14-'Exh 6'!Z14</f>
        <v>621</v>
      </c>
      <c r="X14" s="4">
        <f t="shared" si="5"/>
        <v>0.42044685172647256</v>
      </c>
    </row>
    <row r="15" spans="1:24">
      <c r="A15" t="s">
        <v>78</v>
      </c>
      <c r="B15" s="2">
        <f>'Exh 7'!G15</f>
        <v>42163</v>
      </c>
      <c r="C15" s="2">
        <f>'Exh 6'!J15</f>
        <v>57654</v>
      </c>
      <c r="D15" s="4">
        <f t="shared" si="0"/>
        <v>1.3674074425444109</v>
      </c>
      <c r="F15" s="2">
        <f>'Exh 7'!K15-'Exh 7'!G15</f>
        <v>3904</v>
      </c>
      <c r="G15" s="2">
        <f>'Exh 6'!N15-'Exh 6'!J15</f>
        <v>2283</v>
      </c>
      <c r="H15" s="4">
        <f t="shared" si="1"/>
        <v>0.58478483606557374</v>
      </c>
      <c r="J15" s="2">
        <f>'Exh 7'!O15-'Exh 7'!K15</f>
        <v>3882</v>
      </c>
      <c r="K15" s="2">
        <f>'Exh 6'!R15-'Exh 6'!N15</f>
        <v>1982</v>
      </c>
      <c r="L15" s="4">
        <f t="shared" si="2"/>
        <v>0.5105615662029882</v>
      </c>
      <c r="N15" s="2">
        <f>'Exh 7'!S15-'Exh 7'!O15</f>
        <v>2480</v>
      </c>
      <c r="O15" s="2">
        <f>'Exh 6'!V15-'Exh 6'!R15</f>
        <v>63</v>
      </c>
      <c r="P15" s="4">
        <f t="shared" si="3"/>
        <v>2.5403225806451612E-2</v>
      </c>
      <c r="R15" s="2">
        <f>'Exh 7'!W15-'Exh 7'!S15</f>
        <v>1476</v>
      </c>
      <c r="S15" s="2">
        <f>'Exh 6'!Z15-'Exh 6'!V15</f>
        <v>887</v>
      </c>
      <c r="T15" s="4">
        <f t="shared" si="4"/>
        <v>0.60094850948509482</v>
      </c>
      <c r="V15" s="2">
        <f>'Exh 7'!AA15-'Exh 7'!W15</f>
        <v>1969</v>
      </c>
      <c r="W15" s="2">
        <f>'Exh 6'!AD15-'Exh 6'!Z15</f>
        <v>195</v>
      </c>
      <c r="X15" s="4">
        <f t="shared" si="5"/>
        <v>9.9035043169121387E-2</v>
      </c>
    </row>
    <row r="16" spans="1:24">
      <c r="A16" t="s">
        <v>79</v>
      </c>
      <c r="B16" s="2">
        <f>'Exh 7'!G16</f>
        <v>115105</v>
      </c>
      <c r="C16" s="2">
        <f>'Exh 6'!J16</f>
        <v>160838</v>
      </c>
      <c r="D16" s="4">
        <f t="shared" si="0"/>
        <v>1.3973154945484558</v>
      </c>
      <c r="F16" s="2">
        <f>'Exh 7'!K16-'Exh 7'!G16</f>
        <v>12007</v>
      </c>
      <c r="G16" s="2">
        <f>'Exh 6'!N16-'Exh 6'!J16</f>
        <v>10917</v>
      </c>
      <c r="H16" s="4">
        <f t="shared" si="1"/>
        <v>0.90921962188723249</v>
      </c>
      <c r="J16" s="2">
        <f>'Exh 7'!O16-'Exh 7'!K16</f>
        <v>12037</v>
      </c>
      <c r="K16" s="2">
        <f>'Exh 6'!R16-'Exh 6'!N16</f>
        <v>7931</v>
      </c>
      <c r="L16" s="4">
        <f t="shared" si="2"/>
        <v>0.65888510426185931</v>
      </c>
      <c r="N16" s="2">
        <f>'Exh 7'!S16-'Exh 7'!O16</f>
        <v>5379</v>
      </c>
      <c r="O16" s="2">
        <f>'Exh 6'!V16-'Exh 6'!R16</f>
        <v>2704</v>
      </c>
      <c r="P16" s="4">
        <f t="shared" si="3"/>
        <v>0.50269566833984014</v>
      </c>
      <c r="R16" s="2">
        <f>'Exh 7'!W16-'Exh 7'!S16</f>
        <v>8623</v>
      </c>
      <c r="S16" s="2">
        <f>'Exh 6'!Z16-'Exh 6'!V16</f>
        <v>1692</v>
      </c>
      <c r="T16" s="4">
        <f t="shared" si="4"/>
        <v>0.19621941319726313</v>
      </c>
      <c r="V16" s="2">
        <f>'Exh 7'!AA16-'Exh 7'!W16</f>
        <v>4363</v>
      </c>
      <c r="W16" s="2">
        <f>'Exh 6'!AD16-'Exh 6'!Z16</f>
        <v>1601</v>
      </c>
      <c r="X16" s="4">
        <f t="shared" si="5"/>
        <v>0.36694934677973873</v>
      </c>
    </row>
    <row r="17" spans="1:24">
      <c r="A17" t="s">
        <v>80</v>
      </c>
      <c r="B17" s="2">
        <f>'Exh 7'!G17</f>
        <v>58712</v>
      </c>
      <c r="C17" s="2">
        <f>'Exh 6'!J17</f>
        <v>84641</v>
      </c>
      <c r="D17" s="4">
        <f t="shared" si="0"/>
        <v>1.4416303311077803</v>
      </c>
      <c r="F17" s="2">
        <f>'Exh 7'!K17-'Exh 7'!G17</f>
        <v>6628</v>
      </c>
      <c r="G17" s="2">
        <f>'Exh 6'!N17-'Exh 6'!J17</f>
        <v>3536</v>
      </c>
      <c r="H17" s="4">
        <f t="shared" si="1"/>
        <v>0.53349426674713341</v>
      </c>
      <c r="J17" s="2">
        <f>'Exh 7'!O17-'Exh 7'!K17</f>
        <v>3737</v>
      </c>
      <c r="K17" s="2">
        <f>'Exh 6'!R17-'Exh 6'!N17</f>
        <v>3579</v>
      </c>
      <c r="L17" s="4">
        <f t="shared" si="2"/>
        <v>0.95772009633395772</v>
      </c>
      <c r="N17" s="2">
        <f>'Exh 7'!S17-'Exh 7'!O17</f>
        <v>3315</v>
      </c>
      <c r="O17" s="2">
        <f>'Exh 6'!V17-'Exh 6'!R17</f>
        <v>561</v>
      </c>
      <c r="P17" s="4">
        <f t="shared" si="3"/>
        <v>0.16923076923076924</v>
      </c>
      <c r="R17" s="2">
        <f>'Exh 7'!W17-'Exh 7'!S17</f>
        <v>3033</v>
      </c>
      <c r="S17" s="2">
        <f>'Exh 6'!Z17-'Exh 6'!V17</f>
        <v>728</v>
      </c>
      <c r="T17" s="4">
        <f t="shared" si="4"/>
        <v>0.24002637652489284</v>
      </c>
      <c r="V17" s="2">
        <f>'Exh 7'!AA17-'Exh 7'!W17</f>
        <v>1907</v>
      </c>
      <c r="W17" s="2">
        <f>'Exh 6'!AD17-'Exh 6'!Z17</f>
        <v>84</v>
      </c>
      <c r="X17" s="4">
        <f t="shared" si="5"/>
        <v>4.4048243314105923E-2</v>
      </c>
    </row>
    <row r="18" spans="1:24">
      <c r="A18" t="s">
        <v>17</v>
      </c>
      <c r="B18" s="2">
        <f>'Exh 7'!G18</f>
        <v>77373</v>
      </c>
      <c r="C18" s="2">
        <f>'Exh 6'!J18</f>
        <v>103693</v>
      </c>
      <c r="D18" s="4">
        <f t="shared" si="0"/>
        <v>1.340170343659933</v>
      </c>
      <c r="F18" s="2">
        <f>'Exh 7'!K18-'Exh 7'!G18</f>
        <v>7879</v>
      </c>
      <c r="G18" s="2">
        <f>'Exh 6'!N18-'Exh 6'!J18</f>
        <v>8775</v>
      </c>
      <c r="H18" s="4">
        <f t="shared" si="1"/>
        <v>1.1137200152303592</v>
      </c>
      <c r="J18" s="2">
        <f>'Exh 7'!O18-'Exh 7'!K18</f>
        <v>4795</v>
      </c>
      <c r="K18" s="2">
        <f>'Exh 6'!R18-'Exh 6'!N18</f>
        <v>2987</v>
      </c>
      <c r="L18" s="4">
        <f t="shared" si="2"/>
        <v>0.62294056308654844</v>
      </c>
      <c r="N18" s="2">
        <f>'Exh 7'!S18-'Exh 7'!O18</f>
        <v>5508</v>
      </c>
      <c r="O18" s="2">
        <f>'Exh 6'!V18-'Exh 6'!R18</f>
        <v>1796</v>
      </c>
      <c r="P18" s="4">
        <f t="shared" si="3"/>
        <v>0.32607116920842411</v>
      </c>
      <c r="R18" s="2">
        <f>'Exh 7'!W18-'Exh 7'!S18</f>
        <v>4720</v>
      </c>
      <c r="S18" s="2">
        <f>'Exh 6'!Z18-'Exh 6'!V18</f>
        <v>1522</v>
      </c>
      <c r="T18" s="4">
        <f t="shared" si="4"/>
        <v>0.32245762711864406</v>
      </c>
      <c r="V18" s="2">
        <f>'Exh 7'!AA18-'Exh 7'!W18</f>
        <v>1784</v>
      </c>
      <c r="W18" s="2">
        <f>'Exh 6'!AD18-'Exh 6'!Z18</f>
        <v>70</v>
      </c>
      <c r="X18" s="4">
        <f t="shared" si="5"/>
        <v>3.923766816143498E-2</v>
      </c>
    </row>
    <row r="19" spans="1:24">
      <c r="A19" t="s">
        <v>18</v>
      </c>
      <c r="B19" s="2">
        <f>'Exh 7'!G19</f>
        <v>49770</v>
      </c>
      <c r="C19" s="2">
        <f>'Exh 6'!J19</f>
        <v>68397</v>
      </c>
      <c r="D19" s="4">
        <f t="shared" si="0"/>
        <v>1.3742616033755275</v>
      </c>
      <c r="F19" s="2">
        <f>'Exh 7'!K19-'Exh 7'!G19</f>
        <v>4867</v>
      </c>
      <c r="G19" s="2">
        <f>'Exh 6'!N19-'Exh 6'!J19</f>
        <v>3466</v>
      </c>
      <c r="H19" s="4">
        <f t="shared" si="1"/>
        <v>0.71214300390384222</v>
      </c>
      <c r="J19" s="2">
        <f>'Exh 7'!O19-'Exh 7'!K19</f>
        <v>4029</v>
      </c>
      <c r="K19" s="2">
        <f>'Exh 6'!R19-'Exh 6'!N19</f>
        <v>993</v>
      </c>
      <c r="L19" s="4">
        <f t="shared" si="2"/>
        <v>0.24646314221891288</v>
      </c>
      <c r="N19" s="2">
        <f>'Exh 7'!S19-'Exh 7'!O19</f>
        <v>2521</v>
      </c>
      <c r="O19" s="2">
        <f>'Exh 6'!V19-'Exh 6'!R19</f>
        <v>207</v>
      </c>
      <c r="P19" s="4">
        <f t="shared" si="3"/>
        <v>8.211027370091234E-2</v>
      </c>
      <c r="R19" s="2">
        <f>'Exh 7'!W19-'Exh 7'!S19</f>
        <v>2970</v>
      </c>
      <c r="S19" s="2">
        <f>'Exh 6'!Z19-'Exh 6'!V19</f>
        <v>870</v>
      </c>
      <c r="T19" s="4">
        <f t="shared" si="4"/>
        <v>0.29292929292929293</v>
      </c>
      <c r="V19" s="2">
        <f>'Exh 7'!AA19-'Exh 7'!W19</f>
        <v>1107</v>
      </c>
      <c r="W19" s="2">
        <f>'Exh 6'!AD19-'Exh 6'!Z19</f>
        <v>415</v>
      </c>
      <c r="X19" s="4">
        <f t="shared" si="5"/>
        <v>0.3748870822041554</v>
      </c>
    </row>
    <row r="20" spans="1:24">
      <c r="A20" t="s">
        <v>19</v>
      </c>
      <c r="B20" s="2">
        <f>'Exh 7'!G20</f>
        <v>120053</v>
      </c>
      <c r="C20" s="2">
        <f>'Exh 6'!J20</f>
        <v>171434</v>
      </c>
      <c r="D20" s="4">
        <f t="shared" si="0"/>
        <v>1.4279859728619859</v>
      </c>
      <c r="F20" s="2">
        <f>'Exh 7'!K20-'Exh 7'!G20</f>
        <v>15118</v>
      </c>
      <c r="G20" s="2">
        <f>'Exh 6'!N20-'Exh 6'!J20</f>
        <v>9858</v>
      </c>
      <c r="H20" s="4">
        <f t="shared" si="1"/>
        <v>0.65207037967985182</v>
      </c>
      <c r="J20" s="2">
        <f>'Exh 7'!O20-'Exh 7'!K20</f>
        <v>8909</v>
      </c>
      <c r="K20" s="2">
        <f>'Exh 6'!R20-'Exh 6'!N20</f>
        <v>4189</v>
      </c>
      <c r="L20" s="4">
        <f t="shared" si="2"/>
        <v>0.47019867549668876</v>
      </c>
      <c r="N20" s="2">
        <f>'Exh 7'!S20-'Exh 7'!O20</f>
        <v>7089</v>
      </c>
      <c r="O20" s="2">
        <f>'Exh 6'!V20-'Exh 6'!R20</f>
        <v>2571</v>
      </c>
      <c r="P20" s="4">
        <f t="shared" si="3"/>
        <v>0.36267456622936944</v>
      </c>
      <c r="R20" s="2">
        <f>'Exh 7'!W20-'Exh 7'!S20</f>
        <v>3589</v>
      </c>
      <c r="S20" s="2">
        <f>'Exh 6'!Z20-'Exh 6'!V20</f>
        <v>2532</v>
      </c>
      <c r="T20" s="4">
        <f t="shared" si="4"/>
        <v>0.70548899414878796</v>
      </c>
      <c r="V20" s="2">
        <f>'Exh 7'!AA20-'Exh 7'!W20</f>
        <v>1192</v>
      </c>
      <c r="W20" s="2">
        <f>'Exh 6'!AD20-'Exh 6'!Z20</f>
        <v>-319</v>
      </c>
      <c r="X20" s="15">
        <f t="shared" si="5"/>
        <v>-0.26761744966442952</v>
      </c>
    </row>
    <row r="21" spans="1:24">
      <c r="A21" t="s">
        <v>20</v>
      </c>
      <c r="B21" s="2">
        <f>'Exh 7'!G21</f>
        <v>73502</v>
      </c>
      <c r="C21" s="2">
        <f>'Exh 6'!J21</f>
        <v>101483</v>
      </c>
      <c r="D21" s="4">
        <f t="shared" si="0"/>
        <v>1.3806835188158146</v>
      </c>
      <c r="F21" s="2">
        <f>'Exh 7'!K21-'Exh 7'!G21</f>
        <v>7479</v>
      </c>
      <c r="G21" s="2">
        <f>'Exh 6'!N21-'Exh 6'!J21</f>
        <v>5701</v>
      </c>
      <c r="H21" s="4">
        <f t="shared" si="1"/>
        <v>0.76226768284530022</v>
      </c>
      <c r="J21" s="2">
        <f>'Exh 7'!O21-'Exh 7'!K21</f>
        <v>5101</v>
      </c>
      <c r="K21" s="2">
        <f>'Exh 6'!R21-'Exh 6'!N21</f>
        <v>2290</v>
      </c>
      <c r="L21" s="4">
        <f t="shared" si="2"/>
        <v>0.4489315820427367</v>
      </c>
      <c r="N21" s="2">
        <f>'Exh 7'!S21-'Exh 7'!O21</f>
        <v>4456</v>
      </c>
      <c r="O21" s="2">
        <f>'Exh 6'!V21-'Exh 6'!R21</f>
        <v>1199</v>
      </c>
      <c r="P21" s="4">
        <f t="shared" si="3"/>
        <v>0.26907540394973067</v>
      </c>
      <c r="R21" s="2">
        <f>'Exh 7'!W21-'Exh 7'!S21</f>
        <v>3277</v>
      </c>
      <c r="S21" s="2">
        <f>'Exh 6'!Z21-'Exh 6'!V21</f>
        <v>572</v>
      </c>
      <c r="T21" s="4">
        <f t="shared" si="4"/>
        <v>0.17454989319499542</v>
      </c>
      <c r="V21" s="2">
        <f>'Exh 7'!AA21-'Exh 7'!W21</f>
        <v>382</v>
      </c>
      <c r="W21" s="2">
        <f>'Exh 6'!AD21-'Exh 6'!Z21</f>
        <v>227</v>
      </c>
      <c r="X21" s="4">
        <f t="shared" si="5"/>
        <v>0.59424083769633507</v>
      </c>
    </row>
    <row r="22" spans="1:24">
      <c r="A22" t="s">
        <v>21</v>
      </c>
      <c r="B22" s="2">
        <f>'Exh 7'!G22</f>
        <v>71999</v>
      </c>
      <c r="C22" s="2">
        <f>'Exh 6'!J22</f>
        <v>98806</v>
      </c>
      <c r="D22" s="4">
        <f t="shared" si="0"/>
        <v>1.3723246156196613</v>
      </c>
      <c r="F22" s="2">
        <f>'Exh 7'!K22-'Exh 7'!G22</f>
        <v>6083</v>
      </c>
      <c r="G22" s="2">
        <f>'Exh 6'!N22-'Exh 6'!J22</f>
        <v>4745</v>
      </c>
      <c r="H22" s="4">
        <f t="shared" si="1"/>
        <v>0.78004274206805857</v>
      </c>
      <c r="J22" s="2">
        <f>'Exh 7'!O22-'Exh 7'!K22</f>
        <v>4138</v>
      </c>
      <c r="K22" s="2">
        <f>'Exh 6'!R22-'Exh 6'!N22</f>
        <v>1006</v>
      </c>
      <c r="L22" s="4">
        <f t="shared" si="2"/>
        <v>0.24311261478975352</v>
      </c>
      <c r="N22" s="2">
        <f>'Exh 7'!S22-'Exh 7'!O22</f>
        <v>3267</v>
      </c>
      <c r="O22" s="2">
        <f>'Exh 6'!V22-'Exh 6'!R22</f>
        <v>1498</v>
      </c>
      <c r="P22" s="4">
        <f t="shared" si="3"/>
        <v>0.45852464034282214</v>
      </c>
      <c r="R22" s="2">
        <f>'Exh 7'!W22-'Exh 7'!S22</f>
        <v>2294</v>
      </c>
      <c r="S22" s="2">
        <f>'Exh 6'!Z22-'Exh 6'!V22</f>
        <v>82</v>
      </c>
      <c r="T22" s="4">
        <f t="shared" si="4"/>
        <v>3.5745422842197033E-2</v>
      </c>
      <c r="V22" s="2"/>
      <c r="W22" s="2"/>
      <c r="X22" s="4"/>
    </row>
    <row r="23" spans="1:24">
      <c r="A23" t="s">
        <v>22</v>
      </c>
      <c r="B23" s="2">
        <f>'Exh 7'!G23</f>
        <v>45861</v>
      </c>
      <c r="C23" s="2">
        <f>'Exh 6'!J23</f>
        <v>63885</v>
      </c>
      <c r="D23" s="4">
        <f t="shared" si="0"/>
        <v>1.3930136717472361</v>
      </c>
      <c r="F23" s="2">
        <f>'Exh 7'!K23-'Exh 7'!G23</f>
        <v>5253</v>
      </c>
      <c r="G23" s="2">
        <f>'Exh 6'!N23-'Exh 6'!J23</f>
        <v>2688</v>
      </c>
      <c r="H23" s="4">
        <f t="shared" si="1"/>
        <v>0.51170759565962309</v>
      </c>
      <c r="J23" s="2">
        <f>'Exh 7'!O23-'Exh 7'!K23</f>
        <v>3393</v>
      </c>
      <c r="K23" s="2">
        <f>'Exh 6'!R23-'Exh 6'!N23</f>
        <v>853</v>
      </c>
      <c r="L23" s="4">
        <f t="shared" si="2"/>
        <v>0.25139994105511348</v>
      </c>
      <c r="N23" s="2">
        <f>'Exh 7'!S23-'Exh 7'!O23</f>
        <v>2461</v>
      </c>
      <c r="O23" s="2">
        <f>'Exh 6'!V23-'Exh 6'!R23</f>
        <v>894</v>
      </c>
      <c r="P23" s="4">
        <f t="shared" si="3"/>
        <v>0.36326696464851688</v>
      </c>
      <c r="R23" s="2">
        <f>'Exh 7'!W23-'Exh 7'!S23</f>
        <v>1086</v>
      </c>
      <c r="S23" s="2">
        <f>'Exh 6'!Z23-'Exh 6'!V23</f>
        <v>102</v>
      </c>
      <c r="T23" s="4">
        <f t="shared" si="4"/>
        <v>9.3922651933701654E-2</v>
      </c>
      <c r="V23" s="2"/>
      <c r="W23" s="2"/>
      <c r="X23" s="4"/>
    </row>
    <row r="24" spans="1:24">
      <c r="A24" t="s">
        <v>23</v>
      </c>
      <c r="B24" s="2">
        <f>'Exh 7'!G24</f>
        <v>115461</v>
      </c>
      <c r="C24" s="2">
        <f>'Exh 6'!J24</f>
        <v>161154</v>
      </c>
      <c r="D24" s="4">
        <f t="shared" si="0"/>
        <v>1.3957440174604412</v>
      </c>
      <c r="F24" s="2">
        <f>'Exh 7'!K24-'Exh 7'!G24</f>
        <v>13461</v>
      </c>
      <c r="G24" s="2">
        <f>'Exh 6'!N24-'Exh 6'!J24</f>
        <v>6642</v>
      </c>
      <c r="H24" s="4">
        <f t="shared" si="1"/>
        <v>0.49342545130376642</v>
      </c>
      <c r="J24" s="2">
        <f>'Exh 7'!O24-'Exh 7'!K24</f>
        <v>7128</v>
      </c>
      <c r="K24" s="2">
        <f>'Exh 6'!R24-'Exh 6'!N24</f>
        <v>2854</v>
      </c>
      <c r="L24" s="4">
        <f t="shared" si="2"/>
        <v>0.40039281705948371</v>
      </c>
      <c r="N24" s="2">
        <f>'Exh 7'!S24-'Exh 7'!O24</f>
        <v>6284</v>
      </c>
      <c r="O24" s="2">
        <f>'Exh 6'!V24-'Exh 6'!R24</f>
        <v>3014</v>
      </c>
      <c r="P24" s="4">
        <f t="shared" si="3"/>
        <v>0.47963080840229155</v>
      </c>
      <c r="R24" s="2">
        <f>'Exh 7'!W24-'Exh 7'!S24</f>
        <v>8697</v>
      </c>
      <c r="S24" s="2">
        <f>'Exh 6'!Z24-'Exh 6'!V24</f>
        <v>108</v>
      </c>
      <c r="T24" s="4">
        <f t="shared" si="4"/>
        <v>1.2418075198344257E-2</v>
      </c>
      <c r="V24" s="2"/>
      <c r="W24" s="2"/>
      <c r="X24" s="4"/>
    </row>
    <row r="25" spans="1:24">
      <c r="A25" t="s">
        <v>24</v>
      </c>
      <c r="B25" s="2">
        <f>'Exh 7'!G25</f>
        <v>79063</v>
      </c>
      <c r="C25" s="2">
        <f>'Exh 6'!J25</f>
        <v>109253</v>
      </c>
      <c r="D25" s="4">
        <f t="shared" si="0"/>
        <v>1.381847387526403</v>
      </c>
      <c r="F25" s="2">
        <f>'Exh 7'!K25-'Exh 7'!G25</f>
        <v>7723</v>
      </c>
      <c r="G25" s="2">
        <f>'Exh 6'!N25-'Exh 6'!J25</f>
        <v>3974</v>
      </c>
      <c r="H25" s="4">
        <f t="shared" si="1"/>
        <v>0.51456687815615698</v>
      </c>
      <c r="J25" s="2">
        <f>'Exh 7'!O25-'Exh 7'!K25</f>
        <v>5082</v>
      </c>
      <c r="K25" s="2">
        <f>'Exh 6'!R25-'Exh 6'!N25</f>
        <v>2604</v>
      </c>
      <c r="L25" s="4">
        <f t="shared" si="2"/>
        <v>0.51239669421487599</v>
      </c>
      <c r="N25" s="2">
        <f>'Exh 7'!S25-'Exh 7'!O25</f>
        <v>4351</v>
      </c>
      <c r="O25" s="2">
        <f>'Exh 6'!V25-'Exh 6'!R25</f>
        <v>2529</v>
      </c>
      <c r="P25" s="4">
        <f t="shared" si="3"/>
        <v>0.58124569064582854</v>
      </c>
      <c r="R25" s="2">
        <f>'Exh 7'!W25-'Exh 7'!S25</f>
        <v>970</v>
      </c>
      <c r="S25" s="2">
        <f>'Exh 6'!Z25-'Exh 6'!V25</f>
        <v>798</v>
      </c>
      <c r="T25" s="4">
        <f t="shared" si="4"/>
        <v>0.82268041237113398</v>
      </c>
      <c r="V25" s="2"/>
      <c r="W25" s="2"/>
      <c r="X25" s="4"/>
    </row>
    <row r="26" spans="1:24">
      <c r="A26" t="s">
        <v>25</v>
      </c>
      <c r="B26" s="2">
        <f>'Exh 7'!G26</f>
        <v>71471</v>
      </c>
      <c r="C26" s="2">
        <f>'Exh 6'!J26</f>
        <v>99777</v>
      </c>
      <c r="D26" s="4">
        <f t="shared" si="0"/>
        <v>1.3960487470442557</v>
      </c>
      <c r="F26" s="2">
        <f>'Exh 7'!K26-'Exh 7'!G26</f>
        <v>3744</v>
      </c>
      <c r="G26" s="2">
        <f>'Exh 6'!N26-'Exh 6'!J26</f>
        <v>914</v>
      </c>
      <c r="H26" s="4">
        <f t="shared" si="1"/>
        <v>0.24412393162393162</v>
      </c>
      <c r="J26" s="2">
        <f>'Exh 7'!O26-'Exh 7'!K26</f>
        <v>4462</v>
      </c>
      <c r="K26" s="2">
        <f>'Exh 6'!R26-'Exh 6'!N26</f>
        <v>2131</v>
      </c>
      <c r="L26" s="4">
        <f t="shared" si="2"/>
        <v>0.47758852532496637</v>
      </c>
      <c r="N26" s="2">
        <f>'Exh 7'!S26-'Exh 7'!O26</f>
        <v>798</v>
      </c>
      <c r="O26" s="2">
        <f>'Exh 6'!V26-'Exh 6'!R26</f>
        <v>339</v>
      </c>
      <c r="P26" s="4">
        <f t="shared" si="3"/>
        <v>0.42481203007518797</v>
      </c>
      <c r="R26" s="2"/>
      <c r="S26" s="2"/>
      <c r="T26" s="4"/>
      <c r="V26" s="2"/>
      <c r="W26" s="2"/>
      <c r="X26" s="4"/>
    </row>
    <row r="27" spans="1:24">
      <c r="A27" t="s">
        <v>26</v>
      </c>
      <c r="B27" s="2">
        <f>'Exh 7'!G27</f>
        <v>49486</v>
      </c>
      <c r="C27" s="2">
        <f>'Exh 6'!J27</f>
        <v>67553</v>
      </c>
      <c r="D27" s="4">
        <f t="shared" si="0"/>
        <v>1.3650931576607526</v>
      </c>
      <c r="F27" s="2">
        <f>'Exh 7'!K27-'Exh 7'!G27</f>
        <v>2976</v>
      </c>
      <c r="G27" s="2">
        <f>'Exh 6'!N27-'Exh 6'!J27</f>
        <v>2923</v>
      </c>
      <c r="H27" s="4">
        <f t="shared" si="1"/>
        <v>0.98219086021505375</v>
      </c>
      <c r="J27" s="2">
        <f>'Exh 7'!O27-'Exh 7'!K27</f>
        <v>2834</v>
      </c>
      <c r="K27" s="2">
        <f>'Exh 6'!R27-'Exh 6'!N27</f>
        <v>1906</v>
      </c>
      <c r="L27" s="4">
        <f t="shared" si="2"/>
        <v>0.67254763585038813</v>
      </c>
      <c r="N27" s="2">
        <f>'Exh 7'!S27-'Exh 7'!O27</f>
        <v>245</v>
      </c>
      <c r="O27" s="2">
        <f>'Exh 6'!V27-'Exh 6'!R27</f>
        <v>147</v>
      </c>
      <c r="P27" s="4">
        <f t="shared" si="3"/>
        <v>0.6</v>
      </c>
      <c r="R27" s="2"/>
      <c r="S27" s="2"/>
      <c r="T27" s="4"/>
      <c r="V27" s="2"/>
      <c r="W27" s="2"/>
      <c r="X27" s="4"/>
    </row>
    <row r="28" spans="1:24">
      <c r="A28" t="s">
        <v>27</v>
      </c>
      <c r="B28" s="2">
        <f>'Exh 7'!G28</f>
        <v>108330</v>
      </c>
      <c r="C28" s="2">
        <f>'Exh 6'!J28</f>
        <v>153443</v>
      </c>
      <c r="D28" s="4">
        <f t="shared" si="0"/>
        <v>1.4164405058617189</v>
      </c>
      <c r="F28" s="2">
        <f>'Exh 7'!K28-'Exh 7'!G28</f>
        <v>12886</v>
      </c>
      <c r="G28" s="2">
        <f>'Exh 6'!N28-'Exh 6'!J28</f>
        <v>6525</v>
      </c>
      <c r="H28" s="4">
        <f t="shared" si="1"/>
        <v>0.5063634952661803</v>
      </c>
      <c r="J28" s="2">
        <f>'Exh 7'!O28-'Exh 7'!K28</f>
        <v>6733</v>
      </c>
      <c r="K28" s="2">
        <f>'Exh 6'!R28-'Exh 6'!N28</f>
        <v>5732</v>
      </c>
      <c r="L28" s="4">
        <f t="shared" si="2"/>
        <v>0.85132927372642209</v>
      </c>
      <c r="N28" s="2">
        <f>'Exh 7'!S28-'Exh 7'!O28</f>
        <v>2995</v>
      </c>
      <c r="O28" s="2">
        <f>'Exh 6'!V28-'Exh 6'!R28</f>
        <v>1043</v>
      </c>
      <c r="P28" s="4">
        <f t="shared" si="3"/>
        <v>0.34824707846410685</v>
      </c>
      <c r="R28" s="2"/>
      <c r="S28" s="2"/>
      <c r="T28" s="4"/>
      <c r="V28" s="2"/>
      <c r="W28" s="2"/>
      <c r="X28" s="4"/>
    </row>
    <row r="29" spans="1:24">
      <c r="A29" t="s">
        <v>28</v>
      </c>
      <c r="B29" s="2">
        <f>'Exh 7'!G29</f>
        <v>72082</v>
      </c>
      <c r="C29" s="2">
        <f>'Exh 6'!J29</f>
        <v>104838</v>
      </c>
      <c r="D29" s="4">
        <f t="shared" si="0"/>
        <v>1.4544269026941539</v>
      </c>
      <c r="F29" s="2">
        <f>'Exh 7'!K29-'Exh 7'!G29</f>
        <v>10903</v>
      </c>
      <c r="G29" s="2">
        <f>'Exh 6'!N29-'Exh 6'!J29</f>
        <v>8693</v>
      </c>
      <c r="H29" s="4">
        <f t="shared" si="1"/>
        <v>0.79730349445106852</v>
      </c>
      <c r="J29" s="2">
        <f>'Exh 7'!O29-'Exh 7'!K29</f>
        <v>7288</v>
      </c>
      <c r="K29" s="2">
        <f>'Exh 6'!R29-'Exh 6'!N29</f>
        <v>4223</v>
      </c>
      <c r="L29" s="4">
        <f t="shared" si="2"/>
        <v>0.57944566410537868</v>
      </c>
      <c r="N29" s="2">
        <f>'Exh 7'!S29-'Exh 7'!O29</f>
        <v>785</v>
      </c>
      <c r="O29" s="2">
        <f>'Exh 6'!V29-'Exh 6'!R29</f>
        <v>472</v>
      </c>
      <c r="P29" s="4">
        <f t="shared" si="3"/>
        <v>0.60127388535031845</v>
      </c>
      <c r="R29" s="2"/>
      <c r="S29" s="2"/>
      <c r="T29" s="4"/>
      <c r="V29" s="2"/>
      <c r="W29" s="2"/>
      <c r="X29" s="4"/>
    </row>
    <row r="30" spans="1:24">
      <c r="A30" t="s">
        <v>29</v>
      </c>
      <c r="B30" s="2">
        <f>'Exh 7'!G30</f>
        <v>76452</v>
      </c>
      <c r="C30" s="2">
        <f>'Exh 6'!J30</f>
        <v>107468</v>
      </c>
      <c r="D30" s="4">
        <f t="shared" si="0"/>
        <v>1.4056924606288914</v>
      </c>
      <c r="F30" s="2">
        <f>'Exh 7'!K30-'Exh 7'!G30</f>
        <v>8988</v>
      </c>
      <c r="G30" s="2">
        <f>'Exh 6'!N30-'Exh 6'!J30</f>
        <v>7055</v>
      </c>
      <c r="H30" s="4">
        <f t="shared" si="1"/>
        <v>0.78493546951490878</v>
      </c>
      <c r="J30" s="2">
        <f>'Exh 7'!O30-'Exh 7'!K30</f>
        <v>2199</v>
      </c>
      <c r="K30" s="2">
        <f>'Exh 6'!R30-'Exh 6'!N30</f>
        <v>319</v>
      </c>
      <c r="L30" s="4">
        <f t="shared" si="2"/>
        <v>0.14506593906321055</v>
      </c>
      <c r="N30" s="2"/>
      <c r="O30" s="2"/>
      <c r="P30" s="4"/>
    </row>
    <row r="31" spans="1:24">
      <c r="A31" t="s">
        <v>30</v>
      </c>
      <c r="B31" s="2">
        <f>'Exh 7'!G31</f>
        <v>46393</v>
      </c>
      <c r="C31" s="2">
        <f>'Exh 6'!J31</f>
        <v>70127</v>
      </c>
      <c r="D31" s="4">
        <f t="shared" si="0"/>
        <v>1.5115857995818334</v>
      </c>
      <c r="F31" s="2">
        <f>'Exh 7'!K31-'Exh 7'!G31</f>
        <v>6513</v>
      </c>
      <c r="G31" s="2">
        <f>'Exh 6'!N31-'Exh 6'!J31</f>
        <v>5695</v>
      </c>
      <c r="H31" s="4">
        <f t="shared" si="1"/>
        <v>0.87440503608168274</v>
      </c>
      <c r="J31" s="2">
        <f>'Exh 7'!O31-'Exh 7'!K31</f>
        <v>1567</v>
      </c>
      <c r="K31" s="2">
        <f>'Exh 6'!R31-'Exh 6'!N31</f>
        <v>1159</v>
      </c>
      <c r="L31" s="4">
        <f t="shared" si="2"/>
        <v>0.73962986598596048</v>
      </c>
      <c r="N31" s="2"/>
      <c r="O31" s="2"/>
      <c r="P31" s="4"/>
    </row>
    <row r="32" spans="1:24">
      <c r="A32" t="s">
        <v>31</v>
      </c>
      <c r="B32" s="2">
        <f>'Exh 7'!G32</f>
        <v>102035</v>
      </c>
      <c r="C32" s="2">
        <f>'Exh 6'!J32</f>
        <v>158027</v>
      </c>
      <c r="D32" s="4">
        <f t="shared" si="0"/>
        <v>1.5487528789140981</v>
      </c>
      <c r="F32" s="2">
        <f>'Exh 7'!K32-'Exh 7'!G32</f>
        <v>13486</v>
      </c>
      <c r="G32" s="2">
        <f>'Exh 6'!N32-'Exh 6'!J32</f>
        <v>6788</v>
      </c>
      <c r="H32" s="4">
        <f t="shared" si="1"/>
        <v>0.50333679371199758</v>
      </c>
      <c r="J32" s="2">
        <f>'Exh 7'!O32-'Exh 7'!K32</f>
        <v>1681</v>
      </c>
      <c r="K32" s="2">
        <f>'Exh 6'!R32-'Exh 6'!N32</f>
        <v>901</v>
      </c>
      <c r="L32" s="4">
        <f t="shared" si="2"/>
        <v>0.53599048185603804</v>
      </c>
      <c r="N32" s="2"/>
      <c r="O32" s="2"/>
      <c r="P32" s="4"/>
    </row>
    <row r="33" spans="1:24">
      <c r="A33" t="s">
        <v>32</v>
      </c>
      <c r="B33" s="2">
        <f>'Exh 7'!G33</f>
        <v>57548</v>
      </c>
      <c r="C33" s="2">
        <f>'Exh 6'!J33</f>
        <v>91918</v>
      </c>
      <c r="D33" s="4">
        <f t="shared" si="0"/>
        <v>1.5972405643984153</v>
      </c>
      <c r="F33" s="2">
        <f>'Exh 7'!K33-'Exh 7'!G33</f>
        <v>8522</v>
      </c>
      <c r="G33" s="2">
        <f>'Exh 6'!N33-'Exh 6'!J33</f>
        <v>2841</v>
      </c>
      <c r="H33" s="4">
        <f t="shared" si="1"/>
        <v>0.33337244778221076</v>
      </c>
      <c r="J33" s="2">
        <f>'Exh 7'!O33-'Exh 7'!K33</f>
        <v>6166</v>
      </c>
      <c r="K33" s="2">
        <f>'Exh 6'!R33-'Exh 6'!N33</f>
        <v>1227</v>
      </c>
      <c r="L33" s="4">
        <f t="shared" si="2"/>
        <v>0.19899448589036653</v>
      </c>
      <c r="N33" s="2"/>
      <c r="O33" s="2"/>
      <c r="P33" s="4"/>
    </row>
    <row r="34" spans="1:24">
      <c r="A34" t="s">
        <v>33</v>
      </c>
      <c r="B34" s="2">
        <f>'Exh 7'!G34</f>
        <v>54037</v>
      </c>
      <c r="C34" s="2">
        <f>'Exh 6'!J34</f>
        <v>81901</v>
      </c>
      <c r="D34" s="4">
        <f t="shared" si="0"/>
        <v>1.5156466865296001</v>
      </c>
      <c r="F34" s="2">
        <f>'Exh 7'!K34-'Exh 7'!G34</f>
        <v>3583</v>
      </c>
      <c r="G34" s="2">
        <f>'Exh 6'!N34-'Exh 6'!J34</f>
        <v>2596</v>
      </c>
      <c r="H34" s="4">
        <f t="shared" si="1"/>
        <v>0.72453251465252577</v>
      </c>
      <c r="J34" s="2"/>
      <c r="K34" s="2"/>
      <c r="L34" s="4"/>
    </row>
    <row r="35" spans="1:24">
      <c r="A35" t="s">
        <v>34</v>
      </c>
      <c r="B35" s="2">
        <f>'Exh 7'!G35</f>
        <v>30240</v>
      </c>
      <c r="C35" s="2">
        <f>'Exh 6'!J35</f>
        <v>54045</v>
      </c>
      <c r="D35" s="4">
        <f t="shared" si="0"/>
        <v>1.7872023809523809</v>
      </c>
      <c r="F35" s="2">
        <f>'Exh 7'!K35-'Exh 7'!G35</f>
        <v>2824</v>
      </c>
      <c r="G35" s="2">
        <f>'Exh 6'!N35-'Exh 6'!J35</f>
        <v>666</v>
      </c>
      <c r="H35" s="4">
        <f t="shared" si="1"/>
        <v>0.2358356940509915</v>
      </c>
      <c r="J35" s="2"/>
      <c r="K35" s="2"/>
      <c r="L35" s="4"/>
    </row>
    <row r="36" spans="1:24">
      <c r="A36" t="s">
        <v>35</v>
      </c>
      <c r="B36" s="2">
        <f>'Exh 7'!G36</f>
        <v>55325</v>
      </c>
      <c r="C36" s="2">
        <f>'Exh 6'!J36</f>
        <v>94797</v>
      </c>
      <c r="D36" s="4">
        <f t="shared" si="0"/>
        <v>1.7134568459105286</v>
      </c>
      <c r="F36" s="2">
        <f>'Exh 7'!K36-'Exh 7'!G36</f>
        <v>3168</v>
      </c>
      <c r="G36" s="2">
        <f>'Exh 6'!N36-'Exh 6'!J36</f>
        <v>2551</v>
      </c>
      <c r="H36" s="4">
        <f t="shared" si="1"/>
        <v>0.80523989898989901</v>
      </c>
      <c r="J36" s="2"/>
      <c r="K36" s="2"/>
      <c r="L36" s="4"/>
    </row>
    <row r="37" spans="1:24">
      <c r="A37" t="s">
        <v>46</v>
      </c>
      <c r="B37" s="2">
        <f>'Exh 7'!G37</f>
        <v>54602</v>
      </c>
      <c r="C37" s="2">
        <f>'Exh 6'!J37</f>
        <v>97560</v>
      </c>
      <c r="D37" s="4">
        <f t="shared" si="0"/>
        <v>1.7867477381780887</v>
      </c>
      <c r="F37" s="2">
        <f>'Exh 7'!K37-'Exh 7'!G37</f>
        <v>4778</v>
      </c>
      <c r="G37" s="2">
        <f>'Exh 6'!N37-'Exh 6'!J37</f>
        <v>2538</v>
      </c>
      <c r="H37" s="4">
        <f t="shared" si="1"/>
        <v>0.53118459606529933</v>
      </c>
      <c r="J37" s="2"/>
      <c r="K37" s="2"/>
      <c r="L37" s="4"/>
    </row>
    <row r="38" spans="1:24">
      <c r="A38" t="s">
        <v>47</v>
      </c>
      <c r="B38" s="2">
        <f>'Exh 7'!G38</f>
        <v>49161</v>
      </c>
      <c r="C38" s="2">
        <f>'Exh 6'!J38</f>
        <v>82057</v>
      </c>
      <c r="D38" s="4">
        <f t="shared" si="0"/>
        <v>1.6691483086186205</v>
      </c>
      <c r="F38" s="2"/>
      <c r="G38" s="2"/>
      <c r="H38" s="4"/>
    </row>
    <row r="39" spans="1:24">
      <c r="A39" t="s">
        <v>48</v>
      </c>
      <c r="B39" s="2">
        <f>'Exh 7'!G39</f>
        <v>33060</v>
      </c>
      <c r="C39" s="2">
        <f>'Exh 6'!J39</f>
        <v>59279</v>
      </c>
      <c r="D39" s="4">
        <f t="shared" si="0"/>
        <v>1.7930732002419842</v>
      </c>
      <c r="F39" s="2"/>
      <c r="G39" s="2"/>
      <c r="H39" s="4"/>
    </row>
    <row r="40" spans="1:24">
      <c r="A40" t="s">
        <v>49</v>
      </c>
      <c r="B40" s="2">
        <f>'Exh 7'!G40</f>
        <v>53069</v>
      </c>
      <c r="C40" s="2">
        <f>'Exh 6'!J40</f>
        <v>99074</v>
      </c>
      <c r="D40" s="4">
        <f t="shared" si="0"/>
        <v>1.8668902749250975</v>
      </c>
      <c r="F40" s="2"/>
      <c r="G40" s="2"/>
      <c r="H40" s="4"/>
    </row>
    <row r="41" spans="1:24">
      <c r="A41" t="s">
        <v>50</v>
      </c>
      <c r="B41" s="2">
        <f>'Exh 7'!G41</f>
        <v>44785</v>
      </c>
      <c r="C41" s="2">
        <f>'Exh 6'!J41</f>
        <v>88367</v>
      </c>
      <c r="D41" s="4">
        <f t="shared" si="0"/>
        <v>1.9731383275650329</v>
      </c>
      <c r="F41" s="2"/>
      <c r="G41" s="2"/>
      <c r="H41" s="4"/>
    </row>
    <row r="43" spans="1:24">
      <c r="A43" s="18" t="s">
        <v>96</v>
      </c>
    </row>
    <row r="44" spans="1:24">
      <c r="A44" s="11" t="s">
        <v>87</v>
      </c>
      <c r="D44" s="4">
        <f>AVERAGE(D4:D41)</f>
        <v>1.4589590488734407</v>
      </c>
      <c r="H44" s="4">
        <f>AVERAGE(H4:H37)</f>
        <v>0.72157874216326168</v>
      </c>
      <c r="L44" s="4">
        <f>AVERAGE(L4:L33)</f>
        <v>0.56615157262172389</v>
      </c>
      <c r="P44" s="4">
        <f>AVERAGE(P4:P29)</f>
        <v>0.40421085511557586</v>
      </c>
      <c r="T44" s="4">
        <f>AVERAGE(T4:T25)</f>
        <v>0.34497320619229305</v>
      </c>
      <c r="X44" s="4">
        <f>AVERAGE(X4:X20)</f>
        <v>0.2088593553473399</v>
      </c>
    </row>
    <row r="45" spans="1:24">
      <c r="A45" s="11" t="s">
        <v>88</v>
      </c>
      <c r="D45" s="4">
        <f>SUM(C4:C41)/SUM(B4:B41)</f>
        <v>1.4543052792138784</v>
      </c>
      <c r="H45" s="4">
        <f>SUM(G4:G37)/SUM(F4:F37)</f>
        <v>0.6812607135914609</v>
      </c>
      <c r="L45" s="4">
        <f>SUM(K4:K33)/SUM(J4:J33)</f>
        <v>0.53266227324807947</v>
      </c>
      <c r="P45" s="4">
        <f>SUM(O4:O29)/SUM(N4:N29)</f>
        <v>0.38510454557349594</v>
      </c>
      <c r="T45" s="4">
        <f>SUM(S4:S25)/SUM(R4:R25)</f>
        <v>0.26731590058092053</v>
      </c>
      <c r="X45" s="4">
        <f>SUM(W4:W21)/SUM(V4:V21)</f>
        <v>0.18863580871324426</v>
      </c>
    </row>
    <row r="47" spans="1:24">
      <c r="A47" s="18" t="s">
        <v>89</v>
      </c>
    </row>
    <row r="48" spans="1:24">
      <c r="A48" s="11" t="s">
        <v>91</v>
      </c>
      <c r="D48">
        <v>0.2</v>
      </c>
      <c r="H48">
        <v>0.2</v>
      </c>
      <c r="L48">
        <v>0.2</v>
      </c>
      <c r="P48">
        <v>0.2</v>
      </c>
      <c r="T48">
        <v>0.2</v>
      </c>
      <c r="X48">
        <v>0.2</v>
      </c>
    </row>
    <row r="49" spans="1:24">
      <c r="A49" s="11" t="s">
        <v>90</v>
      </c>
      <c r="D49">
        <v>1.2</v>
      </c>
      <c r="H49">
        <v>1.2</v>
      </c>
      <c r="L49">
        <v>1.2</v>
      </c>
      <c r="P49">
        <v>1.2</v>
      </c>
      <c r="T49">
        <v>1.2</v>
      </c>
      <c r="X49">
        <v>1.2</v>
      </c>
    </row>
    <row r="50" spans="1:24">
      <c r="A50" s="11" t="s">
        <v>92</v>
      </c>
      <c r="D50">
        <v>1.03</v>
      </c>
      <c r="H50">
        <v>1.03</v>
      </c>
      <c r="L50">
        <v>1.03</v>
      </c>
      <c r="P50">
        <v>1.03</v>
      </c>
      <c r="T50">
        <v>1.03</v>
      </c>
      <c r="X50">
        <v>1.03</v>
      </c>
    </row>
    <row r="51" spans="1:24">
      <c r="A51" s="11" t="s">
        <v>93</v>
      </c>
      <c r="D51">
        <f>'Exh 5'!H6</f>
        <v>0.85</v>
      </c>
      <c r="H51">
        <f>'Exh 5'!H7</f>
        <v>0.57999999999999996</v>
      </c>
      <c r="L51">
        <f>'Exh 5'!H8</f>
        <v>0.45</v>
      </c>
      <c r="P51">
        <f>'Exh 5'!H9</f>
        <v>0.4</v>
      </c>
      <c r="T51">
        <f>'Exh 5'!H10</f>
        <v>0.4</v>
      </c>
      <c r="X51">
        <f>'Exh 5'!H11</f>
        <v>0.4</v>
      </c>
    </row>
    <row r="52" spans="1:24">
      <c r="A52" s="11" t="s">
        <v>66</v>
      </c>
      <c r="D52" s="12">
        <f>(D48*D50)/('Exh 5'!D6)+D51*D49*D50</f>
        <v>1.4241523698904208</v>
      </c>
      <c r="H52" s="12">
        <f>H51*H49*H50</f>
        <v>0.71687999999999996</v>
      </c>
      <c r="L52" s="12">
        <f>L51*L49*L50</f>
        <v>0.55620000000000003</v>
      </c>
      <c r="P52" s="12">
        <f>P51*P49*P50</f>
        <v>0.49440000000000001</v>
      </c>
      <c r="T52" s="12">
        <f>T51*T49*T50</f>
        <v>0.49440000000000001</v>
      </c>
      <c r="X52" s="12">
        <f>X51*X49*X50</f>
        <v>0.49440000000000001</v>
      </c>
    </row>
    <row r="53" spans="1:24">
      <c r="A53" s="11"/>
    </row>
    <row r="54" spans="1:24">
      <c r="A54" s="19" t="s">
        <v>84</v>
      </c>
    </row>
    <row r="55" spans="1:24">
      <c r="A55" s="11" t="s">
        <v>66</v>
      </c>
      <c r="D55" s="4">
        <v>1.75</v>
      </c>
      <c r="E55" s="4"/>
      <c r="F55" s="4"/>
      <c r="G55" s="4"/>
      <c r="H55" s="4">
        <v>0.7</v>
      </c>
      <c r="I55" s="4"/>
      <c r="J55" s="4"/>
      <c r="K55" s="4"/>
      <c r="L55" s="4">
        <v>0.55000000000000004</v>
      </c>
      <c r="M55" s="4"/>
      <c r="N55" s="4"/>
      <c r="O55" s="4"/>
      <c r="P55" s="4">
        <v>0.45</v>
      </c>
      <c r="Q55" s="4"/>
      <c r="R55" s="4"/>
      <c r="S55" s="4"/>
      <c r="T55" s="16">
        <v>0.4</v>
      </c>
      <c r="U55" s="4"/>
      <c r="V55" s="4"/>
      <c r="W55" s="4"/>
      <c r="X55" s="4">
        <v>0.4</v>
      </c>
    </row>
    <row r="58" spans="1:24">
      <c r="I58" s="13"/>
    </row>
  </sheetData>
  <mergeCells count="6">
    <mergeCell ref="V1:X1"/>
    <mergeCell ref="B1:D1"/>
    <mergeCell ref="F1:H1"/>
    <mergeCell ref="J1:L1"/>
    <mergeCell ref="N1:P1"/>
    <mergeCell ref="R1:T1"/>
  </mergeCells>
  <phoneticPr fontId="2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H12"/>
  <sheetViews>
    <sheetView workbookViewId="0">
      <selection activeCell="C4" sqref="C4"/>
    </sheetView>
  </sheetViews>
  <sheetFormatPr defaultRowHeight="12.75"/>
  <cols>
    <col min="3" max="3" width="13.140625" bestFit="1" customWidth="1"/>
    <col min="6" max="6" width="10" bestFit="1" customWidth="1"/>
    <col min="7" max="7" width="8.28515625" bestFit="1" customWidth="1"/>
  </cols>
  <sheetData>
    <row r="3" spans="1:8">
      <c r="A3" s="1" t="s">
        <v>59</v>
      </c>
      <c r="B3" s="1" t="s">
        <v>40</v>
      </c>
      <c r="C3" s="1"/>
      <c r="D3" s="1"/>
      <c r="F3" s="1"/>
      <c r="H3" s="1" t="s">
        <v>84</v>
      </c>
    </row>
    <row r="4" spans="1:8">
      <c r="A4" s="1" t="s">
        <v>60</v>
      </c>
      <c r="B4" s="1" t="s">
        <v>97</v>
      </c>
      <c r="C4" s="14" t="s">
        <v>119</v>
      </c>
      <c r="D4" s="1" t="s">
        <v>99</v>
      </c>
      <c r="E4" s="45" t="s">
        <v>102</v>
      </c>
      <c r="F4" s="1" t="s">
        <v>105</v>
      </c>
      <c r="G4" s="17" t="s">
        <v>101</v>
      </c>
      <c r="H4" s="1" t="s">
        <v>101</v>
      </c>
    </row>
    <row r="5" spans="1:8">
      <c r="A5" s="1" t="s">
        <v>61</v>
      </c>
      <c r="B5" s="1" t="s">
        <v>98</v>
      </c>
      <c r="C5" s="14" t="s">
        <v>120</v>
      </c>
      <c r="D5" s="1" t="s">
        <v>100</v>
      </c>
      <c r="E5" s="46"/>
      <c r="F5" s="1" t="s">
        <v>93</v>
      </c>
      <c r="G5" s="17" t="s">
        <v>93</v>
      </c>
      <c r="H5" s="1" t="s">
        <v>93</v>
      </c>
    </row>
    <row r="6" spans="1:8">
      <c r="A6" s="1">
        <v>1</v>
      </c>
      <c r="B6" s="5">
        <v>0.7</v>
      </c>
      <c r="C6" s="6">
        <f>'Exh 7'!G57</f>
        <v>0.78780309805567827</v>
      </c>
      <c r="D6" s="6">
        <f>B6*C6</f>
        <v>0.55146216863897479</v>
      </c>
      <c r="E6" s="46"/>
      <c r="F6" s="6">
        <v>0.84899999999999998</v>
      </c>
      <c r="G6" s="13">
        <f>F6</f>
        <v>0.84899999999999998</v>
      </c>
      <c r="H6" s="6">
        <v>0.85</v>
      </c>
    </row>
    <row r="7" spans="1:8">
      <c r="A7" s="1">
        <v>2</v>
      </c>
      <c r="B7" s="5">
        <v>0.7</v>
      </c>
      <c r="C7" s="6">
        <f>'Exh 7'!K57</f>
        <v>0.87838843203022898</v>
      </c>
      <c r="D7" s="6">
        <f t="shared" ref="D7:D12" si="0">B7*C7</f>
        <v>0.6148719024211603</v>
      </c>
      <c r="E7" s="46"/>
      <c r="F7" s="6">
        <v>0.82</v>
      </c>
      <c r="G7" s="6">
        <f>(F7*D7-F6*D6)/(D7-D6)</f>
        <v>0.56779261894609623</v>
      </c>
      <c r="H7" s="6">
        <v>0.57999999999999996</v>
      </c>
    </row>
    <row r="8" spans="1:8">
      <c r="A8" s="1">
        <v>3</v>
      </c>
      <c r="B8" s="5">
        <v>0.7</v>
      </c>
      <c r="C8" s="6">
        <f>'Exh 7'!O57</f>
        <v>0.9227429713299633</v>
      </c>
      <c r="D8" s="6">
        <f t="shared" si="0"/>
        <v>0.64592007993097422</v>
      </c>
      <c r="E8" s="46"/>
      <c r="F8" s="6">
        <v>0.80200000000000005</v>
      </c>
      <c r="G8" s="6">
        <f t="shared" ref="G8:G12" si="1">(F8*D8-F7*D7)/(D8-D7)</f>
        <v>0.44553159730285335</v>
      </c>
      <c r="H8" s="6">
        <v>0.45</v>
      </c>
    </row>
    <row r="9" spans="1:8">
      <c r="A9" s="1">
        <v>4</v>
      </c>
      <c r="B9" s="5">
        <v>0.7</v>
      </c>
      <c r="C9" s="6">
        <f>'Exh 7'!S57</f>
        <v>0.95027273727325667</v>
      </c>
      <c r="D9" s="6">
        <f t="shared" si="0"/>
        <v>0.66519091609127967</v>
      </c>
      <c r="E9" s="46"/>
      <c r="F9" s="6">
        <v>0.79</v>
      </c>
      <c r="G9" s="6">
        <f t="shared" si="1"/>
        <v>0.38778387950090348</v>
      </c>
      <c r="H9" s="6">
        <v>0.4</v>
      </c>
    </row>
    <row r="10" spans="1:8">
      <c r="A10" s="1">
        <v>5</v>
      </c>
      <c r="B10" s="5">
        <v>0.7</v>
      </c>
      <c r="C10" s="6">
        <f>'Exh 7'!W57</f>
        <v>0.97978064001235254</v>
      </c>
      <c r="D10" s="6">
        <f t="shared" si="0"/>
        <v>0.68584644800864669</v>
      </c>
      <c r="E10" s="46"/>
      <c r="F10" s="6">
        <v>0.77800000000000002</v>
      </c>
      <c r="G10" s="6">
        <f t="shared" si="1"/>
        <v>0.39155190343058227</v>
      </c>
      <c r="H10" s="6">
        <v>0.4</v>
      </c>
    </row>
    <row r="11" spans="1:8">
      <c r="A11" s="1">
        <v>6</v>
      </c>
      <c r="B11" s="5">
        <v>0.7</v>
      </c>
      <c r="C11" s="6">
        <f>'Exh 7'!AA57</f>
        <v>0.99584793789190285</v>
      </c>
      <c r="D11" s="6">
        <f t="shared" si="0"/>
        <v>0.69709355652433191</v>
      </c>
      <c r="E11" s="46"/>
      <c r="F11" s="6">
        <v>0.77200000000000002</v>
      </c>
      <c r="G11" s="6">
        <f t="shared" si="1"/>
        <v>0.40612118925384161</v>
      </c>
      <c r="H11" s="6">
        <v>0.4</v>
      </c>
    </row>
    <row r="12" spans="1:8">
      <c r="A12" s="1" t="s">
        <v>62</v>
      </c>
      <c r="B12" s="5">
        <v>0.7</v>
      </c>
      <c r="C12" s="6">
        <f>'Exh 7'!AE57</f>
        <v>1</v>
      </c>
      <c r="D12" s="6">
        <f t="shared" si="0"/>
        <v>0.7</v>
      </c>
      <c r="E12" s="47"/>
      <c r="F12" s="6">
        <v>0.76900000000000002</v>
      </c>
      <c r="G12" s="6">
        <f t="shared" si="1"/>
        <v>4.9467455472441239E-2</v>
      </c>
      <c r="H12" s="6">
        <v>0</v>
      </c>
    </row>
  </sheetData>
  <mergeCells count="1">
    <mergeCell ref="E4:E12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49"/>
  <sheetViews>
    <sheetView topLeftCell="U1" zoomScale="85" workbookViewId="0">
      <selection activeCell="B49" sqref="B49"/>
    </sheetView>
  </sheetViews>
  <sheetFormatPr defaultRowHeight="12.75"/>
  <cols>
    <col min="2" max="2" width="10.28515625" bestFit="1" customWidth="1"/>
    <col min="10" max="10" width="9" bestFit="1" customWidth="1"/>
    <col min="16" max="17" width="11.5703125" bestFit="1" customWidth="1"/>
    <col min="18" max="18" width="19" bestFit="1" customWidth="1"/>
    <col min="19" max="30" width="11.5703125" bestFit="1" customWidth="1"/>
  </cols>
  <sheetData>
    <row r="1" spans="1:30">
      <c r="A1" t="s">
        <v>81</v>
      </c>
    </row>
    <row r="3" spans="1:30">
      <c r="B3">
        <v>3</v>
      </c>
      <c r="C3">
        <f>B3+3</f>
        <v>6</v>
      </c>
      <c r="D3">
        <f t="shared" ref="D3:AD3" si="0">C3+3</f>
        <v>9</v>
      </c>
      <c r="E3">
        <f t="shared" si="0"/>
        <v>12</v>
      </c>
      <c r="F3">
        <f t="shared" si="0"/>
        <v>15</v>
      </c>
      <c r="G3">
        <f t="shared" si="0"/>
        <v>18</v>
      </c>
      <c r="H3">
        <f t="shared" si="0"/>
        <v>21</v>
      </c>
      <c r="I3">
        <f t="shared" si="0"/>
        <v>24</v>
      </c>
      <c r="J3">
        <f t="shared" si="0"/>
        <v>27</v>
      </c>
      <c r="K3">
        <f t="shared" si="0"/>
        <v>30</v>
      </c>
      <c r="L3">
        <f t="shared" si="0"/>
        <v>33</v>
      </c>
      <c r="M3">
        <f t="shared" si="0"/>
        <v>36</v>
      </c>
      <c r="N3">
        <f t="shared" si="0"/>
        <v>39</v>
      </c>
      <c r="O3">
        <f t="shared" si="0"/>
        <v>42</v>
      </c>
      <c r="P3">
        <f t="shared" si="0"/>
        <v>45</v>
      </c>
      <c r="Q3">
        <f t="shared" si="0"/>
        <v>48</v>
      </c>
      <c r="R3">
        <f t="shared" si="0"/>
        <v>51</v>
      </c>
      <c r="S3">
        <f t="shared" si="0"/>
        <v>54</v>
      </c>
      <c r="T3">
        <f t="shared" si="0"/>
        <v>57</v>
      </c>
      <c r="U3">
        <f t="shared" si="0"/>
        <v>60</v>
      </c>
      <c r="V3">
        <f t="shared" si="0"/>
        <v>63</v>
      </c>
      <c r="W3">
        <f t="shared" si="0"/>
        <v>66</v>
      </c>
      <c r="X3">
        <f t="shared" si="0"/>
        <v>69</v>
      </c>
      <c r="Y3">
        <f t="shared" si="0"/>
        <v>72</v>
      </c>
      <c r="Z3">
        <f t="shared" si="0"/>
        <v>75</v>
      </c>
      <c r="AA3">
        <f t="shared" si="0"/>
        <v>78</v>
      </c>
      <c r="AB3">
        <f t="shared" si="0"/>
        <v>81</v>
      </c>
      <c r="AC3">
        <f t="shared" si="0"/>
        <v>84</v>
      </c>
      <c r="AD3">
        <f t="shared" si="0"/>
        <v>87</v>
      </c>
    </row>
    <row r="4" spans="1:30">
      <c r="A4" t="s">
        <v>67</v>
      </c>
      <c r="B4" s="2">
        <v>18087</v>
      </c>
      <c r="C4" s="2">
        <v>23481</v>
      </c>
      <c r="D4" s="2">
        <v>33550</v>
      </c>
      <c r="E4" s="2">
        <v>40867</v>
      </c>
      <c r="F4" s="2">
        <v>45075</v>
      </c>
      <c r="G4" s="2">
        <v>49911</v>
      </c>
      <c r="H4" s="2">
        <v>50174</v>
      </c>
      <c r="I4" s="2">
        <v>50629</v>
      </c>
      <c r="J4" s="2">
        <v>52436</v>
      </c>
      <c r="K4" s="2">
        <v>52388</v>
      </c>
      <c r="L4" s="2">
        <v>52428</v>
      </c>
      <c r="M4" s="2">
        <v>53735</v>
      </c>
      <c r="N4" s="2">
        <v>56448</v>
      </c>
      <c r="O4" s="2">
        <v>56442</v>
      </c>
      <c r="P4" s="2">
        <v>56698</v>
      </c>
      <c r="Q4" s="2">
        <v>57448</v>
      </c>
      <c r="R4" s="2">
        <v>58799</v>
      </c>
      <c r="S4" s="2">
        <v>58904</v>
      </c>
      <c r="T4" s="2">
        <v>58875</v>
      </c>
      <c r="U4" s="2">
        <v>59306</v>
      </c>
      <c r="V4" s="2">
        <v>59562</v>
      </c>
      <c r="W4" s="2">
        <v>59301</v>
      </c>
      <c r="X4" s="2">
        <v>59335</v>
      </c>
      <c r="Y4" s="2">
        <v>59492</v>
      </c>
      <c r="Z4" s="2">
        <v>60275</v>
      </c>
      <c r="AA4" s="2">
        <v>60309</v>
      </c>
      <c r="AB4" s="2">
        <v>60321</v>
      </c>
      <c r="AC4" s="2">
        <v>60221</v>
      </c>
      <c r="AD4" s="2">
        <v>60530</v>
      </c>
    </row>
    <row r="5" spans="1:30">
      <c r="A5" t="s">
        <v>68</v>
      </c>
      <c r="B5" s="2">
        <v>7545</v>
      </c>
      <c r="C5" s="2">
        <v>10684</v>
      </c>
      <c r="D5" s="2">
        <v>15697</v>
      </c>
      <c r="E5" s="2">
        <v>19696</v>
      </c>
      <c r="F5" s="2">
        <v>22407</v>
      </c>
      <c r="G5" s="2">
        <v>24608</v>
      </c>
      <c r="H5" s="2">
        <v>25438</v>
      </c>
      <c r="I5" s="2">
        <v>25367</v>
      </c>
      <c r="J5" s="2">
        <v>26222</v>
      </c>
      <c r="K5" s="2">
        <v>26135</v>
      </c>
      <c r="L5" s="2">
        <v>26109</v>
      </c>
      <c r="M5" s="2">
        <v>16653</v>
      </c>
      <c r="N5" s="2">
        <v>28944</v>
      </c>
      <c r="O5" s="2">
        <v>28886</v>
      </c>
      <c r="P5" s="2">
        <v>28923</v>
      </c>
      <c r="Q5" s="2">
        <v>29122</v>
      </c>
      <c r="R5" s="2">
        <v>29520</v>
      </c>
      <c r="S5" s="2">
        <v>19490</v>
      </c>
      <c r="T5" s="2">
        <v>29463</v>
      </c>
      <c r="U5" s="2">
        <v>29492</v>
      </c>
      <c r="V5" s="2">
        <v>30182</v>
      </c>
      <c r="W5" s="2">
        <v>30048</v>
      </c>
      <c r="X5" s="2">
        <v>30048</v>
      </c>
      <c r="Y5" s="2">
        <v>30204</v>
      </c>
      <c r="Z5" s="2">
        <v>30238</v>
      </c>
      <c r="AA5" s="2">
        <v>30172</v>
      </c>
      <c r="AB5" s="2">
        <v>30164</v>
      </c>
      <c r="AC5" s="2">
        <v>30041</v>
      </c>
      <c r="AD5" s="2">
        <v>30424</v>
      </c>
    </row>
    <row r="6" spans="1:30">
      <c r="A6" t="s">
        <v>69</v>
      </c>
      <c r="B6" s="2">
        <v>7930</v>
      </c>
      <c r="C6" s="2">
        <v>13516</v>
      </c>
      <c r="D6" s="2">
        <v>19135</v>
      </c>
      <c r="E6" s="2">
        <v>24101</v>
      </c>
      <c r="F6" s="2">
        <v>25408</v>
      </c>
      <c r="G6" s="2">
        <v>28018</v>
      </c>
      <c r="H6" s="2">
        <v>28777</v>
      </c>
      <c r="I6" s="2">
        <v>28947</v>
      </c>
      <c r="J6" s="2">
        <v>29189</v>
      </c>
      <c r="K6" s="2">
        <v>28967</v>
      </c>
      <c r="L6" s="2">
        <v>28960</v>
      </c>
      <c r="M6" s="2">
        <v>29563</v>
      </c>
      <c r="N6" s="2">
        <v>31116</v>
      </c>
      <c r="O6" s="2">
        <v>32031</v>
      </c>
      <c r="P6" s="2">
        <v>31993</v>
      </c>
      <c r="Q6" s="2">
        <v>31896</v>
      </c>
      <c r="R6" s="2">
        <v>32202</v>
      </c>
      <c r="S6" s="2">
        <v>32473</v>
      </c>
      <c r="T6" s="2">
        <v>32489</v>
      </c>
      <c r="U6" s="2">
        <v>32513</v>
      </c>
      <c r="V6" s="2">
        <v>33085</v>
      </c>
      <c r="W6" s="2">
        <v>32997</v>
      </c>
      <c r="X6" s="2">
        <v>33046</v>
      </c>
      <c r="Y6" s="2">
        <v>33223</v>
      </c>
      <c r="Z6" s="2">
        <v>33612</v>
      </c>
      <c r="AA6" s="2">
        <v>33612</v>
      </c>
      <c r="AB6" s="2">
        <v>33612</v>
      </c>
      <c r="AC6" s="2">
        <v>33735</v>
      </c>
      <c r="AD6" s="2">
        <v>33509</v>
      </c>
    </row>
    <row r="7" spans="1:30">
      <c r="A7" t="s">
        <v>70</v>
      </c>
      <c r="B7" s="2">
        <v>6277</v>
      </c>
      <c r="C7" s="2">
        <v>10386</v>
      </c>
      <c r="D7" s="2">
        <v>14770</v>
      </c>
      <c r="E7" s="2">
        <v>18422</v>
      </c>
      <c r="F7" s="2">
        <v>20366</v>
      </c>
      <c r="G7" s="2">
        <v>22441</v>
      </c>
      <c r="H7" s="2">
        <v>22258</v>
      </c>
      <c r="I7" s="2">
        <v>23261</v>
      </c>
      <c r="J7" s="2">
        <v>23422</v>
      </c>
      <c r="K7" s="2">
        <v>23608</v>
      </c>
      <c r="L7" s="2">
        <v>23714</v>
      </c>
      <c r="M7" s="2">
        <v>24239</v>
      </c>
      <c r="N7" s="2">
        <v>25326</v>
      </c>
      <c r="O7" s="2">
        <v>25319</v>
      </c>
      <c r="P7" s="2">
        <v>25433</v>
      </c>
      <c r="Q7" s="2">
        <v>25717</v>
      </c>
      <c r="R7" s="2">
        <v>26066</v>
      </c>
      <c r="S7" s="2">
        <v>26095</v>
      </c>
      <c r="T7" s="2">
        <v>26330</v>
      </c>
      <c r="U7" s="2">
        <v>26365</v>
      </c>
      <c r="V7" s="2">
        <v>26639</v>
      </c>
      <c r="W7" s="2">
        <v>26622</v>
      </c>
      <c r="X7" s="2">
        <v>26944</v>
      </c>
      <c r="Y7" s="2">
        <v>26961</v>
      </c>
      <c r="Z7" s="2">
        <v>27232</v>
      </c>
      <c r="AA7" s="2">
        <v>27241</v>
      </c>
      <c r="AB7" s="2">
        <v>27070</v>
      </c>
      <c r="AC7" s="2">
        <v>27086</v>
      </c>
      <c r="AD7" s="2">
        <v>27247</v>
      </c>
    </row>
    <row r="8" spans="1:30">
      <c r="A8" t="s">
        <v>71</v>
      </c>
      <c r="B8" s="2">
        <v>20221</v>
      </c>
      <c r="C8" s="2">
        <v>31438</v>
      </c>
      <c r="D8" s="2">
        <v>45913</v>
      </c>
      <c r="E8" s="2">
        <v>56490</v>
      </c>
      <c r="F8" s="2">
        <v>61851</v>
      </c>
      <c r="G8" s="2">
        <v>66697</v>
      </c>
      <c r="H8" s="2">
        <v>67910</v>
      </c>
      <c r="I8" s="2">
        <v>68094</v>
      </c>
      <c r="J8" s="2">
        <v>69310</v>
      </c>
      <c r="K8" s="2">
        <v>69648</v>
      </c>
      <c r="L8" s="2">
        <v>69804</v>
      </c>
      <c r="M8" s="2">
        <v>73363</v>
      </c>
      <c r="N8" s="2">
        <v>75681</v>
      </c>
      <c r="O8" s="2">
        <v>75727</v>
      </c>
      <c r="P8" s="2">
        <v>76163</v>
      </c>
      <c r="Q8" s="2">
        <v>77812</v>
      </c>
      <c r="R8" s="2">
        <v>79113</v>
      </c>
      <c r="S8" s="2">
        <v>79140</v>
      </c>
      <c r="T8" s="2">
        <v>79358</v>
      </c>
      <c r="U8" s="2">
        <v>79730</v>
      </c>
      <c r="V8" s="2">
        <v>80272</v>
      </c>
      <c r="W8" s="2">
        <v>79940</v>
      </c>
      <c r="X8" s="2">
        <v>80017</v>
      </c>
      <c r="Y8" s="2">
        <v>80328</v>
      </c>
      <c r="Z8" s="2">
        <v>80907</v>
      </c>
      <c r="AA8" s="2">
        <v>80813</v>
      </c>
      <c r="AB8" s="2">
        <v>80850</v>
      </c>
      <c r="AC8" s="2">
        <v>80934</v>
      </c>
      <c r="AD8" s="2">
        <v>81044</v>
      </c>
    </row>
    <row r="9" spans="1:30">
      <c r="A9" t="s">
        <v>72</v>
      </c>
      <c r="B9" s="2">
        <v>9581</v>
      </c>
      <c r="C9" s="2">
        <v>21089</v>
      </c>
      <c r="D9" s="2">
        <v>29224</v>
      </c>
      <c r="E9" s="2">
        <v>38056</v>
      </c>
      <c r="F9" s="2">
        <v>41299</v>
      </c>
      <c r="G9" s="2">
        <v>43344</v>
      </c>
      <c r="H9" s="2">
        <v>43489</v>
      </c>
      <c r="I9" s="2">
        <v>43897</v>
      </c>
      <c r="J9" s="2">
        <v>43305</v>
      </c>
      <c r="K9" s="2">
        <v>43851</v>
      </c>
      <c r="L9" s="2">
        <v>43794</v>
      </c>
      <c r="M9" s="2">
        <v>44982</v>
      </c>
      <c r="N9" s="2">
        <v>46495</v>
      </c>
      <c r="O9" s="2">
        <v>46645</v>
      </c>
      <c r="P9" s="2">
        <v>46535</v>
      </c>
      <c r="Q9" s="2">
        <v>47060</v>
      </c>
      <c r="R9" s="2">
        <v>47768</v>
      </c>
      <c r="S9" s="2">
        <v>47815</v>
      </c>
      <c r="T9" s="2">
        <v>47798</v>
      </c>
      <c r="U9" s="2">
        <v>47833</v>
      </c>
      <c r="V9" s="2">
        <v>47974</v>
      </c>
      <c r="W9" s="2">
        <v>47844</v>
      </c>
      <c r="X9" s="2">
        <v>47424</v>
      </c>
      <c r="Y9" s="2">
        <v>47527</v>
      </c>
      <c r="Z9" s="2">
        <v>48020</v>
      </c>
      <c r="AA9" s="2">
        <v>47977</v>
      </c>
      <c r="AB9" s="2">
        <v>47971</v>
      </c>
      <c r="AC9" s="2">
        <v>47873</v>
      </c>
      <c r="AD9" s="2">
        <v>48106</v>
      </c>
    </row>
    <row r="10" spans="1:30">
      <c r="A10" t="s">
        <v>73</v>
      </c>
      <c r="B10" s="2">
        <v>15110</v>
      </c>
      <c r="C10" s="2">
        <v>28734</v>
      </c>
      <c r="D10" s="2">
        <v>40623</v>
      </c>
      <c r="E10" s="2">
        <v>49872</v>
      </c>
      <c r="F10" s="2">
        <v>52336</v>
      </c>
      <c r="G10" s="2">
        <v>57881</v>
      </c>
      <c r="H10" s="2">
        <v>58742</v>
      </c>
      <c r="I10" s="2">
        <v>56075</v>
      </c>
      <c r="J10" s="2">
        <v>59203</v>
      </c>
      <c r="K10" s="2">
        <v>59164</v>
      </c>
      <c r="L10" s="2">
        <v>59814</v>
      </c>
      <c r="M10" s="2">
        <v>60692</v>
      </c>
      <c r="N10" s="2">
        <v>62552</v>
      </c>
      <c r="O10" s="2">
        <v>62780</v>
      </c>
      <c r="P10" s="2">
        <v>62880</v>
      </c>
      <c r="Q10" s="2">
        <v>63239</v>
      </c>
      <c r="R10" s="2">
        <v>63899</v>
      </c>
      <c r="S10" s="2">
        <v>64075</v>
      </c>
      <c r="T10" s="2">
        <v>64072</v>
      </c>
      <c r="U10" s="2">
        <v>63911</v>
      </c>
      <c r="V10" s="2">
        <v>64166</v>
      </c>
      <c r="W10" s="2">
        <v>63818</v>
      </c>
      <c r="X10" s="2">
        <v>63785</v>
      </c>
      <c r="Y10" s="2">
        <v>63794</v>
      </c>
      <c r="Z10" s="2">
        <v>64286</v>
      </c>
      <c r="AA10" s="2">
        <v>64360</v>
      </c>
      <c r="AB10" s="2">
        <v>64348</v>
      </c>
      <c r="AC10" s="2">
        <v>64502</v>
      </c>
      <c r="AD10" s="2">
        <v>64901</v>
      </c>
    </row>
    <row r="11" spans="1:30">
      <c r="A11" t="s">
        <v>74</v>
      </c>
      <c r="B11" s="2">
        <v>9345</v>
      </c>
      <c r="C11" s="2">
        <v>19304</v>
      </c>
      <c r="D11" s="2">
        <v>26189</v>
      </c>
      <c r="E11" s="2">
        <v>33115</v>
      </c>
      <c r="F11" s="2">
        <v>37010</v>
      </c>
      <c r="G11" s="2">
        <v>37650</v>
      </c>
      <c r="H11" s="2">
        <v>39114</v>
      </c>
      <c r="I11" s="2">
        <v>40131</v>
      </c>
      <c r="J11" s="2">
        <v>38717</v>
      </c>
      <c r="K11" s="2">
        <v>38855</v>
      </c>
      <c r="L11" s="2">
        <v>39247</v>
      </c>
      <c r="M11" s="2">
        <v>39753</v>
      </c>
      <c r="N11" s="2">
        <v>40836</v>
      </c>
      <c r="O11" s="2">
        <v>40780</v>
      </c>
      <c r="P11" s="2">
        <v>41156</v>
      </c>
      <c r="Q11" s="2">
        <v>41412</v>
      </c>
      <c r="R11" s="2">
        <v>42523</v>
      </c>
      <c r="S11" s="2">
        <v>42446</v>
      </c>
      <c r="T11" s="2">
        <v>42635</v>
      </c>
      <c r="U11" s="2">
        <v>42814</v>
      </c>
      <c r="V11" s="2">
        <v>43296</v>
      </c>
      <c r="W11" s="2">
        <v>42989</v>
      </c>
      <c r="X11" s="2">
        <v>42975</v>
      </c>
      <c r="Y11" s="2">
        <v>43080</v>
      </c>
      <c r="Z11" s="2">
        <v>43485</v>
      </c>
      <c r="AA11" s="2">
        <v>43517</v>
      </c>
      <c r="AB11" s="2">
        <v>43371</v>
      </c>
      <c r="AC11" s="2">
        <v>43682</v>
      </c>
      <c r="AD11" s="2">
        <v>43695</v>
      </c>
    </row>
    <row r="12" spans="1:30">
      <c r="A12" t="s">
        <v>75</v>
      </c>
      <c r="B12" s="2">
        <v>43187</v>
      </c>
      <c r="C12" s="2">
        <v>69712</v>
      </c>
      <c r="D12" s="2">
        <v>99219</v>
      </c>
      <c r="E12" s="2">
        <v>120931</v>
      </c>
      <c r="F12" s="2">
        <v>128832</v>
      </c>
      <c r="G12" s="2">
        <v>138488</v>
      </c>
      <c r="H12" s="2">
        <v>138401</v>
      </c>
      <c r="I12" s="2">
        <v>132641</v>
      </c>
      <c r="J12" s="2">
        <v>133094</v>
      </c>
      <c r="K12" s="2">
        <v>134019</v>
      </c>
      <c r="L12" s="2">
        <v>134241</v>
      </c>
      <c r="M12" s="2">
        <v>138147</v>
      </c>
      <c r="N12" s="2">
        <v>141020</v>
      </c>
      <c r="O12" s="2">
        <v>141198</v>
      </c>
      <c r="P12" s="2">
        <v>141185</v>
      </c>
      <c r="Q12" s="2">
        <v>143140</v>
      </c>
      <c r="R12" s="2">
        <v>144073</v>
      </c>
      <c r="S12" s="2">
        <v>144137</v>
      </c>
      <c r="T12" s="2">
        <v>144236</v>
      </c>
      <c r="U12" s="2">
        <v>145032</v>
      </c>
      <c r="V12" s="2">
        <v>146743</v>
      </c>
      <c r="W12" s="2">
        <v>146395</v>
      </c>
      <c r="X12" s="2">
        <v>146591</v>
      </c>
      <c r="Y12" s="2">
        <v>147980</v>
      </c>
      <c r="Z12" s="2">
        <v>149354</v>
      </c>
      <c r="AA12" s="2">
        <v>149163</v>
      </c>
      <c r="AB12" s="2">
        <v>149109</v>
      </c>
      <c r="AC12" s="2">
        <v>149224</v>
      </c>
      <c r="AD12" s="2">
        <v>149509</v>
      </c>
    </row>
    <row r="13" spans="1:30">
      <c r="A13" t="s">
        <v>76</v>
      </c>
      <c r="B13" s="2">
        <v>18627</v>
      </c>
      <c r="C13" s="2">
        <v>36106</v>
      </c>
      <c r="D13" s="2">
        <v>51122</v>
      </c>
      <c r="E13" s="2">
        <v>61567</v>
      </c>
      <c r="F13" s="2">
        <v>63169</v>
      </c>
      <c r="G13" s="2">
        <v>67119</v>
      </c>
      <c r="H13" s="2">
        <v>68046</v>
      </c>
      <c r="I13" s="2">
        <v>67651</v>
      </c>
      <c r="J13" s="2">
        <v>66351</v>
      </c>
      <c r="K13" s="2">
        <v>67117</v>
      </c>
      <c r="L13" s="2">
        <v>67131</v>
      </c>
      <c r="M13" s="2">
        <v>68357</v>
      </c>
      <c r="N13" s="2">
        <v>70414</v>
      </c>
      <c r="O13" s="2">
        <v>70703</v>
      </c>
      <c r="P13" s="2">
        <v>70606</v>
      </c>
      <c r="Q13" s="2">
        <v>71420</v>
      </c>
      <c r="R13" s="2">
        <v>72974</v>
      </c>
      <c r="S13" s="2">
        <v>72741</v>
      </c>
      <c r="T13" s="2">
        <v>73185</v>
      </c>
      <c r="U13" s="2">
        <v>73342</v>
      </c>
      <c r="V13" s="2">
        <v>74170</v>
      </c>
      <c r="W13" s="2">
        <v>73882</v>
      </c>
      <c r="X13" s="2">
        <v>73688</v>
      </c>
      <c r="Y13" s="2">
        <v>74169</v>
      </c>
      <c r="Z13" s="2">
        <v>75261</v>
      </c>
      <c r="AA13" s="2">
        <v>75226</v>
      </c>
      <c r="AB13" s="2">
        <v>74893</v>
      </c>
      <c r="AC13" s="2">
        <v>75060</v>
      </c>
      <c r="AD13" s="2">
        <v>76219</v>
      </c>
    </row>
    <row r="14" spans="1:30">
      <c r="A14" t="s">
        <v>77</v>
      </c>
      <c r="B14" s="2">
        <v>27390</v>
      </c>
      <c r="C14" s="2">
        <v>46056</v>
      </c>
      <c r="D14" s="2">
        <v>62065</v>
      </c>
      <c r="E14" s="2">
        <v>76616</v>
      </c>
      <c r="F14" s="2">
        <v>79958</v>
      </c>
      <c r="G14" s="2">
        <v>83746</v>
      </c>
      <c r="H14" s="2">
        <v>88382</v>
      </c>
      <c r="I14" s="2">
        <v>83949</v>
      </c>
      <c r="J14" s="2">
        <v>87173</v>
      </c>
      <c r="K14" s="2">
        <v>68630</v>
      </c>
      <c r="L14" s="2">
        <v>67438</v>
      </c>
      <c r="M14" s="2">
        <v>88964</v>
      </c>
      <c r="N14" s="2">
        <v>91422</v>
      </c>
      <c r="O14" s="2">
        <v>91780</v>
      </c>
      <c r="P14" s="2">
        <v>91767</v>
      </c>
      <c r="Q14" s="2">
        <v>92532</v>
      </c>
      <c r="R14" s="2">
        <v>93720</v>
      </c>
      <c r="S14" s="2">
        <v>94000</v>
      </c>
      <c r="T14" s="2">
        <v>93988</v>
      </c>
      <c r="U14" s="2">
        <v>94319</v>
      </c>
      <c r="V14" s="2">
        <v>94963</v>
      </c>
      <c r="W14" s="2">
        <v>94514</v>
      </c>
      <c r="X14" s="2">
        <v>94611</v>
      </c>
      <c r="Y14" s="2">
        <v>94869</v>
      </c>
      <c r="Z14" s="2">
        <v>95837</v>
      </c>
      <c r="AA14" s="2">
        <v>95762</v>
      </c>
      <c r="AB14" s="2">
        <v>95762</v>
      </c>
      <c r="AC14" s="2">
        <v>96108</v>
      </c>
      <c r="AD14" s="2">
        <v>96458</v>
      </c>
    </row>
    <row r="15" spans="1:30">
      <c r="A15" t="s">
        <v>78</v>
      </c>
      <c r="B15" s="2">
        <v>15906</v>
      </c>
      <c r="C15" s="2">
        <v>28997</v>
      </c>
      <c r="D15" s="2">
        <v>39082</v>
      </c>
      <c r="E15" s="2">
        <v>48402</v>
      </c>
      <c r="F15" s="2">
        <v>53764</v>
      </c>
      <c r="G15" s="2">
        <v>56713</v>
      </c>
      <c r="H15" s="2">
        <v>59748</v>
      </c>
      <c r="I15" s="2">
        <v>58482</v>
      </c>
      <c r="J15" s="2">
        <v>57654</v>
      </c>
      <c r="K15" s="2">
        <v>57171</v>
      </c>
      <c r="L15" s="2">
        <v>57156</v>
      </c>
      <c r="M15" s="2">
        <v>57801</v>
      </c>
      <c r="N15" s="2">
        <v>59937</v>
      </c>
      <c r="O15" s="2">
        <v>59994</v>
      </c>
      <c r="P15" s="2">
        <v>60463</v>
      </c>
      <c r="Q15" s="2">
        <v>61202</v>
      </c>
      <c r="R15" s="2">
        <v>61919</v>
      </c>
      <c r="S15" s="2">
        <v>61909</v>
      </c>
      <c r="T15" s="2">
        <v>61941</v>
      </c>
      <c r="U15" s="2">
        <v>61664</v>
      </c>
      <c r="V15" s="2">
        <v>61982</v>
      </c>
      <c r="W15" s="2">
        <v>61909</v>
      </c>
      <c r="X15" s="2">
        <v>62439</v>
      </c>
      <c r="Y15" s="2">
        <v>62630</v>
      </c>
      <c r="Z15" s="2">
        <v>62869</v>
      </c>
      <c r="AA15" s="2">
        <v>63097</v>
      </c>
      <c r="AB15" s="2">
        <v>63109</v>
      </c>
      <c r="AC15" s="2">
        <v>63093</v>
      </c>
      <c r="AD15" s="2">
        <v>63064</v>
      </c>
    </row>
    <row r="16" spans="1:30">
      <c r="A16" t="s">
        <v>79</v>
      </c>
      <c r="B16" s="2">
        <v>75944</v>
      </c>
      <c r="C16" s="2">
        <v>99936</v>
      </c>
      <c r="D16" s="2">
        <v>128593</v>
      </c>
      <c r="E16" s="2">
        <v>152088</v>
      </c>
      <c r="F16" s="2">
        <v>157264</v>
      </c>
      <c r="G16" s="2">
        <v>167176</v>
      </c>
      <c r="H16" s="2">
        <v>168696</v>
      </c>
      <c r="I16" s="2">
        <v>160320</v>
      </c>
      <c r="J16" s="2">
        <v>160838</v>
      </c>
      <c r="K16" s="2">
        <v>161506</v>
      </c>
      <c r="L16" s="2">
        <v>161702</v>
      </c>
      <c r="M16" s="2">
        <v>167381</v>
      </c>
      <c r="N16" s="2">
        <v>171755</v>
      </c>
      <c r="O16" s="2">
        <v>173178</v>
      </c>
      <c r="P16" s="2">
        <v>173315</v>
      </c>
      <c r="Q16" s="2">
        <v>174277</v>
      </c>
      <c r="R16" s="2">
        <v>179686</v>
      </c>
      <c r="S16" s="2">
        <v>179875</v>
      </c>
      <c r="T16" s="2">
        <v>180311</v>
      </c>
      <c r="U16" s="2">
        <v>181404</v>
      </c>
      <c r="V16" s="2">
        <v>182390</v>
      </c>
      <c r="W16" s="2">
        <v>181594</v>
      </c>
      <c r="X16" s="2">
        <v>181531</v>
      </c>
      <c r="Y16" s="2">
        <v>181942</v>
      </c>
      <c r="Z16" s="2">
        <v>184082</v>
      </c>
      <c r="AA16" s="2">
        <v>184903</v>
      </c>
      <c r="AB16" s="2">
        <v>184896</v>
      </c>
      <c r="AC16" s="2">
        <v>185286</v>
      </c>
      <c r="AD16" s="2">
        <v>185683</v>
      </c>
    </row>
    <row r="17" spans="1:30">
      <c r="A17" t="s">
        <v>80</v>
      </c>
      <c r="B17" s="2">
        <v>34837</v>
      </c>
      <c r="C17" s="2">
        <v>47808</v>
      </c>
      <c r="D17" s="2">
        <v>61795</v>
      </c>
      <c r="E17" s="2">
        <v>75233</v>
      </c>
      <c r="F17" s="2">
        <v>79268</v>
      </c>
      <c r="G17" s="2">
        <v>83931</v>
      </c>
      <c r="H17" s="2">
        <v>85404</v>
      </c>
      <c r="I17" s="2">
        <v>82732</v>
      </c>
      <c r="J17" s="2">
        <v>84641</v>
      </c>
      <c r="K17" s="2">
        <v>84662</v>
      </c>
      <c r="L17" s="2">
        <v>83954</v>
      </c>
      <c r="M17" s="2">
        <v>85334</v>
      </c>
      <c r="N17" s="2">
        <v>88177</v>
      </c>
      <c r="O17" s="2">
        <v>89027</v>
      </c>
      <c r="P17" s="2">
        <v>89240</v>
      </c>
      <c r="Q17" s="2">
        <v>90156</v>
      </c>
      <c r="R17" s="2">
        <v>91756</v>
      </c>
      <c r="S17" s="2">
        <v>91817</v>
      </c>
      <c r="T17" s="2">
        <v>91734</v>
      </c>
      <c r="U17" s="2">
        <v>91698</v>
      </c>
      <c r="V17" s="2">
        <v>92317</v>
      </c>
      <c r="W17" s="2">
        <v>92091</v>
      </c>
      <c r="X17" s="2">
        <v>91688</v>
      </c>
      <c r="Y17" s="2">
        <v>92023</v>
      </c>
      <c r="Z17" s="2">
        <v>93045</v>
      </c>
      <c r="AA17" s="2">
        <v>93071</v>
      </c>
      <c r="AB17" s="2">
        <v>93055</v>
      </c>
      <c r="AC17" s="2">
        <v>92899</v>
      </c>
      <c r="AD17" s="2">
        <v>93129</v>
      </c>
    </row>
    <row r="18" spans="1:30">
      <c r="A18" t="s">
        <v>17</v>
      </c>
      <c r="B18" s="2">
        <v>43330</v>
      </c>
      <c r="C18" s="2">
        <v>57756</v>
      </c>
      <c r="D18" s="2">
        <v>74709</v>
      </c>
      <c r="E18" s="2">
        <v>90700</v>
      </c>
      <c r="F18" s="2">
        <v>96064</v>
      </c>
      <c r="G18" s="2">
        <v>103569</v>
      </c>
      <c r="H18" s="2">
        <v>105732</v>
      </c>
      <c r="I18" s="2">
        <v>100641</v>
      </c>
      <c r="J18" s="2">
        <v>103693</v>
      </c>
      <c r="K18" s="2">
        <v>105325</v>
      </c>
      <c r="L18" s="2">
        <v>105992</v>
      </c>
      <c r="M18" s="2">
        <v>107900</v>
      </c>
      <c r="N18" s="2">
        <v>112468</v>
      </c>
      <c r="O18" s="2">
        <v>113333</v>
      </c>
      <c r="P18" s="2">
        <v>113294</v>
      </c>
      <c r="Q18" s="2">
        <v>114273</v>
      </c>
      <c r="R18" s="2">
        <v>115455</v>
      </c>
      <c r="S18" s="2">
        <v>115468</v>
      </c>
      <c r="T18" s="2">
        <v>115768</v>
      </c>
      <c r="U18" s="2">
        <v>116457</v>
      </c>
      <c r="V18" s="2">
        <v>117251</v>
      </c>
      <c r="W18" s="2">
        <v>116837</v>
      </c>
      <c r="X18" s="2">
        <v>116912</v>
      </c>
      <c r="Y18" s="2">
        <v>117887</v>
      </c>
      <c r="Z18" s="2">
        <v>118773</v>
      </c>
      <c r="AA18" s="2">
        <v>118924</v>
      </c>
      <c r="AB18" s="2">
        <v>118864</v>
      </c>
      <c r="AC18" s="2">
        <v>118536</v>
      </c>
      <c r="AD18" s="2">
        <v>118843</v>
      </c>
    </row>
    <row r="19" spans="1:30">
      <c r="A19" t="s">
        <v>18</v>
      </c>
      <c r="B19" s="2">
        <v>21776</v>
      </c>
      <c r="C19" s="2">
        <v>37152</v>
      </c>
      <c r="D19" s="2">
        <v>46687</v>
      </c>
      <c r="E19" s="2">
        <v>57190</v>
      </c>
      <c r="F19" s="2">
        <v>62681</v>
      </c>
      <c r="G19" s="2">
        <v>67875</v>
      </c>
      <c r="H19" s="2">
        <v>69209</v>
      </c>
      <c r="I19" s="2">
        <v>68077</v>
      </c>
      <c r="J19" s="2">
        <v>68397</v>
      </c>
      <c r="K19" s="2">
        <v>67799</v>
      </c>
      <c r="L19" s="2">
        <v>68083</v>
      </c>
      <c r="M19" s="2">
        <v>70573</v>
      </c>
      <c r="N19" s="2">
        <v>71863</v>
      </c>
      <c r="O19" s="2">
        <v>71866</v>
      </c>
      <c r="P19" s="2">
        <v>73824</v>
      </c>
      <c r="Q19" s="2">
        <v>72598</v>
      </c>
      <c r="R19" s="2">
        <v>72856</v>
      </c>
      <c r="S19" s="2">
        <v>73264</v>
      </c>
      <c r="T19" s="2">
        <v>73165</v>
      </c>
      <c r="U19" s="2">
        <v>72941</v>
      </c>
      <c r="V19" s="2">
        <v>73063</v>
      </c>
      <c r="W19" s="2">
        <v>72579</v>
      </c>
      <c r="X19" s="2">
        <v>72622</v>
      </c>
      <c r="Y19" s="2">
        <v>73138</v>
      </c>
      <c r="Z19" s="2">
        <v>73933</v>
      </c>
      <c r="AA19" s="2">
        <v>74079</v>
      </c>
      <c r="AB19" s="2">
        <v>74081</v>
      </c>
      <c r="AC19" s="2">
        <v>74175</v>
      </c>
      <c r="AD19" s="2">
        <v>74348</v>
      </c>
    </row>
    <row r="20" spans="1:30">
      <c r="A20" t="s">
        <v>19</v>
      </c>
      <c r="B20" s="2">
        <v>81929</v>
      </c>
      <c r="C20" s="2">
        <v>97806</v>
      </c>
      <c r="D20" s="2">
        <v>130510</v>
      </c>
      <c r="E20" s="2">
        <v>154795</v>
      </c>
      <c r="F20" s="2">
        <v>165210</v>
      </c>
      <c r="G20" s="2">
        <v>174935</v>
      </c>
      <c r="H20" s="2">
        <v>172841</v>
      </c>
      <c r="I20" s="2">
        <v>172374</v>
      </c>
      <c r="J20" s="2">
        <v>171434</v>
      </c>
      <c r="K20" s="2">
        <v>170357</v>
      </c>
      <c r="L20" s="2">
        <v>170034</v>
      </c>
      <c r="M20" s="2">
        <v>176167</v>
      </c>
      <c r="N20" s="2">
        <v>181292</v>
      </c>
      <c r="O20" s="2">
        <v>181375</v>
      </c>
      <c r="P20" s="2">
        <v>181456</v>
      </c>
      <c r="Q20" s="2">
        <v>183852</v>
      </c>
      <c r="R20" s="2">
        <v>185481</v>
      </c>
      <c r="S20" s="2">
        <v>185695</v>
      </c>
      <c r="T20" s="2">
        <v>185960</v>
      </c>
      <c r="U20" s="2">
        <v>185921</v>
      </c>
      <c r="V20" s="2">
        <v>188052</v>
      </c>
      <c r="W20" s="2">
        <v>188062</v>
      </c>
      <c r="X20" s="2">
        <v>187991</v>
      </c>
      <c r="Y20" s="2">
        <v>188412</v>
      </c>
      <c r="Z20" s="2">
        <v>190584</v>
      </c>
      <c r="AA20" s="2">
        <v>190639</v>
      </c>
      <c r="AB20" s="2">
        <v>190735</v>
      </c>
      <c r="AC20" s="2">
        <v>190555</v>
      </c>
      <c r="AD20" s="2">
        <v>190265</v>
      </c>
    </row>
    <row r="21" spans="1:30">
      <c r="A21" t="s">
        <v>20</v>
      </c>
      <c r="B21" s="2">
        <v>40213</v>
      </c>
      <c r="C21" s="2">
        <v>56338</v>
      </c>
      <c r="D21" s="2">
        <v>71591</v>
      </c>
      <c r="E21" s="2">
        <v>88365</v>
      </c>
      <c r="F21" s="2">
        <v>91969</v>
      </c>
      <c r="G21" s="2">
        <v>98370</v>
      </c>
      <c r="H21" s="2">
        <v>99258</v>
      </c>
      <c r="I21" s="2">
        <v>99738</v>
      </c>
      <c r="J21" s="2">
        <v>101483</v>
      </c>
      <c r="K21" s="2">
        <v>101762</v>
      </c>
      <c r="L21" s="2">
        <v>101940</v>
      </c>
      <c r="M21" s="2">
        <v>104615</v>
      </c>
      <c r="N21" s="2">
        <v>107184</v>
      </c>
      <c r="O21" s="2">
        <v>107014</v>
      </c>
      <c r="P21" s="2">
        <v>106769</v>
      </c>
      <c r="Q21" s="2">
        <v>108691</v>
      </c>
      <c r="R21" s="2">
        <v>109474</v>
      </c>
      <c r="S21" s="2">
        <v>109590</v>
      </c>
      <c r="T21" s="2">
        <v>109674</v>
      </c>
      <c r="U21" s="2">
        <v>109553</v>
      </c>
      <c r="V21" s="2">
        <v>110673</v>
      </c>
      <c r="W21" s="2">
        <v>110406</v>
      </c>
      <c r="X21" s="2">
        <v>110472</v>
      </c>
      <c r="Y21" s="2">
        <v>110766</v>
      </c>
      <c r="Z21" s="2">
        <v>111245</v>
      </c>
      <c r="AA21" s="2">
        <v>111243</v>
      </c>
      <c r="AB21" s="2">
        <v>111236</v>
      </c>
      <c r="AC21" s="2">
        <v>111279</v>
      </c>
      <c r="AD21" s="2">
        <v>111472</v>
      </c>
    </row>
    <row r="22" spans="1:30">
      <c r="A22" t="s">
        <v>21</v>
      </c>
      <c r="B22" s="2">
        <v>42723</v>
      </c>
      <c r="C22" s="2">
        <v>54489</v>
      </c>
      <c r="D22" s="2">
        <v>70630</v>
      </c>
      <c r="E22" s="2">
        <v>85547</v>
      </c>
      <c r="F22" s="2">
        <v>90156</v>
      </c>
      <c r="G22" s="2">
        <v>96939</v>
      </c>
      <c r="H22" s="2">
        <v>97210</v>
      </c>
      <c r="I22" s="2">
        <v>97349</v>
      </c>
      <c r="J22" s="2">
        <v>98806</v>
      </c>
      <c r="K22" s="2">
        <v>99398</v>
      </c>
      <c r="L22" s="2">
        <v>99426</v>
      </c>
      <c r="M22" s="2">
        <v>101516</v>
      </c>
      <c r="N22" s="2">
        <v>103551</v>
      </c>
      <c r="O22" s="2">
        <v>103824</v>
      </c>
      <c r="P22" s="2">
        <v>103719</v>
      </c>
      <c r="Q22" s="2">
        <v>103937</v>
      </c>
      <c r="R22" s="2">
        <v>104557</v>
      </c>
      <c r="S22" s="2">
        <v>104769</v>
      </c>
      <c r="T22" s="2">
        <v>104822</v>
      </c>
      <c r="U22" s="2">
        <v>104662</v>
      </c>
      <c r="V22" s="2">
        <v>106055</v>
      </c>
      <c r="W22" s="2">
        <v>105656</v>
      </c>
      <c r="X22" s="2">
        <v>105466</v>
      </c>
      <c r="Y22" s="2">
        <v>105683</v>
      </c>
      <c r="Z22" s="2">
        <v>106137</v>
      </c>
      <c r="AA22" s="2">
        <v>106218</v>
      </c>
      <c r="AB22" s="2">
        <v>106230</v>
      </c>
      <c r="AC22" s="2">
        <v>106292</v>
      </c>
    </row>
    <row r="23" spans="1:30">
      <c r="A23" t="s">
        <v>22</v>
      </c>
      <c r="B23" s="2">
        <v>22257</v>
      </c>
      <c r="C23" s="2">
        <v>34740</v>
      </c>
      <c r="D23" s="2">
        <v>43526</v>
      </c>
      <c r="E23" s="2">
        <v>53014</v>
      </c>
      <c r="F23" s="2">
        <v>58682</v>
      </c>
      <c r="G23" s="2">
        <v>62781</v>
      </c>
      <c r="H23" s="2">
        <v>62671</v>
      </c>
      <c r="I23" s="2">
        <v>62232</v>
      </c>
      <c r="J23" s="2">
        <v>63885</v>
      </c>
      <c r="K23" s="2">
        <v>63771</v>
      </c>
      <c r="L23" s="2">
        <v>63912</v>
      </c>
      <c r="M23" s="2">
        <v>66090</v>
      </c>
      <c r="N23" s="2">
        <v>66573</v>
      </c>
      <c r="O23" s="2">
        <v>66593</v>
      </c>
      <c r="P23" s="2">
        <v>66453</v>
      </c>
      <c r="Q23" s="2">
        <v>66542</v>
      </c>
      <c r="R23" s="2">
        <v>67426</v>
      </c>
      <c r="S23" s="2">
        <v>67585</v>
      </c>
      <c r="T23" s="2">
        <v>67579</v>
      </c>
      <c r="U23" s="2">
        <v>68302</v>
      </c>
      <c r="V23" s="2">
        <v>68320</v>
      </c>
      <c r="W23" s="2">
        <v>68055</v>
      </c>
      <c r="X23" s="2">
        <v>67964</v>
      </c>
      <c r="Y23" s="2">
        <v>67923</v>
      </c>
      <c r="Z23" s="2">
        <v>68422</v>
      </c>
      <c r="AA23" s="2">
        <v>68448</v>
      </c>
      <c r="AB23" s="2">
        <v>68462</v>
      </c>
    </row>
    <row r="24" spans="1:30">
      <c r="A24" t="s">
        <v>23</v>
      </c>
      <c r="B24" s="2">
        <v>72106</v>
      </c>
      <c r="C24" s="2">
        <v>88814</v>
      </c>
      <c r="D24" s="2">
        <v>119264</v>
      </c>
      <c r="E24" s="2">
        <v>144686</v>
      </c>
      <c r="F24" s="2">
        <v>150957</v>
      </c>
      <c r="G24" s="2">
        <v>155317</v>
      </c>
      <c r="H24" s="2">
        <v>157645</v>
      </c>
      <c r="I24" s="2">
        <v>167669</v>
      </c>
      <c r="J24" s="2">
        <v>161154</v>
      </c>
      <c r="K24" s="2">
        <v>159634</v>
      </c>
      <c r="L24" s="2">
        <v>159056</v>
      </c>
      <c r="M24" s="2">
        <v>163070</v>
      </c>
      <c r="N24" s="2">
        <v>167796</v>
      </c>
      <c r="O24" s="2">
        <v>167503</v>
      </c>
      <c r="P24" s="2">
        <v>167539</v>
      </c>
      <c r="Q24" s="2">
        <v>168059</v>
      </c>
      <c r="R24" s="2">
        <v>170650</v>
      </c>
      <c r="S24" s="2">
        <v>172206</v>
      </c>
      <c r="T24" s="2">
        <v>172539</v>
      </c>
      <c r="U24" s="2">
        <v>172583</v>
      </c>
      <c r="V24" s="2">
        <v>173664</v>
      </c>
      <c r="W24" s="2">
        <v>172956</v>
      </c>
      <c r="X24" s="2">
        <v>172995</v>
      </c>
      <c r="Y24" s="2">
        <v>172960</v>
      </c>
      <c r="Z24" s="2">
        <v>173772</v>
      </c>
      <c r="AA24" s="2">
        <v>173984</v>
      </c>
    </row>
    <row r="25" spans="1:30">
      <c r="A25" t="s">
        <v>24</v>
      </c>
      <c r="B25" s="2">
        <v>39617</v>
      </c>
      <c r="C25" s="2">
        <v>54419</v>
      </c>
      <c r="D25" s="2">
        <v>70154</v>
      </c>
      <c r="E25" s="2">
        <v>90176</v>
      </c>
      <c r="F25" s="2">
        <v>96199</v>
      </c>
      <c r="G25" s="2">
        <v>100143</v>
      </c>
      <c r="H25" s="2">
        <v>101400</v>
      </c>
      <c r="I25" s="2">
        <v>103318</v>
      </c>
      <c r="J25" s="2">
        <v>109253</v>
      </c>
      <c r="K25" s="2">
        <v>109553</v>
      </c>
      <c r="L25" s="2">
        <v>109928</v>
      </c>
      <c r="M25" s="2">
        <v>111601</v>
      </c>
      <c r="N25" s="2">
        <v>113227</v>
      </c>
      <c r="O25" s="2">
        <v>113259</v>
      </c>
      <c r="P25" s="2">
        <v>113947</v>
      </c>
      <c r="Q25" s="2">
        <v>114158</v>
      </c>
      <c r="R25" s="2">
        <v>115831</v>
      </c>
      <c r="S25" s="2">
        <v>115967</v>
      </c>
      <c r="T25" s="2">
        <v>115909</v>
      </c>
      <c r="U25" s="2">
        <v>116218</v>
      </c>
      <c r="V25" s="2">
        <v>118360</v>
      </c>
      <c r="W25" s="2">
        <v>117566</v>
      </c>
      <c r="X25" s="2">
        <v>117541</v>
      </c>
      <c r="Y25" s="2">
        <v>117189</v>
      </c>
      <c r="Z25" s="2">
        <v>119158</v>
      </c>
    </row>
    <row r="26" spans="1:30">
      <c r="A26" t="s">
        <v>25</v>
      </c>
      <c r="B26" s="2">
        <v>39587</v>
      </c>
      <c r="C26" s="2">
        <v>52001</v>
      </c>
      <c r="D26" s="2">
        <v>70440</v>
      </c>
      <c r="E26" s="2">
        <v>86851</v>
      </c>
      <c r="F26" s="2">
        <v>90443</v>
      </c>
      <c r="G26" s="2">
        <v>92953</v>
      </c>
      <c r="H26" s="2">
        <v>95370</v>
      </c>
      <c r="I26" s="2">
        <v>95048</v>
      </c>
      <c r="J26" s="2">
        <v>99777</v>
      </c>
      <c r="K26" s="2">
        <v>99118</v>
      </c>
      <c r="L26" s="2">
        <v>98874</v>
      </c>
      <c r="M26" s="2">
        <v>99321</v>
      </c>
      <c r="N26" s="2">
        <v>100691</v>
      </c>
      <c r="O26" s="2">
        <v>100996</v>
      </c>
      <c r="P26" s="2">
        <v>101165</v>
      </c>
      <c r="Q26" s="2">
        <v>102126</v>
      </c>
      <c r="R26" s="2">
        <v>102822</v>
      </c>
      <c r="S26" s="2">
        <v>102919</v>
      </c>
      <c r="T26" s="2">
        <v>102750</v>
      </c>
      <c r="U26" s="2">
        <v>102955</v>
      </c>
      <c r="V26" s="2">
        <v>103161</v>
      </c>
      <c r="W26" s="2">
        <v>103367</v>
      </c>
      <c r="X26" s="2">
        <v>103574</v>
      </c>
      <c r="Y26" s="2">
        <v>103781</v>
      </c>
    </row>
    <row r="27" spans="1:30">
      <c r="A27" t="s">
        <v>26</v>
      </c>
      <c r="B27" s="2">
        <v>22202</v>
      </c>
      <c r="C27" s="2">
        <v>34226</v>
      </c>
      <c r="D27" s="2">
        <v>45230</v>
      </c>
      <c r="E27" s="2">
        <v>58091</v>
      </c>
      <c r="F27" s="2">
        <v>61548</v>
      </c>
      <c r="G27" s="2">
        <v>63860</v>
      </c>
      <c r="H27" s="2">
        <v>65452</v>
      </c>
      <c r="I27" s="2">
        <v>65312</v>
      </c>
      <c r="J27" s="2">
        <v>67553</v>
      </c>
      <c r="K27" s="2">
        <v>67514</v>
      </c>
      <c r="L27" s="2">
        <v>67325</v>
      </c>
      <c r="M27" s="2">
        <v>68442</v>
      </c>
      <c r="N27" s="2">
        <v>70476</v>
      </c>
      <c r="O27" s="2">
        <v>70691</v>
      </c>
      <c r="P27" s="2">
        <v>70687</v>
      </c>
      <c r="Q27" s="2">
        <v>72016</v>
      </c>
      <c r="R27" s="2">
        <v>72382</v>
      </c>
      <c r="S27" s="2">
        <v>72362</v>
      </c>
      <c r="T27" s="2">
        <v>72385</v>
      </c>
      <c r="U27" s="2">
        <v>72457</v>
      </c>
      <c r="V27" s="2">
        <v>72529</v>
      </c>
      <c r="W27" s="2">
        <v>72602</v>
      </c>
      <c r="X27" s="2">
        <v>72675</v>
      </c>
    </row>
    <row r="28" spans="1:30">
      <c r="A28" t="s">
        <v>27</v>
      </c>
      <c r="B28" s="2">
        <v>65381</v>
      </c>
      <c r="C28" s="2">
        <v>57768</v>
      </c>
      <c r="D28" s="2">
        <v>116546</v>
      </c>
      <c r="E28" s="2">
        <v>143674</v>
      </c>
      <c r="F28" s="2">
        <v>150281</v>
      </c>
      <c r="G28" s="2">
        <v>154254</v>
      </c>
      <c r="H28" s="2">
        <v>155500</v>
      </c>
      <c r="I28" s="2">
        <v>153310</v>
      </c>
      <c r="J28" s="2">
        <v>153443</v>
      </c>
      <c r="K28" s="2">
        <v>152289</v>
      </c>
      <c r="L28" s="2">
        <v>151898</v>
      </c>
      <c r="M28" s="2">
        <v>153635</v>
      </c>
      <c r="N28" s="2">
        <v>159968</v>
      </c>
      <c r="O28" s="2">
        <v>162505</v>
      </c>
      <c r="P28" s="2">
        <v>162799</v>
      </c>
      <c r="Q28" s="2">
        <v>163947</v>
      </c>
      <c r="R28" s="2">
        <v>165700</v>
      </c>
      <c r="S28" s="2">
        <v>166040</v>
      </c>
      <c r="T28" s="2">
        <v>165811</v>
      </c>
      <c r="U28" s="2">
        <v>165390</v>
      </c>
      <c r="V28" s="2">
        <v>166743</v>
      </c>
      <c r="W28" s="2">
        <v>166034</v>
      </c>
    </row>
    <row r="29" spans="1:30">
      <c r="A29" t="s">
        <v>28</v>
      </c>
      <c r="B29" s="2">
        <v>38328</v>
      </c>
      <c r="C29" s="2">
        <v>59317</v>
      </c>
      <c r="D29" s="2">
        <v>79875</v>
      </c>
      <c r="E29" s="2">
        <v>101224</v>
      </c>
      <c r="F29" s="2">
        <v>107600</v>
      </c>
      <c r="G29" s="2">
        <v>109565</v>
      </c>
      <c r="H29" s="2">
        <v>108541</v>
      </c>
      <c r="I29" s="2">
        <v>107785</v>
      </c>
      <c r="J29" s="2">
        <v>104838</v>
      </c>
      <c r="K29" s="2">
        <v>105096</v>
      </c>
      <c r="L29" s="2">
        <v>106006</v>
      </c>
      <c r="M29" s="2">
        <v>106285</v>
      </c>
      <c r="N29" s="2">
        <v>113531</v>
      </c>
      <c r="O29" s="2">
        <v>113513</v>
      </c>
      <c r="P29" s="2">
        <v>113494</v>
      </c>
      <c r="Q29" s="2">
        <v>115806</v>
      </c>
      <c r="R29" s="2">
        <v>117754</v>
      </c>
      <c r="S29" s="2">
        <v>117872</v>
      </c>
      <c r="T29" s="2">
        <v>117990</v>
      </c>
      <c r="U29" s="2">
        <v>118108</v>
      </c>
      <c r="V29" s="2">
        <v>118226</v>
      </c>
    </row>
    <row r="30" spans="1:30">
      <c r="A30" t="s">
        <v>29</v>
      </c>
      <c r="B30" s="2">
        <v>41480</v>
      </c>
      <c r="C30" s="2">
        <v>58916</v>
      </c>
      <c r="D30" s="2">
        <v>82540</v>
      </c>
      <c r="E30" s="2">
        <v>101782</v>
      </c>
      <c r="F30" s="2">
        <v>105099</v>
      </c>
      <c r="G30" s="2">
        <v>109581</v>
      </c>
      <c r="H30" s="2">
        <v>107738</v>
      </c>
      <c r="I30" s="2">
        <v>108319</v>
      </c>
      <c r="J30" s="2">
        <v>107468</v>
      </c>
      <c r="K30" s="2">
        <v>108595</v>
      </c>
      <c r="L30" s="2">
        <v>108481</v>
      </c>
      <c r="M30" s="2">
        <v>112426</v>
      </c>
      <c r="N30" s="2">
        <v>114523</v>
      </c>
      <c r="O30" s="2">
        <v>114013</v>
      </c>
      <c r="P30" s="2">
        <v>114032</v>
      </c>
      <c r="Q30" s="2">
        <v>114738</v>
      </c>
      <c r="R30" s="2">
        <v>114842</v>
      </c>
      <c r="S30" s="2">
        <v>113920</v>
      </c>
      <c r="T30" s="2">
        <v>113959</v>
      </c>
      <c r="U30" s="2">
        <v>113443</v>
      </c>
      <c r="V30" s="2"/>
    </row>
    <row r="31" spans="1:30">
      <c r="A31" t="s">
        <v>30</v>
      </c>
      <c r="B31" s="2">
        <v>24980</v>
      </c>
      <c r="C31" s="2">
        <v>44112</v>
      </c>
      <c r="D31" s="2">
        <v>57612</v>
      </c>
      <c r="E31" s="2">
        <v>69544</v>
      </c>
      <c r="F31" s="2">
        <v>72525</v>
      </c>
      <c r="G31" s="2">
        <v>73996</v>
      </c>
      <c r="H31" s="2">
        <v>74014</v>
      </c>
      <c r="I31" s="2">
        <v>72759</v>
      </c>
      <c r="J31" s="2">
        <v>70127</v>
      </c>
      <c r="K31" s="2">
        <v>71153</v>
      </c>
      <c r="L31" s="2">
        <v>71796</v>
      </c>
      <c r="M31" s="2">
        <v>73669</v>
      </c>
      <c r="N31" s="2">
        <v>75822</v>
      </c>
      <c r="O31" s="2">
        <v>75729</v>
      </c>
      <c r="P31" s="2">
        <v>75670</v>
      </c>
      <c r="Q31" s="2">
        <v>76523</v>
      </c>
      <c r="R31" s="2">
        <v>76981</v>
      </c>
      <c r="S31" s="2">
        <v>77086</v>
      </c>
      <c r="T31" s="2">
        <v>76983</v>
      </c>
      <c r="V31" s="2"/>
    </row>
    <row r="32" spans="1:30">
      <c r="A32" t="s">
        <v>31</v>
      </c>
      <c r="B32" s="2">
        <v>63128</v>
      </c>
      <c r="C32" s="2">
        <v>90937</v>
      </c>
      <c r="D32" s="2">
        <v>124828</v>
      </c>
      <c r="E32" s="2">
        <v>150974</v>
      </c>
      <c r="F32" s="2">
        <v>157555</v>
      </c>
      <c r="G32" s="2">
        <v>164785</v>
      </c>
      <c r="H32" s="2">
        <v>161333</v>
      </c>
      <c r="I32" s="2">
        <v>157804</v>
      </c>
      <c r="J32" s="2">
        <v>158027</v>
      </c>
      <c r="K32" s="2">
        <v>154559</v>
      </c>
      <c r="L32" s="2">
        <v>155939</v>
      </c>
      <c r="M32" s="2">
        <v>161526</v>
      </c>
      <c r="N32" s="2">
        <v>164815</v>
      </c>
      <c r="O32" s="2">
        <v>164057</v>
      </c>
      <c r="P32" s="2">
        <v>164447</v>
      </c>
      <c r="Q32" s="2">
        <v>164886</v>
      </c>
      <c r="R32" s="2">
        <v>165716</v>
      </c>
      <c r="S32" s="2">
        <v>166107</v>
      </c>
      <c r="V32" s="2"/>
    </row>
    <row r="33" spans="1:22">
      <c r="A33" t="s">
        <v>32</v>
      </c>
      <c r="B33" s="2">
        <v>39431</v>
      </c>
      <c r="C33" s="2">
        <v>56685</v>
      </c>
      <c r="D33" s="2">
        <v>75859</v>
      </c>
      <c r="E33" s="2">
        <v>96782</v>
      </c>
      <c r="F33" s="2">
        <v>102985</v>
      </c>
      <c r="G33" s="2">
        <v>103811</v>
      </c>
      <c r="H33" s="2">
        <v>105995</v>
      </c>
      <c r="I33" s="2">
        <v>102283</v>
      </c>
      <c r="J33" s="2">
        <v>91918</v>
      </c>
      <c r="K33" s="2">
        <v>90293</v>
      </c>
      <c r="L33" s="2">
        <v>89057</v>
      </c>
      <c r="M33" s="2">
        <v>92789</v>
      </c>
      <c r="N33" s="2">
        <v>94759</v>
      </c>
      <c r="O33" s="2">
        <v>94621</v>
      </c>
      <c r="P33" s="2">
        <v>94655</v>
      </c>
      <c r="Q33" s="2">
        <v>94805</v>
      </c>
      <c r="R33" s="2">
        <v>95986</v>
      </c>
      <c r="V33" s="2"/>
    </row>
    <row r="34" spans="1:22">
      <c r="A34" t="s">
        <v>33</v>
      </c>
      <c r="B34" s="2">
        <v>33478</v>
      </c>
      <c r="C34" s="2">
        <v>44023</v>
      </c>
      <c r="D34" s="2">
        <v>65178</v>
      </c>
      <c r="E34" s="2">
        <v>77912</v>
      </c>
      <c r="F34" s="2">
        <v>80929</v>
      </c>
      <c r="G34" s="2">
        <v>82418</v>
      </c>
      <c r="H34" s="2">
        <v>85231</v>
      </c>
      <c r="I34" s="2">
        <v>83748</v>
      </c>
      <c r="J34" s="2">
        <v>81901</v>
      </c>
      <c r="K34" s="2">
        <v>81593</v>
      </c>
      <c r="L34" s="2">
        <v>81741</v>
      </c>
      <c r="M34" s="2">
        <v>83321</v>
      </c>
      <c r="N34" s="2">
        <v>84497</v>
      </c>
      <c r="O34" s="2">
        <v>84444</v>
      </c>
      <c r="P34" s="2">
        <v>84616</v>
      </c>
      <c r="Q34" s="2">
        <v>85643</v>
      </c>
      <c r="V34" s="2"/>
    </row>
    <row r="35" spans="1:22">
      <c r="A35" t="s">
        <v>34</v>
      </c>
      <c r="B35" s="2">
        <v>14280</v>
      </c>
      <c r="C35" s="2">
        <v>28297</v>
      </c>
      <c r="D35" s="2">
        <v>40717</v>
      </c>
      <c r="E35" s="2">
        <v>52368</v>
      </c>
      <c r="F35" s="2">
        <v>56505</v>
      </c>
      <c r="G35" s="2">
        <v>57790</v>
      </c>
      <c r="H35" s="2">
        <v>58229</v>
      </c>
      <c r="I35" s="2">
        <v>54008</v>
      </c>
      <c r="J35" s="2">
        <v>54045</v>
      </c>
      <c r="K35" s="2">
        <v>53647</v>
      </c>
      <c r="L35" s="2">
        <v>53094</v>
      </c>
      <c r="M35" s="2">
        <v>54363</v>
      </c>
      <c r="N35" s="2">
        <v>54711</v>
      </c>
      <c r="O35" s="2">
        <v>54940</v>
      </c>
      <c r="P35" s="2">
        <v>54874</v>
      </c>
      <c r="V35" s="2"/>
    </row>
    <row r="36" spans="1:22">
      <c r="A36" t="s">
        <v>35</v>
      </c>
      <c r="B36" s="2">
        <v>45699</v>
      </c>
      <c r="C36" s="2">
        <v>57962</v>
      </c>
      <c r="D36" s="2">
        <v>76470</v>
      </c>
      <c r="E36" s="2">
        <v>90684</v>
      </c>
      <c r="F36" s="2">
        <v>94509</v>
      </c>
      <c r="G36" s="2">
        <v>99243</v>
      </c>
      <c r="H36" s="2">
        <v>96431</v>
      </c>
      <c r="I36" s="2">
        <v>97296</v>
      </c>
      <c r="J36" s="2">
        <v>94797</v>
      </c>
      <c r="K36" s="2">
        <v>95483</v>
      </c>
      <c r="L36" s="2">
        <v>95037</v>
      </c>
      <c r="M36" s="2">
        <v>95884</v>
      </c>
      <c r="N36" s="2">
        <v>97348</v>
      </c>
      <c r="O36" s="2">
        <v>97351</v>
      </c>
    </row>
    <row r="37" spans="1:22">
      <c r="A37" t="s">
        <v>46</v>
      </c>
      <c r="B37" s="2">
        <v>40472</v>
      </c>
      <c r="C37" s="2">
        <v>55839</v>
      </c>
      <c r="D37" s="2">
        <v>71234</v>
      </c>
      <c r="E37" s="2">
        <v>96004</v>
      </c>
      <c r="F37" s="2">
        <v>113650</v>
      </c>
      <c r="G37" s="2">
        <v>110764</v>
      </c>
      <c r="H37" s="2">
        <v>108317</v>
      </c>
      <c r="I37" s="2">
        <v>107345</v>
      </c>
      <c r="J37" s="2">
        <v>97560</v>
      </c>
      <c r="K37" s="2">
        <v>97275</v>
      </c>
      <c r="L37" s="2">
        <v>97453</v>
      </c>
      <c r="M37" s="2">
        <v>98816</v>
      </c>
      <c r="N37" s="2">
        <v>100098</v>
      </c>
      <c r="O37" s="2"/>
    </row>
    <row r="38" spans="1:22">
      <c r="A38" t="s">
        <v>47</v>
      </c>
      <c r="B38" s="2">
        <v>33004</v>
      </c>
      <c r="C38" s="2">
        <v>48424</v>
      </c>
      <c r="D38" s="2">
        <v>63007</v>
      </c>
      <c r="E38" s="2">
        <v>77569</v>
      </c>
      <c r="F38" s="2">
        <v>80923</v>
      </c>
      <c r="G38" s="2">
        <v>83160</v>
      </c>
      <c r="H38" s="2">
        <v>82743</v>
      </c>
      <c r="I38" s="2">
        <v>79436</v>
      </c>
      <c r="J38" s="2">
        <v>82057</v>
      </c>
      <c r="K38" s="2">
        <v>81207</v>
      </c>
      <c r="L38" s="2">
        <v>82305</v>
      </c>
      <c r="M38" s="2">
        <v>83654</v>
      </c>
      <c r="N38" s="2"/>
      <c r="O38" s="2"/>
    </row>
    <row r="39" spans="1:22">
      <c r="A39" t="s">
        <v>48</v>
      </c>
      <c r="B39" s="2">
        <v>15320</v>
      </c>
      <c r="C39" s="2">
        <v>28687</v>
      </c>
      <c r="D39" s="2">
        <v>42953</v>
      </c>
      <c r="E39" s="2">
        <v>55414</v>
      </c>
      <c r="F39" s="2">
        <v>59215</v>
      </c>
      <c r="G39" s="2">
        <v>59989</v>
      </c>
      <c r="H39" s="2">
        <v>61432</v>
      </c>
      <c r="I39" s="2">
        <v>62709</v>
      </c>
      <c r="J39" s="2">
        <v>59279</v>
      </c>
      <c r="K39" s="2">
        <v>59531</v>
      </c>
      <c r="L39" s="2">
        <v>59450</v>
      </c>
      <c r="M39" s="2"/>
      <c r="N39" s="2"/>
      <c r="O39" s="2"/>
    </row>
    <row r="40" spans="1:22">
      <c r="A40" t="s">
        <v>49</v>
      </c>
      <c r="B40" s="2">
        <v>4357</v>
      </c>
      <c r="C40" s="2">
        <v>62779</v>
      </c>
      <c r="D40" s="2">
        <v>79724</v>
      </c>
      <c r="E40" s="2">
        <v>96319</v>
      </c>
      <c r="F40" s="2">
        <v>102225</v>
      </c>
      <c r="G40" s="2">
        <v>102001</v>
      </c>
      <c r="H40" s="2">
        <v>100433</v>
      </c>
      <c r="I40" s="2">
        <v>101661</v>
      </c>
      <c r="J40" s="2">
        <v>99074</v>
      </c>
      <c r="K40" s="2">
        <v>98745</v>
      </c>
      <c r="L40" s="2"/>
      <c r="M40" s="2"/>
      <c r="N40" s="2"/>
      <c r="O40" s="2"/>
    </row>
    <row r="41" spans="1:22">
      <c r="A41" t="s">
        <v>50</v>
      </c>
      <c r="B41" s="2">
        <v>39809</v>
      </c>
      <c r="C41" s="2">
        <v>55591</v>
      </c>
      <c r="D41" s="2">
        <v>64921</v>
      </c>
      <c r="E41" s="2">
        <v>84643</v>
      </c>
      <c r="F41" s="2">
        <v>91176</v>
      </c>
      <c r="G41" s="2">
        <v>95711</v>
      </c>
      <c r="H41" s="2">
        <v>95421</v>
      </c>
      <c r="I41" s="2">
        <v>96272</v>
      </c>
      <c r="J41" s="2">
        <v>88367</v>
      </c>
      <c r="K41" s="2"/>
      <c r="L41" s="2"/>
      <c r="M41" s="2"/>
      <c r="N41" s="2"/>
      <c r="O41" s="2"/>
    </row>
    <row r="42" spans="1:22">
      <c r="A42" t="s">
        <v>51</v>
      </c>
      <c r="B42" s="2">
        <v>23915</v>
      </c>
      <c r="C42" s="2">
        <v>33188</v>
      </c>
      <c r="D42" s="2">
        <v>43949</v>
      </c>
      <c r="E42" s="2">
        <v>53188</v>
      </c>
      <c r="F42" s="2">
        <v>56028</v>
      </c>
      <c r="G42" s="2">
        <v>57200</v>
      </c>
      <c r="H42" s="2">
        <v>57259</v>
      </c>
      <c r="I42" s="2">
        <v>57304</v>
      </c>
      <c r="J42" s="2"/>
      <c r="K42" s="2"/>
      <c r="L42" s="2"/>
      <c r="M42" s="2"/>
      <c r="N42" s="2"/>
      <c r="O42" s="2"/>
    </row>
    <row r="43" spans="1:22">
      <c r="A43" t="s">
        <v>52</v>
      </c>
      <c r="B43" s="2">
        <v>18976</v>
      </c>
      <c r="C43" s="2">
        <v>30311</v>
      </c>
      <c r="D43" s="2">
        <v>39234</v>
      </c>
      <c r="E43" s="2">
        <v>46519</v>
      </c>
      <c r="F43" s="2">
        <v>49357</v>
      </c>
      <c r="G43" s="2">
        <v>50776</v>
      </c>
      <c r="H43" s="2">
        <v>50887</v>
      </c>
      <c r="I43" s="2"/>
      <c r="J43" s="2"/>
      <c r="K43" s="2"/>
      <c r="L43" s="2"/>
      <c r="M43" s="2"/>
      <c r="N43" s="2"/>
      <c r="O43" s="2"/>
    </row>
    <row r="44" spans="1:22">
      <c r="A44" t="s">
        <v>53</v>
      </c>
      <c r="B44" s="2">
        <v>45269</v>
      </c>
      <c r="C44" s="2">
        <v>55794</v>
      </c>
      <c r="D44" s="2">
        <v>70411</v>
      </c>
      <c r="E44" s="2">
        <v>84974</v>
      </c>
      <c r="F44" s="2">
        <v>87886</v>
      </c>
      <c r="G44" s="2">
        <v>89838</v>
      </c>
      <c r="H44" s="2"/>
      <c r="I44" s="2"/>
      <c r="J44" s="2"/>
      <c r="K44" s="2"/>
      <c r="L44" s="2"/>
      <c r="M44" s="2"/>
      <c r="N44" s="2"/>
      <c r="O44" s="2"/>
    </row>
    <row r="45" spans="1:22">
      <c r="A45" t="s">
        <v>54</v>
      </c>
      <c r="B45" s="2">
        <v>28913</v>
      </c>
      <c r="C45" s="2">
        <v>40173</v>
      </c>
      <c r="D45" s="2">
        <v>51901</v>
      </c>
      <c r="E45" s="2">
        <v>64487</v>
      </c>
      <c r="F45" s="2">
        <v>69025</v>
      </c>
      <c r="G45" s="2"/>
      <c r="H45" s="2"/>
      <c r="I45" s="2"/>
      <c r="J45" s="2"/>
      <c r="K45" s="2"/>
      <c r="L45" s="2"/>
      <c r="M45" s="2"/>
      <c r="N45" s="2"/>
      <c r="O45" s="2"/>
    </row>
    <row r="46" spans="1:22">
      <c r="A46" t="s">
        <v>55</v>
      </c>
      <c r="B46" s="2">
        <v>24902</v>
      </c>
      <c r="C46" s="2">
        <v>33572</v>
      </c>
      <c r="D46" s="2">
        <v>41305</v>
      </c>
      <c r="E46" s="2">
        <v>49737</v>
      </c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2">
      <c r="A47" t="s">
        <v>56</v>
      </c>
      <c r="B47" s="2">
        <v>20642</v>
      </c>
      <c r="C47" s="2">
        <v>28772</v>
      </c>
      <c r="D47" s="2">
        <v>34494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22">
      <c r="A48" t="s">
        <v>57</v>
      </c>
      <c r="B48" s="2">
        <v>42916</v>
      </c>
      <c r="C48" s="2">
        <v>55331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t="s">
        <v>58</v>
      </c>
      <c r="B49" s="2">
        <v>18975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</sheetData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57"/>
  <sheetViews>
    <sheetView tabSelected="1" zoomScale="85" workbookViewId="0">
      <pane ySplit="3" topLeftCell="A4" activePane="bottomLeft" state="frozen"/>
      <selection pane="bottomLeft" activeCell="W22" sqref="W22"/>
    </sheetView>
  </sheetViews>
  <sheetFormatPr defaultRowHeight="12.75"/>
  <cols>
    <col min="1" max="1" width="11.42578125" customWidth="1"/>
    <col min="2" max="2" width="9.5703125" bestFit="1" customWidth="1"/>
    <col min="20" max="20" width="10.5703125" bestFit="1" customWidth="1"/>
  </cols>
  <sheetData>
    <row r="1" spans="1:30">
      <c r="A1" t="s">
        <v>82</v>
      </c>
    </row>
    <row r="3" spans="1:30">
      <c r="B3">
        <v>3</v>
      </c>
      <c r="C3">
        <f>B3+3</f>
        <v>6</v>
      </c>
      <c r="D3">
        <f t="shared" ref="D3:AD3" si="0">C3+3</f>
        <v>9</v>
      </c>
      <c r="E3">
        <f t="shared" si="0"/>
        <v>12</v>
      </c>
      <c r="F3">
        <f t="shared" si="0"/>
        <v>15</v>
      </c>
      <c r="G3">
        <f t="shared" si="0"/>
        <v>18</v>
      </c>
      <c r="H3">
        <f t="shared" si="0"/>
        <v>21</v>
      </c>
      <c r="I3">
        <f t="shared" si="0"/>
        <v>24</v>
      </c>
      <c r="J3">
        <f t="shared" si="0"/>
        <v>27</v>
      </c>
      <c r="K3">
        <f t="shared" si="0"/>
        <v>30</v>
      </c>
      <c r="L3">
        <f t="shared" si="0"/>
        <v>33</v>
      </c>
      <c r="M3">
        <f t="shared" si="0"/>
        <v>36</v>
      </c>
      <c r="N3">
        <f t="shared" si="0"/>
        <v>39</v>
      </c>
      <c r="O3">
        <f t="shared" si="0"/>
        <v>42</v>
      </c>
      <c r="P3">
        <f t="shared" si="0"/>
        <v>45</v>
      </c>
      <c r="Q3">
        <f t="shared" si="0"/>
        <v>48</v>
      </c>
      <c r="R3">
        <f t="shared" si="0"/>
        <v>51</v>
      </c>
      <c r="S3">
        <f t="shared" si="0"/>
        <v>54</v>
      </c>
      <c r="T3">
        <f t="shared" si="0"/>
        <v>57</v>
      </c>
      <c r="U3">
        <f t="shared" si="0"/>
        <v>60</v>
      </c>
      <c r="V3">
        <f t="shared" si="0"/>
        <v>63</v>
      </c>
      <c r="W3">
        <f t="shared" si="0"/>
        <v>66</v>
      </c>
      <c r="X3">
        <f t="shared" si="0"/>
        <v>69</v>
      </c>
      <c r="Y3">
        <f t="shared" si="0"/>
        <v>72</v>
      </c>
      <c r="Z3">
        <f t="shared" si="0"/>
        <v>75</v>
      </c>
      <c r="AA3">
        <f t="shared" si="0"/>
        <v>78</v>
      </c>
      <c r="AB3">
        <f t="shared" si="0"/>
        <v>81</v>
      </c>
      <c r="AC3">
        <f t="shared" si="0"/>
        <v>84</v>
      </c>
      <c r="AD3">
        <f t="shared" si="0"/>
        <v>87</v>
      </c>
    </row>
    <row r="4" spans="1:30">
      <c r="A4" t="s">
        <v>67</v>
      </c>
      <c r="B4">
        <v>5121</v>
      </c>
      <c r="C4" s="2">
        <v>15662</v>
      </c>
      <c r="D4" s="2">
        <v>24950</v>
      </c>
      <c r="E4" s="2">
        <v>36667</v>
      </c>
      <c r="F4" s="2">
        <v>41044</v>
      </c>
      <c r="G4" s="2">
        <v>42461</v>
      </c>
      <c r="H4" s="2">
        <v>44191</v>
      </c>
      <c r="I4" s="2">
        <v>45528</v>
      </c>
      <c r="J4" s="2">
        <v>46321</v>
      </c>
      <c r="K4" s="2">
        <v>47976</v>
      </c>
      <c r="L4" s="2">
        <v>48898</v>
      </c>
      <c r="M4" s="2">
        <v>49439</v>
      </c>
      <c r="N4" s="2">
        <v>50413</v>
      </c>
      <c r="O4" s="2">
        <v>52508</v>
      </c>
      <c r="P4" s="2">
        <v>53010</v>
      </c>
      <c r="Q4" s="2">
        <v>52952</v>
      </c>
      <c r="R4" s="2">
        <v>52987</v>
      </c>
      <c r="S4" s="2">
        <v>54433</v>
      </c>
      <c r="T4" s="2">
        <v>54844</v>
      </c>
      <c r="U4" s="2">
        <v>54908</v>
      </c>
      <c r="V4" s="2">
        <v>55464</v>
      </c>
      <c r="W4" s="2">
        <v>56489</v>
      </c>
      <c r="X4" s="2">
        <v>56740</v>
      </c>
      <c r="Y4" s="2">
        <v>56907</v>
      </c>
      <c r="Z4" s="2">
        <v>56968</v>
      </c>
      <c r="AA4" s="2">
        <v>57660</v>
      </c>
      <c r="AB4" s="2">
        <v>58013</v>
      </c>
      <c r="AC4" s="2">
        <v>58319</v>
      </c>
      <c r="AD4" s="2">
        <v>58893</v>
      </c>
    </row>
    <row r="5" spans="1:30">
      <c r="A5" t="s">
        <v>68</v>
      </c>
      <c r="B5" s="2">
        <v>1336</v>
      </c>
      <c r="C5" s="2">
        <v>5853</v>
      </c>
      <c r="D5" s="2">
        <v>10153</v>
      </c>
      <c r="E5" s="2">
        <v>15218</v>
      </c>
      <c r="F5" s="2">
        <v>18928</v>
      </c>
      <c r="G5" s="2">
        <v>20151</v>
      </c>
      <c r="H5" s="2">
        <v>21293</v>
      </c>
      <c r="I5" s="2">
        <v>21821</v>
      </c>
      <c r="J5" s="2">
        <v>22244</v>
      </c>
      <c r="K5" s="2">
        <v>22889</v>
      </c>
      <c r="L5" s="2">
        <v>23270</v>
      </c>
      <c r="M5" s="2">
        <v>23466</v>
      </c>
      <c r="N5" s="2">
        <v>23802</v>
      </c>
      <c r="O5" s="2">
        <v>24369</v>
      </c>
      <c r="P5" s="2">
        <v>24713</v>
      </c>
      <c r="Q5" s="2">
        <v>24840</v>
      </c>
      <c r="R5" s="2">
        <v>25085</v>
      </c>
      <c r="S5" s="2">
        <v>25447</v>
      </c>
      <c r="T5" s="2">
        <v>25598</v>
      </c>
      <c r="U5" s="2">
        <v>25913</v>
      </c>
      <c r="V5" s="2">
        <v>25430</v>
      </c>
      <c r="W5" s="2">
        <v>25511</v>
      </c>
      <c r="X5" s="2">
        <v>25527</v>
      </c>
      <c r="Y5" s="2">
        <v>25784</v>
      </c>
      <c r="Z5" s="2">
        <v>25905</v>
      </c>
      <c r="AA5" s="2">
        <v>26036</v>
      </c>
      <c r="AB5" s="2">
        <v>26257</v>
      </c>
      <c r="AC5" s="2">
        <v>26439</v>
      </c>
      <c r="AD5" s="2">
        <v>26396</v>
      </c>
    </row>
    <row r="6" spans="1:30">
      <c r="A6" t="s">
        <v>69</v>
      </c>
      <c r="B6" s="2">
        <v>2746</v>
      </c>
      <c r="C6" s="2">
        <v>6798</v>
      </c>
      <c r="D6" s="2">
        <v>11408</v>
      </c>
      <c r="E6" s="2">
        <v>17227</v>
      </c>
      <c r="F6" s="2">
        <v>20523</v>
      </c>
      <c r="G6" s="2">
        <v>23076</v>
      </c>
      <c r="H6" s="2">
        <v>23954</v>
      </c>
      <c r="I6" s="2">
        <v>24351</v>
      </c>
      <c r="J6" s="2">
        <v>24730</v>
      </c>
      <c r="K6" s="2">
        <v>25218</v>
      </c>
      <c r="L6" s="2">
        <v>25765</v>
      </c>
      <c r="M6" s="2">
        <v>26065</v>
      </c>
      <c r="N6" s="2">
        <v>26897</v>
      </c>
      <c r="O6" s="2">
        <v>27294</v>
      </c>
      <c r="P6" s="2">
        <v>27873</v>
      </c>
      <c r="Q6" s="2">
        <v>28168</v>
      </c>
      <c r="R6" s="2">
        <v>28054</v>
      </c>
      <c r="S6" s="2">
        <v>28433</v>
      </c>
      <c r="T6" s="2">
        <v>28783</v>
      </c>
      <c r="U6" s="2">
        <v>28888</v>
      </c>
      <c r="V6" s="2">
        <v>28887</v>
      </c>
      <c r="W6" s="2">
        <v>29261</v>
      </c>
      <c r="X6" s="2">
        <v>29942</v>
      </c>
      <c r="Y6" s="2">
        <v>29959</v>
      </c>
      <c r="Z6" s="2">
        <v>29857</v>
      </c>
      <c r="AA6" s="2">
        <v>30384</v>
      </c>
      <c r="AB6" s="2">
        <v>30332</v>
      </c>
      <c r="AC6" s="2">
        <v>30414</v>
      </c>
      <c r="AD6" s="2">
        <v>30496</v>
      </c>
    </row>
    <row r="7" spans="1:30">
      <c r="A7" t="s">
        <v>70</v>
      </c>
      <c r="B7" s="2">
        <v>1393</v>
      </c>
      <c r="C7" s="2">
        <v>5284</v>
      </c>
      <c r="D7" s="2">
        <v>8929</v>
      </c>
      <c r="E7" s="2">
        <v>14264</v>
      </c>
      <c r="F7" s="2">
        <v>18651</v>
      </c>
      <c r="G7" s="2">
        <v>19243</v>
      </c>
      <c r="H7" s="2">
        <v>20080</v>
      </c>
      <c r="I7" s="2">
        <v>20759</v>
      </c>
      <c r="J7" s="2">
        <v>20954</v>
      </c>
      <c r="K7" s="2">
        <v>20376</v>
      </c>
      <c r="L7" s="2">
        <v>20143</v>
      </c>
      <c r="M7" s="2">
        <v>20504</v>
      </c>
      <c r="N7" s="2">
        <v>20549</v>
      </c>
      <c r="O7" s="2">
        <v>20782</v>
      </c>
      <c r="P7" s="2">
        <v>21110</v>
      </c>
      <c r="Q7" s="2">
        <v>21056</v>
      </c>
      <c r="R7" s="2">
        <v>21408</v>
      </c>
      <c r="S7" s="2">
        <v>21919</v>
      </c>
      <c r="T7" s="2">
        <v>22129</v>
      </c>
      <c r="U7" s="2">
        <v>22130</v>
      </c>
      <c r="V7" s="2">
        <v>22260</v>
      </c>
      <c r="W7" s="2">
        <v>22825</v>
      </c>
      <c r="X7" s="2">
        <v>22942</v>
      </c>
      <c r="Y7" s="2">
        <v>22721</v>
      </c>
      <c r="Z7" s="2">
        <v>22697</v>
      </c>
      <c r="AA7" s="2">
        <v>22990</v>
      </c>
      <c r="AB7" s="2">
        <v>23351</v>
      </c>
      <c r="AC7" s="2">
        <v>23331</v>
      </c>
      <c r="AD7" s="2">
        <v>23639</v>
      </c>
    </row>
    <row r="8" spans="1:30">
      <c r="A8" t="s">
        <v>71</v>
      </c>
      <c r="B8" s="2">
        <v>6618</v>
      </c>
      <c r="C8" s="2">
        <v>17632</v>
      </c>
      <c r="D8" s="2">
        <v>31538</v>
      </c>
      <c r="E8" s="2">
        <v>46077</v>
      </c>
      <c r="F8" s="2">
        <v>51318</v>
      </c>
      <c r="G8" s="2">
        <v>54927</v>
      </c>
      <c r="H8" s="2">
        <v>58153</v>
      </c>
      <c r="I8" s="2">
        <v>59814</v>
      </c>
      <c r="J8" s="2">
        <v>61636</v>
      </c>
      <c r="K8" s="2">
        <v>63827</v>
      </c>
      <c r="L8" s="2">
        <v>65053</v>
      </c>
      <c r="M8" s="2">
        <v>65301</v>
      </c>
      <c r="N8" s="2">
        <v>66273</v>
      </c>
      <c r="O8" s="2">
        <v>67631</v>
      </c>
      <c r="P8" s="2">
        <v>68177</v>
      </c>
      <c r="Q8" s="2">
        <v>68656</v>
      </c>
      <c r="R8" s="2">
        <v>69571</v>
      </c>
      <c r="S8" s="2">
        <v>70581</v>
      </c>
      <c r="T8" s="2">
        <v>70598</v>
      </c>
      <c r="U8" s="2">
        <v>70630</v>
      </c>
      <c r="V8" s="2">
        <v>70699</v>
      </c>
      <c r="W8" s="2">
        <v>73199</v>
      </c>
      <c r="X8" s="2">
        <v>73429</v>
      </c>
      <c r="Y8" s="2">
        <v>73673</v>
      </c>
      <c r="Z8" s="2">
        <v>74127</v>
      </c>
      <c r="AA8" s="2">
        <v>75675</v>
      </c>
      <c r="AB8" s="2">
        <v>76027</v>
      </c>
      <c r="AC8" s="2">
        <v>76207</v>
      </c>
      <c r="AD8" s="2">
        <v>76291</v>
      </c>
    </row>
    <row r="9" spans="1:30">
      <c r="A9" t="s">
        <v>72</v>
      </c>
      <c r="B9" s="2">
        <v>2417</v>
      </c>
      <c r="C9" s="2">
        <v>9115</v>
      </c>
      <c r="D9" s="2">
        <v>17939</v>
      </c>
      <c r="E9" s="2">
        <v>24030</v>
      </c>
      <c r="F9" s="2">
        <v>30204</v>
      </c>
      <c r="G9" s="2">
        <v>33393</v>
      </c>
      <c r="H9" s="2">
        <v>35277</v>
      </c>
      <c r="I9" s="2">
        <v>36237</v>
      </c>
      <c r="J9" s="2">
        <v>36887</v>
      </c>
      <c r="K9" s="2">
        <v>37701</v>
      </c>
      <c r="L9" s="2">
        <v>38636</v>
      </c>
      <c r="M9" s="2">
        <v>39640</v>
      </c>
      <c r="N9" s="2">
        <v>29583</v>
      </c>
      <c r="O9" s="2">
        <v>40520</v>
      </c>
      <c r="P9" s="2">
        <v>41687</v>
      </c>
      <c r="Q9" s="2">
        <v>41786</v>
      </c>
      <c r="R9" s="2">
        <v>41658</v>
      </c>
      <c r="S9" s="2">
        <v>41944</v>
      </c>
      <c r="T9" s="2">
        <v>42229</v>
      </c>
      <c r="U9" s="2">
        <v>42602</v>
      </c>
      <c r="V9" s="2">
        <v>42760</v>
      </c>
      <c r="W9" s="2">
        <v>43323</v>
      </c>
      <c r="X9" s="2">
        <v>43870</v>
      </c>
      <c r="Y9" s="2">
        <v>44107</v>
      </c>
      <c r="Z9" s="2">
        <v>44278</v>
      </c>
      <c r="AA9" s="2">
        <v>44652</v>
      </c>
      <c r="AB9" s="2">
        <v>45046</v>
      </c>
      <c r="AC9" s="2">
        <v>45296</v>
      </c>
      <c r="AD9" s="2">
        <v>45746</v>
      </c>
    </row>
    <row r="10" spans="1:30">
      <c r="A10" t="s">
        <v>73</v>
      </c>
      <c r="B10" s="2">
        <v>3847</v>
      </c>
      <c r="C10" s="2">
        <v>13981</v>
      </c>
      <c r="D10" s="2">
        <v>22896</v>
      </c>
      <c r="E10" s="2">
        <v>34132</v>
      </c>
      <c r="F10" s="2">
        <v>41523</v>
      </c>
      <c r="G10" s="2">
        <v>46100</v>
      </c>
      <c r="H10" s="2">
        <v>46809</v>
      </c>
      <c r="I10" s="2">
        <v>47718</v>
      </c>
      <c r="J10" s="2">
        <v>48853</v>
      </c>
      <c r="K10" s="2">
        <v>49485</v>
      </c>
      <c r="L10" s="2">
        <v>50490</v>
      </c>
      <c r="M10" s="2">
        <v>50804</v>
      </c>
      <c r="N10" s="2">
        <v>50749</v>
      </c>
      <c r="O10" s="2">
        <v>51796</v>
      </c>
      <c r="P10" s="2">
        <v>52028</v>
      </c>
      <c r="Q10" s="2">
        <v>52557</v>
      </c>
      <c r="R10" s="2">
        <v>52925</v>
      </c>
      <c r="S10" s="2">
        <v>53334</v>
      </c>
      <c r="T10" s="2">
        <v>54047</v>
      </c>
      <c r="U10" s="2">
        <v>54796</v>
      </c>
      <c r="V10" s="2">
        <v>55246</v>
      </c>
      <c r="W10" s="2">
        <v>55600</v>
      </c>
      <c r="X10" s="2">
        <v>55619</v>
      </c>
      <c r="Y10" s="2">
        <v>55744</v>
      </c>
      <c r="Z10" s="2">
        <v>55635</v>
      </c>
      <c r="AA10" s="2">
        <v>56128</v>
      </c>
      <c r="AB10" s="2">
        <v>56031</v>
      </c>
      <c r="AC10" s="2">
        <v>56762</v>
      </c>
      <c r="AD10" s="2">
        <v>56822</v>
      </c>
    </row>
    <row r="11" spans="1:30">
      <c r="A11" t="s">
        <v>74</v>
      </c>
      <c r="B11" s="2">
        <v>2164</v>
      </c>
      <c r="C11" s="2">
        <v>6559</v>
      </c>
      <c r="D11" s="2">
        <v>12772</v>
      </c>
      <c r="E11" s="2">
        <v>20433</v>
      </c>
      <c r="F11" s="2">
        <v>26052</v>
      </c>
      <c r="G11" s="2">
        <v>27696</v>
      </c>
      <c r="H11" s="2">
        <v>28720</v>
      </c>
      <c r="I11" s="2">
        <v>29155</v>
      </c>
      <c r="J11" s="2">
        <v>29654</v>
      </c>
      <c r="K11" s="2">
        <v>30375</v>
      </c>
      <c r="L11" s="2">
        <v>31281</v>
      </c>
      <c r="M11" s="2">
        <v>31597</v>
      </c>
      <c r="N11" s="2">
        <v>32095</v>
      </c>
      <c r="O11" s="2">
        <v>33051</v>
      </c>
      <c r="P11" s="2">
        <v>33713</v>
      </c>
      <c r="Q11" s="2">
        <v>33797</v>
      </c>
      <c r="R11" s="2">
        <v>34161</v>
      </c>
      <c r="S11" s="2">
        <v>35077</v>
      </c>
      <c r="T11" s="2">
        <v>35629</v>
      </c>
      <c r="U11" s="2">
        <v>35888</v>
      </c>
      <c r="V11" s="2">
        <v>35816</v>
      </c>
      <c r="W11" s="2">
        <v>36806</v>
      </c>
      <c r="X11" s="2">
        <v>37422</v>
      </c>
      <c r="Y11" s="2">
        <v>37734</v>
      </c>
      <c r="Z11" s="2">
        <v>37721</v>
      </c>
      <c r="AA11" s="2">
        <v>37878</v>
      </c>
      <c r="AB11" s="2">
        <v>37977</v>
      </c>
      <c r="AC11" s="2">
        <v>38073</v>
      </c>
      <c r="AD11" s="2">
        <v>38029</v>
      </c>
    </row>
    <row r="12" spans="1:30">
      <c r="A12" t="s">
        <v>75</v>
      </c>
      <c r="B12" s="2">
        <v>11514</v>
      </c>
      <c r="C12" s="2">
        <v>34201</v>
      </c>
      <c r="D12" s="2">
        <v>57070</v>
      </c>
      <c r="E12" s="2">
        <v>84782</v>
      </c>
      <c r="F12" s="2">
        <v>92911</v>
      </c>
      <c r="G12" s="2">
        <v>96041</v>
      </c>
      <c r="H12" s="2">
        <v>98225</v>
      </c>
      <c r="I12" s="2">
        <v>101501</v>
      </c>
      <c r="J12" s="2">
        <v>103660</v>
      </c>
      <c r="K12" s="2">
        <v>105758</v>
      </c>
      <c r="L12" s="2">
        <v>106336</v>
      </c>
      <c r="M12" s="2">
        <v>108721</v>
      </c>
      <c r="N12" s="2">
        <v>110196</v>
      </c>
      <c r="O12" s="2">
        <v>112223</v>
      </c>
      <c r="P12" s="2">
        <v>113596</v>
      </c>
      <c r="Q12" s="2">
        <v>114633</v>
      </c>
      <c r="R12" s="2">
        <v>115792</v>
      </c>
      <c r="S12" s="2">
        <v>118749</v>
      </c>
      <c r="T12" s="2">
        <v>120458</v>
      </c>
      <c r="U12" s="2">
        <v>121027</v>
      </c>
      <c r="V12" s="2">
        <v>121826</v>
      </c>
      <c r="W12" s="2">
        <v>125352</v>
      </c>
      <c r="X12" s="2">
        <v>126865</v>
      </c>
      <c r="Y12" s="2">
        <v>127252</v>
      </c>
      <c r="Z12" s="2">
        <v>127387</v>
      </c>
      <c r="AA12" s="2">
        <v>128918</v>
      </c>
      <c r="AB12" s="2">
        <v>129448</v>
      </c>
      <c r="AC12" s="2">
        <v>129815</v>
      </c>
      <c r="AD12" s="2">
        <v>130355</v>
      </c>
    </row>
    <row r="13" spans="1:30">
      <c r="A13" t="s">
        <v>76</v>
      </c>
      <c r="B13" s="2">
        <v>1252</v>
      </c>
      <c r="C13" s="2">
        <v>14692</v>
      </c>
      <c r="D13" s="2">
        <v>28032</v>
      </c>
      <c r="E13" s="2">
        <v>38282</v>
      </c>
      <c r="F13" s="2">
        <v>46101</v>
      </c>
      <c r="G13" s="2">
        <v>49481</v>
      </c>
      <c r="H13" s="2">
        <v>52737</v>
      </c>
      <c r="I13" s="2">
        <v>54006</v>
      </c>
      <c r="J13" s="2">
        <v>55152</v>
      </c>
      <c r="K13" s="2">
        <v>56674</v>
      </c>
      <c r="L13" s="2">
        <v>58126</v>
      </c>
      <c r="M13" s="2">
        <v>59382</v>
      </c>
      <c r="N13" s="2">
        <v>59953</v>
      </c>
      <c r="O13" s="2">
        <v>60942</v>
      </c>
      <c r="P13" s="2">
        <v>61543</v>
      </c>
      <c r="Q13" s="2">
        <v>62769</v>
      </c>
      <c r="R13" s="2">
        <v>63048</v>
      </c>
      <c r="S13" s="2">
        <v>63992</v>
      </c>
      <c r="T13" s="2">
        <v>64759</v>
      </c>
      <c r="U13" s="2">
        <v>56053</v>
      </c>
      <c r="V13" s="2">
        <v>65140</v>
      </c>
      <c r="W13" s="2">
        <v>66186</v>
      </c>
      <c r="X13" s="2">
        <v>67419</v>
      </c>
      <c r="Y13" s="2">
        <v>68036</v>
      </c>
      <c r="Z13" s="2">
        <v>68140</v>
      </c>
      <c r="AA13" s="2">
        <v>68719</v>
      </c>
      <c r="AB13" s="2">
        <v>69068</v>
      </c>
      <c r="AC13" s="2">
        <v>69417</v>
      </c>
      <c r="AD13" s="2">
        <v>69467</v>
      </c>
    </row>
    <row r="14" spans="1:30">
      <c r="A14" t="s">
        <v>77</v>
      </c>
      <c r="B14" s="2">
        <v>6670</v>
      </c>
      <c r="C14" s="2">
        <v>20522</v>
      </c>
      <c r="D14" s="2">
        <v>32059</v>
      </c>
      <c r="E14" s="2">
        <v>46939</v>
      </c>
      <c r="F14" s="2">
        <v>56233</v>
      </c>
      <c r="G14" s="2">
        <v>63095</v>
      </c>
      <c r="H14" s="2">
        <v>63724</v>
      </c>
      <c r="I14" s="2">
        <v>65004</v>
      </c>
      <c r="J14" s="2">
        <v>65887</v>
      </c>
      <c r="K14" s="2">
        <v>68960</v>
      </c>
      <c r="L14" s="2">
        <v>69613</v>
      </c>
      <c r="M14" s="2">
        <v>70522</v>
      </c>
      <c r="N14" s="2">
        <v>71368</v>
      </c>
      <c r="O14" s="2">
        <v>73005</v>
      </c>
      <c r="P14" s="2">
        <v>73711</v>
      </c>
      <c r="Q14" s="2">
        <v>73961</v>
      </c>
      <c r="R14" s="2">
        <v>73350</v>
      </c>
      <c r="S14" s="2">
        <v>74704</v>
      </c>
      <c r="T14" s="2">
        <v>76207</v>
      </c>
      <c r="U14" s="2">
        <v>76344</v>
      </c>
      <c r="V14" s="2">
        <v>77005</v>
      </c>
      <c r="W14" s="2">
        <v>78223</v>
      </c>
      <c r="X14" s="2">
        <v>79734</v>
      </c>
      <c r="Y14" s="2">
        <v>80044</v>
      </c>
      <c r="Z14" s="2">
        <v>80055</v>
      </c>
      <c r="AA14" s="2">
        <v>79700</v>
      </c>
      <c r="AB14" s="2">
        <v>79826</v>
      </c>
      <c r="AC14" s="2">
        <v>80048</v>
      </c>
      <c r="AD14" s="2">
        <v>80598</v>
      </c>
    </row>
    <row r="15" spans="1:30">
      <c r="A15" t="s">
        <v>78</v>
      </c>
      <c r="B15" s="2">
        <v>3531</v>
      </c>
      <c r="C15" s="2">
        <v>10914</v>
      </c>
      <c r="D15" s="2">
        <v>19770</v>
      </c>
      <c r="E15" s="2">
        <v>31772</v>
      </c>
      <c r="F15" s="2">
        <v>40050</v>
      </c>
      <c r="G15" s="2">
        <v>42163</v>
      </c>
      <c r="H15" s="2">
        <v>43055</v>
      </c>
      <c r="I15" s="2">
        <v>43374</v>
      </c>
      <c r="J15" s="2">
        <v>44117</v>
      </c>
      <c r="K15" s="2">
        <v>46067</v>
      </c>
      <c r="L15" s="2">
        <v>46648</v>
      </c>
      <c r="M15" s="2">
        <v>47551</v>
      </c>
      <c r="N15" s="2">
        <v>47994</v>
      </c>
      <c r="O15" s="2">
        <v>49949</v>
      </c>
      <c r="P15" s="2">
        <v>50459</v>
      </c>
      <c r="Q15" s="2">
        <v>50798</v>
      </c>
      <c r="R15" s="2">
        <v>51492</v>
      </c>
      <c r="S15" s="2">
        <v>52429</v>
      </c>
      <c r="T15" s="2">
        <v>52185</v>
      </c>
      <c r="U15" s="2">
        <v>52937</v>
      </c>
      <c r="V15" s="2">
        <v>53475</v>
      </c>
      <c r="W15" s="2">
        <v>53905</v>
      </c>
      <c r="X15" s="2">
        <v>54533</v>
      </c>
      <c r="Y15" s="2">
        <v>54659</v>
      </c>
      <c r="Z15" s="2">
        <v>54858</v>
      </c>
      <c r="AA15" s="2">
        <v>55874</v>
      </c>
      <c r="AB15" s="2">
        <v>55290</v>
      </c>
      <c r="AC15" s="2">
        <v>55033</v>
      </c>
      <c r="AD15" s="2">
        <v>55170</v>
      </c>
    </row>
    <row r="16" spans="1:30">
      <c r="A16" t="s">
        <v>79</v>
      </c>
      <c r="B16" s="2">
        <v>14331</v>
      </c>
      <c r="C16" s="2">
        <v>38985</v>
      </c>
      <c r="D16" s="2">
        <v>63615</v>
      </c>
      <c r="E16" s="2">
        <v>99612</v>
      </c>
      <c r="F16" s="2">
        <v>109338</v>
      </c>
      <c r="G16" s="2">
        <v>115105</v>
      </c>
      <c r="H16" s="2">
        <v>118102</v>
      </c>
      <c r="I16" s="2">
        <v>121940</v>
      </c>
      <c r="J16" s="2">
        <v>124300</v>
      </c>
      <c r="K16" s="2">
        <v>127112</v>
      </c>
      <c r="L16" s="2">
        <v>129821</v>
      </c>
      <c r="M16" s="2">
        <v>131477</v>
      </c>
      <c r="N16" s="2">
        <v>133952</v>
      </c>
      <c r="O16" s="2">
        <v>139149</v>
      </c>
      <c r="P16" s="2">
        <v>141803</v>
      </c>
      <c r="Q16" s="2">
        <v>141276</v>
      </c>
      <c r="R16" s="2">
        <v>142446</v>
      </c>
      <c r="S16" s="2">
        <v>144528</v>
      </c>
      <c r="T16" s="2">
        <v>148673</v>
      </c>
      <c r="U16" s="2">
        <v>149820</v>
      </c>
      <c r="V16" s="2">
        <v>150424</v>
      </c>
      <c r="W16" s="2">
        <v>153151</v>
      </c>
      <c r="X16" s="2">
        <v>154266</v>
      </c>
      <c r="Y16" s="2">
        <v>155533</v>
      </c>
      <c r="Z16" s="2">
        <v>156039</v>
      </c>
      <c r="AA16" s="2">
        <v>157514</v>
      </c>
      <c r="AB16" s="2">
        <v>158046</v>
      </c>
      <c r="AC16" s="2">
        <v>157870</v>
      </c>
      <c r="AD16" s="2">
        <v>158282</v>
      </c>
    </row>
    <row r="17" spans="1:30">
      <c r="A17" t="s">
        <v>80</v>
      </c>
      <c r="B17" s="2">
        <v>4768</v>
      </c>
      <c r="C17" s="2">
        <v>17534</v>
      </c>
      <c r="D17" s="2">
        <v>32808</v>
      </c>
      <c r="E17" s="2">
        <v>45213</v>
      </c>
      <c r="F17" s="2">
        <v>54351</v>
      </c>
      <c r="G17" s="2">
        <v>58712</v>
      </c>
      <c r="H17" s="2">
        <v>61941</v>
      </c>
      <c r="I17" s="2">
        <v>62548</v>
      </c>
      <c r="J17" s="2">
        <v>63559</v>
      </c>
      <c r="K17" s="2">
        <v>65340</v>
      </c>
      <c r="L17" s="2">
        <v>66158</v>
      </c>
      <c r="M17" s="2">
        <v>66925</v>
      </c>
      <c r="N17" s="2">
        <v>67544</v>
      </c>
      <c r="O17" s="2">
        <v>69077</v>
      </c>
      <c r="P17" s="2">
        <v>70913</v>
      </c>
      <c r="Q17" s="2">
        <v>71454</v>
      </c>
      <c r="R17" s="2">
        <v>71585</v>
      </c>
      <c r="S17" s="2">
        <v>72392</v>
      </c>
      <c r="T17" s="2">
        <v>73624</v>
      </c>
      <c r="U17" s="2">
        <v>73956</v>
      </c>
      <c r="V17" s="2">
        <v>74188</v>
      </c>
      <c r="W17" s="2">
        <v>75425</v>
      </c>
      <c r="X17" s="2">
        <v>76073</v>
      </c>
      <c r="Y17" s="2">
        <v>76103</v>
      </c>
      <c r="Z17" s="2">
        <v>76481</v>
      </c>
      <c r="AA17" s="2">
        <v>77332</v>
      </c>
      <c r="AB17" s="2">
        <v>77791</v>
      </c>
      <c r="AC17" s="2">
        <v>77708</v>
      </c>
      <c r="AD17" s="2">
        <v>77451</v>
      </c>
    </row>
    <row r="18" spans="1:30">
      <c r="A18" t="s">
        <v>17</v>
      </c>
      <c r="B18" s="2">
        <v>8412</v>
      </c>
      <c r="C18" s="2">
        <v>23354</v>
      </c>
      <c r="D18" s="2">
        <v>38500</v>
      </c>
      <c r="E18" s="2">
        <v>56764</v>
      </c>
      <c r="F18" s="2">
        <v>67709</v>
      </c>
      <c r="G18" s="2">
        <v>77373</v>
      </c>
      <c r="H18" s="2">
        <v>79521</v>
      </c>
      <c r="I18" s="2">
        <v>81580</v>
      </c>
      <c r="J18" s="2">
        <v>83222</v>
      </c>
      <c r="K18" s="2">
        <v>85252</v>
      </c>
      <c r="L18" s="2">
        <v>86910</v>
      </c>
      <c r="M18" s="2">
        <v>87978</v>
      </c>
      <c r="N18" s="2">
        <v>88660</v>
      </c>
      <c r="O18" s="2">
        <v>90047</v>
      </c>
      <c r="P18" s="2">
        <v>91273</v>
      </c>
      <c r="Q18" s="2">
        <v>94974</v>
      </c>
      <c r="R18" s="2">
        <v>92426</v>
      </c>
      <c r="S18" s="2">
        <v>95555</v>
      </c>
      <c r="T18" s="2">
        <v>96936</v>
      </c>
      <c r="U18" s="2">
        <v>97662</v>
      </c>
      <c r="V18" s="2">
        <v>98212</v>
      </c>
      <c r="W18" s="2">
        <v>100275</v>
      </c>
      <c r="X18" s="2">
        <v>100574</v>
      </c>
      <c r="Y18" s="2">
        <v>100919</v>
      </c>
      <c r="Z18" s="2">
        <v>101009</v>
      </c>
      <c r="AA18" s="2">
        <v>102059</v>
      </c>
      <c r="AB18" s="2">
        <v>102416</v>
      </c>
      <c r="AC18" s="2">
        <v>102215</v>
      </c>
      <c r="AD18" s="2">
        <v>102064</v>
      </c>
    </row>
    <row r="19" spans="1:30">
      <c r="A19" t="s">
        <v>18</v>
      </c>
      <c r="B19" s="2">
        <v>4329</v>
      </c>
      <c r="C19" s="2">
        <v>13671</v>
      </c>
      <c r="D19" s="2">
        <v>25907</v>
      </c>
      <c r="E19" s="2">
        <v>37740</v>
      </c>
      <c r="F19" s="2">
        <v>49263</v>
      </c>
      <c r="G19" s="2">
        <v>49770</v>
      </c>
      <c r="H19" s="2">
        <v>50940</v>
      </c>
      <c r="I19" s="2">
        <v>52428</v>
      </c>
      <c r="J19" s="2">
        <v>53018</v>
      </c>
      <c r="K19" s="2">
        <v>54637</v>
      </c>
      <c r="L19" s="2">
        <v>56396</v>
      </c>
      <c r="M19" s="2">
        <v>56994</v>
      </c>
      <c r="N19" s="2">
        <v>57460</v>
      </c>
      <c r="O19" s="2">
        <v>58666</v>
      </c>
      <c r="P19" s="2">
        <v>59490</v>
      </c>
      <c r="Q19" s="2">
        <v>59750</v>
      </c>
      <c r="R19" s="2">
        <v>60308</v>
      </c>
      <c r="S19" s="2">
        <v>61187</v>
      </c>
      <c r="T19" s="2">
        <v>62269</v>
      </c>
      <c r="U19" s="2">
        <v>62746</v>
      </c>
      <c r="V19" s="2">
        <v>62840</v>
      </c>
      <c r="W19" s="2">
        <v>64157</v>
      </c>
      <c r="X19" s="2">
        <v>64589</v>
      </c>
      <c r="Y19" s="2">
        <v>64652</v>
      </c>
      <c r="Z19" s="2">
        <v>64690</v>
      </c>
      <c r="AA19" s="2">
        <v>65264</v>
      </c>
      <c r="AB19" s="2">
        <v>65408</v>
      </c>
      <c r="AC19" s="2">
        <v>65176</v>
      </c>
      <c r="AD19" s="2">
        <v>65339</v>
      </c>
    </row>
    <row r="20" spans="1:30">
      <c r="A20" t="s">
        <v>19</v>
      </c>
      <c r="B20" s="2">
        <v>13373</v>
      </c>
      <c r="C20" s="2">
        <v>36138</v>
      </c>
      <c r="D20" s="2">
        <v>63600</v>
      </c>
      <c r="E20" s="2">
        <v>101166</v>
      </c>
      <c r="F20" s="2">
        <v>113655</v>
      </c>
      <c r="G20" s="2">
        <v>120053</v>
      </c>
      <c r="H20" s="2">
        <v>124721</v>
      </c>
      <c r="I20" s="2">
        <v>128107</v>
      </c>
      <c r="J20" s="2">
        <v>130850</v>
      </c>
      <c r="K20" s="2">
        <v>135171</v>
      </c>
      <c r="L20" s="2">
        <v>137613</v>
      </c>
      <c r="M20" s="2">
        <v>139866</v>
      </c>
      <c r="N20" s="2">
        <v>141475</v>
      </c>
      <c r="O20" s="2">
        <v>144080</v>
      </c>
      <c r="P20" s="2">
        <v>146880</v>
      </c>
      <c r="Q20" s="2">
        <v>148007</v>
      </c>
      <c r="R20" s="2">
        <v>148826</v>
      </c>
      <c r="S20" s="2">
        <v>151169</v>
      </c>
      <c r="T20" s="2">
        <v>152187</v>
      </c>
      <c r="U20" s="2">
        <v>152686</v>
      </c>
      <c r="V20" s="2">
        <v>153406</v>
      </c>
      <c r="W20" s="2">
        <v>154758</v>
      </c>
      <c r="X20" s="2">
        <v>155466</v>
      </c>
      <c r="Y20" s="2">
        <v>155732</v>
      </c>
      <c r="Z20" s="2">
        <v>156009</v>
      </c>
      <c r="AA20" s="2">
        <v>155950</v>
      </c>
      <c r="AB20" s="2">
        <v>156064</v>
      </c>
      <c r="AC20" s="2">
        <v>155915</v>
      </c>
      <c r="AD20" s="2">
        <v>155738</v>
      </c>
    </row>
    <row r="21" spans="1:30">
      <c r="A21" t="s">
        <v>20</v>
      </c>
      <c r="B21" s="2">
        <v>6190</v>
      </c>
      <c r="C21" s="2">
        <v>20923</v>
      </c>
      <c r="D21" s="2">
        <v>41460</v>
      </c>
      <c r="E21" s="2">
        <v>56846</v>
      </c>
      <c r="F21" s="2">
        <v>67724</v>
      </c>
      <c r="G21" s="2">
        <v>73502</v>
      </c>
      <c r="H21" s="2">
        <v>76331</v>
      </c>
      <c r="I21" s="2">
        <v>76489</v>
      </c>
      <c r="J21" s="2">
        <v>78388</v>
      </c>
      <c r="K21" s="2">
        <v>80981</v>
      </c>
      <c r="L21" s="2">
        <v>82914</v>
      </c>
      <c r="M21" s="2">
        <v>84044</v>
      </c>
      <c r="N21" s="2">
        <v>84277</v>
      </c>
      <c r="O21" s="2">
        <v>86082</v>
      </c>
      <c r="P21" s="2">
        <v>88294</v>
      </c>
      <c r="Q21" s="2">
        <v>89146</v>
      </c>
      <c r="R21" s="2">
        <v>89288</v>
      </c>
      <c r="S21" s="2">
        <v>90538</v>
      </c>
      <c r="T21" s="2">
        <v>92262</v>
      </c>
      <c r="U21" s="2">
        <v>92860</v>
      </c>
      <c r="V21" s="2">
        <v>93825</v>
      </c>
      <c r="W21" s="2">
        <v>93815</v>
      </c>
      <c r="X21" s="2">
        <v>93787</v>
      </c>
      <c r="Y21" s="2">
        <v>93977</v>
      </c>
      <c r="Z21" s="2">
        <v>93987</v>
      </c>
      <c r="AA21" s="2">
        <v>94197</v>
      </c>
      <c r="AB21" s="2">
        <v>94251</v>
      </c>
      <c r="AC21" s="2">
        <v>94124</v>
      </c>
      <c r="AD21" s="2">
        <v>94067</v>
      </c>
    </row>
    <row r="22" spans="1:30">
      <c r="A22" t="s">
        <v>21</v>
      </c>
      <c r="B22" s="2">
        <v>6916</v>
      </c>
      <c r="C22" s="2">
        <v>20545</v>
      </c>
      <c r="D22" s="2">
        <v>34772</v>
      </c>
      <c r="E22" s="2">
        <v>50554</v>
      </c>
      <c r="F22" s="2">
        <v>63347</v>
      </c>
      <c r="G22" s="2">
        <v>71999</v>
      </c>
      <c r="H22" s="2">
        <v>73728</v>
      </c>
      <c r="I22" s="2">
        <v>74396</v>
      </c>
      <c r="J22" s="2">
        <v>75834</v>
      </c>
      <c r="K22" s="2">
        <v>78082</v>
      </c>
      <c r="L22" s="2">
        <v>79412</v>
      </c>
      <c r="M22" s="2">
        <v>80223</v>
      </c>
      <c r="N22" s="2">
        <v>80531</v>
      </c>
      <c r="O22" s="2">
        <v>82220</v>
      </c>
      <c r="P22" s="2">
        <v>83299</v>
      </c>
      <c r="Q22" s="2">
        <v>83605</v>
      </c>
      <c r="R22" s="2">
        <v>84078</v>
      </c>
      <c r="S22" s="2">
        <v>85487</v>
      </c>
      <c r="T22" s="2">
        <v>85962</v>
      </c>
      <c r="U22" s="2">
        <v>86393</v>
      </c>
      <c r="V22" s="2">
        <v>86795</v>
      </c>
      <c r="W22" s="2">
        <v>87781</v>
      </c>
      <c r="X22" s="2">
        <v>89697</v>
      </c>
      <c r="Y22" s="2">
        <v>89780</v>
      </c>
      <c r="Z22" s="2">
        <v>89457</v>
      </c>
      <c r="AA22" s="2">
        <v>89473</v>
      </c>
      <c r="AB22" s="2">
        <v>89042</v>
      </c>
      <c r="AC22" s="2">
        <v>88908</v>
      </c>
      <c r="AD22" s="2"/>
    </row>
    <row r="23" spans="1:30">
      <c r="A23" t="s">
        <v>22</v>
      </c>
      <c r="B23" s="2">
        <v>4087</v>
      </c>
      <c r="C23" s="2">
        <v>11179</v>
      </c>
      <c r="D23" s="2">
        <v>21183</v>
      </c>
      <c r="E23" s="2">
        <v>34005</v>
      </c>
      <c r="F23" s="2">
        <v>44314</v>
      </c>
      <c r="G23" s="2">
        <v>45861</v>
      </c>
      <c r="H23" s="2">
        <v>46854</v>
      </c>
      <c r="I23" s="2">
        <v>47968</v>
      </c>
      <c r="J23" s="2">
        <v>49482</v>
      </c>
      <c r="K23" s="2">
        <v>51114</v>
      </c>
      <c r="L23" s="2">
        <v>52248</v>
      </c>
      <c r="M23" s="2">
        <v>53089</v>
      </c>
      <c r="N23" s="2">
        <v>53407</v>
      </c>
      <c r="O23" s="2">
        <v>54507</v>
      </c>
      <c r="P23" s="2">
        <v>55421</v>
      </c>
      <c r="Q23" s="2">
        <v>55937</v>
      </c>
      <c r="R23" s="2">
        <v>56157</v>
      </c>
      <c r="S23" s="2">
        <v>56968</v>
      </c>
      <c r="T23" s="2">
        <v>57732</v>
      </c>
      <c r="U23" s="2">
        <v>57913</v>
      </c>
      <c r="V23" s="2">
        <v>57606</v>
      </c>
      <c r="W23" s="2">
        <v>58054</v>
      </c>
      <c r="X23" s="2">
        <v>58287</v>
      </c>
      <c r="Y23" s="2">
        <v>58285</v>
      </c>
      <c r="Z23" s="2">
        <v>57871</v>
      </c>
      <c r="AA23" s="2">
        <v>57691</v>
      </c>
      <c r="AB23" s="2">
        <v>57763</v>
      </c>
      <c r="AC23" s="2"/>
    </row>
    <row r="24" spans="1:30">
      <c r="A24" t="s">
        <v>23</v>
      </c>
      <c r="B24" s="2">
        <v>12952</v>
      </c>
      <c r="C24" s="2">
        <v>35571</v>
      </c>
      <c r="D24" s="2">
        <v>63806</v>
      </c>
      <c r="E24" s="2">
        <v>98684</v>
      </c>
      <c r="F24" s="2">
        <v>110159</v>
      </c>
      <c r="G24" s="2">
        <v>115461</v>
      </c>
      <c r="H24" s="2">
        <v>120036</v>
      </c>
      <c r="I24" s="2">
        <v>123446</v>
      </c>
      <c r="J24" s="2">
        <v>124724</v>
      </c>
      <c r="K24" s="2">
        <v>128922</v>
      </c>
      <c r="L24" s="2">
        <v>131384</v>
      </c>
      <c r="M24" s="2">
        <v>133661</v>
      </c>
      <c r="N24" s="2">
        <v>134948</v>
      </c>
      <c r="O24" s="2">
        <v>136050</v>
      </c>
      <c r="P24" s="2">
        <v>139179</v>
      </c>
      <c r="Q24" s="2">
        <v>139464</v>
      </c>
      <c r="R24" s="2">
        <v>140598</v>
      </c>
      <c r="S24" s="2">
        <v>142334</v>
      </c>
      <c r="T24" s="2">
        <v>145198</v>
      </c>
      <c r="U24" s="2">
        <v>150268</v>
      </c>
      <c r="V24" s="2">
        <v>150526</v>
      </c>
      <c r="W24" s="2">
        <v>151031</v>
      </c>
      <c r="X24" s="2">
        <v>151733</v>
      </c>
      <c r="Y24" s="2">
        <v>151487</v>
      </c>
      <c r="Z24" s="2">
        <v>151590</v>
      </c>
      <c r="AA24" s="2">
        <v>152121</v>
      </c>
      <c r="AB24" s="2"/>
      <c r="AD24" s="2"/>
    </row>
    <row r="25" spans="1:30">
      <c r="A25" t="s">
        <v>24</v>
      </c>
      <c r="B25" s="2">
        <v>5451</v>
      </c>
      <c r="C25" s="2">
        <v>22014</v>
      </c>
      <c r="D25" s="2">
        <v>40250</v>
      </c>
      <c r="E25" s="2">
        <v>57358</v>
      </c>
      <c r="F25" s="2">
        <v>71190</v>
      </c>
      <c r="G25" s="2">
        <v>79063</v>
      </c>
      <c r="H25" s="2">
        <v>85346</v>
      </c>
      <c r="I25" s="2">
        <v>85263</v>
      </c>
      <c r="J25" s="2">
        <v>86493</v>
      </c>
      <c r="K25" s="2">
        <v>86786</v>
      </c>
      <c r="L25" s="2">
        <v>88053</v>
      </c>
      <c r="M25" s="2">
        <v>88746</v>
      </c>
      <c r="N25" s="2">
        <v>89616</v>
      </c>
      <c r="O25" s="2">
        <v>91868</v>
      </c>
      <c r="P25" s="2">
        <v>92734</v>
      </c>
      <c r="Q25" s="2">
        <v>93316</v>
      </c>
      <c r="R25" s="2">
        <v>94645</v>
      </c>
      <c r="S25" s="2">
        <v>96219</v>
      </c>
      <c r="T25" s="2">
        <v>97757</v>
      </c>
      <c r="U25" s="2">
        <v>97788</v>
      </c>
      <c r="V25" s="2">
        <v>97436</v>
      </c>
      <c r="W25" s="2">
        <v>97189</v>
      </c>
      <c r="X25" s="2">
        <v>97467</v>
      </c>
      <c r="Y25" s="2">
        <v>97076</v>
      </c>
      <c r="Z25" s="2">
        <v>96809</v>
      </c>
      <c r="AA25" s="2"/>
      <c r="AC25" s="2"/>
      <c r="AD25" s="2"/>
    </row>
    <row r="26" spans="1:30">
      <c r="A26" t="s">
        <v>25</v>
      </c>
      <c r="B26" s="2">
        <v>7869</v>
      </c>
      <c r="C26" s="2">
        <v>21725</v>
      </c>
      <c r="D26" s="2">
        <v>34204</v>
      </c>
      <c r="E26" s="2">
        <v>50512</v>
      </c>
      <c r="F26" s="2">
        <v>62907</v>
      </c>
      <c r="G26" s="2">
        <v>71471</v>
      </c>
      <c r="H26" s="2">
        <v>71946</v>
      </c>
      <c r="I26" s="2">
        <v>72275</v>
      </c>
      <c r="J26" s="2">
        <v>72442</v>
      </c>
      <c r="K26" s="2">
        <v>75215</v>
      </c>
      <c r="L26" s="2">
        <v>76405</v>
      </c>
      <c r="M26" s="2">
        <v>77279</v>
      </c>
      <c r="N26" s="2">
        <v>77522</v>
      </c>
      <c r="O26" s="2">
        <v>79677</v>
      </c>
      <c r="P26" s="2">
        <v>80263</v>
      </c>
      <c r="Q26" s="2">
        <v>79879</v>
      </c>
      <c r="R26" s="2">
        <v>79483</v>
      </c>
      <c r="S26" s="2">
        <v>80475</v>
      </c>
      <c r="T26" s="2">
        <v>81137</v>
      </c>
      <c r="U26" s="2">
        <v>81113</v>
      </c>
      <c r="V26" s="2">
        <v>80897</v>
      </c>
      <c r="W26" s="2">
        <v>81253</v>
      </c>
      <c r="X26" s="2">
        <v>81546</v>
      </c>
      <c r="Y26" s="2">
        <v>81384</v>
      </c>
      <c r="Z26" s="2"/>
      <c r="AB26" s="2"/>
      <c r="AC26" s="2"/>
      <c r="AD26" s="2"/>
    </row>
    <row r="27" spans="1:30">
      <c r="A27" t="s">
        <v>26</v>
      </c>
      <c r="B27" s="2">
        <v>3615</v>
      </c>
      <c r="C27" s="2">
        <v>12348</v>
      </c>
      <c r="D27" s="2">
        <v>23914</v>
      </c>
      <c r="E27" s="2">
        <v>36257</v>
      </c>
      <c r="F27" s="2">
        <v>46573</v>
      </c>
      <c r="G27" s="2">
        <v>49486</v>
      </c>
      <c r="H27" s="2">
        <v>50566</v>
      </c>
      <c r="I27" s="2">
        <v>50507</v>
      </c>
      <c r="J27" s="2">
        <v>51567</v>
      </c>
      <c r="K27" s="2">
        <v>52462</v>
      </c>
      <c r="L27" s="2">
        <v>54081</v>
      </c>
      <c r="M27" s="2">
        <v>54467</v>
      </c>
      <c r="N27" s="2">
        <v>54940</v>
      </c>
      <c r="O27" s="2">
        <v>55296</v>
      </c>
      <c r="P27" s="2">
        <v>55591</v>
      </c>
      <c r="Q27" s="2">
        <v>55467</v>
      </c>
      <c r="R27" s="2">
        <v>55322</v>
      </c>
      <c r="S27" s="2">
        <v>55541</v>
      </c>
      <c r="T27" s="2">
        <v>55780</v>
      </c>
      <c r="U27" s="2">
        <v>55751</v>
      </c>
      <c r="V27" s="2">
        <v>55663</v>
      </c>
      <c r="W27" s="2">
        <v>55652</v>
      </c>
      <c r="X27" s="2">
        <v>55898</v>
      </c>
      <c r="Y27" s="2"/>
      <c r="AA27" s="2"/>
      <c r="AB27" s="2"/>
      <c r="AC27" s="2"/>
      <c r="AD27" s="2"/>
    </row>
    <row r="28" spans="1:30">
      <c r="A28" t="s">
        <v>27</v>
      </c>
      <c r="B28" s="2">
        <v>11397</v>
      </c>
      <c r="C28" s="2">
        <v>33593</v>
      </c>
      <c r="D28" s="2">
        <v>61655</v>
      </c>
      <c r="E28" s="2">
        <v>92142</v>
      </c>
      <c r="F28" s="2">
        <v>102949</v>
      </c>
      <c r="G28" s="2">
        <v>108330</v>
      </c>
      <c r="H28" s="2">
        <v>112488</v>
      </c>
      <c r="I28" s="2">
        <v>116584</v>
      </c>
      <c r="J28" s="2">
        <v>119203</v>
      </c>
      <c r="K28" s="2">
        <v>121216</v>
      </c>
      <c r="L28" s="2">
        <v>124649</v>
      </c>
      <c r="M28" s="2">
        <v>125375</v>
      </c>
      <c r="N28" s="2">
        <v>126285</v>
      </c>
      <c r="O28" s="2">
        <v>127949</v>
      </c>
      <c r="P28" s="2">
        <v>129957</v>
      </c>
      <c r="Q28" s="2">
        <v>129598</v>
      </c>
      <c r="R28" s="2">
        <v>129944</v>
      </c>
      <c r="S28" s="2">
        <v>130944</v>
      </c>
      <c r="T28" s="2">
        <v>131516</v>
      </c>
      <c r="U28" s="2">
        <v>131650</v>
      </c>
      <c r="V28" s="2">
        <v>131233</v>
      </c>
      <c r="W28" s="2">
        <v>131539</v>
      </c>
      <c r="X28" s="2"/>
      <c r="Z28" s="2"/>
      <c r="AA28" s="2"/>
      <c r="AB28" s="2"/>
      <c r="AC28" s="2"/>
      <c r="AD28" s="2"/>
    </row>
    <row r="29" spans="1:30">
      <c r="A29" t="s">
        <v>28</v>
      </c>
      <c r="B29" s="2">
        <v>4842</v>
      </c>
      <c r="C29" s="2">
        <v>19715</v>
      </c>
      <c r="D29" s="2">
        <v>39063</v>
      </c>
      <c r="E29" s="2">
        <v>52236</v>
      </c>
      <c r="F29" s="2">
        <v>64224</v>
      </c>
      <c r="G29" s="2">
        <v>72082</v>
      </c>
      <c r="H29" s="2">
        <v>76852</v>
      </c>
      <c r="I29" s="2">
        <v>78864</v>
      </c>
      <c r="J29" s="2">
        <v>80320</v>
      </c>
      <c r="K29" s="2">
        <v>82985</v>
      </c>
      <c r="L29" s="2">
        <v>89691</v>
      </c>
      <c r="M29" s="2">
        <v>88199</v>
      </c>
      <c r="N29" s="2">
        <v>88955</v>
      </c>
      <c r="O29" s="2">
        <v>90273</v>
      </c>
      <c r="P29" s="2">
        <v>91621</v>
      </c>
      <c r="Q29" s="2">
        <v>91261</v>
      </c>
      <c r="R29" s="2">
        <v>91296</v>
      </c>
      <c r="S29" s="2">
        <v>91058</v>
      </c>
      <c r="T29" s="2">
        <v>91020</v>
      </c>
      <c r="U29" s="2">
        <v>91296</v>
      </c>
      <c r="V29" s="2">
        <v>91423</v>
      </c>
      <c r="W29" s="2"/>
      <c r="Y29" s="2"/>
      <c r="Z29" s="2"/>
      <c r="AA29" s="2"/>
      <c r="AB29" s="2"/>
      <c r="AC29" s="2"/>
      <c r="AD29" s="2"/>
    </row>
    <row r="30" spans="1:30">
      <c r="A30" t="s">
        <v>29</v>
      </c>
      <c r="B30" s="2">
        <v>9511</v>
      </c>
      <c r="C30" s="2">
        <v>25559</v>
      </c>
      <c r="D30" s="2">
        <v>39469</v>
      </c>
      <c r="E30" s="2">
        <v>56952</v>
      </c>
      <c r="F30" s="2">
        <v>68215</v>
      </c>
      <c r="G30" s="2">
        <v>76452</v>
      </c>
      <c r="H30" s="2">
        <v>78668</v>
      </c>
      <c r="I30" s="2">
        <v>79502</v>
      </c>
      <c r="J30" s="2">
        <v>81249</v>
      </c>
      <c r="K30" s="2">
        <v>85440</v>
      </c>
      <c r="L30" s="2">
        <v>86905</v>
      </c>
      <c r="M30" s="2">
        <v>86250</v>
      </c>
      <c r="N30" s="2">
        <v>86565</v>
      </c>
      <c r="O30" s="2">
        <v>87639</v>
      </c>
      <c r="P30" s="2">
        <v>91060</v>
      </c>
      <c r="Q30" s="2">
        <v>90996</v>
      </c>
      <c r="R30" s="2">
        <v>90437</v>
      </c>
      <c r="S30" s="2">
        <v>89844</v>
      </c>
      <c r="T30" s="2">
        <v>89689</v>
      </c>
      <c r="U30" s="2">
        <v>89715</v>
      </c>
      <c r="V30" s="2"/>
      <c r="X30" s="2"/>
      <c r="Y30" s="2"/>
      <c r="Z30" s="2"/>
      <c r="AA30" s="2"/>
      <c r="AB30" s="2"/>
      <c r="AC30" s="2"/>
      <c r="AD30" s="2"/>
    </row>
    <row r="31" spans="1:30">
      <c r="A31" t="s">
        <v>30</v>
      </c>
      <c r="B31" s="2">
        <v>3836</v>
      </c>
      <c r="C31" s="2">
        <v>12606</v>
      </c>
      <c r="D31" s="2">
        <v>22351</v>
      </c>
      <c r="E31" s="2">
        <v>33833</v>
      </c>
      <c r="F31" s="2">
        <v>42925</v>
      </c>
      <c r="G31" s="2">
        <v>46393</v>
      </c>
      <c r="H31" s="2">
        <v>48984</v>
      </c>
      <c r="I31" s="2">
        <v>50954</v>
      </c>
      <c r="J31" s="2">
        <v>52012</v>
      </c>
      <c r="K31" s="2">
        <v>52906</v>
      </c>
      <c r="L31" s="2">
        <v>53893</v>
      </c>
      <c r="M31" s="2">
        <v>53431</v>
      </c>
      <c r="N31" s="2">
        <v>53847</v>
      </c>
      <c r="O31" s="2">
        <v>54473</v>
      </c>
      <c r="P31" s="2">
        <v>55529</v>
      </c>
      <c r="Q31" s="2">
        <v>55502</v>
      </c>
      <c r="R31" s="2">
        <v>55535</v>
      </c>
      <c r="S31" s="2">
        <v>55556</v>
      </c>
      <c r="T31" s="2">
        <v>56032</v>
      </c>
      <c r="U31" s="2"/>
      <c r="W31" s="2"/>
      <c r="X31" s="2"/>
      <c r="Y31" s="2"/>
      <c r="Z31" s="2"/>
      <c r="AA31" s="2"/>
      <c r="AB31" s="2"/>
      <c r="AC31" s="2"/>
      <c r="AD31" s="2"/>
    </row>
    <row r="32" spans="1:30">
      <c r="A32" t="s">
        <v>31</v>
      </c>
      <c r="B32" s="2">
        <v>11677</v>
      </c>
      <c r="C32" s="2">
        <v>32321</v>
      </c>
      <c r="D32" s="2">
        <v>57374</v>
      </c>
      <c r="E32" s="2">
        <v>83863</v>
      </c>
      <c r="F32" s="2">
        <v>94633</v>
      </c>
      <c r="G32" s="2">
        <v>102035</v>
      </c>
      <c r="H32" s="2">
        <v>106144</v>
      </c>
      <c r="I32" s="2">
        <v>109426</v>
      </c>
      <c r="J32" s="2">
        <v>12652</v>
      </c>
      <c r="K32" s="2">
        <v>115521</v>
      </c>
      <c r="L32" s="2">
        <v>116449</v>
      </c>
      <c r="M32" s="2">
        <v>116762</v>
      </c>
      <c r="N32" s="2">
        <v>116920</v>
      </c>
      <c r="O32" s="2">
        <v>117202</v>
      </c>
      <c r="P32" s="2">
        <v>117673</v>
      </c>
      <c r="Q32" s="2">
        <v>117528</v>
      </c>
      <c r="R32" s="2">
        <v>117746</v>
      </c>
      <c r="S32" s="2">
        <v>118268</v>
      </c>
      <c r="T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t="s">
        <v>32</v>
      </c>
      <c r="B33" s="10">
        <v>5196</v>
      </c>
      <c r="C33" s="10">
        <v>14997</v>
      </c>
      <c r="D33" s="2">
        <v>30880</v>
      </c>
      <c r="E33" s="2">
        <v>42939</v>
      </c>
      <c r="F33" s="2">
        <v>52459</v>
      </c>
      <c r="G33" s="2">
        <v>57548</v>
      </c>
      <c r="H33" s="2">
        <v>62316</v>
      </c>
      <c r="I33" s="2">
        <v>63183</v>
      </c>
      <c r="J33" s="2">
        <v>64537</v>
      </c>
      <c r="K33" s="2">
        <v>66070</v>
      </c>
      <c r="L33" s="2">
        <v>70479</v>
      </c>
      <c r="M33" s="2">
        <v>70789</v>
      </c>
      <c r="N33" s="2">
        <v>71707</v>
      </c>
      <c r="O33" s="2">
        <v>72236</v>
      </c>
      <c r="P33" s="2">
        <v>73643</v>
      </c>
      <c r="Q33" s="2">
        <v>73101</v>
      </c>
      <c r="R33" s="2">
        <v>73037</v>
      </c>
      <c r="S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t="s">
        <v>33</v>
      </c>
      <c r="B34" s="2">
        <v>7133</v>
      </c>
      <c r="C34" s="2">
        <v>19024</v>
      </c>
      <c r="D34" s="2">
        <v>29513</v>
      </c>
      <c r="E34" s="2">
        <v>39914</v>
      </c>
      <c r="F34" s="2">
        <v>47837</v>
      </c>
      <c r="G34" s="2">
        <v>54037</v>
      </c>
      <c r="H34" s="2">
        <v>56184</v>
      </c>
      <c r="I34" s="2">
        <v>56093</v>
      </c>
      <c r="J34" s="2">
        <v>56697</v>
      </c>
      <c r="K34" s="2">
        <v>57620</v>
      </c>
      <c r="L34" s="2">
        <v>59265</v>
      </c>
      <c r="M34" s="2">
        <v>59537</v>
      </c>
      <c r="N34" s="2">
        <v>59577</v>
      </c>
      <c r="O34" s="2">
        <v>60025</v>
      </c>
      <c r="P34" s="2">
        <v>60440</v>
      </c>
      <c r="Q34" s="2">
        <v>60399</v>
      </c>
      <c r="R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t="s">
        <v>34</v>
      </c>
      <c r="B35" s="2">
        <v>2129</v>
      </c>
      <c r="C35" s="2">
        <v>6883</v>
      </c>
      <c r="D35" s="2">
        <v>13419</v>
      </c>
      <c r="E35" s="2">
        <v>20833</v>
      </c>
      <c r="F35" s="2">
        <v>28953</v>
      </c>
      <c r="G35" s="2">
        <v>30240</v>
      </c>
      <c r="H35" s="2">
        <v>31317</v>
      </c>
      <c r="I35" s="2">
        <v>32484</v>
      </c>
      <c r="J35" s="2">
        <v>32779</v>
      </c>
      <c r="K35" s="2">
        <v>33064</v>
      </c>
      <c r="L35" s="2">
        <v>33768</v>
      </c>
      <c r="M35" s="2">
        <v>33584</v>
      </c>
      <c r="N35" s="2">
        <v>33779</v>
      </c>
      <c r="O35" s="2">
        <v>33771</v>
      </c>
      <c r="P35" s="2">
        <v>34136</v>
      </c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t="s">
        <v>35</v>
      </c>
      <c r="B36" s="2">
        <v>5053</v>
      </c>
      <c r="C36" s="2">
        <v>14983</v>
      </c>
      <c r="D36" s="2">
        <v>30591</v>
      </c>
      <c r="E36" s="2">
        <v>47533</v>
      </c>
      <c r="F36" s="2">
        <v>53959</v>
      </c>
      <c r="G36" s="2">
        <v>55325</v>
      </c>
      <c r="H36" s="2">
        <v>55647</v>
      </c>
      <c r="I36" s="2">
        <v>57417</v>
      </c>
      <c r="J36" s="2">
        <v>59666</v>
      </c>
      <c r="K36" s="2">
        <v>58493</v>
      </c>
      <c r="L36" s="2">
        <v>59106</v>
      </c>
      <c r="M36" s="2">
        <v>59916</v>
      </c>
      <c r="N36" s="2">
        <v>59814</v>
      </c>
      <c r="O36" s="2">
        <v>60696</v>
      </c>
      <c r="P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t="s">
        <v>46</v>
      </c>
      <c r="B37" s="2">
        <v>3797</v>
      </c>
      <c r="C37" s="2">
        <v>14259</v>
      </c>
      <c r="D37" s="2">
        <v>28024</v>
      </c>
      <c r="E37" s="2">
        <v>40545</v>
      </c>
      <c r="F37" s="2">
        <v>48147</v>
      </c>
      <c r="G37" s="2">
        <v>54602</v>
      </c>
      <c r="H37" s="2">
        <v>58775</v>
      </c>
      <c r="I37" s="2">
        <v>58620</v>
      </c>
      <c r="J37" s="2">
        <v>58270</v>
      </c>
      <c r="K37" s="2">
        <v>59380</v>
      </c>
      <c r="L37" s="2">
        <v>59800</v>
      </c>
      <c r="M37" s="2">
        <v>60963</v>
      </c>
      <c r="N37" s="2">
        <v>61068</v>
      </c>
      <c r="O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t="s">
        <v>47</v>
      </c>
      <c r="B38" s="2">
        <v>5135</v>
      </c>
      <c r="C38" s="2">
        <v>16850</v>
      </c>
      <c r="D38" s="2">
        <v>27327</v>
      </c>
      <c r="E38" s="2">
        <v>36669</v>
      </c>
      <c r="F38" s="2">
        <v>43512</v>
      </c>
      <c r="G38" s="2">
        <v>49161</v>
      </c>
      <c r="H38" s="2">
        <v>51595</v>
      </c>
      <c r="I38" s="2">
        <v>52060</v>
      </c>
      <c r="J38" s="2">
        <v>51888</v>
      </c>
      <c r="K38" s="2">
        <v>52340</v>
      </c>
      <c r="L38" s="2">
        <v>53333</v>
      </c>
      <c r="M38" s="2">
        <v>53455</v>
      </c>
      <c r="N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t="s">
        <v>48</v>
      </c>
      <c r="B39" s="2">
        <v>3052</v>
      </c>
      <c r="C39" s="2">
        <v>8282</v>
      </c>
      <c r="D39" s="2">
        <v>16036</v>
      </c>
      <c r="E39" s="2">
        <v>24417</v>
      </c>
      <c r="F39" s="2">
        <v>31064</v>
      </c>
      <c r="G39" s="2">
        <v>33060</v>
      </c>
      <c r="H39" s="2">
        <v>35210</v>
      </c>
      <c r="I39" s="2">
        <v>35543</v>
      </c>
      <c r="J39" s="2">
        <v>36320</v>
      </c>
      <c r="K39" s="2">
        <v>36680</v>
      </c>
      <c r="L39" s="2">
        <v>37393</v>
      </c>
      <c r="M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t="s">
        <v>49</v>
      </c>
      <c r="B40" s="2">
        <v>4619</v>
      </c>
      <c r="C40" s="2">
        <v>15383</v>
      </c>
      <c r="D40" s="2">
        <v>21122</v>
      </c>
      <c r="E40" s="2">
        <v>45310</v>
      </c>
      <c r="F40" s="2">
        <v>50764</v>
      </c>
      <c r="G40" s="2">
        <v>53069</v>
      </c>
      <c r="H40" s="2">
        <v>55737</v>
      </c>
      <c r="I40" s="2">
        <v>59254</v>
      </c>
      <c r="J40" s="2">
        <v>60047</v>
      </c>
      <c r="K40" s="2">
        <v>62118</v>
      </c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t="s">
        <v>50</v>
      </c>
      <c r="B41" s="2">
        <v>3596</v>
      </c>
      <c r="C41" s="2">
        <v>12562</v>
      </c>
      <c r="D41" s="2">
        <v>23922</v>
      </c>
      <c r="E41" s="2">
        <v>33822</v>
      </c>
      <c r="F41" s="2">
        <v>41006</v>
      </c>
      <c r="G41" s="2">
        <v>44785</v>
      </c>
      <c r="H41" s="2">
        <v>47814</v>
      </c>
      <c r="I41" s="2">
        <v>49581</v>
      </c>
      <c r="J41" s="2">
        <v>50766</v>
      </c>
      <c r="K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t="s">
        <v>51</v>
      </c>
      <c r="B42" s="2">
        <v>3786</v>
      </c>
      <c r="C42" s="2">
        <v>12318</v>
      </c>
      <c r="D42" s="2">
        <v>18973</v>
      </c>
      <c r="E42" s="2">
        <v>26870</v>
      </c>
      <c r="F42" s="2">
        <v>31880</v>
      </c>
      <c r="G42" s="2">
        <v>34297</v>
      </c>
      <c r="H42" s="2">
        <v>36340</v>
      </c>
      <c r="I42" s="2">
        <v>39519</v>
      </c>
      <c r="J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t="s">
        <v>52</v>
      </c>
      <c r="B43" s="2">
        <v>2091</v>
      </c>
      <c r="C43" s="2">
        <v>7172</v>
      </c>
      <c r="D43" s="2">
        <v>12834</v>
      </c>
      <c r="E43" s="2">
        <v>20247</v>
      </c>
      <c r="F43" s="2">
        <v>24915</v>
      </c>
      <c r="G43" s="2">
        <v>27847</v>
      </c>
      <c r="H43" s="2">
        <v>30286</v>
      </c>
      <c r="I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t="s">
        <v>53</v>
      </c>
      <c r="B44" s="2">
        <v>5349</v>
      </c>
      <c r="C44" s="2">
        <v>14393</v>
      </c>
      <c r="D44" s="2">
        <v>25756</v>
      </c>
      <c r="E44" s="2">
        <v>40138</v>
      </c>
      <c r="F44" s="2">
        <v>46561</v>
      </c>
      <c r="G44" s="2">
        <v>51005</v>
      </c>
      <c r="H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t="s">
        <v>54</v>
      </c>
      <c r="B45" s="2">
        <v>2881</v>
      </c>
      <c r="C45" s="2">
        <v>10585</v>
      </c>
      <c r="D45" s="2">
        <v>20030</v>
      </c>
      <c r="E45" s="2">
        <v>27906</v>
      </c>
      <c r="F45" s="2">
        <v>34516</v>
      </c>
      <c r="G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t="s">
        <v>55</v>
      </c>
      <c r="B46" s="2">
        <v>6241</v>
      </c>
      <c r="C46" s="2">
        <v>9031</v>
      </c>
      <c r="D46" s="2">
        <v>14755</v>
      </c>
      <c r="E46" s="2">
        <v>21189</v>
      </c>
      <c r="F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t="s">
        <v>56</v>
      </c>
      <c r="B47" s="2">
        <v>1357</v>
      </c>
      <c r="C47" s="2">
        <v>6287</v>
      </c>
      <c r="D47" s="2">
        <v>11381</v>
      </c>
      <c r="E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t="s">
        <v>57</v>
      </c>
      <c r="B48" s="2">
        <v>5083</v>
      </c>
      <c r="C48" s="2">
        <v>14339</v>
      </c>
      <c r="D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1">
      <c r="A49" t="s">
        <v>58</v>
      </c>
      <c r="B49" s="2">
        <v>1862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1" spans="1:31">
      <c r="A51" t="s">
        <v>83</v>
      </c>
      <c r="B51" s="4">
        <f>SUM(C33:C48)/SUM(B33:B48)</f>
        <v>2.9677283527324132</v>
      </c>
      <c r="C51" s="4">
        <f>SUM(D32:D47)/SUM(C32:C47)</f>
        <v>1.7737286954906422</v>
      </c>
      <c r="D51" s="4">
        <f>SUM(E31:E46)/SUM(D31:D46)</f>
        <v>1.4915183491258746</v>
      </c>
      <c r="E51" s="4">
        <f>SUM(F30:F45)/SUM(E30:E45)</f>
        <v>1.1922752178786762</v>
      </c>
      <c r="F51" s="4">
        <f>SUM(G29:G44)/SUM(F29:F44)</f>
        <v>1.0919313044222583</v>
      </c>
      <c r="G51" s="4">
        <f>SUM(H28:H43)/SUM(G28:G43)</f>
        <v>1.0501455080438091</v>
      </c>
      <c r="H51" s="4">
        <f>SUM(I27:I42)/SUM(H27:H42)</f>
        <v>1.0258687983148065</v>
      </c>
      <c r="I51" s="4">
        <f>SUM(J26:J41)/SUM(I26:I41)</f>
        <v>0.91985891287400456</v>
      </c>
      <c r="J51" s="4">
        <f>SUM(K25:K40)/SUM(J25:J40)</f>
        <v>1.1251395801020754</v>
      </c>
      <c r="K51" s="4">
        <f>SUM(L24:L39)/SUM(K24:K39)</f>
        <v>1.0253660629988841</v>
      </c>
      <c r="L51" s="4">
        <f>SUM(M23:M38)/SUM(L23:L38)</f>
        <v>1.0049557299697647</v>
      </c>
      <c r="M51" s="4">
        <f>SUM(N22:N37)/SUM(M22:M37)</f>
        <v>1.005803886591573</v>
      </c>
      <c r="N51" s="4">
        <f>SUM(O21:O36)/SUM(N21:N36)</f>
        <v>1.0135728260613346</v>
      </c>
      <c r="O51" s="4">
        <f>SUM(P20:P35)/SUM(O20:O35)</f>
        <v>1.0162901172900096</v>
      </c>
      <c r="P51" s="4">
        <f>SUM(Q19:Q34)/SUM(P19:P34)</f>
        <v>1.0013243504560636</v>
      </c>
      <c r="Q51" s="4">
        <f>SUM(R18:R33)/SUM(Q18:Q33)</f>
        <v>1.0010943163473023</v>
      </c>
      <c r="R51" s="4">
        <f>SUM(S17:S32)/SUM(R17:R32)</f>
        <v>1.0108810337565191</v>
      </c>
      <c r="S51" s="4">
        <f>SUM(T16:T31)/SUM(S16:S31)</f>
        <v>1.011987638310569</v>
      </c>
      <c r="T51" s="4">
        <f>SUM(U15:U30)/SUM(T15:T30)</f>
        <v>1.0070194930138638</v>
      </c>
      <c r="U51" s="4">
        <f>SUM(V14:V29)/SUM(U14:U29)</f>
        <v>1.0024953959910878</v>
      </c>
      <c r="V51" s="4">
        <f>SUM(W13:W28)/SUM(V13:V28)</f>
        <v>1.0092182893332375</v>
      </c>
      <c r="W51" s="4">
        <f>SUM(X12:X27)/SUM(W12:W27)</f>
        <v>1.0078378192322319</v>
      </c>
      <c r="X51" s="4">
        <f>SUM(Y11:Y26)/SUM(X11:X26)</f>
        <v>1.0021450755912553</v>
      </c>
      <c r="Y51" s="4">
        <f>SUM(Z10:Z25)/SUM(Y10:Y25)</f>
        <v>1.000494201482877</v>
      </c>
      <c r="Z51" s="4">
        <f>SUM(AA9:AA24)/SUM(Z9:Z24)</f>
        <v>1.0058387218265596</v>
      </c>
      <c r="AA51" s="4">
        <f>SUM(AB8:AB23)/SUM(AA8:AA23)</f>
        <v>1.0018336718573686</v>
      </c>
      <c r="AB51" s="4">
        <f>SUM(AC7:AC22)/SUM(AB7:AB22)</f>
        <v>1.0006204936270133</v>
      </c>
      <c r="AC51" s="4">
        <f>SUM(AD6:AD21)/SUM(AC6:AC21)</f>
        <v>1.0017098720856623</v>
      </c>
    </row>
    <row r="53" spans="1:31">
      <c r="A53" t="s">
        <v>84</v>
      </c>
      <c r="B53" s="9">
        <f>B51</f>
        <v>2.9677283527324132</v>
      </c>
      <c r="C53" s="9">
        <f t="shared" ref="C53:AC53" si="1">C51</f>
        <v>1.7737286954906422</v>
      </c>
      <c r="D53" s="9">
        <f t="shared" si="1"/>
        <v>1.4915183491258746</v>
      </c>
      <c r="E53" s="9">
        <f t="shared" si="1"/>
        <v>1.1922752178786762</v>
      </c>
      <c r="F53" s="9">
        <f t="shared" si="1"/>
        <v>1.0919313044222583</v>
      </c>
      <c r="G53" s="9">
        <f t="shared" si="1"/>
        <v>1.0501455080438091</v>
      </c>
      <c r="H53" s="9">
        <f t="shared" si="1"/>
        <v>1.0258687983148065</v>
      </c>
      <c r="I53" s="9">
        <f t="shared" si="1"/>
        <v>0.91985891287400456</v>
      </c>
      <c r="J53" s="9">
        <f t="shared" si="1"/>
        <v>1.1251395801020754</v>
      </c>
      <c r="K53" s="9">
        <f t="shared" si="1"/>
        <v>1.0253660629988841</v>
      </c>
      <c r="L53" s="9">
        <f t="shared" si="1"/>
        <v>1.0049557299697647</v>
      </c>
      <c r="M53" s="9">
        <f t="shared" si="1"/>
        <v>1.005803886591573</v>
      </c>
      <c r="N53" s="9">
        <f t="shared" si="1"/>
        <v>1.0135728260613346</v>
      </c>
      <c r="O53" s="9">
        <f t="shared" si="1"/>
        <v>1.0162901172900096</v>
      </c>
      <c r="P53" s="9">
        <f t="shared" si="1"/>
        <v>1.0013243504560636</v>
      </c>
      <c r="Q53" s="9">
        <f t="shared" si="1"/>
        <v>1.0010943163473023</v>
      </c>
      <c r="R53" s="9">
        <f t="shared" si="1"/>
        <v>1.0108810337565191</v>
      </c>
      <c r="S53" s="9">
        <f t="shared" si="1"/>
        <v>1.011987638310569</v>
      </c>
      <c r="T53" s="9">
        <f t="shared" si="1"/>
        <v>1.0070194930138638</v>
      </c>
      <c r="U53" s="9">
        <f t="shared" si="1"/>
        <v>1.0024953959910878</v>
      </c>
      <c r="V53" s="9">
        <f t="shared" si="1"/>
        <v>1.0092182893332375</v>
      </c>
      <c r="W53" s="9">
        <f t="shared" si="1"/>
        <v>1.0078378192322319</v>
      </c>
      <c r="X53" s="9">
        <f t="shared" si="1"/>
        <v>1.0021450755912553</v>
      </c>
      <c r="Y53" s="9">
        <f t="shared" si="1"/>
        <v>1.000494201482877</v>
      </c>
      <c r="Z53" s="9">
        <f t="shared" si="1"/>
        <v>1.0058387218265596</v>
      </c>
      <c r="AA53" s="9">
        <f t="shared" si="1"/>
        <v>1.0018336718573686</v>
      </c>
      <c r="AB53" s="9">
        <f t="shared" si="1"/>
        <v>1.0006204936270133</v>
      </c>
      <c r="AC53" s="9">
        <f t="shared" si="1"/>
        <v>1.0017098720856623</v>
      </c>
    </row>
    <row r="55" spans="1:31">
      <c r="A55" t="s">
        <v>85</v>
      </c>
      <c r="B55" s="4">
        <f t="shared" ref="B55:AB55" si="2">C55*B53</f>
        <v>12.9746032977769</v>
      </c>
      <c r="C55" s="4">
        <f t="shared" si="2"/>
        <v>4.37189720744861</v>
      </c>
      <c r="D55" s="4">
        <f t="shared" si="2"/>
        <v>2.4648060430906384</v>
      </c>
      <c r="E55" s="4">
        <f t="shared" si="2"/>
        <v>1.652548253620328</v>
      </c>
      <c r="F55" s="4">
        <f t="shared" si="2"/>
        <v>1.3860459639181131</v>
      </c>
      <c r="G55" s="4">
        <f t="shared" si="2"/>
        <v>1.269352713219877</v>
      </c>
      <c r="H55" s="4">
        <f t="shared" si="2"/>
        <v>1.2087398398574334</v>
      </c>
      <c r="I55" s="4">
        <f t="shared" si="2"/>
        <v>1.1782596778876879</v>
      </c>
      <c r="J55" s="4">
        <f t="shared" si="2"/>
        <v>1.280913476400785</v>
      </c>
      <c r="K55" s="4">
        <f t="shared" si="2"/>
        <v>1.1384485081260562</v>
      </c>
      <c r="L55" s="4">
        <f t="shared" si="2"/>
        <v>1.1102849501342382</v>
      </c>
      <c r="M55" s="4">
        <f t="shared" si="2"/>
        <v>1.1048098110427635</v>
      </c>
      <c r="N55" s="4">
        <f t="shared" si="2"/>
        <v>1.0984346210737936</v>
      </c>
      <c r="O55" s="4">
        <f t="shared" si="2"/>
        <v>1.0837254046581195</v>
      </c>
      <c r="P55" s="4">
        <f t="shared" si="2"/>
        <v>1.0663543669478255</v>
      </c>
      <c r="Q55" s="4">
        <f t="shared" si="2"/>
        <v>1.0649440078653267</v>
      </c>
      <c r="R55" s="4">
        <f t="shared" si="2"/>
        <v>1.0637798961350546</v>
      </c>
      <c r="S55" s="4">
        <f t="shared" si="2"/>
        <v>1.0523294637173664</v>
      </c>
      <c r="T55" s="4">
        <f t="shared" si="2"/>
        <v>1.0398639507831782</v>
      </c>
      <c r="U55" s="4">
        <f t="shared" si="2"/>
        <v>1.0326155134008534</v>
      </c>
      <c r="V55" s="4">
        <f t="shared" si="2"/>
        <v>1.0300451428806696</v>
      </c>
      <c r="W55" s="4">
        <f t="shared" si="2"/>
        <v>1.0206366192205967</v>
      </c>
      <c r="X55" s="4">
        <f t="shared" si="2"/>
        <v>1.0126992654414526</v>
      </c>
      <c r="Y55" s="4">
        <f t="shared" si="2"/>
        <v>1.0105315987747288</v>
      </c>
      <c r="Z55" s="4">
        <f t="shared" si="2"/>
        <v>1.0100324392454998</v>
      </c>
      <c r="AA55" s="4">
        <f t="shared" si="2"/>
        <v>1.0041693736062622</v>
      </c>
      <c r="AB55" s="4">
        <f t="shared" si="2"/>
        <v>1.0023314266774077</v>
      </c>
      <c r="AC55" s="4">
        <f>AD55*AC53</f>
        <v>1.0017098720856623</v>
      </c>
      <c r="AD55" s="4">
        <v>1</v>
      </c>
      <c r="AE55" s="4">
        <v>1</v>
      </c>
    </row>
    <row r="57" spans="1:31">
      <c r="A57" t="s">
        <v>86</v>
      </c>
      <c r="B57" s="6">
        <f>1/B55</f>
        <v>7.7073647420984534E-2</v>
      </c>
      <c r="C57" s="6">
        <f t="shared" ref="C57:AE57" si="3">1/C55</f>
        <v>0.22873364869975724</v>
      </c>
      <c r="D57" s="6">
        <f t="shared" si="3"/>
        <v>0.40571143632303525</v>
      </c>
      <c r="E57" s="6">
        <f t="shared" si="3"/>
        <v>0.60512605172602085</v>
      </c>
      <c r="F57" s="6">
        <f t="shared" si="3"/>
        <v>0.72147679516570451</v>
      </c>
      <c r="G57" s="6">
        <f t="shared" si="3"/>
        <v>0.78780309805567827</v>
      </c>
      <c r="H57" s="6">
        <f t="shared" si="3"/>
        <v>0.82730788464616711</v>
      </c>
      <c r="I57" s="6">
        <f t="shared" si="3"/>
        <v>0.84870934545832799</v>
      </c>
      <c r="J57" s="6">
        <f t="shared" si="3"/>
        <v>0.78069285585930548</v>
      </c>
      <c r="K57" s="6">
        <f t="shared" si="3"/>
        <v>0.87838843203022898</v>
      </c>
      <c r="L57" s="6">
        <f t="shared" si="3"/>
        <v>0.90066968833459893</v>
      </c>
      <c r="M57" s="6">
        <f t="shared" si="3"/>
        <v>0.90513316410193723</v>
      </c>
      <c r="N57" s="6">
        <f t="shared" si="3"/>
        <v>0.91038645433665666</v>
      </c>
      <c r="O57" s="6">
        <f t="shared" si="3"/>
        <v>0.9227429713299633</v>
      </c>
      <c r="P57" s="6">
        <f t="shared" si="3"/>
        <v>0.9377745625614603</v>
      </c>
      <c r="Q57" s="6">
        <f t="shared" si="3"/>
        <v>0.93901650473107356</v>
      </c>
      <c r="R57" s="6">
        <f t="shared" si="3"/>
        <v>0.94004408584258736</v>
      </c>
      <c r="S57" s="6">
        <f t="shared" si="3"/>
        <v>0.95027273727325667</v>
      </c>
      <c r="T57" s="6">
        <f t="shared" si="3"/>
        <v>0.96166426314408293</v>
      </c>
      <c r="U57" s="6">
        <f t="shared" si="3"/>
        <v>0.96841465872090537</v>
      </c>
      <c r="V57" s="6">
        <f t="shared" si="3"/>
        <v>0.9708312367779881</v>
      </c>
      <c r="W57" s="6">
        <f t="shared" si="3"/>
        <v>0.97978064001235254</v>
      </c>
      <c r="X57" s="6">
        <f t="shared" si="3"/>
        <v>0.98745998355600983</v>
      </c>
      <c r="Y57" s="6">
        <f t="shared" si="3"/>
        <v>0.98957815986407716</v>
      </c>
      <c r="Z57" s="6">
        <f t="shared" si="3"/>
        <v>0.99006721085810467</v>
      </c>
      <c r="AA57" s="6">
        <f t="shared" si="3"/>
        <v>0.99584793789190285</v>
      </c>
      <c r="AB57" s="6">
        <f t="shared" si="3"/>
        <v>0.99767399622983377</v>
      </c>
      <c r="AC57" s="6">
        <f t="shared" si="3"/>
        <v>0.99829304658633122</v>
      </c>
      <c r="AD57" s="6">
        <f t="shared" si="3"/>
        <v>1</v>
      </c>
      <c r="AE57" s="6">
        <f t="shared" si="3"/>
        <v>1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 1</vt:lpstr>
      <vt:lpstr>Exh 2</vt:lpstr>
      <vt:lpstr>Exh 3</vt:lpstr>
      <vt:lpstr>Exh 4</vt:lpstr>
      <vt:lpstr>Exh 5</vt:lpstr>
      <vt:lpstr>Exh 6</vt:lpstr>
      <vt:lpstr>Exh 7</vt:lpstr>
    </vt:vector>
  </TitlesOfParts>
  <Company>USDA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antisyst3m</dc:creator>
  <cp:lastModifiedBy>Rob Swiatek</cp:lastModifiedBy>
  <dcterms:created xsi:type="dcterms:W3CDTF">2009-08-29T13:43:03Z</dcterms:created>
  <dcterms:modified xsi:type="dcterms:W3CDTF">2009-08-30T15:55:32Z</dcterms:modified>
</cp:coreProperties>
</file>