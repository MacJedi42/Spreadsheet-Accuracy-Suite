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18240" windowHeight="11760"/>
  </bookViews>
  <sheets>
    <sheet name="Derby Results" sheetId="1" r:id="rId1"/>
  </sheets>
  <externalReferences>
    <externalReference r:id="rId2"/>
  </externalReferences>
  <definedNames>
    <definedName name="_xlnm.Print_Area" localSheetId="0">'Derby Results'!$A$1:$W$24</definedName>
  </definedNames>
  <calcPr calcId="145621"/>
</workbook>
</file>

<file path=xl/calcChain.xml><?xml version="1.0" encoding="utf-8"?>
<calcChain xmlns="http://schemas.openxmlformats.org/spreadsheetml/2006/main">
  <c r="E22" i="1" l="1"/>
  <c r="D22" i="1"/>
  <c r="W19" i="1"/>
  <c r="V19" i="1"/>
  <c r="U19" i="1"/>
  <c r="S19" i="1"/>
  <c r="Q19" i="1"/>
  <c r="P19" i="1"/>
  <c r="O19" i="1"/>
  <c r="N19" i="1"/>
  <c r="M19" i="1"/>
  <c r="L19" i="1"/>
  <c r="K19" i="1"/>
  <c r="J19" i="1"/>
  <c r="I19" i="1"/>
  <c r="H19" i="1"/>
  <c r="G19" i="1"/>
  <c r="F19" i="1"/>
  <c r="R19" i="1" s="1"/>
  <c r="C19" i="1"/>
  <c r="B19" i="1"/>
  <c r="W18" i="1"/>
  <c r="V18" i="1"/>
  <c r="U18" i="1"/>
  <c r="S18" i="1"/>
  <c r="Q18" i="1"/>
  <c r="P18" i="1"/>
  <c r="O18" i="1"/>
  <c r="N18" i="1"/>
  <c r="M18" i="1"/>
  <c r="L18" i="1"/>
  <c r="K18" i="1"/>
  <c r="J18" i="1"/>
  <c r="I18" i="1"/>
  <c r="H18" i="1"/>
  <c r="G18" i="1"/>
  <c r="F18" i="1"/>
  <c r="C18" i="1"/>
  <c r="B18" i="1"/>
  <c r="W17" i="1"/>
  <c r="V17" i="1"/>
  <c r="U17" i="1"/>
  <c r="S17" i="1"/>
  <c r="Q17" i="1"/>
  <c r="P17" i="1"/>
  <c r="O17" i="1"/>
  <c r="N17" i="1"/>
  <c r="M17" i="1"/>
  <c r="L17" i="1"/>
  <c r="K17" i="1"/>
  <c r="J17" i="1"/>
  <c r="I17" i="1"/>
  <c r="H17" i="1"/>
  <c r="G17" i="1"/>
  <c r="F17" i="1"/>
  <c r="C17" i="1"/>
  <c r="B17" i="1"/>
  <c r="W16" i="1"/>
  <c r="V16" i="1"/>
  <c r="U16" i="1"/>
  <c r="S16" i="1"/>
  <c r="Q16" i="1"/>
  <c r="P16" i="1"/>
  <c r="O16" i="1"/>
  <c r="N16" i="1"/>
  <c r="L16" i="1"/>
  <c r="K16" i="1"/>
  <c r="J16" i="1"/>
  <c r="I16" i="1"/>
  <c r="H16" i="1"/>
  <c r="G16" i="1"/>
  <c r="F16" i="1"/>
  <c r="C16" i="1"/>
  <c r="B16" i="1"/>
  <c r="W15" i="1"/>
  <c r="V15" i="1"/>
  <c r="U15" i="1"/>
  <c r="S15" i="1"/>
  <c r="Q15" i="1"/>
  <c r="P15" i="1"/>
  <c r="O15" i="1"/>
  <c r="N15" i="1"/>
  <c r="M15" i="1"/>
  <c r="L15" i="1"/>
  <c r="K15" i="1"/>
  <c r="J15" i="1"/>
  <c r="I15" i="1"/>
  <c r="H15" i="1"/>
  <c r="G15" i="1"/>
  <c r="F15" i="1"/>
  <c r="R15" i="1" s="1"/>
  <c r="C15" i="1"/>
  <c r="B15" i="1"/>
  <c r="W14" i="1"/>
  <c r="V14" i="1"/>
  <c r="U14" i="1"/>
  <c r="S14" i="1"/>
  <c r="Q14" i="1"/>
  <c r="P14" i="1"/>
  <c r="O14" i="1"/>
  <c r="N14" i="1"/>
  <c r="M14" i="1"/>
  <c r="L14" i="1"/>
  <c r="K14" i="1"/>
  <c r="J14" i="1"/>
  <c r="I14" i="1"/>
  <c r="H14" i="1"/>
  <c r="G14" i="1"/>
  <c r="F14" i="1"/>
  <c r="C14" i="1"/>
  <c r="B14" i="1"/>
  <c r="W13" i="1"/>
  <c r="V13" i="1"/>
  <c r="U13" i="1"/>
  <c r="S13" i="1"/>
  <c r="Q13" i="1"/>
  <c r="P13" i="1"/>
  <c r="O13" i="1"/>
  <c r="N13" i="1"/>
  <c r="M13" i="1"/>
  <c r="L13" i="1"/>
  <c r="K13" i="1"/>
  <c r="J13" i="1"/>
  <c r="I13" i="1"/>
  <c r="H13" i="1"/>
  <c r="G13" i="1"/>
  <c r="F13" i="1"/>
  <c r="R13" i="1" s="1"/>
  <c r="C13" i="1"/>
  <c r="B13" i="1"/>
  <c r="W12" i="1"/>
  <c r="V12" i="1"/>
  <c r="U12" i="1"/>
  <c r="S12" i="1"/>
  <c r="Q12" i="1"/>
  <c r="P12" i="1"/>
  <c r="O12" i="1"/>
  <c r="N12" i="1"/>
  <c r="M12" i="1"/>
  <c r="L12" i="1"/>
  <c r="K12" i="1"/>
  <c r="J12" i="1"/>
  <c r="I12" i="1"/>
  <c r="H12" i="1"/>
  <c r="G12" i="1"/>
  <c r="F12" i="1"/>
  <c r="C12" i="1"/>
  <c r="B12" i="1"/>
  <c r="W11" i="1"/>
  <c r="V11" i="1"/>
  <c r="U11" i="1"/>
  <c r="S11" i="1"/>
  <c r="Q11" i="1"/>
  <c r="P11" i="1"/>
  <c r="O11" i="1"/>
  <c r="N11" i="1"/>
  <c r="M11" i="1"/>
  <c r="L11" i="1"/>
  <c r="K11" i="1"/>
  <c r="J11" i="1"/>
  <c r="I11" i="1"/>
  <c r="H11" i="1"/>
  <c r="G11" i="1"/>
  <c r="F11" i="1"/>
  <c r="C11" i="1"/>
  <c r="B11" i="1"/>
  <c r="W10" i="1"/>
  <c r="V10" i="1"/>
  <c r="U10" i="1"/>
  <c r="S10" i="1"/>
  <c r="Q10" i="1"/>
  <c r="P10" i="1"/>
  <c r="O10" i="1"/>
  <c r="N10" i="1"/>
  <c r="M10" i="1"/>
  <c r="L10" i="1"/>
  <c r="K10" i="1"/>
  <c r="J10" i="1"/>
  <c r="I10" i="1"/>
  <c r="H10" i="1"/>
  <c r="G10" i="1"/>
  <c r="F10" i="1"/>
  <c r="C10" i="1"/>
  <c r="B10" i="1"/>
  <c r="W9" i="1"/>
  <c r="V9" i="1"/>
  <c r="U9" i="1"/>
  <c r="S9" i="1"/>
  <c r="Q9" i="1"/>
  <c r="P9" i="1"/>
  <c r="O9" i="1"/>
  <c r="N9" i="1"/>
  <c r="M9" i="1"/>
  <c r="L9" i="1"/>
  <c r="K9" i="1"/>
  <c r="J9" i="1"/>
  <c r="I9" i="1"/>
  <c r="H9" i="1"/>
  <c r="G9" i="1"/>
  <c r="F9" i="1"/>
  <c r="C9" i="1"/>
  <c r="B9" i="1"/>
  <c r="W8" i="1"/>
  <c r="V8" i="1"/>
  <c r="U8" i="1"/>
  <c r="S8" i="1"/>
  <c r="Q8" i="1"/>
  <c r="P8" i="1"/>
  <c r="O8" i="1"/>
  <c r="N8" i="1"/>
  <c r="M8" i="1"/>
  <c r="L8" i="1"/>
  <c r="K8" i="1"/>
  <c r="J8" i="1"/>
  <c r="I8" i="1"/>
  <c r="H8" i="1"/>
  <c r="G8" i="1"/>
  <c r="F8" i="1"/>
  <c r="C8" i="1"/>
  <c r="B8" i="1"/>
  <c r="W7" i="1"/>
  <c r="V7" i="1"/>
  <c r="U7" i="1"/>
  <c r="S7" i="1"/>
  <c r="Q7" i="1"/>
  <c r="P7" i="1"/>
  <c r="O7" i="1"/>
  <c r="N7" i="1"/>
  <c r="M7" i="1"/>
  <c r="L7" i="1"/>
  <c r="K7" i="1"/>
  <c r="J7" i="1"/>
  <c r="I7" i="1"/>
  <c r="H7" i="1"/>
  <c r="G7" i="1"/>
  <c r="F7" i="1"/>
  <c r="C7" i="1"/>
  <c r="B7" i="1"/>
  <c r="W6" i="1"/>
  <c r="V6" i="1"/>
  <c r="U6" i="1"/>
  <c r="S6" i="1"/>
  <c r="Q6" i="1"/>
  <c r="P6" i="1"/>
  <c r="O6" i="1"/>
  <c r="N6" i="1"/>
  <c r="M6" i="1"/>
  <c r="L6" i="1"/>
  <c r="K6" i="1"/>
  <c r="J6" i="1"/>
  <c r="I6" i="1"/>
  <c r="H6" i="1"/>
  <c r="G6" i="1"/>
  <c r="F6" i="1"/>
  <c r="C6" i="1"/>
  <c r="B6" i="1"/>
  <c r="W5" i="1"/>
  <c r="V5" i="1"/>
  <c r="U5" i="1"/>
  <c r="S5" i="1"/>
  <c r="Q5" i="1"/>
  <c r="P5" i="1"/>
  <c r="O5" i="1"/>
  <c r="N5" i="1"/>
  <c r="M5" i="1"/>
  <c r="L5" i="1"/>
  <c r="K5" i="1"/>
  <c r="J5" i="1"/>
  <c r="I5" i="1"/>
  <c r="H5" i="1"/>
  <c r="G5" i="1"/>
  <c r="F5" i="1"/>
  <c r="C5" i="1"/>
  <c r="B5" i="1"/>
  <c r="W4" i="1"/>
  <c r="V4" i="1"/>
  <c r="U4" i="1"/>
  <c r="S4" i="1"/>
  <c r="Q4" i="1"/>
  <c r="P4" i="1"/>
  <c r="O4" i="1"/>
  <c r="N4" i="1"/>
  <c r="M4" i="1"/>
  <c r="L4" i="1"/>
  <c r="K4" i="1"/>
  <c r="J4" i="1"/>
  <c r="I4" i="1"/>
  <c r="H4" i="1"/>
  <c r="G4" i="1"/>
  <c r="F4" i="1"/>
  <c r="C4" i="1"/>
  <c r="B4" i="1"/>
  <c r="R5" i="1" l="1"/>
  <c r="R18" i="1"/>
  <c r="R7" i="1"/>
  <c r="R9" i="1"/>
  <c r="R4" i="1"/>
  <c r="R6" i="1"/>
  <c r="R8" i="1"/>
  <c r="R10" i="1"/>
  <c r="R12" i="1"/>
  <c r="R14" i="1"/>
  <c r="R16" i="1"/>
  <c r="R17" i="1"/>
  <c r="R11" i="1"/>
</calcChain>
</file>

<file path=xl/comments1.xml><?xml version="1.0" encoding="utf-8"?>
<comments xmlns="http://schemas.openxmlformats.org/spreadsheetml/2006/main">
  <authors>
    <author>LAV</author>
  </authors>
  <commentList>
    <comment ref="T10" authorId="0">
      <text>
        <r>
          <rPr>
            <b/>
            <sz val="8"/>
            <color indexed="81"/>
            <rFont val="Tahoma"/>
            <family val="2"/>
          </rPr>
          <t xml:space="preserve">LAV: adding error by youth
</t>
        </r>
      </text>
    </comment>
    <comment ref="T14" authorId="0">
      <text>
        <r>
          <rPr>
            <b/>
            <sz val="8"/>
            <color indexed="81"/>
            <rFont val="Tahoma"/>
            <family val="2"/>
          </rPr>
          <t xml:space="preserve">LAV:  1 xtra pt, &amp; adding error by youth
</t>
        </r>
      </text>
    </comment>
    <comment ref="T16" authorId="0">
      <text>
        <r>
          <rPr>
            <b/>
            <sz val="8"/>
            <color indexed="81"/>
            <rFont val="Tahoma"/>
            <family val="2"/>
          </rPr>
          <t xml:space="preserve">LAV: extra pt @ shooting range &amp; adding error by youth
</t>
        </r>
      </text>
    </comment>
    <comment ref="T17" authorId="0">
      <text>
        <r>
          <rPr>
            <b/>
            <sz val="8"/>
            <color indexed="81"/>
            <rFont val="Tahoma"/>
            <family val="2"/>
          </rPr>
          <t xml:space="preserve">LAV: adding error by youth
</t>
        </r>
      </text>
    </comment>
    <comment ref="T18" authorId="0">
      <text>
        <r>
          <rPr>
            <b/>
            <sz val="8"/>
            <color indexed="81"/>
            <rFont val="Tahoma"/>
            <family val="2"/>
          </rPr>
          <t xml:space="preserve">LAV:  adding error by youth
</t>
        </r>
      </text>
    </comment>
    <comment ref="T19" authorId="0">
      <text>
        <r>
          <rPr>
            <b/>
            <sz val="8"/>
            <color indexed="81"/>
            <rFont val="Tahoma"/>
            <family val="2"/>
          </rPr>
          <t xml:space="preserve">LAV: 2 extra pts at inspection
</t>
        </r>
      </text>
    </comment>
  </commentList>
</comments>
</file>

<file path=xl/sharedStrings.xml><?xml version="1.0" encoding="utf-8"?>
<sst xmlns="http://schemas.openxmlformats.org/spreadsheetml/2006/main" count="52" uniqueCount="45">
  <si>
    <t>Station</t>
  </si>
  <si>
    <t># Scouts</t>
  </si>
  <si>
    <t># Adults</t>
  </si>
  <si>
    <t>Sled Inspection</t>
  </si>
  <si>
    <t>Cooking</t>
  </si>
  <si>
    <t>First Aid</t>
  </si>
  <si>
    <t>Survival Skills</t>
  </si>
  <si>
    <t>Sled Race</t>
  </si>
  <si>
    <t>Fire Building</t>
  </si>
  <si>
    <t>Orienteering</t>
  </si>
  <si>
    <t>Knot Tying</t>
  </si>
  <si>
    <t>Tomahawk Yard</t>
  </si>
  <si>
    <t>Shooting Range</t>
  </si>
  <si>
    <t>Scout Trivia</t>
  </si>
  <si>
    <t>Citizenship</t>
  </si>
  <si>
    <t>Final Station Total</t>
  </si>
  <si>
    <t>Orienteering time</t>
  </si>
  <si>
    <t>Score submitted by patrol</t>
  </si>
  <si>
    <t>Sled Race Time</t>
  </si>
  <si>
    <t>Patrol Method</t>
  </si>
  <si>
    <t>Scout Spirit</t>
  </si>
  <si>
    <t xml:space="preserve">Unit </t>
  </si>
  <si>
    <t>Patrol Name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</si>
  <si>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</si>
  <si>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</si>
  <si>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</si>
  <si>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</si>
  <si>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</si>
  <si>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</si>
  <si>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</si>
  <si>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</si>
  <si>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</si>
  <si>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</si>
  <si>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</si>
  <si>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max 327</t>
  </si>
  <si>
    <t>Max 48</t>
  </si>
  <si>
    <t>Max 36</t>
  </si>
  <si>
    <t xml:space="preserve"> </t>
  </si>
  <si>
    <t xml:space="preserve">total </t>
  </si>
  <si>
    <t>Laurel Highlands Council, Keystone District 2012 Klondike Derby Results</t>
  </si>
  <si>
    <t>#1 *</t>
  </si>
  <si>
    <t>*3 bonus pts possible</t>
  </si>
  <si>
    <t>1st</t>
  </si>
  <si>
    <t>2nd</t>
  </si>
  <si>
    <t>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</si>
</sst>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7" x14ac:knownFonts="1">
    <font>
      <sz val="10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/>
    <xf numFmtId="0" fontId="4" fillId="0" borderId="5" xfId="0" applyFont="1" applyBorder="1" applyAlignment="1">
      <alignment horizontal="center" vertical="center" textRotation="65"/>
    </xf>
    <xf numFmtId="0" fontId="4" fillId="0" borderId="6" xfId="0" applyFont="1" applyFill="1" applyBorder="1" applyAlignment="1">
      <alignment horizontal="center" vertical="center" textRotation="65"/>
    </xf>
    <xf numFmtId="0" fontId="4" fillId="0" borderId="7" xfId="0" applyFont="1" applyBorder="1" applyAlignment="1">
      <alignment horizontal="center" vertical="center" textRotation="65"/>
    </xf>
    <xf numFmtId="0" fontId="4" fillId="0" borderId="7" xfId="0" applyFont="1" applyBorder="1" applyAlignment="1">
      <alignment horizontal="center" vertical="center" textRotation="65" wrapText="1"/>
    </xf>
    <xf numFmtId="0" fontId="4" fillId="0" borderId="5" xfId="0" applyFont="1" applyBorder="1" applyAlignment="1">
      <alignment horizontal="center" vertical="center" textRotation="65" wrapText="1"/>
    </xf>
    <xf numFmtId="0" fontId="4" fillId="0" borderId="5" xfId="0" applyFont="1" applyBorder="1" applyAlignment="1" applyProtection="1">
      <alignment textRotation="65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 applyProtection="1">
      <alignment horizontal="center"/>
    </xf>
    <xf numFmtId="0" fontId="0" fillId="0" borderId="5" xfId="0" applyFill="1" applyBorder="1" applyProtection="1">
      <protection locked="0"/>
    </xf>
    <xf numFmtId="0" fontId="1" fillId="0" borderId="5" xfId="0" applyFont="1" applyFill="1" applyBorder="1" applyProtection="1">
      <protection locked="0"/>
    </xf>
    <xf numFmtId="0" fontId="0" fillId="0" borderId="5" xfId="0" applyBorder="1"/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2" borderId="5" xfId="0" applyFill="1" applyBorder="1" applyProtection="1"/>
    <xf numFmtId="0" fontId="0" fillId="0" borderId="5" xfId="0" applyBorder="1" applyProtection="1"/>
    <xf numFmtId="0" fontId="3" fillId="3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3" borderId="5" xfId="0" applyFill="1" applyBorder="1" applyProtection="1"/>
    <xf numFmtId="0" fontId="0" fillId="4" borderId="5" xfId="0" applyFill="1" applyBorder="1" applyProtection="1"/>
    <xf numFmtId="0" fontId="0" fillId="0" borderId="9" xfId="0" applyBorder="1"/>
    <xf numFmtId="0" fontId="0" fillId="0" borderId="8" xfId="0" applyBorder="1"/>
    <xf numFmtId="0" fontId="0" fillId="0" borderId="5" xfId="0" applyFill="1" applyBorder="1" applyAlignment="1">
      <alignment horizontal="center"/>
    </xf>
    <xf numFmtId="0" fontId="0" fillId="0" borderId="4" xfId="0" applyFill="1" applyBorder="1" applyProtection="1">
      <protection locked="0"/>
    </xf>
    <xf numFmtId="0" fontId="0" fillId="0" borderId="4" xfId="0" applyBorder="1"/>
    <xf numFmtId="0" fontId="0" fillId="0" borderId="4" xfId="0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Protection="1"/>
    <xf numFmtId="0" fontId="0" fillId="0" borderId="12" xfId="0" applyBorder="1"/>
    <xf numFmtId="0" fontId="0" fillId="0" borderId="0" xfId="0" applyBorder="1"/>
    <xf numFmtId="0" fontId="0" fillId="0" borderId="0" xfId="0" applyFill="1" applyBorder="1" applyProtection="1">
      <protection locked="0"/>
    </xf>
    <xf numFmtId="0" fontId="1" fillId="0" borderId="0" xfId="0" applyFont="1" applyFill="1" applyBorder="1" applyProtection="1">
      <protection locked="0"/>
    </xf>
    <xf numFmtId="0" fontId="0" fillId="0" borderId="0" xfId="0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Border="1" applyProtection="1"/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0" xfId="0" applyFill="1"/>
    <xf numFmtId="0" fontId="3" fillId="0" borderId="13" xfId="0" applyFont="1" applyFill="1" applyBorder="1"/>
    <xf numFmtId="0" fontId="0" fillId="4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textRotation="65"/>
    </xf>
    <xf numFmtId="0" fontId="4" fillId="0" borderId="3" xfId="0" applyFont="1" applyBorder="1" applyAlignment="1">
      <alignment horizontal="center" vertical="center" textRotation="65"/>
    </xf>
    <xf numFmtId="0" fontId="5" fillId="0" borderId="4" xfId="0" applyFont="1" applyBorder="1" applyAlignment="1">
      <alignment horizontal="center" textRotation="75"/>
    </xf>
    <xf numFmtId="0" fontId="5" fillId="0" borderId="8" xfId="0" applyFont="1" applyBorder="1" applyAlignment="1">
      <alignment horizontal="center" textRotation="75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me/AppData/Local/Microsoft/Windows/Temporary%20Internet%20Files/Content.Outlook/4NYW57XL/2012%20KDKD%20%20Results%20FINAL%20p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led-Patrol Inspection"/>
      <sheetName val="Cooking"/>
      <sheetName val="First Aid"/>
      <sheetName val="Survival Skills"/>
      <sheetName val="Sled Race"/>
      <sheetName val="Fire Building"/>
      <sheetName val="Orienteering"/>
      <sheetName val="Knot Tying"/>
      <sheetName val="Tomahawk Yard"/>
      <sheetName val="Shooting Range"/>
      <sheetName val="Scout Trivia"/>
      <sheetName val="Citizenship"/>
      <sheetName val="Derby Results"/>
      <sheetName val="Unit Registration"/>
      <sheetName val="Sign in"/>
      <sheetName val="Station Schedule"/>
      <sheetName val="Derby Results Race sort"/>
      <sheetName val="Derby Results Total sort"/>
      <sheetName val="Derby Results Orienteering sort"/>
      <sheetName val="Derby Results Patrol sort"/>
      <sheetName val="Derby Results Spirit sort"/>
      <sheetName val="Sheet1"/>
    </sheetNames>
    <sheetDataSet>
      <sheetData sheetId="0">
        <row r="4">
          <cell r="Y4">
            <v>4</v>
          </cell>
          <cell r="Z4">
            <v>3</v>
          </cell>
          <cell r="AA4">
            <v>92</v>
          </cell>
        </row>
        <row r="5">
          <cell r="Y5">
            <v>4</v>
          </cell>
          <cell r="Z5">
            <v>3</v>
          </cell>
          <cell r="AA5">
            <v>96</v>
          </cell>
        </row>
        <row r="6">
          <cell r="Y6">
            <v>4</v>
          </cell>
          <cell r="Z6">
            <v>3</v>
          </cell>
          <cell r="AA6">
            <v>100</v>
          </cell>
        </row>
        <row r="7">
          <cell r="Y7">
            <v>4</v>
          </cell>
          <cell r="Z7">
            <v>3</v>
          </cell>
          <cell r="AA7">
            <v>102</v>
          </cell>
        </row>
        <row r="8">
          <cell r="Y8">
            <v>4</v>
          </cell>
          <cell r="Z8">
            <v>3</v>
          </cell>
          <cell r="AA8">
            <v>97</v>
          </cell>
        </row>
        <row r="9">
          <cell r="Y9">
            <v>4</v>
          </cell>
          <cell r="Z9">
            <v>3</v>
          </cell>
          <cell r="AA9">
            <v>96</v>
          </cell>
        </row>
        <row r="10">
          <cell r="Y10">
            <v>4</v>
          </cell>
          <cell r="Z10">
            <v>3</v>
          </cell>
          <cell r="AA10">
            <v>101</v>
          </cell>
        </row>
        <row r="11">
          <cell r="Y11">
            <v>4</v>
          </cell>
          <cell r="Z11">
            <v>3</v>
          </cell>
          <cell r="AA11">
            <v>101</v>
          </cell>
        </row>
        <row r="12">
          <cell r="Y12">
            <v>4</v>
          </cell>
          <cell r="Z12">
            <v>3</v>
          </cell>
          <cell r="AA12">
            <v>103</v>
          </cell>
        </row>
        <row r="13">
          <cell r="Y13">
            <v>4</v>
          </cell>
          <cell r="Z13">
            <v>3</v>
          </cell>
          <cell r="AA13">
            <v>101</v>
          </cell>
        </row>
        <row r="14">
          <cell r="Y14">
            <v>4</v>
          </cell>
          <cell r="Z14">
            <v>3</v>
          </cell>
          <cell r="AA14">
            <v>103</v>
          </cell>
        </row>
        <row r="15">
          <cell r="Y15">
            <v>4</v>
          </cell>
          <cell r="Z15">
            <v>3</v>
          </cell>
          <cell r="AA15">
            <v>102</v>
          </cell>
        </row>
        <row r="16">
          <cell r="Y16">
            <v>4</v>
          </cell>
          <cell r="Z16">
            <v>3</v>
          </cell>
          <cell r="AA16">
            <v>103</v>
          </cell>
        </row>
        <row r="17">
          <cell r="Y17">
            <v>4</v>
          </cell>
          <cell r="Z17">
            <v>3</v>
          </cell>
          <cell r="AA17">
            <v>99</v>
          </cell>
        </row>
        <row r="18">
          <cell r="Y18">
            <v>4</v>
          </cell>
          <cell r="Z18">
            <v>3</v>
          </cell>
          <cell r="AA18">
            <v>100</v>
          </cell>
        </row>
        <row r="19">
          <cell r="Y19">
            <v>3</v>
          </cell>
          <cell r="Z19">
            <v>3</v>
          </cell>
          <cell r="AA19">
            <v>96</v>
          </cell>
        </row>
      </sheetData>
      <sheetData sheetId="1">
        <row r="4">
          <cell r="D4">
            <v>4</v>
          </cell>
          <cell r="E4">
            <v>3</v>
          </cell>
          <cell r="F4">
            <v>20</v>
          </cell>
        </row>
        <row r="5">
          <cell r="D5">
            <v>4</v>
          </cell>
          <cell r="E5">
            <v>3</v>
          </cell>
          <cell r="F5">
            <v>20</v>
          </cell>
        </row>
        <row r="6">
          <cell r="D6">
            <v>4</v>
          </cell>
          <cell r="E6">
            <v>3</v>
          </cell>
          <cell r="F6">
            <v>20</v>
          </cell>
        </row>
        <row r="7">
          <cell r="D7">
            <v>4</v>
          </cell>
          <cell r="E7">
            <v>3</v>
          </cell>
          <cell r="F7">
            <v>20</v>
          </cell>
        </row>
        <row r="8">
          <cell r="D8">
            <v>4</v>
          </cell>
          <cell r="E8">
            <v>3</v>
          </cell>
          <cell r="F8">
            <v>20</v>
          </cell>
        </row>
        <row r="9">
          <cell r="D9">
            <v>4</v>
          </cell>
          <cell r="E9">
            <v>3</v>
          </cell>
          <cell r="F9">
            <v>20</v>
          </cell>
        </row>
        <row r="10">
          <cell r="D10">
            <v>4</v>
          </cell>
          <cell r="E10">
            <v>3</v>
          </cell>
          <cell r="F10">
            <v>20</v>
          </cell>
        </row>
        <row r="11">
          <cell r="D11">
            <v>4</v>
          </cell>
          <cell r="E11">
            <v>3</v>
          </cell>
          <cell r="F11">
            <v>20</v>
          </cell>
        </row>
        <row r="12">
          <cell r="D12">
            <v>4</v>
          </cell>
          <cell r="E12">
            <v>3</v>
          </cell>
          <cell r="F12">
            <v>20</v>
          </cell>
        </row>
        <row r="13">
          <cell r="D13">
            <v>4</v>
          </cell>
          <cell r="E13">
            <v>3</v>
          </cell>
          <cell r="F13">
            <v>20</v>
          </cell>
        </row>
        <row r="14">
          <cell r="D14">
            <v>4</v>
          </cell>
          <cell r="E14">
            <v>3</v>
          </cell>
          <cell r="F14">
            <v>20</v>
          </cell>
        </row>
        <row r="15">
          <cell r="D15">
            <v>4</v>
          </cell>
          <cell r="E15">
            <v>3</v>
          </cell>
          <cell r="F15">
            <v>20</v>
          </cell>
        </row>
        <row r="16">
          <cell r="D16">
            <v>4</v>
          </cell>
          <cell r="E16">
            <v>3</v>
          </cell>
          <cell r="F16">
            <v>20</v>
          </cell>
        </row>
        <row r="17">
          <cell r="D17">
            <v>4</v>
          </cell>
          <cell r="E17">
            <v>3</v>
          </cell>
          <cell r="F17">
            <v>20</v>
          </cell>
        </row>
        <row r="18">
          <cell r="D18">
            <v>4</v>
          </cell>
          <cell r="E18">
            <v>3</v>
          </cell>
          <cell r="F18">
            <v>20</v>
          </cell>
        </row>
        <row r="19">
          <cell r="D19">
            <v>4</v>
          </cell>
          <cell r="E19">
            <v>3</v>
          </cell>
          <cell r="F19">
            <v>20</v>
          </cell>
        </row>
      </sheetData>
      <sheetData sheetId="2">
        <row r="4">
          <cell r="D4">
            <v>1</v>
          </cell>
          <cell r="E4">
            <v>3</v>
          </cell>
          <cell r="F4">
            <v>10</v>
          </cell>
        </row>
        <row r="5">
          <cell r="D5">
            <v>2</v>
          </cell>
          <cell r="E5">
            <v>3</v>
          </cell>
          <cell r="F5">
            <v>10</v>
          </cell>
        </row>
        <row r="6">
          <cell r="D6">
            <v>3</v>
          </cell>
          <cell r="E6">
            <v>2</v>
          </cell>
          <cell r="F6">
            <v>15</v>
          </cell>
        </row>
        <row r="7">
          <cell r="D7">
            <v>3</v>
          </cell>
          <cell r="E7">
            <v>2</v>
          </cell>
          <cell r="F7">
            <v>14</v>
          </cell>
        </row>
        <row r="8">
          <cell r="D8">
            <v>3</v>
          </cell>
          <cell r="E8">
            <v>2</v>
          </cell>
          <cell r="F8">
            <v>14</v>
          </cell>
        </row>
        <row r="9">
          <cell r="D9">
            <v>3</v>
          </cell>
          <cell r="E9">
            <v>3</v>
          </cell>
          <cell r="F9">
            <v>12</v>
          </cell>
        </row>
        <row r="10">
          <cell r="D10">
            <v>3</v>
          </cell>
          <cell r="E10">
            <v>3</v>
          </cell>
          <cell r="F10">
            <v>14</v>
          </cell>
        </row>
        <row r="11">
          <cell r="D11">
            <v>3</v>
          </cell>
          <cell r="E11">
            <v>3</v>
          </cell>
          <cell r="F11">
            <v>13</v>
          </cell>
        </row>
        <row r="12">
          <cell r="D12">
            <v>4</v>
          </cell>
          <cell r="E12">
            <v>3</v>
          </cell>
          <cell r="F12">
            <v>18</v>
          </cell>
        </row>
        <row r="13">
          <cell r="D13">
            <v>1</v>
          </cell>
          <cell r="E13">
            <v>3</v>
          </cell>
          <cell r="F13">
            <v>9</v>
          </cell>
        </row>
        <row r="14">
          <cell r="D14">
            <v>3</v>
          </cell>
          <cell r="E14">
            <v>3</v>
          </cell>
          <cell r="F14">
            <v>13</v>
          </cell>
        </row>
        <row r="15">
          <cell r="D15">
            <v>3</v>
          </cell>
          <cell r="E15">
            <v>3</v>
          </cell>
          <cell r="F15">
            <v>14</v>
          </cell>
        </row>
        <row r="16">
          <cell r="D16">
            <v>3</v>
          </cell>
          <cell r="E16">
            <v>2</v>
          </cell>
          <cell r="F16">
            <v>12</v>
          </cell>
        </row>
        <row r="17">
          <cell r="D17">
            <v>3</v>
          </cell>
          <cell r="E17">
            <v>2</v>
          </cell>
          <cell r="F17">
            <v>14</v>
          </cell>
        </row>
        <row r="18">
          <cell r="D18">
            <v>3</v>
          </cell>
          <cell r="E18">
            <v>3</v>
          </cell>
          <cell r="F18">
            <v>15</v>
          </cell>
        </row>
        <row r="19">
          <cell r="D19">
            <v>1</v>
          </cell>
          <cell r="E19">
            <v>3</v>
          </cell>
          <cell r="F19">
            <v>8</v>
          </cell>
        </row>
      </sheetData>
      <sheetData sheetId="3">
        <row r="4">
          <cell r="D4">
            <v>4</v>
          </cell>
          <cell r="E4">
            <v>3</v>
          </cell>
          <cell r="F4">
            <v>20</v>
          </cell>
        </row>
        <row r="5">
          <cell r="D5">
            <v>4</v>
          </cell>
          <cell r="E5">
            <v>3</v>
          </cell>
          <cell r="F5">
            <v>16</v>
          </cell>
        </row>
        <row r="6">
          <cell r="D6">
            <v>4</v>
          </cell>
          <cell r="E6">
            <v>3</v>
          </cell>
          <cell r="F6">
            <v>17</v>
          </cell>
        </row>
        <row r="7">
          <cell r="D7">
            <v>4</v>
          </cell>
          <cell r="E7">
            <v>3</v>
          </cell>
          <cell r="F7">
            <v>19</v>
          </cell>
        </row>
        <row r="8">
          <cell r="D8">
            <v>4</v>
          </cell>
          <cell r="E8">
            <v>3</v>
          </cell>
          <cell r="F8">
            <v>20</v>
          </cell>
        </row>
        <row r="9">
          <cell r="D9">
            <v>4</v>
          </cell>
          <cell r="E9">
            <v>3</v>
          </cell>
          <cell r="F9">
            <v>20</v>
          </cell>
        </row>
        <row r="10">
          <cell r="D10">
            <v>4</v>
          </cell>
          <cell r="E10">
            <v>3</v>
          </cell>
          <cell r="F10">
            <v>20</v>
          </cell>
        </row>
        <row r="11">
          <cell r="D11">
            <v>4</v>
          </cell>
          <cell r="E11">
            <v>3</v>
          </cell>
          <cell r="F11">
            <v>18</v>
          </cell>
        </row>
        <row r="12">
          <cell r="D12">
            <v>4</v>
          </cell>
          <cell r="E12">
            <v>3</v>
          </cell>
          <cell r="F12">
            <v>20</v>
          </cell>
        </row>
        <row r="13">
          <cell r="D13">
            <v>3</v>
          </cell>
          <cell r="E13">
            <v>3</v>
          </cell>
          <cell r="F13">
            <v>16</v>
          </cell>
        </row>
        <row r="14">
          <cell r="D14">
            <v>3</v>
          </cell>
          <cell r="E14">
            <v>3</v>
          </cell>
          <cell r="F14">
            <v>17</v>
          </cell>
        </row>
        <row r="15">
          <cell r="D15">
            <v>4</v>
          </cell>
          <cell r="E15">
            <v>3</v>
          </cell>
          <cell r="F15">
            <v>20</v>
          </cell>
        </row>
        <row r="16">
          <cell r="D16">
            <v>4</v>
          </cell>
          <cell r="E16">
            <v>3</v>
          </cell>
          <cell r="F16">
            <v>19</v>
          </cell>
        </row>
        <row r="17">
          <cell r="D17">
            <v>4</v>
          </cell>
          <cell r="E17">
            <v>3</v>
          </cell>
          <cell r="F17">
            <v>16</v>
          </cell>
        </row>
        <row r="18">
          <cell r="D18">
            <v>4</v>
          </cell>
          <cell r="E18">
            <v>3</v>
          </cell>
          <cell r="F18">
            <v>20</v>
          </cell>
        </row>
        <row r="19">
          <cell r="D19">
            <v>4</v>
          </cell>
          <cell r="E19">
            <v>3</v>
          </cell>
          <cell r="F19">
            <v>20</v>
          </cell>
        </row>
      </sheetData>
      <sheetData sheetId="4">
        <row r="4">
          <cell r="D4">
            <v>4</v>
          </cell>
          <cell r="E4">
            <v>3</v>
          </cell>
          <cell r="F4">
            <v>17</v>
          </cell>
          <cell r="G4">
            <v>0.12638888888888888</v>
          </cell>
        </row>
        <row r="5">
          <cell r="D5">
            <v>4</v>
          </cell>
          <cell r="E5">
            <v>3</v>
          </cell>
          <cell r="F5">
            <v>18</v>
          </cell>
          <cell r="G5">
            <v>0.11319444444444444</v>
          </cell>
        </row>
        <row r="6">
          <cell r="D6">
            <v>4</v>
          </cell>
          <cell r="E6">
            <v>3</v>
          </cell>
          <cell r="F6">
            <v>19</v>
          </cell>
          <cell r="G6">
            <v>8.6111111111111124E-2</v>
          </cell>
        </row>
        <row r="7">
          <cell r="D7">
            <v>4</v>
          </cell>
          <cell r="E7">
            <v>3</v>
          </cell>
          <cell r="F7">
            <v>18</v>
          </cell>
          <cell r="G7">
            <v>0.10694444444444444</v>
          </cell>
        </row>
        <row r="8">
          <cell r="D8">
            <v>4</v>
          </cell>
          <cell r="E8">
            <v>3</v>
          </cell>
          <cell r="F8">
            <v>20</v>
          </cell>
          <cell r="G8">
            <v>8.1250000000000003E-2</v>
          </cell>
        </row>
        <row r="9">
          <cell r="D9">
            <v>4</v>
          </cell>
          <cell r="E9">
            <v>3</v>
          </cell>
          <cell r="F9">
            <v>19</v>
          </cell>
          <cell r="G9">
            <v>0.10416666666666667</v>
          </cell>
        </row>
        <row r="10">
          <cell r="D10">
            <v>4</v>
          </cell>
          <cell r="E10">
            <v>3</v>
          </cell>
          <cell r="F10">
            <v>19</v>
          </cell>
          <cell r="G10">
            <v>9.5833333333333326E-2</v>
          </cell>
        </row>
        <row r="11">
          <cell r="D11">
            <v>4</v>
          </cell>
          <cell r="E11">
            <v>3</v>
          </cell>
          <cell r="F11">
            <v>19</v>
          </cell>
          <cell r="G11">
            <v>0.10416666666666667</v>
          </cell>
        </row>
        <row r="12">
          <cell r="D12">
            <v>4</v>
          </cell>
          <cell r="E12">
            <v>3</v>
          </cell>
          <cell r="F12">
            <v>19</v>
          </cell>
          <cell r="G12">
            <v>9.7222222222222224E-2</v>
          </cell>
        </row>
        <row r="13">
          <cell r="D13">
            <v>4</v>
          </cell>
          <cell r="E13">
            <v>3</v>
          </cell>
          <cell r="F13">
            <v>18</v>
          </cell>
          <cell r="G13">
            <v>0.125</v>
          </cell>
        </row>
        <row r="14">
          <cell r="D14">
            <v>3</v>
          </cell>
          <cell r="E14">
            <v>3</v>
          </cell>
          <cell r="F14">
            <v>19</v>
          </cell>
          <cell r="G14">
            <v>8.1250000000000003E-2</v>
          </cell>
        </row>
        <row r="15">
          <cell r="D15">
            <v>4</v>
          </cell>
          <cell r="E15">
            <v>2</v>
          </cell>
          <cell r="F15">
            <v>19</v>
          </cell>
          <cell r="G15">
            <v>8.2638888888888887E-2</v>
          </cell>
        </row>
        <row r="16">
          <cell r="D16">
            <v>4</v>
          </cell>
          <cell r="E16">
            <v>3</v>
          </cell>
          <cell r="F16">
            <v>20</v>
          </cell>
          <cell r="G16">
            <v>5.4166666666666669E-2</v>
          </cell>
        </row>
        <row r="17">
          <cell r="D17">
            <v>4</v>
          </cell>
          <cell r="E17">
            <v>3</v>
          </cell>
          <cell r="F17">
            <v>20</v>
          </cell>
          <cell r="G17">
            <v>6.805555555555555E-2</v>
          </cell>
        </row>
        <row r="18">
          <cell r="D18">
            <v>4</v>
          </cell>
          <cell r="E18">
            <v>3</v>
          </cell>
          <cell r="F18">
            <v>19</v>
          </cell>
          <cell r="G18">
            <v>8.5416666666666655E-2</v>
          </cell>
        </row>
        <row r="19">
          <cell r="D19">
            <v>3</v>
          </cell>
          <cell r="E19">
            <v>3</v>
          </cell>
          <cell r="F19">
            <v>17</v>
          </cell>
          <cell r="G19">
            <v>0.125</v>
          </cell>
        </row>
      </sheetData>
      <sheetData sheetId="5">
        <row r="4">
          <cell r="D4">
            <v>3</v>
          </cell>
          <cell r="E4">
            <v>3</v>
          </cell>
          <cell r="G4">
            <v>17</v>
          </cell>
        </row>
        <row r="5">
          <cell r="D5">
            <v>3</v>
          </cell>
          <cell r="E5">
            <v>3</v>
          </cell>
          <cell r="G5">
            <v>21</v>
          </cell>
        </row>
        <row r="6">
          <cell r="D6">
            <v>4</v>
          </cell>
          <cell r="E6">
            <v>3</v>
          </cell>
          <cell r="G6">
            <v>22</v>
          </cell>
        </row>
        <row r="7">
          <cell r="D7">
            <v>4</v>
          </cell>
          <cell r="E7">
            <v>3</v>
          </cell>
          <cell r="G7">
            <v>22</v>
          </cell>
        </row>
        <row r="8">
          <cell r="D8">
            <v>4</v>
          </cell>
          <cell r="E8">
            <v>3</v>
          </cell>
          <cell r="G8">
            <v>22</v>
          </cell>
        </row>
        <row r="9">
          <cell r="D9">
            <v>3</v>
          </cell>
          <cell r="E9">
            <v>2</v>
          </cell>
          <cell r="G9">
            <v>20</v>
          </cell>
        </row>
        <row r="10">
          <cell r="D10">
            <v>3</v>
          </cell>
          <cell r="E10">
            <v>2</v>
          </cell>
          <cell r="G10">
            <v>15</v>
          </cell>
        </row>
        <row r="11">
          <cell r="D11">
            <v>4</v>
          </cell>
          <cell r="E11">
            <v>3</v>
          </cell>
          <cell r="G11">
            <v>25</v>
          </cell>
        </row>
        <row r="12">
          <cell r="D12">
            <v>3</v>
          </cell>
          <cell r="E12">
            <v>3</v>
          </cell>
          <cell r="G12">
            <v>21</v>
          </cell>
        </row>
        <row r="13">
          <cell r="D13">
            <v>4</v>
          </cell>
          <cell r="E13">
            <v>2</v>
          </cell>
          <cell r="G13">
            <v>24</v>
          </cell>
        </row>
        <row r="14">
          <cell r="D14">
            <v>4</v>
          </cell>
          <cell r="E14">
            <v>3</v>
          </cell>
          <cell r="G14">
            <v>23</v>
          </cell>
        </row>
        <row r="15">
          <cell r="D15">
            <v>4</v>
          </cell>
          <cell r="E15">
            <v>3</v>
          </cell>
          <cell r="G15">
            <v>25</v>
          </cell>
        </row>
        <row r="16">
          <cell r="D16">
            <v>4</v>
          </cell>
          <cell r="E16">
            <v>3</v>
          </cell>
          <cell r="G16">
            <v>25</v>
          </cell>
        </row>
        <row r="17">
          <cell r="D17">
            <v>4</v>
          </cell>
          <cell r="E17">
            <v>3</v>
          </cell>
          <cell r="G17">
            <v>25</v>
          </cell>
        </row>
        <row r="18">
          <cell r="D18">
            <v>4</v>
          </cell>
          <cell r="E18">
            <v>3</v>
          </cell>
          <cell r="G18">
            <v>25</v>
          </cell>
        </row>
        <row r="19">
          <cell r="D19">
            <v>4</v>
          </cell>
          <cell r="E19">
            <v>2</v>
          </cell>
          <cell r="G19">
            <v>21</v>
          </cell>
        </row>
      </sheetData>
      <sheetData sheetId="6">
        <row r="4">
          <cell r="D4">
            <v>3</v>
          </cell>
          <cell r="E4">
            <v>3</v>
          </cell>
          <cell r="F4">
            <v>15</v>
          </cell>
          <cell r="G4">
            <v>20</v>
          </cell>
        </row>
        <row r="5">
          <cell r="D5">
            <v>3</v>
          </cell>
          <cell r="E5">
            <v>3</v>
          </cell>
          <cell r="F5">
            <v>16</v>
          </cell>
          <cell r="G5">
            <v>20</v>
          </cell>
        </row>
        <row r="6">
          <cell r="D6">
            <v>4</v>
          </cell>
          <cell r="E6">
            <v>3</v>
          </cell>
          <cell r="F6">
            <v>19</v>
          </cell>
          <cell r="G6">
            <v>20</v>
          </cell>
        </row>
        <row r="7">
          <cell r="D7">
            <v>3</v>
          </cell>
          <cell r="E7">
            <v>3</v>
          </cell>
          <cell r="F7">
            <v>19</v>
          </cell>
          <cell r="G7">
            <v>20</v>
          </cell>
        </row>
        <row r="8">
          <cell r="D8">
            <v>3</v>
          </cell>
          <cell r="E8">
            <v>3</v>
          </cell>
          <cell r="F8">
            <v>18</v>
          </cell>
          <cell r="G8">
            <v>20</v>
          </cell>
        </row>
        <row r="9">
          <cell r="D9">
            <v>3</v>
          </cell>
          <cell r="E9">
            <v>3</v>
          </cell>
          <cell r="F9">
            <v>15</v>
          </cell>
          <cell r="G9">
            <v>19</v>
          </cell>
        </row>
        <row r="10">
          <cell r="D10">
            <v>3</v>
          </cell>
          <cell r="E10">
            <v>3</v>
          </cell>
          <cell r="F10">
            <v>16</v>
          </cell>
          <cell r="G10">
            <v>20</v>
          </cell>
        </row>
        <row r="11">
          <cell r="D11">
            <v>4</v>
          </cell>
          <cell r="E11">
            <v>3</v>
          </cell>
          <cell r="F11">
            <v>17</v>
          </cell>
          <cell r="G11">
            <v>20</v>
          </cell>
        </row>
        <row r="12">
          <cell r="D12">
            <v>3</v>
          </cell>
          <cell r="E12">
            <v>3</v>
          </cell>
          <cell r="F12">
            <v>17</v>
          </cell>
          <cell r="G12">
            <v>20</v>
          </cell>
        </row>
        <row r="13">
          <cell r="D13">
            <v>3</v>
          </cell>
          <cell r="E13">
            <v>3</v>
          </cell>
          <cell r="F13">
            <v>17</v>
          </cell>
          <cell r="G13">
            <v>20</v>
          </cell>
        </row>
        <row r="14">
          <cell r="D14">
            <v>4</v>
          </cell>
          <cell r="E14">
            <v>3</v>
          </cell>
          <cell r="F14">
            <v>18</v>
          </cell>
          <cell r="G14">
            <v>20</v>
          </cell>
        </row>
        <row r="15">
          <cell r="D15">
            <v>3</v>
          </cell>
          <cell r="E15">
            <v>3</v>
          </cell>
          <cell r="F15">
            <v>17</v>
          </cell>
          <cell r="G15">
            <v>20</v>
          </cell>
        </row>
        <row r="16">
          <cell r="D16">
            <v>4</v>
          </cell>
          <cell r="E16">
            <v>3</v>
          </cell>
          <cell r="F16">
            <v>20</v>
          </cell>
          <cell r="G16">
            <v>20</v>
          </cell>
        </row>
        <row r="17">
          <cell r="D17">
            <v>3</v>
          </cell>
          <cell r="E17">
            <v>3</v>
          </cell>
          <cell r="F17">
            <v>19</v>
          </cell>
          <cell r="G17">
            <v>20</v>
          </cell>
        </row>
        <row r="18">
          <cell r="D18">
            <v>3</v>
          </cell>
          <cell r="E18">
            <v>3</v>
          </cell>
          <cell r="F18">
            <v>19</v>
          </cell>
          <cell r="G18">
            <v>20</v>
          </cell>
        </row>
        <row r="19">
          <cell r="D19">
            <v>3</v>
          </cell>
          <cell r="E19">
            <v>3</v>
          </cell>
          <cell r="F19">
            <v>16</v>
          </cell>
          <cell r="G19">
            <v>20</v>
          </cell>
        </row>
      </sheetData>
      <sheetData sheetId="7">
        <row r="4">
          <cell r="D4">
            <v>3</v>
          </cell>
          <cell r="E4">
            <v>3</v>
          </cell>
          <cell r="F4">
            <v>13.5</v>
          </cell>
        </row>
        <row r="5">
          <cell r="D5">
            <v>3</v>
          </cell>
          <cell r="E5">
            <v>3</v>
          </cell>
          <cell r="F5">
            <v>13</v>
          </cell>
        </row>
        <row r="6">
          <cell r="D6">
            <v>4</v>
          </cell>
          <cell r="E6">
            <v>3</v>
          </cell>
          <cell r="F6">
            <v>18</v>
          </cell>
        </row>
        <row r="7">
          <cell r="D7">
            <v>3</v>
          </cell>
          <cell r="E7">
            <v>3</v>
          </cell>
          <cell r="F7">
            <v>20</v>
          </cell>
        </row>
        <row r="8">
          <cell r="D8">
            <v>4</v>
          </cell>
          <cell r="E8">
            <v>3</v>
          </cell>
          <cell r="F8">
            <v>21</v>
          </cell>
        </row>
        <row r="9">
          <cell r="D9">
            <v>4</v>
          </cell>
          <cell r="E9">
            <v>3</v>
          </cell>
        </row>
        <row r="10">
          <cell r="D10">
            <v>3</v>
          </cell>
          <cell r="E10">
            <v>3</v>
          </cell>
          <cell r="F10">
            <v>19</v>
          </cell>
        </row>
        <row r="11">
          <cell r="D11">
            <v>4</v>
          </cell>
          <cell r="E11">
            <v>3</v>
          </cell>
          <cell r="F11">
            <v>18</v>
          </cell>
        </row>
        <row r="12">
          <cell r="D12">
            <v>3</v>
          </cell>
          <cell r="E12">
            <v>3</v>
          </cell>
          <cell r="F12">
            <v>14.5</v>
          </cell>
        </row>
        <row r="13">
          <cell r="D13">
            <v>3</v>
          </cell>
          <cell r="E13">
            <v>3</v>
          </cell>
          <cell r="F13">
            <v>17.5</v>
          </cell>
        </row>
        <row r="14">
          <cell r="D14">
            <v>4</v>
          </cell>
          <cell r="E14">
            <v>3</v>
          </cell>
          <cell r="F14">
            <v>18</v>
          </cell>
        </row>
        <row r="15">
          <cell r="D15">
            <v>2</v>
          </cell>
          <cell r="E15">
            <v>1</v>
          </cell>
          <cell r="F15">
            <v>7.5</v>
          </cell>
        </row>
        <row r="16">
          <cell r="D16">
            <v>4</v>
          </cell>
          <cell r="E16">
            <v>3</v>
          </cell>
          <cell r="F16">
            <v>20.5</v>
          </cell>
        </row>
        <row r="17">
          <cell r="D17">
            <v>3</v>
          </cell>
          <cell r="E17">
            <v>3</v>
          </cell>
          <cell r="F17">
            <v>16.5</v>
          </cell>
        </row>
        <row r="18">
          <cell r="D18">
            <v>3</v>
          </cell>
          <cell r="E18">
            <v>3</v>
          </cell>
          <cell r="F18">
            <v>15</v>
          </cell>
        </row>
        <row r="19">
          <cell r="D19">
            <v>4</v>
          </cell>
          <cell r="E19">
            <v>3</v>
          </cell>
          <cell r="F19">
            <v>14</v>
          </cell>
        </row>
      </sheetData>
      <sheetData sheetId="8">
        <row r="4">
          <cell r="D4">
            <v>3</v>
          </cell>
          <cell r="E4">
            <v>3</v>
          </cell>
          <cell r="F4">
            <v>11</v>
          </cell>
        </row>
        <row r="5">
          <cell r="D5">
            <v>3</v>
          </cell>
          <cell r="E5">
            <v>3</v>
          </cell>
          <cell r="F5">
            <v>11</v>
          </cell>
        </row>
        <row r="6">
          <cell r="D6">
            <v>3</v>
          </cell>
          <cell r="E6">
            <v>3</v>
          </cell>
          <cell r="F6">
            <v>11</v>
          </cell>
        </row>
        <row r="7">
          <cell r="D7">
            <v>4</v>
          </cell>
          <cell r="E7">
            <v>3</v>
          </cell>
          <cell r="F7">
            <v>13</v>
          </cell>
        </row>
        <row r="8">
          <cell r="D8">
            <v>4</v>
          </cell>
          <cell r="E8">
            <v>3</v>
          </cell>
          <cell r="F8">
            <v>12</v>
          </cell>
        </row>
        <row r="9">
          <cell r="D9">
            <v>3</v>
          </cell>
          <cell r="E9">
            <v>3</v>
          </cell>
          <cell r="F9">
            <v>15</v>
          </cell>
        </row>
        <row r="10">
          <cell r="D10">
            <v>3</v>
          </cell>
          <cell r="E10">
            <v>3</v>
          </cell>
          <cell r="F10">
            <v>11</v>
          </cell>
        </row>
        <row r="11">
          <cell r="D11">
            <v>3</v>
          </cell>
          <cell r="E11">
            <v>3</v>
          </cell>
          <cell r="F11">
            <v>15</v>
          </cell>
        </row>
        <row r="12">
          <cell r="D12">
            <v>4</v>
          </cell>
          <cell r="E12">
            <v>3</v>
          </cell>
          <cell r="F12">
            <v>12</v>
          </cell>
        </row>
        <row r="13">
          <cell r="D13">
            <v>2</v>
          </cell>
          <cell r="E13">
            <v>3</v>
          </cell>
          <cell r="F13">
            <v>14</v>
          </cell>
        </row>
        <row r="14">
          <cell r="D14">
            <v>4</v>
          </cell>
          <cell r="E14">
            <v>3</v>
          </cell>
          <cell r="F14">
            <v>12</v>
          </cell>
        </row>
        <row r="15">
          <cell r="D15">
            <v>3</v>
          </cell>
          <cell r="E15">
            <v>3</v>
          </cell>
          <cell r="F15">
            <v>11</v>
          </cell>
        </row>
        <row r="16">
          <cell r="D16">
            <v>3</v>
          </cell>
          <cell r="E16">
            <v>3</v>
          </cell>
          <cell r="F16">
            <v>15</v>
          </cell>
        </row>
        <row r="17">
          <cell r="D17">
            <v>3</v>
          </cell>
          <cell r="E17">
            <v>3</v>
          </cell>
          <cell r="F17">
            <v>11</v>
          </cell>
        </row>
        <row r="18">
          <cell r="D18">
            <v>3</v>
          </cell>
          <cell r="E18">
            <v>3</v>
          </cell>
          <cell r="F18">
            <v>11</v>
          </cell>
        </row>
        <row r="19">
          <cell r="D19">
            <v>2</v>
          </cell>
          <cell r="E19">
            <v>3</v>
          </cell>
          <cell r="F19">
            <v>10</v>
          </cell>
        </row>
      </sheetData>
      <sheetData sheetId="9">
        <row r="4">
          <cell r="D4">
            <v>4</v>
          </cell>
          <cell r="E4">
            <v>3</v>
          </cell>
          <cell r="F4">
            <v>13</v>
          </cell>
        </row>
        <row r="5">
          <cell r="D5">
            <v>4</v>
          </cell>
          <cell r="E5">
            <v>3</v>
          </cell>
          <cell r="F5">
            <v>16</v>
          </cell>
        </row>
        <row r="6">
          <cell r="D6">
            <v>4</v>
          </cell>
          <cell r="E6">
            <v>3</v>
          </cell>
          <cell r="F6">
            <v>15.6</v>
          </cell>
        </row>
        <row r="7">
          <cell r="D7">
            <v>4</v>
          </cell>
          <cell r="E7">
            <v>3</v>
          </cell>
          <cell r="F7">
            <v>15.3</v>
          </cell>
        </row>
        <row r="8">
          <cell r="D8">
            <v>4</v>
          </cell>
          <cell r="E8">
            <v>3</v>
          </cell>
          <cell r="F8">
            <v>16</v>
          </cell>
        </row>
        <row r="9">
          <cell r="D9">
            <v>4</v>
          </cell>
          <cell r="E9">
            <v>2</v>
          </cell>
          <cell r="F9">
            <v>12.2</v>
          </cell>
        </row>
        <row r="10">
          <cell r="D10">
            <v>4</v>
          </cell>
          <cell r="E10">
            <v>2</v>
          </cell>
          <cell r="F10">
            <v>13.8</v>
          </cell>
        </row>
        <row r="11">
          <cell r="D11">
            <v>4</v>
          </cell>
          <cell r="E11">
            <v>3</v>
          </cell>
          <cell r="F11">
            <v>16.8</v>
          </cell>
        </row>
        <row r="12">
          <cell r="D12">
            <v>4</v>
          </cell>
          <cell r="E12">
            <v>2</v>
          </cell>
          <cell r="F12">
            <v>13.7</v>
          </cell>
        </row>
        <row r="13">
          <cell r="D13">
            <v>4</v>
          </cell>
          <cell r="E13">
            <v>3</v>
          </cell>
          <cell r="F13">
            <v>14</v>
          </cell>
        </row>
        <row r="14">
          <cell r="D14">
            <v>4</v>
          </cell>
          <cell r="E14">
            <v>3</v>
          </cell>
          <cell r="F14">
            <v>13.8</v>
          </cell>
        </row>
        <row r="15">
          <cell r="D15">
            <v>4</v>
          </cell>
          <cell r="E15">
            <v>3</v>
          </cell>
          <cell r="F15">
            <v>14.6</v>
          </cell>
        </row>
        <row r="16">
          <cell r="D16">
            <v>4</v>
          </cell>
          <cell r="E16">
            <v>3</v>
          </cell>
          <cell r="F16">
            <v>13.4</v>
          </cell>
        </row>
        <row r="17">
          <cell r="D17">
            <v>4</v>
          </cell>
          <cell r="E17">
            <v>3</v>
          </cell>
          <cell r="F17">
            <v>15.2</v>
          </cell>
        </row>
        <row r="18">
          <cell r="D18">
            <v>4</v>
          </cell>
          <cell r="E18">
            <v>3</v>
          </cell>
          <cell r="F18">
            <v>14.7</v>
          </cell>
        </row>
        <row r="19">
          <cell r="D19">
            <v>4</v>
          </cell>
          <cell r="E19">
            <v>2</v>
          </cell>
          <cell r="F19">
            <v>13.5</v>
          </cell>
        </row>
      </sheetData>
      <sheetData sheetId="10">
        <row r="4">
          <cell r="D4">
            <v>2</v>
          </cell>
          <cell r="E4">
            <v>2</v>
          </cell>
          <cell r="F4">
            <v>14</v>
          </cell>
        </row>
        <row r="5">
          <cell r="D5">
            <v>2</v>
          </cell>
          <cell r="E5">
            <v>2</v>
          </cell>
          <cell r="F5">
            <v>12</v>
          </cell>
        </row>
        <row r="6">
          <cell r="D6">
            <v>3</v>
          </cell>
          <cell r="E6">
            <v>3</v>
          </cell>
          <cell r="F6">
            <v>16</v>
          </cell>
        </row>
        <row r="7">
          <cell r="D7">
            <v>3</v>
          </cell>
          <cell r="E7">
            <v>3</v>
          </cell>
          <cell r="F7">
            <v>26</v>
          </cell>
        </row>
        <row r="8">
          <cell r="D8">
            <v>3</v>
          </cell>
          <cell r="E8">
            <v>3</v>
          </cell>
          <cell r="F8">
            <v>18</v>
          </cell>
        </row>
        <row r="9">
          <cell r="D9">
            <v>3</v>
          </cell>
          <cell r="E9">
            <v>2</v>
          </cell>
          <cell r="F9">
            <v>15</v>
          </cell>
        </row>
        <row r="10">
          <cell r="D10">
            <v>4</v>
          </cell>
          <cell r="E10">
            <v>3</v>
          </cell>
          <cell r="F10">
            <v>17</v>
          </cell>
        </row>
        <row r="11">
          <cell r="D11">
            <v>3</v>
          </cell>
          <cell r="E11">
            <v>3</v>
          </cell>
          <cell r="F11">
            <v>18</v>
          </cell>
        </row>
        <row r="12">
          <cell r="D12">
            <v>2</v>
          </cell>
          <cell r="E12">
            <v>2</v>
          </cell>
          <cell r="F12">
            <v>14</v>
          </cell>
        </row>
        <row r="13">
          <cell r="D13">
            <v>2</v>
          </cell>
          <cell r="E13">
            <v>2</v>
          </cell>
          <cell r="F13">
            <v>18</v>
          </cell>
        </row>
        <row r="14">
          <cell r="D14">
            <v>3</v>
          </cell>
          <cell r="E14">
            <v>3</v>
          </cell>
          <cell r="F14">
            <v>16</v>
          </cell>
        </row>
        <row r="15">
          <cell r="D15">
            <v>2</v>
          </cell>
          <cell r="E15">
            <v>3</v>
          </cell>
          <cell r="F15">
            <v>11</v>
          </cell>
        </row>
        <row r="16">
          <cell r="D16">
            <v>4</v>
          </cell>
          <cell r="E16">
            <v>3</v>
          </cell>
          <cell r="F16">
            <v>23</v>
          </cell>
        </row>
        <row r="17">
          <cell r="D17">
            <v>3</v>
          </cell>
          <cell r="E17">
            <v>3</v>
          </cell>
          <cell r="F17">
            <v>22</v>
          </cell>
        </row>
        <row r="18">
          <cell r="D18">
            <v>3</v>
          </cell>
          <cell r="E18">
            <v>3</v>
          </cell>
          <cell r="F18">
            <v>18</v>
          </cell>
        </row>
        <row r="19">
          <cell r="D19">
            <v>3</v>
          </cell>
          <cell r="E19">
            <v>2</v>
          </cell>
          <cell r="F19">
            <v>17</v>
          </cell>
        </row>
      </sheetData>
      <sheetData sheetId="11">
        <row r="4">
          <cell r="D4">
            <v>4</v>
          </cell>
          <cell r="E4">
            <v>1</v>
          </cell>
          <cell r="F4">
            <v>17</v>
          </cell>
        </row>
        <row r="5">
          <cell r="D5">
            <v>3</v>
          </cell>
          <cell r="E5">
            <v>3</v>
          </cell>
          <cell r="F5">
            <v>19</v>
          </cell>
        </row>
        <row r="6">
          <cell r="D6">
            <v>3</v>
          </cell>
          <cell r="E6">
            <v>3</v>
          </cell>
          <cell r="F6">
            <v>18</v>
          </cell>
        </row>
        <row r="7">
          <cell r="D7">
            <v>4</v>
          </cell>
          <cell r="E7">
            <v>1</v>
          </cell>
          <cell r="F7">
            <v>18</v>
          </cell>
        </row>
        <row r="8">
          <cell r="D8">
            <v>2</v>
          </cell>
          <cell r="E8">
            <v>3</v>
          </cell>
          <cell r="F8">
            <v>18</v>
          </cell>
        </row>
        <row r="9">
          <cell r="D9">
            <v>4</v>
          </cell>
          <cell r="E9">
            <v>1</v>
          </cell>
          <cell r="F9">
            <v>18</v>
          </cell>
        </row>
        <row r="10">
          <cell r="D10">
            <v>4</v>
          </cell>
          <cell r="E10">
            <v>3</v>
          </cell>
          <cell r="F10">
            <v>19</v>
          </cell>
        </row>
        <row r="11">
          <cell r="D11">
            <v>4</v>
          </cell>
          <cell r="E11">
            <v>3</v>
          </cell>
          <cell r="F11">
            <v>20</v>
          </cell>
        </row>
        <row r="12">
          <cell r="D12">
            <v>4</v>
          </cell>
          <cell r="E12">
            <v>2</v>
          </cell>
          <cell r="F12">
            <v>19</v>
          </cell>
        </row>
        <row r="13">
          <cell r="D13">
            <v>4</v>
          </cell>
          <cell r="E13">
            <v>2</v>
          </cell>
          <cell r="F13">
            <v>18</v>
          </cell>
        </row>
        <row r="14">
          <cell r="D14">
            <v>4</v>
          </cell>
          <cell r="E14">
            <v>3</v>
          </cell>
          <cell r="F14">
            <v>20</v>
          </cell>
        </row>
        <row r="15">
          <cell r="D15">
            <v>4</v>
          </cell>
          <cell r="E15">
            <v>2</v>
          </cell>
          <cell r="F15">
            <v>19</v>
          </cell>
        </row>
        <row r="16">
          <cell r="D16">
            <v>4</v>
          </cell>
          <cell r="E16">
            <v>1</v>
          </cell>
          <cell r="F16">
            <v>18</v>
          </cell>
        </row>
        <row r="17">
          <cell r="D17">
            <v>4</v>
          </cell>
          <cell r="E17">
            <v>1</v>
          </cell>
          <cell r="F17">
            <v>18</v>
          </cell>
        </row>
        <row r="18">
          <cell r="D18">
            <v>4</v>
          </cell>
          <cell r="E18">
            <v>3</v>
          </cell>
          <cell r="F18">
            <v>20</v>
          </cell>
        </row>
        <row r="19">
          <cell r="D19">
            <v>2</v>
          </cell>
          <cell r="E19">
            <v>1</v>
          </cell>
          <cell r="F19">
            <v>15</v>
          </cell>
        </row>
      </sheetData>
      <sheetData sheetId="12" refreshError="1"/>
      <sheetData sheetId="13" refreshError="1"/>
      <sheetData sheetId="14">
        <row r="4">
          <cell r="B4">
            <v>183</v>
          </cell>
          <cell r="C4" t="str">
            <v>Carnivorous Llamas</v>
          </cell>
        </row>
        <row r="5">
          <cell r="B5">
            <v>183</v>
          </cell>
          <cell r="C5" t="str">
            <v>The Birds</v>
          </cell>
        </row>
        <row r="6">
          <cell r="B6">
            <v>66</v>
          </cell>
          <cell r="C6" t="str">
            <v>Spitting Cobras</v>
          </cell>
        </row>
        <row r="7">
          <cell r="B7">
            <v>251</v>
          </cell>
          <cell r="C7" t="str">
            <v>"Enter Creative Name Here"</v>
          </cell>
        </row>
        <row r="8">
          <cell r="B8">
            <v>251</v>
          </cell>
          <cell r="C8" t="str">
            <v>Black Bears</v>
          </cell>
        </row>
        <row r="9">
          <cell r="B9">
            <v>182</v>
          </cell>
          <cell r="C9" t="str">
            <v>Fighting Trojans</v>
          </cell>
        </row>
        <row r="10">
          <cell r="B10">
            <v>25</v>
          </cell>
          <cell r="C10" t="str">
            <v>Eagles</v>
          </cell>
        </row>
        <row r="11">
          <cell r="B11">
            <v>98</v>
          </cell>
          <cell r="C11" t="str">
            <v>Deset Eagles</v>
          </cell>
        </row>
        <row r="12">
          <cell r="B12">
            <v>95</v>
          </cell>
          <cell r="C12" t="str">
            <v>Squirrels</v>
          </cell>
        </row>
        <row r="13">
          <cell r="B13">
            <v>98</v>
          </cell>
          <cell r="C13" t="str">
            <v>Bull Dogs</v>
          </cell>
        </row>
        <row r="14">
          <cell r="B14">
            <v>59</v>
          </cell>
          <cell r="C14" t="str">
            <v>Shockers</v>
          </cell>
        </row>
        <row r="15">
          <cell r="B15">
            <v>71</v>
          </cell>
          <cell r="C15" t="str">
            <v>Penguins</v>
          </cell>
        </row>
        <row r="16">
          <cell r="B16">
            <v>71</v>
          </cell>
          <cell r="C16" t="str">
            <v>Scouting Squirrels</v>
          </cell>
        </row>
        <row r="17">
          <cell r="B17">
            <v>204</v>
          </cell>
          <cell r="C17" t="str">
            <v>Night Hawk</v>
          </cell>
        </row>
        <row r="18">
          <cell r="B18">
            <v>204</v>
          </cell>
          <cell r="C18" t="str">
            <v>Thunderbirds</v>
          </cell>
        </row>
        <row r="19">
          <cell r="B19">
            <v>622</v>
          </cell>
          <cell r="C19" t="str">
            <v>The Buffalos/Bison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39"/>
  <sheetViews>
    <sheetView tabSelected="1" workbookViewId="0">
      <selection activeCell="N11" sqref="N11"/>
    </sheetView>
  </sheetViews>
  <sheetFormatPr defaultRowHeight="13.2" x14ac:dyDescent="0.25"/>
  <cols>
    <col min="1" max="1" width="3" bestFit="1" customWidth="1"/>
    <col min="2" max="2" width="7.5546875" style="45" customWidth="1"/>
    <col min="3" max="3" width="19.33203125" customWidth="1"/>
    <col min="4" max="4" width="6.33203125" bestFit="1" customWidth="1"/>
    <col min="5" max="5" width="4.109375" customWidth="1"/>
    <col min="6" max="17" width="6.6640625" customWidth="1"/>
    <col min="18" max="18" width="8.109375" style="47" customWidth="1"/>
    <col min="19" max="19" width="7.6640625" hidden="1" customWidth="1"/>
    <col min="20" max="20" width="7.6640625" customWidth="1"/>
    <col min="21" max="23" width="6.88671875" customWidth="1"/>
  </cols>
  <sheetData>
    <row r="1" spans="1:23" ht="41.25" customHeight="1" x14ac:dyDescent="0.4">
      <c r="B1" s="51" t="s">
        <v>39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</row>
    <row r="2" spans="1:23" s="1" customFormat="1" ht="111" customHeight="1" x14ac:dyDescent="0.25">
      <c r="B2" s="53" t="s">
        <v>0</v>
      </c>
      <c r="C2" s="54"/>
      <c r="D2" s="55" t="s">
        <v>1</v>
      </c>
      <c r="E2" s="55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3" t="s">
        <v>15</v>
      </c>
      <c r="S2" s="4" t="s">
        <v>16</v>
      </c>
      <c r="T2" s="5" t="s">
        <v>17</v>
      </c>
      <c r="U2" s="6" t="s">
        <v>18</v>
      </c>
      <c r="V2" s="7" t="s">
        <v>19</v>
      </c>
      <c r="W2" s="7" t="s">
        <v>20</v>
      </c>
    </row>
    <row r="3" spans="1:23" s="8" customFormat="1" ht="18" customHeight="1" x14ac:dyDescent="0.25">
      <c r="B3" s="9" t="s">
        <v>21</v>
      </c>
      <c r="C3" s="9" t="s">
        <v>22</v>
      </c>
      <c r="D3" s="56"/>
      <c r="E3" s="56"/>
      <c r="F3" s="10" t="s">
        <v>40</v>
      </c>
      <c r="G3" s="10" t="s">
        <v>23</v>
      </c>
      <c r="H3" s="10" t="s">
        <v>24</v>
      </c>
      <c r="I3" s="10" t="s">
        <v>25</v>
      </c>
      <c r="J3" s="10" t="s">
        <v>26</v>
      </c>
      <c r="K3" s="10" t="s">
        <v>27</v>
      </c>
      <c r="L3" s="10" t="s">
        <v>28</v>
      </c>
      <c r="M3" s="10" t="s">
        <v>29</v>
      </c>
      <c r="N3" s="10" t="s">
        <v>30</v>
      </c>
      <c r="O3" s="10" t="s">
        <v>31</v>
      </c>
      <c r="P3" s="10" t="s">
        <v>32</v>
      </c>
      <c r="Q3" s="10" t="s">
        <v>33</v>
      </c>
      <c r="R3" s="11" t="s">
        <v>34</v>
      </c>
      <c r="S3" s="12"/>
      <c r="T3" s="12"/>
      <c r="U3" s="10"/>
      <c r="V3" s="13" t="s">
        <v>35</v>
      </c>
      <c r="W3" s="13" t="s">
        <v>36</v>
      </c>
    </row>
    <row r="4" spans="1:23" ht="18" customHeight="1" x14ac:dyDescent="0.25">
      <c r="A4">
        <v>1</v>
      </c>
      <c r="B4" s="14">
        <f>'[1]Sign in'!B16</f>
        <v>71</v>
      </c>
      <c r="C4" s="15" t="str">
        <f>'[1]Sign in'!C16</f>
        <v>Scouting Squirrels</v>
      </c>
      <c r="D4" s="16">
        <v>5</v>
      </c>
      <c r="E4" s="16">
        <v>2</v>
      </c>
      <c r="F4" s="17">
        <f>'[1]Sled-Patrol Inspection'!AA16</f>
        <v>103</v>
      </c>
      <c r="G4" s="18">
        <f>[1]Cooking!F16</f>
        <v>20</v>
      </c>
      <c r="H4" s="18">
        <f>'[1]First Aid'!F16</f>
        <v>12</v>
      </c>
      <c r="I4" s="18">
        <f>'[1]Survival Skills'!F16</f>
        <v>19</v>
      </c>
      <c r="J4" s="18">
        <f>'[1]Sled Race'!F16</f>
        <v>20</v>
      </c>
      <c r="K4" s="18">
        <f>'[1]Fire Building'!G16</f>
        <v>25</v>
      </c>
      <c r="L4" s="18">
        <f>[1]Orienteering!F16</f>
        <v>20</v>
      </c>
      <c r="M4" s="18">
        <f>'[1]Knot Tying'!F16</f>
        <v>20.5</v>
      </c>
      <c r="N4" s="18">
        <f>'[1]Tomahawk Yard'!F16</f>
        <v>15</v>
      </c>
      <c r="O4" s="18">
        <f>'[1]Shooting Range'!F16</f>
        <v>13.4</v>
      </c>
      <c r="P4" s="18">
        <f>'[1]Scout Trivia'!F16</f>
        <v>23</v>
      </c>
      <c r="Q4" s="18">
        <f>[1]Citizenship!F16</f>
        <v>18</v>
      </c>
      <c r="R4" s="19">
        <f t="shared" ref="R4:R19" si="0">SUM(F4:Q4)</f>
        <v>308.89999999999998</v>
      </c>
      <c r="S4" s="20">
        <f>[1]Orienteering!G16</f>
        <v>20</v>
      </c>
      <c r="T4" s="20">
        <v>308.5</v>
      </c>
      <c r="U4" s="21">
        <f>'[1]Sled Race'!G16</f>
        <v>5.4166666666666669E-2</v>
      </c>
      <c r="V4" s="22">
        <f>'[1]Sled-Patrol Inspection'!Y16+'[1]Survival Skills'!D16+'[1]First Aid'!D16+'[1]Tomahawk Yard'!D16+[1]Cooking!D16+'[1]Sled Race'!D16+'[1]Fire Building'!D16+[1]Orienteering!D16+'[1]Knot Tying'!D16+'[1]Shooting Range'!D16+[1]Citizenship!D16+'[1]Scout Trivia'!D16</f>
        <v>46</v>
      </c>
      <c r="W4" s="23">
        <f>'[1]Sled-Patrol Inspection'!Z16+'[1]Survival Skills'!E16+'[1]First Aid'!E16+'[1]Tomahawk Yard'!E16+[1]Cooking!E16+'[1]Sled Race'!E16+'[1]Fire Building'!E16+[1]Orienteering!E16+'[1]Knot Tying'!E16+'[1]Shooting Range'!E16+[1]Citizenship!E16+'[1]Scout Trivia'!E16</f>
        <v>33</v>
      </c>
    </row>
    <row r="5" spans="1:23" ht="18" customHeight="1" x14ac:dyDescent="0.25">
      <c r="A5">
        <v>2</v>
      </c>
      <c r="B5" s="14">
        <f>'[1]Sign in'!B7</f>
        <v>251</v>
      </c>
      <c r="C5" s="15" t="str">
        <f>'[1]Sign in'!C7</f>
        <v>"Enter Creative Name Here"</v>
      </c>
      <c r="D5" s="16">
        <v>7</v>
      </c>
      <c r="E5" s="16">
        <v>8</v>
      </c>
      <c r="F5" s="17">
        <f>'[1]Sled-Patrol Inspection'!AA7</f>
        <v>102</v>
      </c>
      <c r="G5" s="18">
        <f>[1]Cooking!F7</f>
        <v>20</v>
      </c>
      <c r="H5" s="18">
        <f>'[1]First Aid'!F7</f>
        <v>14</v>
      </c>
      <c r="I5" s="18">
        <f>'[1]Survival Skills'!F7</f>
        <v>19</v>
      </c>
      <c r="J5" s="18">
        <f>'[1]Sled Race'!F7</f>
        <v>18</v>
      </c>
      <c r="K5" s="18">
        <f>'[1]Fire Building'!G7</f>
        <v>22</v>
      </c>
      <c r="L5" s="18">
        <f>[1]Orienteering!F7</f>
        <v>19</v>
      </c>
      <c r="M5" s="18">
        <f>'[1]Knot Tying'!F7</f>
        <v>20</v>
      </c>
      <c r="N5" s="18">
        <f>'[1]Tomahawk Yard'!F7</f>
        <v>13</v>
      </c>
      <c r="O5" s="18">
        <f>'[1]Shooting Range'!F7</f>
        <v>15.3</v>
      </c>
      <c r="P5" s="18">
        <f>'[1]Scout Trivia'!F7</f>
        <v>26</v>
      </c>
      <c r="Q5" s="18">
        <f>[1]Citizenship!F7</f>
        <v>18</v>
      </c>
      <c r="R5" s="24">
        <f t="shared" si="0"/>
        <v>306.3</v>
      </c>
      <c r="S5" s="20">
        <f>[1]Orienteering!G7</f>
        <v>20</v>
      </c>
      <c r="T5" s="20">
        <v>306.3</v>
      </c>
      <c r="U5" s="21">
        <f>'[1]Sled Race'!G7</f>
        <v>0.10694444444444444</v>
      </c>
      <c r="V5" s="23">
        <f>'[1]Sled-Patrol Inspection'!Y7+'[1]Survival Skills'!D7+'[1]First Aid'!D7+'[1]Tomahawk Yard'!D7+[1]Cooking!D7+'[1]Sled Race'!D7+'[1]Fire Building'!D7+[1]Orienteering!D7+'[1]Knot Tying'!D7+'[1]Shooting Range'!D7+[1]Citizenship!D7+'[1]Scout Trivia'!D7</f>
        <v>44</v>
      </c>
      <c r="W5" s="23">
        <f>'[1]Sled-Patrol Inspection'!Z7+'[1]Survival Skills'!E7+'[1]First Aid'!E7+'[1]Tomahawk Yard'!E7+[1]Cooking!E7+'[1]Sled Race'!E7+'[1]Fire Building'!E7+[1]Orienteering!E7+'[1]Knot Tying'!E7+'[1]Shooting Range'!E7+[1]Citizenship!E7+'[1]Scout Trivia'!E7</f>
        <v>33</v>
      </c>
    </row>
    <row r="6" spans="1:23" ht="18" customHeight="1" x14ac:dyDescent="0.25">
      <c r="A6">
        <v>3</v>
      </c>
      <c r="B6" s="14">
        <f>'[1]Sign in'!B11</f>
        <v>98</v>
      </c>
      <c r="C6" s="15" t="str">
        <f>'[1]Sign in'!C11</f>
        <v>Deset Eagles</v>
      </c>
      <c r="D6" s="16">
        <v>5</v>
      </c>
      <c r="E6" s="16">
        <v>2</v>
      </c>
      <c r="F6" s="17">
        <f>'[1]Sled-Patrol Inspection'!AA11</f>
        <v>101</v>
      </c>
      <c r="G6" s="18">
        <f>[1]Cooking!F11</f>
        <v>20</v>
      </c>
      <c r="H6" s="18">
        <f>'[1]First Aid'!F11</f>
        <v>13</v>
      </c>
      <c r="I6" s="18">
        <f>'[1]Survival Skills'!F11</f>
        <v>18</v>
      </c>
      <c r="J6" s="18">
        <f>'[1]Sled Race'!F11</f>
        <v>19</v>
      </c>
      <c r="K6" s="18">
        <f>'[1]Fire Building'!G11</f>
        <v>25</v>
      </c>
      <c r="L6" s="18">
        <f>[1]Orienteering!F11</f>
        <v>17</v>
      </c>
      <c r="M6" s="18">
        <f>'[1]Knot Tying'!F11</f>
        <v>18</v>
      </c>
      <c r="N6" s="18">
        <f>'[1]Tomahawk Yard'!F11</f>
        <v>15</v>
      </c>
      <c r="O6" s="18">
        <f>'[1]Shooting Range'!F11</f>
        <v>16.8</v>
      </c>
      <c r="P6" s="18">
        <f>'[1]Scout Trivia'!F11</f>
        <v>18</v>
      </c>
      <c r="Q6" s="18">
        <f>[1]Citizenship!F11</f>
        <v>20</v>
      </c>
      <c r="R6" s="25">
        <f t="shared" si="0"/>
        <v>300.8</v>
      </c>
      <c r="S6" s="20">
        <f>[1]Orienteering!G11</f>
        <v>20</v>
      </c>
      <c r="T6" s="20">
        <v>300.8</v>
      </c>
      <c r="U6" s="21">
        <f>'[1]Sled Race'!G11</f>
        <v>0.10416666666666667</v>
      </c>
      <c r="V6" s="26">
        <f>'[1]Sled-Patrol Inspection'!Y11+'[1]Survival Skills'!D11+'[1]First Aid'!D11+'[1]Tomahawk Yard'!D11+[1]Cooking!D11+'[1]Sled Race'!D11+'[1]Fire Building'!D11+[1]Orienteering!D11+'[1]Knot Tying'!D11+'[1]Shooting Range'!D11+[1]Citizenship!D11+'[1]Scout Trivia'!D11</f>
        <v>45</v>
      </c>
      <c r="W6" s="22">
        <f>'[1]Sled-Patrol Inspection'!Z11+'[1]Survival Skills'!E11+'[1]First Aid'!E11+'[1]Tomahawk Yard'!E11+[1]Cooking!E11+'[1]Sled Race'!E11+'[1]Fire Building'!E11+[1]Orienteering!E11+'[1]Knot Tying'!E11+'[1]Shooting Range'!E11+[1]Citizenship!E11+'[1]Scout Trivia'!E11</f>
        <v>36</v>
      </c>
    </row>
    <row r="7" spans="1:23" ht="18" customHeight="1" x14ac:dyDescent="0.25">
      <c r="A7">
        <v>4</v>
      </c>
      <c r="B7" s="14">
        <f>'[1]Sign in'!B18</f>
        <v>204</v>
      </c>
      <c r="C7" s="15" t="str">
        <f>'[1]Sign in'!C18</f>
        <v>Thunderbirds</v>
      </c>
      <c r="D7" s="16">
        <v>7</v>
      </c>
      <c r="E7" s="16">
        <v>1</v>
      </c>
      <c r="F7" s="17">
        <f>'[1]Sled-Patrol Inspection'!AA18</f>
        <v>100</v>
      </c>
      <c r="G7" s="18">
        <f>[1]Cooking!F18</f>
        <v>20</v>
      </c>
      <c r="H7" s="18">
        <f>'[1]First Aid'!F18</f>
        <v>15</v>
      </c>
      <c r="I7" s="18">
        <f>'[1]Survival Skills'!F18</f>
        <v>20</v>
      </c>
      <c r="J7" s="18">
        <f>'[1]Sled Race'!F18</f>
        <v>19</v>
      </c>
      <c r="K7" s="18">
        <f>'[1]Fire Building'!G18</f>
        <v>25</v>
      </c>
      <c r="L7" s="18">
        <f>[1]Orienteering!F18</f>
        <v>19</v>
      </c>
      <c r="M7" s="18">
        <f>'[1]Knot Tying'!F18</f>
        <v>15</v>
      </c>
      <c r="N7" s="18">
        <f>'[1]Tomahawk Yard'!F18</f>
        <v>11</v>
      </c>
      <c r="O7" s="18">
        <f>'[1]Shooting Range'!F18</f>
        <v>14.7</v>
      </c>
      <c r="P7" s="18">
        <f>'[1]Scout Trivia'!F18</f>
        <v>18</v>
      </c>
      <c r="Q7" s="18">
        <f>[1]Citizenship!F18</f>
        <v>20</v>
      </c>
      <c r="R7" s="11">
        <f t="shared" si="0"/>
        <v>296.7</v>
      </c>
      <c r="S7" s="20">
        <f>[1]Orienteering!G18</f>
        <v>20</v>
      </c>
      <c r="T7" s="20">
        <v>296.7</v>
      </c>
      <c r="U7" s="21">
        <f>'[1]Sled Race'!G18</f>
        <v>8.5416666666666655E-2</v>
      </c>
      <c r="V7" s="23">
        <f>'[1]Sled-Patrol Inspection'!Y18+'[1]Survival Skills'!D18+'[1]First Aid'!D18+'[1]Tomahawk Yard'!D18+[1]Cooking!D18+'[1]Sled Race'!D18+'[1]Fire Building'!D18+[1]Orienteering!D18+'[1]Knot Tying'!D18+'[1]Shooting Range'!D18+[1]Citizenship!D18+'[1]Scout Trivia'!D18</f>
        <v>43</v>
      </c>
      <c r="W7" s="26">
        <f>'[1]Sled-Patrol Inspection'!Z18+'[1]Survival Skills'!E18+'[1]First Aid'!E18+'[1]Tomahawk Yard'!E18+[1]Cooking!E18+'[1]Sled Race'!E18+'[1]Fire Building'!E18+[1]Orienteering!E18+'[1]Knot Tying'!E18+'[1]Shooting Range'!E18+[1]Citizenship!E18+'[1]Scout Trivia'!E18</f>
        <v>36</v>
      </c>
    </row>
    <row r="8" spans="1:23" ht="18" customHeight="1" x14ac:dyDescent="0.25">
      <c r="A8">
        <v>5</v>
      </c>
      <c r="B8" s="14">
        <f>'[1]Sign in'!B8</f>
        <v>251</v>
      </c>
      <c r="C8" s="15" t="str">
        <f>'[1]Sign in'!C8</f>
        <v>Black Bears</v>
      </c>
      <c r="D8" s="16">
        <v>7</v>
      </c>
      <c r="E8" s="16"/>
      <c r="F8" s="17">
        <f>'[1]Sled-Patrol Inspection'!AA8</f>
        <v>97</v>
      </c>
      <c r="G8" s="18">
        <f>[1]Cooking!F8</f>
        <v>20</v>
      </c>
      <c r="H8" s="18">
        <f>'[1]First Aid'!F8</f>
        <v>14</v>
      </c>
      <c r="I8" s="18">
        <f>'[1]Survival Skills'!F8</f>
        <v>20</v>
      </c>
      <c r="J8" s="18">
        <f>'[1]Sled Race'!F8</f>
        <v>20</v>
      </c>
      <c r="K8" s="18">
        <f>'[1]Fire Building'!G8</f>
        <v>22</v>
      </c>
      <c r="L8" s="18">
        <f>[1]Orienteering!F8</f>
        <v>18</v>
      </c>
      <c r="M8" s="18">
        <f>'[1]Knot Tying'!F8</f>
        <v>21</v>
      </c>
      <c r="N8" s="18">
        <f>'[1]Tomahawk Yard'!F8</f>
        <v>12</v>
      </c>
      <c r="O8" s="18">
        <f>'[1]Shooting Range'!F8</f>
        <v>16</v>
      </c>
      <c r="P8" s="18">
        <f>'[1]Scout Trivia'!F8</f>
        <v>18</v>
      </c>
      <c r="Q8" s="18">
        <f>[1]Citizenship!F8</f>
        <v>18</v>
      </c>
      <c r="R8" s="11">
        <f t="shared" si="0"/>
        <v>296</v>
      </c>
      <c r="S8" s="20">
        <f>[1]Orienteering!G8</f>
        <v>20</v>
      </c>
      <c r="T8" s="20">
        <v>296</v>
      </c>
      <c r="U8" s="21">
        <f>'[1]Sled Race'!G8</f>
        <v>8.1250000000000003E-2</v>
      </c>
      <c r="V8" s="23">
        <f>'[1]Sled-Patrol Inspection'!Y8+'[1]Survival Skills'!D8+'[1]First Aid'!D8+'[1]Tomahawk Yard'!D8+[1]Cooking!D8+'[1]Sled Race'!D8+'[1]Fire Building'!D8+[1]Orienteering!D8+'[1]Knot Tying'!D8+'[1]Shooting Range'!D8+[1]Citizenship!D8+'[1]Scout Trivia'!D8</f>
        <v>43</v>
      </c>
      <c r="W8" s="23">
        <f>'[1]Sled-Patrol Inspection'!Z8+'[1]Survival Skills'!E8+'[1]First Aid'!E8+'[1]Tomahawk Yard'!E8+[1]Cooking!E8+'[1]Sled Race'!E8+'[1]Fire Building'!E8+[1]Orienteering!E8+'[1]Knot Tying'!E8+'[1]Shooting Range'!E8+[1]Citizenship!E8+'[1]Scout Trivia'!E8</f>
        <v>35</v>
      </c>
    </row>
    <row r="9" spans="1:23" ht="18" customHeight="1" x14ac:dyDescent="0.25">
      <c r="A9">
        <v>6</v>
      </c>
      <c r="B9" s="14">
        <f>'[1]Sign in'!B17</f>
        <v>204</v>
      </c>
      <c r="C9" s="15" t="str">
        <f>'[1]Sign in'!C17</f>
        <v>Night Hawk</v>
      </c>
      <c r="D9" s="16">
        <v>6</v>
      </c>
      <c r="E9" s="16">
        <v>1</v>
      </c>
      <c r="F9" s="17">
        <f>'[1]Sled-Patrol Inspection'!AA17</f>
        <v>99</v>
      </c>
      <c r="G9" s="18">
        <f>[1]Cooking!F17</f>
        <v>20</v>
      </c>
      <c r="H9" s="18">
        <f>'[1]First Aid'!F17</f>
        <v>14</v>
      </c>
      <c r="I9" s="18">
        <f>'[1]Survival Skills'!F17</f>
        <v>16</v>
      </c>
      <c r="J9" s="18">
        <f>'[1]Sled Race'!F17</f>
        <v>20</v>
      </c>
      <c r="K9" s="18">
        <f>'[1]Fire Building'!G17</f>
        <v>25</v>
      </c>
      <c r="L9" s="18">
        <f>[1]Orienteering!F17</f>
        <v>19</v>
      </c>
      <c r="M9" s="18">
        <f>'[1]Knot Tying'!F17</f>
        <v>16.5</v>
      </c>
      <c r="N9" s="18">
        <f>'[1]Tomahawk Yard'!F17</f>
        <v>11</v>
      </c>
      <c r="O9" s="18">
        <f>'[1]Shooting Range'!F17</f>
        <v>15.2</v>
      </c>
      <c r="P9" s="18">
        <f>'[1]Scout Trivia'!F17</f>
        <v>22</v>
      </c>
      <c r="Q9" s="18">
        <f>[1]Citizenship!F17</f>
        <v>18</v>
      </c>
      <c r="R9" s="11">
        <f t="shared" si="0"/>
        <v>295.7</v>
      </c>
      <c r="S9" s="20">
        <f>[1]Orienteering!G17</f>
        <v>20</v>
      </c>
      <c r="T9" s="20">
        <v>295.7</v>
      </c>
      <c r="U9" s="21">
        <f>'[1]Sled Race'!G17</f>
        <v>6.805555555555555E-2</v>
      </c>
      <c r="V9" s="23">
        <f>'[1]Sled-Patrol Inspection'!Y17+'[1]Survival Skills'!D17+'[1]First Aid'!D17+'[1]Tomahawk Yard'!D17+[1]Cooking!D17+'[1]Sled Race'!D17+'[1]Fire Building'!D17+[1]Orienteering!D17+'[1]Knot Tying'!D17+'[1]Shooting Range'!D17+[1]Citizenship!D17+'[1]Scout Trivia'!D17</f>
        <v>43</v>
      </c>
      <c r="W9" s="23">
        <f>'[1]Sled-Patrol Inspection'!Z17+'[1]Survival Skills'!E17+'[1]First Aid'!E17+'[1]Tomahawk Yard'!E17+[1]Cooking!E17+'[1]Sled Race'!E17+'[1]Fire Building'!E17+[1]Orienteering!E17+'[1]Knot Tying'!E17+'[1]Shooting Range'!E17+[1]Citizenship!E17+'[1]Scout Trivia'!E17</f>
        <v>33</v>
      </c>
    </row>
    <row r="10" spans="1:23" ht="18" customHeight="1" x14ac:dyDescent="0.25">
      <c r="A10">
        <v>7</v>
      </c>
      <c r="B10" s="14">
        <f>'[1]Sign in'!B14</f>
        <v>59</v>
      </c>
      <c r="C10" s="15" t="str">
        <f>'[1]Sign in'!C14</f>
        <v>Shockers</v>
      </c>
      <c r="D10" s="16">
        <v>11</v>
      </c>
      <c r="E10" s="16">
        <v>5</v>
      </c>
      <c r="F10" s="17">
        <f>'[1]Sled-Patrol Inspection'!AA14</f>
        <v>103</v>
      </c>
      <c r="G10" s="18">
        <f>[1]Cooking!F14</f>
        <v>20</v>
      </c>
      <c r="H10" s="18">
        <f>'[1]First Aid'!F14</f>
        <v>13</v>
      </c>
      <c r="I10" s="18">
        <f>'[1]Survival Skills'!F14</f>
        <v>17</v>
      </c>
      <c r="J10" s="18">
        <f>'[1]Sled Race'!F14</f>
        <v>19</v>
      </c>
      <c r="K10" s="18">
        <f>'[1]Fire Building'!G14</f>
        <v>23</v>
      </c>
      <c r="L10" s="18">
        <f>[1]Orienteering!F14</f>
        <v>18</v>
      </c>
      <c r="M10" s="18">
        <f>'[1]Knot Tying'!F14</f>
        <v>18</v>
      </c>
      <c r="N10" s="18">
        <f>'[1]Tomahawk Yard'!F14</f>
        <v>12</v>
      </c>
      <c r="O10" s="18">
        <f>'[1]Shooting Range'!F14</f>
        <v>13.8</v>
      </c>
      <c r="P10" s="18">
        <f>'[1]Scout Trivia'!F14</f>
        <v>16</v>
      </c>
      <c r="Q10" s="18">
        <f>[1]Citizenship!F14</f>
        <v>20</v>
      </c>
      <c r="R10" s="11">
        <f t="shared" si="0"/>
        <v>292.8</v>
      </c>
      <c r="S10" s="20">
        <f>[1]Orienteering!G14</f>
        <v>20</v>
      </c>
      <c r="T10" s="20">
        <v>274.8</v>
      </c>
      <c r="U10" s="21">
        <f>'[1]Sled Race'!G14</f>
        <v>8.1250000000000003E-2</v>
      </c>
      <c r="V10" s="27">
        <f>'[1]Sled-Patrol Inspection'!Y14+'[1]Survival Skills'!D14+'[1]First Aid'!D14+'[1]Tomahawk Yard'!D14+[1]Cooking!D14+'[1]Sled Race'!D14+'[1]Fire Building'!D14+[1]Orienteering!D14+'[1]Knot Tying'!D14+'[1]Shooting Range'!D14+[1]Citizenship!D14+'[1]Scout Trivia'!D14</f>
        <v>44</v>
      </c>
      <c r="W10" s="27">
        <f>'[1]Sled-Patrol Inspection'!Z14+'[1]Survival Skills'!E14+'[1]First Aid'!E14+'[1]Tomahawk Yard'!E14+[1]Cooking!E14+'[1]Sled Race'!E14+'[1]Fire Building'!E14+[1]Orienteering!E14+'[1]Knot Tying'!E14+'[1]Shooting Range'!E14+[1]Citizenship!E14+'[1]Scout Trivia'!E14</f>
        <v>36</v>
      </c>
    </row>
    <row r="11" spans="1:23" ht="18" customHeight="1" x14ac:dyDescent="0.25">
      <c r="A11">
        <v>8</v>
      </c>
      <c r="B11" s="14">
        <f>'[1]Sign in'!B12</f>
        <v>95</v>
      </c>
      <c r="C11" s="15" t="str">
        <f>'[1]Sign in'!C12</f>
        <v>Squirrels</v>
      </c>
      <c r="D11" s="16">
        <v>4</v>
      </c>
      <c r="E11" s="16">
        <v>3</v>
      </c>
      <c r="F11" s="17">
        <f>'[1]Sled-Patrol Inspection'!AA12</f>
        <v>103</v>
      </c>
      <c r="G11" s="18">
        <f>[1]Cooking!F12</f>
        <v>20</v>
      </c>
      <c r="H11" s="18">
        <f>'[1]First Aid'!F12</f>
        <v>18</v>
      </c>
      <c r="I11" s="18">
        <f>'[1]Survival Skills'!F12</f>
        <v>20</v>
      </c>
      <c r="J11" s="18">
        <f>'[1]Sled Race'!F12</f>
        <v>19</v>
      </c>
      <c r="K11" s="18">
        <f>'[1]Fire Building'!G12</f>
        <v>21</v>
      </c>
      <c r="L11" s="18">
        <f>[1]Orienteering!F12</f>
        <v>17</v>
      </c>
      <c r="M11" s="18">
        <f>'[1]Knot Tying'!F12</f>
        <v>14.5</v>
      </c>
      <c r="N11" s="18">
        <f>'[1]Tomahawk Yard'!F12</f>
        <v>12</v>
      </c>
      <c r="O11" s="18">
        <f>'[1]Shooting Range'!F12</f>
        <v>13.7</v>
      </c>
      <c r="P11" s="18">
        <f>'[1]Scout Trivia'!F12</f>
        <v>14</v>
      </c>
      <c r="Q11" s="18">
        <f>[1]Citizenship!F12</f>
        <v>19</v>
      </c>
      <c r="R11" s="11">
        <f t="shared" si="0"/>
        <v>291.2</v>
      </c>
      <c r="S11" s="20">
        <f>[1]Orienteering!G12</f>
        <v>20</v>
      </c>
      <c r="T11" s="20">
        <v>291.2</v>
      </c>
      <c r="U11" s="21">
        <f>'[1]Sled Race'!G12</f>
        <v>9.7222222222222224E-2</v>
      </c>
      <c r="V11" s="23">
        <f>'[1]Sled-Patrol Inspection'!Y12+'[1]Survival Skills'!D12+'[1]First Aid'!D12+'[1]Tomahawk Yard'!D12+[1]Cooking!D12+'[1]Sled Race'!D12+'[1]Fire Building'!D12+[1]Orienteering!D12+'[1]Knot Tying'!D12+'[1]Shooting Range'!D12+[1]Citizenship!D12+'[1]Scout Trivia'!D12</f>
        <v>43</v>
      </c>
      <c r="W11" s="23">
        <f>'[1]Sled-Patrol Inspection'!Z12+'[1]Survival Skills'!E12+'[1]First Aid'!E12+'[1]Tomahawk Yard'!E12+[1]Cooking!E12+'[1]Sled Race'!E12+'[1]Fire Building'!E12+[1]Orienteering!E12+'[1]Knot Tying'!E12+'[1]Shooting Range'!E12+[1]Citizenship!E12+'[1]Scout Trivia'!E12</f>
        <v>33</v>
      </c>
    </row>
    <row r="12" spans="1:23" ht="18" customHeight="1" x14ac:dyDescent="0.25">
      <c r="A12">
        <v>9</v>
      </c>
      <c r="B12" s="14">
        <f>'[1]Sign in'!B6</f>
        <v>66</v>
      </c>
      <c r="C12" s="15" t="str">
        <f>'[1]Sign in'!C6</f>
        <v>Spitting Cobras</v>
      </c>
      <c r="D12" s="16">
        <v>7</v>
      </c>
      <c r="E12" s="16">
        <v>5</v>
      </c>
      <c r="F12" s="17">
        <f>'[1]Sled-Patrol Inspection'!AA6</f>
        <v>100</v>
      </c>
      <c r="G12" s="18">
        <f>[1]Cooking!F6</f>
        <v>20</v>
      </c>
      <c r="H12" s="18">
        <f>'[1]First Aid'!F6</f>
        <v>15</v>
      </c>
      <c r="I12" s="18">
        <f>'[1]Survival Skills'!F6</f>
        <v>17</v>
      </c>
      <c r="J12" s="18">
        <f>'[1]Sled Race'!F6</f>
        <v>19</v>
      </c>
      <c r="K12" s="18">
        <f>'[1]Fire Building'!G6</f>
        <v>22</v>
      </c>
      <c r="L12" s="18">
        <f>[1]Orienteering!F6</f>
        <v>19</v>
      </c>
      <c r="M12" s="18">
        <f>'[1]Knot Tying'!F6</f>
        <v>18</v>
      </c>
      <c r="N12" s="18">
        <f>'[1]Tomahawk Yard'!F6</f>
        <v>11</v>
      </c>
      <c r="O12" s="18">
        <f>'[1]Shooting Range'!F6</f>
        <v>15.6</v>
      </c>
      <c r="P12" s="18">
        <f>'[1]Scout Trivia'!F6</f>
        <v>16</v>
      </c>
      <c r="Q12" s="18">
        <f>[1]Citizenship!F6</f>
        <v>18</v>
      </c>
      <c r="R12" s="11">
        <f t="shared" si="0"/>
        <v>290.60000000000002</v>
      </c>
      <c r="S12" s="20">
        <f>[1]Orienteering!G6</f>
        <v>20</v>
      </c>
      <c r="T12" s="20">
        <v>290.60000000000002</v>
      </c>
      <c r="U12" s="21">
        <f>'[1]Sled Race'!G6</f>
        <v>8.6111111111111124E-2</v>
      </c>
      <c r="V12" s="23">
        <f>'[1]Sled-Patrol Inspection'!Y6+'[1]Survival Skills'!D6+'[1]First Aid'!D6+'[1]Tomahawk Yard'!D6+[1]Cooking!D6+'[1]Sled Race'!D6+'[1]Fire Building'!D6+[1]Orienteering!D6+'[1]Knot Tying'!D6+'[1]Shooting Range'!D6+[1]Citizenship!D6+'[1]Scout Trivia'!D6</f>
        <v>44</v>
      </c>
      <c r="W12" s="23">
        <f>'[1]Sled-Patrol Inspection'!Z6+'[1]Survival Skills'!E6+'[1]First Aid'!E6+'[1]Tomahawk Yard'!E6+[1]Cooking!E6+'[1]Sled Race'!E6+'[1]Fire Building'!E6+[1]Orienteering!E6+'[1]Knot Tying'!E6+'[1]Shooting Range'!E6+[1]Citizenship!E6+'[1]Scout Trivia'!E6</f>
        <v>35</v>
      </c>
    </row>
    <row r="13" spans="1:23" ht="18" customHeight="1" x14ac:dyDescent="0.25">
      <c r="A13">
        <v>10</v>
      </c>
      <c r="B13" s="14">
        <f>'[1]Sign in'!B13</f>
        <v>98</v>
      </c>
      <c r="C13" s="15" t="str">
        <f>'[1]Sign in'!C13</f>
        <v>Bull Dogs</v>
      </c>
      <c r="D13" s="16">
        <v>6</v>
      </c>
      <c r="E13" s="16">
        <v>2</v>
      </c>
      <c r="F13" s="17">
        <f>'[1]Sled-Patrol Inspection'!AA13</f>
        <v>101</v>
      </c>
      <c r="G13" s="18">
        <f>[1]Cooking!F13</f>
        <v>20</v>
      </c>
      <c r="H13" s="18">
        <f>'[1]First Aid'!F13</f>
        <v>9</v>
      </c>
      <c r="I13" s="18">
        <f>'[1]Survival Skills'!F13</f>
        <v>16</v>
      </c>
      <c r="J13" s="18">
        <f>'[1]Sled Race'!F13</f>
        <v>18</v>
      </c>
      <c r="K13" s="18">
        <f>'[1]Fire Building'!G13</f>
        <v>24</v>
      </c>
      <c r="L13" s="18">
        <f>[1]Orienteering!F13</f>
        <v>17</v>
      </c>
      <c r="M13" s="18">
        <f>'[1]Knot Tying'!F13</f>
        <v>17.5</v>
      </c>
      <c r="N13" s="18">
        <f>'[1]Tomahawk Yard'!F13</f>
        <v>14</v>
      </c>
      <c r="O13" s="18">
        <f>'[1]Shooting Range'!F13</f>
        <v>14</v>
      </c>
      <c r="P13" s="18">
        <f>'[1]Scout Trivia'!F13</f>
        <v>18</v>
      </c>
      <c r="Q13" s="18">
        <f>[1]Citizenship!F13</f>
        <v>18</v>
      </c>
      <c r="R13" s="11">
        <f t="shared" si="0"/>
        <v>286.5</v>
      </c>
      <c r="S13" s="20">
        <f>[1]Orienteering!G13</f>
        <v>20</v>
      </c>
      <c r="T13" s="20">
        <v>286.5</v>
      </c>
      <c r="U13" s="21">
        <f>'[1]Sled Race'!G13</f>
        <v>0.125</v>
      </c>
      <c r="V13" s="23">
        <f>'[1]Sled-Patrol Inspection'!Y13+'[1]Survival Skills'!D13+'[1]First Aid'!D13+'[1]Tomahawk Yard'!D13+[1]Cooking!D13+'[1]Sled Race'!D13+'[1]Fire Building'!D13+[1]Orienteering!D13+'[1]Knot Tying'!D13+'[1]Shooting Range'!D13+[1]Citizenship!D13+'[1]Scout Trivia'!D13</f>
        <v>38</v>
      </c>
      <c r="W13" s="23">
        <f>'[1]Sled-Patrol Inspection'!Z13+'[1]Survival Skills'!E13+'[1]First Aid'!E13+'[1]Tomahawk Yard'!E13+[1]Cooking!E13+'[1]Sled Race'!E13+'[1]Fire Building'!E13+[1]Orienteering!E13+'[1]Knot Tying'!E13+'[1]Shooting Range'!E13+[1]Citizenship!E13+'[1]Scout Trivia'!E13</f>
        <v>33</v>
      </c>
    </row>
    <row r="14" spans="1:23" ht="18" customHeight="1" x14ac:dyDescent="0.25">
      <c r="A14">
        <v>11</v>
      </c>
      <c r="B14" s="14">
        <f>'[1]Sign in'!B10</f>
        <v>25</v>
      </c>
      <c r="C14" s="15" t="str">
        <f>'[1]Sign in'!C10</f>
        <v>Eagles</v>
      </c>
      <c r="D14" s="16">
        <v>8</v>
      </c>
      <c r="E14" s="16">
        <v>3</v>
      </c>
      <c r="F14" s="17">
        <f>'[1]Sled-Patrol Inspection'!AA10</f>
        <v>101</v>
      </c>
      <c r="G14" s="18">
        <f>[1]Cooking!F10</f>
        <v>20</v>
      </c>
      <c r="H14" s="18">
        <f>'[1]First Aid'!F10</f>
        <v>14</v>
      </c>
      <c r="I14" s="18">
        <f>'[1]Survival Skills'!F10</f>
        <v>20</v>
      </c>
      <c r="J14" s="18">
        <f>'[1]Sled Race'!F10</f>
        <v>19</v>
      </c>
      <c r="K14" s="18">
        <f>'[1]Fire Building'!G10</f>
        <v>15</v>
      </c>
      <c r="L14" s="18">
        <f>[1]Orienteering!F10</f>
        <v>16</v>
      </c>
      <c r="M14" s="18">
        <f>'[1]Knot Tying'!F10</f>
        <v>19</v>
      </c>
      <c r="N14" s="18">
        <f>'[1]Tomahawk Yard'!F10</f>
        <v>11</v>
      </c>
      <c r="O14" s="18">
        <f>'[1]Shooting Range'!F10</f>
        <v>13.8</v>
      </c>
      <c r="P14" s="18">
        <f>'[1]Scout Trivia'!F10</f>
        <v>17</v>
      </c>
      <c r="Q14" s="18">
        <f>[1]Citizenship!F10</f>
        <v>19</v>
      </c>
      <c r="R14" s="11">
        <f t="shared" si="0"/>
        <v>284.8</v>
      </c>
      <c r="S14" s="20">
        <f>[1]Orienteering!G10</f>
        <v>20</v>
      </c>
      <c r="T14" s="20">
        <v>288.8</v>
      </c>
      <c r="U14" s="21">
        <f>'[1]Sled Race'!G10</f>
        <v>9.5833333333333326E-2</v>
      </c>
      <c r="V14" s="23">
        <f>'[1]Sled-Patrol Inspection'!Y10+'[1]Survival Skills'!D10+'[1]First Aid'!D10+'[1]Tomahawk Yard'!D10+[1]Cooking!D10+'[1]Sled Race'!D10+'[1]Fire Building'!D10+[1]Orienteering!D10+'[1]Knot Tying'!D10+'[1]Shooting Range'!D10+[1]Citizenship!D10+'[1]Scout Trivia'!D10</f>
        <v>43</v>
      </c>
      <c r="W14" s="23">
        <f>'[1]Sled-Patrol Inspection'!Z10+'[1]Survival Skills'!E10+'[1]First Aid'!E10+'[1]Tomahawk Yard'!E10+[1]Cooking!E10+'[1]Sled Race'!E10+'[1]Fire Building'!E10+[1]Orienteering!E10+'[1]Knot Tying'!E10+'[1]Shooting Range'!E10+[1]Citizenship!E10+'[1]Scout Trivia'!E10</f>
        <v>34</v>
      </c>
    </row>
    <row r="15" spans="1:23" ht="18" customHeight="1" thickBot="1" x14ac:dyDescent="0.3">
      <c r="A15">
        <v>12</v>
      </c>
      <c r="B15" s="14">
        <f>'[1]Sign in'!B15</f>
        <v>71</v>
      </c>
      <c r="C15" s="15" t="str">
        <f>'[1]Sign in'!C15</f>
        <v>Penguins</v>
      </c>
      <c r="D15" s="28">
        <v>8</v>
      </c>
      <c r="E15" s="28">
        <v>2</v>
      </c>
      <c r="F15" s="17">
        <f>'[1]Sled-Patrol Inspection'!AA15</f>
        <v>102</v>
      </c>
      <c r="G15" s="18">
        <f>[1]Cooking!F15</f>
        <v>20</v>
      </c>
      <c r="H15" s="18">
        <f>'[1]First Aid'!F15</f>
        <v>14</v>
      </c>
      <c r="I15" s="18">
        <f>'[1]Survival Skills'!F15</f>
        <v>20</v>
      </c>
      <c r="J15" s="18">
        <f>'[1]Sled Race'!F15</f>
        <v>19</v>
      </c>
      <c r="K15" s="18">
        <f>'[1]Fire Building'!G15</f>
        <v>25</v>
      </c>
      <c r="L15" s="18">
        <f>[1]Orienteering!F15</f>
        <v>17</v>
      </c>
      <c r="M15" s="18">
        <f>'[1]Knot Tying'!F15</f>
        <v>7.5</v>
      </c>
      <c r="N15" s="18">
        <f>'[1]Tomahawk Yard'!F15</f>
        <v>11</v>
      </c>
      <c r="O15" s="18">
        <f>'[1]Shooting Range'!F15</f>
        <v>14.6</v>
      </c>
      <c r="P15" s="18">
        <f>'[1]Scout Trivia'!F15</f>
        <v>11</v>
      </c>
      <c r="Q15" s="18">
        <f>[1]Citizenship!F15</f>
        <v>19</v>
      </c>
      <c r="R15" s="11">
        <f t="shared" si="0"/>
        <v>280.10000000000002</v>
      </c>
      <c r="S15" s="20">
        <f>[1]Orienteering!G15</f>
        <v>20</v>
      </c>
      <c r="T15" s="20">
        <v>280.10000000000002</v>
      </c>
      <c r="U15" s="21">
        <f>'[1]Sled Race'!G15</f>
        <v>8.2638888888888887E-2</v>
      </c>
      <c r="V15" s="23">
        <f>'[1]Sled-Patrol Inspection'!Y15+'[1]Survival Skills'!D15+'[1]First Aid'!D15+'[1]Tomahawk Yard'!D15+[1]Cooking!D15+'[1]Sled Race'!D15+'[1]Fire Building'!D15+[1]Orienteering!D15+'[1]Knot Tying'!D15+'[1]Shooting Range'!D15+[1]Citizenship!D15+'[1]Scout Trivia'!D15</f>
        <v>41</v>
      </c>
      <c r="W15" s="23">
        <f>'[1]Sled-Patrol Inspection'!Z15+'[1]Survival Skills'!E15+'[1]First Aid'!E15+'[1]Tomahawk Yard'!E15+[1]Cooking!E15+'[1]Sled Race'!E15+'[1]Fire Building'!E15+[1]Orienteering!E15+'[1]Knot Tying'!E15+'[1]Shooting Range'!E15+[1]Citizenship!E15+'[1]Scout Trivia'!E15</f>
        <v>32</v>
      </c>
    </row>
    <row r="16" spans="1:23" ht="18" customHeight="1" x14ac:dyDescent="0.25">
      <c r="A16">
        <v>13</v>
      </c>
      <c r="B16" s="14">
        <f>'[1]Sign in'!B9</f>
        <v>182</v>
      </c>
      <c r="C16" s="15" t="str">
        <f>'[1]Sign in'!C9</f>
        <v>Fighting Trojans</v>
      </c>
      <c r="D16" s="29">
        <v>5</v>
      </c>
      <c r="E16" s="29">
        <v>2</v>
      </c>
      <c r="F16" s="17">
        <f>'[1]Sled-Patrol Inspection'!AA9</f>
        <v>96</v>
      </c>
      <c r="G16" s="18">
        <f>[1]Cooking!F9</f>
        <v>20</v>
      </c>
      <c r="H16" s="18">
        <f>'[1]First Aid'!F9</f>
        <v>12</v>
      </c>
      <c r="I16" s="18">
        <f>'[1]Survival Skills'!F9</f>
        <v>20</v>
      </c>
      <c r="J16" s="18">
        <f>'[1]Sled Race'!F9</f>
        <v>19</v>
      </c>
      <c r="K16" s="18">
        <f>'[1]Fire Building'!G9</f>
        <v>20</v>
      </c>
      <c r="L16" s="18">
        <f>[1]Orienteering!F9</f>
        <v>15</v>
      </c>
      <c r="M16" s="30">
        <v>14.5</v>
      </c>
      <c r="N16" s="18">
        <f>'[1]Tomahawk Yard'!F9</f>
        <v>15</v>
      </c>
      <c r="O16" s="18">
        <f>'[1]Shooting Range'!F9</f>
        <v>12.2</v>
      </c>
      <c r="P16" s="18">
        <f>'[1]Scout Trivia'!F9</f>
        <v>15</v>
      </c>
      <c r="Q16" s="18">
        <f>[1]Citizenship!F9</f>
        <v>18</v>
      </c>
      <c r="R16" s="11">
        <f t="shared" si="0"/>
        <v>276.7</v>
      </c>
      <c r="S16" s="20">
        <f>[1]Orienteering!G9</f>
        <v>19</v>
      </c>
      <c r="T16" s="20">
        <v>276</v>
      </c>
      <c r="U16" s="21">
        <f>'[1]Sled Race'!G9</f>
        <v>0.10416666666666667</v>
      </c>
      <c r="V16" s="23">
        <f>'[1]Sled-Patrol Inspection'!Y9+'[1]Survival Skills'!D9+'[1]First Aid'!D9+'[1]Tomahawk Yard'!D9+[1]Cooking!D9+'[1]Sled Race'!D9+'[1]Fire Building'!D9+[1]Orienteering!D9+'[1]Knot Tying'!D9+'[1]Shooting Range'!D9+[1]Citizenship!D9+'[1]Scout Trivia'!D9</f>
        <v>43</v>
      </c>
      <c r="W16" s="23">
        <f>'[1]Sled-Patrol Inspection'!Z9+'[1]Survival Skills'!E9+'[1]First Aid'!E9+'[1]Tomahawk Yard'!E9+[1]Cooking!E9+'[1]Sled Race'!E9+'[1]Fire Building'!E9+[1]Orienteering!E9+'[1]Knot Tying'!E9+'[1]Shooting Range'!E9+[1]Citizenship!E9+'[1]Scout Trivia'!E9</f>
        <v>31</v>
      </c>
    </row>
    <row r="17" spans="1:24" ht="18" customHeight="1" x14ac:dyDescent="0.25">
      <c r="A17">
        <v>14</v>
      </c>
      <c r="B17" s="14">
        <f>'[1]Sign in'!B5</f>
        <v>183</v>
      </c>
      <c r="C17" s="15" t="str">
        <f>'[1]Sign in'!C5</f>
        <v>The Birds</v>
      </c>
      <c r="D17" s="16">
        <v>5</v>
      </c>
      <c r="E17" s="16"/>
      <c r="F17" s="18">
        <f>'[1]Sled-Patrol Inspection'!AA5</f>
        <v>96</v>
      </c>
      <c r="G17" s="18">
        <f>[1]Cooking!F5</f>
        <v>20</v>
      </c>
      <c r="H17" s="18">
        <f>'[1]First Aid'!F5</f>
        <v>10</v>
      </c>
      <c r="I17" s="18">
        <f>'[1]Survival Skills'!F5</f>
        <v>16</v>
      </c>
      <c r="J17" s="18">
        <f>'[1]Sled Race'!F5</f>
        <v>18</v>
      </c>
      <c r="K17" s="18">
        <f>'[1]Fire Building'!G5</f>
        <v>21</v>
      </c>
      <c r="L17" s="18">
        <f>[1]Orienteering!F5</f>
        <v>16</v>
      </c>
      <c r="M17" s="18">
        <f>'[1]Knot Tying'!F5</f>
        <v>13</v>
      </c>
      <c r="N17" s="18">
        <f>'[1]Tomahawk Yard'!F5</f>
        <v>11</v>
      </c>
      <c r="O17" s="18">
        <f>'[1]Shooting Range'!F5</f>
        <v>16</v>
      </c>
      <c r="P17" s="18">
        <f>'[1]Scout Trivia'!F5</f>
        <v>12</v>
      </c>
      <c r="Q17" s="18">
        <f>[1]Citizenship!F5</f>
        <v>19</v>
      </c>
      <c r="R17" s="11">
        <f t="shared" si="0"/>
        <v>268</v>
      </c>
      <c r="S17" s="20">
        <f>[1]Orienteering!G5</f>
        <v>20</v>
      </c>
      <c r="T17" s="20">
        <v>270</v>
      </c>
      <c r="U17" s="21">
        <f>'[1]Sled Race'!G5</f>
        <v>0.11319444444444444</v>
      </c>
      <c r="V17" s="23">
        <f>'[1]Sled-Patrol Inspection'!Y5+'[1]Survival Skills'!D5+'[1]First Aid'!D5+'[1]Tomahawk Yard'!D5+[1]Cooking!D5+'[1]Sled Race'!D5+'[1]Fire Building'!D5+[1]Orienteering!D5+'[1]Knot Tying'!D5+'[1]Shooting Range'!D5+[1]Citizenship!D5+'[1]Scout Trivia'!D5</f>
        <v>39</v>
      </c>
      <c r="W17" s="23">
        <f>'[1]Sled-Patrol Inspection'!Z5+'[1]Survival Skills'!E5+'[1]First Aid'!E5+'[1]Tomahawk Yard'!E5+[1]Cooking!E5+'[1]Sled Race'!E5+'[1]Fire Building'!E5+[1]Orienteering!E5+'[1]Knot Tying'!E5+'[1]Shooting Range'!E5+[1]Citizenship!E5+'[1]Scout Trivia'!E5</f>
        <v>35</v>
      </c>
    </row>
    <row r="18" spans="1:24" ht="18" customHeight="1" x14ac:dyDescent="0.25">
      <c r="A18">
        <v>15</v>
      </c>
      <c r="B18" s="14">
        <f>'[1]Sign in'!B19</f>
        <v>622</v>
      </c>
      <c r="C18" s="15" t="str">
        <f>'[1]Sign in'!C19</f>
        <v>The Buffalos/Bison</v>
      </c>
      <c r="D18" s="16">
        <v>7</v>
      </c>
      <c r="E18" s="16">
        <v>5</v>
      </c>
      <c r="F18" s="18">
        <f>'[1]Sled-Patrol Inspection'!AA19</f>
        <v>96</v>
      </c>
      <c r="G18" s="18">
        <f>[1]Cooking!F19</f>
        <v>20</v>
      </c>
      <c r="H18" s="18">
        <f>'[1]First Aid'!F19</f>
        <v>8</v>
      </c>
      <c r="I18" s="18">
        <f>'[1]Survival Skills'!F19</f>
        <v>20</v>
      </c>
      <c r="J18" s="18">
        <f>'[1]Sled Race'!F19</f>
        <v>17</v>
      </c>
      <c r="K18" s="18">
        <f>'[1]Fire Building'!G19</f>
        <v>21</v>
      </c>
      <c r="L18" s="18">
        <f>[1]Orienteering!F19</f>
        <v>16</v>
      </c>
      <c r="M18" s="18">
        <f>'[1]Knot Tying'!F19</f>
        <v>14</v>
      </c>
      <c r="N18" s="18">
        <f>'[1]Tomahawk Yard'!F19</f>
        <v>10</v>
      </c>
      <c r="O18" s="18">
        <f>'[1]Shooting Range'!F19</f>
        <v>13.5</v>
      </c>
      <c r="P18" s="18">
        <f>'[1]Scout Trivia'!F19</f>
        <v>17</v>
      </c>
      <c r="Q18" s="18">
        <f>[1]Citizenship!F19</f>
        <v>15</v>
      </c>
      <c r="R18" s="11">
        <f t="shared" si="0"/>
        <v>267.5</v>
      </c>
      <c r="S18" s="20">
        <f>[1]Orienteering!G19</f>
        <v>20</v>
      </c>
      <c r="T18" s="20">
        <v>257</v>
      </c>
      <c r="U18" s="21">
        <f>'[1]Sled Race'!G19</f>
        <v>0.125</v>
      </c>
      <c r="V18" s="23">
        <f>'[1]Sled-Patrol Inspection'!Y19+'[1]Survival Skills'!D19+'[1]First Aid'!D19+'[1]Tomahawk Yard'!D19+[1]Cooking!D19+'[1]Sled Race'!D19+'[1]Fire Building'!D19+[1]Orienteering!D19+'[1]Knot Tying'!D19+'[1]Shooting Range'!D19+[1]Citizenship!D19+'[1]Scout Trivia'!D19</f>
        <v>37</v>
      </c>
      <c r="W18" s="23">
        <f>'[1]Sled-Patrol Inspection'!Z19+'[1]Survival Skills'!E19+'[1]First Aid'!E19+'[1]Tomahawk Yard'!E19+[1]Cooking!E19+'[1]Sled Race'!E19+'[1]Fire Building'!E19+[1]Orienteering!E19+'[1]Knot Tying'!E19+'[1]Shooting Range'!E19+[1]Citizenship!E19+'[1]Scout Trivia'!E19</f>
        <v>31</v>
      </c>
    </row>
    <row r="19" spans="1:24" ht="18" customHeight="1" x14ac:dyDescent="0.25">
      <c r="A19">
        <v>16</v>
      </c>
      <c r="B19" s="14">
        <f>'[1]Sign in'!B4</f>
        <v>183</v>
      </c>
      <c r="C19" s="15" t="str">
        <f>'[1]Sign in'!C4</f>
        <v>Carnivorous Llamas</v>
      </c>
      <c r="D19" s="16">
        <v>6</v>
      </c>
      <c r="E19" s="16">
        <v>5</v>
      </c>
      <c r="F19" s="18">
        <f>'[1]Sled-Patrol Inspection'!AA4</f>
        <v>92</v>
      </c>
      <c r="G19" s="18">
        <f>[1]Cooking!F4</f>
        <v>20</v>
      </c>
      <c r="H19" s="18">
        <f>'[1]First Aid'!F4</f>
        <v>10</v>
      </c>
      <c r="I19" s="18">
        <f>'[1]Survival Skills'!F4</f>
        <v>20</v>
      </c>
      <c r="J19" s="18">
        <f>'[1]Sled Race'!F4</f>
        <v>17</v>
      </c>
      <c r="K19" s="18">
        <f>'[1]Fire Building'!G4</f>
        <v>17</v>
      </c>
      <c r="L19" s="18">
        <f>[1]Orienteering!F4</f>
        <v>15</v>
      </c>
      <c r="M19" s="18">
        <f>'[1]Knot Tying'!F4</f>
        <v>13.5</v>
      </c>
      <c r="N19" s="18">
        <f>'[1]Tomahawk Yard'!F4</f>
        <v>11</v>
      </c>
      <c r="O19" s="18">
        <f>'[1]Shooting Range'!F4</f>
        <v>13</v>
      </c>
      <c r="P19" s="18">
        <f>'[1]Scout Trivia'!F4</f>
        <v>14</v>
      </c>
      <c r="Q19" s="18">
        <f>[1]Citizenship!F4</f>
        <v>17</v>
      </c>
      <c r="R19" s="11">
        <f t="shared" si="0"/>
        <v>259.5</v>
      </c>
      <c r="S19" s="20">
        <f>[1]Orienteering!G4</f>
        <v>20</v>
      </c>
      <c r="T19" s="20">
        <v>257.5</v>
      </c>
      <c r="U19" s="21">
        <f>'[1]Sled Race'!G4</f>
        <v>0.12638888888888888</v>
      </c>
      <c r="V19" s="23">
        <f>'[1]Sled-Patrol Inspection'!Y4+'[1]Survival Skills'!D4+'[1]First Aid'!D4+'[1]Tomahawk Yard'!D4+[1]Cooking!D4+'[1]Sled Race'!D4+'[1]Fire Building'!D4+[1]Orienteering!D4+'[1]Knot Tying'!D4+'[1]Shooting Range'!D4+[1]Citizenship!D4+'[1]Scout Trivia'!D4</f>
        <v>39</v>
      </c>
      <c r="W19" s="23">
        <f>'[1]Sled-Patrol Inspection'!Z4+'[1]Survival Skills'!E4+'[1]First Aid'!E4+'[1]Tomahawk Yard'!E4+[1]Cooking!E4+'[1]Sled Race'!E4+'[1]Fire Building'!E4+[1]Orienteering!E4+'[1]Knot Tying'!E4+'[1]Shooting Range'!E4+[1]Citizenship!E4+'[1]Scout Trivia'!E4</f>
        <v>33</v>
      </c>
    </row>
    <row r="20" spans="1:24" ht="18" customHeight="1" x14ac:dyDescent="0.25">
      <c r="B20" s="14"/>
      <c r="C20" s="15"/>
      <c r="D20" s="16"/>
      <c r="E20" s="16"/>
      <c r="F20" s="18" t="s">
        <v>41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50" t="s">
        <v>42</v>
      </c>
      <c r="R20" s="11"/>
      <c r="S20" s="20"/>
      <c r="T20" s="20"/>
      <c r="U20" s="21"/>
      <c r="V20" s="23"/>
      <c r="W20" s="23"/>
    </row>
    <row r="21" spans="1:24" ht="18" customHeight="1" x14ac:dyDescent="0.25">
      <c r="B21" s="14"/>
      <c r="C21" s="15"/>
      <c r="D21" s="16"/>
      <c r="E21" s="16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49" t="s">
        <v>43</v>
      </c>
      <c r="R21" s="11"/>
      <c r="S21" s="20"/>
      <c r="T21" s="20"/>
      <c r="U21" s="18"/>
      <c r="V21" s="23"/>
      <c r="W21" s="23"/>
    </row>
    <row r="22" spans="1:24" ht="18" customHeight="1" x14ac:dyDescent="0.25">
      <c r="B22" s="31"/>
      <c r="C22" s="31" t="s">
        <v>38</v>
      </c>
      <c r="D22" s="32">
        <f>SUM(D4:D19)</f>
        <v>104</v>
      </c>
      <c r="E22" s="32">
        <f>SUM(E4:E19)</f>
        <v>46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48" t="s">
        <v>44</v>
      </c>
      <c r="R22" s="34"/>
      <c r="S22" s="35"/>
      <c r="T22" s="35"/>
      <c r="U22" s="33"/>
      <c r="V22" s="36"/>
      <c r="W22" s="36"/>
    </row>
    <row r="23" spans="1:24" ht="18" customHeight="1" x14ac:dyDescent="0.25">
      <c r="A23" s="57">
        <v>40943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38"/>
    </row>
    <row r="24" spans="1:24" ht="18" customHeight="1" x14ac:dyDescent="0.25">
      <c r="B24" s="39"/>
      <c r="C24" s="40"/>
      <c r="D24" s="38"/>
      <c r="E24" s="38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2"/>
      <c r="S24" s="41"/>
      <c r="T24" s="41"/>
      <c r="U24" s="41"/>
      <c r="V24" s="43"/>
      <c r="W24" s="43"/>
      <c r="X24" s="38"/>
    </row>
    <row r="25" spans="1:24" ht="18" customHeight="1" x14ac:dyDescent="0.25">
      <c r="B25" s="39"/>
      <c r="C25" s="40"/>
      <c r="D25" s="38"/>
      <c r="E25" s="38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2"/>
      <c r="S25" s="41"/>
      <c r="T25" s="41"/>
      <c r="U25" s="41"/>
      <c r="V25" s="43"/>
      <c r="W25" s="43"/>
      <c r="X25" s="38"/>
    </row>
    <row r="26" spans="1:24" ht="18" customHeight="1" x14ac:dyDescent="0.25">
      <c r="B26" s="39"/>
      <c r="C26" s="40"/>
      <c r="D26" s="38"/>
      <c r="E26" s="38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2"/>
      <c r="S26" s="41"/>
      <c r="T26" s="41"/>
      <c r="U26" s="41"/>
      <c r="V26" s="43"/>
      <c r="W26" s="43"/>
      <c r="X26" s="38"/>
    </row>
    <row r="27" spans="1:24" ht="18" customHeight="1" x14ac:dyDescent="0.25">
      <c r="B27" s="39"/>
      <c r="C27" s="40"/>
      <c r="D27" s="38"/>
      <c r="E27" s="38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2"/>
      <c r="S27" s="41"/>
      <c r="T27" s="41"/>
      <c r="U27" s="41"/>
      <c r="V27" s="43"/>
      <c r="W27" s="43"/>
      <c r="X27" s="38"/>
    </row>
    <row r="28" spans="1:24" s="37" customFormat="1" ht="18" customHeight="1" x14ac:dyDescent="0.25">
      <c r="B28" s="39"/>
      <c r="C28" s="40"/>
      <c r="D28" s="38"/>
      <c r="E28" s="38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2"/>
      <c r="S28" s="41"/>
      <c r="T28" s="41"/>
      <c r="U28" s="41"/>
      <c r="V28" s="43"/>
      <c r="W28" s="43"/>
      <c r="X28" s="38"/>
    </row>
    <row r="29" spans="1:24" s="38" customFormat="1" ht="18" customHeight="1" x14ac:dyDescent="0.25">
      <c r="B29" s="39"/>
      <c r="C29" s="40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2"/>
      <c r="S29" s="41"/>
      <c r="T29" s="41"/>
      <c r="U29" s="41"/>
      <c r="V29" s="43"/>
      <c r="W29" s="43"/>
    </row>
    <row r="30" spans="1:24" s="38" customFormat="1" ht="18" customHeight="1" x14ac:dyDescent="0.25">
      <c r="B30" s="39"/>
      <c r="C30" s="40"/>
      <c r="D30" s="44"/>
      <c r="E30" s="44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2"/>
      <c r="S30" s="41"/>
      <c r="T30" s="41"/>
      <c r="U30" s="41"/>
      <c r="V30" s="43"/>
      <c r="W30" s="43"/>
    </row>
    <row r="31" spans="1:24" s="38" customFormat="1" ht="18" customHeight="1" x14ac:dyDescent="0.25">
      <c r="B31" s="39"/>
      <c r="C31" s="40"/>
      <c r="D31" s="44"/>
      <c r="E31" s="44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2"/>
      <c r="S31" s="41"/>
      <c r="T31" s="41"/>
      <c r="U31" s="41"/>
      <c r="V31" s="43"/>
      <c r="W31" s="43"/>
    </row>
    <row r="32" spans="1:24" x14ac:dyDescent="0.25">
      <c r="B32" s="45" t="s">
        <v>37</v>
      </c>
      <c r="C32" t="s">
        <v>37</v>
      </c>
      <c r="D32" s="46"/>
      <c r="E32" s="46"/>
    </row>
    <row r="33" spans="2:5" x14ac:dyDescent="0.25">
      <c r="B33" s="45" t="s">
        <v>37</v>
      </c>
      <c r="C33" t="s">
        <v>37</v>
      </c>
      <c r="D33" s="46"/>
      <c r="E33" s="46"/>
    </row>
    <row r="34" spans="2:5" x14ac:dyDescent="0.25">
      <c r="B34" s="45" t="s">
        <v>37</v>
      </c>
      <c r="C34" t="s">
        <v>37</v>
      </c>
      <c r="D34" s="46"/>
      <c r="E34" s="46"/>
    </row>
    <row r="35" spans="2:5" x14ac:dyDescent="0.25">
      <c r="B35" s="45" t="s">
        <v>37</v>
      </c>
      <c r="C35" t="s">
        <v>37</v>
      </c>
      <c r="D35" s="46"/>
      <c r="E35" s="46"/>
    </row>
    <row r="36" spans="2:5" x14ac:dyDescent="0.25">
      <c r="D36" s="46"/>
      <c r="E36" s="46"/>
    </row>
    <row r="37" spans="2:5" x14ac:dyDescent="0.25">
      <c r="D37" s="46"/>
      <c r="E37" s="46"/>
    </row>
    <row r="38" spans="2:5" x14ac:dyDescent="0.25">
      <c r="D38" s="46"/>
      <c r="E38" s="46"/>
    </row>
    <row r="39" spans="2:5" x14ac:dyDescent="0.25">
      <c r="D39" s="46"/>
      <c r="E39" s="46"/>
    </row>
  </sheetData>
  <mergeCells count="5">
    <mergeCell ref="B1:W1"/>
    <mergeCell ref="B2:C2"/>
    <mergeCell ref="D2:D3"/>
    <mergeCell ref="E2:E3"/>
    <mergeCell ref="A23:W23"/>
  </mergeCells>
  <conditionalFormatting sqref="F4:F22 F24:F31">
    <cfRule type="cellIs" dxfId="4" priority="4" stopIfTrue="1" operator="equal">
      <formula>0</formula>
    </cfRule>
    <cfRule type="cellIs" dxfId="3" priority="5" stopIfTrue="1" operator="greaterThan">
      <formula>100</formula>
    </cfRule>
  </conditionalFormatting>
  <conditionalFormatting sqref="Z4:AA31">
    <cfRule type="cellIs" dxfId="2" priority="2" stopIfTrue="1" operator="greaterThan">
      <formula>48</formula>
    </cfRule>
    <cfRule type="cellIs" dxfId="1" priority="3" stopIfTrue="1" operator="equal">
      <formula>0</formula>
    </cfRule>
  </conditionalFormatting>
  <conditionalFormatting sqref="X4:Y31 G4:W22 G24:W31">
    <cfRule type="cellIs" dxfId="0" priority="1" stopIfTrue="1" operator="equal">
      <formula>0</formula>
    </cfRule>
  </conditionalFormatting>
  <pageMargins left="0.75" right="0.75" top="1" bottom="1" header="0.5" footer="0.5"/>
  <pageSetup scale="78" orientation="landscape" horizontalDpi="300" verticalDpi="300" r:id="rId1"/>
  <headerFooter alignWithMargins="0">
    <oddFooter xml:space="preserve">&amp;CPWC Keystone District  Klondike Derby Station Score Card
&amp;R7 February, 2009
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Derby Results</vt:lpstr>
      <vt:lpstr>'Derby Results'!Print_Area</vt:lpstr>
    </vt:vector>
  </TitlesOfParts>
  <Company>Performance Edition Dec 2009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</dc:creator>
  <cp:lastModifiedBy>home</cp:lastModifiedBy>
  <cp:lastPrinted>2012-03-20T06:27:46Z</cp:lastPrinted>
  <dcterms:created xsi:type="dcterms:W3CDTF">2012-03-20T06:22:44Z</dcterms:created>
  <dcterms:modified xsi:type="dcterms:W3CDTF">2012-03-20T23:11:41Z</dcterms:modified>
</cp:coreProperties>
</file>