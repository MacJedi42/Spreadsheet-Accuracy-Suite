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320"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<sst xmlns="http://schemas.openxmlformats.org/spreadsheetml/2006/main" count="87" uniqueCount="87">
  <si>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</si>
  <si>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</si>
  <si>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100043258</t>
  </si>
  <si>
    <t>Notes/Supplemental Information:</t>
  </si>
  <si>
    <t>REIT Name:</t>
  </si>
  <si>
    <t>RLJ Lodging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</si>
  <si>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</si>
  <si>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</si>
  <si>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</si>
  <si>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</si>
  <si>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</si>
  <si>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</si>
  <si>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</si>
  <si>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</si>
  <si>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</si>
  <si>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</si>
  <si>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</si>
  <si>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</si>
  <si>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</si>
  <si>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</si>
  <si>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</si>
  <si>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</si>
  <si>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</si>
  <si>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</si>
  <si>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</si>
  <si>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</si>
  <si>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</si>
  <si>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</si>
  <si>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</si>
  <si>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</si>
  <si>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</si>
  <si>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</si>
  <si>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</si>
  <si>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</si>
  <si>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</si>
  <si>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</si>
  <si>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</si>
  <si>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</si>
  <si>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</si>
  <si>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</si>
  <si>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</si>
  <si>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</si>
  <si>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</si>
  <si>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</si>
  <si>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</si>
  <si>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</si>
  <si>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</si>
  <si>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</si>
  <si>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</si>
  <si>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</si>
  <si>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</si>
  <si>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</si>
  <si>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</si>
  <si>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</si>
  <si>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</si>
  <si>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</si>
  <si>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</si>
  <si>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</si>
  <si>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</si>
  <si>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</si>
  <si>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</si>
  <si>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</si>
  <si>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</si>
  <si>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</si>
  <si>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</si>
  <si>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</si>
  <si>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</si>
  <si>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</si>
  <si>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</si>
  <si>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</si>
  <si>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</si>
  <si>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</si>
  <si>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</si>
  <si>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</si>
  <si>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</si>
  <si>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</si>
  <si>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</si>
  <si>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</si>
  <si>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</si>
  <si>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</si>
  <si>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</si>
  <si>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</si>
  <si>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</si>
  <si>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</si>
  <si>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</si>
  <si>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74965L101</t>
  </si>
  <si>
    <t>RLJ</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</si>
</sst>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_(&quot;$&quot;* #,##0.000_);_(&quot;$&quot;* \(#,##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color theme="1"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1">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
      <left/>
      <right/>
      <top/>
      <bottom style="medium">
        <color indexed="64" tint="0"/>
      </bottom>
      <diagonal/>
    </border>
  </borders>
  <cellStyleXfs count="1">
    <xf numFmtId="0" fontId="0" fillId="0" borderId="0"/>
  </cellStyleXfs>
  <cellXfs count="116">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33" xfId="0">
      <protection locked="0"/>
    </xf>
    <xf numFmtId="0" fontId="1" fillId="2" borderId="29" xfId="0">
      <protection locked="0"/>
    </xf>
    <xf numFmtId="49" fontId="1" fillId="0" borderId="32" xfId="0">
      <protection locked="0"/>
    </xf>
    <xf numFmtId="49" fontId="1" fillId="0" borderId="33" xfId="0">
      <protection locked="0"/>
    </xf>
    <xf numFmtId="14" fontId="9" fillId="0" borderId="0" xfId="0">
      <alignment vertical="top" wrapText="1"/>
      <protection locked="0"/>
    </xf>
    <xf numFmtId="165" fontId="1" fillId="0" borderId="33" xfId="0">
      <protection locked="0"/>
    </xf>
    <xf numFmtId="165" fontId="1" fillId="0" borderId="27" xfId="0">
      <protection locked="0"/>
    </xf>
    <xf numFmtId="0" fontId="1" fillId="2" borderId="29" xfId="0"/>
    <xf numFmtId="0" fontId="1" fillId="2" borderId="37" xfId="0"/>
    <xf numFmtId="14" fontId="9" fillId="0" borderId="40" xfId="0">
      <alignment vertical="top" wrapText="1"/>
      <protection locked="0"/>
    </xf>
    <xf numFmtId="165" fontId="1" fillId="0" borderId="35" xfId="0">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9"/>
  <sheetViews>
    <sheetView tabSelected="1" workbookViewId="0">
      <pane ySplit="18" topLeftCell="A19" activePane="bottomLeft" state="frozen"/>
      <selection pane="bottomLeft" activeCell="H23" sqref="H23"/>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102"/>
      <c r="L2" s="103"/>
      <c r="M2" s="103"/>
      <c r="N2" s="103"/>
      <c r="O2" s="103"/>
      <c r="P2" s="103"/>
      <c r="Q2" s="104"/>
    </row>
    <row r="3">
      <c r="A3" s="4" t="s">
        <v>4</v>
      </c>
      <c r="B3" s="9" t="s">
        <v>5</v>
      </c>
      <c r="C3" s="10"/>
      <c r="D3" s="10"/>
      <c r="E3" s="10"/>
      <c r="F3" s="11"/>
      <c r="G3" s="12"/>
      <c r="H3" s="13"/>
      <c r="J3" s="13"/>
      <c r="K3" s="105"/>
      <c r="L3" s="106"/>
      <c r="M3" s="106"/>
      <c r="N3" s="106"/>
      <c r="O3" s="106"/>
      <c r="P3" s="106"/>
      <c r="Q3" s="107"/>
      <c r="R3" s="13"/>
      <c r="S3" s="13"/>
      <c r="T3" s="13"/>
      <c r="U3" s="13"/>
      <c r="V3" s="13"/>
      <c r="W3" s="13"/>
      <c r="X3" s="13"/>
      <c r="Y3" s="13"/>
      <c r="Z3" s="13"/>
      <c r="AA3" s="13"/>
      <c r="AB3" s="13"/>
      <c r="AC3" s="13"/>
      <c r="AD3" s="13"/>
    </row>
    <row r="4">
      <c r="A4" s="4" t="s">
        <v>6</v>
      </c>
      <c r="B4" s="14">
        <v>2012</v>
      </c>
      <c r="C4" s="15"/>
      <c r="D4" s="15"/>
      <c r="E4" s="15"/>
      <c r="F4" s="15"/>
      <c r="G4" s="16"/>
      <c r="K4" s="105"/>
      <c r="L4" s="106"/>
      <c r="M4" s="106"/>
      <c r="N4" s="106"/>
      <c r="O4" s="106"/>
      <c r="P4" s="106"/>
      <c r="Q4" s="107"/>
    </row>
    <row r="5">
      <c r="A5" s="13"/>
      <c r="B5" s="13"/>
      <c r="C5" s="13"/>
      <c r="D5" s="13"/>
      <c r="E5" s="13"/>
      <c r="F5" s="13"/>
      <c r="G5" s="13"/>
      <c r="H5" s="13"/>
      <c r="J5" s="13"/>
      <c r="K5" s="108"/>
      <c r="L5" s="109"/>
      <c r="M5" s="109"/>
      <c r="N5" s="109"/>
      <c r="O5" s="109"/>
      <c r="P5" s="109"/>
      <c r="Q5" s="110"/>
      <c r="R5" s="13"/>
      <c r="S5" s="13"/>
      <c r="T5" s="13"/>
      <c r="U5" s="13"/>
      <c r="V5" s="13"/>
      <c r="W5" s="13"/>
      <c r="X5" s="13"/>
      <c r="Y5" s="13"/>
      <c r="Z5" s="13"/>
      <c r="AA5" s="13"/>
      <c r="AB5" s="13"/>
      <c r="AC5" s="13"/>
      <c r="AD5" s="13"/>
    </row>
    <row r="6">
      <c r="A6" s="8" t="s">
        <v>7</v>
      </c>
      <c r="B6" s="101">
        <v>41310</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11" t="s">
        <v>9</v>
      </c>
      <c r="B9" s="111"/>
      <c r="C9" s="111"/>
      <c r="D9" s="111"/>
      <c r="E9" s="111"/>
      <c r="F9" s="111"/>
      <c r="G9" s="111"/>
      <c r="H9" s="111"/>
      <c r="I9" s="111"/>
      <c r="J9" s="111"/>
      <c r="K9" s="111"/>
      <c r="L9" s="111"/>
      <c r="M9" s="111"/>
      <c r="N9" s="20"/>
      <c r="O9" s="20"/>
      <c r="P9" s="20"/>
      <c r="Q9" s="13"/>
      <c r="R9" s="13"/>
      <c r="S9" s="13"/>
      <c r="T9" s="13"/>
      <c r="U9" s="13"/>
      <c r="V9" s="13"/>
      <c r="W9" s="13"/>
      <c r="X9" s="13"/>
      <c r="Y9" s="13"/>
      <c r="Z9" s="13"/>
      <c r="AA9" s="13"/>
      <c r="AB9" s="13"/>
      <c r="AC9" s="13"/>
      <c r="AD9" s="13"/>
    </row>
    <row r="10">
      <c r="A10" s="111"/>
      <c r="B10" s="111"/>
      <c r="C10" s="111"/>
      <c r="D10" s="111"/>
      <c r="E10" s="111"/>
      <c r="F10" s="111"/>
      <c r="G10" s="111"/>
      <c r="H10" s="111"/>
      <c r="I10" s="111"/>
      <c r="J10" s="111"/>
      <c r="K10" s="111"/>
      <c r="L10" s="111"/>
      <c r="M10" s="111"/>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12" t="s">
        <v>10</v>
      </c>
      <c r="B13" s="112"/>
      <c r="C13" s="112"/>
      <c r="D13" s="112"/>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13" t="s">
        <v>12</v>
      </c>
      <c r="L15" s="114"/>
      <c r="M15" s="115"/>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s="2" customFormat="1">
      <c r="A20" s="92" t="s">
        <v>84</v>
      </c>
      <c r="B20" s="93" t="s">
        <v>85</v>
      </c>
      <c r="C20" s="61" t="s">
        <v>86</v>
      </c>
      <c r="D20" s="90"/>
      <c r="E20" s="90"/>
      <c r="F20" s="90"/>
      <c r="G20" s="63">
        <v>40908</v>
      </c>
      <c r="H20" s="63">
        <v>40905</v>
      </c>
      <c r="I20" s="63">
        <v>40921</v>
      </c>
      <c r="J20" s="95">
        <v>0.15</v>
      </c>
      <c r="K20" s="96">
        <v>0.13</v>
      </c>
      <c r="L20" s="54"/>
      <c r="M20" s="96">
        <v>0.02</v>
      </c>
      <c r="N20" s="95">
        <v>0.02</v>
      </c>
      <c r="O20" s="65"/>
      <c r="P20" s="56"/>
      <c r="Q20" s="100">
        <v>0.02</v>
      </c>
      <c r="R20" s="64"/>
      <c r="S20" s="91"/>
      <c r="T20" s="91"/>
      <c r="U20" s="64"/>
      <c r="V20" s="64"/>
      <c r="W20" s="64"/>
      <c r="X20" s="91"/>
      <c r="Y20" s="64"/>
      <c r="Z20" s="64"/>
      <c r="AA20" s="91"/>
      <c r="AB20" s="64"/>
      <c r="AC20" s="64"/>
      <c r="AD20" s="91"/>
      <c r="AE20" s="91"/>
      <c r="AF20" s="67"/>
      <c r="AG20" s="59"/>
    </row>
    <row r="21">
      <c r="A21" s="92" t="s">
        <v>84</v>
      </c>
      <c r="B21" s="93" t="s">
        <v>85</v>
      </c>
      <c r="C21" s="61" t="s">
        <v>86</v>
      </c>
      <c r="D21" s="62"/>
      <c r="E21" s="62"/>
      <c r="F21" s="62"/>
      <c r="G21" s="94">
        <v>40998</v>
      </c>
      <c r="H21" s="63">
        <v>40996</v>
      </c>
      <c r="I21" s="94">
        <v>41012</v>
      </c>
      <c r="J21" s="95">
        <v>0.165</v>
      </c>
      <c r="K21" s="54"/>
      <c r="L21" s="96"/>
      <c r="M21" s="95">
        <v>0.165</v>
      </c>
      <c r="N21" s="95">
        <v>0.165</v>
      </c>
      <c r="O21" s="65"/>
      <c r="P21" s="97"/>
      <c r="Q21" s="95">
        <v>0.165</v>
      </c>
      <c r="R21" s="64"/>
      <c r="S21" s="97"/>
      <c r="T21" s="97"/>
      <c r="U21" s="64"/>
      <c r="V21" s="64"/>
      <c r="W21" s="64"/>
      <c r="X21" s="97"/>
      <c r="Y21" s="64"/>
      <c r="Z21" s="64"/>
      <c r="AA21" s="97"/>
      <c r="AB21" s="64"/>
      <c r="AC21" s="64"/>
      <c r="AD21" s="97"/>
      <c r="AE21" s="97"/>
      <c r="AF21" s="67"/>
      <c r="AG21" s="38"/>
    </row>
    <row r="22">
      <c r="A22" s="92" t="s">
        <v>84</v>
      </c>
      <c r="B22" s="93" t="s">
        <v>85</v>
      </c>
      <c r="C22" s="61" t="s">
        <v>86</v>
      </c>
      <c r="D22" s="62"/>
      <c r="E22" s="62"/>
      <c r="F22" s="62"/>
      <c r="G22" s="94">
        <v>41089</v>
      </c>
      <c r="H22" s="63">
        <v>41087</v>
      </c>
      <c r="I22" s="94">
        <v>41103</v>
      </c>
      <c r="J22" s="95">
        <v>0.165</v>
      </c>
      <c r="K22" s="54"/>
      <c r="L22" s="96"/>
      <c r="M22" s="95">
        <v>0.165</v>
      </c>
      <c r="N22" s="95">
        <v>0.165</v>
      </c>
      <c r="O22" s="65"/>
      <c r="P22" s="97"/>
      <c r="Q22" s="95">
        <v>0.165</v>
      </c>
      <c r="R22" s="64"/>
      <c r="S22" s="97"/>
      <c r="T22" s="97"/>
      <c r="U22" s="64"/>
      <c r="V22" s="64"/>
      <c r="W22" s="64"/>
      <c r="X22" s="97"/>
      <c r="Y22" s="64"/>
      <c r="Z22" s="64"/>
      <c r="AA22" s="97"/>
      <c r="AB22" s="64"/>
      <c r="AC22" s="64"/>
      <c r="AD22" s="97"/>
      <c r="AE22" s="97"/>
      <c r="AF22" s="67"/>
      <c r="AG22" s="38"/>
    </row>
    <row r="23">
      <c r="A23" s="92" t="s">
        <v>84</v>
      </c>
      <c r="B23" s="93" t="s">
        <v>85</v>
      </c>
      <c r="C23" s="61" t="s">
        <v>86</v>
      </c>
      <c r="D23" s="62"/>
      <c r="E23" s="62"/>
      <c r="F23" s="62"/>
      <c r="G23" s="94">
        <v>41180</v>
      </c>
      <c r="H23" s="63">
        <v>41178</v>
      </c>
      <c r="I23" s="94">
        <v>41197</v>
      </c>
      <c r="J23" s="95">
        <v>0.165</v>
      </c>
      <c r="K23" s="54"/>
      <c r="L23" s="96"/>
      <c r="M23" s="95">
        <v>0.165</v>
      </c>
      <c r="N23" s="95">
        <v>0.165</v>
      </c>
      <c r="O23" s="68"/>
      <c r="P23" s="98"/>
      <c r="Q23" s="95">
        <v>0.165</v>
      </c>
      <c r="R23" s="54"/>
      <c r="S23" s="98"/>
      <c r="T23" s="98"/>
      <c r="U23" s="54"/>
      <c r="V23" s="54"/>
      <c r="W23" s="54"/>
      <c r="X23" s="98"/>
      <c r="Y23" s="54"/>
      <c r="Z23" s="54"/>
      <c r="AA23" s="98"/>
      <c r="AB23" s="54"/>
      <c r="AC23" s="54"/>
      <c r="AD23" s="98"/>
      <c r="AE23" s="98"/>
      <c r="AF23" s="71"/>
      <c r="AG23" s="38"/>
    </row>
    <row r="24" ht="15.75">
      <c r="A24" s="92" t="s">
        <v>84</v>
      </c>
      <c r="B24" s="93" t="s">
        <v>85</v>
      </c>
      <c r="C24" s="61" t="s">
        <v>86</v>
      </c>
      <c r="D24" s="74"/>
      <c r="E24" s="74"/>
      <c r="F24" s="74"/>
      <c r="G24" s="99">
        <v>41274</v>
      </c>
      <c r="H24" s="75">
        <v>41270</v>
      </c>
      <c r="I24" s="99">
        <v>41289</v>
      </c>
      <c r="J24" s="95">
        <v>0.205</v>
      </c>
      <c r="K24" s="54"/>
      <c r="L24" s="96">
        <v>0.04</v>
      </c>
      <c r="M24" s="95">
        <v>0.165</v>
      </c>
      <c r="N24" s="95">
        <v>0.165</v>
      </c>
      <c r="O24" s="68"/>
      <c r="P24" s="98"/>
      <c r="Q24" s="95">
        <v>0.165</v>
      </c>
      <c r="R24" s="54"/>
      <c r="S24" s="98"/>
      <c r="T24" s="98"/>
      <c r="U24" s="54"/>
      <c r="V24" s="54"/>
      <c r="W24" s="54"/>
      <c r="X24" s="98"/>
      <c r="Y24" s="54"/>
      <c r="Z24" s="54"/>
      <c r="AA24" s="98"/>
      <c r="AB24" s="54"/>
      <c r="AC24" s="54"/>
      <c r="AD24" s="98"/>
      <c r="AE24" s="98"/>
      <c r="AF24" s="71"/>
      <c r="AG24" s="38"/>
    </row>
    <row r="25">
      <c r="A25" s="84">
        <f>IF(COUNTA(M21:M24)=0,"",IF(COUNTA(F21:F24)=0,IF(COUNTA(D21:D24)=0,"Totals - Final","Totals - Estimated"),"Totals - Corrected"))</f>
      </c>
      <c r="B25" s="87">
        <f>IF(ISNA(INDEX(B21:B24,MAX(MATCH(REPT("z",255),B21:B24)))),"",INDEX(B21:B24,MAX(MATCH(REPT("z",255),B21:B24))))</f>
      </c>
      <c r="C25" s="87">
        <f>IF(ISNA(INDEX(C21:C24,MAX(MATCH(REPT("z",255),C21:C24)))),"",INDEX(C21:C24,MAX(MATCH(REPT("z",255),C21:C24))))</f>
      </c>
      <c r="D25" s="87">
        <f>IF(ISNA(INDEX(A21:A24,MAX(MATCH(REPT("z",255),A21:A24)))),"",INDEX(A21:A24,MAX(MATCH(REPT("z",255),A21:A24))))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64"/>
      <c r="O28" s="65"/>
      <c r="P28" s="56"/>
      <c r="Q28" s="66"/>
      <c r="R28" s="64"/>
      <c r="S28" s="56"/>
      <c r="T28" s="56"/>
      <c r="U28" s="64"/>
      <c r="V28" s="64"/>
      <c r="W28" s="64"/>
      <c r="X28" s="56"/>
      <c r="Y28" s="64"/>
      <c r="Z28" s="64"/>
      <c r="AA28" s="56"/>
      <c r="AB28" s="64"/>
      <c r="AC28" s="64"/>
      <c r="AD28" s="56"/>
      <c r="AE28" s="56"/>
      <c r="AF28" s="67"/>
      <c r="AG28" s="38"/>
    </row>
    <row r="29">
      <c r="A29" s="60"/>
      <c r="B29" s="61"/>
      <c r="C29" s="61"/>
      <c r="D29" s="62"/>
      <c r="E29" s="62"/>
      <c r="F29" s="62"/>
      <c r="G29" s="63"/>
      <c r="H29" s="63"/>
      <c r="I29" s="63"/>
      <c r="J29" s="6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72"/>
      <c r="B30" s="73"/>
      <c r="C30" s="73"/>
      <c r="D30" s="74"/>
      <c r="E30" s="74"/>
      <c r="F30" s="74"/>
      <c r="G30" s="75"/>
      <c r="H30" s="75"/>
      <c r="I30" s="75"/>
      <c r="J30" s="54"/>
      <c r="K30" s="54"/>
      <c r="L30" s="54"/>
      <c r="M30" s="54"/>
      <c r="N30" s="54"/>
      <c r="O30" s="68"/>
      <c r="P30" s="69"/>
      <c r="Q30" s="70"/>
      <c r="R30" s="54"/>
      <c r="S30" s="69"/>
      <c r="T30" s="69"/>
      <c r="U30" s="54"/>
      <c r="V30" s="54"/>
      <c r="W30" s="54"/>
      <c r="X30" s="69"/>
      <c r="Y30" s="54"/>
      <c r="Z30" s="54"/>
      <c r="AA30" s="69"/>
      <c r="AB30" s="54"/>
      <c r="AC30" s="54"/>
      <c r="AD30" s="69"/>
      <c r="AE30" s="69"/>
      <c r="AF30" s="71"/>
      <c r="AG30" s="38"/>
    </row>
    <row r="31">
      <c r="A31" s="84">
        <f>IF(COUNTA(M27:M30)=0,"",IF(COUNTA(F27:F30)=0,IF(COUNTA(D27:D30)=0,"Totals - Final","Totals - Estimated"),"Totals - Corrected"))</f>
      </c>
      <c r="B31" s="87">
        <f>IF(ISNA(INDEX(B27:B30,MAX(MATCH(REPT("z",255),B27:B30)))),"",INDEX(B27:B30,MAX(MATCH(REPT("z",255),B27:B30))))</f>
      </c>
      <c r="C31" s="87">
        <f>IF(ISNA(INDEX(C27:C30,MAX(MATCH(REPT("z",255),C27:C30)))),"",INDEX(C27:C30,MAX(MATCH(REPT("z",255),C27:C30))))</f>
      </c>
      <c r="D31" s="87">
        <f>IF(ISNA(INDEX(A27:A30,MAX(MATCH(REPT("z",255),A27:A30)))),"",INDEX(A27:A30,MAX(MATCH(REPT("z",255),A27:A30))))</f>
      </c>
      <c r="E31" s="85"/>
      <c r="F31" s="85"/>
      <c r="G31" s="86"/>
      <c r="H31" s="86"/>
      <c r="I31" s="86"/>
      <c r="J31" s="76">
        <f ref="J31:J31" t="array">SUM(IF(NOT(ISBLANK($B26:$B30)),J26:J30,""))</f>
      </c>
      <c r="K31" s="76">
        <f ref="K31:K31" t="array">SUM(IF(NOT(ISBLANK($B26:$B30)),K26:K30,""))</f>
      </c>
      <c r="L31" s="76">
        <f ref="L31:L31" t="array">SUM(IF(NOT(ISBLANK($B26:$B30)),L26:L30,""))</f>
      </c>
      <c r="M31" s="76">
        <f ref="M31:M31" t="array">SUM(IF(NOT(ISBLANK($B26:$B30)),M26:M30,""))</f>
      </c>
      <c r="N31" s="76">
        <f ref="N31:N31" t="array">SUM(IF(NOT(ISBLANK($B26:$B30)),N26:N30,""))</f>
      </c>
      <c r="O31" s="76">
        <f ref="O31:O31" t="array">SUM(IF(NOT(ISBLANK($B26:$B30)),O26:O30,""))</f>
      </c>
      <c r="P31" s="77"/>
      <c r="Q31" s="76">
        <f ref="Q31:Q31" t="array">SUM(IF(NOT(ISBLANK($B26:$B30)),Q26:Q30,""))</f>
      </c>
      <c r="R31" s="76">
        <f ref="R31:R31" t="array">SUM(IF(NOT(ISBLANK($B26:$B30)),R26:R30,""))</f>
      </c>
      <c r="S31" s="77"/>
      <c r="T31" s="77"/>
      <c r="U31" s="76">
        <f ref="U31:U31" t="array">SUM(IF(NOT(ISBLANK($B26:$B30)),U26:U30,""))</f>
      </c>
      <c r="V31" s="76">
        <f ref="V31:V31" t="array">SUM(IF(NOT(ISBLANK($B26:$B30)),V26:V30,""))</f>
      </c>
      <c r="W31" s="76">
        <f ref="W31:W31" t="array">SUM(IF(NOT(ISBLANK($B26:$B30)),W26:W30,""))</f>
      </c>
      <c r="X31" s="77"/>
      <c r="Y31" s="76">
        <f ref="Y31:Y31" t="array">SUM(IF(NOT(ISBLANK($B26:$B30)),Y26:Y30,""))</f>
      </c>
      <c r="Z31" s="76">
        <f ref="Z31:Z31" t="array">SUM(IF(NOT(ISBLANK($B26:$B30)),Z26:Z30,""))</f>
      </c>
      <c r="AA31" s="77"/>
      <c r="AB31" s="76">
        <f ref="AB31:AB31" t="array">SUM(IF(NOT(ISBLANK($B26:$B30)),AB26:AB30,""))</f>
      </c>
      <c r="AC31" s="76">
        <f ref="AC31:AC31" t="array">SUM(IF(NOT(ISBLANK($B26:$B30)),AC26:AC30,""))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84">
        <f>IF(COUNTA(M33:M36)=0,"",IF(COUNTA(F33:F36)=0,IF(COUNTA(D33:D36)=0,"Totals - Final","Totals - Estimated"),"Totals - Corrected"))</f>
      </c>
      <c r="B37" s="87">
        <f>IF(ISNA(INDEX(B33:B36,MAX(MATCH(REPT("z",255),B33:B36)))),"",INDEX(B33:B36,MAX(MATCH(REPT("z",255),B33:B36))))</f>
      </c>
      <c r="C37" s="87">
        <f>IF(ISNA(INDEX(C33:C36,MAX(MATCH(REPT("z",255),C33:C36)))),"",INDEX(C33:C36,MAX(MATCH(REPT("z",255),C33:C36))))</f>
      </c>
      <c r="D37" s="87">
        <f>IF(ISNA(INDEX(A33:A36,MAX(MATCH(REPT("z",255),A33:A36)))),"",INDEX(A33:A36,MAX(MATCH(REPT("z",255),A33:A36))))</f>
      </c>
      <c r="E37" s="85"/>
      <c r="F37" s="85"/>
      <c r="G37" s="86"/>
      <c r="H37" s="86"/>
      <c r="I37" s="86"/>
      <c r="J37" s="76">
        <f ref="J37:J37" t="array">SUM(IF(NOT(ISBLANK($B32:$B36)),J32:J36,""))</f>
      </c>
      <c r="K37" s="76">
        <f ref="K37:K37" t="array">SUM(IF(NOT(ISBLANK($B32:$B36)),K32:K36,""))</f>
      </c>
      <c r="L37" s="76">
        <f ref="L37:L37" t="array">SUM(IF(NOT(ISBLANK($B32:$B36)),L32:L36,""))</f>
      </c>
      <c r="M37" s="76">
        <f ref="M37:M37" t="array">SUM(IF(NOT(ISBLANK($B32:$B36)),M32:M36,""))</f>
      </c>
      <c r="N37" s="76">
        <f ref="N37:N37" t="array">SUM(IF(NOT(ISBLANK($B32:$B36)),N32:N36,""))</f>
      </c>
      <c r="O37" s="76">
        <f ref="O37:O37" t="array">SUM(IF(NOT(ISBLANK($B32:$B36)),O32:O36,""))</f>
      </c>
      <c r="P37" s="77"/>
      <c r="Q37" s="76">
        <f ref="Q37:Q37" t="array">SUM(IF(NOT(ISBLANK($B32:$B36)),Q32:Q36,""))</f>
      </c>
      <c r="R37" s="76">
        <f ref="R37:R37" t="array">SUM(IF(NOT(ISBLANK($B32:$B36)),R32:R36,""))</f>
      </c>
      <c r="S37" s="77"/>
      <c r="T37" s="77"/>
      <c r="U37" s="76">
        <f ref="U37:U37" t="array">SUM(IF(NOT(ISBLANK($B32:$B36)),U32:U36,""))</f>
      </c>
      <c r="V37" s="76">
        <f ref="V37:V37" t="array">SUM(IF(NOT(ISBLANK($B32:$B36)),V32:V36,""))</f>
      </c>
      <c r="W37" s="76">
        <f ref="W37:W37" t="array">SUM(IF(NOT(ISBLANK($B32:$B36)),W32:W36,""))</f>
      </c>
      <c r="X37" s="77"/>
      <c r="Y37" s="76">
        <f ref="Y37:Y37" t="array">SUM(IF(NOT(ISBLANK($B32:$B36)),Y32:Y36,""))</f>
      </c>
      <c r="Z37" s="76">
        <f ref="Z37:Z37" t="array">SUM(IF(NOT(ISBLANK($B32:$B36)),Z32:Z36,""))</f>
      </c>
      <c r="AA37" s="77"/>
      <c r="AB37" s="76">
        <f ref="AB37:AB37" t="array">SUM(IF(NOT(ISBLANK($B32:$B36)),AB32:AB36,""))</f>
      </c>
      <c r="AC37" s="76">
        <f ref="AC37:AC37" t="array">SUM(IF(NOT(ISBLANK($B32:$B36)),AC32:AC36,""))</f>
      </c>
      <c r="AD37" s="77"/>
      <c r="AE37" s="77"/>
      <c r="AF37" s="78"/>
      <c r="AG37" s="79">
        <v>1</v>
      </c>
    </row>
    <row r="38" ht="0" hidden="1">
      <c r="A38" s="50"/>
      <c r="B38" s="51"/>
      <c r="C38" s="51"/>
      <c r="D38" s="80"/>
      <c r="E38" s="80"/>
      <c r="F38" s="80"/>
      <c r="G38" s="81"/>
      <c r="H38" s="81"/>
      <c r="I38" s="81"/>
      <c r="J38" s="53"/>
      <c r="K38" s="54"/>
      <c r="L38" s="54"/>
      <c r="M38" s="54"/>
      <c r="N38" s="53"/>
      <c r="O38" s="55"/>
      <c r="P38" s="82"/>
      <c r="Q38" s="57"/>
      <c r="R38" s="53"/>
      <c r="S38" s="82"/>
      <c r="T38" s="82"/>
      <c r="U38" s="53"/>
      <c r="V38" s="53"/>
      <c r="W38" s="53"/>
      <c r="X38" s="82"/>
      <c r="Y38" s="53"/>
      <c r="Z38" s="53"/>
      <c r="AA38" s="82"/>
      <c r="AB38" s="53"/>
      <c r="AC38" s="53"/>
      <c r="AD38" s="82"/>
      <c r="AE38" s="82"/>
      <c r="AF38" s="83"/>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84">
        <f>IF(COUNTA(M39:M42)=0,"",IF(COUNTA(F39:F42)=0,IF(COUNTA(D39:D42)=0,"Totals - Final","Totals - Estimated"),"Totals - Corrected"))</f>
      </c>
      <c r="B43" s="87">
        <f>IF(ISNA(INDEX(B39:B42,MAX(MATCH(REPT("z",255),B39:B42)))),"",INDEX(B39:B42,MAX(MATCH(REPT("z",255),B39:B42))))</f>
      </c>
      <c r="C43" s="87">
        <f>IF(ISNA(INDEX(C39:C42,MAX(MATCH(REPT("z",255),C39:C42)))),"",INDEX(C39:C42,MAX(MATCH(REPT("z",255),C39:C42))))</f>
      </c>
      <c r="D43" s="87">
        <f>IF(ISNA(INDEX(A39:A42,MAX(MATCH(REPT("z",255),A39:A42)))),"",INDEX(A39:A42,MAX(MATCH(REPT("z",255),A39:A42))))</f>
      </c>
      <c r="E43" s="85"/>
      <c r="F43" s="85"/>
      <c r="G43" s="86"/>
      <c r="H43" s="86"/>
      <c r="I43" s="86"/>
      <c r="J43" s="76">
        <f ref="J43:J43" t="array">SUM(IF(NOT(ISBLANK($B38:$B42)),J38:J42,""))</f>
      </c>
      <c r="K43" s="76">
        <f ref="K43:K43" t="array">SUM(IF(NOT(ISBLANK($B38:$B42)),K38:K42,""))</f>
      </c>
      <c r="L43" s="76">
        <f ref="L43:L43" t="array">SUM(IF(NOT(ISBLANK($B38:$B42)),L38:L42,""))</f>
      </c>
      <c r="M43" s="76">
        <f ref="M43:M43" t="array">SUM(IF(NOT(ISBLANK($B38:$B42)),M38:M42,""))</f>
      </c>
      <c r="N43" s="76">
        <f ref="N43:N43" t="array">SUM(IF(NOT(ISBLANK($B38:$B42)),N38:N42,""))</f>
      </c>
      <c r="O43" s="76">
        <f ref="O43:O43" t="array">SUM(IF(NOT(ISBLANK($B38:$B42)),O38:O42,""))</f>
      </c>
      <c r="P43" s="77"/>
      <c r="Q43" s="76">
        <f ref="Q43:Q43" t="array">SUM(IF(NOT(ISBLANK($B38:$B42)),Q38:Q42,""))</f>
      </c>
      <c r="R43" s="76">
        <f ref="R43:R43" t="array">SUM(IF(NOT(ISBLANK($B38:$B42)),R38:R42,""))</f>
      </c>
      <c r="S43" s="77"/>
      <c r="T43" s="77"/>
      <c r="U43" s="76">
        <f ref="U43:U43" t="array">SUM(IF(NOT(ISBLANK($B38:$B42)),U38:U42,""))</f>
      </c>
      <c r="V43" s="76">
        <f ref="V43:V43" t="array">SUM(IF(NOT(ISBLANK($B38:$B42)),V38:V42,""))</f>
      </c>
      <c r="W43" s="76">
        <f ref="W43:W43" t="array">SUM(IF(NOT(ISBLANK($B38:$B42)),W38:W42,""))</f>
      </c>
      <c r="X43" s="77"/>
      <c r="Y43" s="76">
        <f ref="Y43:Y43" t="array">SUM(IF(NOT(ISBLANK($B38:$B42)),Y38:Y42,""))</f>
      </c>
      <c r="Z43" s="76">
        <f ref="Z43:Z43" t="array">SUM(IF(NOT(ISBLANK($B38:$B42)),Z38:Z42,""))</f>
      </c>
      <c r="AA43" s="77"/>
      <c r="AB43" s="76">
        <f ref="AB43:AB43" t="array">SUM(IF(NOT(ISBLANK($B38:$B42)),AB38:AB42,""))</f>
      </c>
      <c r="AC43" s="76">
        <f ref="AC43:AC43" t="array">SUM(IF(NOT(ISBLANK($B38:$B42)),AC38:AC42,""))</f>
      </c>
      <c r="AD43" s="77"/>
      <c r="AE43" s="77"/>
      <c r="AF43" s="78"/>
      <c r="AG43" s="79">
        <v>1</v>
      </c>
    </row>
    <row r="44" ht="0" hidden="1">
      <c r="A44" s="50"/>
      <c r="B44" s="51"/>
      <c r="C44" s="51"/>
      <c r="D44" s="80"/>
      <c r="E44" s="80"/>
      <c r="F44" s="80"/>
      <c r="G44" s="81"/>
      <c r="H44" s="81"/>
      <c r="I44" s="81"/>
      <c r="J44" s="53"/>
      <c r="K44" s="54"/>
      <c r="L44" s="54"/>
      <c r="M44" s="54"/>
      <c r="N44" s="53"/>
      <c r="O44" s="55"/>
      <c r="P44" s="82"/>
      <c r="Q44" s="57"/>
      <c r="R44" s="53"/>
      <c r="S44" s="82"/>
      <c r="T44" s="82"/>
      <c r="U44" s="53"/>
      <c r="V44" s="53"/>
      <c r="W44" s="53"/>
      <c r="X44" s="82"/>
      <c r="Y44" s="53"/>
      <c r="Z44" s="53"/>
      <c r="AA44" s="82"/>
      <c r="AB44" s="53"/>
      <c r="AC44" s="53"/>
      <c r="AD44" s="82"/>
      <c r="AE44" s="82"/>
      <c r="AF44" s="83"/>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84">
        <f>IF(COUNTA(M45:M48)=0,"",IF(COUNTA(F45:F48)=0,IF(COUNTA(D45:D48)=0,"Totals - Final","Totals - Estimated"),"Totals - Corrected"))</f>
      </c>
      <c r="B49" s="87">
        <f>IF(ISNA(INDEX(B45:B48,MAX(MATCH(REPT("z",255),B45:B48)))),"",INDEX(B45:B48,MAX(MATCH(REPT("z",255),B45:B48))))</f>
      </c>
      <c r="C49" s="87">
        <f>IF(ISNA(INDEX(C45:C48,MAX(MATCH(REPT("z",255),C45:C48)))),"",INDEX(C45:C48,MAX(MATCH(REPT("z",255),C45:C48))))</f>
      </c>
      <c r="D49" s="87">
        <f>IF(ISNA(INDEX(A45:A48,MAX(MATCH(REPT("z",255),A45:A48)))),"",INDEX(A45:A48,MAX(MATCH(REPT("z",255),A45:A48))))</f>
      </c>
      <c r="E49" s="85"/>
      <c r="F49" s="85"/>
      <c r="G49" s="86"/>
      <c r="H49" s="86"/>
      <c r="I49" s="86"/>
      <c r="J49" s="76">
        <f ref="J49:J49" t="array">SUM(IF(NOT(ISBLANK($B44:$B48)),J44:J48,""))</f>
      </c>
      <c r="K49" s="76">
        <f ref="K49:K49" t="array">SUM(IF(NOT(ISBLANK($B44:$B48)),K44:K48,""))</f>
      </c>
      <c r="L49" s="76">
        <f ref="L49:L49" t="array">SUM(IF(NOT(ISBLANK($B44:$B48)),L44:L48,""))</f>
      </c>
      <c r="M49" s="76">
        <f ref="M49:M49" t="array">SUM(IF(NOT(ISBLANK($B44:$B48)),M44:M48,""))</f>
      </c>
      <c r="N49" s="76">
        <f ref="N49:N49" t="array">SUM(IF(NOT(ISBLANK($B44:$B48)),N44:N48,""))</f>
      </c>
      <c r="O49" s="76">
        <f ref="O49:O49" t="array">SUM(IF(NOT(ISBLANK($B44:$B48)),O44:O48,""))</f>
      </c>
      <c r="P49" s="77"/>
      <c r="Q49" s="76">
        <f ref="Q49:Q49" t="array">SUM(IF(NOT(ISBLANK($B44:$B48)),Q44:Q48,""))</f>
      </c>
      <c r="R49" s="76">
        <f ref="R49:R49" t="array">SUM(IF(NOT(ISBLANK($B44:$B48)),R44:R48,""))</f>
      </c>
      <c r="S49" s="77"/>
      <c r="T49" s="77"/>
      <c r="U49" s="76">
        <f ref="U49:U49" t="array">SUM(IF(NOT(ISBLANK($B44:$B48)),U44:U48,""))</f>
      </c>
      <c r="V49" s="76">
        <f ref="V49:V49" t="array">SUM(IF(NOT(ISBLANK($B44:$B48)),V44:V48,""))</f>
      </c>
      <c r="W49" s="76">
        <f ref="W49:W49" t="array">SUM(IF(NOT(ISBLANK($B44:$B48)),W44:W48,""))</f>
      </c>
      <c r="X49" s="77"/>
      <c r="Y49" s="76">
        <f ref="Y49:Y49" t="array">SUM(IF(NOT(ISBLANK($B44:$B48)),Y44:Y48,""))</f>
      </c>
      <c r="Z49" s="76">
        <f ref="Z49:Z49" t="array">SUM(IF(NOT(ISBLANK($B44:$B48)),Z44:Z48,""))</f>
      </c>
      <c r="AA49" s="77"/>
      <c r="AB49" s="76">
        <f ref="AB49:AB49" t="array">SUM(IF(NOT(ISBLANK($B44:$B48)),AB44:AB48,""))</f>
      </c>
      <c r="AC49" s="76">
        <f ref="AC49:AC49" t="array">SUM(IF(NOT(ISBLANK($B44:$B48)),AC44:AC48,""))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7" right="0.7" top="0.75" bottom="0.75" header="0.3" footer="0.3"/>
  <pageSetup scale="75" pageOrder="overThenDown"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Victor Dristas</cp:lastModifiedBy>
  <cp:lastPrinted>2013-02-06T21:13:34Z</cp:lastPrinted>
  <dcterms:created xsi:type="dcterms:W3CDTF">2012-11-27T14:14:45Z</dcterms:created>
  <dcterms:modified xsi:type="dcterms:W3CDTF">2013-02-07T18:16:12Z</dcterms:modified>
</cp:coreProperties>
</file>