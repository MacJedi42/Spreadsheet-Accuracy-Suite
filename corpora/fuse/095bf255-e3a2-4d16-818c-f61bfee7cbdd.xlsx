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75" windowWidth="20475" windowHeight="9810" activeTab="3"/>
  </bookViews>
  <sheets>
    <sheet name="mix1Rat" sheetId="4" r:id="rId1"/>
    <sheet name="mix2Rat" sheetId="5" r:id="rId2"/>
    <sheet name="mix3Rat" sheetId="6" r:id="rId3"/>
    <sheet name="statistics" sheetId="8" r:id="rId4"/>
  </sheets>
  <calcPr calcId="114210"/>
</workbook>
</file>

<file path=xl/calcChain.xml><?xml version="1.0" encoding="utf-8"?>
<calcChain xmlns="http://schemas.openxmlformats.org/spreadsheetml/2006/main">
  <c r="H20" i="8"/>
  <c r="G20"/>
  <c r="H19"/>
  <c r="G19"/>
  <c r="H17"/>
  <c r="G17"/>
  <c r="H16"/>
  <c r="G16"/>
  <c r="H15"/>
  <c r="G15"/>
  <c r="H14"/>
  <c r="G14"/>
  <c r="H13"/>
  <c r="G13"/>
  <c r="H12"/>
  <c r="G12"/>
  <c r="H10"/>
  <c r="G10"/>
  <c r="H9"/>
  <c r="G9"/>
  <c r="H7"/>
  <c r="G7"/>
  <c r="H6"/>
  <c r="G6"/>
</calcChain>
</file>

<file path=xl/sharedStrings.xml><?xml version="1.0" encoding="utf-8"?>
<sst xmlns="http://schemas.openxmlformats.org/spreadsheetml/2006/main" count="601" uniqueCount="288">
  <si>
    <t>Member</t>
  </si>
  <si>
    <t>Accession</t>
  </si>
  <si>
    <t>Score</t>
  </si>
  <si>
    <t>Mass</t>
  </si>
  <si>
    <t>H/L</t>
  </si>
  <si>
    <t>SD(geo)</t>
  </si>
  <si>
    <t>#</t>
  </si>
  <si>
    <t>Hit</t>
  </si>
  <si>
    <t>Description</t>
  </si>
  <si>
    <t>SERPH_RAT</t>
  </si>
  <si>
    <t>Serpin H1 OS=Rattus norvegicus GN=Serpinh1 PE=1 SV=1 </t>
  </si>
  <si>
    <t>TBA1B_RAT</t>
  </si>
  <si>
    <t>Tubulin alpha-1B chain OS=Rattus norvegicus GN=Tuba1b PE=1 SV=1 </t>
  </si>
  <si>
    <t>PDIA1_RAT</t>
  </si>
  <si>
    <t>Protein disulfide-isomerase OS=Rattus norvegicus GN=P4hb PE=1 SV=2 </t>
  </si>
  <si>
    <t>ANXA1_RAT</t>
  </si>
  <si>
    <t>Annexin A1 OS=Rattus norvegicus GN=Anxa1 PE=1 SV=2 </t>
  </si>
  <si>
    <t>ENOA_RAT</t>
  </si>
  <si>
    <t>Alpha-enolase OS=Rattus norvegicus GN=Eno1 PE=1 SV=4 </t>
  </si>
  <si>
    <t>PDIA6_RAT</t>
  </si>
  <si>
    <t>Protein disulfide-isomerase A6 OS=Rattus norvegicus GN=Pdia6 PE=1 SV=2 </t>
  </si>
  <si>
    <t>ACTB_RAT</t>
  </si>
  <si>
    <t>Actin, cytoplasmic 1 OS=Rattus norvegicus GN=Actb PE=1 SV=1 </t>
  </si>
  <si>
    <t>ATPB_RAT</t>
  </si>
  <si>
    <t>ATP synthase subunit beta, mitochondrial OS=Rattus norvegicus GN=Atp5b PE=1 SV=2 </t>
  </si>
  <si>
    <t>ENPL_RAT</t>
  </si>
  <si>
    <t>Endoplasmin OS=Rattus norvegicus GN=Hsp90b1 PE=1 SV=2 </t>
  </si>
  <si>
    <t>EF1A1_RAT</t>
  </si>
  <si>
    <t>Elongation factor 1-alpha 1 OS=Rattus norvegicus GN=Eef1a1 PE=1 SV=1 </t>
  </si>
  <si>
    <t>PPIA_RAT</t>
  </si>
  <si>
    <t>Peptidyl-prolyl cis-trans isomerase A OS=Rattus norvegicus GN=Ppia PE=1 SV=2 </t>
  </si>
  <si>
    <t>PTBP1_RAT</t>
  </si>
  <si>
    <t>Polypyrimidine tract-binding protein 1 OS=Rattus norvegicus GN=Ptbp1 PE=1 SV=1 </t>
  </si>
  <si>
    <t>ATPA_RAT</t>
  </si>
  <si>
    <t>ATP synthase subunit alpha, mitochondrial OS=Rattus norvegicus GN=Atp5a1 PE=1 SV=2 </t>
  </si>
  <si>
    <t>TBB5_RAT</t>
  </si>
  <si>
    <t>Tubulin beta-5 chain OS=Rattus norvegicus GN=Tubb5 PE=1 SV=1 </t>
  </si>
  <si>
    <t>GRP78_RAT</t>
  </si>
  <si>
    <t>78 kDa glucose-regulated protein OS=Rattus norvegicus GN=Hspa5 PE=1 SV=1 </t>
  </si>
  <si>
    <t>HSP7C_RAT</t>
  </si>
  <si>
    <t>Heat shock cognate 71 kDa protein OS=Rattus norvegicus GN=Hspa8 PE=1 SV=1 </t>
  </si>
  <si>
    <t>PSD13_RAT</t>
  </si>
  <si>
    <t>26S proteasome non-ATPase regulatory subunit 13 OS=Rattus norvegicus GN=Psmd13 PE=1 SV=1 </t>
  </si>
  <si>
    <t>VINC_RAT</t>
  </si>
  <si>
    <t>Vinculin OS=Rattus norvegicus GN=Vcl PE=1 SV=1 </t>
  </si>
  <si>
    <t>PROF1_RAT</t>
  </si>
  <si>
    <t>Profilin-1 OS=Rattus norvegicus GN=Pfn1 PE=1 SV=2 </t>
  </si>
  <si>
    <t>KPYM_RAT</t>
  </si>
  <si>
    <t>Pyruvate kinase isozymes M1/M2 OS=Rattus norvegicus GN=Pkm2 PE=1 SV=3 </t>
  </si>
  <si>
    <t>MDHM_RAT</t>
  </si>
  <si>
    <t>Malate dehydrogenase, mitochondrial OS=Rattus norvegicus GN=Mdh2 PE=1 SV=2 </t>
  </si>
  <si>
    <t>NONO_RAT</t>
  </si>
  <si>
    <t>Non-POU domain-containing octamer-binding protein OS=Rattus norvegicus GN=Nono PE=2 SV=3 </t>
  </si>
  <si>
    <t>LDHA_RAT</t>
  </si>
  <si>
    <t>L-lactate dehydrogenase A chain OS=Rattus norvegicus GN=Ldha PE=1 SV=1 </t>
  </si>
  <si>
    <t>GDIB_RAT</t>
  </si>
  <si>
    <t>Rab GDP dissociation inhibitor beta OS=Rattus norvegicus GN=Gdi2 PE=1 SV=2 </t>
  </si>
  <si>
    <t>HS90B_RAT</t>
  </si>
  <si>
    <t>Heat shock protein HSP 90-beta OS=Rattus norvegicus GN=Hsp90ab1 PE=1 SV=4 </t>
  </si>
  <si>
    <t>HNRPK_RAT</t>
  </si>
  <si>
    <t>Heterogeneous nuclear ribonucleoprotein K OS=Rattus norvegicus GN=Hnrnpk PE=1 SV=1 </t>
  </si>
  <si>
    <t>ANXA5_RAT</t>
  </si>
  <si>
    <t>Annexin A5 OS=Rattus norvegicus GN=Anxa5 PE=1 SV=3 </t>
  </si>
  <si>
    <t>PARK7_RAT</t>
  </si>
  <si>
    <t>Protein DJ-1 OS=Rattus norvegicus GN=Park7 PE=1 SV=1 </t>
  </si>
  <si>
    <t>G3P_RAT</t>
  </si>
  <si>
    <t>Glyceraldehyde-3-phosphate dehydrogenase OS=Rattus norvegicus GN=Gapdh PE=1 SV=3 </t>
  </si>
  <si>
    <t>40S ribosomal protein SA OS=Rattus norvegicus GN=Rpsa PE=1 SV=3 </t>
  </si>
  <si>
    <t>ACLY_RAT</t>
  </si>
  <si>
    <t>ATP-citrate synthase OS=Rattus norvegicus GN=Acly PE=1 SV=1 </t>
  </si>
  <si>
    <t>CATB_RAT</t>
  </si>
  <si>
    <t>Cathepsin B OS=Rattus norvegicus GN=Ctsb PE=1 SV=2 </t>
  </si>
  <si>
    <t>G6PI_RAT</t>
  </si>
  <si>
    <t>Glucose-6-phosphate isomerase OS=Rattus norvegicus GN=Gpi PE=1 SV=1 </t>
  </si>
  <si>
    <t>MYH9_RAT</t>
  </si>
  <si>
    <t>Myosin-9 OS=Rattus norvegicus GN=Myh9 PE=1 SV=3 </t>
  </si>
  <si>
    <t>TERA_RAT</t>
  </si>
  <si>
    <t>Transitional endoplasmic reticulum ATPase OS=Rattus norvegicus GN=Vcp PE=1 SV=3 </t>
  </si>
  <si>
    <t>RLA0_RAT</t>
  </si>
  <si>
    <t>60S acidic ribosomal protein P0 OS=Rattus norvegicus GN=Rplp0 PE=1 SV=2 </t>
  </si>
  <si>
    <t>ALDH2_RAT</t>
  </si>
  <si>
    <t>Aldehyde dehydrogenase, mitochondrial OS=Rattus norvegicus GN=Aldh2 PE=1 SV=1 </t>
  </si>
  <si>
    <t>TCPG_RAT</t>
  </si>
  <si>
    <t>T-complex protein 1 subunit gamma OS=Rattus norvegicus GN=Cct3 PE=1 SV=1 </t>
  </si>
  <si>
    <t>EF2_RAT</t>
  </si>
  <si>
    <t>Elongation factor 2 OS=Rattus norvegicus GN=Eef2 PE=1 SV=4 </t>
  </si>
  <si>
    <t>ARP3_RAT</t>
  </si>
  <si>
    <t>Actin-related protein 3 OS=Rattus norvegicus GN=Actr3 PE=1 SV=1 </t>
  </si>
  <si>
    <t>TCPE_RAT</t>
  </si>
  <si>
    <t>T-complex protein 1 subunit epsilon OS=Rattus norvegicus GN=Cct5 PE=1 SV=1 </t>
  </si>
  <si>
    <t>RL6_RAT</t>
  </si>
  <si>
    <t>60S ribosomal protein L6 OS=Rattus norvegicus GN=Rpl6 PE=1 SV=5 </t>
  </si>
  <si>
    <t>MBB1A_RAT</t>
  </si>
  <si>
    <t>Myb-binding protein 1A OS=Rattus norvegicus GN=Mybbp1a PE=2 SV=2 </t>
  </si>
  <si>
    <t>CAND1_RAT</t>
  </si>
  <si>
    <t>Cullin-associated NEDD8-dissociated protein 1 OS=Rattus norvegicus GN=Cand1 PE=1 SV=1 </t>
  </si>
  <si>
    <t>CH60_RAT</t>
  </si>
  <si>
    <t>60 kDa heat shock protein, mitochondrial OS=Rattus norvegicus GN=Hspd1 PE=1 SV=1 </t>
  </si>
  <si>
    <t>TKT_RAT</t>
  </si>
  <si>
    <t>Transketolase OS=Rattus norvegicus GN=Tkt PE=1 SV=1 </t>
  </si>
  <si>
    <t>UBA1_RAT</t>
  </si>
  <si>
    <t>Ubiquitin-like modifier-activating enzyme 1 OS=Rattus norvegicus GN=Uba1 PE=1 SV=1 </t>
  </si>
  <si>
    <t>DHSA_RAT</t>
  </si>
  <si>
    <t>Succinate dehydrogenase [ubiquinone] flavoprotein subunit, mitochondrial OS=Rattus norvegicus GN=Sdha PE=1 SV=1 </t>
  </si>
  <si>
    <t>CLIC1_RAT</t>
  </si>
  <si>
    <t>Chloride intracellular channel protein 1 OS=Rattus norvegicus GN=Clic1 PE=1 SV=1 </t>
  </si>
  <si>
    <t>RS2_RAT</t>
  </si>
  <si>
    <t>40S ribosomal protein S2 OS=Rattus norvegicus GN=Rps2 PE=1 SV=1 </t>
  </si>
  <si>
    <t>EF1G_RAT</t>
  </si>
  <si>
    <t>Elongation factor 1-gamma OS=Rattus norvegicus GN=Eef1g PE=1 SV=3 </t>
  </si>
  <si>
    <t>AT5F1_RAT</t>
  </si>
  <si>
    <t>ATP synthase subunit b, mitochondrial OS=Rattus norvegicus GN=Atp5f1 PE=1 SV=1 </t>
  </si>
  <si>
    <t>LEG1_RAT</t>
  </si>
  <si>
    <t>Galectin-1 OS=Rattus norvegicus GN=Lgals1 PE=1 SV=2 </t>
  </si>
  <si>
    <t>CAP1_RAT</t>
  </si>
  <si>
    <t>Adenylyl cyclase-associated protein 1 OS=Rattus norvegicus GN=Cap1 PE=1 SV=3 </t>
  </si>
  <si>
    <t>RL7A_RAT</t>
  </si>
  <si>
    <t>60S ribosomal protein L7a OS=Rattus norvegicus GN=Rpl7a PE=1 SV=2 </t>
  </si>
  <si>
    <t>RS4X_RAT</t>
  </si>
  <si>
    <t>40S ribosomal protein S4, X isoform OS=Rattus norvegicus GN=Rps4x PE=2 SV=2 </t>
  </si>
  <si>
    <t>TCPB_RAT</t>
  </si>
  <si>
    <t>T-complex protein 1 subunit beta OS=Rattus norvegicus GN=Cct2 PE=1 SV=3 </t>
  </si>
  <si>
    <t>RL18_RAT</t>
  </si>
  <si>
    <t>60S ribosomal protein L18 OS=Rattus norvegicus GN=Rpl18 PE=2 SV=2 </t>
  </si>
  <si>
    <t>IMB1_RAT</t>
  </si>
  <si>
    <t>Importin subunit beta-1 OS=Rattus norvegicus GN=Kpnb1 PE=1 SV=1 </t>
  </si>
  <si>
    <t>RLA2_RAT</t>
  </si>
  <si>
    <t>60S acidic ribosomal protein P2 OS=Rattus norvegicus GN=Rplp2 PE=1 SV=2 </t>
  </si>
  <si>
    <t>THIC_RAT</t>
  </si>
  <si>
    <t>Acetyl-CoA acetyltransferase, cytosolic OS=Rattus norvegicus GN=Acat2 PE=1 SV=1 </t>
  </si>
  <si>
    <t>ANXA2_RAT</t>
  </si>
  <si>
    <t>Annexin A2 OS=Rattus norvegicus GN=Anxa2 PE=1 SV=2 </t>
  </si>
  <si>
    <t>RS10_RAT</t>
  </si>
  <si>
    <t>40S ribosomal protein S10 OS=Rattus norvegicus GN=Rps10 PE=2 SV=1 </t>
  </si>
  <si>
    <t>ADT1_RAT</t>
  </si>
  <si>
    <t>ADP/ATP translocase 1 OS=Rattus norvegicus GN=Slc25a4 PE=1 SV=3 </t>
  </si>
  <si>
    <t>PRDX1_RAT</t>
  </si>
  <si>
    <t>Peroxiredoxin-1 OS=Rattus norvegicus GN=Prdx1 PE=1 SV=1 </t>
  </si>
  <si>
    <t>ANXA3_RAT</t>
  </si>
  <si>
    <t>Annexin A3 OS=Rattus norvegicus GN=Anxa3 PE=1 SV=4 </t>
  </si>
  <si>
    <t>PGK1_RAT</t>
  </si>
  <si>
    <t>Phosphoglycerate kinase 1 OS=Rattus norvegicus GN=Pgk1 PE=1 SV=2 </t>
  </si>
  <si>
    <t>CALR_RAT</t>
  </si>
  <si>
    <t>Calreticulin OS=Rattus norvegicus GN=Calr PE=1 SV=1 </t>
  </si>
  <si>
    <t>RL4_RAT</t>
  </si>
  <si>
    <t>60S ribosomal protein L4 OS=Rattus norvegicus GN=Rpl4 PE=1 SV=3 </t>
  </si>
  <si>
    <t>RPN2_RAT</t>
  </si>
  <si>
    <t>Dolichyl-diphosphooligosaccharide--protein glycosyltransferase subunit 2 OS=Rattus norvegicus GN=Rpn2 PE=2 SV=2 </t>
  </si>
  <si>
    <t>VIME_RAT</t>
  </si>
  <si>
    <t>Vimentin OS=Rattus norvegicus GN=Vim PE=1 SV=2 </t>
  </si>
  <si>
    <t>RL27_RAT</t>
  </si>
  <si>
    <t>60S ribosomal protein L27 OS=Rattus norvegicus GN=Rpl27 PE=2 SV=2 </t>
  </si>
  <si>
    <t>FPPS_RAT</t>
  </si>
  <si>
    <t>Farnesyl pyrophosphate synthase OS=Rattus norvegicus GN=Fdps PE=2 SV=2 </t>
  </si>
  <si>
    <t>S10A6_RAT</t>
  </si>
  <si>
    <t>Protein S100-A6 OS=Rattus norvegicus GN=S100a6 PE=1 SV=3 </t>
  </si>
  <si>
    <t>DYH12_RAT</t>
  </si>
  <si>
    <t>Dynein heavy chain 12, axonemal OS=Rattus norvegicus GN=Dnah12 PE=2 SV=2 </t>
  </si>
  <si>
    <t>RS23_RAT</t>
  </si>
  <si>
    <t>40S ribosomal protein S23 OS=Rattus norvegicus GN=Rps23 PE=2 SV=3 </t>
  </si>
  <si>
    <t>PDIA3_RAT</t>
  </si>
  <si>
    <t>Protein disulfide-isomerase A3 OS=Rattus norvegicus GN=Pdia3 PE=1 SV=2 </t>
  </si>
  <si>
    <t>SEPT7_RAT</t>
  </si>
  <si>
    <t>Septin-7 OS=Rattus norvegicus GN=Sept7 PE=1 SV=1 </t>
  </si>
  <si>
    <t>CDHR1_RAT</t>
  </si>
  <si>
    <t>Cadherin-related family member 1 OS=Rattus norvegicus GN=Cdhr1 PE=2 SV=1 </t>
  </si>
  <si>
    <t>TBA1A_RAT</t>
  </si>
  <si>
    <t>Tubulin alpha-1A chain OS=Rattus norvegicus GN=Tuba1a PE=1 SV=1 </t>
  </si>
  <si>
    <t>MIF_RAT</t>
  </si>
  <si>
    <t>Macrophage migration inhibitory factor OS=Rattus norvegicus GN=Mif PE=1 SV=4 </t>
  </si>
  <si>
    <t>ACTN1_RAT</t>
  </si>
  <si>
    <t>Alpha-actinin-1 OS=Rattus norvegicus GN=Actn1 PE=1 SV=1 </t>
  </si>
  <si>
    <t>PTRF_RAT</t>
  </si>
  <si>
    <t>Polymerase I and transcript release factor OS=Rattus norvegicus GN=Ptrf PE=1 SV=1 </t>
  </si>
  <si>
    <t>FAS_RAT</t>
  </si>
  <si>
    <t>Fatty acid synthase OS=Rattus norvegicus GN=Fasn PE=1 SV=3 </t>
  </si>
  <si>
    <t>HYOU1_RAT</t>
  </si>
  <si>
    <t>Hypoxia up-regulated protein 1 OS=Rattus norvegicus GN=Hyou1 PE=1 SV=1 </t>
  </si>
  <si>
    <t>RS5_RAT</t>
  </si>
  <si>
    <t>40S ribosomal protein S5 OS=Rattus norvegicus GN=Rps5 PE=2 SV=3 </t>
  </si>
  <si>
    <t>RLA1_RAT</t>
  </si>
  <si>
    <t>60S acidic ribosomal protein P1 OS=Rattus norvegicus GN=Rplp1 PE=3 SV=1 </t>
  </si>
  <si>
    <t>TRY1_RAT</t>
  </si>
  <si>
    <t>Anionic trypsin-1 OS=Rattus norvegicus GN=Prss1 PE=1 SV=1 </t>
  </si>
  <si>
    <t>GSTM2_RAT</t>
  </si>
  <si>
    <t>Glutathione S-transferase Mu 2 OS=Rattus norvegicus GN=Gstm2 PE=1 SV=2 </t>
  </si>
  <si>
    <t>OST48_RAT</t>
  </si>
  <si>
    <t>Dolichyl-diphosphooligosaccharide--protein glycosyltransferase 48 kDa subunit OS=Rattus norvegicus GN=Ddost PE=2 SV=1 </t>
  </si>
  <si>
    <t>Galectin-3 OS=Rattus norvegicus GN=Lgals3 PE=1 SV=4 </t>
  </si>
  <si>
    <t>IF4A2_RAT</t>
  </si>
  <si>
    <t>Eukaryotic initiation factor 4A-II OS=Rattus norvegicus GN=Eif4a2 PE=1 SV=1 </t>
  </si>
  <si>
    <t>RS16_RAT</t>
  </si>
  <si>
    <t>40S ribosomal protein S16 OS=Rattus norvegicus GN=Rps16 PE=1 SV=2 </t>
  </si>
  <si>
    <t>TPIS_RAT</t>
  </si>
  <si>
    <t>Triosephosphate isomerase OS=Rattus norvegicus GN=Tpi1 PE=1 SV=2 </t>
  </si>
  <si>
    <t>PGAM1_RAT</t>
  </si>
  <si>
    <t>Phosphoglycerate mutase 1 OS=Rattus norvegicus GN=Pgam1 PE=1 SV=4 </t>
  </si>
  <si>
    <t>HCD2_RAT</t>
  </si>
  <si>
    <t>3-hydroxyacyl-CoA dehydrogenase type-2 OS=Rattus norvegicus GN=Hsd17b10 PE=1 SV=3 </t>
  </si>
  <si>
    <t>APT_RAT</t>
  </si>
  <si>
    <t>Adenine phosphoribosyltransferase OS=Rattus norvegicus GN=Aprt PE=1 SV=1 </t>
  </si>
  <si>
    <t>KLH17_RAT</t>
  </si>
  <si>
    <t>Kelch-like protein 17 OS=Rattus norvegicus GN=Klhl17 PE=1 SV=1 </t>
  </si>
  <si>
    <t>FAIM3_RAT</t>
  </si>
  <si>
    <t>Fas apoptotic inhibitory molecule 3 OS=Rattus norvegicus GN=Faim3 PE=2 SV=1 </t>
  </si>
  <si>
    <t>PUR9_RAT</t>
  </si>
  <si>
    <t>Bifunctional purine biosynthesis protein PURH OS=Rattus norvegicus GN=Atic PE=1 SV=2 </t>
  </si>
  <si>
    <t>CLH_RAT</t>
  </si>
  <si>
    <t>Clathrin heavy chain 1 OS=Rattus norvegicus GN=Cltc PE=1 SV=3 </t>
  </si>
  <si>
    <t>OLA1_RAT</t>
  </si>
  <si>
    <t>Obg-like ATPase 1 OS=Rattus norvegicus GN=Ola1 PE=2 SV=1 </t>
  </si>
  <si>
    <t>ATF3_RAT</t>
  </si>
  <si>
    <t>Cyclic AMP-dependent transcription factor ATF-3 OS=Rattus norvegicus GN=Atf3 PE=2 SV=1 </t>
  </si>
  <si>
    <t>ATPA_RAT</t>
    <phoneticPr fontId="3" type="noConversion"/>
  </si>
  <si>
    <t>TBB5_RAT</t>
    <phoneticPr fontId="3" type="noConversion"/>
  </si>
  <si>
    <t>G3P_RAT</t>
    <phoneticPr fontId="3" type="noConversion"/>
  </si>
  <si>
    <t>ALDR_RAT</t>
  </si>
  <si>
    <t>Aldose reductase OS=Rattus norvegicus GN=Akr1b1 PE=1 SV=3 </t>
  </si>
  <si>
    <t>GDIA_RAT</t>
  </si>
  <si>
    <t>Rab GDP dissociation inhibitor alpha OS=Rattus norvegicus GN=Gdi1 PE=1 SV=1 </t>
  </si>
  <si>
    <t>TCPD_RAT</t>
  </si>
  <si>
    <t>T-complex protein 1 subunit delta OS=Rattus norvegicus GN=Cct4 PE=1 SV=3 </t>
  </si>
  <si>
    <t>EZRI_RAT</t>
  </si>
  <si>
    <t>Ezrin OS=Rattus norvegicus GN=Ezr PE=1 SV=3 </t>
  </si>
  <si>
    <t>ARPC5_RAT</t>
  </si>
  <si>
    <t>Actin-related protein 2/3 complex subunit 5 OS=Rattus norvegicus GN=Arpc5 PE=1 SV=3 </t>
  </si>
  <si>
    <t>1433G_RAT</t>
  </si>
  <si>
    <t>14-3-3 protein gamma OS=Rattus norvegicus GN=Ywhag PE=1 SV=2 </t>
  </si>
  <si>
    <t>PLAK_RAT</t>
  </si>
  <si>
    <t>Junction plakoglobin OS=Rattus norvegicus GN=Jup PE=1 SV=1 </t>
  </si>
  <si>
    <t>LMNA_RAT</t>
  </si>
  <si>
    <t>Prelamin-A/C OS=Rattus norvegicus GN=Lmna PE=1 SV=1 </t>
  </si>
  <si>
    <t>SET_RAT</t>
  </si>
  <si>
    <t>Protein SET OS=Rattus norvegicus GN=Set PE=1 SV=2 </t>
  </si>
  <si>
    <t>NONO_RAT</t>
    <phoneticPr fontId="3" type="noConversion"/>
  </si>
  <si>
    <t>RSSA_RAT</t>
    <phoneticPr fontId="3" type="noConversion"/>
  </si>
  <si>
    <t>TBB5_RAT</t>
    <phoneticPr fontId="3" type="noConversion"/>
  </si>
  <si>
    <r>
      <t>H/L(</t>
    </r>
    <r>
      <rPr>
        <sz val="9"/>
        <color indexed="8"/>
        <rFont val="細明體"/>
        <family val="3"/>
        <charset val="136"/>
      </rPr>
      <t>Ⅰ</t>
    </r>
    <r>
      <rPr>
        <sz val="9"/>
        <color indexed="8"/>
        <rFont val="Verdana"/>
        <family val="2"/>
      </rPr>
      <t>)</t>
    </r>
    <phoneticPr fontId="3" type="noConversion"/>
  </si>
  <si>
    <r>
      <t>H/L(</t>
    </r>
    <r>
      <rPr>
        <sz val="9"/>
        <color indexed="8"/>
        <rFont val="細明體"/>
        <family val="3"/>
        <charset val="136"/>
      </rPr>
      <t>Ⅱ</t>
    </r>
    <r>
      <rPr>
        <sz val="9"/>
        <color indexed="8"/>
        <rFont val="Verdana"/>
        <family val="2"/>
      </rPr>
      <t>)</t>
    </r>
    <phoneticPr fontId="3" type="noConversion"/>
  </si>
  <si>
    <r>
      <t>H/L(</t>
    </r>
    <r>
      <rPr>
        <sz val="9"/>
        <color indexed="8"/>
        <rFont val="細明體"/>
        <family val="3"/>
        <charset val="136"/>
      </rPr>
      <t>Ⅲ</t>
    </r>
    <r>
      <rPr>
        <sz val="9"/>
        <color indexed="8"/>
        <rFont val="Verdana"/>
        <family val="2"/>
      </rPr>
      <t>)</t>
    </r>
    <phoneticPr fontId="3" type="noConversion"/>
  </si>
  <si>
    <t>Std</t>
    <phoneticPr fontId="3" type="noConversion"/>
  </si>
  <si>
    <t>Average</t>
    <phoneticPr fontId="3" type="noConversion"/>
  </si>
  <si>
    <t>ATPA_RAT</t>
    <phoneticPr fontId="3" type="noConversion"/>
  </si>
  <si>
    <t>HS90B_RAT</t>
    <phoneticPr fontId="3" type="noConversion"/>
  </si>
  <si>
    <t>TBB5_RAT</t>
    <phoneticPr fontId="3" type="noConversion"/>
  </si>
  <si>
    <t>NA</t>
    <phoneticPr fontId="3" type="noConversion"/>
  </si>
  <si>
    <t>G3P_RAT</t>
    <phoneticPr fontId="3" type="noConversion"/>
  </si>
  <si>
    <t>EF1A1_RAT</t>
    <phoneticPr fontId="3" type="noConversion"/>
  </si>
  <si>
    <t>Elongation factor 1-alpha 1 OS=Rattus norvegicus GN=Eef1a1 PE=1 SV=1 </t>
    <phoneticPr fontId="3" type="noConversion"/>
  </si>
  <si>
    <t>VINC_RAT</t>
    <phoneticPr fontId="3" type="noConversion"/>
  </si>
  <si>
    <t>Vinculin OS=Rattus norvegicus GN=Vcl PE=1 SV=1 </t>
    <phoneticPr fontId="3" type="noConversion"/>
  </si>
  <si>
    <t>PROF1_RAT</t>
    <phoneticPr fontId="3" type="noConversion"/>
  </si>
  <si>
    <t>ANXA1_RAT</t>
    <phoneticPr fontId="3" type="noConversion"/>
  </si>
  <si>
    <t>Annexin A1 OS=Rattus norvegicus GN=Anxa1 PE=1 SV=2 </t>
    <phoneticPr fontId="3" type="noConversion"/>
  </si>
  <si>
    <t>PDIA6_RAT</t>
    <phoneticPr fontId="3" type="noConversion"/>
  </si>
  <si>
    <t>Protein disulfide-isomerase A6 OS=Rattus norvegicus GN=Pdia6 PE=1 SV=2 </t>
    <phoneticPr fontId="3" type="noConversion"/>
  </si>
  <si>
    <t>NONO_RAT</t>
    <phoneticPr fontId="3" type="noConversion"/>
  </si>
  <si>
    <t>TBA1B_RAT</t>
    <phoneticPr fontId="3" type="noConversion"/>
  </si>
  <si>
    <t>SERPH_RAT</t>
    <phoneticPr fontId="3" type="noConversion"/>
  </si>
  <si>
    <t>Serpin H1 OS=Rattus norvegicus GN=Serpinh1 PE=1 SV=1 </t>
    <phoneticPr fontId="3" type="noConversion"/>
  </si>
  <si>
    <t>ENOA_RAT</t>
    <phoneticPr fontId="3" type="noConversion"/>
  </si>
  <si>
    <t>MDHM_RAT</t>
    <phoneticPr fontId="3" type="noConversion"/>
  </si>
  <si>
    <t>LDHA_RAT</t>
    <phoneticPr fontId="3" type="noConversion"/>
  </si>
  <si>
    <t>L-lactate dehydrogenase A chain OS=Rattus norvegicus GN=Ldha PE=1 SV=1 </t>
    <phoneticPr fontId="3" type="noConversion"/>
  </si>
  <si>
    <t>HSP7C_RAT</t>
    <phoneticPr fontId="3" type="noConversion"/>
  </si>
  <si>
    <t>Heat shock cognate 71 kDa protein OS=Rattus norvegicus GN=Hspa8 PE=1 SV=1 </t>
    <phoneticPr fontId="3" type="noConversion"/>
  </si>
  <si>
    <t>PDIA1_RAT</t>
    <phoneticPr fontId="3" type="noConversion"/>
  </si>
  <si>
    <t>KPYM_RAT</t>
    <phoneticPr fontId="3" type="noConversion"/>
  </si>
  <si>
    <t>GRP78_RAT</t>
    <phoneticPr fontId="3" type="noConversion"/>
  </si>
  <si>
    <t>ENPL_RAT</t>
    <phoneticPr fontId="3" type="noConversion"/>
  </si>
  <si>
    <t>PSD13_RAT</t>
    <phoneticPr fontId="3" type="noConversion"/>
  </si>
  <si>
    <t>6.874(68)</t>
    <phoneticPr fontId="3" type="noConversion"/>
  </si>
  <si>
    <t>3.526(128)</t>
    <phoneticPr fontId="3" type="noConversion"/>
  </si>
  <si>
    <t>ATPB_RAT</t>
    <phoneticPr fontId="3" type="noConversion"/>
  </si>
  <si>
    <t>GDIB_RAT</t>
    <phoneticPr fontId="3" type="noConversion"/>
  </si>
  <si>
    <t>4.092(133)</t>
    <phoneticPr fontId="3" type="noConversion"/>
  </si>
  <si>
    <t>??</t>
    <phoneticPr fontId="3" type="noConversion"/>
  </si>
  <si>
    <t>PTBP1_RAT</t>
    <phoneticPr fontId="3" type="noConversion"/>
  </si>
  <si>
    <t>1.887(105)</t>
    <phoneticPr fontId="3" type="noConversion"/>
  </si>
  <si>
    <t>2.596(73)</t>
    <phoneticPr fontId="3" type="noConversion"/>
  </si>
  <si>
    <t>ANXA5_RAT</t>
    <phoneticPr fontId="3" type="noConversion"/>
  </si>
  <si>
    <t>1.524(86)</t>
    <phoneticPr fontId="3" type="noConversion"/>
  </si>
  <si>
    <t>HNRPK_RAT</t>
    <phoneticPr fontId="3" type="noConversion"/>
  </si>
  <si>
    <t>1.023(76)</t>
    <phoneticPr fontId="3" type="noConversion"/>
  </si>
  <si>
    <t>1.1(51)</t>
    <phoneticPr fontId="3" type="noConversion"/>
  </si>
  <si>
    <t>ACLY_RAT</t>
    <phoneticPr fontId="3" type="noConversion"/>
  </si>
  <si>
    <t>LEG1_RAT</t>
    <phoneticPr fontId="3" type="noConversion"/>
  </si>
  <si>
    <t>LEG3_RAT</t>
    <phoneticPr fontId="3" type="noConversion"/>
  </si>
</sst>
</file>

<file path=xl/styles.xml><?xml version="1.0" encoding="utf-8"?>
<styleSheet xmlns="http://schemas.openxmlformats.org/spreadsheetml/2006/main">
  <fonts count="5">
    <font>
      <sz val="12"/>
      <color theme="1"/>
      <name val="新細明體"/>
      <family val="1"/>
      <charset val="136"/>
      <scheme val="minor"/>
    </font>
    <font>
      <sz val="9"/>
      <color indexed="8"/>
      <name val="Verdana"/>
      <family val="2"/>
    </font>
    <font>
      <b/>
      <sz val="9"/>
      <color indexed="8"/>
      <name val="Verdana"/>
      <family val="2"/>
    </font>
    <font>
      <sz val="9"/>
      <name val="新細明體"/>
      <family val="1"/>
      <charset val="136"/>
    </font>
    <font>
      <sz val="9"/>
      <color indexed="8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3" borderId="2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workbookViewId="0">
      <selection activeCell="C2" sqref="C2"/>
    </sheetView>
  </sheetViews>
  <sheetFormatPr defaultRowHeight="17.100000000000001" customHeight="1"/>
  <cols>
    <col min="9" max="9" width="87.625" customWidth="1"/>
  </cols>
  <sheetData>
    <row r="1" spans="1:9" ht="17.100000000000001" customHeight="1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ht="17.100000000000001" customHeight="1">
      <c r="A2" s="2">
        <v>52</v>
      </c>
      <c r="B2" s="2"/>
      <c r="C2" s="3" t="s">
        <v>286</v>
      </c>
      <c r="D2" s="2">
        <v>46</v>
      </c>
      <c r="E2" s="2">
        <v>15484</v>
      </c>
      <c r="F2" s="2">
        <v>39.92</v>
      </c>
      <c r="G2" s="2">
        <v>3.9260000000000002</v>
      </c>
      <c r="H2" s="2">
        <v>2</v>
      </c>
      <c r="I2" s="2" t="s">
        <v>113</v>
      </c>
    </row>
    <row r="3" spans="1:9" ht="17.100000000000001" customHeight="1">
      <c r="A3" s="2">
        <v>74</v>
      </c>
      <c r="B3" s="2"/>
      <c r="C3" s="3" t="s">
        <v>156</v>
      </c>
      <c r="D3" s="2">
        <v>27</v>
      </c>
      <c r="E3" s="2">
        <v>366709</v>
      </c>
      <c r="F3" s="2">
        <v>27.55</v>
      </c>
      <c r="G3" s="2">
        <v>2.4940000000000002</v>
      </c>
      <c r="H3" s="2">
        <v>2</v>
      </c>
      <c r="I3" s="2" t="s">
        <v>157</v>
      </c>
    </row>
    <row r="4" spans="1:9" ht="17.100000000000001" customHeight="1">
      <c r="A4" s="2">
        <v>13</v>
      </c>
      <c r="B4" s="2"/>
      <c r="C4" s="3" t="s">
        <v>213</v>
      </c>
      <c r="D4" s="2">
        <v>156</v>
      </c>
      <c r="E4" s="2">
        <v>60826</v>
      </c>
      <c r="F4" s="2">
        <v>17.899999999999999</v>
      </c>
      <c r="G4" s="2">
        <v>1.9179999999999999</v>
      </c>
      <c r="H4" s="2">
        <v>3</v>
      </c>
      <c r="I4" s="2" t="s">
        <v>34</v>
      </c>
    </row>
    <row r="5" spans="1:9" ht="17.100000000000001" customHeight="1">
      <c r="A5" s="2">
        <v>29</v>
      </c>
      <c r="B5" s="2"/>
      <c r="C5" s="3" t="s">
        <v>235</v>
      </c>
      <c r="D5" s="2">
        <v>80</v>
      </c>
      <c r="E5" s="2">
        <v>33272</v>
      </c>
      <c r="F5" s="4">
        <v>17.649999999999999</v>
      </c>
      <c r="G5" s="4">
        <v>1.0980000000000001</v>
      </c>
      <c r="H5" s="4">
        <v>2</v>
      </c>
      <c r="I5" s="2" t="s">
        <v>67</v>
      </c>
    </row>
    <row r="6" spans="1:9" ht="17.100000000000001" customHeight="1">
      <c r="A6" s="2">
        <v>62</v>
      </c>
      <c r="B6" s="2"/>
      <c r="C6" s="3" t="s">
        <v>132</v>
      </c>
      <c r="D6" s="2">
        <v>36</v>
      </c>
      <c r="E6" s="2">
        <v>19321</v>
      </c>
      <c r="F6" s="2">
        <v>14.2</v>
      </c>
      <c r="G6" s="2">
        <v>2.9830000000000001</v>
      </c>
      <c r="H6" s="2">
        <v>2</v>
      </c>
      <c r="I6" s="2" t="s">
        <v>133</v>
      </c>
    </row>
    <row r="7" spans="1:9" ht="17.100000000000001" customHeight="1">
      <c r="A7" s="2">
        <v>24</v>
      </c>
      <c r="B7" s="2"/>
      <c r="C7" s="3" t="s">
        <v>57</v>
      </c>
      <c r="D7" s="2">
        <v>86</v>
      </c>
      <c r="E7" s="2">
        <v>85981</v>
      </c>
      <c r="F7" s="4">
        <v>13.28</v>
      </c>
      <c r="G7" s="4">
        <v>1.5369999999999999</v>
      </c>
      <c r="H7" s="4">
        <v>3</v>
      </c>
      <c r="I7" s="2" t="s">
        <v>58</v>
      </c>
    </row>
    <row r="8" spans="1:9" ht="17.100000000000001" customHeight="1">
      <c r="A8" s="2">
        <v>14</v>
      </c>
      <c r="B8" s="2"/>
      <c r="C8" s="3" t="s">
        <v>214</v>
      </c>
      <c r="D8" s="2">
        <v>130</v>
      </c>
      <c r="E8" s="2">
        <v>50584</v>
      </c>
      <c r="F8" s="4">
        <v>12.79</v>
      </c>
      <c r="G8" s="4">
        <v>1.2330000000000001</v>
      </c>
      <c r="H8" s="4">
        <v>2</v>
      </c>
      <c r="I8" s="2" t="s">
        <v>36</v>
      </c>
    </row>
    <row r="9" spans="1:9" ht="17.100000000000001" customHeight="1">
      <c r="A9" s="2">
        <v>28</v>
      </c>
      <c r="B9" s="2"/>
      <c r="C9" s="3" t="s">
        <v>215</v>
      </c>
      <c r="D9" s="2">
        <v>81</v>
      </c>
      <c r="E9" s="2">
        <v>36929</v>
      </c>
      <c r="F9" s="4">
        <v>11.99</v>
      </c>
      <c r="G9" s="4">
        <v>1.653</v>
      </c>
      <c r="H9" s="4">
        <v>3</v>
      </c>
      <c r="I9" s="2" t="s">
        <v>66</v>
      </c>
    </row>
    <row r="10" spans="1:9" ht="17.100000000000001" customHeight="1">
      <c r="A10" s="2">
        <v>73</v>
      </c>
      <c r="B10" s="2"/>
      <c r="C10" s="3" t="s">
        <v>154</v>
      </c>
      <c r="D10" s="2">
        <v>29</v>
      </c>
      <c r="E10" s="2">
        <v>10407</v>
      </c>
      <c r="F10" s="4">
        <v>11.41</v>
      </c>
      <c r="G10" s="4">
        <v>1.1859999999999999</v>
      </c>
      <c r="H10" s="4">
        <v>2</v>
      </c>
      <c r="I10" s="2" t="s">
        <v>155</v>
      </c>
    </row>
    <row r="11" spans="1:9" ht="17.100000000000001" customHeight="1">
      <c r="A11" s="2">
        <v>66</v>
      </c>
      <c r="B11" s="2"/>
      <c r="C11" s="3" t="s">
        <v>140</v>
      </c>
      <c r="D11" s="2">
        <v>33</v>
      </c>
      <c r="E11" s="2">
        <v>46230</v>
      </c>
      <c r="F11" s="2">
        <v>10.78</v>
      </c>
      <c r="G11" s="2">
        <v>1.508</v>
      </c>
      <c r="H11" s="2">
        <v>2</v>
      </c>
      <c r="I11" s="2" t="s">
        <v>141</v>
      </c>
    </row>
    <row r="12" spans="1:9" ht="17.100000000000001" customHeight="1">
      <c r="A12" s="2">
        <v>7</v>
      </c>
      <c r="B12" s="2"/>
      <c r="C12" s="3" t="s">
        <v>21</v>
      </c>
      <c r="D12" s="2">
        <v>228</v>
      </c>
      <c r="E12" s="2">
        <v>42667</v>
      </c>
      <c r="F12" s="4">
        <v>10.51</v>
      </c>
      <c r="G12" s="4">
        <v>1.246</v>
      </c>
      <c r="H12" s="4">
        <v>8</v>
      </c>
      <c r="I12" s="2" t="s">
        <v>22</v>
      </c>
    </row>
    <row r="13" spans="1:9" ht="17.100000000000001" customHeight="1">
      <c r="A13" s="2">
        <v>10</v>
      </c>
      <c r="B13" s="2"/>
      <c r="C13" s="3" t="s">
        <v>27</v>
      </c>
      <c r="D13" s="2">
        <v>166</v>
      </c>
      <c r="E13" s="2">
        <v>51937</v>
      </c>
      <c r="F13" s="4">
        <v>10.02</v>
      </c>
      <c r="G13" s="4">
        <v>2.1680000000000001</v>
      </c>
      <c r="H13" s="4">
        <v>13</v>
      </c>
      <c r="I13" s="2" t="s">
        <v>28</v>
      </c>
    </row>
    <row r="14" spans="1:9" ht="17.100000000000001" customHeight="1">
      <c r="A14" s="2">
        <v>77</v>
      </c>
      <c r="B14" s="2"/>
      <c r="C14" s="3" t="s">
        <v>162</v>
      </c>
      <c r="D14" s="2">
        <v>24</v>
      </c>
      <c r="E14" s="2">
        <v>52299</v>
      </c>
      <c r="F14" s="2">
        <v>9.8230000000000004</v>
      </c>
      <c r="G14" s="2">
        <v>2.2959999999999998</v>
      </c>
      <c r="H14" s="2">
        <v>2</v>
      </c>
      <c r="I14" s="2" t="s">
        <v>163</v>
      </c>
    </row>
    <row r="15" spans="1:9" ht="17.100000000000001" customHeight="1">
      <c r="A15" s="2">
        <v>17</v>
      </c>
      <c r="B15" s="2"/>
      <c r="C15" s="3" t="s">
        <v>43</v>
      </c>
      <c r="D15" s="2">
        <v>116</v>
      </c>
      <c r="E15" s="2">
        <v>119527</v>
      </c>
      <c r="F15" s="4">
        <v>9.82</v>
      </c>
      <c r="G15" s="4">
        <v>1.018</v>
      </c>
      <c r="H15" s="4">
        <v>2</v>
      </c>
      <c r="I15" s="2" t="s">
        <v>44</v>
      </c>
    </row>
    <row r="16" spans="1:9" ht="17.100000000000001" customHeight="1">
      <c r="A16" s="2">
        <v>18</v>
      </c>
      <c r="B16" s="2"/>
      <c r="C16" s="3" t="s">
        <v>45</v>
      </c>
      <c r="D16" s="2">
        <v>104</v>
      </c>
      <c r="E16" s="2">
        <v>15410</v>
      </c>
      <c r="F16" s="4">
        <v>7.4619999999999997</v>
      </c>
      <c r="G16" s="4">
        <v>1.4330000000000001</v>
      </c>
      <c r="H16" s="4">
        <v>3</v>
      </c>
      <c r="I16" s="2" t="s">
        <v>46</v>
      </c>
    </row>
    <row r="17" spans="1:9" ht="17.100000000000001" customHeight="1">
      <c r="A17" s="2">
        <v>67</v>
      </c>
      <c r="B17" s="2"/>
      <c r="C17" s="3" t="s">
        <v>142</v>
      </c>
      <c r="D17" s="2">
        <v>32</v>
      </c>
      <c r="E17" s="2">
        <v>49486</v>
      </c>
      <c r="F17" s="2">
        <v>7.3920000000000003</v>
      </c>
      <c r="G17" s="2">
        <v>2.3029999999999999</v>
      </c>
      <c r="H17" s="2">
        <v>2</v>
      </c>
      <c r="I17" s="2" t="s">
        <v>143</v>
      </c>
    </row>
    <row r="18" spans="1:9" ht="17.100000000000001" customHeight="1">
      <c r="A18" s="2">
        <v>4</v>
      </c>
      <c r="B18" s="2"/>
      <c r="C18" s="3" t="s">
        <v>15</v>
      </c>
      <c r="D18" s="2">
        <v>389</v>
      </c>
      <c r="E18" s="2">
        <v>40147</v>
      </c>
      <c r="F18" s="4">
        <v>7.34</v>
      </c>
      <c r="G18" s="4">
        <v>1.151</v>
      </c>
      <c r="H18" s="4">
        <v>7</v>
      </c>
      <c r="I18" s="2" t="s">
        <v>16</v>
      </c>
    </row>
    <row r="19" spans="1:9" ht="17.100000000000001" customHeight="1">
      <c r="A19" s="2">
        <v>6</v>
      </c>
      <c r="B19" s="2"/>
      <c r="C19" s="3" t="s">
        <v>19</v>
      </c>
      <c r="D19" s="2">
        <v>246</v>
      </c>
      <c r="E19" s="2">
        <v>49607</v>
      </c>
      <c r="F19" s="4">
        <v>7.1790000000000003</v>
      </c>
      <c r="G19" s="4">
        <v>1.47</v>
      </c>
      <c r="H19" s="4">
        <v>5</v>
      </c>
      <c r="I19" s="2" t="s">
        <v>20</v>
      </c>
    </row>
    <row r="20" spans="1:9" ht="17.100000000000001" customHeight="1">
      <c r="A20" s="2">
        <v>75</v>
      </c>
      <c r="B20" s="2"/>
      <c r="C20" s="3" t="s">
        <v>158</v>
      </c>
      <c r="D20" s="2">
        <v>27</v>
      </c>
      <c r="E20" s="2">
        <v>16613</v>
      </c>
      <c r="F20" s="4">
        <v>6.7089999999999996</v>
      </c>
      <c r="G20" s="4">
        <v>1.0369999999999999</v>
      </c>
      <c r="H20" s="4">
        <v>2</v>
      </c>
      <c r="I20" s="2" t="s">
        <v>159</v>
      </c>
    </row>
    <row r="21" spans="1:9" ht="17.100000000000001" customHeight="1">
      <c r="A21" s="2">
        <v>21</v>
      </c>
      <c r="B21" s="2"/>
      <c r="C21" s="3" t="s">
        <v>51</v>
      </c>
      <c r="D21" s="2">
        <v>95</v>
      </c>
      <c r="E21" s="2">
        <v>55763</v>
      </c>
      <c r="F21" s="4">
        <v>6.66</v>
      </c>
      <c r="G21" s="4">
        <v>1.204</v>
      </c>
      <c r="H21" s="4">
        <v>2</v>
      </c>
      <c r="I21" s="2" t="s">
        <v>52</v>
      </c>
    </row>
    <row r="22" spans="1:9" ht="17.100000000000001" customHeight="1">
      <c r="A22" s="2">
        <v>50</v>
      </c>
      <c r="B22" s="2"/>
      <c r="C22" s="3" t="s">
        <v>108</v>
      </c>
      <c r="D22" s="2">
        <v>47</v>
      </c>
      <c r="E22" s="2">
        <v>51435</v>
      </c>
      <c r="F22" s="2">
        <v>6.2549999999999999</v>
      </c>
      <c r="G22" s="2">
        <v>3.3370000000000002</v>
      </c>
      <c r="H22" s="2">
        <v>2</v>
      </c>
      <c r="I22" s="2" t="s">
        <v>109</v>
      </c>
    </row>
    <row r="23" spans="1:9" ht="17.100000000000001" customHeight="1">
      <c r="A23" s="2">
        <v>2</v>
      </c>
      <c r="B23" s="2"/>
      <c r="C23" s="3" t="s">
        <v>11</v>
      </c>
      <c r="D23" s="2">
        <v>495</v>
      </c>
      <c r="E23" s="2">
        <v>51425</v>
      </c>
      <c r="F23" s="2">
        <v>6.0670000000000002</v>
      </c>
      <c r="G23" s="2">
        <v>4.0979999999999999</v>
      </c>
      <c r="H23" s="2">
        <v>11</v>
      </c>
      <c r="I23" s="2" t="s">
        <v>12</v>
      </c>
    </row>
    <row r="24" spans="1:9" ht="17.100000000000001" customHeight="1">
      <c r="A24" s="2">
        <v>1</v>
      </c>
      <c r="B24" s="2"/>
      <c r="C24" s="3" t="s">
        <v>9</v>
      </c>
      <c r="D24" s="2">
        <v>565</v>
      </c>
      <c r="E24" s="2">
        <v>47726</v>
      </c>
      <c r="F24" s="2">
        <v>5.6369999999999996</v>
      </c>
      <c r="G24" s="2">
        <v>2</v>
      </c>
      <c r="H24" s="2">
        <v>12</v>
      </c>
      <c r="I24" s="2" t="s">
        <v>10</v>
      </c>
    </row>
    <row r="25" spans="1:9" ht="17.100000000000001" customHeight="1">
      <c r="A25" s="2">
        <v>5</v>
      </c>
      <c r="B25" s="2"/>
      <c r="C25" s="3" t="s">
        <v>17</v>
      </c>
      <c r="D25" s="2">
        <v>369</v>
      </c>
      <c r="E25" s="2">
        <v>48600</v>
      </c>
      <c r="F25" s="4">
        <v>5.431</v>
      </c>
      <c r="G25" s="4">
        <v>2.2309999999999999</v>
      </c>
      <c r="H25" s="4">
        <v>13</v>
      </c>
      <c r="I25" s="2" t="s">
        <v>18</v>
      </c>
    </row>
    <row r="26" spans="1:9" ht="17.100000000000001" customHeight="1">
      <c r="A26" s="2">
        <v>72</v>
      </c>
      <c r="B26" s="2"/>
      <c r="C26" s="3" t="s">
        <v>152</v>
      </c>
      <c r="D26" s="2">
        <v>29</v>
      </c>
      <c r="E26" s="2">
        <v>41953</v>
      </c>
      <c r="F26" s="2">
        <v>5.415</v>
      </c>
      <c r="G26" s="2">
        <v>5.0010000000000003</v>
      </c>
      <c r="H26" s="2">
        <v>2</v>
      </c>
      <c r="I26" s="2" t="s">
        <v>153</v>
      </c>
    </row>
    <row r="27" spans="1:9" ht="17.100000000000001" customHeight="1">
      <c r="A27" s="2">
        <v>20</v>
      </c>
      <c r="B27" s="2"/>
      <c r="C27" s="3" t="s">
        <v>49</v>
      </c>
      <c r="D27" s="2">
        <v>97</v>
      </c>
      <c r="E27" s="2">
        <v>36926</v>
      </c>
      <c r="F27" s="2">
        <v>5.25</v>
      </c>
      <c r="G27" s="2">
        <v>5.9480000000000004</v>
      </c>
      <c r="H27" s="2">
        <v>3</v>
      </c>
      <c r="I27" s="2" t="s">
        <v>50</v>
      </c>
    </row>
    <row r="28" spans="1:9" ht="17.100000000000001" customHeight="1">
      <c r="A28" s="2">
        <v>69</v>
      </c>
      <c r="B28" s="2"/>
      <c r="C28" s="3" t="s">
        <v>146</v>
      </c>
      <c r="D28" s="2">
        <v>32</v>
      </c>
      <c r="E28" s="2">
        <v>70113</v>
      </c>
      <c r="F28" s="2">
        <v>5.242</v>
      </c>
      <c r="G28" s="2">
        <v>2.2389999999999999</v>
      </c>
      <c r="H28" s="2">
        <v>2</v>
      </c>
      <c r="I28" s="2" t="s">
        <v>147</v>
      </c>
    </row>
    <row r="29" spans="1:9" ht="17.100000000000001" customHeight="1">
      <c r="A29" s="2">
        <v>22</v>
      </c>
      <c r="B29" s="2"/>
      <c r="C29" s="3" t="s">
        <v>53</v>
      </c>
      <c r="D29" s="2">
        <v>90</v>
      </c>
      <c r="E29" s="2">
        <v>37615</v>
      </c>
      <c r="F29" s="2">
        <v>5.1189999999999998</v>
      </c>
      <c r="G29" s="2">
        <v>2.7719999999999998</v>
      </c>
      <c r="H29" s="2">
        <v>3</v>
      </c>
      <c r="I29" s="2" t="s">
        <v>54</v>
      </c>
    </row>
    <row r="30" spans="1:9" ht="17.100000000000001" customHeight="1">
      <c r="A30" s="2">
        <v>68</v>
      </c>
      <c r="B30" s="2"/>
      <c r="C30" s="3" t="s">
        <v>144</v>
      </c>
      <c r="D30" s="2">
        <v>32</v>
      </c>
      <c r="E30" s="2">
        <v>49402</v>
      </c>
      <c r="F30" s="2">
        <v>5.0839999999999996</v>
      </c>
      <c r="G30" s="2">
        <v>1.639</v>
      </c>
      <c r="H30" s="2">
        <v>2</v>
      </c>
      <c r="I30" s="2" t="s">
        <v>145</v>
      </c>
    </row>
    <row r="31" spans="1:9" ht="17.100000000000001" customHeight="1">
      <c r="A31" s="2">
        <v>15</v>
      </c>
      <c r="B31" s="2">
        <v>2</v>
      </c>
      <c r="C31" s="3" t="s">
        <v>39</v>
      </c>
      <c r="D31" s="2">
        <v>106</v>
      </c>
      <c r="E31" s="2">
        <v>72790</v>
      </c>
      <c r="F31" s="4">
        <v>5.0590000000000002</v>
      </c>
      <c r="G31" s="4">
        <v>1.8109999999999999</v>
      </c>
      <c r="H31" s="4">
        <v>4</v>
      </c>
      <c r="I31" s="2" t="s">
        <v>40</v>
      </c>
    </row>
    <row r="32" spans="1:9" ht="17.100000000000001" customHeight="1">
      <c r="A32" s="2">
        <v>3</v>
      </c>
      <c r="B32" s="2"/>
      <c r="C32" s="3" t="s">
        <v>13</v>
      </c>
      <c r="D32" s="2">
        <v>482</v>
      </c>
      <c r="E32" s="2">
        <v>58957</v>
      </c>
      <c r="F32" s="4">
        <v>4.9800000000000004</v>
      </c>
      <c r="G32" s="4">
        <v>1.349</v>
      </c>
      <c r="H32" s="4">
        <v>5</v>
      </c>
      <c r="I32" s="2" t="s">
        <v>14</v>
      </c>
    </row>
    <row r="33" spans="1:9" ht="17.100000000000001" customHeight="1">
      <c r="A33" s="2">
        <v>19</v>
      </c>
      <c r="B33" s="2"/>
      <c r="C33" s="3" t="s">
        <v>47</v>
      </c>
      <c r="D33" s="2">
        <v>102</v>
      </c>
      <c r="E33" s="2">
        <v>59457</v>
      </c>
      <c r="F33" s="2">
        <v>4.9359999999999999</v>
      </c>
      <c r="G33" s="2">
        <v>3.5339999999999998</v>
      </c>
      <c r="H33" s="2">
        <v>4</v>
      </c>
      <c r="I33" s="2" t="s">
        <v>48</v>
      </c>
    </row>
    <row r="34" spans="1:9" ht="17.100000000000001" customHeight="1">
      <c r="A34" s="2">
        <v>15</v>
      </c>
      <c r="B34" s="2">
        <v>1</v>
      </c>
      <c r="C34" s="3" t="s">
        <v>37</v>
      </c>
      <c r="D34" s="2">
        <v>129</v>
      </c>
      <c r="E34" s="2">
        <v>74432</v>
      </c>
      <c r="F34" s="4">
        <v>4.8499999999999996</v>
      </c>
      <c r="G34" s="4">
        <v>1.766</v>
      </c>
      <c r="H34" s="4">
        <v>5</v>
      </c>
      <c r="I34" s="2" t="s">
        <v>38</v>
      </c>
    </row>
    <row r="35" spans="1:9" ht="17.100000000000001" customHeight="1">
      <c r="A35" s="2">
        <v>9</v>
      </c>
      <c r="B35" s="2"/>
      <c r="C35" s="3" t="s">
        <v>25</v>
      </c>
      <c r="D35" s="2">
        <v>178</v>
      </c>
      <c r="E35" s="2">
        <v>95376</v>
      </c>
      <c r="F35" s="4">
        <v>4.7409999999999997</v>
      </c>
      <c r="G35" s="4">
        <v>1.6519999999999999</v>
      </c>
      <c r="H35" s="4">
        <v>4</v>
      </c>
      <c r="I35" s="2" t="s">
        <v>26</v>
      </c>
    </row>
    <row r="36" spans="1:9" ht="17.100000000000001" customHeight="1">
      <c r="A36" s="2">
        <v>39</v>
      </c>
      <c r="B36" s="2"/>
      <c r="C36" s="3" t="s">
        <v>86</v>
      </c>
      <c r="D36" s="2">
        <v>58</v>
      </c>
      <c r="E36" s="2">
        <v>48528</v>
      </c>
      <c r="F36" s="2">
        <v>4.327</v>
      </c>
      <c r="G36" s="2">
        <v>12.94</v>
      </c>
      <c r="H36" s="2">
        <v>2</v>
      </c>
      <c r="I36" s="2" t="s">
        <v>87</v>
      </c>
    </row>
    <row r="37" spans="1:9" ht="17.100000000000001" customHeight="1">
      <c r="A37" s="2">
        <v>45</v>
      </c>
      <c r="B37" s="2"/>
      <c r="C37" s="3" t="s">
        <v>98</v>
      </c>
      <c r="D37" s="2">
        <v>53</v>
      </c>
      <c r="E37" s="2">
        <v>69797</v>
      </c>
      <c r="F37" s="2">
        <v>4.1360000000000001</v>
      </c>
      <c r="G37" s="2">
        <v>4.093</v>
      </c>
      <c r="H37" s="2">
        <v>2</v>
      </c>
      <c r="I37" s="2" t="s">
        <v>99</v>
      </c>
    </row>
    <row r="38" spans="1:9" ht="17.100000000000001" customHeight="1">
      <c r="A38" s="2">
        <v>63</v>
      </c>
      <c r="B38" s="2"/>
      <c r="C38" s="3" t="s">
        <v>134</v>
      </c>
      <c r="D38" s="2">
        <v>35</v>
      </c>
      <c r="E38" s="2">
        <v>33970</v>
      </c>
      <c r="F38" s="2">
        <v>3.992</v>
      </c>
      <c r="G38" s="2">
        <v>5.1879999999999997</v>
      </c>
      <c r="H38" s="2">
        <v>2</v>
      </c>
      <c r="I38" s="2" t="s">
        <v>135</v>
      </c>
    </row>
    <row r="39" spans="1:9" ht="17.100000000000001" customHeight="1">
      <c r="A39" s="2">
        <v>78</v>
      </c>
      <c r="B39" s="2"/>
      <c r="C39" s="3" t="s">
        <v>164</v>
      </c>
      <c r="D39" s="2">
        <v>21</v>
      </c>
      <c r="E39" s="2">
        <v>95040</v>
      </c>
      <c r="F39" s="2">
        <v>3.9889999999999999</v>
      </c>
      <c r="G39" s="2">
        <v>2.44</v>
      </c>
      <c r="H39" s="2">
        <v>2</v>
      </c>
      <c r="I39" s="2" t="s">
        <v>165</v>
      </c>
    </row>
    <row r="40" spans="1:9" ht="17.100000000000001" customHeight="1">
      <c r="A40" s="2">
        <v>16</v>
      </c>
      <c r="B40" s="2"/>
      <c r="C40" s="3" t="s">
        <v>41</v>
      </c>
      <c r="D40" s="2">
        <v>127</v>
      </c>
      <c r="E40" s="2">
        <v>43818</v>
      </c>
      <c r="F40" s="2">
        <v>3.585</v>
      </c>
      <c r="G40" s="2">
        <v>5.9340000000000002</v>
      </c>
      <c r="H40" s="2">
        <v>5</v>
      </c>
      <c r="I40" s="2" t="s">
        <v>42</v>
      </c>
    </row>
    <row r="41" spans="1:9" ht="17.100000000000001" customHeight="1">
      <c r="A41" s="2">
        <v>44</v>
      </c>
      <c r="B41" s="2"/>
      <c r="C41" s="3" t="s">
        <v>96</v>
      </c>
      <c r="D41" s="2">
        <v>54</v>
      </c>
      <c r="E41" s="2">
        <v>62822</v>
      </c>
      <c r="F41" s="2">
        <v>3.5030000000000001</v>
      </c>
      <c r="G41" s="2">
        <v>3.01</v>
      </c>
      <c r="H41" s="2">
        <v>2</v>
      </c>
      <c r="I41" s="2" t="s">
        <v>97</v>
      </c>
    </row>
    <row r="42" spans="1:9" ht="17.100000000000001" customHeight="1">
      <c r="A42" s="2">
        <v>40</v>
      </c>
      <c r="B42" s="2"/>
      <c r="C42" s="3" t="s">
        <v>88</v>
      </c>
      <c r="D42" s="2">
        <v>58</v>
      </c>
      <c r="E42" s="2">
        <v>61245</v>
      </c>
      <c r="F42" s="4">
        <v>3.492</v>
      </c>
      <c r="G42" s="4">
        <v>1.022</v>
      </c>
      <c r="H42" s="4">
        <v>2</v>
      </c>
      <c r="I42" s="2" t="s">
        <v>89</v>
      </c>
    </row>
    <row r="43" spans="1:9" ht="17.100000000000001" customHeight="1">
      <c r="A43" s="2">
        <v>61</v>
      </c>
      <c r="B43" s="2"/>
      <c r="C43" s="3" t="s">
        <v>130</v>
      </c>
      <c r="D43" s="2">
        <v>36</v>
      </c>
      <c r="E43" s="2">
        <v>40002</v>
      </c>
      <c r="F43" s="2">
        <v>3.3719999999999999</v>
      </c>
      <c r="G43" s="2">
        <v>4.0869999999999997</v>
      </c>
      <c r="H43" s="2">
        <v>2</v>
      </c>
      <c r="I43" s="2" t="s">
        <v>131</v>
      </c>
    </row>
    <row r="44" spans="1:9" ht="17.100000000000001" customHeight="1">
      <c r="A44" s="2">
        <v>8</v>
      </c>
      <c r="B44" s="2"/>
      <c r="C44" s="3" t="s">
        <v>23</v>
      </c>
      <c r="D44" s="2">
        <v>215</v>
      </c>
      <c r="E44" s="2">
        <v>57056</v>
      </c>
      <c r="F44" s="2">
        <v>3.2229999999999999</v>
      </c>
      <c r="G44" s="2">
        <v>7.6210000000000004</v>
      </c>
      <c r="H44" s="2">
        <v>6</v>
      </c>
      <c r="I44" s="2" t="s">
        <v>24</v>
      </c>
    </row>
    <row r="45" spans="1:9" ht="17.100000000000001" customHeight="1">
      <c r="A45" s="2">
        <v>23</v>
      </c>
      <c r="B45" s="2"/>
      <c r="C45" s="3" t="s">
        <v>55</v>
      </c>
      <c r="D45" s="2">
        <v>89</v>
      </c>
      <c r="E45" s="2">
        <v>52213</v>
      </c>
      <c r="F45" s="2">
        <v>3.153</v>
      </c>
      <c r="G45" s="2">
        <v>2.972</v>
      </c>
      <c r="H45" s="2">
        <v>3</v>
      </c>
      <c r="I45" s="2" t="s">
        <v>56</v>
      </c>
    </row>
    <row r="46" spans="1:9" ht="17.100000000000001" customHeight="1">
      <c r="A46" s="2">
        <v>47</v>
      </c>
      <c r="B46" s="2"/>
      <c r="C46" s="3" t="s">
        <v>102</v>
      </c>
      <c r="D46" s="2">
        <v>51</v>
      </c>
      <c r="E46" s="2">
        <v>73511</v>
      </c>
      <c r="F46" s="2">
        <v>2.657</v>
      </c>
      <c r="G46" s="2">
        <v>3.8050000000000002</v>
      </c>
      <c r="H46" s="2">
        <v>2</v>
      </c>
      <c r="I46" s="2" t="s">
        <v>103</v>
      </c>
    </row>
    <row r="47" spans="1:9" ht="17.100000000000001" customHeight="1">
      <c r="A47" s="2">
        <v>58</v>
      </c>
      <c r="B47" s="2"/>
      <c r="C47" s="3" t="s">
        <v>124</v>
      </c>
      <c r="D47" s="2">
        <v>39</v>
      </c>
      <c r="E47" s="2">
        <v>99742</v>
      </c>
      <c r="F47" s="2">
        <v>2.5579999999999998</v>
      </c>
      <c r="G47" s="2">
        <v>5.1749999999999998</v>
      </c>
      <c r="H47" s="2">
        <v>2</v>
      </c>
      <c r="I47" s="2" t="s">
        <v>125</v>
      </c>
    </row>
    <row r="48" spans="1:9" ht="17.100000000000001" customHeight="1">
      <c r="A48" s="2">
        <v>41</v>
      </c>
      <c r="B48" s="2"/>
      <c r="C48" s="3" t="s">
        <v>90</v>
      </c>
      <c r="D48" s="2">
        <v>57</v>
      </c>
      <c r="E48" s="2">
        <v>35001</v>
      </c>
      <c r="F48" s="2">
        <v>2.5419999999999998</v>
      </c>
      <c r="G48" s="2">
        <v>1.9159999999999999</v>
      </c>
      <c r="H48" s="2">
        <v>2</v>
      </c>
      <c r="I48" s="2" t="s">
        <v>91</v>
      </c>
    </row>
    <row r="49" spans="1:9" ht="17.100000000000001" customHeight="1">
      <c r="A49" s="2">
        <v>71</v>
      </c>
      <c r="B49" s="2"/>
      <c r="C49" s="3" t="s">
        <v>150</v>
      </c>
      <c r="D49" s="2">
        <v>30</v>
      </c>
      <c r="E49" s="2">
        <v>16525</v>
      </c>
      <c r="F49" s="2">
        <v>2.4590000000000001</v>
      </c>
      <c r="G49" s="2">
        <v>3.2970000000000002</v>
      </c>
      <c r="H49" s="2">
        <v>2</v>
      </c>
      <c r="I49" s="2" t="s">
        <v>151</v>
      </c>
    </row>
    <row r="50" spans="1:9" ht="17.100000000000001" customHeight="1">
      <c r="A50" s="2">
        <v>56</v>
      </c>
      <c r="B50" s="2"/>
      <c r="C50" s="3" t="s">
        <v>120</v>
      </c>
      <c r="D50" s="2">
        <v>40</v>
      </c>
      <c r="E50" s="2">
        <v>58988</v>
      </c>
      <c r="F50" s="2">
        <v>2.4510000000000001</v>
      </c>
      <c r="G50" s="2">
        <v>1.4810000000000001</v>
      </c>
      <c r="H50" s="2">
        <v>2</v>
      </c>
      <c r="I50" s="2" t="s">
        <v>121</v>
      </c>
    </row>
    <row r="51" spans="1:9" ht="17.100000000000001" customHeight="1">
      <c r="A51" s="2">
        <v>65</v>
      </c>
      <c r="B51" s="2"/>
      <c r="C51" s="3" t="s">
        <v>138</v>
      </c>
      <c r="D51" s="2">
        <v>34</v>
      </c>
      <c r="E51" s="2">
        <v>37406</v>
      </c>
      <c r="F51" s="2">
        <v>2.0030000000000001</v>
      </c>
      <c r="G51" s="2">
        <v>1.089</v>
      </c>
      <c r="H51" s="2">
        <v>2</v>
      </c>
      <c r="I51" s="2" t="s">
        <v>139</v>
      </c>
    </row>
    <row r="52" spans="1:9" ht="17.100000000000001" customHeight="1">
      <c r="A52" s="2">
        <v>55</v>
      </c>
      <c r="B52" s="2"/>
      <c r="C52" s="3" t="s">
        <v>118</v>
      </c>
      <c r="D52" s="2">
        <v>40</v>
      </c>
      <c r="E52" s="2">
        <v>30677</v>
      </c>
      <c r="F52" s="2">
        <v>1.9610000000000001</v>
      </c>
      <c r="G52" s="2">
        <v>5</v>
      </c>
      <c r="H52" s="2">
        <v>2</v>
      </c>
      <c r="I52" s="2" t="s">
        <v>119</v>
      </c>
    </row>
    <row r="53" spans="1:9" ht="17.100000000000001" customHeight="1">
      <c r="A53" s="2">
        <v>12</v>
      </c>
      <c r="B53" s="2"/>
      <c r="C53" s="3" t="s">
        <v>31</v>
      </c>
      <c r="D53" s="2">
        <v>158</v>
      </c>
      <c r="E53" s="2">
        <v>60606</v>
      </c>
      <c r="F53" s="2">
        <v>1.508</v>
      </c>
      <c r="G53" s="2">
        <v>13.75</v>
      </c>
      <c r="H53" s="2">
        <v>4</v>
      </c>
      <c r="I53" s="2" t="s">
        <v>32</v>
      </c>
    </row>
    <row r="54" spans="1:9" ht="17.100000000000001" customHeight="1">
      <c r="A54" s="2">
        <v>33</v>
      </c>
      <c r="B54" s="2"/>
      <c r="C54" s="3" t="s">
        <v>74</v>
      </c>
      <c r="D54" s="2">
        <v>71</v>
      </c>
      <c r="E54" s="2">
        <v>234161</v>
      </c>
      <c r="F54" s="2">
        <v>1.4450000000000001</v>
      </c>
      <c r="G54" s="2">
        <v>1.696</v>
      </c>
      <c r="H54" s="2">
        <v>3</v>
      </c>
      <c r="I54" s="2" t="s">
        <v>75</v>
      </c>
    </row>
    <row r="55" spans="1:9" ht="17.100000000000001" customHeight="1">
      <c r="A55" s="2">
        <v>26</v>
      </c>
      <c r="B55" s="2"/>
      <c r="C55" s="3" t="s">
        <v>61</v>
      </c>
      <c r="D55" s="2">
        <v>83</v>
      </c>
      <c r="E55" s="2">
        <v>36453</v>
      </c>
      <c r="F55" s="2">
        <v>1.3520000000000001</v>
      </c>
      <c r="G55" s="2">
        <v>4.3470000000000004</v>
      </c>
      <c r="H55" s="2">
        <v>2</v>
      </c>
      <c r="I55" s="2" t="s">
        <v>62</v>
      </c>
    </row>
    <row r="56" spans="1:9" ht="17.100000000000001" customHeight="1">
      <c r="A56" s="2">
        <v>25</v>
      </c>
      <c r="B56" s="2"/>
      <c r="C56" s="3" t="s">
        <v>59</v>
      </c>
      <c r="D56" s="2">
        <v>83</v>
      </c>
      <c r="E56" s="2">
        <v>51940</v>
      </c>
      <c r="F56" s="2">
        <v>0.95389999999999997</v>
      </c>
      <c r="G56" s="2">
        <v>13.56</v>
      </c>
      <c r="H56" s="2">
        <v>2</v>
      </c>
      <c r="I56" s="2" t="s">
        <v>60</v>
      </c>
    </row>
    <row r="57" spans="1:9" ht="17.100000000000001" customHeight="1">
      <c r="A57" s="2">
        <v>11</v>
      </c>
      <c r="B57" s="2"/>
      <c r="C57" s="3" t="s">
        <v>29</v>
      </c>
      <c r="D57" s="2">
        <v>163</v>
      </c>
      <c r="E57" s="2">
        <v>18544</v>
      </c>
      <c r="F57" s="2"/>
      <c r="G57" s="2"/>
      <c r="H57" s="2"/>
      <c r="I57" s="2" t="s">
        <v>30</v>
      </c>
    </row>
    <row r="58" spans="1:9" ht="17.100000000000001" customHeight="1">
      <c r="A58" s="2">
        <v>27</v>
      </c>
      <c r="B58" s="2"/>
      <c r="C58" s="3" t="s">
        <v>63</v>
      </c>
      <c r="D58" s="2">
        <v>81</v>
      </c>
      <c r="E58" s="2">
        <v>20674</v>
      </c>
      <c r="F58" s="2"/>
      <c r="G58" s="2"/>
      <c r="H58" s="2"/>
      <c r="I58" s="2" t="s">
        <v>64</v>
      </c>
    </row>
    <row r="59" spans="1:9" ht="17.100000000000001" customHeight="1">
      <c r="A59" s="2">
        <v>30</v>
      </c>
      <c r="B59" s="2"/>
      <c r="C59" s="3" t="s">
        <v>285</v>
      </c>
      <c r="D59" s="2">
        <v>77</v>
      </c>
      <c r="E59" s="2">
        <v>123859</v>
      </c>
      <c r="F59" s="2"/>
      <c r="G59" s="2"/>
      <c r="H59" s="2"/>
      <c r="I59" s="2" t="s">
        <v>69</v>
      </c>
    </row>
    <row r="60" spans="1:9" ht="17.100000000000001" customHeight="1">
      <c r="A60" s="2">
        <v>31</v>
      </c>
      <c r="B60" s="2"/>
      <c r="C60" s="3" t="s">
        <v>70</v>
      </c>
      <c r="D60" s="2">
        <v>77</v>
      </c>
      <c r="E60" s="2">
        <v>38822</v>
      </c>
      <c r="F60" s="2"/>
      <c r="G60" s="2"/>
      <c r="H60" s="2"/>
      <c r="I60" s="2" t="s">
        <v>71</v>
      </c>
    </row>
    <row r="61" spans="1:9" ht="17.100000000000001" customHeight="1">
      <c r="A61" s="2">
        <v>32</v>
      </c>
      <c r="B61" s="2"/>
      <c r="C61" s="3" t="s">
        <v>72</v>
      </c>
      <c r="D61" s="2">
        <v>76</v>
      </c>
      <c r="E61" s="2">
        <v>64275</v>
      </c>
      <c r="F61" s="2"/>
      <c r="G61" s="2"/>
      <c r="H61" s="2"/>
      <c r="I61" s="2" t="s">
        <v>73</v>
      </c>
    </row>
    <row r="62" spans="1:9" ht="17.100000000000001" customHeight="1">
      <c r="A62" s="2">
        <v>34</v>
      </c>
      <c r="B62" s="2"/>
      <c r="C62" s="3" t="s">
        <v>76</v>
      </c>
      <c r="D62" s="2">
        <v>68</v>
      </c>
      <c r="E62" s="2">
        <v>91495</v>
      </c>
      <c r="F62" s="2"/>
      <c r="G62" s="2"/>
      <c r="H62" s="2"/>
      <c r="I62" s="2" t="s">
        <v>77</v>
      </c>
    </row>
    <row r="63" spans="1:9" ht="17.100000000000001" customHeight="1">
      <c r="A63" s="2">
        <v>35</v>
      </c>
      <c r="B63" s="2"/>
      <c r="C63" s="3" t="s">
        <v>78</v>
      </c>
      <c r="D63" s="2">
        <v>66</v>
      </c>
      <c r="E63" s="2">
        <v>34977</v>
      </c>
      <c r="F63" s="2"/>
      <c r="G63" s="2"/>
      <c r="H63" s="2"/>
      <c r="I63" s="2" t="s">
        <v>79</v>
      </c>
    </row>
    <row r="64" spans="1:9" ht="17.100000000000001" customHeight="1">
      <c r="A64" s="2">
        <v>36</v>
      </c>
      <c r="B64" s="2"/>
      <c r="C64" s="3" t="s">
        <v>80</v>
      </c>
      <c r="D64" s="2">
        <v>65</v>
      </c>
      <c r="E64" s="2">
        <v>57968</v>
      </c>
      <c r="F64" s="2"/>
      <c r="G64" s="2"/>
      <c r="H64" s="2"/>
      <c r="I64" s="2" t="s">
        <v>81</v>
      </c>
    </row>
    <row r="65" spans="1:9" ht="17.100000000000001" customHeight="1">
      <c r="A65" s="2">
        <v>37</v>
      </c>
      <c r="B65" s="2"/>
      <c r="C65" s="3" t="s">
        <v>82</v>
      </c>
      <c r="D65" s="2">
        <v>65</v>
      </c>
      <c r="E65" s="2">
        <v>62310</v>
      </c>
      <c r="F65" s="2"/>
      <c r="G65" s="2"/>
      <c r="H65" s="2"/>
      <c r="I65" s="2" t="s">
        <v>83</v>
      </c>
    </row>
    <row r="66" spans="1:9" ht="17.100000000000001" customHeight="1">
      <c r="A66" s="2">
        <v>38</v>
      </c>
      <c r="B66" s="2"/>
      <c r="C66" s="3" t="s">
        <v>84</v>
      </c>
      <c r="D66" s="2">
        <v>62</v>
      </c>
      <c r="E66" s="2">
        <v>98261</v>
      </c>
      <c r="F66" s="2"/>
      <c r="G66" s="2"/>
      <c r="H66" s="2"/>
      <c r="I66" s="2" t="s">
        <v>85</v>
      </c>
    </row>
    <row r="67" spans="1:9" ht="17.100000000000001" customHeight="1">
      <c r="A67" s="2">
        <v>42</v>
      </c>
      <c r="B67" s="2"/>
      <c r="C67" s="3" t="s">
        <v>92</v>
      </c>
      <c r="D67" s="2">
        <v>56</v>
      </c>
      <c r="E67" s="2">
        <v>155920</v>
      </c>
      <c r="F67" s="2"/>
      <c r="G67" s="2"/>
      <c r="H67" s="2"/>
      <c r="I67" s="2" t="s">
        <v>93</v>
      </c>
    </row>
    <row r="68" spans="1:9" ht="17.100000000000001" customHeight="1">
      <c r="A68" s="2">
        <v>43</v>
      </c>
      <c r="B68" s="2"/>
      <c r="C68" s="3" t="s">
        <v>94</v>
      </c>
      <c r="D68" s="2">
        <v>55</v>
      </c>
      <c r="E68" s="2">
        <v>140515</v>
      </c>
      <c r="F68" s="2"/>
      <c r="G68" s="2"/>
      <c r="H68" s="2"/>
      <c r="I68" s="2" t="s">
        <v>95</v>
      </c>
    </row>
    <row r="69" spans="1:9" ht="17.100000000000001" customHeight="1">
      <c r="A69" s="2">
        <v>46</v>
      </c>
      <c r="B69" s="2"/>
      <c r="C69" s="3" t="s">
        <v>100</v>
      </c>
      <c r="D69" s="2">
        <v>51</v>
      </c>
      <c r="E69" s="2">
        <v>120417</v>
      </c>
      <c r="F69" s="2"/>
      <c r="G69" s="2"/>
      <c r="H69" s="2"/>
      <c r="I69" s="2" t="s">
        <v>101</v>
      </c>
    </row>
    <row r="70" spans="1:9" ht="17.100000000000001" customHeight="1">
      <c r="A70" s="2">
        <v>48</v>
      </c>
      <c r="B70" s="2"/>
      <c r="C70" s="3" t="s">
        <v>104</v>
      </c>
      <c r="D70" s="2">
        <v>50</v>
      </c>
      <c r="E70" s="2">
        <v>27857</v>
      </c>
      <c r="F70" s="2"/>
      <c r="G70" s="2"/>
      <c r="H70" s="2"/>
      <c r="I70" s="2" t="s">
        <v>105</v>
      </c>
    </row>
    <row r="71" spans="1:9" ht="17.100000000000001" customHeight="1">
      <c r="A71" s="2">
        <v>49</v>
      </c>
      <c r="B71" s="2"/>
      <c r="C71" s="3" t="s">
        <v>106</v>
      </c>
      <c r="D71" s="2">
        <v>47</v>
      </c>
      <c r="E71" s="2">
        <v>32271</v>
      </c>
      <c r="F71" s="2"/>
      <c r="G71" s="2"/>
      <c r="H71" s="2"/>
      <c r="I71" s="2" t="s">
        <v>107</v>
      </c>
    </row>
    <row r="72" spans="1:9" ht="17.100000000000001" customHeight="1">
      <c r="A72" s="2">
        <v>51</v>
      </c>
      <c r="B72" s="2"/>
      <c r="C72" s="3" t="s">
        <v>110</v>
      </c>
      <c r="D72" s="2">
        <v>46</v>
      </c>
      <c r="E72" s="2">
        <v>29672</v>
      </c>
      <c r="F72" s="2"/>
      <c r="G72" s="2"/>
      <c r="H72" s="2"/>
      <c r="I72" s="2" t="s">
        <v>111</v>
      </c>
    </row>
    <row r="73" spans="1:9" ht="17.100000000000001" customHeight="1">
      <c r="A73" s="2">
        <v>53</v>
      </c>
      <c r="B73" s="2"/>
      <c r="C73" s="3" t="s">
        <v>114</v>
      </c>
      <c r="D73" s="2">
        <v>46</v>
      </c>
      <c r="E73" s="2">
        <v>53187</v>
      </c>
      <c r="F73" s="2"/>
      <c r="G73" s="2"/>
      <c r="H73" s="2"/>
      <c r="I73" s="2" t="s">
        <v>115</v>
      </c>
    </row>
    <row r="74" spans="1:9" ht="17.100000000000001" customHeight="1">
      <c r="A74" s="2">
        <v>54</v>
      </c>
      <c r="B74" s="2"/>
      <c r="C74" s="3" t="s">
        <v>116</v>
      </c>
      <c r="D74" s="2">
        <v>43</v>
      </c>
      <c r="E74" s="2">
        <v>31401</v>
      </c>
      <c r="F74" s="2"/>
      <c r="G74" s="2"/>
      <c r="H74" s="2"/>
      <c r="I74" s="2" t="s">
        <v>117</v>
      </c>
    </row>
    <row r="75" spans="1:9" ht="17.100000000000001" customHeight="1">
      <c r="A75" s="2">
        <v>57</v>
      </c>
      <c r="B75" s="2"/>
      <c r="C75" s="3" t="s">
        <v>122</v>
      </c>
      <c r="D75" s="2">
        <v>39</v>
      </c>
      <c r="E75" s="2">
        <v>22344</v>
      </c>
      <c r="F75" s="2"/>
      <c r="G75" s="2"/>
      <c r="H75" s="2"/>
      <c r="I75" s="2" t="s">
        <v>123</v>
      </c>
    </row>
    <row r="76" spans="1:9" ht="17.100000000000001" customHeight="1">
      <c r="A76" s="2">
        <v>59</v>
      </c>
      <c r="B76" s="2"/>
      <c r="C76" s="3" t="s">
        <v>126</v>
      </c>
      <c r="D76" s="2">
        <v>38</v>
      </c>
      <c r="E76" s="2">
        <v>12005</v>
      </c>
      <c r="F76" s="2"/>
      <c r="G76" s="2"/>
      <c r="H76" s="2"/>
      <c r="I76" s="2" t="s">
        <v>127</v>
      </c>
    </row>
    <row r="77" spans="1:9" ht="17.100000000000001" customHeight="1">
      <c r="A77" s="2">
        <v>60</v>
      </c>
      <c r="B77" s="2"/>
      <c r="C77" s="3" t="s">
        <v>128</v>
      </c>
      <c r="D77" s="2">
        <v>38</v>
      </c>
      <c r="E77" s="2">
        <v>42219</v>
      </c>
      <c r="F77" s="2"/>
      <c r="G77" s="2"/>
      <c r="H77" s="2"/>
      <c r="I77" s="2" t="s">
        <v>129</v>
      </c>
    </row>
    <row r="78" spans="1:9" ht="17.100000000000001" customHeight="1">
      <c r="A78" s="2">
        <v>64</v>
      </c>
      <c r="B78" s="2"/>
      <c r="C78" s="3" t="s">
        <v>136</v>
      </c>
      <c r="D78" s="2">
        <v>35</v>
      </c>
      <c r="E78" s="2">
        <v>22936</v>
      </c>
      <c r="F78" s="2"/>
      <c r="G78" s="2"/>
      <c r="H78" s="2"/>
      <c r="I78" s="2" t="s">
        <v>137</v>
      </c>
    </row>
    <row r="79" spans="1:9" ht="17.100000000000001" customHeight="1">
      <c r="A79" s="2">
        <v>70</v>
      </c>
      <c r="B79" s="2"/>
      <c r="C79" s="3" t="s">
        <v>148</v>
      </c>
      <c r="D79" s="2">
        <v>31</v>
      </c>
      <c r="E79" s="2">
        <v>54463</v>
      </c>
      <c r="F79" s="2"/>
      <c r="G79" s="2"/>
      <c r="H79" s="2"/>
      <c r="I79" s="2" t="s">
        <v>149</v>
      </c>
    </row>
    <row r="80" spans="1:9" ht="17.100000000000001" customHeight="1">
      <c r="A80" s="2">
        <v>76</v>
      </c>
      <c r="B80" s="2"/>
      <c r="C80" s="3" t="s">
        <v>160</v>
      </c>
      <c r="D80" s="2">
        <v>25</v>
      </c>
      <c r="E80" s="2">
        <v>58655</v>
      </c>
      <c r="F80" s="2"/>
      <c r="G80" s="2"/>
      <c r="H80" s="2"/>
      <c r="I80" s="2" t="s">
        <v>161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2"/>
  <sheetViews>
    <sheetView workbookViewId="0">
      <selection activeCell="C5" sqref="C5"/>
    </sheetView>
  </sheetViews>
  <sheetFormatPr defaultRowHeight="17.100000000000001" customHeight="1"/>
  <cols>
    <col min="2" max="2" width="7.375" customWidth="1"/>
    <col min="3" max="3" width="10.625" customWidth="1"/>
    <col min="9" max="9" width="86.625" customWidth="1"/>
  </cols>
  <sheetData>
    <row r="1" spans="1:9" ht="17.100000000000001" customHeight="1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ht="17.100000000000001" customHeight="1">
      <c r="A2" s="2">
        <v>68</v>
      </c>
      <c r="B2" s="2"/>
      <c r="C2" s="3" t="s">
        <v>193</v>
      </c>
      <c r="D2" s="2">
        <v>35</v>
      </c>
      <c r="E2" s="2">
        <v>28027</v>
      </c>
      <c r="F2" s="2">
        <v>27.24</v>
      </c>
      <c r="G2" s="2">
        <v>1.7609999999999999</v>
      </c>
      <c r="H2" s="2">
        <v>2</v>
      </c>
      <c r="I2" s="2" t="s">
        <v>194</v>
      </c>
    </row>
    <row r="3" spans="1:9" ht="17.100000000000001" customHeight="1">
      <c r="A3" s="2">
        <v>66</v>
      </c>
      <c r="B3" s="2"/>
      <c r="C3" s="3" t="s">
        <v>189</v>
      </c>
      <c r="D3" s="2">
        <v>37</v>
      </c>
      <c r="E3" s="2">
        <v>47310</v>
      </c>
      <c r="F3" s="2">
        <v>14.67</v>
      </c>
      <c r="G3" s="2">
        <v>1.831</v>
      </c>
      <c r="H3" s="2">
        <v>2</v>
      </c>
      <c r="I3" s="2" t="s">
        <v>190</v>
      </c>
    </row>
    <row r="4" spans="1:9" ht="17.100000000000001" customHeight="1">
      <c r="A4" s="2">
        <v>22</v>
      </c>
      <c r="B4" s="2"/>
      <c r="C4" s="3" t="s">
        <v>68</v>
      </c>
      <c r="D4" s="2">
        <v>108</v>
      </c>
      <c r="E4" s="2">
        <v>123859</v>
      </c>
      <c r="F4" s="2">
        <v>13.89</v>
      </c>
      <c r="G4" s="2">
        <v>1.546</v>
      </c>
      <c r="H4" s="2">
        <v>2</v>
      </c>
      <c r="I4" s="2" t="s">
        <v>69</v>
      </c>
    </row>
    <row r="5" spans="1:9" ht="17.100000000000001" customHeight="1">
      <c r="A5" s="2">
        <v>64</v>
      </c>
      <c r="B5" s="2"/>
      <c r="C5" s="3" t="s">
        <v>287</v>
      </c>
      <c r="D5" s="2">
        <v>39</v>
      </c>
      <c r="E5" s="2">
        <v>27499</v>
      </c>
      <c r="F5" s="2">
        <v>11.99</v>
      </c>
      <c r="G5" s="2">
        <v>1.694</v>
      </c>
      <c r="H5" s="2">
        <v>2</v>
      </c>
      <c r="I5" s="2" t="s">
        <v>188</v>
      </c>
    </row>
    <row r="6" spans="1:9" ht="17.100000000000001" customHeight="1">
      <c r="A6" s="2">
        <v>72</v>
      </c>
      <c r="B6" s="2"/>
      <c r="C6" s="3" t="s">
        <v>132</v>
      </c>
      <c r="D6" s="2">
        <v>34</v>
      </c>
      <c r="E6" s="2">
        <v>19321</v>
      </c>
      <c r="F6" s="2">
        <v>11.29</v>
      </c>
      <c r="G6" s="2">
        <v>4.8440000000000003</v>
      </c>
      <c r="H6" s="2">
        <v>2</v>
      </c>
      <c r="I6" s="2" t="s">
        <v>133</v>
      </c>
    </row>
    <row r="7" spans="1:9" ht="17.100000000000001" customHeight="1">
      <c r="A7" s="2">
        <v>76</v>
      </c>
      <c r="B7" s="2"/>
      <c r="C7" s="3" t="s">
        <v>112</v>
      </c>
      <c r="D7" s="2">
        <v>31</v>
      </c>
      <c r="E7" s="2">
        <v>15484</v>
      </c>
      <c r="F7" s="2">
        <v>9.2070000000000007</v>
      </c>
      <c r="G7" s="2">
        <v>1.381</v>
      </c>
      <c r="H7" s="2">
        <v>2</v>
      </c>
      <c r="I7" s="2" t="s">
        <v>113</v>
      </c>
    </row>
    <row r="8" spans="1:9" ht="17.100000000000001" customHeight="1">
      <c r="A8" s="2">
        <v>51</v>
      </c>
      <c r="B8" s="2"/>
      <c r="C8" s="3" t="s">
        <v>98</v>
      </c>
      <c r="D8" s="2">
        <v>63</v>
      </c>
      <c r="E8" s="2">
        <v>69797</v>
      </c>
      <c r="F8" s="4">
        <v>8.6910000000000007</v>
      </c>
      <c r="G8" s="4">
        <v>2.1240000000000001</v>
      </c>
      <c r="H8" s="4">
        <v>4</v>
      </c>
      <c r="I8" s="2" t="s">
        <v>99</v>
      </c>
    </row>
    <row r="9" spans="1:9" ht="17.100000000000001" customHeight="1">
      <c r="A9" s="2">
        <v>78</v>
      </c>
      <c r="B9" s="2"/>
      <c r="C9" s="3" t="s">
        <v>199</v>
      </c>
      <c r="D9" s="2">
        <v>30</v>
      </c>
      <c r="E9" s="2">
        <v>20086</v>
      </c>
      <c r="F9" s="2">
        <v>8.5879999999999992</v>
      </c>
      <c r="G9" s="2">
        <v>7.3540000000000001</v>
      </c>
      <c r="H9" s="2">
        <v>2</v>
      </c>
      <c r="I9" s="2" t="s">
        <v>200</v>
      </c>
    </row>
    <row r="10" spans="1:9" ht="17.100000000000001" customHeight="1">
      <c r="A10" s="2">
        <v>14</v>
      </c>
      <c r="B10" s="2"/>
      <c r="C10" s="3" t="s">
        <v>47</v>
      </c>
      <c r="D10" s="2">
        <v>149</v>
      </c>
      <c r="E10" s="2">
        <v>59457</v>
      </c>
      <c r="F10" s="4">
        <v>8.5030000000000001</v>
      </c>
      <c r="G10" s="4">
        <v>2.37</v>
      </c>
      <c r="H10" s="4">
        <v>6</v>
      </c>
      <c r="I10" s="2" t="s">
        <v>48</v>
      </c>
    </row>
    <row r="11" spans="1:9" ht="17.100000000000001" customHeight="1">
      <c r="A11" s="2">
        <v>87</v>
      </c>
      <c r="B11" s="2"/>
      <c r="C11" s="3" t="s">
        <v>108</v>
      </c>
      <c r="D11" s="2">
        <v>26</v>
      </c>
      <c r="E11" s="2">
        <v>51435</v>
      </c>
      <c r="F11" s="4">
        <v>7.694</v>
      </c>
      <c r="G11" s="4">
        <v>1.208</v>
      </c>
      <c r="H11" s="4">
        <v>2</v>
      </c>
      <c r="I11" s="2" t="s">
        <v>109</v>
      </c>
    </row>
    <row r="12" spans="1:9" ht="17.100000000000001" customHeight="1">
      <c r="A12" s="2">
        <v>63</v>
      </c>
      <c r="B12" s="2"/>
      <c r="C12" s="3" t="s">
        <v>140</v>
      </c>
      <c r="D12" s="2">
        <v>39</v>
      </c>
      <c r="E12" s="2">
        <v>46230</v>
      </c>
      <c r="F12" s="4">
        <v>6.9370000000000003</v>
      </c>
      <c r="G12" s="4">
        <v>1.1140000000000001</v>
      </c>
      <c r="H12" s="4">
        <v>2</v>
      </c>
      <c r="I12" s="2" t="s">
        <v>141</v>
      </c>
    </row>
    <row r="13" spans="1:9" ht="17.100000000000001" customHeight="1">
      <c r="A13" s="2">
        <v>45</v>
      </c>
      <c r="B13" s="2"/>
      <c r="C13" s="3" t="s">
        <v>41</v>
      </c>
      <c r="D13" s="2">
        <v>68</v>
      </c>
      <c r="E13" s="2">
        <v>43818</v>
      </c>
      <c r="F13" s="2">
        <v>6.8739999999999997</v>
      </c>
      <c r="G13" s="2">
        <v>3.0190000000000001</v>
      </c>
      <c r="H13" s="2">
        <v>2</v>
      </c>
      <c r="I13" s="2" t="s">
        <v>42</v>
      </c>
    </row>
    <row r="14" spans="1:9" ht="17.100000000000001" customHeight="1">
      <c r="A14" s="2">
        <v>32</v>
      </c>
      <c r="B14" s="2"/>
      <c r="C14" s="3" t="s">
        <v>174</v>
      </c>
      <c r="D14" s="2">
        <v>83</v>
      </c>
      <c r="E14" s="2">
        <v>278416</v>
      </c>
      <c r="F14" s="2">
        <v>6.16</v>
      </c>
      <c r="G14" s="2">
        <v>1.8109999999999999</v>
      </c>
      <c r="H14" s="2">
        <v>2</v>
      </c>
      <c r="I14" s="2" t="s">
        <v>175</v>
      </c>
    </row>
    <row r="15" spans="1:9" ht="17.100000000000001" customHeight="1">
      <c r="A15" s="2">
        <v>21</v>
      </c>
      <c r="B15" s="2"/>
      <c r="C15" s="3" t="s">
        <v>49</v>
      </c>
      <c r="D15" s="2">
        <v>116</v>
      </c>
      <c r="E15" s="2">
        <v>36926</v>
      </c>
      <c r="F15" s="4">
        <v>5.9160000000000004</v>
      </c>
      <c r="G15" s="4">
        <v>2.665</v>
      </c>
      <c r="H15" s="4">
        <v>4</v>
      </c>
      <c r="I15" s="2" t="s">
        <v>50</v>
      </c>
    </row>
    <row r="16" spans="1:9" ht="17.100000000000001" customHeight="1">
      <c r="A16" s="2">
        <v>57</v>
      </c>
      <c r="B16" s="2"/>
      <c r="C16" s="3" t="s">
        <v>184</v>
      </c>
      <c r="D16" s="2">
        <v>50</v>
      </c>
      <c r="E16" s="2">
        <v>26501</v>
      </c>
      <c r="F16" s="4">
        <v>5.8140000000000001</v>
      </c>
      <c r="G16" s="4">
        <v>1.02</v>
      </c>
      <c r="H16" s="4">
        <v>2</v>
      </c>
      <c r="I16" s="2" t="s">
        <v>185</v>
      </c>
    </row>
    <row r="17" spans="1:9" ht="17.100000000000001" customHeight="1">
      <c r="A17" s="2">
        <v>23</v>
      </c>
      <c r="B17" s="2"/>
      <c r="C17" s="3" t="s">
        <v>65</v>
      </c>
      <c r="D17" s="2">
        <v>108</v>
      </c>
      <c r="E17" s="2">
        <v>36929</v>
      </c>
      <c r="F17" s="4">
        <v>5.8079999999999998</v>
      </c>
      <c r="G17" s="4">
        <v>1.655</v>
      </c>
      <c r="H17" s="4">
        <v>5</v>
      </c>
      <c r="I17" s="2" t="s">
        <v>66</v>
      </c>
    </row>
    <row r="18" spans="1:9" ht="17.100000000000001" customHeight="1">
      <c r="A18" s="2">
        <v>71</v>
      </c>
      <c r="B18" s="2"/>
      <c r="C18" s="3" t="s">
        <v>96</v>
      </c>
      <c r="D18" s="2">
        <v>34</v>
      </c>
      <c r="E18" s="2">
        <v>62822</v>
      </c>
      <c r="F18" s="2">
        <v>5.444</v>
      </c>
      <c r="G18" s="2">
        <v>1.85</v>
      </c>
      <c r="H18" s="2">
        <v>2</v>
      </c>
      <c r="I18" s="2" t="s">
        <v>97</v>
      </c>
    </row>
    <row r="19" spans="1:9" ht="17.100000000000001" customHeight="1">
      <c r="A19" s="2">
        <v>12</v>
      </c>
      <c r="B19" s="2"/>
      <c r="C19" s="3" t="s">
        <v>43</v>
      </c>
      <c r="D19" s="2">
        <v>174</v>
      </c>
      <c r="E19" s="2">
        <v>119527</v>
      </c>
      <c r="F19" s="4">
        <v>4.9829999999999997</v>
      </c>
      <c r="G19" s="4">
        <v>1.633</v>
      </c>
      <c r="H19" s="4">
        <v>4</v>
      </c>
      <c r="I19" s="2" t="s">
        <v>44</v>
      </c>
    </row>
    <row r="20" spans="1:9" ht="17.100000000000001" customHeight="1">
      <c r="A20" s="2">
        <v>48</v>
      </c>
      <c r="B20" s="2"/>
      <c r="C20" s="3" t="s">
        <v>86</v>
      </c>
      <c r="D20" s="2">
        <v>65</v>
      </c>
      <c r="E20" s="2">
        <v>48528</v>
      </c>
      <c r="F20" s="2">
        <v>4.88</v>
      </c>
      <c r="G20" s="2">
        <v>1.2030000000000001</v>
      </c>
      <c r="H20" s="2">
        <v>2</v>
      </c>
      <c r="I20" s="2" t="s">
        <v>87</v>
      </c>
    </row>
    <row r="21" spans="1:9" ht="17.100000000000001" customHeight="1">
      <c r="A21" s="2">
        <v>10</v>
      </c>
      <c r="B21" s="2"/>
      <c r="C21" s="3" t="s">
        <v>21</v>
      </c>
      <c r="D21" s="2">
        <v>254</v>
      </c>
      <c r="E21" s="2">
        <v>42667</v>
      </c>
      <c r="F21" s="4">
        <v>4.8789999999999996</v>
      </c>
      <c r="G21" s="4">
        <v>1.4339999999999999</v>
      </c>
      <c r="H21" s="4">
        <v>9</v>
      </c>
      <c r="I21" s="2" t="s">
        <v>22</v>
      </c>
    </row>
    <row r="22" spans="1:9" ht="17.100000000000001" customHeight="1">
      <c r="A22" s="2">
        <v>18</v>
      </c>
      <c r="B22" s="2"/>
      <c r="C22" s="3" t="s">
        <v>214</v>
      </c>
      <c r="D22" s="2">
        <v>131</v>
      </c>
      <c r="E22" s="2">
        <v>50584</v>
      </c>
      <c r="F22" s="4">
        <v>4.25</v>
      </c>
      <c r="G22" s="4">
        <v>1.353</v>
      </c>
      <c r="H22" s="4">
        <v>3</v>
      </c>
      <c r="I22" s="2" t="s">
        <v>36</v>
      </c>
    </row>
    <row r="23" spans="1:9" ht="17.100000000000001" customHeight="1">
      <c r="A23" s="2">
        <v>1</v>
      </c>
      <c r="B23" s="2">
        <v>2</v>
      </c>
      <c r="C23" s="3" t="s">
        <v>166</v>
      </c>
      <c r="D23" s="2">
        <v>200</v>
      </c>
      <c r="E23" s="2">
        <v>51409</v>
      </c>
      <c r="F23" s="4">
        <v>4.2439999999999998</v>
      </c>
      <c r="G23" s="4">
        <v>1.9990000000000001</v>
      </c>
      <c r="H23" s="4">
        <v>7</v>
      </c>
      <c r="I23" s="2" t="s">
        <v>167</v>
      </c>
    </row>
    <row r="24" spans="1:9" ht="17.100000000000001" customHeight="1">
      <c r="A24" s="2">
        <v>13</v>
      </c>
      <c r="B24" s="2"/>
      <c r="C24" s="3" t="s">
        <v>27</v>
      </c>
      <c r="D24" s="2">
        <v>167</v>
      </c>
      <c r="E24" s="2">
        <v>51937</v>
      </c>
      <c r="F24" s="4">
        <v>4.1120000000000001</v>
      </c>
      <c r="G24" s="4">
        <v>1.37</v>
      </c>
      <c r="H24" s="4">
        <v>10</v>
      </c>
      <c r="I24" s="2" t="s">
        <v>28</v>
      </c>
    </row>
    <row r="25" spans="1:9" ht="17.100000000000001" customHeight="1">
      <c r="A25" s="2">
        <v>16</v>
      </c>
      <c r="B25" s="2"/>
      <c r="C25" s="3" t="s">
        <v>55</v>
      </c>
      <c r="D25" s="2">
        <v>133</v>
      </c>
      <c r="E25" s="2">
        <v>52213</v>
      </c>
      <c r="F25" s="2">
        <v>4.0919999999999996</v>
      </c>
      <c r="G25" s="2">
        <v>4.5359999999999996</v>
      </c>
      <c r="H25" s="2">
        <v>3</v>
      </c>
      <c r="I25" s="2" t="s">
        <v>56</v>
      </c>
    </row>
    <row r="26" spans="1:9" ht="17.100000000000001" customHeight="1">
      <c r="A26" s="2">
        <v>26</v>
      </c>
      <c r="B26" s="2"/>
      <c r="C26" s="3" t="s">
        <v>45</v>
      </c>
      <c r="D26" s="2">
        <v>105</v>
      </c>
      <c r="E26" s="2">
        <v>15410</v>
      </c>
      <c r="F26" s="2">
        <v>4.0060000000000002</v>
      </c>
      <c r="G26" s="2">
        <v>1.46</v>
      </c>
      <c r="H26" s="2">
        <v>2</v>
      </c>
      <c r="I26" s="2" t="s">
        <v>46</v>
      </c>
    </row>
    <row r="27" spans="1:9" ht="17.100000000000001" customHeight="1">
      <c r="A27" s="2">
        <v>79</v>
      </c>
      <c r="B27" s="2"/>
      <c r="C27" s="3" t="s">
        <v>128</v>
      </c>
      <c r="D27" s="2">
        <v>30</v>
      </c>
      <c r="E27" s="2">
        <v>42219</v>
      </c>
      <c r="F27" s="2">
        <v>3.9670000000000001</v>
      </c>
      <c r="G27" s="2">
        <v>1.7450000000000001</v>
      </c>
      <c r="H27" s="2">
        <v>2</v>
      </c>
      <c r="I27" s="2" t="s">
        <v>129</v>
      </c>
    </row>
    <row r="28" spans="1:9" ht="17.100000000000001" customHeight="1">
      <c r="A28" s="2">
        <v>40</v>
      </c>
      <c r="B28" s="2"/>
      <c r="C28" s="3" t="s">
        <v>102</v>
      </c>
      <c r="D28" s="2">
        <v>73</v>
      </c>
      <c r="E28" s="2">
        <v>73511</v>
      </c>
      <c r="F28" s="2">
        <v>3.661</v>
      </c>
      <c r="G28" s="2">
        <v>5.7350000000000003</v>
      </c>
      <c r="H28" s="2">
        <v>2</v>
      </c>
      <c r="I28" s="2" t="s">
        <v>103</v>
      </c>
    </row>
    <row r="29" spans="1:9" ht="17.100000000000001" customHeight="1">
      <c r="A29" s="2">
        <v>8</v>
      </c>
      <c r="B29" s="2"/>
      <c r="C29" s="3" t="s">
        <v>19</v>
      </c>
      <c r="D29" s="2">
        <v>265</v>
      </c>
      <c r="E29" s="2">
        <v>49607</v>
      </c>
      <c r="F29" s="4">
        <v>3.6549999999999998</v>
      </c>
      <c r="G29" s="4">
        <v>1.222</v>
      </c>
      <c r="H29" s="4">
        <v>5</v>
      </c>
      <c r="I29" s="2" t="s">
        <v>20</v>
      </c>
    </row>
    <row r="30" spans="1:9" ht="17.100000000000001" customHeight="1">
      <c r="A30" s="2">
        <v>3</v>
      </c>
      <c r="B30" s="2"/>
      <c r="C30" s="3" t="s">
        <v>9</v>
      </c>
      <c r="D30" s="2">
        <v>555</v>
      </c>
      <c r="E30" s="2">
        <v>47726</v>
      </c>
      <c r="F30" s="4">
        <v>3.649</v>
      </c>
      <c r="G30" s="4">
        <v>1.2709999999999999</v>
      </c>
      <c r="H30" s="4">
        <v>10</v>
      </c>
      <c r="I30" s="2" t="s">
        <v>10</v>
      </c>
    </row>
    <row r="31" spans="1:9" ht="17.100000000000001" customHeight="1">
      <c r="A31" s="2">
        <v>5</v>
      </c>
      <c r="B31" s="2"/>
      <c r="C31" s="3" t="s">
        <v>15</v>
      </c>
      <c r="D31" s="2">
        <v>444</v>
      </c>
      <c r="E31" s="2">
        <v>40147</v>
      </c>
      <c r="F31" s="2">
        <v>3.5880000000000001</v>
      </c>
      <c r="G31" s="2">
        <v>1.5960000000000001</v>
      </c>
      <c r="H31" s="2">
        <v>8</v>
      </c>
      <c r="I31" s="2" t="s">
        <v>16</v>
      </c>
    </row>
    <row r="32" spans="1:9" ht="17.100000000000001" customHeight="1">
      <c r="A32" s="2">
        <v>39</v>
      </c>
      <c r="B32" s="2"/>
      <c r="C32" s="3" t="s">
        <v>25</v>
      </c>
      <c r="D32" s="2">
        <v>74</v>
      </c>
      <c r="E32" s="2">
        <v>95376</v>
      </c>
      <c r="F32" s="4">
        <v>3.5750000000000002</v>
      </c>
      <c r="G32" s="4">
        <v>1.129</v>
      </c>
      <c r="H32" s="4">
        <v>3</v>
      </c>
      <c r="I32" s="2" t="s">
        <v>26</v>
      </c>
    </row>
    <row r="33" spans="1:9" ht="17.100000000000001" customHeight="1">
      <c r="A33" s="2">
        <v>53</v>
      </c>
      <c r="B33" s="2"/>
      <c r="C33" s="3" t="s">
        <v>39</v>
      </c>
      <c r="D33" s="2">
        <v>62</v>
      </c>
      <c r="E33" s="2">
        <v>72790</v>
      </c>
      <c r="F33" s="2">
        <v>3.4950000000000001</v>
      </c>
      <c r="G33" s="2">
        <v>1.4279999999999999</v>
      </c>
      <c r="H33" s="2">
        <v>2</v>
      </c>
      <c r="I33" s="2" t="s">
        <v>40</v>
      </c>
    </row>
    <row r="34" spans="1:9" ht="17.100000000000001" customHeight="1">
      <c r="A34" s="2">
        <v>1</v>
      </c>
      <c r="B34" s="2">
        <v>1</v>
      </c>
      <c r="C34" s="3" t="s">
        <v>11</v>
      </c>
      <c r="D34" s="2">
        <v>668</v>
      </c>
      <c r="E34" s="2">
        <v>51425</v>
      </c>
      <c r="F34" s="4">
        <v>3.49</v>
      </c>
      <c r="G34" s="4">
        <v>2.2090000000000001</v>
      </c>
      <c r="H34" s="4">
        <v>10</v>
      </c>
      <c r="I34" s="2" t="s">
        <v>12</v>
      </c>
    </row>
    <row r="35" spans="1:9" ht="17.100000000000001" customHeight="1">
      <c r="A35" s="2">
        <v>6</v>
      </c>
      <c r="B35" s="2"/>
      <c r="C35" s="3" t="s">
        <v>53</v>
      </c>
      <c r="D35" s="2">
        <v>306</v>
      </c>
      <c r="E35" s="2">
        <v>37615</v>
      </c>
      <c r="F35" s="4">
        <v>3.3410000000000002</v>
      </c>
      <c r="G35" s="4">
        <v>1.5589999999999999</v>
      </c>
      <c r="H35" s="4">
        <v>3</v>
      </c>
      <c r="I35" s="2" t="s">
        <v>54</v>
      </c>
    </row>
    <row r="36" spans="1:9" ht="17.100000000000001" customHeight="1">
      <c r="A36" s="2">
        <v>35</v>
      </c>
      <c r="B36" s="2"/>
      <c r="C36" s="3" t="s">
        <v>92</v>
      </c>
      <c r="D36" s="2">
        <v>80</v>
      </c>
      <c r="E36" s="2">
        <v>156331</v>
      </c>
      <c r="F36" s="2">
        <v>2.988</v>
      </c>
      <c r="G36" s="2">
        <v>1.347</v>
      </c>
      <c r="H36" s="2">
        <v>2</v>
      </c>
      <c r="I36" s="2" t="s">
        <v>93</v>
      </c>
    </row>
    <row r="37" spans="1:9" ht="17.100000000000001" customHeight="1">
      <c r="A37" s="2">
        <v>27</v>
      </c>
      <c r="B37" s="2"/>
      <c r="C37" s="3" t="s">
        <v>168</v>
      </c>
      <c r="D37" s="2">
        <v>102</v>
      </c>
      <c r="E37" s="2">
        <v>12739</v>
      </c>
      <c r="F37" s="2">
        <v>2.9790000000000001</v>
      </c>
      <c r="G37" s="2">
        <v>1.254</v>
      </c>
      <c r="H37" s="2">
        <v>2</v>
      </c>
      <c r="I37" s="2" t="s">
        <v>169</v>
      </c>
    </row>
    <row r="38" spans="1:9" ht="17.100000000000001" customHeight="1">
      <c r="A38" s="2">
        <v>24</v>
      </c>
      <c r="B38" s="2"/>
      <c r="C38" s="3" t="s">
        <v>57</v>
      </c>
      <c r="D38" s="2">
        <v>107</v>
      </c>
      <c r="E38" s="2">
        <v>85981</v>
      </c>
      <c r="F38" s="4">
        <v>2.8780000000000001</v>
      </c>
      <c r="G38" s="4">
        <v>1.466</v>
      </c>
      <c r="H38" s="4">
        <v>3</v>
      </c>
      <c r="I38" s="2" t="s">
        <v>58</v>
      </c>
    </row>
    <row r="39" spans="1:9" ht="17.100000000000001" customHeight="1">
      <c r="A39" s="2">
        <v>37</v>
      </c>
      <c r="B39" s="2"/>
      <c r="C39" s="3" t="s">
        <v>37</v>
      </c>
      <c r="D39" s="2">
        <v>76</v>
      </c>
      <c r="E39" s="2">
        <v>74432</v>
      </c>
      <c r="F39" s="4">
        <v>2.8690000000000002</v>
      </c>
      <c r="G39" s="4">
        <v>1.2030000000000001</v>
      </c>
      <c r="H39" s="4">
        <v>4</v>
      </c>
      <c r="I39" s="2" t="s">
        <v>38</v>
      </c>
    </row>
    <row r="40" spans="1:9" ht="17.100000000000001" customHeight="1">
      <c r="A40" s="2">
        <v>4</v>
      </c>
      <c r="B40" s="2"/>
      <c r="C40" s="3" t="s">
        <v>17</v>
      </c>
      <c r="D40" s="2">
        <v>503</v>
      </c>
      <c r="E40" s="2">
        <v>48600</v>
      </c>
      <c r="F40" s="2">
        <v>2.863</v>
      </c>
      <c r="G40" s="2">
        <v>2.4180000000000001</v>
      </c>
      <c r="H40" s="2">
        <v>17</v>
      </c>
      <c r="I40" s="2" t="s">
        <v>18</v>
      </c>
    </row>
    <row r="41" spans="1:9" ht="17.100000000000001" customHeight="1">
      <c r="A41" s="2">
        <v>67</v>
      </c>
      <c r="B41" s="2"/>
      <c r="C41" s="3" t="s">
        <v>191</v>
      </c>
      <c r="D41" s="2">
        <v>37</v>
      </c>
      <c r="E41" s="2">
        <v>17064</v>
      </c>
      <c r="F41" s="2">
        <v>2.7360000000000002</v>
      </c>
      <c r="G41" s="2">
        <v>1.163</v>
      </c>
      <c r="H41" s="2">
        <v>2</v>
      </c>
      <c r="I41" s="2" t="s">
        <v>192</v>
      </c>
    </row>
    <row r="42" spans="1:9" ht="17.100000000000001" customHeight="1">
      <c r="A42" s="2">
        <v>58</v>
      </c>
      <c r="B42" s="2"/>
      <c r="C42" s="3" t="s">
        <v>186</v>
      </c>
      <c r="D42" s="2">
        <v>48</v>
      </c>
      <c r="E42" s="2">
        <v>49706</v>
      </c>
      <c r="F42" s="2">
        <v>2.6240000000000001</v>
      </c>
      <c r="G42" s="2">
        <v>2.3119999999999998</v>
      </c>
      <c r="H42" s="2">
        <v>2</v>
      </c>
      <c r="I42" s="2" t="s">
        <v>187</v>
      </c>
    </row>
    <row r="43" spans="1:9" ht="17.100000000000001" customHeight="1">
      <c r="A43" s="2">
        <v>86</v>
      </c>
      <c r="B43" s="2"/>
      <c r="C43" s="3" t="s">
        <v>164</v>
      </c>
      <c r="D43" s="2">
        <v>26</v>
      </c>
      <c r="E43" s="2">
        <v>95040</v>
      </c>
      <c r="F43" s="2">
        <v>2.569</v>
      </c>
      <c r="G43" s="2">
        <v>1.613</v>
      </c>
      <c r="H43" s="2">
        <v>2</v>
      </c>
      <c r="I43" s="2" t="s">
        <v>165</v>
      </c>
    </row>
    <row r="44" spans="1:9" ht="17.100000000000001" customHeight="1">
      <c r="A44" s="2">
        <v>69</v>
      </c>
      <c r="B44" s="2"/>
      <c r="C44" s="3" t="s">
        <v>138</v>
      </c>
      <c r="D44" s="2">
        <v>35</v>
      </c>
      <c r="E44" s="2">
        <v>37406</v>
      </c>
      <c r="F44" s="2">
        <v>2.5329999999999999</v>
      </c>
      <c r="G44" s="2">
        <v>1.2490000000000001</v>
      </c>
      <c r="H44" s="2">
        <v>2</v>
      </c>
      <c r="I44" s="2" t="s">
        <v>139</v>
      </c>
    </row>
    <row r="45" spans="1:9" ht="17.100000000000001" customHeight="1">
      <c r="A45" s="2">
        <v>41</v>
      </c>
      <c r="B45" s="2"/>
      <c r="C45" s="3" t="s">
        <v>176</v>
      </c>
      <c r="D45" s="2">
        <v>72</v>
      </c>
      <c r="E45" s="2">
        <v>113921</v>
      </c>
      <c r="F45" s="2">
        <v>2.4609999999999999</v>
      </c>
      <c r="G45" s="2">
        <v>1.986</v>
      </c>
      <c r="H45" s="2">
        <v>3</v>
      </c>
      <c r="I45" s="2" t="s">
        <v>177</v>
      </c>
    </row>
    <row r="46" spans="1:9" ht="17.100000000000001" customHeight="1">
      <c r="A46" s="2">
        <v>60</v>
      </c>
      <c r="B46" s="2"/>
      <c r="C46" s="3" t="s">
        <v>124</v>
      </c>
      <c r="D46" s="2">
        <v>42</v>
      </c>
      <c r="E46" s="2">
        <v>99742</v>
      </c>
      <c r="F46" s="2">
        <v>2.3029999999999999</v>
      </c>
      <c r="G46" s="2">
        <v>5.1219999999999999</v>
      </c>
      <c r="H46" s="2">
        <v>2</v>
      </c>
      <c r="I46" s="2" t="s">
        <v>125</v>
      </c>
    </row>
    <row r="47" spans="1:9" ht="17.100000000000001" customHeight="1">
      <c r="A47" s="2">
        <v>42</v>
      </c>
      <c r="B47" s="2"/>
      <c r="C47" s="3" t="s">
        <v>84</v>
      </c>
      <c r="D47" s="2">
        <v>72</v>
      </c>
      <c r="E47" s="2">
        <v>98261</v>
      </c>
      <c r="F47" s="2">
        <v>2.2679999999999998</v>
      </c>
      <c r="G47" s="2">
        <v>3.4950000000000001</v>
      </c>
      <c r="H47" s="2">
        <v>2</v>
      </c>
      <c r="I47" s="2" t="s">
        <v>85</v>
      </c>
    </row>
    <row r="48" spans="1:9" ht="17.100000000000001" customHeight="1">
      <c r="A48" s="2">
        <v>89</v>
      </c>
      <c r="B48" s="2"/>
      <c r="C48" s="3" t="s">
        <v>209</v>
      </c>
      <c r="D48" s="2">
        <v>25</v>
      </c>
      <c r="E48" s="2">
        <v>46208</v>
      </c>
      <c r="F48" s="2">
        <v>2.2170000000000001</v>
      </c>
      <c r="G48" s="2">
        <v>2.427</v>
      </c>
      <c r="H48" s="2">
        <v>2</v>
      </c>
      <c r="I48" s="2" t="s">
        <v>210</v>
      </c>
    </row>
    <row r="49" spans="1:9" ht="17.100000000000001" customHeight="1">
      <c r="A49" s="2">
        <v>75</v>
      </c>
      <c r="B49" s="2"/>
      <c r="C49" s="3" t="s">
        <v>148</v>
      </c>
      <c r="D49" s="2">
        <v>31</v>
      </c>
      <c r="E49" s="2">
        <v>54463</v>
      </c>
      <c r="F49" s="2">
        <v>2.1920000000000002</v>
      </c>
      <c r="G49" s="2">
        <v>1.6040000000000001</v>
      </c>
      <c r="H49" s="2">
        <v>2</v>
      </c>
      <c r="I49" s="2" t="s">
        <v>149</v>
      </c>
    </row>
    <row r="50" spans="1:9" ht="17.100000000000001" customHeight="1">
      <c r="A50" s="2">
        <v>28</v>
      </c>
      <c r="B50" s="2"/>
      <c r="C50" s="3" t="s">
        <v>170</v>
      </c>
      <c r="D50" s="2">
        <v>97</v>
      </c>
      <c r="E50" s="2">
        <v>105175</v>
      </c>
      <c r="F50" s="2">
        <v>2.1779999999999999</v>
      </c>
      <c r="G50" s="2">
        <v>4.1630000000000003</v>
      </c>
      <c r="H50" s="2">
        <v>4</v>
      </c>
      <c r="I50" s="2" t="s">
        <v>171</v>
      </c>
    </row>
    <row r="51" spans="1:9" ht="17.100000000000001" customHeight="1">
      <c r="A51" s="2">
        <v>62</v>
      </c>
      <c r="B51" s="2"/>
      <c r="C51" s="3" t="s">
        <v>106</v>
      </c>
      <c r="D51" s="2">
        <v>40</v>
      </c>
      <c r="E51" s="2">
        <v>32271</v>
      </c>
      <c r="F51" s="2">
        <v>2.129</v>
      </c>
      <c r="G51" s="2">
        <v>3.3260000000000001</v>
      </c>
      <c r="H51" s="2">
        <v>2</v>
      </c>
      <c r="I51" s="2" t="s">
        <v>107</v>
      </c>
    </row>
    <row r="52" spans="1:9" ht="17.100000000000001" customHeight="1">
      <c r="A52" s="2">
        <v>25</v>
      </c>
      <c r="B52" s="2"/>
      <c r="C52" s="3" t="s">
        <v>31</v>
      </c>
      <c r="D52" s="2">
        <v>105</v>
      </c>
      <c r="E52" s="2">
        <v>60474</v>
      </c>
      <c r="F52" s="2">
        <v>1.887</v>
      </c>
      <c r="G52" s="2">
        <v>5.3570000000000002</v>
      </c>
      <c r="H52" s="2">
        <v>6</v>
      </c>
      <c r="I52" s="2" t="s">
        <v>32</v>
      </c>
    </row>
    <row r="53" spans="1:9" ht="17.100000000000001" customHeight="1">
      <c r="A53" s="2">
        <v>9</v>
      </c>
      <c r="B53" s="2"/>
      <c r="C53" s="3" t="s">
        <v>33</v>
      </c>
      <c r="D53" s="2">
        <v>257</v>
      </c>
      <c r="E53" s="2">
        <v>60826</v>
      </c>
      <c r="F53" s="2">
        <v>1.853</v>
      </c>
      <c r="G53" s="2">
        <v>5.391</v>
      </c>
      <c r="H53" s="2">
        <v>10</v>
      </c>
      <c r="I53" s="2" t="s">
        <v>34</v>
      </c>
    </row>
    <row r="54" spans="1:9" ht="17.100000000000001" customHeight="1">
      <c r="A54" s="2">
        <v>47</v>
      </c>
      <c r="B54" s="2"/>
      <c r="C54" s="3" t="s">
        <v>180</v>
      </c>
      <c r="D54" s="2">
        <v>65</v>
      </c>
      <c r="E54" s="2">
        <v>11803</v>
      </c>
      <c r="F54" s="4">
        <v>1.8180000000000001</v>
      </c>
      <c r="G54" s="4">
        <v>1.0469999999999999</v>
      </c>
      <c r="H54" s="4">
        <v>2</v>
      </c>
      <c r="I54" s="2" t="s">
        <v>181</v>
      </c>
    </row>
    <row r="55" spans="1:9" ht="17.100000000000001" customHeight="1">
      <c r="A55" s="2">
        <v>44</v>
      </c>
      <c r="B55" s="2"/>
      <c r="C55" s="3" t="s">
        <v>178</v>
      </c>
      <c r="D55" s="2">
        <v>70</v>
      </c>
      <c r="E55" s="2">
        <v>23519</v>
      </c>
      <c r="F55" s="2">
        <v>1.782</v>
      </c>
      <c r="G55" s="2">
        <v>6.3929999999999998</v>
      </c>
      <c r="H55" s="2">
        <v>2</v>
      </c>
      <c r="I55" s="2" t="s">
        <v>179</v>
      </c>
    </row>
    <row r="56" spans="1:9" ht="17.100000000000001" customHeight="1">
      <c r="A56" s="2">
        <v>2</v>
      </c>
      <c r="B56" s="2"/>
      <c r="C56" s="3" t="s">
        <v>13</v>
      </c>
      <c r="D56" s="2">
        <v>577</v>
      </c>
      <c r="E56" s="2">
        <v>58751</v>
      </c>
      <c r="F56" s="4">
        <v>1.6890000000000001</v>
      </c>
      <c r="G56" s="4">
        <v>1.3440000000000001</v>
      </c>
      <c r="H56" s="4">
        <v>9</v>
      </c>
      <c r="I56" s="2" t="s">
        <v>14</v>
      </c>
    </row>
    <row r="57" spans="1:9" ht="17.100000000000001" customHeight="1">
      <c r="A57" s="2">
        <v>84</v>
      </c>
      <c r="B57" s="2"/>
      <c r="C57" s="3" t="s">
        <v>144</v>
      </c>
      <c r="D57" s="2">
        <v>26</v>
      </c>
      <c r="E57" s="2">
        <v>49402</v>
      </c>
      <c r="F57" s="2">
        <v>1.585</v>
      </c>
      <c r="G57" s="2">
        <v>1.0780000000000001</v>
      </c>
      <c r="H57" s="2">
        <v>2</v>
      </c>
      <c r="I57" s="2" t="s">
        <v>145</v>
      </c>
    </row>
    <row r="58" spans="1:9" ht="17.100000000000001" customHeight="1">
      <c r="A58" s="2">
        <v>82</v>
      </c>
      <c r="B58" s="2"/>
      <c r="C58" s="3" t="s">
        <v>203</v>
      </c>
      <c r="D58" s="2">
        <v>27</v>
      </c>
      <c r="E58" s="2">
        <v>48950</v>
      </c>
      <c r="F58" s="2">
        <v>1.538</v>
      </c>
      <c r="G58" s="2">
        <v>1.161</v>
      </c>
      <c r="H58" s="2">
        <v>2</v>
      </c>
      <c r="I58" s="2" t="s">
        <v>204</v>
      </c>
    </row>
    <row r="59" spans="1:9" ht="17.100000000000001" customHeight="1">
      <c r="A59" s="2">
        <v>7</v>
      </c>
      <c r="B59" s="2"/>
      <c r="C59" s="3" t="s">
        <v>23</v>
      </c>
      <c r="D59" s="2">
        <v>281</v>
      </c>
      <c r="E59" s="2">
        <v>57056</v>
      </c>
      <c r="F59" s="2">
        <v>1.0569999999999999</v>
      </c>
      <c r="G59" s="2">
        <v>33.159999999999997</v>
      </c>
      <c r="H59" s="2">
        <v>8</v>
      </c>
      <c r="I59" s="2" t="s">
        <v>24</v>
      </c>
    </row>
    <row r="60" spans="1:9" ht="17.100000000000001" customHeight="1">
      <c r="A60" s="2">
        <v>38</v>
      </c>
      <c r="B60" s="2"/>
      <c r="C60" s="3" t="s">
        <v>59</v>
      </c>
      <c r="D60" s="2">
        <v>76</v>
      </c>
      <c r="E60" s="2">
        <v>51940</v>
      </c>
      <c r="F60" s="2">
        <v>1.0229999999999999</v>
      </c>
      <c r="G60" s="2">
        <v>5.2460000000000004</v>
      </c>
      <c r="H60" s="2">
        <v>2</v>
      </c>
      <c r="I60" s="2" t="s">
        <v>60</v>
      </c>
    </row>
    <row r="61" spans="1:9" ht="17.100000000000001" customHeight="1">
      <c r="A61" s="2">
        <v>36</v>
      </c>
      <c r="B61" s="2"/>
      <c r="C61" s="3" t="s">
        <v>74</v>
      </c>
      <c r="D61" s="2">
        <v>79</v>
      </c>
      <c r="E61" s="2">
        <v>234161</v>
      </c>
      <c r="F61" s="2">
        <v>0.86099999999999999</v>
      </c>
      <c r="G61" s="2">
        <v>2.0649999999999999</v>
      </c>
      <c r="H61" s="2">
        <v>4</v>
      </c>
      <c r="I61" s="2" t="s">
        <v>75</v>
      </c>
    </row>
    <row r="62" spans="1:9" ht="17.100000000000001" customHeight="1">
      <c r="A62" s="2">
        <v>11</v>
      </c>
      <c r="B62" s="2"/>
      <c r="C62" s="3" t="s">
        <v>234</v>
      </c>
      <c r="D62" s="2">
        <v>207</v>
      </c>
      <c r="E62" s="2">
        <v>55763</v>
      </c>
      <c r="F62" s="2">
        <v>0.49830000000000002</v>
      </c>
      <c r="G62" s="2">
        <v>6.9370000000000003</v>
      </c>
      <c r="H62" s="2">
        <v>6</v>
      </c>
      <c r="I62" s="2" t="s">
        <v>52</v>
      </c>
    </row>
    <row r="63" spans="1:9" ht="17.100000000000001" customHeight="1">
      <c r="A63" s="2">
        <v>83</v>
      </c>
      <c r="B63" s="2"/>
      <c r="C63" s="3" t="s">
        <v>205</v>
      </c>
      <c r="D63" s="2">
        <v>27</v>
      </c>
      <c r="E63" s="2">
        <v>65643</v>
      </c>
      <c r="F63" s="2">
        <v>0.26679999999999998</v>
      </c>
      <c r="G63" s="2">
        <v>1.431</v>
      </c>
      <c r="H63" s="2">
        <v>2</v>
      </c>
      <c r="I63" s="2" t="s">
        <v>206</v>
      </c>
    </row>
    <row r="64" spans="1:9" ht="17.100000000000001" customHeight="1">
      <c r="A64" s="2">
        <v>50</v>
      </c>
      <c r="B64" s="2"/>
      <c r="C64" s="3" t="s">
        <v>182</v>
      </c>
      <c r="D64" s="2">
        <v>63</v>
      </c>
      <c r="E64" s="2">
        <v>26863</v>
      </c>
      <c r="F64" s="2">
        <v>0.18970000000000001</v>
      </c>
      <c r="G64" s="2">
        <v>2.282</v>
      </c>
      <c r="H64" s="2">
        <v>2</v>
      </c>
      <c r="I64" s="2" t="s">
        <v>183</v>
      </c>
    </row>
    <row r="65" spans="1:9" ht="17.100000000000001" customHeight="1">
      <c r="A65" s="2">
        <v>90</v>
      </c>
      <c r="B65" s="2"/>
      <c r="C65" s="3" t="s">
        <v>211</v>
      </c>
      <c r="D65" s="2">
        <v>22</v>
      </c>
      <c r="E65" s="2">
        <v>21554</v>
      </c>
      <c r="F65" s="2">
        <v>7.0650000000000004E-2</v>
      </c>
      <c r="G65" s="2">
        <v>1.6839999999999999</v>
      </c>
      <c r="H65" s="2">
        <v>2</v>
      </c>
      <c r="I65" s="2" t="s">
        <v>212</v>
      </c>
    </row>
    <row r="66" spans="1:9" ht="17.100000000000001" customHeight="1">
      <c r="A66" s="2">
        <v>15</v>
      </c>
      <c r="B66" s="2"/>
      <c r="C66" s="3" t="s">
        <v>29</v>
      </c>
      <c r="D66" s="2">
        <v>139</v>
      </c>
      <c r="E66" s="2">
        <v>18544</v>
      </c>
      <c r="F66" s="2"/>
      <c r="G66" s="2"/>
      <c r="H66" s="2"/>
      <c r="I66" s="2" t="s">
        <v>30</v>
      </c>
    </row>
    <row r="67" spans="1:9" ht="17.100000000000001" customHeight="1">
      <c r="A67" s="2">
        <v>17</v>
      </c>
      <c r="B67" s="2"/>
      <c r="C67" s="3" t="s">
        <v>76</v>
      </c>
      <c r="D67" s="2">
        <v>132</v>
      </c>
      <c r="E67" s="2">
        <v>91495</v>
      </c>
      <c r="F67" s="2"/>
      <c r="G67" s="2"/>
      <c r="H67" s="2"/>
      <c r="I67" s="2" t="s">
        <v>77</v>
      </c>
    </row>
    <row r="68" spans="1:9" ht="17.100000000000001" customHeight="1">
      <c r="A68" s="2">
        <v>19</v>
      </c>
      <c r="B68" s="2"/>
      <c r="C68" s="3" t="s">
        <v>90</v>
      </c>
      <c r="D68" s="2">
        <v>126</v>
      </c>
      <c r="E68" s="2">
        <v>35001</v>
      </c>
      <c r="F68" s="2"/>
      <c r="G68" s="2"/>
      <c r="H68" s="2"/>
      <c r="I68" s="2" t="s">
        <v>91</v>
      </c>
    </row>
    <row r="69" spans="1:9" ht="17.100000000000001" customHeight="1">
      <c r="A69" s="2">
        <v>20</v>
      </c>
      <c r="B69" s="2"/>
      <c r="C69" s="3" t="s">
        <v>114</v>
      </c>
      <c r="D69" s="2">
        <v>119</v>
      </c>
      <c r="E69" s="2">
        <v>53187</v>
      </c>
      <c r="F69" s="2"/>
      <c r="G69" s="2"/>
      <c r="H69" s="2"/>
      <c r="I69" s="2" t="s">
        <v>115</v>
      </c>
    </row>
    <row r="70" spans="1:9" ht="17.100000000000001" customHeight="1">
      <c r="A70" s="2">
        <v>29</v>
      </c>
      <c r="B70" s="2"/>
      <c r="C70" s="3" t="s">
        <v>100</v>
      </c>
      <c r="D70" s="2">
        <v>89</v>
      </c>
      <c r="E70" s="2">
        <v>120417</v>
      </c>
      <c r="F70" s="2"/>
      <c r="G70" s="2"/>
      <c r="H70" s="2"/>
      <c r="I70" s="2" t="s">
        <v>101</v>
      </c>
    </row>
    <row r="71" spans="1:9" ht="17.100000000000001" customHeight="1">
      <c r="A71" s="2">
        <v>30</v>
      </c>
      <c r="B71" s="2"/>
      <c r="C71" s="3" t="s">
        <v>63</v>
      </c>
      <c r="D71" s="2">
        <v>88</v>
      </c>
      <c r="E71" s="2">
        <v>20674</v>
      </c>
      <c r="F71" s="2"/>
      <c r="G71" s="2"/>
      <c r="H71" s="2"/>
      <c r="I71" s="2" t="s">
        <v>64</v>
      </c>
    </row>
    <row r="72" spans="1:9" ht="17.100000000000001" customHeight="1">
      <c r="A72" s="2">
        <v>31</v>
      </c>
      <c r="B72" s="2"/>
      <c r="C72" s="3" t="s">
        <v>172</v>
      </c>
      <c r="D72" s="2">
        <v>87</v>
      </c>
      <c r="E72" s="2">
        <v>44975</v>
      </c>
      <c r="F72" s="2"/>
      <c r="G72" s="2"/>
      <c r="H72" s="2"/>
      <c r="I72" s="2" t="s">
        <v>173</v>
      </c>
    </row>
    <row r="73" spans="1:9" ht="17.100000000000001" customHeight="1">
      <c r="A73" s="2">
        <v>33</v>
      </c>
      <c r="B73" s="2"/>
      <c r="C73" s="3" t="s">
        <v>82</v>
      </c>
      <c r="D73" s="2">
        <v>80</v>
      </c>
      <c r="E73" s="2">
        <v>62310</v>
      </c>
      <c r="F73" s="2"/>
      <c r="G73" s="2"/>
      <c r="H73" s="2"/>
      <c r="I73" s="2" t="s">
        <v>83</v>
      </c>
    </row>
    <row r="74" spans="1:9" ht="17.100000000000001" customHeight="1">
      <c r="A74" s="2">
        <v>34</v>
      </c>
      <c r="B74" s="2"/>
      <c r="C74" s="3" t="s">
        <v>70</v>
      </c>
      <c r="D74" s="2">
        <v>80</v>
      </c>
      <c r="E74" s="2">
        <v>38822</v>
      </c>
      <c r="F74" s="2"/>
      <c r="G74" s="2"/>
      <c r="H74" s="2"/>
      <c r="I74" s="2" t="s">
        <v>71</v>
      </c>
    </row>
    <row r="75" spans="1:9" ht="17.100000000000001" customHeight="1">
      <c r="A75" s="2">
        <v>43</v>
      </c>
      <c r="B75" s="2"/>
      <c r="C75" s="3" t="s">
        <v>61</v>
      </c>
      <c r="D75" s="2">
        <v>71</v>
      </c>
      <c r="E75" s="2">
        <v>36453</v>
      </c>
      <c r="F75" s="2"/>
      <c r="G75" s="2"/>
      <c r="H75" s="2"/>
      <c r="I75" s="2" t="s">
        <v>62</v>
      </c>
    </row>
    <row r="76" spans="1:9" ht="17.100000000000001" customHeight="1">
      <c r="A76" s="2">
        <v>46</v>
      </c>
      <c r="B76" s="2"/>
      <c r="C76" s="3" t="s">
        <v>80</v>
      </c>
      <c r="D76" s="2">
        <v>66</v>
      </c>
      <c r="E76" s="2">
        <v>57968</v>
      </c>
      <c r="F76" s="2"/>
      <c r="G76" s="2"/>
      <c r="H76" s="2"/>
      <c r="I76" s="2" t="s">
        <v>81</v>
      </c>
    </row>
    <row r="77" spans="1:9" ht="17.100000000000001" customHeight="1">
      <c r="A77" s="2">
        <v>49</v>
      </c>
      <c r="B77" s="2"/>
      <c r="C77" s="3" t="s">
        <v>110</v>
      </c>
      <c r="D77" s="2">
        <v>65</v>
      </c>
      <c r="E77" s="2">
        <v>29672</v>
      </c>
      <c r="F77" s="2"/>
      <c r="G77" s="2"/>
      <c r="H77" s="2"/>
      <c r="I77" s="2" t="s">
        <v>111</v>
      </c>
    </row>
    <row r="78" spans="1:9" ht="17.100000000000001" customHeight="1">
      <c r="A78" s="2">
        <v>52</v>
      </c>
      <c r="B78" s="2"/>
      <c r="C78" s="3" t="s">
        <v>120</v>
      </c>
      <c r="D78" s="2">
        <v>62</v>
      </c>
      <c r="E78" s="2">
        <v>58988</v>
      </c>
      <c r="F78" s="2"/>
      <c r="G78" s="2"/>
      <c r="H78" s="2"/>
      <c r="I78" s="2" t="s">
        <v>121</v>
      </c>
    </row>
    <row r="79" spans="1:9" ht="17.100000000000001" customHeight="1">
      <c r="A79" s="2">
        <v>54</v>
      </c>
      <c r="B79" s="2"/>
      <c r="C79" s="3" t="s">
        <v>72</v>
      </c>
      <c r="D79" s="2">
        <v>58</v>
      </c>
      <c r="E79" s="2">
        <v>64275</v>
      </c>
      <c r="F79" s="2"/>
      <c r="G79" s="2"/>
      <c r="H79" s="2"/>
      <c r="I79" s="2" t="s">
        <v>73</v>
      </c>
    </row>
    <row r="80" spans="1:9" ht="17.100000000000001" customHeight="1">
      <c r="A80" s="2">
        <v>55</v>
      </c>
      <c r="B80" s="2"/>
      <c r="C80" s="3" t="s">
        <v>126</v>
      </c>
      <c r="D80" s="2">
        <v>58</v>
      </c>
      <c r="E80" s="2">
        <v>12005</v>
      </c>
      <c r="F80" s="2"/>
      <c r="G80" s="2"/>
      <c r="H80" s="2"/>
      <c r="I80" s="2" t="s">
        <v>127</v>
      </c>
    </row>
    <row r="81" spans="1:9" ht="17.100000000000001" customHeight="1">
      <c r="A81" s="2">
        <v>56</v>
      </c>
      <c r="B81" s="2"/>
      <c r="C81" s="3" t="s">
        <v>78</v>
      </c>
      <c r="D81" s="2">
        <v>56</v>
      </c>
      <c r="E81" s="2">
        <v>34977</v>
      </c>
      <c r="F81" s="2"/>
      <c r="G81" s="2"/>
      <c r="H81" s="2"/>
      <c r="I81" s="2" t="s">
        <v>79</v>
      </c>
    </row>
    <row r="82" spans="1:9" ht="17.100000000000001" customHeight="1">
      <c r="A82" s="2">
        <v>59</v>
      </c>
      <c r="B82" s="2"/>
      <c r="C82" s="3" t="s">
        <v>130</v>
      </c>
      <c r="D82" s="2">
        <v>45</v>
      </c>
      <c r="E82" s="2">
        <v>40002</v>
      </c>
      <c r="F82" s="2"/>
      <c r="G82" s="2"/>
      <c r="H82" s="2"/>
      <c r="I82" s="2" t="s">
        <v>131</v>
      </c>
    </row>
    <row r="83" spans="1:9" ht="17.100000000000001" customHeight="1">
      <c r="A83" s="2">
        <v>61</v>
      </c>
      <c r="B83" s="2"/>
      <c r="C83" s="3" t="s">
        <v>152</v>
      </c>
      <c r="D83" s="2">
        <v>41</v>
      </c>
      <c r="E83" s="2">
        <v>41953</v>
      </c>
      <c r="F83" s="2"/>
      <c r="G83" s="2"/>
      <c r="H83" s="2"/>
      <c r="I83" s="2" t="s">
        <v>153</v>
      </c>
    </row>
    <row r="84" spans="1:9" ht="17.100000000000001" customHeight="1">
      <c r="A84" s="2">
        <v>65</v>
      </c>
      <c r="B84" s="2"/>
      <c r="C84" s="3" t="s">
        <v>94</v>
      </c>
      <c r="D84" s="2">
        <v>37</v>
      </c>
      <c r="E84" s="2">
        <v>140515</v>
      </c>
      <c r="F84" s="2"/>
      <c r="G84" s="2"/>
      <c r="H84" s="2"/>
      <c r="I84" s="2" t="s">
        <v>95</v>
      </c>
    </row>
    <row r="85" spans="1:9" ht="17.100000000000001" customHeight="1">
      <c r="A85" s="2">
        <v>70</v>
      </c>
      <c r="B85" s="2"/>
      <c r="C85" s="3" t="s">
        <v>195</v>
      </c>
      <c r="D85" s="2">
        <v>34</v>
      </c>
      <c r="E85" s="2">
        <v>29507</v>
      </c>
      <c r="F85" s="2"/>
      <c r="G85" s="2"/>
      <c r="H85" s="2"/>
      <c r="I85" s="2" t="s">
        <v>196</v>
      </c>
    </row>
    <row r="86" spans="1:9" ht="17.100000000000001" customHeight="1">
      <c r="A86" s="2">
        <v>73</v>
      </c>
      <c r="B86" s="2"/>
      <c r="C86" s="3" t="s">
        <v>197</v>
      </c>
      <c r="D86" s="2">
        <v>33</v>
      </c>
      <c r="E86" s="2">
        <v>27729</v>
      </c>
      <c r="F86" s="2"/>
      <c r="G86" s="2"/>
      <c r="H86" s="2"/>
      <c r="I86" s="2" t="s">
        <v>198</v>
      </c>
    </row>
    <row r="87" spans="1:9" ht="17.100000000000001" customHeight="1">
      <c r="A87" s="2">
        <v>74</v>
      </c>
      <c r="B87" s="2"/>
      <c r="C87" s="3" t="s">
        <v>136</v>
      </c>
      <c r="D87" s="2">
        <v>33</v>
      </c>
      <c r="E87" s="2">
        <v>22936</v>
      </c>
      <c r="F87" s="2"/>
      <c r="G87" s="2"/>
      <c r="H87" s="2"/>
      <c r="I87" s="2" t="s">
        <v>137</v>
      </c>
    </row>
    <row r="88" spans="1:9" ht="17.100000000000001" customHeight="1">
      <c r="A88" s="2">
        <v>77</v>
      </c>
      <c r="B88" s="2"/>
      <c r="C88" s="3" t="s">
        <v>122</v>
      </c>
      <c r="D88" s="2">
        <v>30</v>
      </c>
      <c r="E88" s="2">
        <v>22344</v>
      </c>
      <c r="F88" s="2"/>
      <c r="G88" s="2"/>
      <c r="H88" s="2"/>
      <c r="I88" s="2" t="s">
        <v>123</v>
      </c>
    </row>
    <row r="89" spans="1:9" ht="17.100000000000001" customHeight="1">
      <c r="A89" s="2">
        <v>80</v>
      </c>
      <c r="B89" s="2"/>
      <c r="C89" s="3" t="s">
        <v>201</v>
      </c>
      <c r="D89" s="2">
        <v>29</v>
      </c>
      <c r="E89" s="2">
        <v>70921</v>
      </c>
      <c r="F89" s="2"/>
      <c r="G89" s="2"/>
      <c r="H89" s="2"/>
      <c r="I89" s="2" t="s">
        <v>202</v>
      </c>
    </row>
    <row r="90" spans="1:9" ht="17.100000000000001" customHeight="1">
      <c r="A90" s="2">
        <v>81</v>
      </c>
      <c r="B90" s="2"/>
      <c r="C90" s="3" t="s">
        <v>142</v>
      </c>
      <c r="D90" s="2">
        <v>29</v>
      </c>
      <c r="E90" s="2">
        <v>49486</v>
      </c>
      <c r="F90" s="2"/>
      <c r="G90" s="2"/>
      <c r="H90" s="2"/>
      <c r="I90" s="2" t="s">
        <v>143</v>
      </c>
    </row>
    <row r="91" spans="1:9" ht="17.100000000000001" customHeight="1">
      <c r="A91" s="2">
        <v>85</v>
      </c>
      <c r="B91" s="2"/>
      <c r="C91" s="3" t="s">
        <v>160</v>
      </c>
      <c r="D91" s="2">
        <v>26</v>
      </c>
      <c r="E91" s="2">
        <v>58655</v>
      </c>
      <c r="F91" s="2"/>
      <c r="G91" s="2"/>
      <c r="H91" s="2"/>
      <c r="I91" s="2" t="s">
        <v>161</v>
      </c>
    </row>
    <row r="92" spans="1:9" ht="17.100000000000001" customHeight="1">
      <c r="A92" s="2">
        <v>88</v>
      </c>
      <c r="B92" s="2"/>
      <c r="C92" s="3" t="s">
        <v>207</v>
      </c>
      <c r="D92" s="2">
        <v>25</v>
      </c>
      <c r="E92" s="2">
        <v>196326</v>
      </c>
      <c r="F92" s="2"/>
      <c r="G92" s="2"/>
      <c r="H92" s="2"/>
      <c r="I92" s="2" t="s">
        <v>208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1"/>
  <sheetViews>
    <sheetView workbookViewId="0">
      <selection activeCell="I58" sqref="I58"/>
    </sheetView>
  </sheetViews>
  <sheetFormatPr defaultRowHeight="17.100000000000001" customHeight="1"/>
  <cols>
    <col min="9" max="9" width="75.625" customWidth="1"/>
  </cols>
  <sheetData>
    <row r="1" spans="1:9" ht="17.100000000000001" customHeight="1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ht="17.100000000000001" customHeight="1">
      <c r="A2" s="2">
        <v>49</v>
      </c>
      <c r="B2" s="2"/>
      <c r="C2" s="3" t="s">
        <v>112</v>
      </c>
      <c r="D2" s="2">
        <v>46</v>
      </c>
      <c r="E2" s="2">
        <v>15484</v>
      </c>
      <c r="F2" s="2">
        <v>13.97</v>
      </c>
      <c r="G2" s="2">
        <v>2.2360000000000002</v>
      </c>
      <c r="H2" s="2">
        <v>2</v>
      </c>
      <c r="I2" s="2" t="s">
        <v>113</v>
      </c>
    </row>
    <row r="3" spans="1:9" ht="19.5" customHeight="1">
      <c r="A3" s="2">
        <v>21</v>
      </c>
      <c r="B3" s="2"/>
      <c r="C3" s="3" t="s">
        <v>80</v>
      </c>
      <c r="D3" s="2">
        <v>93</v>
      </c>
      <c r="E3" s="2">
        <v>57968</v>
      </c>
      <c r="F3" s="2">
        <v>13.1</v>
      </c>
      <c r="G3" s="2">
        <v>3.9390000000000001</v>
      </c>
      <c r="H3" s="2">
        <v>2</v>
      </c>
      <c r="I3" s="2" t="s">
        <v>81</v>
      </c>
    </row>
    <row r="4" spans="1:9" ht="17.100000000000001" customHeight="1">
      <c r="A4" s="2">
        <v>42</v>
      </c>
      <c r="B4" s="2"/>
      <c r="C4" s="3" t="s">
        <v>86</v>
      </c>
      <c r="D4" s="2">
        <v>55</v>
      </c>
      <c r="E4" s="2">
        <v>48528</v>
      </c>
      <c r="F4" s="2">
        <v>9.4689999999999994</v>
      </c>
      <c r="G4" s="2">
        <v>3.07</v>
      </c>
      <c r="H4" s="2">
        <v>2</v>
      </c>
      <c r="I4" s="2" t="s">
        <v>87</v>
      </c>
    </row>
    <row r="5" spans="1:9" ht="17.100000000000001" customHeight="1">
      <c r="A5" s="2">
        <v>67</v>
      </c>
      <c r="B5" s="2"/>
      <c r="C5" s="3" t="s">
        <v>132</v>
      </c>
      <c r="D5" s="2">
        <v>30</v>
      </c>
      <c r="E5" s="2">
        <v>19321</v>
      </c>
      <c r="F5" s="2">
        <v>7.625</v>
      </c>
      <c r="G5" s="2">
        <v>5.2380000000000004</v>
      </c>
      <c r="H5" s="2">
        <v>2</v>
      </c>
      <c r="I5" s="2" t="s">
        <v>133</v>
      </c>
    </row>
    <row r="6" spans="1:9" ht="17.100000000000001" customHeight="1">
      <c r="A6" s="2">
        <v>65</v>
      </c>
      <c r="B6" s="2"/>
      <c r="C6" s="3" t="s">
        <v>136</v>
      </c>
      <c r="D6" s="2">
        <v>31</v>
      </c>
      <c r="E6" s="2">
        <v>22936</v>
      </c>
      <c r="F6" s="4">
        <v>7.6029999999999998</v>
      </c>
      <c r="G6" s="4">
        <v>1.3420000000000001</v>
      </c>
      <c r="H6" s="4">
        <v>3</v>
      </c>
      <c r="I6" s="2" t="s">
        <v>137</v>
      </c>
    </row>
    <row r="7" spans="1:9" ht="17.100000000000001" customHeight="1">
      <c r="A7" s="2">
        <v>78</v>
      </c>
      <c r="B7" s="2"/>
      <c r="C7" s="3" t="s">
        <v>146</v>
      </c>
      <c r="D7" s="2">
        <v>24</v>
      </c>
      <c r="E7" s="2">
        <v>70113</v>
      </c>
      <c r="F7" s="2">
        <v>7.2629999999999999</v>
      </c>
      <c r="G7" s="2">
        <v>1.3260000000000001</v>
      </c>
      <c r="H7" s="2">
        <v>2</v>
      </c>
      <c r="I7" s="2" t="s">
        <v>147</v>
      </c>
    </row>
    <row r="8" spans="1:9" ht="17.100000000000001" customHeight="1">
      <c r="A8" s="2">
        <v>22</v>
      </c>
      <c r="B8" s="2"/>
      <c r="C8" s="3" t="s">
        <v>49</v>
      </c>
      <c r="D8" s="2">
        <v>90</v>
      </c>
      <c r="E8" s="2">
        <v>36926</v>
      </c>
      <c r="F8" s="4">
        <v>5.9660000000000002</v>
      </c>
      <c r="G8" s="4">
        <v>1.7869999999999999</v>
      </c>
      <c r="H8" s="4">
        <v>3</v>
      </c>
      <c r="I8" s="2" t="s">
        <v>50</v>
      </c>
    </row>
    <row r="9" spans="1:9" ht="17.100000000000001" customHeight="1">
      <c r="A9" s="2">
        <v>69</v>
      </c>
      <c r="B9" s="2"/>
      <c r="C9" s="3" t="s">
        <v>154</v>
      </c>
      <c r="D9" s="2">
        <v>30</v>
      </c>
      <c r="E9" s="2">
        <v>10407</v>
      </c>
      <c r="F9" s="4">
        <v>5.7779999999999996</v>
      </c>
      <c r="G9" s="4">
        <v>1.04</v>
      </c>
      <c r="H9" s="4">
        <v>2</v>
      </c>
      <c r="I9" s="2" t="s">
        <v>155</v>
      </c>
    </row>
    <row r="10" spans="1:9" ht="17.100000000000001" customHeight="1">
      <c r="A10" s="2">
        <v>39</v>
      </c>
      <c r="B10" s="2"/>
      <c r="C10" s="3" t="s">
        <v>39</v>
      </c>
      <c r="D10" s="2">
        <v>59</v>
      </c>
      <c r="E10" s="2">
        <v>72790</v>
      </c>
      <c r="F10" s="2">
        <v>5.7460000000000004</v>
      </c>
      <c r="G10" s="2">
        <v>1.5720000000000001</v>
      </c>
      <c r="H10" s="2">
        <v>2</v>
      </c>
      <c r="I10" s="2" t="s">
        <v>40</v>
      </c>
    </row>
    <row r="11" spans="1:9" ht="17.100000000000001" customHeight="1">
      <c r="A11" s="2">
        <v>79</v>
      </c>
      <c r="B11" s="2"/>
      <c r="C11" s="3" t="s">
        <v>140</v>
      </c>
      <c r="D11" s="2">
        <v>24</v>
      </c>
      <c r="E11" s="2">
        <v>46230</v>
      </c>
      <c r="F11" s="4">
        <v>5.5739999999999998</v>
      </c>
      <c r="G11" s="4">
        <v>1.0349999999999999</v>
      </c>
      <c r="H11" s="4">
        <v>2</v>
      </c>
      <c r="I11" s="2" t="s">
        <v>141</v>
      </c>
    </row>
    <row r="12" spans="1:9" ht="17.100000000000001" customHeight="1">
      <c r="A12" s="2">
        <v>6</v>
      </c>
      <c r="B12" s="2"/>
      <c r="C12" s="3" t="s">
        <v>53</v>
      </c>
      <c r="D12" s="2">
        <v>418</v>
      </c>
      <c r="E12" s="2">
        <v>37615</v>
      </c>
      <c r="F12" s="4">
        <v>5.5350000000000001</v>
      </c>
      <c r="G12" s="4">
        <v>2.1</v>
      </c>
      <c r="H12" s="4">
        <v>6</v>
      </c>
      <c r="I12" s="2" t="s">
        <v>54</v>
      </c>
    </row>
    <row r="13" spans="1:9" ht="17.100000000000001" customHeight="1">
      <c r="A13" s="2">
        <v>70</v>
      </c>
      <c r="B13" s="2"/>
      <c r="C13" s="3" t="s">
        <v>226</v>
      </c>
      <c r="D13" s="2">
        <v>29</v>
      </c>
      <c r="E13" s="2">
        <v>29004</v>
      </c>
      <c r="F13" s="2">
        <v>5.47</v>
      </c>
      <c r="G13" s="2">
        <v>1.571</v>
      </c>
      <c r="H13" s="2">
        <v>2</v>
      </c>
      <c r="I13" s="2" t="s">
        <v>227</v>
      </c>
    </row>
    <row r="14" spans="1:9" ht="17.100000000000001" customHeight="1">
      <c r="A14" s="2">
        <v>5</v>
      </c>
      <c r="B14" s="2"/>
      <c r="C14" s="3" t="s">
        <v>15</v>
      </c>
      <c r="D14" s="2">
        <v>425</v>
      </c>
      <c r="E14" s="2">
        <v>40147</v>
      </c>
      <c r="F14" s="4">
        <v>4.7949999999999999</v>
      </c>
      <c r="G14" s="4">
        <v>1.3580000000000001</v>
      </c>
      <c r="H14" s="4">
        <v>8</v>
      </c>
      <c r="I14" s="2" t="s">
        <v>16</v>
      </c>
    </row>
    <row r="15" spans="1:9" ht="17.100000000000001" customHeight="1">
      <c r="A15" s="2">
        <v>25</v>
      </c>
      <c r="B15" s="2"/>
      <c r="C15" s="3" t="s">
        <v>27</v>
      </c>
      <c r="D15" s="2">
        <v>85</v>
      </c>
      <c r="E15" s="2">
        <v>51748</v>
      </c>
      <c r="F15" s="4">
        <v>4.6379999999999999</v>
      </c>
      <c r="G15" s="4">
        <v>1.2490000000000001</v>
      </c>
      <c r="H15" s="4">
        <v>6</v>
      </c>
      <c r="I15" s="2" t="s">
        <v>28</v>
      </c>
    </row>
    <row r="16" spans="1:9" ht="17.100000000000001" customHeight="1">
      <c r="A16" s="2">
        <v>15</v>
      </c>
      <c r="B16" s="2"/>
      <c r="C16" s="3" t="s">
        <v>98</v>
      </c>
      <c r="D16" s="2">
        <v>123</v>
      </c>
      <c r="E16" s="2">
        <v>69797</v>
      </c>
      <c r="F16" s="2">
        <v>4.49</v>
      </c>
      <c r="G16" s="2">
        <v>4.1840000000000002</v>
      </c>
      <c r="H16" s="2">
        <v>4</v>
      </c>
      <c r="I16" s="2" t="s">
        <v>99</v>
      </c>
    </row>
    <row r="17" spans="1:9" ht="17.100000000000001" customHeight="1">
      <c r="A17" s="2">
        <v>11</v>
      </c>
      <c r="B17" s="2"/>
      <c r="C17" s="3" t="s">
        <v>43</v>
      </c>
      <c r="D17" s="2">
        <v>186</v>
      </c>
      <c r="E17" s="2">
        <v>119527</v>
      </c>
      <c r="F17" s="4">
        <v>4.43</v>
      </c>
      <c r="G17" s="4">
        <v>1.1100000000000001</v>
      </c>
      <c r="H17" s="4">
        <v>2</v>
      </c>
      <c r="I17" s="2" t="s">
        <v>44</v>
      </c>
    </row>
    <row r="18" spans="1:9" ht="17.100000000000001" customHeight="1">
      <c r="A18" s="2">
        <v>30</v>
      </c>
      <c r="B18" s="2"/>
      <c r="C18" s="3" t="s">
        <v>68</v>
      </c>
      <c r="D18" s="2">
        <v>84</v>
      </c>
      <c r="E18" s="2">
        <v>123859</v>
      </c>
      <c r="F18" s="2">
        <v>4.3090000000000002</v>
      </c>
      <c r="G18" s="2">
        <v>2.5059999999999998</v>
      </c>
      <c r="H18" s="2">
        <v>3</v>
      </c>
      <c r="I18" s="2" t="s">
        <v>69</v>
      </c>
    </row>
    <row r="19" spans="1:9" ht="17.100000000000001" customHeight="1">
      <c r="A19" s="2">
        <v>1</v>
      </c>
      <c r="B19" s="2"/>
      <c r="C19" s="3" t="s">
        <v>11</v>
      </c>
      <c r="D19" s="2">
        <v>607</v>
      </c>
      <c r="E19" s="2">
        <v>51425</v>
      </c>
      <c r="F19" s="4">
        <v>4.2830000000000004</v>
      </c>
      <c r="G19" s="4">
        <v>2.1800000000000002</v>
      </c>
      <c r="H19" s="4">
        <v>7</v>
      </c>
      <c r="I19" s="2" t="s">
        <v>12</v>
      </c>
    </row>
    <row r="20" spans="1:9" ht="17.100000000000001" customHeight="1">
      <c r="A20" s="2">
        <v>4</v>
      </c>
      <c r="B20" s="2"/>
      <c r="C20" s="3" t="s">
        <v>17</v>
      </c>
      <c r="D20" s="2">
        <v>435</v>
      </c>
      <c r="E20" s="2">
        <v>48600</v>
      </c>
      <c r="F20" s="4">
        <v>4.1360000000000001</v>
      </c>
      <c r="G20" s="4">
        <v>1.6519999999999999</v>
      </c>
      <c r="H20" s="4">
        <v>17</v>
      </c>
      <c r="I20" s="2" t="s">
        <v>18</v>
      </c>
    </row>
    <row r="21" spans="1:9" ht="17.100000000000001" customHeight="1">
      <c r="A21" s="2">
        <v>60</v>
      </c>
      <c r="B21" s="2"/>
      <c r="C21" s="3" t="s">
        <v>128</v>
      </c>
      <c r="D21" s="2">
        <v>35</v>
      </c>
      <c r="E21" s="2">
        <v>42219</v>
      </c>
      <c r="F21" s="2">
        <v>3.9260000000000002</v>
      </c>
      <c r="G21" s="2">
        <v>2.2669999999999999</v>
      </c>
      <c r="H21" s="2">
        <v>3</v>
      </c>
      <c r="I21" s="2" t="s">
        <v>129</v>
      </c>
    </row>
    <row r="22" spans="1:9" ht="17.100000000000001" customHeight="1">
      <c r="A22" s="2">
        <v>41</v>
      </c>
      <c r="B22" s="2"/>
      <c r="C22" s="3" t="s">
        <v>96</v>
      </c>
      <c r="D22" s="2">
        <v>55</v>
      </c>
      <c r="E22" s="2">
        <v>62822</v>
      </c>
      <c r="F22" s="2">
        <v>3.919</v>
      </c>
      <c r="G22" s="2">
        <v>3.073</v>
      </c>
      <c r="H22" s="2">
        <v>2</v>
      </c>
      <c r="I22" s="2" t="s">
        <v>97</v>
      </c>
    </row>
    <row r="23" spans="1:9" ht="17.100000000000001" customHeight="1">
      <c r="A23" s="2">
        <v>72</v>
      </c>
      <c r="B23" s="2"/>
      <c r="C23" s="3" t="s">
        <v>228</v>
      </c>
      <c r="D23" s="2">
        <v>29</v>
      </c>
      <c r="E23" s="2">
        <v>83400</v>
      </c>
      <c r="F23" s="2">
        <v>3.903</v>
      </c>
      <c r="G23" s="2">
        <v>1.506</v>
      </c>
      <c r="H23" s="2">
        <v>2</v>
      </c>
      <c r="I23" s="2" t="s">
        <v>229</v>
      </c>
    </row>
    <row r="24" spans="1:9" ht="17.100000000000001" customHeight="1">
      <c r="A24" s="2">
        <v>10</v>
      </c>
      <c r="B24" s="2"/>
      <c r="C24" s="3" t="s">
        <v>21</v>
      </c>
      <c r="D24" s="2">
        <v>200</v>
      </c>
      <c r="E24" s="2">
        <v>42667</v>
      </c>
      <c r="F24" s="4">
        <v>3.8090000000000002</v>
      </c>
      <c r="G24" s="4">
        <v>1.4139999999999999</v>
      </c>
      <c r="H24" s="4">
        <v>7</v>
      </c>
      <c r="I24" s="2" t="s">
        <v>22</v>
      </c>
    </row>
    <row r="25" spans="1:9" ht="17.100000000000001" customHeight="1">
      <c r="A25" s="2">
        <v>13</v>
      </c>
      <c r="B25" s="2"/>
      <c r="C25" s="3" t="s">
        <v>41</v>
      </c>
      <c r="D25" s="2">
        <v>128</v>
      </c>
      <c r="E25" s="2">
        <v>43818</v>
      </c>
      <c r="F25" s="2">
        <v>3.5259999999999998</v>
      </c>
      <c r="G25" s="2">
        <v>3.83</v>
      </c>
      <c r="H25" s="2">
        <v>5</v>
      </c>
      <c r="I25" s="2" t="s">
        <v>42</v>
      </c>
    </row>
    <row r="26" spans="1:9" ht="17.100000000000001" customHeight="1">
      <c r="A26" s="2">
        <v>61</v>
      </c>
      <c r="B26" s="2"/>
      <c r="C26" s="3" t="s">
        <v>106</v>
      </c>
      <c r="D26" s="2">
        <v>33</v>
      </c>
      <c r="E26" s="2">
        <v>32271</v>
      </c>
      <c r="F26" s="2">
        <v>3.4889999999999999</v>
      </c>
      <c r="G26" s="2">
        <v>3.6080000000000001</v>
      </c>
      <c r="H26" s="2">
        <v>2</v>
      </c>
      <c r="I26" s="2" t="s">
        <v>107</v>
      </c>
    </row>
    <row r="27" spans="1:9" ht="17.100000000000001" customHeight="1">
      <c r="A27" s="2">
        <v>23</v>
      </c>
      <c r="B27" s="2"/>
      <c r="C27" s="3" t="s">
        <v>57</v>
      </c>
      <c r="D27" s="2">
        <v>88</v>
      </c>
      <c r="E27" s="2">
        <v>85981</v>
      </c>
      <c r="F27" s="2">
        <v>3.476</v>
      </c>
      <c r="G27" s="2">
        <v>1.462</v>
      </c>
      <c r="H27" s="2">
        <v>5</v>
      </c>
      <c r="I27" s="2" t="s">
        <v>58</v>
      </c>
    </row>
    <row r="28" spans="1:9" ht="17.100000000000001" customHeight="1">
      <c r="A28" s="2">
        <v>3</v>
      </c>
      <c r="B28" s="2"/>
      <c r="C28" s="3" t="s">
        <v>9</v>
      </c>
      <c r="D28" s="2">
        <v>536</v>
      </c>
      <c r="E28" s="2">
        <v>47726</v>
      </c>
      <c r="F28" s="4">
        <v>3.1259999999999999</v>
      </c>
      <c r="G28" s="4">
        <v>1.48</v>
      </c>
      <c r="H28" s="4">
        <v>10</v>
      </c>
      <c r="I28" s="2" t="s">
        <v>10</v>
      </c>
    </row>
    <row r="29" spans="1:9" ht="17.100000000000001" customHeight="1">
      <c r="A29" s="2">
        <v>18</v>
      </c>
      <c r="B29" s="2"/>
      <c r="C29" s="3" t="s">
        <v>47</v>
      </c>
      <c r="D29" s="2">
        <v>103</v>
      </c>
      <c r="E29" s="2">
        <v>59457</v>
      </c>
      <c r="F29" s="4">
        <v>2.9870000000000001</v>
      </c>
      <c r="G29" s="4">
        <v>2.2389999999999999</v>
      </c>
      <c r="H29" s="4">
        <v>6</v>
      </c>
      <c r="I29" s="2" t="s">
        <v>48</v>
      </c>
    </row>
    <row r="30" spans="1:9" ht="17.100000000000001" customHeight="1">
      <c r="A30" s="2">
        <v>48</v>
      </c>
      <c r="B30" s="2"/>
      <c r="C30" s="3" t="s">
        <v>130</v>
      </c>
      <c r="D30" s="2">
        <v>46</v>
      </c>
      <c r="E30" s="2">
        <v>40002</v>
      </c>
      <c r="F30" s="2">
        <v>2.9129999999999998</v>
      </c>
      <c r="G30" s="2">
        <v>10.76</v>
      </c>
      <c r="H30" s="2">
        <v>2</v>
      </c>
      <c r="I30" s="2" t="s">
        <v>131</v>
      </c>
    </row>
    <row r="31" spans="1:9" ht="17.100000000000001" customHeight="1">
      <c r="A31" s="2">
        <v>68</v>
      </c>
      <c r="B31" s="2"/>
      <c r="C31" s="3" t="s">
        <v>152</v>
      </c>
      <c r="D31" s="2">
        <v>30</v>
      </c>
      <c r="E31" s="2">
        <v>41953</v>
      </c>
      <c r="F31" s="2">
        <v>2.774</v>
      </c>
      <c r="G31" s="2">
        <v>2.4870000000000001</v>
      </c>
      <c r="H31" s="2">
        <v>4</v>
      </c>
      <c r="I31" s="2" t="s">
        <v>153</v>
      </c>
    </row>
    <row r="32" spans="1:9" ht="17.100000000000001" customHeight="1">
      <c r="A32" s="2">
        <v>77</v>
      </c>
      <c r="B32" s="2"/>
      <c r="C32" s="3" t="s">
        <v>158</v>
      </c>
      <c r="D32" s="2">
        <v>25</v>
      </c>
      <c r="E32" s="2">
        <v>16613</v>
      </c>
      <c r="F32" s="2">
        <v>2.6030000000000002</v>
      </c>
      <c r="G32" s="2">
        <v>1.196</v>
      </c>
      <c r="H32" s="2">
        <v>2</v>
      </c>
      <c r="I32" s="2" t="s">
        <v>159</v>
      </c>
    </row>
    <row r="33" spans="1:9" ht="17.100000000000001" customHeight="1">
      <c r="A33" s="2">
        <v>34</v>
      </c>
      <c r="B33" s="2"/>
      <c r="C33" s="3" t="s">
        <v>31</v>
      </c>
      <c r="D33" s="2">
        <v>73</v>
      </c>
      <c r="E33" s="2">
        <v>60606</v>
      </c>
      <c r="F33" s="2">
        <v>2.5960000000000001</v>
      </c>
      <c r="G33" s="2">
        <v>11.73</v>
      </c>
      <c r="H33" s="2">
        <v>2</v>
      </c>
      <c r="I33" s="2" t="s">
        <v>32</v>
      </c>
    </row>
    <row r="34" spans="1:9" ht="17.100000000000001" customHeight="1">
      <c r="A34" s="2">
        <v>33</v>
      </c>
      <c r="B34" s="2"/>
      <c r="C34" s="3" t="s">
        <v>74</v>
      </c>
      <c r="D34" s="2">
        <v>74</v>
      </c>
      <c r="E34" s="2">
        <v>234161</v>
      </c>
      <c r="F34" s="2">
        <v>2.544</v>
      </c>
      <c r="G34" s="2">
        <v>3.0019999999999998</v>
      </c>
      <c r="H34" s="2">
        <v>5</v>
      </c>
      <c r="I34" s="2" t="s">
        <v>75</v>
      </c>
    </row>
    <row r="35" spans="1:9" ht="17.100000000000001" customHeight="1">
      <c r="A35" s="2">
        <v>7</v>
      </c>
      <c r="B35" s="2"/>
      <c r="C35" s="3" t="s">
        <v>19</v>
      </c>
      <c r="D35" s="2">
        <v>231</v>
      </c>
      <c r="E35" s="2">
        <v>49607</v>
      </c>
      <c r="F35" s="4">
        <v>2.391</v>
      </c>
      <c r="G35" s="4">
        <v>1.2829999999999999</v>
      </c>
      <c r="H35" s="4">
        <v>5</v>
      </c>
      <c r="I35" s="2" t="s">
        <v>20</v>
      </c>
    </row>
    <row r="36" spans="1:9" ht="17.100000000000001" customHeight="1">
      <c r="A36" s="2">
        <v>36</v>
      </c>
      <c r="B36" s="2"/>
      <c r="C36" s="3" t="s">
        <v>160</v>
      </c>
      <c r="D36" s="2">
        <v>64</v>
      </c>
      <c r="E36" s="2">
        <v>58655</v>
      </c>
      <c r="F36" s="2">
        <v>2.39</v>
      </c>
      <c r="G36" s="2">
        <v>1.7509999999999999</v>
      </c>
      <c r="H36" s="2">
        <v>2</v>
      </c>
      <c r="I36" s="2" t="s">
        <v>161</v>
      </c>
    </row>
    <row r="37" spans="1:9" ht="17.100000000000001" customHeight="1">
      <c r="A37" s="2">
        <v>29</v>
      </c>
      <c r="B37" s="2"/>
      <c r="C37" s="3" t="s">
        <v>45</v>
      </c>
      <c r="D37" s="2">
        <v>84</v>
      </c>
      <c r="E37" s="2">
        <v>15410</v>
      </c>
      <c r="F37" s="2">
        <v>2.226</v>
      </c>
      <c r="G37" s="2">
        <v>2.3879999999999999</v>
      </c>
      <c r="H37" s="2">
        <v>4</v>
      </c>
      <c r="I37" s="2" t="s">
        <v>46</v>
      </c>
    </row>
    <row r="38" spans="1:9" ht="17.100000000000001" customHeight="1">
      <c r="A38" s="2">
        <v>12</v>
      </c>
      <c r="B38" s="2"/>
      <c r="C38" s="3" t="s">
        <v>23</v>
      </c>
      <c r="D38" s="2">
        <v>184</v>
      </c>
      <c r="E38" s="2">
        <v>57056</v>
      </c>
      <c r="F38" s="2">
        <v>2.1389999999999998</v>
      </c>
      <c r="G38" s="2">
        <v>5.1970000000000001</v>
      </c>
      <c r="H38" s="2">
        <v>5</v>
      </c>
      <c r="I38" s="2" t="s">
        <v>24</v>
      </c>
    </row>
    <row r="39" spans="1:9" ht="17.100000000000001" customHeight="1">
      <c r="A39" s="2">
        <v>16</v>
      </c>
      <c r="B39" s="2"/>
      <c r="C39" s="3" t="s">
        <v>37</v>
      </c>
      <c r="D39" s="2">
        <v>109</v>
      </c>
      <c r="E39" s="2">
        <v>74432</v>
      </c>
      <c r="F39" s="4">
        <v>2.0790000000000002</v>
      </c>
      <c r="G39" s="4">
        <v>1.5409999999999999</v>
      </c>
      <c r="H39" s="4">
        <v>4</v>
      </c>
      <c r="I39" s="2" t="s">
        <v>38</v>
      </c>
    </row>
    <row r="40" spans="1:9" ht="17.100000000000001" customHeight="1">
      <c r="A40" s="2">
        <v>35</v>
      </c>
      <c r="B40" s="2"/>
      <c r="C40" s="3" t="s">
        <v>92</v>
      </c>
      <c r="D40" s="2">
        <v>70</v>
      </c>
      <c r="E40" s="2">
        <v>155920</v>
      </c>
      <c r="F40" s="2">
        <v>2.0289999999999999</v>
      </c>
      <c r="G40" s="2">
        <v>1.2190000000000001</v>
      </c>
      <c r="H40" s="2">
        <v>2</v>
      </c>
      <c r="I40" s="2" t="s">
        <v>93</v>
      </c>
    </row>
    <row r="41" spans="1:9" ht="17.100000000000001" customHeight="1">
      <c r="A41" s="2">
        <v>52</v>
      </c>
      <c r="B41" s="2"/>
      <c r="C41" s="3" t="s">
        <v>186</v>
      </c>
      <c r="D41" s="2">
        <v>44</v>
      </c>
      <c r="E41" s="2">
        <v>49706</v>
      </c>
      <c r="F41" s="2">
        <v>1.867</v>
      </c>
      <c r="G41" s="2">
        <v>2.327</v>
      </c>
      <c r="H41" s="2">
        <v>2</v>
      </c>
      <c r="I41" s="2" t="s">
        <v>187</v>
      </c>
    </row>
    <row r="42" spans="1:9" ht="17.100000000000001" customHeight="1">
      <c r="A42" s="2">
        <v>2</v>
      </c>
      <c r="B42" s="2"/>
      <c r="C42" s="3" t="s">
        <v>13</v>
      </c>
      <c r="D42" s="2">
        <v>568</v>
      </c>
      <c r="E42" s="2">
        <v>58751</v>
      </c>
      <c r="F42" s="4">
        <v>1.776</v>
      </c>
      <c r="G42" s="4">
        <v>1.518</v>
      </c>
      <c r="H42" s="4">
        <v>9</v>
      </c>
      <c r="I42" s="2" t="s">
        <v>14</v>
      </c>
    </row>
    <row r="43" spans="1:9" ht="17.100000000000001" customHeight="1">
      <c r="A43" s="2">
        <v>71</v>
      </c>
      <c r="B43" s="2"/>
      <c r="C43" s="3" t="s">
        <v>191</v>
      </c>
      <c r="D43" s="2">
        <v>29</v>
      </c>
      <c r="E43" s="2">
        <v>17000</v>
      </c>
      <c r="F43" s="2">
        <v>1.6970000000000001</v>
      </c>
      <c r="G43" s="2">
        <v>1.119</v>
      </c>
      <c r="H43" s="2">
        <v>2</v>
      </c>
      <c r="I43" s="2" t="s">
        <v>192</v>
      </c>
    </row>
    <row r="44" spans="1:9" ht="17.100000000000001" customHeight="1">
      <c r="A44" s="2">
        <v>24</v>
      </c>
      <c r="B44" s="2"/>
      <c r="C44" s="3" t="s">
        <v>61</v>
      </c>
      <c r="D44" s="2">
        <v>86</v>
      </c>
      <c r="E44" s="2">
        <v>36453</v>
      </c>
      <c r="F44" s="2">
        <v>1.524</v>
      </c>
      <c r="G44" s="2">
        <v>1.7470000000000001</v>
      </c>
      <c r="H44" s="2">
        <v>2</v>
      </c>
      <c r="I44" s="2" t="s">
        <v>62</v>
      </c>
    </row>
    <row r="45" spans="1:9" ht="17.100000000000001" customHeight="1">
      <c r="A45" s="2">
        <v>26</v>
      </c>
      <c r="B45" s="2"/>
      <c r="C45" s="3" t="s">
        <v>90</v>
      </c>
      <c r="D45" s="2">
        <v>85</v>
      </c>
      <c r="E45" s="2">
        <v>35202</v>
      </c>
      <c r="F45" s="2">
        <v>1.508</v>
      </c>
      <c r="G45" s="2">
        <v>1.6279999999999999</v>
      </c>
      <c r="H45" s="2">
        <v>2</v>
      </c>
      <c r="I45" s="2" t="s">
        <v>91</v>
      </c>
    </row>
    <row r="46" spans="1:9" ht="17.100000000000001" customHeight="1">
      <c r="A46" s="2">
        <v>8</v>
      </c>
      <c r="B46" s="2"/>
      <c r="C46" s="3" t="s">
        <v>33</v>
      </c>
      <c r="D46" s="2">
        <v>214</v>
      </c>
      <c r="E46" s="2">
        <v>60826</v>
      </c>
      <c r="F46" s="2">
        <v>1.496</v>
      </c>
      <c r="G46" s="2">
        <v>7.3810000000000002</v>
      </c>
      <c r="H46" s="2">
        <v>9</v>
      </c>
      <c r="I46" s="2" t="s">
        <v>34</v>
      </c>
    </row>
    <row r="47" spans="1:9" ht="17.100000000000001" customHeight="1">
      <c r="A47" s="2">
        <v>55</v>
      </c>
      <c r="B47" s="2"/>
      <c r="C47" s="3" t="s">
        <v>102</v>
      </c>
      <c r="D47" s="2">
        <v>40</v>
      </c>
      <c r="E47" s="2">
        <v>73511</v>
      </c>
      <c r="F47" s="2">
        <v>1.466</v>
      </c>
      <c r="G47" s="2">
        <v>2.0859999999999999</v>
      </c>
      <c r="H47" s="2">
        <v>2</v>
      </c>
      <c r="I47" s="2" t="s">
        <v>103</v>
      </c>
    </row>
    <row r="48" spans="1:9" ht="17.100000000000001" customHeight="1">
      <c r="A48" s="2">
        <v>43</v>
      </c>
      <c r="B48" s="2"/>
      <c r="C48" s="3" t="s">
        <v>124</v>
      </c>
      <c r="D48" s="2">
        <v>52</v>
      </c>
      <c r="E48" s="2">
        <v>99742</v>
      </c>
      <c r="F48" s="2">
        <v>1.397</v>
      </c>
      <c r="G48" s="2">
        <v>2.641</v>
      </c>
      <c r="H48" s="2">
        <v>2</v>
      </c>
      <c r="I48" s="2" t="s">
        <v>125</v>
      </c>
    </row>
    <row r="49" spans="1:9" ht="17.100000000000001" customHeight="1">
      <c r="A49" s="2">
        <v>9</v>
      </c>
      <c r="B49" s="2"/>
      <c r="C49" s="3" t="s">
        <v>51</v>
      </c>
      <c r="D49" s="2">
        <v>205</v>
      </c>
      <c r="E49" s="2">
        <v>55763</v>
      </c>
      <c r="F49" s="2">
        <v>1.1850000000000001</v>
      </c>
      <c r="G49" s="2">
        <v>3.8610000000000002</v>
      </c>
      <c r="H49" s="2">
        <v>6</v>
      </c>
      <c r="I49" s="2" t="s">
        <v>52</v>
      </c>
    </row>
    <row r="50" spans="1:9" ht="17.100000000000001" customHeight="1">
      <c r="A50" s="2">
        <v>45</v>
      </c>
      <c r="B50" s="2"/>
      <c r="C50" s="3" t="s">
        <v>59</v>
      </c>
      <c r="D50" s="2">
        <v>51</v>
      </c>
      <c r="E50" s="2">
        <v>51940</v>
      </c>
      <c r="F50" s="2">
        <v>1.1000000000000001</v>
      </c>
      <c r="G50" s="2">
        <v>3.2109999999999999</v>
      </c>
      <c r="H50" s="2">
        <v>2</v>
      </c>
      <c r="I50" s="2" t="s">
        <v>60</v>
      </c>
    </row>
    <row r="51" spans="1:9" ht="17.100000000000001" customHeight="1">
      <c r="A51" s="2">
        <v>59</v>
      </c>
      <c r="B51" s="2"/>
      <c r="C51" s="3" t="s">
        <v>78</v>
      </c>
      <c r="D51" s="2">
        <v>36</v>
      </c>
      <c r="E51" s="2">
        <v>34977</v>
      </c>
      <c r="F51" s="2">
        <v>1.0900000000000001</v>
      </c>
      <c r="G51" s="2">
        <v>1.482</v>
      </c>
      <c r="H51" s="2">
        <v>2</v>
      </c>
      <c r="I51" s="2" t="s">
        <v>79</v>
      </c>
    </row>
    <row r="52" spans="1:9" ht="17.100000000000001" customHeight="1">
      <c r="A52" s="2">
        <v>76</v>
      </c>
      <c r="B52" s="2"/>
      <c r="C52" s="3" t="s">
        <v>232</v>
      </c>
      <c r="D52" s="2">
        <v>25</v>
      </c>
      <c r="E52" s="2">
        <v>34030</v>
      </c>
      <c r="F52" s="2">
        <v>1.0880000000000001</v>
      </c>
      <c r="G52" s="2">
        <v>1.7490000000000001</v>
      </c>
      <c r="H52" s="2">
        <v>2</v>
      </c>
      <c r="I52" s="2" t="s">
        <v>233</v>
      </c>
    </row>
    <row r="53" spans="1:9" ht="17.100000000000001" customHeight="1">
      <c r="A53" s="2">
        <v>32</v>
      </c>
      <c r="B53" s="2"/>
      <c r="C53" s="3" t="s">
        <v>84</v>
      </c>
      <c r="D53" s="2">
        <v>74</v>
      </c>
      <c r="E53" s="2">
        <v>98003</v>
      </c>
      <c r="F53" s="2">
        <v>0.86170000000000002</v>
      </c>
      <c r="G53" s="2">
        <v>3.5219999999999998</v>
      </c>
      <c r="H53" s="2">
        <v>5</v>
      </c>
      <c r="I53" s="2" t="s">
        <v>85</v>
      </c>
    </row>
    <row r="54" spans="1:9" ht="17.100000000000001" customHeight="1">
      <c r="A54" s="2">
        <v>44</v>
      </c>
      <c r="B54" s="2"/>
      <c r="C54" s="3" t="s">
        <v>138</v>
      </c>
      <c r="D54" s="2">
        <v>51</v>
      </c>
      <c r="E54" s="2">
        <v>37301</v>
      </c>
      <c r="F54" s="2">
        <v>0.59640000000000004</v>
      </c>
      <c r="G54" s="2">
        <v>2.8719999999999999</v>
      </c>
      <c r="H54" s="2">
        <v>2</v>
      </c>
      <c r="I54" s="2" t="s">
        <v>139</v>
      </c>
    </row>
    <row r="55" spans="1:9" ht="17.100000000000001" customHeight="1">
      <c r="A55" s="2">
        <v>27</v>
      </c>
      <c r="B55" s="2"/>
      <c r="C55" s="3" t="s">
        <v>170</v>
      </c>
      <c r="D55" s="2">
        <v>85</v>
      </c>
      <c r="E55" s="2">
        <v>105175</v>
      </c>
      <c r="F55" s="2">
        <v>0.52680000000000005</v>
      </c>
      <c r="G55" s="2">
        <v>15.01</v>
      </c>
      <c r="H55" s="2">
        <v>2</v>
      </c>
      <c r="I55" s="2" t="s">
        <v>171</v>
      </c>
    </row>
    <row r="56" spans="1:9" ht="17.100000000000001" customHeight="1">
      <c r="A56" s="2">
        <v>14</v>
      </c>
      <c r="B56" s="2"/>
      <c r="C56" s="3" t="s">
        <v>29</v>
      </c>
      <c r="D56" s="2">
        <v>125</v>
      </c>
      <c r="E56" s="2">
        <v>18544</v>
      </c>
      <c r="F56" s="2"/>
      <c r="G56" s="2"/>
      <c r="H56" s="2"/>
      <c r="I56" s="2" t="s">
        <v>30</v>
      </c>
    </row>
    <row r="57" spans="1:9" ht="17.100000000000001" customHeight="1">
      <c r="A57" s="2">
        <v>17</v>
      </c>
      <c r="B57" s="2"/>
      <c r="C57" s="3" t="s">
        <v>168</v>
      </c>
      <c r="D57" s="2">
        <v>104</v>
      </c>
      <c r="E57" s="2">
        <v>12739</v>
      </c>
      <c r="F57" s="2"/>
      <c r="G57" s="2"/>
      <c r="H57" s="2"/>
      <c r="I57" s="2" t="s">
        <v>169</v>
      </c>
    </row>
    <row r="58" spans="1:9" ht="17.100000000000001" customHeight="1">
      <c r="A58" s="2">
        <v>19</v>
      </c>
      <c r="B58" s="2"/>
      <c r="C58" s="3" t="s">
        <v>35</v>
      </c>
      <c r="D58" s="2">
        <v>102</v>
      </c>
      <c r="E58" s="2">
        <v>50523</v>
      </c>
      <c r="F58" s="2"/>
      <c r="G58" s="2"/>
      <c r="H58" s="2"/>
      <c r="I58" s="2" t="s">
        <v>36</v>
      </c>
    </row>
    <row r="59" spans="1:9" ht="17.100000000000001" customHeight="1">
      <c r="A59" s="2">
        <v>20</v>
      </c>
      <c r="B59" s="2"/>
      <c r="C59" s="3" t="s">
        <v>172</v>
      </c>
      <c r="D59" s="2">
        <v>95</v>
      </c>
      <c r="E59" s="2">
        <v>44975</v>
      </c>
      <c r="F59" s="2"/>
      <c r="G59" s="2"/>
      <c r="H59" s="2"/>
      <c r="I59" s="2" t="s">
        <v>173</v>
      </c>
    </row>
    <row r="60" spans="1:9" ht="17.100000000000001" customHeight="1">
      <c r="A60" s="2">
        <v>28</v>
      </c>
      <c r="B60" s="2"/>
      <c r="C60" s="3" t="s">
        <v>76</v>
      </c>
      <c r="D60" s="2">
        <v>84</v>
      </c>
      <c r="E60" s="2">
        <v>91495</v>
      </c>
      <c r="F60" s="2"/>
      <c r="G60" s="2"/>
      <c r="H60" s="2"/>
      <c r="I60" s="2" t="s">
        <v>77</v>
      </c>
    </row>
    <row r="61" spans="1:9" ht="17.100000000000001" customHeight="1">
      <c r="A61" s="2">
        <v>31</v>
      </c>
      <c r="B61" s="2"/>
      <c r="C61" s="3" t="s">
        <v>114</v>
      </c>
      <c r="D61" s="2">
        <v>80</v>
      </c>
      <c r="E61" s="2">
        <v>53187</v>
      </c>
      <c r="F61" s="2"/>
      <c r="G61" s="2"/>
      <c r="H61" s="2"/>
      <c r="I61" s="2" t="s">
        <v>115</v>
      </c>
    </row>
    <row r="62" spans="1:9" ht="17.100000000000001" customHeight="1">
      <c r="A62" s="2">
        <v>37</v>
      </c>
      <c r="B62" s="2"/>
      <c r="C62" s="3" t="s">
        <v>122</v>
      </c>
      <c r="D62" s="2">
        <v>63</v>
      </c>
      <c r="E62" s="2">
        <v>22264</v>
      </c>
      <c r="F62" s="2"/>
      <c r="G62" s="2"/>
      <c r="H62" s="2"/>
      <c r="I62" s="2" t="s">
        <v>123</v>
      </c>
    </row>
    <row r="63" spans="1:9" ht="17.100000000000001" customHeight="1">
      <c r="A63" s="2">
        <v>38</v>
      </c>
      <c r="B63" s="2"/>
      <c r="C63" s="3" t="s">
        <v>180</v>
      </c>
      <c r="D63" s="2">
        <v>60</v>
      </c>
      <c r="E63" s="2">
        <v>11803</v>
      </c>
      <c r="F63" s="2"/>
      <c r="G63" s="2"/>
      <c r="H63" s="2"/>
      <c r="I63" s="2" t="s">
        <v>181</v>
      </c>
    </row>
    <row r="64" spans="1:9" ht="17.100000000000001" customHeight="1">
      <c r="A64" s="2">
        <v>40</v>
      </c>
      <c r="B64" s="2"/>
      <c r="C64" s="3" t="s">
        <v>174</v>
      </c>
      <c r="D64" s="2">
        <v>58</v>
      </c>
      <c r="E64" s="2">
        <v>278416</v>
      </c>
      <c r="F64" s="2"/>
      <c r="G64" s="2"/>
      <c r="H64" s="2"/>
      <c r="I64" s="2" t="s">
        <v>175</v>
      </c>
    </row>
    <row r="65" spans="1:9" ht="17.100000000000001" customHeight="1">
      <c r="A65" s="2">
        <v>46</v>
      </c>
      <c r="B65" s="2"/>
      <c r="C65" s="3" t="s">
        <v>25</v>
      </c>
      <c r="D65" s="2">
        <v>47</v>
      </c>
      <c r="E65" s="2">
        <v>95376</v>
      </c>
      <c r="F65" s="2"/>
      <c r="G65" s="2"/>
      <c r="H65" s="2"/>
      <c r="I65" s="2" t="s">
        <v>26</v>
      </c>
    </row>
    <row r="66" spans="1:9" ht="17.100000000000001" customHeight="1">
      <c r="A66" s="2">
        <v>47</v>
      </c>
      <c r="B66" s="2"/>
      <c r="C66" s="3" t="s">
        <v>195</v>
      </c>
      <c r="D66" s="2">
        <v>46</v>
      </c>
      <c r="E66" s="2">
        <v>29434</v>
      </c>
      <c r="F66" s="2"/>
      <c r="G66" s="2"/>
      <c r="H66" s="2"/>
      <c r="I66" s="2" t="s">
        <v>196</v>
      </c>
    </row>
    <row r="67" spans="1:9" ht="17.100000000000001" customHeight="1">
      <c r="A67" s="2">
        <v>50</v>
      </c>
      <c r="B67" s="2"/>
      <c r="C67" s="3" t="s">
        <v>100</v>
      </c>
      <c r="D67" s="2">
        <v>45</v>
      </c>
      <c r="E67" s="2">
        <v>120417</v>
      </c>
      <c r="F67" s="2"/>
      <c r="G67" s="2"/>
      <c r="H67" s="2"/>
      <c r="I67" s="2" t="s">
        <v>101</v>
      </c>
    </row>
    <row r="68" spans="1:9" ht="17.100000000000001" customHeight="1">
      <c r="A68" s="2">
        <v>51</v>
      </c>
      <c r="B68" s="2"/>
      <c r="C68" s="3" t="s">
        <v>216</v>
      </c>
      <c r="D68" s="2">
        <v>45</v>
      </c>
      <c r="E68" s="2">
        <v>37040</v>
      </c>
      <c r="F68" s="2"/>
      <c r="G68" s="2"/>
      <c r="H68" s="2"/>
      <c r="I68" s="2" t="s">
        <v>217</v>
      </c>
    </row>
    <row r="69" spans="1:9" ht="17.100000000000001" customHeight="1">
      <c r="A69" s="2">
        <v>53</v>
      </c>
      <c r="B69" s="2"/>
      <c r="C69" s="3" t="s">
        <v>72</v>
      </c>
      <c r="D69" s="2">
        <v>43</v>
      </c>
      <c r="E69" s="2">
        <v>64275</v>
      </c>
      <c r="F69" s="2"/>
      <c r="G69" s="2"/>
      <c r="H69" s="2"/>
      <c r="I69" s="2" t="s">
        <v>73</v>
      </c>
    </row>
    <row r="70" spans="1:9" ht="17.100000000000001" customHeight="1">
      <c r="A70" s="2">
        <v>54</v>
      </c>
      <c r="B70" s="2"/>
      <c r="C70" s="3" t="s">
        <v>218</v>
      </c>
      <c r="D70" s="2">
        <v>41</v>
      </c>
      <c r="E70" s="2">
        <v>52014</v>
      </c>
      <c r="F70" s="2"/>
      <c r="G70" s="2"/>
      <c r="H70" s="2"/>
      <c r="I70" s="2" t="s">
        <v>219</v>
      </c>
    </row>
    <row r="71" spans="1:9" ht="17.100000000000001" customHeight="1">
      <c r="A71" s="2">
        <v>56</v>
      </c>
      <c r="B71" s="2"/>
      <c r="C71" s="3" t="s">
        <v>110</v>
      </c>
      <c r="D71" s="2">
        <v>39</v>
      </c>
      <c r="E71" s="2">
        <v>29672</v>
      </c>
      <c r="F71" s="2"/>
      <c r="G71" s="2"/>
      <c r="H71" s="2"/>
      <c r="I71" s="2" t="s">
        <v>111</v>
      </c>
    </row>
    <row r="72" spans="1:9" ht="17.100000000000001" customHeight="1">
      <c r="A72" s="2">
        <v>57</v>
      </c>
      <c r="B72" s="2"/>
      <c r="C72" s="3" t="s">
        <v>236</v>
      </c>
      <c r="D72" s="2">
        <v>37</v>
      </c>
      <c r="E72" s="2">
        <v>33272</v>
      </c>
      <c r="F72" s="2"/>
      <c r="G72" s="2"/>
      <c r="H72" s="2"/>
      <c r="I72" s="2" t="s">
        <v>67</v>
      </c>
    </row>
    <row r="73" spans="1:9" ht="17.100000000000001" customHeight="1">
      <c r="A73" s="2">
        <v>58</v>
      </c>
      <c r="B73" s="2"/>
      <c r="C73" s="3" t="s">
        <v>220</v>
      </c>
      <c r="D73" s="2">
        <v>36</v>
      </c>
      <c r="E73" s="2">
        <v>59835</v>
      </c>
      <c r="F73" s="2"/>
      <c r="G73" s="2"/>
      <c r="H73" s="2"/>
      <c r="I73" s="2" t="s">
        <v>221</v>
      </c>
    </row>
    <row r="74" spans="1:9" ht="17.100000000000001" customHeight="1">
      <c r="A74" s="2">
        <v>62</v>
      </c>
      <c r="B74" s="2"/>
      <c r="C74" s="3" t="s">
        <v>222</v>
      </c>
      <c r="D74" s="2">
        <v>32</v>
      </c>
      <c r="E74" s="2">
        <v>71227</v>
      </c>
      <c r="F74" s="2"/>
      <c r="G74" s="2"/>
      <c r="H74" s="2"/>
      <c r="I74" s="2" t="s">
        <v>223</v>
      </c>
    </row>
    <row r="75" spans="1:9" ht="17.100000000000001" customHeight="1">
      <c r="A75" s="2">
        <v>63</v>
      </c>
      <c r="B75" s="2"/>
      <c r="C75" s="3" t="s">
        <v>104</v>
      </c>
      <c r="D75" s="2">
        <v>31</v>
      </c>
      <c r="E75" s="2">
        <v>27857</v>
      </c>
      <c r="F75" s="2"/>
      <c r="G75" s="2"/>
      <c r="H75" s="2"/>
      <c r="I75" s="2" t="s">
        <v>105</v>
      </c>
    </row>
    <row r="76" spans="1:9" ht="17.100000000000001" customHeight="1">
      <c r="A76" s="2">
        <v>64</v>
      </c>
      <c r="B76" s="2"/>
      <c r="C76" s="3" t="s">
        <v>65</v>
      </c>
      <c r="D76" s="2">
        <v>31</v>
      </c>
      <c r="E76" s="2">
        <v>36929</v>
      </c>
      <c r="F76" s="2"/>
      <c r="G76" s="2"/>
      <c r="H76" s="2"/>
      <c r="I76" s="2" t="s">
        <v>66</v>
      </c>
    </row>
    <row r="77" spans="1:9" ht="17.100000000000001" customHeight="1">
      <c r="A77" s="2">
        <v>66</v>
      </c>
      <c r="B77" s="2"/>
      <c r="C77" s="3" t="s">
        <v>224</v>
      </c>
      <c r="D77" s="2">
        <v>30</v>
      </c>
      <c r="E77" s="2">
        <v>16817</v>
      </c>
      <c r="F77" s="2"/>
      <c r="G77" s="2"/>
      <c r="H77" s="2"/>
      <c r="I77" s="2" t="s">
        <v>225</v>
      </c>
    </row>
    <row r="78" spans="1:9" ht="17.100000000000001" customHeight="1">
      <c r="A78" s="2">
        <v>73</v>
      </c>
      <c r="B78" s="2"/>
      <c r="C78" s="3" t="s">
        <v>201</v>
      </c>
      <c r="D78" s="2">
        <v>27</v>
      </c>
      <c r="E78" s="2">
        <v>70921</v>
      </c>
      <c r="F78" s="2"/>
      <c r="G78" s="2"/>
      <c r="H78" s="2"/>
      <c r="I78" s="2" t="s">
        <v>202</v>
      </c>
    </row>
    <row r="79" spans="1:9" ht="17.100000000000001" customHeight="1">
      <c r="A79" s="2">
        <v>74</v>
      </c>
      <c r="B79" s="2"/>
      <c r="C79" s="3" t="s">
        <v>230</v>
      </c>
      <c r="D79" s="2">
        <v>27</v>
      </c>
      <c r="E79" s="2">
        <v>75851</v>
      </c>
      <c r="F79" s="2"/>
      <c r="G79" s="2"/>
      <c r="H79" s="2"/>
      <c r="I79" s="2" t="s">
        <v>231</v>
      </c>
    </row>
    <row r="80" spans="1:9" ht="17.100000000000001" customHeight="1">
      <c r="A80" s="2">
        <v>75</v>
      </c>
      <c r="B80" s="2"/>
      <c r="C80" s="3" t="s">
        <v>134</v>
      </c>
      <c r="D80" s="2">
        <v>26</v>
      </c>
      <c r="E80" s="2">
        <v>33970</v>
      </c>
      <c r="F80" s="2"/>
      <c r="G80" s="2"/>
      <c r="H80" s="2"/>
      <c r="I80" s="2" t="s">
        <v>135</v>
      </c>
    </row>
    <row r="81" spans="1:9" ht="17.100000000000001" customHeight="1">
      <c r="A81" s="2">
        <v>80</v>
      </c>
      <c r="B81" s="2"/>
      <c r="C81" s="3" t="s">
        <v>148</v>
      </c>
      <c r="D81" s="2">
        <v>20</v>
      </c>
      <c r="E81" s="2">
        <v>54375</v>
      </c>
      <c r="F81" s="2"/>
      <c r="G81" s="2"/>
      <c r="H81" s="2"/>
      <c r="I81" s="2" t="s">
        <v>149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>
      <selection activeCell="A6" sqref="A6"/>
    </sheetView>
  </sheetViews>
  <sheetFormatPr defaultRowHeight="17.100000000000001" customHeight="1"/>
  <cols>
    <col min="1" max="1" width="10.125" customWidth="1"/>
    <col min="9" max="9" width="75.625" customWidth="1"/>
  </cols>
  <sheetData>
    <row r="1" spans="1:9" ht="17.100000000000001" customHeight="1">
      <c r="A1" s="9" t="s">
        <v>1</v>
      </c>
      <c r="B1" s="9" t="s">
        <v>2</v>
      </c>
      <c r="C1" s="9" t="s">
        <v>237</v>
      </c>
      <c r="D1" s="9" t="s">
        <v>238</v>
      </c>
      <c r="E1" s="9" t="s">
        <v>239</v>
      </c>
      <c r="F1" s="9" t="s">
        <v>6</v>
      </c>
      <c r="G1" s="9" t="s">
        <v>241</v>
      </c>
      <c r="H1" s="9" t="s">
        <v>240</v>
      </c>
      <c r="I1" s="9" t="s">
        <v>8</v>
      </c>
    </row>
    <row r="2" spans="1:9" ht="17.100000000000001" customHeight="1">
      <c r="A2" s="10" t="s">
        <v>242</v>
      </c>
      <c r="B2" s="11">
        <v>156</v>
      </c>
      <c r="C2" s="11">
        <v>17.899999999999999</v>
      </c>
      <c r="D2" s="11">
        <v>1.853</v>
      </c>
      <c r="E2" s="11">
        <v>1.496</v>
      </c>
      <c r="F2" s="11">
        <v>3</v>
      </c>
      <c r="G2" s="11"/>
      <c r="H2" s="11"/>
      <c r="I2" s="11" t="s">
        <v>34</v>
      </c>
    </row>
    <row r="3" spans="1:9" ht="19.5" customHeight="1">
      <c r="A3" s="10" t="s">
        <v>243</v>
      </c>
      <c r="B3" s="11">
        <v>86</v>
      </c>
      <c r="C3" s="12">
        <v>13.28</v>
      </c>
      <c r="D3" s="12">
        <v>2.8780000000000001</v>
      </c>
      <c r="E3" s="11">
        <v>3.476</v>
      </c>
      <c r="F3" s="12">
        <v>3</v>
      </c>
      <c r="G3" s="12"/>
      <c r="H3" s="12"/>
      <c r="I3" s="11" t="s">
        <v>58</v>
      </c>
    </row>
    <row r="4" spans="1:9" ht="17.100000000000001" customHeight="1">
      <c r="A4" s="10" t="s">
        <v>244</v>
      </c>
      <c r="B4" s="11">
        <v>130</v>
      </c>
      <c r="C4" s="12">
        <v>12.79</v>
      </c>
      <c r="D4" s="12">
        <v>4.25</v>
      </c>
      <c r="E4" s="12" t="s">
        <v>245</v>
      </c>
      <c r="F4" s="12">
        <v>2</v>
      </c>
      <c r="G4" s="12"/>
      <c r="H4" s="12"/>
      <c r="I4" s="11" t="s">
        <v>36</v>
      </c>
    </row>
    <row r="5" spans="1:9" ht="17.100000000000001" customHeight="1">
      <c r="A5" s="10" t="s">
        <v>246</v>
      </c>
      <c r="B5" s="11">
        <v>81</v>
      </c>
      <c r="C5" s="12">
        <v>11.99</v>
      </c>
      <c r="D5" s="12">
        <v>5.8079999999999998</v>
      </c>
      <c r="E5" s="12" t="s">
        <v>245</v>
      </c>
      <c r="F5" s="12">
        <v>3</v>
      </c>
      <c r="G5" s="12"/>
      <c r="H5" s="12"/>
      <c r="I5" s="11" t="s">
        <v>66</v>
      </c>
    </row>
    <row r="6" spans="1:9" ht="17.100000000000001" customHeight="1">
      <c r="A6" s="13" t="s">
        <v>247</v>
      </c>
      <c r="B6" s="14">
        <v>166</v>
      </c>
      <c r="C6" s="15">
        <v>10.02</v>
      </c>
      <c r="D6" s="15">
        <v>4.1120000000000001</v>
      </c>
      <c r="E6" s="15">
        <v>4.6379999999999999</v>
      </c>
      <c r="F6" s="15">
        <v>13</v>
      </c>
      <c r="G6" s="15">
        <f>AVERAGE(C6:E6)</f>
        <v>6.2566666666666668</v>
      </c>
      <c r="H6" s="15">
        <f>STDEV(C6:E6)</f>
        <v>3.2697365847011799</v>
      </c>
      <c r="I6" s="14" t="s">
        <v>248</v>
      </c>
    </row>
    <row r="7" spans="1:9" ht="17.100000000000001" customHeight="1">
      <c r="A7" s="13" t="s">
        <v>249</v>
      </c>
      <c r="B7" s="14">
        <v>116</v>
      </c>
      <c r="C7" s="15">
        <v>9.82</v>
      </c>
      <c r="D7" s="15">
        <v>4.9829999999999997</v>
      </c>
      <c r="E7" s="15">
        <v>4.43</v>
      </c>
      <c r="F7" s="15">
        <v>2</v>
      </c>
      <c r="G7" s="15">
        <f t="shared" ref="G7:G20" si="0">AVERAGE(C7:E7)</f>
        <v>6.4110000000000005</v>
      </c>
      <c r="H7" s="15">
        <f t="shared" ref="H7:H20" si="1">STDEV(C7:E7)</f>
        <v>2.9652003305004517</v>
      </c>
      <c r="I7" s="14" t="s">
        <v>250</v>
      </c>
    </row>
    <row r="8" spans="1:9" ht="17.100000000000001" customHeight="1">
      <c r="A8" s="10" t="s">
        <v>251</v>
      </c>
      <c r="B8" s="11">
        <v>104</v>
      </c>
      <c r="C8" s="12">
        <v>7.4619999999999997</v>
      </c>
      <c r="D8" s="11">
        <v>4.0060000000000002</v>
      </c>
      <c r="E8" s="11">
        <v>2.226</v>
      </c>
      <c r="F8" s="12">
        <v>3</v>
      </c>
      <c r="G8" s="16"/>
      <c r="H8" s="16"/>
      <c r="I8" s="11" t="s">
        <v>46</v>
      </c>
    </row>
    <row r="9" spans="1:9" ht="17.100000000000001" customHeight="1">
      <c r="A9" s="13" t="s">
        <v>252</v>
      </c>
      <c r="B9" s="14">
        <v>389</v>
      </c>
      <c r="C9" s="15">
        <v>7.34</v>
      </c>
      <c r="D9" s="14">
        <v>3.5880000000000001</v>
      </c>
      <c r="E9" s="15">
        <v>4.7949999999999999</v>
      </c>
      <c r="F9" s="15">
        <v>7</v>
      </c>
      <c r="G9" s="15">
        <f t="shared" si="0"/>
        <v>5.2410000000000005</v>
      </c>
      <c r="H9" s="15">
        <f t="shared" si="1"/>
        <v>1.9153493153991499</v>
      </c>
      <c r="I9" s="14" t="s">
        <v>253</v>
      </c>
    </row>
    <row r="10" spans="1:9" ht="17.100000000000001" customHeight="1">
      <c r="A10" s="13" t="s">
        <v>254</v>
      </c>
      <c r="B10" s="14">
        <v>246</v>
      </c>
      <c r="C10" s="15">
        <v>7.1790000000000003</v>
      </c>
      <c r="D10" s="15">
        <v>3.6549999999999998</v>
      </c>
      <c r="E10" s="15">
        <v>2.391</v>
      </c>
      <c r="F10" s="15">
        <v>5</v>
      </c>
      <c r="G10" s="15">
        <f t="shared" si="0"/>
        <v>4.4083333333333332</v>
      </c>
      <c r="H10" s="15">
        <f t="shared" si="1"/>
        <v>2.4813039582714045</v>
      </c>
      <c r="I10" s="14" t="s">
        <v>255</v>
      </c>
    </row>
    <row r="11" spans="1:9" ht="17.100000000000001" customHeight="1">
      <c r="A11" s="10" t="s">
        <v>256</v>
      </c>
      <c r="B11" s="11">
        <v>95</v>
      </c>
      <c r="C11" s="12">
        <v>6.66</v>
      </c>
      <c r="D11" s="11">
        <v>0.49830000000000002</v>
      </c>
      <c r="E11" s="11">
        <v>1.1850000000000001</v>
      </c>
      <c r="F11" s="12">
        <v>2</v>
      </c>
      <c r="G11" s="16"/>
      <c r="H11" s="16"/>
      <c r="I11" s="11" t="s">
        <v>52</v>
      </c>
    </row>
    <row r="12" spans="1:9" ht="17.100000000000001" customHeight="1">
      <c r="A12" s="13" t="s">
        <v>257</v>
      </c>
      <c r="B12" s="14">
        <v>495</v>
      </c>
      <c r="C12" s="14">
        <v>6.0670000000000002</v>
      </c>
      <c r="D12" s="15">
        <v>3.49</v>
      </c>
      <c r="E12" s="15">
        <v>4.2830000000000004</v>
      </c>
      <c r="F12" s="14">
        <v>11</v>
      </c>
      <c r="G12" s="15">
        <f t="shared" si="0"/>
        <v>4.6133333333333333</v>
      </c>
      <c r="H12" s="15">
        <f t="shared" si="1"/>
        <v>1.3198758780026778</v>
      </c>
      <c r="I12" s="14" t="s">
        <v>12</v>
      </c>
    </row>
    <row r="13" spans="1:9" ht="17.100000000000001" customHeight="1">
      <c r="A13" s="13" t="s">
        <v>258</v>
      </c>
      <c r="B13" s="14">
        <v>565</v>
      </c>
      <c r="C13" s="14">
        <v>5.6369999999999996</v>
      </c>
      <c r="D13" s="15">
        <v>3.649</v>
      </c>
      <c r="E13" s="15">
        <v>3.1259999999999999</v>
      </c>
      <c r="F13" s="14">
        <v>12</v>
      </c>
      <c r="G13" s="15">
        <f t="shared" si="0"/>
        <v>4.1373333333333333</v>
      </c>
      <c r="H13" s="15">
        <f t="shared" si="1"/>
        <v>1.324814075005748</v>
      </c>
      <c r="I13" s="14" t="s">
        <v>259</v>
      </c>
    </row>
    <row r="14" spans="1:9" ht="17.100000000000001" customHeight="1">
      <c r="A14" s="13" t="s">
        <v>260</v>
      </c>
      <c r="B14" s="14">
        <v>369</v>
      </c>
      <c r="C14" s="15">
        <v>5.431</v>
      </c>
      <c r="D14" s="14">
        <v>2.863</v>
      </c>
      <c r="E14" s="15">
        <v>4.1360000000000001</v>
      </c>
      <c r="F14" s="15">
        <v>13</v>
      </c>
      <c r="G14" s="15">
        <f t="shared" si="0"/>
        <v>4.1433333333333335</v>
      </c>
      <c r="H14" s="15">
        <f t="shared" si="1"/>
        <v>1.2840157060306299</v>
      </c>
      <c r="I14" s="14" t="s">
        <v>18</v>
      </c>
    </row>
    <row r="15" spans="1:9" ht="17.100000000000001" customHeight="1">
      <c r="A15" s="13" t="s">
        <v>261</v>
      </c>
      <c r="B15" s="14">
        <v>97</v>
      </c>
      <c r="C15" s="14">
        <v>5.25</v>
      </c>
      <c r="D15" s="15">
        <v>5.9160000000000004</v>
      </c>
      <c r="E15" s="15">
        <v>5.9660000000000002</v>
      </c>
      <c r="F15" s="14">
        <v>3</v>
      </c>
      <c r="G15" s="15">
        <f t="shared" si="0"/>
        <v>5.7106666666666674</v>
      </c>
      <c r="H15" s="15">
        <f t="shared" si="1"/>
        <v>0.39973157660275577</v>
      </c>
      <c r="I15" s="14" t="s">
        <v>50</v>
      </c>
    </row>
    <row r="16" spans="1:9" ht="17.100000000000001" customHeight="1">
      <c r="A16" s="13" t="s">
        <v>262</v>
      </c>
      <c r="B16" s="14">
        <v>90</v>
      </c>
      <c r="C16" s="14">
        <v>5.1189999999999998</v>
      </c>
      <c r="D16" s="15">
        <v>3.3410000000000002</v>
      </c>
      <c r="E16" s="15">
        <v>5.5350000000000001</v>
      </c>
      <c r="F16" s="14">
        <v>3</v>
      </c>
      <c r="G16" s="15">
        <f t="shared" si="0"/>
        <v>4.665</v>
      </c>
      <c r="H16" s="15">
        <f t="shared" si="1"/>
        <v>1.1653308543070473</v>
      </c>
      <c r="I16" s="14" t="s">
        <v>263</v>
      </c>
    </row>
    <row r="17" spans="1:9" ht="17.100000000000001" customHeight="1">
      <c r="A17" s="17" t="s">
        <v>264</v>
      </c>
      <c r="B17" s="18">
        <v>106</v>
      </c>
      <c r="C17" s="16">
        <v>5.0590000000000002</v>
      </c>
      <c r="D17" s="18">
        <v>3.4950000000000001</v>
      </c>
      <c r="E17" s="18">
        <v>5.7460000000000004</v>
      </c>
      <c r="F17" s="16">
        <v>4</v>
      </c>
      <c r="G17" s="16">
        <f t="shared" si="0"/>
        <v>4.7666666666666666</v>
      </c>
      <c r="H17" s="16">
        <f t="shared" si="1"/>
        <v>1.153622266313082</v>
      </c>
      <c r="I17" s="18" t="s">
        <v>265</v>
      </c>
    </row>
    <row r="18" spans="1:9" ht="17.100000000000001" customHeight="1">
      <c r="A18" s="10" t="s">
        <v>266</v>
      </c>
      <c r="B18" s="11">
        <v>482</v>
      </c>
      <c r="C18" s="12">
        <v>4.9800000000000004</v>
      </c>
      <c r="D18" s="12">
        <v>1.6890000000000001</v>
      </c>
      <c r="E18" s="12">
        <v>1.776</v>
      </c>
      <c r="F18" s="12">
        <v>5</v>
      </c>
      <c r="G18" s="16"/>
      <c r="H18" s="16"/>
      <c r="I18" s="11" t="s">
        <v>14</v>
      </c>
    </row>
    <row r="19" spans="1:9" ht="17.100000000000001" customHeight="1">
      <c r="A19" s="13" t="s">
        <v>267</v>
      </c>
      <c r="B19" s="14">
        <v>102</v>
      </c>
      <c r="C19" s="14">
        <v>4.9359999999999999</v>
      </c>
      <c r="D19" s="15">
        <v>8.5030000000000001</v>
      </c>
      <c r="E19" s="15">
        <v>2.9870000000000001</v>
      </c>
      <c r="F19" s="14">
        <v>4</v>
      </c>
      <c r="G19" s="15">
        <f t="shared" si="0"/>
        <v>5.4753333333333343</v>
      </c>
      <c r="H19" s="15">
        <f t="shared" si="1"/>
        <v>2.7972708723563633</v>
      </c>
      <c r="I19" s="14" t="s">
        <v>48</v>
      </c>
    </row>
    <row r="20" spans="1:9" ht="17.100000000000001" customHeight="1">
      <c r="A20" s="17" t="s">
        <v>268</v>
      </c>
      <c r="B20" s="18">
        <v>129</v>
      </c>
      <c r="C20" s="16">
        <v>4.8499999999999996</v>
      </c>
      <c r="D20" s="16">
        <v>2.8690000000000002</v>
      </c>
      <c r="E20" s="16">
        <v>2.0790000000000002</v>
      </c>
      <c r="F20" s="16">
        <v>5</v>
      </c>
      <c r="G20" s="16">
        <f t="shared" si="0"/>
        <v>3.266</v>
      </c>
      <c r="H20" s="16">
        <f t="shared" si="1"/>
        <v>1.4275212783002573</v>
      </c>
      <c r="I20" s="18" t="s">
        <v>38</v>
      </c>
    </row>
    <row r="21" spans="1:9" ht="17.100000000000001" customHeight="1">
      <c r="A21" s="10" t="s">
        <v>269</v>
      </c>
      <c r="B21" s="11">
        <v>178</v>
      </c>
      <c r="C21" s="12">
        <v>4.7409999999999997</v>
      </c>
      <c r="D21" s="12">
        <v>3.5750000000000002</v>
      </c>
      <c r="E21" s="12" t="s">
        <v>245</v>
      </c>
      <c r="F21" s="12">
        <v>4</v>
      </c>
      <c r="G21" s="12"/>
      <c r="H21" s="12"/>
      <c r="I21" s="11" t="s">
        <v>26</v>
      </c>
    </row>
    <row r="22" spans="1:9" ht="17.100000000000001" customHeight="1">
      <c r="A22" s="10" t="s">
        <v>270</v>
      </c>
      <c r="B22" s="11">
        <v>127</v>
      </c>
      <c r="C22" s="11">
        <v>3.585</v>
      </c>
      <c r="D22" s="11" t="s">
        <v>271</v>
      </c>
      <c r="E22" s="11" t="s">
        <v>272</v>
      </c>
      <c r="F22" s="11">
        <v>5</v>
      </c>
      <c r="G22" s="11"/>
      <c r="H22" s="11"/>
      <c r="I22" s="11" t="s">
        <v>42</v>
      </c>
    </row>
    <row r="23" spans="1:9" ht="17.100000000000001" customHeight="1">
      <c r="A23" s="10" t="s">
        <v>273</v>
      </c>
      <c r="B23" s="11">
        <v>215</v>
      </c>
      <c r="C23" s="11">
        <v>3.2229999999999999</v>
      </c>
      <c r="D23" s="11">
        <v>1.0569999999999999</v>
      </c>
      <c r="E23" s="11">
        <v>2.1389999999999998</v>
      </c>
      <c r="F23" s="11">
        <v>6</v>
      </c>
      <c r="G23" s="11"/>
      <c r="H23" s="11"/>
      <c r="I23" s="11" t="s">
        <v>24</v>
      </c>
    </row>
    <row r="24" spans="1:9" ht="17.100000000000001" customHeight="1">
      <c r="A24" s="10" t="s">
        <v>274</v>
      </c>
      <c r="B24" s="11">
        <v>89</v>
      </c>
      <c r="C24" s="11">
        <v>3.153</v>
      </c>
      <c r="D24" s="11" t="s">
        <v>275</v>
      </c>
      <c r="E24" s="11" t="s">
        <v>276</v>
      </c>
      <c r="F24" s="11">
        <v>3</v>
      </c>
      <c r="G24" s="11"/>
      <c r="H24" s="11"/>
      <c r="I24" s="11" t="s">
        <v>56</v>
      </c>
    </row>
    <row r="25" spans="1:9" ht="17.100000000000001" customHeight="1">
      <c r="A25" s="10" t="s">
        <v>277</v>
      </c>
      <c r="B25" s="11">
        <v>158</v>
      </c>
      <c r="C25" s="11">
        <v>1.508</v>
      </c>
      <c r="D25" s="11" t="s">
        <v>278</v>
      </c>
      <c r="E25" s="11" t="s">
        <v>279</v>
      </c>
      <c r="F25" s="11">
        <v>4</v>
      </c>
      <c r="G25" s="11"/>
      <c r="H25" s="11"/>
      <c r="I25" s="11" t="s">
        <v>32</v>
      </c>
    </row>
    <row r="26" spans="1:9" ht="17.100000000000001" customHeight="1">
      <c r="A26" s="10" t="s">
        <v>280</v>
      </c>
      <c r="B26" s="11">
        <v>83</v>
      </c>
      <c r="C26" s="11">
        <v>1.3520000000000001</v>
      </c>
      <c r="D26" s="11" t="s">
        <v>245</v>
      </c>
      <c r="E26" s="11" t="s">
        <v>281</v>
      </c>
      <c r="F26" s="11">
        <v>2</v>
      </c>
      <c r="G26" s="11"/>
      <c r="H26" s="11"/>
      <c r="I26" s="11" t="s">
        <v>62</v>
      </c>
    </row>
    <row r="27" spans="1:9" ht="17.100000000000001" customHeight="1">
      <c r="A27" s="10" t="s">
        <v>282</v>
      </c>
      <c r="B27" s="11">
        <v>83</v>
      </c>
      <c r="C27" s="11">
        <v>0.95389999999999997</v>
      </c>
      <c r="D27" s="11" t="s">
        <v>283</v>
      </c>
      <c r="E27" s="11" t="s">
        <v>284</v>
      </c>
      <c r="F27" s="11">
        <v>2</v>
      </c>
      <c r="G27" s="11"/>
      <c r="H27" s="11"/>
      <c r="I27" s="11" t="s">
        <v>60</v>
      </c>
    </row>
    <row r="28" spans="1:9" ht="17.100000000000001" customHeight="1">
      <c r="A28" s="5"/>
      <c r="B28" s="5"/>
      <c r="C28" s="6"/>
      <c r="D28" s="5"/>
      <c r="E28" s="5"/>
      <c r="F28" s="7"/>
      <c r="G28" s="7"/>
      <c r="H28" s="7"/>
      <c r="I28" s="5"/>
    </row>
    <row r="29" spans="1:9" ht="17.100000000000001" customHeight="1">
      <c r="A29" s="5"/>
      <c r="B29" s="5"/>
      <c r="C29" s="6"/>
      <c r="D29" s="5"/>
      <c r="E29" s="5"/>
      <c r="F29" s="5"/>
      <c r="G29" s="5"/>
      <c r="H29" s="5"/>
      <c r="I29" s="5"/>
    </row>
    <row r="30" spans="1:9" ht="17.100000000000001" customHeight="1">
      <c r="A30" s="5"/>
      <c r="B30" s="5"/>
      <c r="C30" s="6"/>
      <c r="D30" s="5"/>
      <c r="E30" s="5"/>
      <c r="F30" s="5"/>
      <c r="G30" s="5"/>
      <c r="H30" s="5"/>
      <c r="I30" s="5"/>
    </row>
    <row r="31" spans="1:9" ht="17.100000000000001" customHeight="1">
      <c r="A31" s="5"/>
      <c r="B31" s="5"/>
      <c r="C31" s="6"/>
      <c r="D31" s="5"/>
      <c r="E31" s="5"/>
      <c r="F31" s="5"/>
      <c r="G31" s="5"/>
      <c r="H31" s="5"/>
      <c r="I31" s="5"/>
    </row>
    <row r="32" spans="1:9" ht="17.100000000000001" customHeight="1">
      <c r="A32" s="5"/>
      <c r="B32" s="5"/>
      <c r="C32" s="6"/>
      <c r="D32" s="5"/>
      <c r="E32" s="5"/>
      <c r="F32" s="5"/>
      <c r="G32" s="5"/>
      <c r="H32" s="5"/>
      <c r="I32" s="5"/>
    </row>
    <row r="33" spans="1:9" ht="17.100000000000001" customHeight="1">
      <c r="A33" s="5"/>
      <c r="B33" s="5"/>
      <c r="C33" s="6"/>
      <c r="D33" s="5"/>
      <c r="E33" s="5"/>
      <c r="F33" s="5"/>
      <c r="G33" s="5"/>
      <c r="H33" s="5"/>
      <c r="I33" s="5"/>
    </row>
    <row r="34" spans="1:9" ht="17.100000000000001" customHeight="1">
      <c r="A34" s="5"/>
      <c r="B34" s="5"/>
      <c r="C34" s="6"/>
      <c r="D34" s="5"/>
      <c r="E34" s="5"/>
      <c r="F34" s="7"/>
      <c r="G34" s="7"/>
      <c r="H34" s="7"/>
      <c r="I34" s="5"/>
    </row>
    <row r="35" spans="1:9" ht="17.100000000000001" customHeight="1">
      <c r="A35" s="5"/>
      <c r="B35" s="5"/>
      <c r="C35" s="6"/>
      <c r="D35" s="5"/>
      <c r="E35" s="5"/>
      <c r="F35" s="5"/>
      <c r="G35" s="5"/>
      <c r="H35" s="5"/>
      <c r="I35" s="5"/>
    </row>
    <row r="36" spans="1:9" ht="17.100000000000001" customHeight="1">
      <c r="A36" s="5"/>
      <c r="B36" s="5"/>
      <c r="C36" s="6"/>
      <c r="D36" s="5"/>
      <c r="E36" s="5"/>
      <c r="F36" s="5"/>
      <c r="G36" s="5"/>
      <c r="H36" s="5"/>
      <c r="I36" s="5"/>
    </row>
    <row r="37" spans="1:9" ht="17.100000000000001" customHeight="1">
      <c r="A37" s="5"/>
      <c r="B37" s="5"/>
      <c r="C37" s="6"/>
      <c r="D37" s="5"/>
      <c r="E37" s="5"/>
      <c r="F37" s="5"/>
      <c r="G37" s="5"/>
      <c r="H37" s="5"/>
      <c r="I37" s="5"/>
    </row>
    <row r="38" spans="1:9" ht="17.100000000000001" customHeight="1">
      <c r="A38" s="5"/>
      <c r="B38" s="5"/>
      <c r="C38" s="6"/>
      <c r="D38" s="5"/>
      <c r="E38" s="5"/>
      <c r="F38" s="7"/>
      <c r="G38" s="7"/>
      <c r="H38" s="7"/>
      <c r="I38" s="5"/>
    </row>
    <row r="39" spans="1:9" ht="17.100000000000001" customHeight="1">
      <c r="A39" s="5"/>
      <c r="B39" s="5"/>
      <c r="C39" s="6"/>
      <c r="D39" s="5"/>
      <c r="E39" s="5"/>
      <c r="F39" s="5"/>
      <c r="G39" s="5"/>
      <c r="H39" s="5"/>
      <c r="I39" s="5"/>
    </row>
    <row r="40" spans="1:9" ht="17.100000000000001" customHeight="1">
      <c r="A40" s="5"/>
      <c r="B40" s="5"/>
      <c r="C40" s="6"/>
      <c r="D40" s="5"/>
      <c r="E40" s="5"/>
      <c r="F40" s="5"/>
      <c r="G40" s="5"/>
      <c r="H40" s="5"/>
      <c r="I40" s="5"/>
    </row>
    <row r="41" spans="1:9" ht="17.100000000000001" customHeight="1">
      <c r="A41" s="5"/>
      <c r="B41" s="5"/>
      <c r="C41" s="6"/>
      <c r="D41" s="5"/>
      <c r="E41" s="5"/>
      <c r="F41" s="7"/>
      <c r="G41" s="7"/>
      <c r="H41" s="7"/>
      <c r="I41" s="5"/>
    </row>
    <row r="42" spans="1:9" ht="17.100000000000001" customHeight="1">
      <c r="A42" s="5"/>
      <c r="B42" s="5"/>
      <c r="C42" s="6"/>
      <c r="D42" s="5"/>
      <c r="E42" s="5"/>
      <c r="F42" s="5"/>
      <c r="G42" s="5"/>
      <c r="H42" s="5"/>
      <c r="I42" s="5"/>
    </row>
    <row r="43" spans="1:9" ht="17.100000000000001" customHeight="1">
      <c r="A43" s="5"/>
      <c r="B43" s="5"/>
      <c r="C43" s="6"/>
      <c r="D43" s="5"/>
      <c r="E43" s="5"/>
      <c r="F43" s="5"/>
      <c r="G43" s="5"/>
      <c r="H43" s="5"/>
      <c r="I43" s="5"/>
    </row>
    <row r="44" spans="1:9" ht="17.100000000000001" customHeight="1">
      <c r="A44" s="5"/>
      <c r="B44" s="5"/>
      <c r="C44" s="6"/>
      <c r="D44" s="5"/>
      <c r="E44" s="5"/>
      <c r="F44" s="5"/>
      <c r="G44" s="5"/>
      <c r="H44" s="5"/>
      <c r="I44" s="5"/>
    </row>
    <row r="45" spans="1:9" ht="17.100000000000001" customHeight="1">
      <c r="A45" s="5"/>
      <c r="B45" s="5"/>
      <c r="C45" s="6"/>
      <c r="D45" s="5"/>
      <c r="E45" s="5"/>
      <c r="F45" s="5"/>
      <c r="G45" s="5"/>
      <c r="H45" s="5"/>
      <c r="I45" s="5"/>
    </row>
    <row r="46" spans="1:9" ht="17.100000000000001" customHeight="1">
      <c r="A46" s="5"/>
      <c r="B46" s="5"/>
      <c r="C46" s="6"/>
      <c r="D46" s="5"/>
      <c r="E46" s="5"/>
      <c r="F46" s="5"/>
      <c r="G46" s="5"/>
      <c r="H46" s="5"/>
      <c r="I46" s="5"/>
    </row>
    <row r="47" spans="1:9" ht="17.100000000000001" customHeight="1">
      <c r="A47" s="5"/>
      <c r="B47" s="5"/>
      <c r="C47" s="6"/>
      <c r="D47" s="5"/>
      <c r="E47" s="5"/>
      <c r="F47" s="5"/>
      <c r="G47" s="5"/>
      <c r="H47" s="5"/>
      <c r="I47" s="5"/>
    </row>
    <row r="48" spans="1:9" ht="17.100000000000001" customHeight="1">
      <c r="A48" s="5"/>
      <c r="B48" s="5"/>
      <c r="C48" s="6"/>
      <c r="D48" s="5"/>
      <c r="E48" s="5"/>
      <c r="F48" s="5"/>
      <c r="G48" s="5"/>
      <c r="H48" s="5"/>
      <c r="I48" s="5"/>
    </row>
    <row r="49" spans="1:9" ht="17.100000000000001" customHeight="1">
      <c r="A49" s="5"/>
      <c r="B49" s="5"/>
      <c r="C49" s="6"/>
      <c r="D49" s="5"/>
      <c r="E49" s="5"/>
      <c r="F49" s="5"/>
      <c r="G49" s="5"/>
      <c r="H49" s="5"/>
      <c r="I49" s="5"/>
    </row>
    <row r="50" spans="1:9" ht="17.100000000000001" customHeight="1">
      <c r="A50" s="5"/>
      <c r="B50" s="5"/>
      <c r="C50" s="6"/>
      <c r="D50" s="5"/>
      <c r="E50" s="5"/>
      <c r="F50" s="5"/>
      <c r="G50" s="5"/>
      <c r="H50" s="5"/>
      <c r="I50" s="5"/>
    </row>
    <row r="51" spans="1:9" ht="17.100000000000001" customHeight="1">
      <c r="A51" s="5"/>
      <c r="B51" s="5"/>
      <c r="C51" s="6"/>
      <c r="D51" s="5"/>
      <c r="E51" s="5"/>
      <c r="F51" s="5"/>
      <c r="G51" s="5"/>
      <c r="H51" s="5"/>
      <c r="I51" s="5"/>
    </row>
    <row r="52" spans="1:9" ht="17.100000000000001" customHeight="1">
      <c r="A52" s="5"/>
      <c r="B52" s="5"/>
      <c r="C52" s="6"/>
      <c r="D52" s="5"/>
      <c r="E52" s="5"/>
      <c r="F52" s="5"/>
      <c r="G52" s="5"/>
      <c r="H52" s="5"/>
      <c r="I52" s="5"/>
    </row>
    <row r="53" spans="1:9" ht="17.100000000000001" customHeight="1">
      <c r="A53" s="5"/>
      <c r="B53" s="5"/>
      <c r="C53" s="6"/>
      <c r="D53" s="5"/>
      <c r="E53" s="5"/>
      <c r="F53" s="5"/>
      <c r="G53" s="5"/>
      <c r="H53" s="5"/>
      <c r="I53" s="5"/>
    </row>
    <row r="54" spans="1:9" ht="17.100000000000001" customHeight="1">
      <c r="A54" s="5"/>
      <c r="B54" s="5"/>
      <c r="C54" s="6"/>
      <c r="D54" s="5"/>
      <c r="E54" s="5"/>
      <c r="F54" s="5"/>
      <c r="G54" s="5"/>
      <c r="H54" s="5"/>
      <c r="I54" s="5"/>
    </row>
    <row r="55" spans="1:9" ht="17.100000000000001" customHeight="1">
      <c r="A55" s="5"/>
      <c r="B55" s="5"/>
      <c r="C55" s="6"/>
      <c r="D55" s="5"/>
      <c r="E55" s="5"/>
      <c r="F55" s="5"/>
      <c r="G55" s="5"/>
      <c r="H55" s="5"/>
      <c r="I55" s="5"/>
    </row>
    <row r="56" spans="1:9" ht="17.100000000000001" customHeight="1">
      <c r="A56" s="5"/>
      <c r="B56" s="5"/>
      <c r="C56" s="6"/>
      <c r="D56" s="5"/>
      <c r="E56" s="5"/>
      <c r="F56" s="5"/>
      <c r="G56" s="5"/>
      <c r="H56" s="5"/>
      <c r="I56" s="5"/>
    </row>
    <row r="57" spans="1:9" ht="17.100000000000001" customHeight="1">
      <c r="A57" s="5"/>
      <c r="B57" s="5"/>
      <c r="C57" s="6"/>
      <c r="D57" s="5"/>
      <c r="E57" s="5"/>
      <c r="F57" s="5"/>
      <c r="G57" s="5"/>
      <c r="H57" s="5"/>
      <c r="I57" s="5"/>
    </row>
    <row r="58" spans="1:9" ht="17.100000000000001" customHeight="1">
      <c r="A58" s="5"/>
      <c r="B58" s="5"/>
      <c r="C58" s="6"/>
      <c r="D58" s="5"/>
      <c r="E58" s="5"/>
      <c r="F58" s="5"/>
      <c r="G58" s="5"/>
      <c r="H58" s="5"/>
      <c r="I58" s="5"/>
    </row>
    <row r="59" spans="1:9" ht="17.100000000000001" customHeight="1">
      <c r="A59" s="5"/>
      <c r="B59" s="5"/>
      <c r="C59" s="6"/>
      <c r="D59" s="5"/>
      <c r="E59" s="5"/>
      <c r="F59" s="5"/>
      <c r="G59" s="5"/>
      <c r="H59" s="5"/>
      <c r="I59" s="5"/>
    </row>
    <row r="60" spans="1:9" ht="17.100000000000001" customHeight="1">
      <c r="A60" s="5"/>
      <c r="B60" s="5"/>
      <c r="C60" s="6"/>
      <c r="D60" s="5"/>
      <c r="E60" s="5"/>
      <c r="F60" s="5"/>
      <c r="G60" s="5"/>
      <c r="H60" s="5"/>
      <c r="I60" s="5"/>
    </row>
    <row r="61" spans="1:9" ht="17.100000000000001" customHeight="1">
      <c r="A61" s="5"/>
      <c r="B61" s="5"/>
      <c r="C61" s="6"/>
      <c r="D61" s="5"/>
      <c r="E61" s="5"/>
      <c r="F61" s="5"/>
      <c r="G61" s="5"/>
      <c r="H61" s="5"/>
      <c r="I61" s="5"/>
    </row>
    <row r="62" spans="1:9" ht="17.100000000000001" customHeight="1">
      <c r="A62" s="5"/>
      <c r="B62" s="5"/>
      <c r="C62" s="6"/>
      <c r="D62" s="5"/>
      <c r="E62" s="5"/>
      <c r="F62" s="5"/>
      <c r="G62" s="5"/>
      <c r="H62" s="5"/>
      <c r="I62" s="5"/>
    </row>
    <row r="63" spans="1:9" ht="17.100000000000001" customHeight="1">
      <c r="A63" s="5"/>
      <c r="B63" s="5"/>
      <c r="C63" s="6"/>
      <c r="D63" s="5"/>
      <c r="E63" s="5"/>
      <c r="F63" s="5"/>
      <c r="G63" s="5"/>
      <c r="H63" s="5"/>
      <c r="I63" s="5"/>
    </row>
    <row r="64" spans="1:9" ht="17.100000000000001" customHeight="1">
      <c r="A64" s="5"/>
      <c r="B64" s="5"/>
      <c r="C64" s="6"/>
      <c r="D64" s="5"/>
      <c r="E64" s="5"/>
      <c r="F64" s="5"/>
      <c r="G64" s="5"/>
      <c r="H64" s="5"/>
      <c r="I64" s="5"/>
    </row>
    <row r="65" spans="1:9" ht="17.100000000000001" customHeight="1">
      <c r="A65" s="5"/>
      <c r="B65" s="5"/>
      <c r="C65" s="6"/>
      <c r="D65" s="5"/>
      <c r="E65" s="5"/>
      <c r="F65" s="5"/>
      <c r="G65" s="5"/>
      <c r="H65" s="5"/>
      <c r="I65" s="5"/>
    </row>
    <row r="66" spans="1:9" ht="17.100000000000001" customHeight="1">
      <c r="A66" s="5"/>
      <c r="B66" s="5"/>
      <c r="C66" s="6"/>
      <c r="D66" s="5"/>
      <c r="E66" s="5"/>
      <c r="F66" s="5"/>
      <c r="G66" s="5"/>
      <c r="H66" s="5"/>
      <c r="I66" s="5"/>
    </row>
    <row r="67" spans="1:9" ht="17.100000000000001" customHeight="1">
      <c r="A67" s="5"/>
      <c r="B67" s="5"/>
      <c r="C67" s="6"/>
      <c r="D67" s="5"/>
      <c r="E67" s="5"/>
      <c r="F67" s="5"/>
      <c r="G67" s="5"/>
      <c r="H67" s="5"/>
      <c r="I67" s="5"/>
    </row>
    <row r="68" spans="1:9" ht="17.100000000000001" customHeight="1">
      <c r="A68" s="5"/>
      <c r="B68" s="5"/>
      <c r="C68" s="6"/>
      <c r="D68" s="5"/>
      <c r="E68" s="5"/>
      <c r="F68" s="5"/>
      <c r="G68" s="5"/>
      <c r="H68" s="5"/>
      <c r="I68" s="5"/>
    </row>
    <row r="69" spans="1:9" ht="17.100000000000001" customHeight="1">
      <c r="A69" s="5"/>
      <c r="B69" s="5"/>
      <c r="C69" s="6"/>
      <c r="D69" s="5"/>
      <c r="E69" s="5"/>
      <c r="F69" s="5"/>
      <c r="G69" s="5"/>
      <c r="H69" s="5"/>
      <c r="I69" s="5"/>
    </row>
    <row r="70" spans="1:9" ht="17.100000000000001" customHeight="1">
      <c r="A70" s="5"/>
      <c r="B70" s="5"/>
      <c r="C70" s="6"/>
      <c r="D70" s="5"/>
      <c r="E70" s="5"/>
      <c r="F70" s="5"/>
      <c r="G70" s="5"/>
      <c r="H70" s="5"/>
      <c r="I70" s="5"/>
    </row>
    <row r="71" spans="1:9" ht="17.100000000000001" customHeight="1">
      <c r="A71" s="5"/>
      <c r="B71" s="5"/>
      <c r="C71" s="6"/>
      <c r="D71" s="5"/>
      <c r="E71" s="5"/>
      <c r="F71" s="5"/>
      <c r="G71" s="5"/>
      <c r="H71" s="5"/>
      <c r="I71" s="5"/>
    </row>
    <row r="72" spans="1:9" ht="17.100000000000001" customHeight="1">
      <c r="A72" s="5"/>
      <c r="B72" s="5"/>
      <c r="C72" s="6"/>
      <c r="D72" s="5"/>
      <c r="E72" s="5"/>
      <c r="F72" s="5"/>
      <c r="G72" s="5"/>
      <c r="H72" s="5"/>
      <c r="I72" s="5"/>
    </row>
    <row r="73" spans="1:9" ht="17.100000000000001" customHeight="1">
      <c r="A73" s="5"/>
      <c r="B73" s="5"/>
      <c r="C73" s="6"/>
      <c r="D73" s="5"/>
      <c r="E73" s="5"/>
      <c r="F73" s="5"/>
      <c r="G73" s="5"/>
      <c r="H73" s="5"/>
      <c r="I73" s="5"/>
    </row>
    <row r="74" spans="1:9" ht="17.100000000000001" customHeight="1">
      <c r="A74" s="5"/>
      <c r="B74" s="5"/>
      <c r="C74" s="6"/>
      <c r="D74" s="5"/>
      <c r="E74" s="5"/>
      <c r="F74" s="5"/>
      <c r="G74" s="5"/>
      <c r="H74" s="5"/>
      <c r="I74" s="5"/>
    </row>
    <row r="75" spans="1:9" ht="17.100000000000001" customHeight="1">
      <c r="A75" s="5"/>
      <c r="B75" s="5"/>
      <c r="C75" s="6"/>
      <c r="D75" s="5"/>
      <c r="E75" s="5"/>
      <c r="F75" s="5"/>
      <c r="G75" s="5"/>
      <c r="H75" s="5"/>
      <c r="I75" s="5"/>
    </row>
    <row r="76" spans="1:9" ht="17.100000000000001" customHeight="1">
      <c r="A76" s="5"/>
      <c r="B76" s="5"/>
      <c r="C76" s="6"/>
      <c r="D76" s="5"/>
      <c r="E76" s="5"/>
      <c r="F76" s="5"/>
      <c r="G76" s="5"/>
      <c r="H76" s="5"/>
      <c r="I76" s="5"/>
    </row>
    <row r="77" spans="1:9" ht="17.100000000000001" customHeight="1">
      <c r="A77" s="5"/>
      <c r="B77" s="5"/>
      <c r="C77" s="6"/>
      <c r="D77" s="5"/>
      <c r="E77" s="5"/>
      <c r="F77" s="5"/>
      <c r="G77" s="5"/>
      <c r="H77" s="5"/>
      <c r="I77" s="5"/>
    </row>
    <row r="78" spans="1:9" ht="17.100000000000001" customHeight="1">
      <c r="A78" s="5"/>
      <c r="B78" s="5"/>
      <c r="C78" s="6"/>
      <c r="D78" s="5"/>
      <c r="E78" s="5"/>
      <c r="F78" s="5"/>
      <c r="G78" s="5"/>
      <c r="H78" s="5"/>
      <c r="I78" s="5"/>
    </row>
    <row r="79" spans="1:9" ht="17.100000000000001" customHeight="1">
      <c r="A79" s="5"/>
      <c r="B79" s="5"/>
      <c r="C79" s="6"/>
      <c r="D79" s="5"/>
      <c r="E79" s="5"/>
      <c r="F79" s="5"/>
      <c r="G79" s="5"/>
      <c r="H79" s="5"/>
      <c r="I79" s="5"/>
    </row>
    <row r="80" spans="1:9" ht="17.100000000000001" customHeight="1">
      <c r="A80" s="5"/>
      <c r="B80" s="5"/>
      <c r="C80" s="6"/>
      <c r="D80" s="5"/>
      <c r="E80" s="5"/>
      <c r="F80" s="5"/>
      <c r="G80" s="5"/>
      <c r="H80" s="5"/>
      <c r="I80" s="5"/>
    </row>
    <row r="81" spans="1:9" ht="17.100000000000001" customHeight="1">
      <c r="A81" s="8"/>
      <c r="B81" s="8"/>
      <c r="C81" s="8"/>
      <c r="D81" s="8"/>
      <c r="E81" s="8"/>
      <c r="F81" s="8"/>
      <c r="G81" s="8"/>
      <c r="H81" s="8"/>
      <c r="I81" s="8"/>
    </row>
    <row r="82" spans="1:9" ht="17.100000000000001" customHeight="1">
      <c r="A82" s="8"/>
      <c r="B82" s="8"/>
      <c r="C82" s="8"/>
      <c r="D82" s="8"/>
      <c r="E82" s="8"/>
      <c r="F82" s="8"/>
      <c r="G82" s="8"/>
      <c r="H82" s="8"/>
      <c r="I82" s="8"/>
    </row>
    <row r="83" spans="1:9" ht="17.100000000000001" customHeight="1">
      <c r="A83" s="8"/>
      <c r="B83" s="8"/>
      <c r="C83" s="8"/>
      <c r="D83" s="8"/>
      <c r="E83" s="8"/>
      <c r="F83" s="8"/>
      <c r="G83" s="8"/>
      <c r="H83" s="8"/>
      <c r="I83" s="8"/>
    </row>
    <row r="84" spans="1:9" ht="17.100000000000001" customHeight="1">
      <c r="A84" s="8"/>
      <c r="B84" s="8"/>
      <c r="C84" s="8"/>
      <c r="D84" s="8"/>
      <c r="E84" s="8"/>
      <c r="F84" s="8"/>
      <c r="G84" s="8"/>
      <c r="H84" s="8"/>
      <c r="I84" s="8"/>
    </row>
    <row r="85" spans="1:9" ht="17.100000000000001" customHeight="1">
      <c r="A85" s="8"/>
      <c r="B85" s="8"/>
      <c r="C85" s="8"/>
      <c r="D85" s="8"/>
      <c r="E85" s="8"/>
      <c r="F85" s="8"/>
      <c r="G85" s="8"/>
      <c r="H85" s="8"/>
      <c r="I85" s="8"/>
    </row>
    <row r="86" spans="1:9" ht="17.100000000000001" customHeight="1">
      <c r="A86" s="8"/>
      <c r="B86" s="8"/>
      <c r="C86" s="8"/>
      <c r="D86" s="8"/>
      <c r="E86" s="8"/>
      <c r="F86" s="8"/>
      <c r="G86" s="8"/>
      <c r="H86" s="8"/>
      <c r="I86" s="8"/>
    </row>
    <row r="87" spans="1:9" ht="17.100000000000001" customHeight="1">
      <c r="A87" s="8"/>
      <c r="B87" s="8"/>
      <c r="C87" s="8"/>
      <c r="D87" s="8"/>
      <c r="E87" s="8"/>
      <c r="F87" s="8"/>
      <c r="G87" s="8"/>
      <c r="H87" s="8"/>
      <c r="I87" s="8"/>
    </row>
    <row r="88" spans="1:9" ht="17.100000000000001" customHeight="1">
      <c r="A88" s="8"/>
      <c r="B88" s="8"/>
      <c r="C88" s="8"/>
      <c r="D88" s="8"/>
      <c r="E88" s="8"/>
      <c r="F88" s="8"/>
      <c r="G88" s="8"/>
      <c r="H88" s="8"/>
      <c r="I88" s="8"/>
    </row>
    <row r="89" spans="1:9" ht="17.100000000000001" customHeight="1">
      <c r="A89" s="8"/>
      <c r="B89" s="8"/>
      <c r="C89" s="8"/>
      <c r="D89" s="8"/>
      <c r="E89" s="8"/>
      <c r="F89" s="8"/>
      <c r="G89" s="8"/>
      <c r="H89" s="8"/>
      <c r="I89" s="8"/>
    </row>
    <row r="90" spans="1:9" ht="17.100000000000001" customHeight="1">
      <c r="A90" s="8"/>
      <c r="B90" s="8"/>
      <c r="C90" s="8"/>
      <c r="D90" s="8"/>
      <c r="E90" s="8"/>
      <c r="F90" s="8"/>
      <c r="G90" s="8"/>
      <c r="H90" s="8"/>
      <c r="I90" s="8"/>
    </row>
    <row r="91" spans="1:9" ht="17.100000000000001" customHeight="1">
      <c r="A91" s="8"/>
      <c r="B91" s="8"/>
      <c r="C91" s="8"/>
      <c r="D91" s="8"/>
      <c r="E91" s="8"/>
      <c r="F91" s="8"/>
      <c r="G91" s="8"/>
      <c r="H91" s="8"/>
      <c r="I91" s="8"/>
    </row>
    <row r="92" spans="1:9" ht="17.100000000000001" customHeight="1">
      <c r="A92" s="8"/>
      <c r="B92" s="8"/>
      <c r="C92" s="8"/>
      <c r="D92" s="8"/>
      <c r="E92" s="8"/>
      <c r="F92" s="8"/>
      <c r="G92" s="8"/>
      <c r="H92" s="8"/>
      <c r="I92" s="8"/>
    </row>
    <row r="93" spans="1:9" ht="17.100000000000001" customHeight="1">
      <c r="A93" s="8"/>
      <c r="B93" s="8"/>
      <c r="C93" s="8"/>
      <c r="D93" s="8"/>
      <c r="E93" s="8"/>
      <c r="F93" s="8"/>
      <c r="G93" s="8"/>
      <c r="H93" s="8"/>
      <c r="I93" s="8"/>
    </row>
    <row r="94" spans="1:9" ht="17.100000000000001" customHeight="1">
      <c r="A94" s="8"/>
      <c r="B94" s="8"/>
      <c r="C94" s="8"/>
      <c r="D94" s="8"/>
      <c r="E94" s="8"/>
      <c r="F94" s="8"/>
      <c r="G94" s="8"/>
      <c r="H94" s="8"/>
      <c r="I94" s="8"/>
    </row>
    <row r="95" spans="1:9" ht="17.100000000000001" customHeight="1">
      <c r="A95" s="8"/>
      <c r="B95" s="8"/>
      <c r="C95" s="8"/>
      <c r="D95" s="8"/>
      <c r="E95" s="8"/>
      <c r="F95" s="8"/>
      <c r="G95" s="8"/>
      <c r="H95" s="8"/>
      <c r="I95" s="8"/>
    </row>
    <row r="96" spans="1:9" ht="17.100000000000001" customHeight="1">
      <c r="A96" s="8"/>
      <c r="B96" s="8"/>
      <c r="C96" s="8"/>
      <c r="D96" s="8"/>
      <c r="E96" s="8"/>
      <c r="F96" s="8"/>
      <c r="G96" s="8"/>
      <c r="H96" s="8"/>
      <c r="I96" s="8"/>
    </row>
    <row r="97" spans="1:9" ht="17.100000000000001" customHeight="1">
      <c r="A97" s="8"/>
      <c r="B97" s="8"/>
      <c r="C97" s="8"/>
      <c r="D97" s="8"/>
      <c r="E97" s="8"/>
      <c r="F97" s="8"/>
      <c r="G97" s="8"/>
      <c r="H97" s="8"/>
      <c r="I97" s="8"/>
    </row>
    <row r="98" spans="1:9" ht="17.100000000000001" customHeight="1">
      <c r="A98" s="8"/>
      <c r="B98" s="8"/>
      <c r="C98" s="8"/>
      <c r="D98" s="8"/>
      <c r="E98" s="8"/>
      <c r="F98" s="8"/>
      <c r="G98" s="8"/>
      <c r="H98" s="8"/>
      <c r="I98" s="8"/>
    </row>
  </sheetData>
  <phoneticPr fontId="3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mix1Rat</vt:lpstr>
      <vt:lpstr>mix2Rat</vt:lpstr>
      <vt:lpstr>mix3Rat</vt:lpstr>
      <vt:lpstr>statistics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KMU</dc:creator>
  <cp:lastModifiedBy>Liang</cp:lastModifiedBy>
  <dcterms:created xsi:type="dcterms:W3CDTF">2012-09-27T08:49:24Z</dcterms:created>
  <dcterms:modified xsi:type="dcterms:W3CDTF">2013-01-24T02:51:49Z</dcterms:modified>
</cp:coreProperties>
</file>