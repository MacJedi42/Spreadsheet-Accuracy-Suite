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0" yWindow="132" windowWidth="20256" windowHeight="9468"/>
  </bookViews>
  <sheets>
    <sheet name="Expenditure 2011-2012" sheetId="1" r:id="rId1"/>
  </sheets>
  <calcPr calcId="145621"/>
</workbook>
</file>

<file path=xl/calcChain.xml><?xml version="1.0" encoding="utf-8"?>
<calcChain xmlns="http://schemas.openxmlformats.org/spreadsheetml/2006/main">
  <c r="E20" i="1"/>
  <c r="E32" s="1"/>
  <c r="E34" s="1"/>
  <c r="E39" s="1"/>
  <c r="F37"/>
  <c r="E15"/>
  <c r="E29"/>
  <c r="E26"/>
  <c r="E23"/>
  <c r="E18"/>
  <c r="E8"/>
</calcChain>
</file>

<file path=xl/sharedStrings.xml><?xml version="1.0" encoding="utf-8"?>
<sst xmlns="http://schemas.openxmlformats.org/spreadsheetml/2006/main" count="34" uniqueCount="30">
  <si>
    <t>Michigan Tech Lacrosse Club</t>
  </si>
  <si>
    <t>Total Revenue</t>
  </si>
  <si>
    <t>Revenue:</t>
  </si>
  <si>
    <t>Club funds</t>
  </si>
  <si>
    <t>Fall Dues</t>
  </si>
  <si>
    <t>USG Student Activities Fee Allocation</t>
  </si>
  <si>
    <t>Total Revenue:</t>
  </si>
  <si>
    <t>Expenditures:</t>
  </si>
  <si>
    <t>Equipment</t>
  </si>
  <si>
    <t>Total Expenses</t>
  </si>
  <si>
    <t>Total USG Support</t>
  </si>
  <si>
    <t>Total Equipment Cost</t>
  </si>
  <si>
    <t xml:space="preserve">Projects and Activities </t>
  </si>
  <si>
    <t>Scrimage aginast Northern Lacrosse @ Northern</t>
  </si>
  <si>
    <t>Games at Stevens Point</t>
  </si>
  <si>
    <t>Hotel Cost (4 rooms)</t>
  </si>
  <si>
    <t>Gas (3 Cars)</t>
  </si>
  <si>
    <t>Gas (5 Cars)</t>
  </si>
  <si>
    <t>Games at Ripon</t>
  </si>
  <si>
    <t>Games at Oshkosh</t>
  </si>
  <si>
    <t>Total Projects And Activities Cost</t>
  </si>
  <si>
    <t>Practice Jerseys</t>
  </si>
  <si>
    <t>Bag of 50 balls</t>
  </si>
  <si>
    <t>League Dues</t>
  </si>
  <si>
    <t>Total Expenditures:</t>
  </si>
  <si>
    <t>Total USG Support:</t>
  </si>
  <si>
    <t>Total after season:</t>
  </si>
  <si>
    <t>Financial Statement for the 2011-2012 Academic Year</t>
  </si>
  <si>
    <t>Gass (1 Car)</t>
  </si>
  <si>
    <t>Great Lakes Lacrosse League Meeting (Madison Wi)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</si>
</sst>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164" formatCode="&quot;$&quot;#,##0"/>
  </numFmts>
  <fonts count="4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/>
    <xf numFmtId="0" fontId="2" fillId="0" borderId="0" xfId="0" applyFont="1" applyFill="1" applyBorder="1"/>
    <xf numFmtId="0" fontId="2" fillId="0" borderId="0" xfId="0" applyFont="1" applyBorder="1"/>
    <xf numFmtId="0" fontId="2" fillId="0" borderId="7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6" fontId="2" fillId="0" borderId="0" xfId="0" applyNumberFormat="1" applyFont="1" applyBorder="1"/>
    <xf numFmtId="0" fontId="2" fillId="0" borderId="8" xfId="0" applyFont="1" applyBorder="1"/>
    <xf numFmtId="6" fontId="2" fillId="0" borderId="7" xfId="0" applyNumberFormat="1" applyFont="1" applyBorder="1"/>
    <xf numFmtId="6" fontId="2" fillId="0" borderId="8" xfId="0" applyNumberFormat="1" applyFont="1" applyBorder="1"/>
    <xf numFmtId="6" fontId="1" fillId="0" borderId="0" xfId="0" applyNumberFormat="1" applyFont="1" applyBorder="1"/>
    <xf numFmtId="0" fontId="3" fillId="0" borderId="1" xfId="0" applyFont="1" applyBorder="1"/>
    <xf numFmtId="0" fontId="3" fillId="0" borderId="6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0" xfId="0" applyFont="1" applyBorder="1"/>
    <xf numFmtId="0" fontId="1" fillId="0" borderId="0" xfId="0" applyFont="1" applyFill="1" applyBorder="1"/>
    <xf numFmtId="0" fontId="1" fillId="0" borderId="7" xfId="0" applyFont="1" applyBorder="1"/>
    <xf numFmtId="0" fontId="0" fillId="0" borderId="11" xfId="0" applyBorder="1"/>
    <xf numFmtId="6" fontId="2" fillId="0" borderId="5" xfId="0" applyNumberFormat="1" applyFont="1" applyBorder="1"/>
    <xf numFmtId="164" fontId="2" fillId="0" borderId="7" xfId="0" applyNumberFormat="1" applyFont="1" applyBorder="1"/>
    <xf numFmtId="0" fontId="3" fillId="0" borderId="9" xfId="0" applyFont="1" applyBorder="1"/>
    <xf numFmtId="0" fontId="2" fillId="0" borderId="10" xfId="0" applyFont="1" applyBorder="1"/>
    <xf numFmtId="6" fontId="2" fillId="0" borderId="1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>
      <selection activeCell="G11" sqref="G11"/>
    </sheetView>
  </sheetViews>
  <sheetFormatPr defaultRowHeight="14.4"/>
  <cols>
    <col min="1" max="1" width="10.5546875" customWidth="1"/>
    <col min="2" max="2" width="13.88671875" customWidth="1"/>
    <col min="3" max="3" width="27.5546875" customWidth="1"/>
    <col min="4" max="4" width="12" customWidth="1"/>
    <col min="5" max="5" width="15.88671875" customWidth="1"/>
    <col min="6" max="6" width="18.44140625" bestFit="1" customWidth="1"/>
  </cols>
  <sheetData>
    <row r="1" spans="1:6" ht="15.6">
      <c r="A1" s="22" t="s">
        <v>0</v>
      </c>
      <c r="B1" s="2"/>
      <c r="C1" s="2"/>
      <c r="D1" s="2"/>
      <c r="E1" s="2"/>
      <c r="F1" s="3"/>
    </row>
    <row r="2" spans="1:6" ht="15.6">
      <c r="A2" s="23" t="s">
        <v>27</v>
      </c>
      <c r="B2" s="8"/>
      <c r="C2" s="8"/>
      <c r="D2" s="8"/>
      <c r="E2" s="8"/>
      <c r="F2" s="9"/>
    </row>
    <row r="3" spans="1:6" ht="15.6">
      <c r="A3" s="1"/>
      <c r="B3" s="2"/>
      <c r="C3" s="2"/>
      <c r="D3" s="2"/>
      <c r="E3" s="14" t="s">
        <v>1</v>
      </c>
      <c r="F3" s="15"/>
    </row>
    <row r="4" spans="1:6" ht="15.6">
      <c r="A4" s="24" t="s">
        <v>2</v>
      </c>
      <c r="B4" s="5"/>
      <c r="C4" s="5"/>
      <c r="D4" s="5"/>
      <c r="E4" s="12"/>
      <c r="F4" s="16"/>
    </row>
    <row r="5" spans="1:6" ht="15.6">
      <c r="A5" s="4"/>
      <c r="B5" s="12" t="s">
        <v>3</v>
      </c>
      <c r="C5" s="5"/>
      <c r="D5" s="5"/>
      <c r="E5" s="17">
        <v>382</v>
      </c>
      <c r="F5" s="16"/>
    </row>
    <row r="6" spans="1:6" ht="15.6">
      <c r="A6" s="4"/>
      <c r="B6" s="12" t="s">
        <v>4</v>
      </c>
      <c r="C6" s="5"/>
      <c r="D6" s="5"/>
      <c r="E6" s="17">
        <v>550</v>
      </c>
      <c r="F6" s="16"/>
    </row>
    <row r="7" spans="1:6" ht="15.6">
      <c r="A7" s="4"/>
      <c r="B7" s="12" t="s">
        <v>5</v>
      </c>
      <c r="C7" s="5"/>
      <c r="D7" s="5"/>
      <c r="E7" s="17">
        <v>2564</v>
      </c>
      <c r="F7" s="16"/>
    </row>
    <row r="8" spans="1:6" ht="15.6">
      <c r="A8" s="24" t="s">
        <v>6</v>
      </c>
      <c r="B8" s="5"/>
      <c r="C8" s="5"/>
      <c r="D8" s="5"/>
      <c r="E8" s="17">
        <f>SUM(E5:E7)</f>
        <v>3496</v>
      </c>
      <c r="F8" s="16"/>
    </row>
    <row r="9" spans="1:6" ht="15.6">
      <c r="A9" s="4"/>
      <c r="B9" s="5"/>
      <c r="C9" s="5"/>
      <c r="D9" s="5"/>
      <c r="E9" s="12"/>
      <c r="F9" s="16"/>
    </row>
    <row r="10" spans="1:6" ht="15.6">
      <c r="A10" s="7"/>
      <c r="B10" s="8"/>
      <c r="C10" s="8"/>
      <c r="D10" s="8"/>
      <c r="E10" s="13"/>
      <c r="F10" s="18"/>
    </row>
    <row r="11" spans="1:6" ht="15.6">
      <c r="A11" s="24" t="s">
        <v>7</v>
      </c>
      <c r="B11" s="5"/>
      <c r="C11" s="5"/>
      <c r="D11" s="5"/>
      <c r="E11" s="12" t="s">
        <v>9</v>
      </c>
      <c r="F11" s="16" t="s">
        <v>10</v>
      </c>
    </row>
    <row r="12" spans="1:6" ht="15.6">
      <c r="A12" s="4"/>
      <c r="B12" s="26" t="s">
        <v>8</v>
      </c>
      <c r="C12" s="5"/>
      <c r="D12" s="5"/>
      <c r="E12" s="12"/>
      <c r="F12" s="16"/>
    </row>
    <row r="13" spans="1:6" ht="15.6">
      <c r="A13" s="4"/>
      <c r="B13" s="10" t="s">
        <v>21</v>
      </c>
      <c r="C13" s="10"/>
      <c r="D13" s="21">
        <v>1115</v>
      </c>
      <c r="E13" s="12"/>
      <c r="F13" s="16"/>
    </row>
    <row r="14" spans="1:6" ht="15.6">
      <c r="A14" s="4"/>
      <c r="B14" s="10" t="s">
        <v>22</v>
      </c>
      <c r="C14" s="10"/>
      <c r="D14" s="21">
        <v>90</v>
      </c>
      <c r="E14" s="5"/>
      <c r="F14" s="16"/>
    </row>
    <row r="15" spans="1:6" ht="15.6">
      <c r="A15" s="4"/>
      <c r="B15" s="25" t="s">
        <v>11</v>
      </c>
      <c r="C15" s="8"/>
      <c r="D15" s="28"/>
      <c r="E15" s="19">
        <f>SUM(D13:D14)</f>
        <v>1205</v>
      </c>
      <c r="F15" s="20">
        <v>0</v>
      </c>
    </row>
    <row r="16" spans="1:6" ht="15.6">
      <c r="A16" s="4"/>
      <c r="B16" s="5"/>
      <c r="C16" s="5"/>
      <c r="D16" s="10"/>
      <c r="E16" s="12"/>
      <c r="F16" s="16"/>
    </row>
    <row r="17" spans="1:6" ht="15.6">
      <c r="A17" s="4"/>
      <c r="B17" s="26" t="s">
        <v>12</v>
      </c>
      <c r="C17" s="5"/>
      <c r="D17" s="10"/>
      <c r="E17" s="12"/>
      <c r="F17" s="16"/>
    </row>
    <row r="18" spans="1:6" ht="15.6">
      <c r="A18" s="4"/>
      <c r="B18" s="11" t="s">
        <v>13</v>
      </c>
      <c r="C18" s="5"/>
      <c r="D18" s="10"/>
      <c r="E18" s="17">
        <f>SUM(D19)</f>
        <v>100</v>
      </c>
      <c r="F18" s="16"/>
    </row>
    <row r="19" spans="1:6" ht="15.6">
      <c r="A19" s="4"/>
      <c r="B19" s="11"/>
      <c r="C19" s="10" t="s">
        <v>16</v>
      </c>
      <c r="D19" s="21">
        <v>100</v>
      </c>
      <c r="E19" s="17"/>
      <c r="F19" s="16"/>
    </row>
    <row r="20" spans="1:6" ht="15.6">
      <c r="A20" s="4"/>
      <c r="B20" s="11" t="s">
        <v>29</v>
      </c>
      <c r="C20" s="10"/>
      <c r="D20" s="21"/>
      <c r="E20" s="17">
        <f>SUM(D21:D22)</f>
        <v>1550</v>
      </c>
      <c r="F20" s="16"/>
    </row>
    <row r="21" spans="1:6" ht="15.6">
      <c r="A21" s="4"/>
      <c r="B21" s="11"/>
      <c r="C21" s="10" t="s">
        <v>28</v>
      </c>
      <c r="D21" s="21">
        <v>150</v>
      </c>
      <c r="E21" s="17"/>
      <c r="F21" s="16"/>
    </row>
    <row r="22" spans="1:6" ht="15.6">
      <c r="A22" s="4"/>
      <c r="B22" s="11"/>
      <c r="C22" s="10" t="s">
        <v>23</v>
      </c>
      <c r="D22" s="21">
        <v>1400</v>
      </c>
      <c r="E22" s="17"/>
      <c r="F22" s="16"/>
    </row>
    <row r="23" spans="1:6" ht="15.6">
      <c r="A23" s="4"/>
      <c r="B23" s="11" t="s">
        <v>14</v>
      </c>
      <c r="C23" s="10"/>
      <c r="D23" s="10"/>
      <c r="E23" s="17">
        <f>SUM(D24:D25)</f>
        <v>900</v>
      </c>
      <c r="F23" s="16"/>
    </row>
    <row r="24" spans="1:6" ht="15.6">
      <c r="A24" s="4"/>
      <c r="B24" s="12"/>
      <c r="C24" s="10" t="s">
        <v>15</v>
      </c>
      <c r="D24" s="21">
        <v>400</v>
      </c>
      <c r="E24" s="12"/>
      <c r="F24" s="6"/>
    </row>
    <row r="25" spans="1:6" ht="15.6">
      <c r="A25" s="4"/>
      <c r="B25" s="12"/>
      <c r="C25" s="10" t="s">
        <v>17</v>
      </c>
      <c r="D25" s="21">
        <v>500</v>
      </c>
      <c r="E25" s="12"/>
      <c r="F25" s="6"/>
    </row>
    <row r="26" spans="1:6" ht="15.6">
      <c r="A26" s="4"/>
      <c r="B26" s="12" t="s">
        <v>18</v>
      </c>
      <c r="C26" s="10"/>
      <c r="D26" s="10"/>
      <c r="E26" s="17">
        <f>SUM(D27:D28)</f>
        <v>1000</v>
      </c>
      <c r="F26" s="6"/>
    </row>
    <row r="27" spans="1:6" ht="15.6">
      <c r="A27" s="4"/>
      <c r="B27" s="12"/>
      <c r="C27" s="27" t="s">
        <v>15</v>
      </c>
      <c r="D27" s="21">
        <v>400</v>
      </c>
      <c r="E27" s="12"/>
      <c r="F27" s="6"/>
    </row>
    <row r="28" spans="1:6" ht="15.6">
      <c r="A28" s="4"/>
      <c r="B28" s="12"/>
      <c r="C28" s="27" t="s">
        <v>17</v>
      </c>
      <c r="D28" s="21">
        <v>600</v>
      </c>
      <c r="E28" s="12"/>
      <c r="F28" s="6"/>
    </row>
    <row r="29" spans="1:6" ht="15.6">
      <c r="A29" s="4"/>
      <c r="B29" s="12" t="s">
        <v>19</v>
      </c>
      <c r="C29" s="10"/>
      <c r="D29" s="10"/>
      <c r="E29" s="17">
        <f>SUM(D30:D31)</f>
        <v>975</v>
      </c>
      <c r="F29" s="6"/>
    </row>
    <row r="30" spans="1:6" ht="15.6">
      <c r="A30" s="4"/>
      <c r="B30" s="5"/>
      <c r="C30" s="27" t="s">
        <v>15</v>
      </c>
      <c r="D30" s="21">
        <v>400</v>
      </c>
      <c r="E30" s="12"/>
      <c r="F30" s="6"/>
    </row>
    <row r="31" spans="1:6">
      <c r="A31" s="4"/>
      <c r="B31" s="5"/>
      <c r="C31" s="10" t="s">
        <v>17</v>
      </c>
      <c r="D31" s="21">
        <v>575</v>
      </c>
      <c r="E31" s="5"/>
      <c r="F31" s="6"/>
    </row>
    <row r="32" spans="1:6" ht="15.6">
      <c r="A32" s="4"/>
      <c r="B32" s="25" t="s">
        <v>20</v>
      </c>
      <c r="C32" s="8"/>
      <c r="D32" s="28"/>
      <c r="E32" s="31">
        <f>SUM(E16:E31)</f>
        <v>4525</v>
      </c>
      <c r="F32" s="20">
        <v>2564</v>
      </c>
    </row>
    <row r="33" spans="1:6">
      <c r="A33" s="4"/>
      <c r="B33" s="5"/>
      <c r="C33" s="5"/>
      <c r="D33" s="5"/>
      <c r="E33" s="5"/>
      <c r="F33" s="6"/>
    </row>
    <row r="34" spans="1:6" ht="15.6">
      <c r="A34" s="24" t="s">
        <v>24</v>
      </c>
      <c r="B34" s="5"/>
      <c r="C34" s="5"/>
      <c r="D34" s="5"/>
      <c r="E34" s="17">
        <f>SUM(E15,E32)</f>
        <v>5730</v>
      </c>
      <c r="F34" s="6"/>
    </row>
    <row r="35" spans="1:6">
      <c r="A35" s="7"/>
      <c r="B35" s="8"/>
      <c r="C35" s="8"/>
      <c r="D35" s="8"/>
      <c r="E35" s="8"/>
      <c r="F35" s="9"/>
    </row>
    <row r="36" spans="1:6">
      <c r="A36" s="4"/>
      <c r="B36" s="5"/>
      <c r="C36" s="5"/>
      <c r="D36" s="5"/>
      <c r="E36" s="5"/>
      <c r="F36" s="6"/>
    </row>
    <row r="37" spans="1:6" ht="15.6">
      <c r="A37" s="24" t="s">
        <v>25</v>
      </c>
      <c r="B37" s="5"/>
      <c r="C37" s="5"/>
      <c r="D37" s="5"/>
      <c r="E37" s="5"/>
      <c r="F37" s="30">
        <f>SUM(F15,F32)</f>
        <v>2564</v>
      </c>
    </row>
    <row r="38" spans="1:6">
      <c r="A38" s="4"/>
      <c r="B38" s="5"/>
      <c r="C38" s="5"/>
      <c r="D38" s="5"/>
      <c r="E38" s="5"/>
      <c r="F38" s="6"/>
    </row>
    <row r="39" spans="1:6" ht="15.6">
      <c r="A39" s="32" t="s">
        <v>26</v>
      </c>
      <c r="B39" s="33"/>
      <c r="C39" s="33"/>
      <c r="D39" s="33"/>
      <c r="E39" s="34">
        <f>E8-E34</f>
        <v>-2234</v>
      </c>
      <c r="F39" s="29"/>
    </row>
  </sheetData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Expenditure 2011-2012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chase</dc:creator>
  <cp:lastModifiedBy>Brian Dvorak</cp:lastModifiedBy>
  <cp:lastPrinted>2012-02-23T20:55:59Z</cp:lastPrinted>
  <dcterms:created xsi:type="dcterms:W3CDTF">2012-02-23T18:34:10Z</dcterms:created>
  <dcterms:modified xsi:type="dcterms:W3CDTF">2012-03-21T14:08:34Z</dcterms:modified>
</cp:coreProperties>
</file>