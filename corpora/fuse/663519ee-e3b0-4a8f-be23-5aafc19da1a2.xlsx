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8195" windowHeight="7995" activeTab="2"/>
  </bookViews>
  <sheets>
    <sheet name="Table 1" sheetId="1" r:id="rId1"/>
    <sheet name="Table 2" sheetId="2" r:id="rId2"/>
    <sheet name="Table 3" sheetId="3" r:id="rId3"/>
  </sheets>
  <calcPr calcId="144525"/>
</workbook>
</file>

<file path=xl/calcChain.xml><?xml version="1.0" encoding="utf-8"?>
<calcChain xmlns="http://schemas.openxmlformats.org/spreadsheetml/2006/main">
  <c r="J11" i="3" l="1"/>
  <c r="J4" i="3"/>
  <c r="J5" i="3"/>
  <c r="J6" i="3"/>
  <c r="J7" i="3"/>
  <c r="J8" i="3"/>
  <c r="J9" i="3"/>
  <c r="J10" i="3"/>
  <c r="J3" i="3"/>
  <c r="G4" i="3"/>
  <c r="G5" i="3"/>
  <c r="G6" i="3"/>
  <c r="G7" i="3"/>
  <c r="G8" i="3"/>
  <c r="G9" i="3"/>
  <c r="G10" i="3"/>
  <c r="G11" i="3"/>
  <c r="G3" i="3"/>
  <c r="D4" i="3"/>
  <c r="D5" i="3"/>
  <c r="D6" i="3"/>
  <c r="D7" i="3"/>
  <c r="D8" i="3"/>
  <c r="D9" i="3"/>
  <c r="D10" i="3"/>
  <c r="D11" i="3"/>
  <c r="D3" i="3"/>
  <c r="E10" i="2"/>
  <c r="E3" i="2"/>
  <c r="E4" i="2"/>
  <c r="E5" i="2"/>
  <c r="E6" i="2"/>
  <c r="E7" i="2"/>
  <c r="E8" i="2"/>
  <c r="E9" i="2"/>
  <c r="E2" i="2"/>
</calcChain>
</file>

<file path=xl/sharedStrings.xml><?xml version="1.0" encoding="utf-8"?>
<sst xmlns="http://schemas.openxmlformats.org/spreadsheetml/2006/main" count="39" uniqueCount="19">
  <si>
    <t>Total Housing Units</t>
  </si>
  <si>
    <t>Percent of Total</t>
  </si>
  <si>
    <t>DuPage</t>
  </si>
  <si>
    <t>Kane</t>
  </si>
  <si>
    <t>Kendall</t>
  </si>
  <si>
    <t>Lake</t>
  </si>
  <si>
    <t>McHenry</t>
  </si>
  <si>
    <t>Will</t>
  </si>
  <si>
    <t>Total</t>
  </si>
  <si>
    <t>Owner-Occupied</t>
  </si>
  <si>
    <t>Renter-Occupied</t>
  </si>
  <si>
    <t>Percent Renter</t>
  </si>
  <si>
    <t>Owner-Occupied Units</t>
  </si>
  <si>
    <t>Renter-Occupied Units</t>
  </si>
  <si>
    <t>Change</t>
  </si>
  <si>
    <t>Suburban Cook</t>
  </si>
  <si>
    <t>Cook</t>
  </si>
  <si>
    <t>Chicago</t>
  </si>
  <si>
    <t>Total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</si>
</sst>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0.0%"/>
  </numFmts>
  <fonts count="8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</cellStyleXfs>
  <cellXfs count="46">
    <xf numFmtId="0" fontId="0" fillId="0" borderId="0" xfId="0"/>
    <xf numFmtId="3" fontId="0" fillId="0" borderId="0" xfId="0" applyNumberFormat="1"/>
    <xf numFmtId="0" fontId="5" fillId="0" borderId="1" xfId="0" applyFont="1" applyBorder="1"/>
    <xf numFmtId="164" fontId="4" fillId="0" borderId="1" xfId="1" applyNumberFormat="1" applyFont="1" applyFill="1" applyBorder="1" applyAlignment="1">
      <alignment horizontal="right"/>
    </xf>
    <xf numFmtId="164" fontId="4" fillId="0" borderId="1" xfId="1" applyNumberFormat="1" applyFont="1" applyBorder="1" applyAlignment="1"/>
    <xf numFmtId="9" fontId="4" fillId="0" borderId="1" xfId="2" applyFont="1" applyBorder="1"/>
    <xf numFmtId="164" fontId="6" fillId="0" borderId="1" xfId="1" applyNumberFormat="1" applyFont="1" applyFill="1" applyBorder="1" applyAlignment="1" applyProtection="1">
      <alignment horizontal="right" vertical="center" wrapText="1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7" fillId="0" borderId="1" xfId="3" applyFont="1" applyFill="1" applyBorder="1" applyAlignment="1" applyProtection="1">
      <alignment horizontal="center"/>
    </xf>
    <xf numFmtId="0" fontId="5" fillId="0" borderId="1" xfId="4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7" fontId="0" fillId="0" borderId="0" xfId="2" applyNumberFormat="1" applyFont="1"/>
    <xf numFmtId="43" fontId="0" fillId="0" borderId="0" xfId="0" applyNumberForma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9" fontId="1" fillId="0" borderId="1" xfId="0" applyNumberFormat="1" applyFont="1" applyBorder="1" applyAlignment="1">
      <alignment horizontal="right" vertical="center"/>
    </xf>
    <xf numFmtId="164" fontId="4" fillId="0" borderId="1" xfId="1" applyNumberFormat="1" applyFont="1" applyBorder="1"/>
    <xf numFmtId="164" fontId="6" fillId="0" borderId="5" xfId="1" applyNumberFormat="1" applyFont="1" applyFill="1" applyBorder="1" applyAlignment="1" applyProtection="1">
      <alignment horizontal="right" vertical="center" wrapText="1"/>
    </xf>
    <xf numFmtId="164" fontId="1" fillId="0" borderId="1" xfId="1" applyNumberFormat="1" applyFont="1" applyBorder="1" applyAlignment="1">
      <alignment horizontal="right" vertical="center"/>
    </xf>
    <xf numFmtId="0" fontId="0" fillId="0" borderId="0" xfId="0" applyBorder="1"/>
    <xf numFmtId="164" fontId="4" fillId="0" borderId="0" xfId="1" applyNumberFormat="1" applyFont="1" applyBorder="1"/>
    <xf numFmtId="0" fontId="4" fillId="0" borderId="0" xfId="0" applyFont="1"/>
    <xf numFmtId="0" fontId="4" fillId="0" borderId="0" xfId="0" applyFont="1" applyAlignment="1">
      <alignment horizontal="left"/>
    </xf>
    <xf numFmtId="164" fontId="0" fillId="0" borderId="0" xfId="0" applyNumberFormat="1" applyBorder="1"/>
    <xf numFmtId="3" fontId="0" fillId="0" borderId="0" xfId="0" applyNumberFormat="1" applyBorder="1"/>
    <xf numFmtId="164" fontId="4" fillId="0" borderId="0" xfId="1" applyNumberFormat="1" applyFont="1" applyBorder="1" applyAlignment="1">
      <alignment horizontal="right"/>
    </xf>
    <xf numFmtId="9" fontId="4" fillId="0" borderId="1" xfId="2" applyFont="1" applyBorder="1" applyAlignment="1">
      <alignment horizontal="right"/>
    </xf>
    <xf numFmtId="9" fontId="4" fillId="2" borderId="4" xfId="2" applyFont="1" applyFill="1" applyBorder="1" applyAlignment="1">
      <alignment horizontal="right"/>
    </xf>
    <xf numFmtId="9" fontId="4" fillId="0" borderId="4" xfId="2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4" fillId="0" borderId="1" xfId="1" applyNumberFormat="1" applyFont="1" applyBorder="1" applyAlignment="1">
      <alignment horizontal="left"/>
    </xf>
    <xf numFmtId="164" fontId="4" fillId="0" borderId="4" xfId="1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6" fillId="0" borderId="1" xfId="1" applyNumberFormat="1" applyFont="1" applyFill="1" applyBorder="1" applyAlignment="1" applyProtection="1">
      <alignment horizontal="left"/>
    </xf>
    <xf numFmtId="164" fontId="1" fillId="0" borderId="1" xfId="1" applyNumberFormat="1" applyFont="1" applyBorder="1" applyAlignment="1">
      <alignment horizontal="left"/>
    </xf>
    <xf numFmtId="164" fontId="4" fillId="2" borderId="1" xfId="1" applyNumberFormat="1" applyFont="1" applyFill="1" applyBorder="1" applyAlignment="1">
      <alignment horizontal="left"/>
    </xf>
    <xf numFmtId="164" fontId="6" fillId="2" borderId="1" xfId="1" applyNumberFormat="1" applyFont="1" applyFill="1" applyBorder="1" applyAlignment="1" applyProtection="1">
      <alignment horizontal="left"/>
    </xf>
    <xf numFmtId="164" fontId="4" fillId="2" borderId="4" xfId="1" applyNumberFormat="1" applyFont="1" applyFill="1" applyBorder="1" applyAlignment="1">
      <alignment horizontal="left"/>
    </xf>
    <xf numFmtId="164" fontId="4" fillId="0" borderId="4" xfId="1" applyNumberFormat="1" applyFont="1" applyBorder="1" applyAlignment="1"/>
  </cellXfs>
  <cellStyles count="5">
    <cellStyle name="Comma" xfId="1" builtinId="3"/>
    <cellStyle name="Normal" xfId="0" builtinId="0"/>
    <cellStyle name="Normal 7" xfId="3"/>
    <cellStyle name="Normal 8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="145" zoomScaleNormal="145" workbookViewId="0">
      <selection activeCell="B2" sqref="B2:B10"/>
    </sheetView>
  </sheetViews>
  <sheetFormatPr defaultRowHeight="15" x14ac:dyDescent="0.25"/>
  <cols>
    <col min="1" max="1" width="11.42578125" bestFit="1" customWidth="1"/>
    <col min="2" max="2" width="15" bestFit="1" customWidth="1"/>
    <col min="3" max="3" width="12.140625" bestFit="1" customWidth="1"/>
    <col min="5" max="5" width="13.28515625" bestFit="1" customWidth="1"/>
  </cols>
  <sheetData>
    <row r="1" spans="1:3" x14ac:dyDescent="0.25">
      <c r="A1" s="14"/>
      <c r="B1" s="15" t="s">
        <v>0</v>
      </c>
      <c r="C1" s="15" t="s">
        <v>1</v>
      </c>
    </row>
    <row r="2" spans="1:3" x14ac:dyDescent="0.25">
      <c r="A2" s="15" t="s">
        <v>15</v>
      </c>
      <c r="B2" s="17">
        <v>986022</v>
      </c>
      <c r="C2" s="16">
        <v>0.29196521368356532</v>
      </c>
    </row>
    <row r="3" spans="1:3" x14ac:dyDescent="0.25">
      <c r="A3" s="15" t="s">
        <v>17</v>
      </c>
      <c r="B3" s="18">
        <v>1194337</v>
      </c>
      <c r="C3" s="16">
        <v>0.35364815127369204</v>
      </c>
    </row>
    <row r="4" spans="1:3" x14ac:dyDescent="0.25">
      <c r="A4" s="15" t="s">
        <v>2</v>
      </c>
      <c r="B4" s="17">
        <v>356179</v>
      </c>
      <c r="C4" s="16">
        <v>0.10546608274926789</v>
      </c>
    </row>
    <row r="5" spans="1:3" x14ac:dyDescent="0.25">
      <c r="A5" s="15" t="s">
        <v>3</v>
      </c>
      <c r="B5" s="17">
        <v>182047</v>
      </c>
      <c r="C5" s="16">
        <v>5.3904873578329911E-2</v>
      </c>
    </row>
    <row r="6" spans="1:3" x14ac:dyDescent="0.25">
      <c r="A6" s="15" t="s">
        <v>4</v>
      </c>
      <c r="B6" s="17">
        <v>40321</v>
      </c>
      <c r="C6" s="16">
        <v>1.1939215738528184E-2</v>
      </c>
    </row>
    <row r="7" spans="1:3" x14ac:dyDescent="0.25">
      <c r="A7" s="15" t="s">
        <v>5</v>
      </c>
      <c r="B7" s="17">
        <v>260310</v>
      </c>
      <c r="C7" s="16">
        <v>7.7078873264459502E-2</v>
      </c>
    </row>
    <row r="8" spans="1:3" x14ac:dyDescent="0.25">
      <c r="A8" s="15" t="s">
        <v>6</v>
      </c>
      <c r="B8" s="17">
        <v>116040</v>
      </c>
      <c r="C8" s="16">
        <v>3.435992644772725E-2</v>
      </c>
    </row>
    <row r="9" spans="1:3" x14ac:dyDescent="0.25">
      <c r="A9" s="15" t="s">
        <v>7</v>
      </c>
      <c r="B9" s="17">
        <v>237501</v>
      </c>
      <c r="C9" s="16">
        <v>7.032503353379585E-2</v>
      </c>
    </row>
    <row r="10" spans="1:3" x14ac:dyDescent="0.25">
      <c r="A10" s="15" t="s">
        <v>8</v>
      </c>
      <c r="B10" s="19">
        <v>3377190</v>
      </c>
      <c r="C10" s="16">
        <v>1</v>
      </c>
    </row>
    <row r="13" spans="1:3" x14ac:dyDescent="0.25">
      <c r="B13" s="20"/>
      <c r="C13" s="20"/>
    </row>
    <row r="14" spans="1:3" x14ac:dyDescent="0.25">
      <c r="B14" s="21"/>
      <c r="C14" s="20"/>
    </row>
    <row r="15" spans="1:3" x14ac:dyDescent="0.25">
      <c r="B15" s="20"/>
      <c r="C15" s="20"/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60" zoomScaleNormal="160" workbookViewId="0">
      <selection activeCell="D2" sqref="D2:D10"/>
    </sheetView>
  </sheetViews>
  <sheetFormatPr defaultRowHeight="12" x14ac:dyDescent="0.2"/>
  <cols>
    <col min="1" max="1" width="11.42578125" style="23" bestFit="1" customWidth="1"/>
    <col min="2" max="3" width="16.140625" style="22" bestFit="1" customWidth="1"/>
    <col min="4" max="4" width="14.42578125" style="22" bestFit="1" customWidth="1"/>
    <col min="5" max="5" width="11.7109375" style="22" bestFit="1" customWidth="1"/>
    <col min="6" max="16384" width="9.140625" style="22"/>
  </cols>
  <sheetData>
    <row r="1" spans="1:5" x14ac:dyDescent="0.2">
      <c r="A1" s="7"/>
      <c r="B1" s="2" t="s">
        <v>18</v>
      </c>
      <c r="C1" s="9" t="s">
        <v>9</v>
      </c>
      <c r="D1" s="10" t="s">
        <v>10</v>
      </c>
      <c r="E1" s="11" t="s">
        <v>11</v>
      </c>
    </row>
    <row r="2" spans="1:5" x14ac:dyDescent="0.2">
      <c r="A2" s="8" t="s">
        <v>16</v>
      </c>
      <c r="B2" s="17">
        <v>920796</v>
      </c>
      <c r="C2" s="17">
        <v>674295</v>
      </c>
      <c r="D2" s="17">
        <v>246501</v>
      </c>
      <c r="E2" s="5">
        <f>D2/B2</f>
        <v>0.26770424719481839</v>
      </c>
    </row>
    <row r="3" spans="1:5" x14ac:dyDescent="0.2">
      <c r="A3" s="8" t="s">
        <v>17</v>
      </c>
      <c r="B3" s="6">
        <v>1045560</v>
      </c>
      <c r="C3" s="6">
        <v>469562</v>
      </c>
      <c r="D3" s="6">
        <v>575998</v>
      </c>
      <c r="E3" s="5">
        <f t="shared" ref="E3:E10" si="0">D3/B3</f>
        <v>0.55089903974903398</v>
      </c>
    </row>
    <row r="4" spans="1:5" x14ac:dyDescent="0.2">
      <c r="A4" s="8" t="s">
        <v>2</v>
      </c>
      <c r="B4" s="17">
        <v>337132</v>
      </c>
      <c r="C4" s="17">
        <v>251835</v>
      </c>
      <c r="D4" s="17">
        <v>85297</v>
      </c>
      <c r="E4" s="5">
        <f t="shared" si="0"/>
        <v>0.25300772397755183</v>
      </c>
    </row>
    <row r="5" spans="1:5" x14ac:dyDescent="0.2">
      <c r="A5" s="8" t="s">
        <v>3</v>
      </c>
      <c r="B5" s="17">
        <v>170479</v>
      </c>
      <c r="C5" s="17">
        <v>130570</v>
      </c>
      <c r="D5" s="17">
        <v>39909</v>
      </c>
      <c r="E5" s="5">
        <f t="shared" si="0"/>
        <v>0.23409921456601693</v>
      </c>
    </row>
    <row r="6" spans="1:5" x14ac:dyDescent="0.2">
      <c r="A6" s="8" t="s">
        <v>4</v>
      </c>
      <c r="B6" s="17">
        <v>38022</v>
      </c>
      <c r="C6" s="17">
        <v>32554</v>
      </c>
      <c r="D6" s="17">
        <v>5468</v>
      </c>
      <c r="E6" s="5">
        <f t="shared" si="0"/>
        <v>0.14381147756561991</v>
      </c>
    </row>
    <row r="7" spans="1:5" x14ac:dyDescent="0.2">
      <c r="A7" s="8" t="s">
        <v>5</v>
      </c>
      <c r="B7" s="17">
        <v>241712</v>
      </c>
      <c r="C7" s="17">
        <v>185213</v>
      </c>
      <c r="D7" s="17">
        <v>56499</v>
      </c>
      <c r="E7" s="5">
        <f t="shared" si="0"/>
        <v>0.23374511815714569</v>
      </c>
    </row>
    <row r="8" spans="1:5" x14ac:dyDescent="0.2">
      <c r="A8" s="8" t="s">
        <v>6</v>
      </c>
      <c r="B8" s="17">
        <v>109199</v>
      </c>
      <c r="C8" s="17">
        <v>90722</v>
      </c>
      <c r="D8" s="17">
        <v>18477</v>
      </c>
      <c r="E8" s="5">
        <f t="shared" si="0"/>
        <v>0.16920484619822526</v>
      </c>
    </row>
    <row r="9" spans="1:5" x14ac:dyDescent="0.2">
      <c r="A9" s="8" t="s">
        <v>7</v>
      </c>
      <c r="B9" s="17">
        <v>225256</v>
      </c>
      <c r="C9" s="17">
        <v>187425</v>
      </c>
      <c r="D9" s="17">
        <v>37831</v>
      </c>
      <c r="E9" s="5">
        <f t="shared" si="0"/>
        <v>0.16794669176403737</v>
      </c>
    </row>
    <row r="10" spans="1:5" x14ac:dyDescent="0.2">
      <c r="A10" s="8" t="s">
        <v>8</v>
      </c>
      <c r="B10" s="3">
        <v>3092325</v>
      </c>
      <c r="C10" s="3">
        <v>2025801</v>
      </c>
      <c r="D10" s="17">
        <v>1066524</v>
      </c>
      <c r="E10" s="5">
        <f>D10/B10</f>
        <v>0.3448938905192695</v>
      </c>
    </row>
    <row r="15" spans="1:5" x14ac:dyDescent="0.2">
      <c r="A15" s="22"/>
    </row>
    <row r="16" spans="1:5" x14ac:dyDescent="0.2">
      <c r="A16" s="22"/>
    </row>
    <row r="17" spans="1:1" x14ac:dyDescent="0.2">
      <c r="A17" s="22"/>
    </row>
    <row r="18" spans="1:1" x14ac:dyDescent="0.2">
      <c r="A18" s="22"/>
    </row>
    <row r="19" spans="1:1" x14ac:dyDescent="0.2">
      <c r="A19" s="22"/>
    </row>
    <row r="20" spans="1:1" x14ac:dyDescent="0.2">
      <c r="A20" s="22"/>
    </row>
    <row r="21" spans="1:1" x14ac:dyDescent="0.2">
      <c r="A21" s="22"/>
    </row>
    <row r="22" spans="1:1" x14ac:dyDescent="0.2">
      <c r="A22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zoomScale="145" zoomScaleNormal="145" workbookViewId="0">
      <selection sqref="A1:J11"/>
    </sheetView>
  </sheetViews>
  <sheetFormatPr defaultRowHeight="15" x14ac:dyDescent="0.25"/>
  <cols>
    <col min="1" max="1" width="11.42578125" bestFit="1" customWidth="1"/>
    <col min="2" max="3" width="9" bestFit="1" customWidth="1"/>
    <col min="4" max="4" width="6.140625" bestFit="1" customWidth="1"/>
    <col min="5" max="6" width="9" bestFit="1" customWidth="1"/>
    <col min="7" max="7" width="6.140625" bestFit="1" customWidth="1"/>
    <col min="8" max="9" width="9" bestFit="1" customWidth="1"/>
    <col min="10" max="10" width="6.140625" bestFit="1" customWidth="1"/>
  </cols>
  <sheetData>
    <row r="1" spans="1:10" x14ac:dyDescent="0.25">
      <c r="A1" s="30"/>
      <c r="B1" s="31" t="s">
        <v>0</v>
      </c>
      <c r="C1" s="31"/>
      <c r="D1" s="31"/>
      <c r="E1" s="32" t="s">
        <v>12</v>
      </c>
      <c r="F1" s="32"/>
      <c r="G1" s="32"/>
      <c r="H1" s="31" t="s">
        <v>13</v>
      </c>
      <c r="I1" s="31"/>
      <c r="J1" s="31"/>
    </row>
    <row r="2" spans="1:10" ht="15.75" thickBot="1" x14ac:dyDescent="0.3">
      <c r="A2" s="33"/>
      <c r="B2" s="35">
        <v>2010</v>
      </c>
      <c r="C2" s="35">
        <v>2000</v>
      </c>
      <c r="D2" s="35" t="s">
        <v>14</v>
      </c>
      <c r="E2" s="34">
        <v>2010</v>
      </c>
      <c r="F2" s="34">
        <v>2000</v>
      </c>
      <c r="G2" s="34" t="s">
        <v>14</v>
      </c>
      <c r="H2" s="35">
        <v>2010</v>
      </c>
      <c r="I2" s="35">
        <v>2000</v>
      </c>
      <c r="J2" s="35" t="s">
        <v>14</v>
      </c>
    </row>
    <row r="3" spans="1:10" ht="15.75" thickTop="1" x14ac:dyDescent="0.25">
      <c r="A3" s="36" t="s">
        <v>15</v>
      </c>
      <c r="B3" s="38">
        <v>986022</v>
      </c>
      <c r="C3" s="38">
        <v>943254</v>
      </c>
      <c r="D3" s="29">
        <f>(B3-C3)/C3</f>
        <v>4.534091559643532E-2</v>
      </c>
      <c r="E3" s="44">
        <v>674295</v>
      </c>
      <c r="F3" s="44">
        <v>677812</v>
      </c>
      <c r="G3" s="28">
        <f>(E3-F3)/F3</f>
        <v>-5.1887544038760006E-3</v>
      </c>
      <c r="H3" s="38">
        <v>246501</v>
      </c>
      <c r="I3" s="45">
        <v>234442</v>
      </c>
      <c r="J3" s="29">
        <f>(H3-I3)/I3</f>
        <v>5.1437029201252336E-2</v>
      </c>
    </row>
    <row r="4" spans="1:10" x14ac:dyDescent="0.25">
      <c r="A4" s="39" t="s">
        <v>17</v>
      </c>
      <c r="B4" s="40">
        <v>1194337</v>
      </c>
      <c r="C4" s="37">
        <v>1152867</v>
      </c>
      <c r="D4" s="27">
        <f t="shared" ref="D4:D11" si="0">(B4-C4)/C4</f>
        <v>3.5971191820045156E-2</v>
      </c>
      <c r="E4" s="43">
        <v>469562</v>
      </c>
      <c r="F4" s="42">
        <v>464865</v>
      </c>
      <c r="G4" s="28">
        <f t="shared" ref="G4:G11" si="1">(E4-F4)/F4</f>
        <v>1.0104008690695148E-2</v>
      </c>
      <c r="H4" s="40">
        <v>575998</v>
      </c>
      <c r="I4" s="4">
        <v>597062</v>
      </c>
      <c r="J4" s="27">
        <f t="shared" ref="J4:J11" si="2">(H4-I4)/I4</f>
        <v>-3.5279418217873518E-2</v>
      </c>
    </row>
    <row r="5" spans="1:10" x14ac:dyDescent="0.25">
      <c r="A5" s="39" t="s">
        <v>2</v>
      </c>
      <c r="B5" s="37">
        <v>356179</v>
      </c>
      <c r="C5" s="37">
        <v>335620</v>
      </c>
      <c r="D5" s="27">
        <f t="shared" si="0"/>
        <v>6.1256778499493472E-2</v>
      </c>
      <c r="E5" s="42">
        <v>251835</v>
      </c>
      <c r="F5" s="42">
        <v>248762</v>
      </c>
      <c r="G5" s="28">
        <f t="shared" si="1"/>
        <v>1.2353172912261519E-2</v>
      </c>
      <c r="H5" s="37">
        <v>85297</v>
      </c>
      <c r="I5" s="4">
        <v>76838</v>
      </c>
      <c r="J5" s="27">
        <f t="shared" si="2"/>
        <v>0.11008875816653219</v>
      </c>
    </row>
    <row r="6" spans="1:10" x14ac:dyDescent="0.25">
      <c r="A6" s="39" t="s">
        <v>3</v>
      </c>
      <c r="B6" s="37">
        <v>182047</v>
      </c>
      <c r="C6" s="37">
        <v>138998</v>
      </c>
      <c r="D6" s="27">
        <f t="shared" si="0"/>
        <v>0.30970949222290967</v>
      </c>
      <c r="E6" s="42">
        <v>130570</v>
      </c>
      <c r="F6" s="42">
        <v>101739</v>
      </c>
      <c r="G6" s="28">
        <f t="shared" si="1"/>
        <v>0.28338198724186398</v>
      </c>
      <c r="H6" s="37">
        <v>39909</v>
      </c>
      <c r="I6" s="4">
        <v>32162</v>
      </c>
      <c r="J6" s="27">
        <f t="shared" si="2"/>
        <v>0.24087432373608605</v>
      </c>
    </row>
    <row r="7" spans="1:10" x14ac:dyDescent="0.25">
      <c r="A7" s="39" t="s">
        <v>4</v>
      </c>
      <c r="B7" s="37">
        <v>40321</v>
      </c>
      <c r="C7" s="37">
        <v>19519</v>
      </c>
      <c r="D7" s="27">
        <f t="shared" si="0"/>
        <v>1.0657308263743019</v>
      </c>
      <c r="E7" s="42">
        <v>32554</v>
      </c>
      <c r="F7" s="42">
        <v>15810</v>
      </c>
      <c r="G7" s="28">
        <f t="shared" si="1"/>
        <v>1.0590765338393422</v>
      </c>
      <c r="H7" s="37">
        <v>5468</v>
      </c>
      <c r="I7" s="4">
        <v>2988</v>
      </c>
      <c r="J7" s="27">
        <f t="shared" si="2"/>
        <v>0.82998661311914324</v>
      </c>
    </row>
    <row r="8" spans="1:10" x14ac:dyDescent="0.25">
      <c r="A8" s="39" t="s">
        <v>5</v>
      </c>
      <c r="B8" s="37">
        <v>260310</v>
      </c>
      <c r="C8" s="37">
        <v>225919</v>
      </c>
      <c r="D8" s="27">
        <f t="shared" si="0"/>
        <v>0.15222712565122898</v>
      </c>
      <c r="E8" s="42">
        <v>185213</v>
      </c>
      <c r="F8" s="42">
        <v>168301</v>
      </c>
      <c r="G8" s="28">
        <f t="shared" si="1"/>
        <v>0.10048662812461007</v>
      </c>
      <c r="H8" s="37">
        <v>56499</v>
      </c>
      <c r="I8" s="4">
        <v>47996</v>
      </c>
      <c r="J8" s="27">
        <f t="shared" si="2"/>
        <v>0.17716059671639303</v>
      </c>
    </row>
    <row r="9" spans="1:10" x14ac:dyDescent="0.25">
      <c r="A9" s="39" t="s">
        <v>6</v>
      </c>
      <c r="B9" s="37">
        <v>116040</v>
      </c>
      <c r="C9" s="37">
        <v>92908</v>
      </c>
      <c r="D9" s="27">
        <f t="shared" si="0"/>
        <v>0.24897748310156284</v>
      </c>
      <c r="E9" s="42">
        <v>90722</v>
      </c>
      <c r="F9" s="42">
        <v>74391</v>
      </c>
      <c r="G9" s="28">
        <f t="shared" si="1"/>
        <v>0.21952924412899411</v>
      </c>
      <c r="H9" s="37">
        <v>18477</v>
      </c>
      <c r="I9" s="4">
        <v>15012</v>
      </c>
      <c r="J9" s="27">
        <f t="shared" si="2"/>
        <v>0.23081534772182255</v>
      </c>
    </row>
    <row r="10" spans="1:10" x14ac:dyDescent="0.25">
      <c r="A10" s="39" t="s">
        <v>7</v>
      </c>
      <c r="B10" s="37">
        <v>237501</v>
      </c>
      <c r="C10" s="37">
        <v>175524</v>
      </c>
      <c r="D10" s="27">
        <f t="shared" si="0"/>
        <v>0.35309701237437613</v>
      </c>
      <c r="E10" s="42">
        <v>187425</v>
      </c>
      <c r="F10" s="42">
        <v>139311</v>
      </c>
      <c r="G10" s="28">
        <f t="shared" si="1"/>
        <v>0.34537114800697721</v>
      </c>
      <c r="H10" s="37">
        <v>37831</v>
      </c>
      <c r="I10" s="4">
        <v>28231</v>
      </c>
      <c r="J10" s="27">
        <f t="shared" si="2"/>
        <v>0.34005171619850522</v>
      </c>
    </row>
    <row r="11" spans="1:10" x14ac:dyDescent="0.25">
      <c r="A11" s="39" t="s">
        <v>8</v>
      </c>
      <c r="B11" s="41">
        <v>3377190</v>
      </c>
      <c r="C11" s="37">
        <v>3086239</v>
      </c>
      <c r="D11" s="27">
        <f t="shared" si="0"/>
        <v>9.4273645041748219E-2</v>
      </c>
      <c r="E11" s="42">
        <v>2025801</v>
      </c>
      <c r="F11" s="42">
        <v>1892337</v>
      </c>
      <c r="G11" s="28">
        <f t="shared" si="1"/>
        <v>7.0528663763378296E-2</v>
      </c>
      <c r="H11" s="37">
        <v>1066524</v>
      </c>
      <c r="I11" s="4">
        <v>1034967</v>
      </c>
      <c r="J11" s="27">
        <f t="shared" si="2"/>
        <v>3.0490827243767192E-2</v>
      </c>
    </row>
    <row r="12" spans="1:10" x14ac:dyDescent="0.25">
      <c r="F12" s="22"/>
    </row>
    <row r="13" spans="1:10" x14ac:dyDescent="0.25">
      <c r="B13" s="24"/>
      <c r="C13" s="20"/>
      <c r="D13" s="20"/>
      <c r="E13" s="12"/>
      <c r="F13" s="1"/>
      <c r="H13" s="1"/>
      <c r="I13" s="1"/>
    </row>
    <row r="14" spans="1:10" x14ac:dyDescent="0.25">
      <c r="B14" s="25"/>
      <c r="C14" s="26"/>
      <c r="D14" s="20"/>
      <c r="E14" s="13"/>
      <c r="F14" s="13"/>
    </row>
    <row r="15" spans="1:10" x14ac:dyDescent="0.25">
      <c r="B15" s="20"/>
      <c r="C15" s="20"/>
      <c r="D15" s="20"/>
    </row>
    <row r="16" spans="1:10" x14ac:dyDescent="0.25">
      <c r="B16" s="20"/>
      <c r="C16" s="26"/>
      <c r="D16" s="20"/>
    </row>
    <row r="17" spans="2:4" x14ac:dyDescent="0.25">
      <c r="B17" s="20"/>
      <c r="C17" s="20"/>
      <c r="D17" s="20"/>
    </row>
  </sheetData>
  <mergeCells count="3">
    <mergeCell ref="B1:D1"/>
    <mergeCell ref="E1:G1"/>
    <mergeCell ref="H1:J1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Company>CMAP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Beata</dc:creator>
  <cp:lastModifiedBy>Alex Beata</cp:lastModifiedBy>
  <dcterms:created xsi:type="dcterms:W3CDTF">2011-08-04T14:37:35Z</dcterms:created>
  <dcterms:modified xsi:type="dcterms:W3CDTF">2011-08-04T20:35:06Z</dcterms:modified>
</cp:coreProperties>
</file>