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calcChain.xml" ContentType="application/vnd.openxmlformats-officedocument.spreadsheetml.calcChain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0" yWindow="0" windowWidth="25440" windowHeight="14080"/>
  </bookViews>
  <sheets>
    <sheet name="Role" sheetId="1" r:id="rId1"/>
    <sheet name="Quotas" sheetId="2" r:id="rId2"/>
    <sheet name="Events" sheetId="3" r:id="rId3"/>
    <sheet name="Sheet4" sheetId="4" r:id="rId4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K71" i="3"/>
  <c r="I71"/>
  <c r="H71"/>
  <c r="G71"/>
  <c r="F71"/>
  <c r="D18" i="2"/>
  <c r="C18"/>
  <c r="D16"/>
  <c r="C16"/>
  <c r="D14"/>
  <c r="C14"/>
  <c r="D12"/>
  <c r="C12"/>
  <c r="D10"/>
  <c r="C10"/>
  <c r="D8"/>
  <c r="C8"/>
  <c r="D6"/>
  <c r="C6"/>
  <c r="D4"/>
  <c r="C4"/>
  <c r="G95" i="1"/>
  <c r="X97"/>
  <c r="Z97"/>
  <c r="Y97"/>
</calcChain>
</file>

<file path=xl/sharedStrings.xml><?xml version="1.0" encoding="utf-8"?>
<sst xmlns="http://schemas.openxmlformats.org/spreadsheetml/2006/main" count="549" uniqueCount="243">
  <si>
    <t>Dodge Brawl</t>
    <phoneticPr fontId="21" type="noConversion"/>
  </si>
  <si>
    <t>Knights give Back</t>
    <phoneticPr fontId="21" type="noConversion"/>
  </si>
  <si>
    <t>Lake Dikaia</t>
    <phoneticPr fontId="21" type="noConversion"/>
  </si>
  <si>
    <t>ALS Walk</t>
    <phoneticPr fontId="21" type="noConversion"/>
  </si>
  <si>
    <t>BR</t>
    <phoneticPr fontId="21" type="noConversion"/>
  </si>
  <si>
    <t>BL</t>
    <phoneticPr fontId="21" type="noConversion"/>
  </si>
  <si>
    <t>BΠ</t>
    <phoneticPr fontId="21" type="noConversion"/>
  </si>
  <si>
    <t>Conor</t>
  </si>
  <si>
    <t>e</t>
  </si>
  <si>
    <t>T/G</t>
  </si>
  <si>
    <t>Nguyen</t>
  </si>
  <si>
    <t>Andy</t>
  </si>
  <si>
    <t>Everhart</t>
  </si>
  <si>
    <t>Bobby</t>
  </si>
  <si>
    <t>Rahr</t>
  </si>
  <si>
    <t>Brad</t>
  </si>
  <si>
    <t xml:space="preserve">Howard </t>
  </si>
  <si>
    <t>Stevens</t>
  </si>
  <si>
    <t>Chad</t>
  </si>
  <si>
    <t>McKay</t>
  </si>
  <si>
    <t>Chris</t>
  </si>
  <si>
    <t>Olusanya</t>
  </si>
  <si>
    <t>DJ</t>
  </si>
  <si>
    <t>Lycett</t>
  </si>
  <si>
    <t>Doug</t>
  </si>
  <si>
    <t>Miceli</t>
  </si>
  <si>
    <t>Sanford</t>
  </si>
  <si>
    <t>Keegan</t>
  </si>
  <si>
    <t>Killeen</t>
  </si>
  <si>
    <t>Obrien</t>
  </si>
  <si>
    <t>Lakus</t>
  </si>
  <si>
    <t>Rufrano</t>
  </si>
  <si>
    <t>Resciniti</t>
  </si>
  <si>
    <t>Nick</t>
  </si>
  <si>
    <t>Daabies</t>
  </si>
  <si>
    <t>Omar</t>
  </si>
  <si>
    <t>Bolek</t>
  </si>
  <si>
    <t>Pat</t>
  </si>
  <si>
    <t>Birakis</t>
  </si>
  <si>
    <t>Dundas</t>
  </si>
  <si>
    <t>Ted</t>
  </si>
  <si>
    <t>Pardillo</t>
  </si>
  <si>
    <t>Schueler</t>
  </si>
  <si>
    <t>Terry</t>
  </si>
  <si>
    <t>Steven</t>
  </si>
  <si>
    <t>Events</t>
  </si>
  <si>
    <t>House Cleanup</t>
  </si>
  <si>
    <t>Rush day 1</t>
  </si>
  <si>
    <t>Rush Day 2</t>
  </si>
  <si>
    <t>Rush Day 3</t>
  </si>
  <si>
    <t>Peachy</t>
  </si>
  <si>
    <t>James</t>
  </si>
  <si>
    <t>YES</t>
  </si>
  <si>
    <r>
      <t>B</t>
    </r>
    <r>
      <rPr>
        <sz val="8"/>
        <rFont val="Calibri"/>
        <family val="2"/>
      </rPr>
      <t>Π</t>
    </r>
  </si>
  <si>
    <t>Funderburk</t>
  </si>
  <si>
    <t>Schuster</t>
  </si>
  <si>
    <t>Mr. Casanova Fundraiser</t>
  </si>
  <si>
    <t>KD Shakedown</t>
  </si>
  <si>
    <t>Name</t>
  </si>
  <si>
    <t>BS</t>
  </si>
  <si>
    <t>Last</t>
  </si>
  <si>
    <t>First</t>
  </si>
  <si>
    <t>Total</t>
  </si>
  <si>
    <t>GS</t>
  </si>
  <si>
    <t>Ryan</t>
  </si>
  <si>
    <t>Kyle</t>
  </si>
  <si>
    <t>Mike</t>
  </si>
  <si>
    <t>Corey</t>
  </si>
  <si>
    <t>Matt</t>
  </si>
  <si>
    <t>Michael</t>
  </si>
  <si>
    <t>Givens</t>
  </si>
  <si>
    <t>Jared</t>
  </si>
  <si>
    <t>Andrew</t>
  </si>
  <si>
    <t xml:space="preserve">Justin </t>
  </si>
  <si>
    <t>Tyler</t>
  </si>
  <si>
    <t>Jacobs</t>
  </si>
  <si>
    <t>Josh</t>
  </si>
  <si>
    <t>Kennedy</t>
  </si>
  <si>
    <t>Dave</t>
  </si>
  <si>
    <t>Dan</t>
  </si>
  <si>
    <t>Alex</t>
  </si>
  <si>
    <t>Lloret</t>
  </si>
  <si>
    <t>Scott</t>
  </si>
  <si>
    <t>Evan</t>
  </si>
  <si>
    <t>Smith</t>
  </si>
  <si>
    <t>Zanette</t>
  </si>
  <si>
    <t>Anthony</t>
  </si>
  <si>
    <t>Total Present</t>
  </si>
  <si>
    <t>Quorum Requirement</t>
  </si>
  <si>
    <t>Total Possible</t>
  </si>
  <si>
    <t>Unexcused Absence</t>
  </si>
  <si>
    <t>Financial Probation</t>
  </si>
  <si>
    <t>Suspension</t>
  </si>
  <si>
    <t>Academic Probation</t>
  </si>
  <si>
    <t>Newly Initiated Brother</t>
  </si>
  <si>
    <t>Alumni</t>
  </si>
  <si>
    <t>**Bad Standing (BS)**</t>
  </si>
  <si>
    <t>G = Grades</t>
  </si>
  <si>
    <t>F = Finance</t>
  </si>
  <si>
    <t>A = Attendance</t>
  </si>
  <si>
    <t>S = Suspension</t>
  </si>
  <si>
    <t xml:space="preserve"> 1 = Present and Eligible to vote</t>
  </si>
  <si>
    <t xml:space="preserve"> X = Present and Ineligible to vote</t>
  </si>
  <si>
    <t xml:space="preserve"> e = Excused Absence</t>
  </si>
  <si>
    <t>Chapter  Quota #'s</t>
  </si>
  <si>
    <t># Present</t>
  </si>
  <si>
    <t>REASON</t>
  </si>
  <si>
    <t>Required #</t>
  </si>
  <si>
    <t>Hands Up</t>
  </si>
  <si>
    <t>Hands Down</t>
  </si>
  <si>
    <t>Brother Chapter Transfer</t>
  </si>
  <si>
    <t>1/2 vs 1/2</t>
  </si>
  <si>
    <t>Impeachment (Vote of Confidence)</t>
  </si>
  <si>
    <t>Impeachment (Chapter Motion)</t>
  </si>
  <si>
    <r>
      <t>Pledge Vote (1</t>
    </r>
    <r>
      <rPr>
        <sz val="8"/>
        <rFont val="Arial"/>
        <family val="2"/>
      </rPr>
      <t>st</t>
    </r>
    <r>
      <rPr>
        <sz val="11"/>
        <rFont val="Arial"/>
        <family val="2"/>
      </rPr>
      <t xml:space="preserve"> - 2</t>
    </r>
    <r>
      <rPr>
        <sz val="8"/>
        <rFont val="Arial"/>
        <family val="2"/>
      </rPr>
      <t>nd</t>
    </r>
    <r>
      <rPr>
        <sz val="11"/>
        <rFont val="Arial"/>
        <family val="2"/>
      </rPr>
      <t xml:space="preserve"> Week)</t>
    </r>
  </si>
  <si>
    <r>
      <t>Pledge Vote (3</t>
    </r>
    <r>
      <rPr>
        <sz val="8"/>
        <rFont val="Arial"/>
        <family val="2"/>
      </rPr>
      <t>rd</t>
    </r>
    <r>
      <rPr>
        <sz val="11"/>
        <rFont val="Arial"/>
        <family val="2"/>
      </rPr>
      <t xml:space="preserve"> - 10</t>
    </r>
    <r>
      <rPr>
        <sz val="8"/>
        <rFont val="Arial"/>
        <family val="2"/>
      </rPr>
      <t>th</t>
    </r>
    <r>
      <rPr>
        <sz val="11"/>
        <rFont val="Arial"/>
        <family val="2"/>
      </rPr>
      <t xml:space="preserve"> Week)</t>
    </r>
  </si>
  <si>
    <t>By-Law Ammendment Reading</t>
  </si>
  <si>
    <t>2/3 vs 1/3</t>
  </si>
  <si>
    <t>BX</t>
    <phoneticPr fontId="21" type="noConversion"/>
  </si>
  <si>
    <t>BO</t>
    <phoneticPr fontId="21" type="noConversion"/>
  </si>
  <si>
    <t>Bengochea</t>
    <phoneticPr fontId="21" type="noConversion"/>
  </si>
  <si>
    <t>BM</t>
    <phoneticPr fontId="21" type="noConversion"/>
  </si>
  <si>
    <t>Giamanco</t>
    <phoneticPr fontId="21" type="noConversion"/>
  </si>
  <si>
    <t>Anthony</t>
    <phoneticPr fontId="21" type="noConversion"/>
  </si>
  <si>
    <t>Bender</t>
    <phoneticPr fontId="21" type="noConversion"/>
  </si>
  <si>
    <t>Blake</t>
    <phoneticPr fontId="21" type="noConversion"/>
  </si>
  <si>
    <t>Crifasi</t>
    <phoneticPr fontId="21" type="noConversion"/>
  </si>
  <si>
    <t>Brandon</t>
    <phoneticPr fontId="21" type="noConversion"/>
  </si>
  <si>
    <t>Barbari</t>
    <phoneticPr fontId="21" type="noConversion"/>
  </si>
  <si>
    <t>Davis</t>
    <phoneticPr fontId="21" type="noConversion"/>
  </si>
  <si>
    <t>Corey</t>
    <phoneticPr fontId="21" type="noConversion"/>
  </si>
  <si>
    <t>Bisgounis</t>
    <phoneticPr fontId="21" type="noConversion"/>
  </si>
  <si>
    <t>Derek</t>
    <phoneticPr fontId="21" type="noConversion"/>
  </si>
  <si>
    <t>Ross</t>
    <phoneticPr fontId="21" type="noConversion"/>
  </si>
  <si>
    <t>Eric</t>
    <phoneticPr fontId="21" type="noConversion"/>
  </si>
  <si>
    <t>Farber</t>
    <phoneticPr fontId="21" type="noConversion"/>
  </si>
  <si>
    <t>Greg</t>
    <phoneticPr fontId="21" type="noConversion"/>
  </si>
  <si>
    <t>Howell</t>
    <phoneticPr fontId="21" type="noConversion"/>
  </si>
  <si>
    <t>Hunter</t>
    <phoneticPr fontId="21" type="noConversion"/>
  </si>
  <si>
    <t>Garoutsos</t>
    <phoneticPr fontId="21" type="noConversion"/>
  </si>
  <si>
    <t>Jordan</t>
    <phoneticPr fontId="21" type="noConversion"/>
  </si>
  <si>
    <t>Escobar</t>
    <phoneticPr fontId="21" type="noConversion"/>
  </si>
  <si>
    <t>Juan</t>
    <phoneticPr fontId="21" type="noConversion"/>
  </si>
  <si>
    <t>Ewy</t>
    <phoneticPr fontId="21" type="noConversion"/>
  </si>
  <si>
    <t>Max</t>
    <phoneticPr fontId="21" type="noConversion"/>
  </si>
  <si>
    <t>Lagriola</t>
    <phoneticPr fontId="21" type="noConversion"/>
  </si>
  <si>
    <t>Nic</t>
    <phoneticPr fontId="21" type="noConversion"/>
  </si>
  <si>
    <t>Ritter</t>
    <phoneticPr fontId="21" type="noConversion"/>
  </si>
  <si>
    <t>Quinn</t>
    <phoneticPr fontId="21" type="noConversion"/>
  </si>
  <si>
    <t>Lipschutz</t>
    <phoneticPr fontId="21" type="noConversion"/>
  </si>
  <si>
    <t>Troy</t>
    <phoneticPr fontId="21" type="noConversion"/>
  </si>
  <si>
    <t>BP</t>
    <phoneticPr fontId="21" type="noConversion"/>
  </si>
  <si>
    <t>BN</t>
    <phoneticPr fontId="21" type="noConversion"/>
  </si>
  <si>
    <t>By-Law Ammendment Passing</t>
  </si>
  <si>
    <t>Objection Vote</t>
  </si>
  <si>
    <t>Joe</t>
  </si>
  <si>
    <t>Edwards</t>
  </si>
  <si>
    <t>Horrell</t>
  </si>
  <si>
    <t>Keenan</t>
  </si>
  <si>
    <t>Dennis</t>
  </si>
  <si>
    <t>DeSantis</t>
  </si>
  <si>
    <t>Grabois</t>
  </si>
  <si>
    <t>Rishi</t>
  </si>
  <si>
    <t>Rits</t>
  </si>
  <si>
    <t>Romero</t>
  </si>
  <si>
    <t>Salisbury</t>
  </si>
  <si>
    <t>Jack</t>
  </si>
  <si>
    <t>Class</t>
  </si>
  <si>
    <t>Richman</t>
  </si>
  <si>
    <t>AJ</t>
  </si>
  <si>
    <t>Vargo</t>
  </si>
  <si>
    <t>Weeks</t>
  </si>
  <si>
    <t>Blake</t>
  </si>
  <si>
    <t>Zippi</t>
  </si>
  <si>
    <t>Levanti</t>
  </si>
  <si>
    <t>Gaset</t>
  </si>
  <si>
    <t>David</t>
  </si>
  <si>
    <t>Animashaun</t>
  </si>
  <si>
    <t>Gbolahan</t>
  </si>
  <si>
    <t>Mondello</t>
  </si>
  <si>
    <t>Jonathan</t>
  </si>
  <si>
    <t>Gilbert</t>
  </si>
  <si>
    <t>Matthew</t>
  </si>
  <si>
    <t>McCoy</t>
  </si>
  <si>
    <t>Inactive</t>
  </si>
  <si>
    <t>Loungani</t>
  </si>
  <si>
    <t>Sayles</t>
  </si>
  <si>
    <t>Drew</t>
  </si>
  <si>
    <t>Bo</t>
  </si>
  <si>
    <t>Buchalter</t>
  </si>
  <si>
    <t>Brandon</t>
  </si>
  <si>
    <t>Snell</t>
  </si>
  <si>
    <t>Bryton</t>
  </si>
  <si>
    <t>Barto</t>
  </si>
  <si>
    <t>Weathers</t>
  </si>
  <si>
    <t>Weiler</t>
  </si>
  <si>
    <t>Boardman</t>
  </si>
  <si>
    <t>Grady</t>
  </si>
  <si>
    <t>Merback</t>
  </si>
  <si>
    <t>Strasser</t>
  </si>
  <si>
    <t>Labrin</t>
  </si>
  <si>
    <t>Javier</t>
  </si>
  <si>
    <t>Rojas</t>
  </si>
  <si>
    <t>Norris</t>
  </si>
  <si>
    <t>Zimmerman</t>
  </si>
  <si>
    <t>Giamanco</t>
  </si>
  <si>
    <t>Woolfenden</t>
  </si>
  <si>
    <t>Ulbrich</t>
  </si>
  <si>
    <t>Kelley</t>
  </si>
  <si>
    <t>Kalinowski</t>
  </si>
  <si>
    <t>Shawn</t>
  </si>
  <si>
    <t>Barker</t>
  </si>
  <si>
    <t>Todd</t>
  </si>
  <si>
    <t>Gugino</t>
  </si>
  <si>
    <t>Vincent</t>
  </si>
  <si>
    <t>BL</t>
  </si>
  <si>
    <t>BO</t>
  </si>
  <si>
    <t>BM</t>
  </si>
  <si>
    <t>BX</t>
  </si>
  <si>
    <t>BN</t>
  </si>
  <si>
    <t>Bryan</t>
  </si>
  <si>
    <t>Hollowell</t>
    <phoneticPr fontId="21" type="noConversion"/>
  </si>
  <si>
    <t>Aaron</t>
    <phoneticPr fontId="21" type="noConversion"/>
  </si>
  <si>
    <t>Jacobi</t>
    <phoneticPr fontId="21" type="noConversion"/>
  </si>
  <si>
    <t>Daniel</t>
    <phoneticPr fontId="21" type="noConversion"/>
  </si>
  <si>
    <t>Kronz</t>
    <phoneticPr fontId="21" type="noConversion"/>
  </si>
  <si>
    <t>Eddie</t>
    <phoneticPr fontId="21" type="noConversion"/>
  </si>
  <si>
    <t>Moore</t>
    <phoneticPr fontId="21" type="noConversion"/>
  </si>
  <si>
    <t>Joey</t>
    <phoneticPr fontId="21" type="noConversion"/>
  </si>
  <si>
    <t>Oehlerking</t>
    <phoneticPr fontId="21" type="noConversion"/>
  </si>
  <si>
    <t>Scott</t>
    <phoneticPr fontId="21" type="noConversion"/>
  </si>
  <si>
    <t>Pascua</t>
    <phoneticPr fontId="21" type="noConversion"/>
  </si>
  <si>
    <t>Cody</t>
    <phoneticPr fontId="21" type="noConversion"/>
  </si>
  <si>
    <t>Quackenbush</t>
    <phoneticPr fontId="21" type="noConversion"/>
  </si>
  <si>
    <t>Cory</t>
    <phoneticPr fontId="21" type="noConversion"/>
  </si>
  <si>
    <t>Selling</t>
    <phoneticPr fontId="21" type="noConversion"/>
  </si>
  <si>
    <t>Shane</t>
    <phoneticPr fontId="21" type="noConversion"/>
  </si>
  <si>
    <t>Silva</t>
    <phoneticPr fontId="21" type="noConversion"/>
  </si>
  <si>
    <t>John</t>
    <phoneticPr fontId="21" type="noConversion"/>
  </si>
  <si>
    <t>Turner</t>
    <phoneticPr fontId="21" type="noConversion"/>
  </si>
  <si>
    <t>Michael</t>
    <phoneticPr fontId="21" type="noConversion"/>
  </si>
  <si>
    <t>Winters</t>
    <phoneticPr fontId="21" type="noConversion"/>
  </si>
  <si>
    <t>James</t>
    <phoneticPr fontId="21" type="noConversion"/>
  </si>
</sst>
</file>

<file path=xl/styles.xml><?xml version="1.0" encoding="utf-8"?>
<styleSheet xmlns="http://schemas.openxmlformats.org/spreadsheetml/2006/main">
  <numFmts count="2">
    <numFmt numFmtId="164" formatCode="m/d/yy;@"/>
    <numFmt numFmtId="165" formatCode="0.0"/>
  </numFmts>
  <fonts count="22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sz val="7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8"/>
      <name val="Symbol"/>
      <family val="1"/>
      <charset val="2"/>
    </font>
    <font>
      <b/>
      <sz val="11"/>
      <color theme="1"/>
      <name val="Calibri"/>
      <family val="2"/>
      <scheme val="minor"/>
    </font>
    <font>
      <sz val="8"/>
      <name val="Calibri"/>
      <family val="2"/>
    </font>
    <font>
      <sz val="8"/>
      <name val="Verdana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60">
    <xf numFmtId="0" fontId="0" fillId="0" borderId="0" xfId="0"/>
    <xf numFmtId="164" fontId="1" fillId="0" borderId="0" xfId="0" applyNumberFormat="1" applyFont="1" applyBorder="1"/>
    <xf numFmtId="164" fontId="2" fillId="0" borderId="0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164" fontId="1" fillId="3" borderId="0" xfId="0" applyNumberFormat="1" applyFont="1" applyFill="1" applyBorder="1"/>
    <xf numFmtId="164" fontId="2" fillId="0" borderId="8" xfId="0" applyNumberFormat="1" applyFont="1" applyFill="1" applyBorder="1" applyAlignment="1">
      <alignment horizontal="center"/>
    </xf>
    <xf numFmtId="164" fontId="2" fillId="5" borderId="7" xfId="0" applyNumberFormat="1" applyFont="1" applyFill="1" applyBorder="1" applyAlignment="1">
      <alignment horizontal="center"/>
    </xf>
    <xf numFmtId="164" fontId="2" fillId="5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 vertical="center"/>
    </xf>
    <xf numFmtId="164" fontId="3" fillId="7" borderId="2" xfId="0" applyNumberFormat="1" applyFont="1" applyFill="1" applyBorder="1" applyAlignment="1">
      <alignment horizontal="center" vertical="center"/>
    </xf>
    <xf numFmtId="164" fontId="3" fillId="8" borderId="3" xfId="0" applyNumberFormat="1" applyFont="1" applyFill="1" applyBorder="1" applyAlignment="1">
      <alignment horizontal="center" vertical="center"/>
    </xf>
    <xf numFmtId="1" fontId="1" fillId="5" borderId="0" xfId="0" applyNumberFormat="1" applyFont="1" applyFill="1" applyBorder="1" applyAlignment="1">
      <alignment horizontal="center"/>
    </xf>
    <xf numFmtId="1" fontId="1" fillId="8" borderId="10" xfId="0" applyNumberFormat="1" applyFont="1" applyFill="1" applyBorder="1" applyAlignment="1">
      <alignment horizontal="center"/>
    </xf>
    <xf numFmtId="1" fontId="1" fillId="6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164" fontId="2" fillId="4" borderId="9" xfId="0" applyNumberFormat="1" applyFont="1" applyFill="1" applyBorder="1" applyAlignment="1">
      <alignment horizontal="center"/>
    </xf>
    <xf numFmtId="164" fontId="5" fillId="5" borderId="9" xfId="0" applyNumberFormat="1" applyFont="1" applyFill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2" fillId="5" borderId="0" xfId="0" applyNumberFormat="1" applyFont="1" applyFill="1" applyBorder="1" applyAlignment="1">
      <alignment horizontal="center"/>
    </xf>
    <xf numFmtId="165" fontId="2" fillId="5" borderId="0" xfId="0" applyNumberFormat="1" applyFont="1" applyFill="1" applyBorder="1" applyAlignment="1">
      <alignment horizontal="center"/>
    </xf>
    <xf numFmtId="1" fontId="2" fillId="6" borderId="2" xfId="0" applyNumberFormat="1" applyFont="1" applyFill="1" applyBorder="1" applyAlignment="1">
      <alignment horizontal="center"/>
    </xf>
    <xf numFmtId="1" fontId="2" fillId="9" borderId="2" xfId="0" applyNumberFormat="1" applyFont="1" applyFill="1" applyBorder="1" applyAlignment="1">
      <alignment horizontal="center"/>
    </xf>
    <xf numFmtId="1" fontId="2" fillId="8" borderId="3" xfId="0" applyNumberFormat="1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2" fillId="0" borderId="0" xfId="0" applyNumberFormat="1" applyFont="1"/>
    <xf numFmtId="2" fontId="1" fillId="0" borderId="0" xfId="0" applyNumberFormat="1" applyFont="1" applyBorder="1" applyAlignment="1">
      <alignment horizontal="center"/>
    </xf>
    <xf numFmtId="1" fontId="1" fillId="0" borderId="0" xfId="0" applyNumberFormat="1" applyFont="1" applyBorder="1"/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/>
    <xf numFmtId="1" fontId="1" fillId="0" borderId="0" xfId="0" applyNumberFormat="1" applyFont="1" applyFill="1" applyBorder="1"/>
    <xf numFmtId="164" fontId="2" fillId="0" borderId="19" xfId="0" applyNumberFormat="1" applyFont="1" applyFill="1" applyBorder="1" applyAlignment="1">
      <alignment horizontal="left"/>
    </xf>
    <xf numFmtId="164" fontId="2" fillId="0" borderId="19" xfId="0" applyNumberFormat="1" applyFont="1" applyFill="1" applyBorder="1"/>
    <xf numFmtId="1" fontId="4" fillId="0" borderId="19" xfId="0" applyNumberFormat="1" applyFont="1" applyBorder="1" applyAlignment="1">
      <alignment horizontal="center"/>
    </xf>
    <xf numFmtId="164" fontId="2" fillId="0" borderId="0" xfId="0" applyNumberFormat="1" applyFont="1" applyBorder="1"/>
    <xf numFmtId="164" fontId="1" fillId="0" borderId="0" xfId="0" applyNumberFormat="1" applyFont="1"/>
    <xf numFmtId="164" fontId="1" fillId="0" borderId="0" xfId="0" applyNumberFormat="1" applyFont="1" applyFill="1" applyBorder="1"/>
    <xf numFmtId="1" fontId="1" fillId="0" borderId="0" xfId="0" applyNumberFormat="1" applyFont="1" applyFill="1"/>
    <xf numFmtId="1" fontId="4" fillId="0" borderId="0" xfId="0" applyNumberFormat="1" applyFont="1" applyAlignment="1">
      <alignment horizontal="center"/>
    </xf>
    <xf numFmtId="1" fontId="1" fillId="0" borderId="0" xfId="0" applyNumberFormat="1" applyFont="1"/>
    <xf numFmtId="164" fontId="1" fillId="0" borderId="0" xfId="0" applyNumberFormat="1" applyFont="1" applyFill="1"/>
    <xf numFmtId="164" fontId="4" fillId="0" borderId="0" xfId="0" applyNumberFormat="1" applyFont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1" fillId="14" borderId="23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1" fontId="16" fillId="9" borderId="25" xfId="0" applyNumberFormat="1" applyFont="1" applyFill="1" applyBorder="1" applyAlignment="1">
      <alignment horizontal="center" vertical="center"/>
    </xf>
    <xf numFmtId="1" fontId="16" fillId="9" borderId="26" xfId="0" applyNumberFormat="1" applyFont="1" applyFill="1" applyBorder="1" applyAlignment="1">
      <alignment horizontal="center" vertical="center"/>
    </xf>
    <xf numFmtId="0" fontId="15" fillId="5" borderId="24" xfId="0" applyFont="1" applyFill="1" applyBorder="1" applyAlignment="1">
      <alignment horizontal="center" vertical="center"/>
    </xf>
    <xf numFmtId="1" fontId="16" fillId="5" borderId="25" xfId="0" applyNumberFormat="1" applyFont="1" applyFill="1" applyBorder="1" applyAlignment="1">
      <alignment horizontal="center" vertical="center"/>
    </xf>
    <xf numFmtId="1" fontId="16" fillId="5" borderId="26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1" fillId="5" borderId="0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0" fillId="5" borderId="26" xfId="0" applyFill="1" applyBorder="1"/>
    <xf numFmtId="0" fontId="15" fillId="2" borderId="27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/>
    <xf numFmtId="164" fontId="2" fillId="2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" fontId="1" fillId="0" borderId="9" xfId="0" applyNumberFormat="1" applyFont="1" applyFill="1" applyBorder="1" applyAlignment="1">
      <alignment horizontal="center" vertical="center"/>
    </xf>
    <xf numFmtId="164" fontId="1" fillId="0" borderId="9" xfId="0" applyNumberFormat="1" applyFont="1" applyFill="1" applyBorder="1" applyAlignment="1">
      <alignment horizontal="center"/>
    </xf>
    <xf numFmtId="1" fontId="1" fillId="5" borderId="28" xfId="0" applyNumberFormat="1" applyFont="1" applyFill="1" applyBorder="1" applyAlignment="1">
      <alignment horizontal="center"/>
    </xf>
    <xf numFmtId="1" fontId="2" fillId="5" borderId="5" xfId="0" applyNumberFormat="1" applyFont="1" applyFill="1" applyBorder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9" fontId="1" fillId="0" borderId="0" xfId="1" applyFont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64" fontId="2" fillId="0" borderId="9" xfId="0" applyNumberFormat="1" applyFont="1" applyFill="1" applyBorder="1" applyAlignment="1">
      <alignment horizontal="center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/>
    </xf>
    <xf numFmtId="0" fontId="1" fillId="4" borderId="9" xfId="0" applyNumberFormat="1" applyFont="1" applyFill="1" applyBorder="1" applyAlignment="1">
      <alignment horizontal="center" vertical="center"/>
    </xf>
    <xf numFmtId="0" fontId="1" fillId="21" borderId="9" xfId="0" applyNumberFormat="1" applyFont="1" applyFill="1" applyBorder="1" applyAlignment="1">
      <alignment horizontal="center" vertical="center"/>
    </xf>
    <xf numFmtId="164" fontId="2" fillId="4" borderId="8" xfId="0" applyNumberFormat="1" applyFont="1" applyFill="1" applyBorder="1" applyAlignment="1">
      <alignment horizontal="center"/>
    </xf>
    <xf numFmtId="164" fontId="2" fillId="0" borderId="9" xfId="0" applyNumberFormat="1" applyFont="1" applyFill="1" applyBorder="1" applyAlignment="1">
      <alignment horizontal="center"/>
    </xf>
    <xf numFmtId="0" fontId="0" fillId="0" borderId="9" xfId="0" applyBorder="1"/>
    <xf numFmtId="0" fontId="19" fillId="0" borderId="9" xfId="0" applyFont="1" applyBorder="1"/>
    <xf numFmtId="14" fontId="19" fillId="0" borderId="9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9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left" vertical="center"/>
    </xf>
    <xf numFmtId="0" fontId="18" fillId="4" borderId="9" xfId="0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/>
    </xf>
    <xf numFmtId="164" fontId="1" fillId="4" borderId="9" xfId="0" applyNumberFormat="1" applyFont="1" applyFill="1" applyBorder="1" applyAlignment="1">
      <alignment horizontal="left"/>
    </xf>
    <xf numFmtId="164" fontId="18" fillId="4" borderId="9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left"/>
    </xf>
    <xf numFmtId="0" fontId="18" fillId="4" borderId="9" xfId="0" applyFont="1" applyFill="1" applyBorder="1" applyAlignment="1">
      <alignment horizontal="center"/>
    </xf>
    <xf numFmtId="164" fontId="7" fillId="22" borderId="14" xfId="0" applyNumberFormat="1" applyFont="1" applyFill="1" applyBorder="1" applyAlignment="1">
      <alignment horizontal="left"/>
    </xf>
    <xf numFmtId="1" fontId="7" fillId="22" borderId="0" xfId="0" applyNumberFormat="1" applyFont="1" applyFill="1" applyBorder="1" applyAlignment="1"/>
    <xf numFmtId="1" fontId="7" fillId="22" borderId="15" xfId="0" applyNumberFormat="1" applyFont="1" applyFill="1" applyBorder="1" applyAlignment="1"/>
    <xf numFmtId="164" fontId="7" fillId="22" borderId="0" xfId="0" applyNumberFormat="1" applyFont="1" applyFill="1" applyBorder="1" applyAlignment="1">
      <alignment horizontal="left"/>
    </xf>
    <xf numFmtId="164" fontId="7" fillId="22" borderId="15" xfId="0" applyNumberFormat="1" applyFont="1" applyFill="1" applyBorder="1" applyAlignment="1">
      <alignment horizontal="left"/>
    </xf>
    <xf numFmtId="164" fontId="7" fillId="22" borderId="16" xfId="0" applyNumberFormat="1" applyFont="1" applyFill="1" applyBorder="1" applyAlignment="1">
      <alignment horizontal="left"/>
    </xf>
    <xf numFmtId="164" fontId="7" fillId="22" borderId="17" xfId="0" applyNumberFormat="1" applyFont="1" applyFill="1" applyBorder="1" applyAlignment="1">
      <alignment horizontal="left"/>
    </xf>
    <xf numFmtId="164" fontId="7" fillId="22" borderId="18" xfId="0" applyNumberFormat="1" applyFont="1" applyFill="1" applyBorder="1" applyAlignment="1">
      <alignment horizontal="left"/>
    </xf>
    <xf numFmtId="164" fontId="4" fillId="22" borderId="9" xfId="0" applyNumberFormat="1" applyFont="1" applyFill="1" applyBorder="1" applyAlignment="1">
      <alignment horizontal="center"/>
    </xf>
    <xf numFmtId="0" fontId="1" fillId="23" borderId="9" xfId="0" applyFont="1" applyFill="1" applyBorder="1" applyAlignment="1">
      <alignment horizontal="left" vertical="center"/>
    </xf>
    <xf numFmtId="164" fontId="1" fillId="23" borderId="9" xfId="0" applyNumberFormat="1" applyFont="1" applyFill="1" applyBorder="1" applyAlignment="1">
      <alignment horizontal="left"/>
    </xf>
    <xf numFmtId="0" fontId="1" fillId="23" borderId="9" xfId="0" applyFont="1" applyFill="1" applyBorder="1" applyAlignment="1">
      <alignment horizontal="left"/>
    </xf>
    <xf numFmtId="0" fontId="19" fillId="0" borderId="6" xfId="0" applyFont="1" applyFill="1" applyBorder="1" applyAlignment="1">
      <alignment horizontal="center"/>
    </xf>
    <xf numFmtId="14" fontId="19" fillId="0" borderId="3" xfId="0" applyNumberFormat="1" applyFont="1" applyBorder="1" applyAlignment="1">
      <alignment horizontal="center"/>
    </xf>
    <xf numFmtId="0" fontId="1" fillId="3" borderId="3" xfId="0" applyNumberFormat="1" applyFont="1" applyFill="1" applyBorder="1" applyAlignment="1">
      <alignment horizontal="center" vertical="center"/>
    </xf>
    <xf numFmtId="164" fontId="5" fillId="2" borderId="9" xfId="0" applyNumberFormat="1" applyFont="1" applyFill="1" applyBorder="1" applyAlignment="1">
      <alignment horizontal="center"/>
    </xf>
    <xf numFmtId="164" fontId="5" fillId="17" borderId="9" xfId="0" applyNumberFormat="1" applyFont="1" applyFill="1" applyBorder="1" applyAlignment="1">
      <alignment horizontal="center"/>
    </xf>
    <xf numFmtId="164" fontId="5" fillId="2" borderId="7" xfId="0" applyNumberFormat="1" applyFont="1" applyFill="1" applyBorder="1" applyAlignment="1">
      <alignment horizontal="center"/>
    </xf>
    <xf numFmtId="164" fontId="2" fillId="0" borderId="9" xfId="0" applyNumberFormat="1" applyFont="1" applyFill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164" fontId="2" fillId="0" borderId="5" xfId="0" applyNumberFormat="1" applyFont="1" applyFill="1" applyBorder="1" applyAlignment="1">
      <alignment horizontal="center"/>
    </xf>
    <xf numFmtId="164" fontId="3" fillId="22" borderId="6" xfId="0" applyNumberFormat="1" applyFont="1" applyFill="1" applyBorder="1" applyAlignment="1">
      <alignment horizontal="center" vertical="center"/>
    </xf>
    <xf numFmtId="0" fontId="3" fillId="22" borderId="8" xfId="0" applyFont="1" applyFill="1" applyBorder="1" applyAlignment="1">
      <alignment horizontal="center" vertical="center"/>
    </xf>
    <xf numFmtId="164" fontId="6" fillId="22" borderId="11" xfId="0" applyNumberFormat="1" applyFont="1" applyFill="1" applyBorder="1" applyAlignment="1">
      <alignment horizontal="center"/>
    </xf>
    <xf numFmtId="164" fontId="6" fillId="22" borderId="12" xfId="0" applyNumberFormat="1" applyFont="1" applyFill="1" applyBorder="1" applyAlignment="1">
      <alignment horizontal="center"/>
    </xf>
    <xf numFmtId="164" fontId="6" fillId="22" borderId="13" xfId="0" applyNumberFormat="1" applyFont="1" applyFill="1" applyBorder="1" applyAlignment="1">
      <alignment horizontal="center"/>
    </xf>
    <xf numFmtId="1" fontId="3" fillId="2" borderId="11" xfId="0" applyNumberFormat="1" applyFon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1" fontId="3" fillId="2" borderId="14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1" fontId="3" fillId="2" borderId="16" xfId="0" applyNumberFormat="1" applyFont="1" applyFill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1" fontId="2" fillId="10" borderId="11" xfId="0" applyNumberFormat="1" applyFont="1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1" fontId="2" fillId="16" borderId="14" xfId="0" applyNumberFormat="1" applyFont="1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0" fontId="0" fillId="16" borderId="15" xfId="0" applyFill="1" applyBorder="1" applyAlignment="1">
      <alignment horizontal="center"/>
    </xf>
    <xf numFmtId="1" fontId="2" fillId="19" borderId="14" xfId="0" applyNumberFormat="1" applyFon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0" fontId="0" fillId="19" borderId="15" xfId="0" applyFill="1" applyBorder="1" applyAlignment="1">
      <alignment horizontal="center"/>
    </xf>
    <xf numFmtId="1" fontId="2" fillId="12" borderId="14" xfId="0" applyNumberFormat="1" applyFont="1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0" fillId="12" borderId="15" xfId="0" applyFill="1" applyBorder="1" applyAlignment="1">
      <alignment horizontal="center"/>
    </xf>
    <xf numFmtId="1" fontId="2" fillId="18" borderId="14" xfId="0" applyNumberFormat="1" applyFont="1" applyFill="1" applyBorder="1" applyAlignment="1">
      <alignment horizontal="center"/>
    </xf>
    <xf numFmtId="1" fontId="2" fillId="18" borderId="0" xfId="0" applyNumberFormat="1" applyFont="1" applyFill="1" applyBorder="1" applyAlignment="1">
      <alignment horizontal="center"/>
    </xf>
    <xf numFmtId="1" fontId="2" fillId="18" borderId="15" xfId="0" applyNumberFormat="1" applyFont="1" applyFill="1" applyBorder="1" applyAlignment="1">
      <alignment horizontal="center"/>
    </xf>
    <xf numFmtId="1" fontId="2" fillId="13" borderId="16" xfId="0" applyNumberFormat="1" applyFont="1" applyFill="1" applyBorder="1" applyAlignment="1">
      <alignment horizontal="center"/>
    </xf>
    <xf numFmtId="0" fontId="0" fillId="13" borderId="17" xfId="0" applyFill="1" applyBorder="1" applyAlignment="1">
      <alignment horizontal="center"/>
    </xf>
    <xf numFmtId="0" fontId="0" fillId="13" borderId="18" xfId="0" applyFill="1" applyBorder="1" applyAlignment="1">
      <alignment horizontal="center"/>
    </xf>
    <xf numFmtId="1" fontId="2" fillId="20" borderId="14" xfId="0" applyNumberFormat="1" applyFont="1" applyFill="1" applyBorder="1" applyAlignment="1">
      <alignment horizontal="center"/>
    </xf>
    <xf numFmtId="1" fontId="2" fillId="20" borderId="0" xfId="0" applyNumberFormat="1" applyFont="1" applyFill="1" applyBorder="1" applyAlignment="1">
      <alignment horizontal="center"/>
    </xf>
    <xf numFmtId="1" fontId="2" fillId="20" borderId="15" xfId="0" applyNumberFormat="1" applyFont="1" applyFill="1" applyBorder="1" applyAlignment="1">
      <alignment horizontal="center"/>
    </xf>
    <xf numFmtId="0" fontId="9" fillId="11" borderId="9" xfId="0" applyFont="1" applyFill="1" applyBorder="1" applyAlignment="1">
      <alignment horizontal="center" vertical="center"/>
    </xf>
    <xf numFmtId="0" fontId="10" fillId="0" borderId="9" xfId="0" applyFont="1" applyBorder="1" applyAlignment="1"/>
    <xf numFmtId="0" fontId="11" fillId="14" borderId="20" xfId="0" applyFont="1" applyFill="1" applyBorder="1" applyAlignment="1">
      <alignment horizontal="center" vertical="center"/>
    </xf>
    <xf numFmtId="0" fontId="13" fillId="14" borderId="20" xfId="0" applyFont="1" applyFill="1" applyBorder="1" applyAlignment="1"/>
    <xf numFmtId="0" fontId="14" fillId="5" borderId="21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9" fillId="15" borderId="0" xfId="0" applyFont="1" applyFill="1" applyBorder="1" applyAlignment="1">
      <alignment horizontal="center" vertical="center"/>
    </xf>
    <xf numFmtId="0" fontId="9" fillId="15" borderId="17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Z116"/>
  <sheetViews>
    <sheetView tabSelected="1" topLeftCell="A30" zoomScale="150" zoomScaleNormal="85" zoomScalePageLayoutView="85" workbookViewId="0">
      <selection activeCell="K30" sqref="K30"/>
    </sheetView>
  </sheetViews>
  <sheetFormatPr baseColWidth="10" defaultColWidth="8.625" defaultRowHeight="11.25" customHeight="1"/>
  <cols>
    <col min="1" max="2" width="10.375" customWidth="1"/>
    <col min="3" max="3" width="6" customWidth="1"/>
    <col min="4" max="5" width="5.625" customWidth="1"/>
    <col min="6" max="6" width="4.625" customWidth="1"/>
    <col min="7" max="7" width="7" bestFit="1" customWidth="1"/>
    <col min="8" max="8" width="7.375" bestFit="1" customWidth="1"/>
    <col min="9" max="21" width="6.5" customWidth="1"/>
    <col min="22" max="22" width="6.5" style="61" customWidth="1"/>
    <col min="23" max="23" width="2.5" customWidth="1"/>
    <col min="24" max="26" width="4.625" customWidth="1"/>
  </cols>
  <sheetData>
    <row r="1" spans="1:26" ht="11.25" customHeight="1">
      <c r="A1" s="115" t="s">
        <v>58</v>
      </c>
      <c r="B1" s="116"/>
      <c r="C1" s="2"/>
      <c r="D1" s="2"/>
      <c r="E1" s="2"/>
      <c r="F1" s="117" t="s">
        <v>59</v>
      </c>
      <c r="G1" s="3" t="s">
        <v>0</v>
      </c>
      <c r="H1" s="113" t="s">
        <v>1</v>
      </c>
      <c r="I1" s="70" t="s">
        <v>2</v>
      </c>
      <c r="J1" s="111" t="s">
        <v>3</v>
      </c>
      <c r="K1" s="4"/>
      <c r="L1" s="112"/>
      <c r="M1" s="4"/>
      <c r="N1" s="4"/>
      <c r="O1" s="4"/>
      <c r="P1" s="4"/>
      <c r="Q1" s="4"/>
      <c r="R1" s="4"/>
      <c r="S1" s="4"/>
      <c r="T1" s="4"/>
      <c r="U1" s="62"/>
      <c r="V1" s="4"/>
      <c r="W1" s="5"/>
      <c r="X1" s="5"/>
      <c r="Y1" s="5"/>
      <c r="Z1" s="5"/>
    </row>
    <row r="2" spans="1:26" ht="12" customHeight="1">
      <c r="A2" s="6" t="s">
        <v>60</v>
      </c>
      <c r="B2" s="6" t="s">
        <v>61</v>
      </c>
      <c r="C2" s="72" t="s">
        <v>219</v>
      </c>
      <c r="D2" s="17" t="s">
        <v>167</v>
      </c>
      <c r="E2" s="79" t="s">
        <v>9</v>
      </c>
      <c r="F2" s="118"/>
      <c r="G2" s="7"/>
      <c r="H2" s="7"/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63"/>
      <c r="V2" s="9"/>
      <c r="W2" s="13"/>
      <c r="X2" s="10" t="s">
        <v>62</v>
      </c>
      <c r="Y2" s="11" t="s">
        <v>63</v>
      </c>
      <c r="Z2" s="12" t="s">
        <v>59</v>
      </c>
    </row>
    <row r="3" spans="1:26" s="61" customFormat="1" ht="15">
      <c r="A3" s="87" t="s">
        <v>177</v>
      </c>
      <c r="B3" s="87" t="s">
        <v>178</v>
      </c>
      <c r="C3" s="88" t="s">
        <v>118</v>
      </c>
      <c r="D3" s="89"/>
      <c r="E3" s="65"/>
      <c r="F3" s="104"/>
      <c r="G3" s="73">
        <v>3</v>
      </c>
      <c r="H3" s="73"/>
      <c r="I3" s="74">
        <v>1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5"/>
      <c r="V3" s="64"/>
      <c r="W3" s="66"/>
      <c r="X3" s="15"/>
      <c r="Y3" s="16"/>
      <c r="Z3" s="14"/>
    </row>
    <row r="4" spans="1:26" s="61" customFormat="1" ht="15">
      <c r="A4" s="87" t="s">
        <v>128</v>
      </c>
      <c r="B4" s="87" t="s">
        <v>232</v>
      </c>
      <c r="C4" s="88" t="s">
        <v>4</v>
      </c>
      <c r="D4" s="93"/>
      <c r="E4" s="93"/>
      <c r="F4" s="104"/>
      <c r="G4" s="77">
        <v>4</v>
      </c>
      <c r="H4" s="77"/>
      <c r="I4" s="110"/>
      <c r="J4" s="77"/>
      <c r="K4" s="77"/>
      <c r="L4" s="77"/>
      <c r="M4" s="77"/>
      <c r="N4" s="73"/>
      <c r="O4" s="73"/>
      <c r="P4" s="73"/>
      <c r="Q4" s="73"/>
      <c r="R4" s="73"/>
      <c r="S4" s="73"/>
      <c r="T4" s="73"/>
      <c r="U4" s="75"/>
      <c r="V4" s="64"/>
      <c r="W4" s="66"/>
      <c r="X4" s="15"/>
      <c r="Y4" s="16"/>
      <c r="Z4" s="14"/>
    </row>
    <row r="5" spans="1:26" s="61" customFormat="1" ht="15">
      <c r="A5" s="87" t="s">
        <v>211</v>
      </c>
      <c r="B5" s="87" t="s">
        <v>212</v>
      </c>
      <c r="C5" s="88" t="s">
        <v>216</v>
      </c>
      <c r="D5" s="93"/>
      <c r="E5" s="93"/>
      <c r="F5" s="104"/>
      <c r="G5" s="77">
        <v>5</v>
      </c>
      <c r="H5" s="77">
        <v>5</v>
      </c>
      <c r="I5" s="110">
        <v>1</v>
      </c>
      <c r="J5" s="77"/>
      <c r="K5" s="77"/>
      <c r="L5" s="77"/>
      <c r="M5" s="77"/>
      <c r="N5" s="73"/>
      <c r="O5" s="73"/>
      <c r="P5" s="73"/>
      <c r="Q5" s="73"/>
      <c r="R5" s="73"/>
      <c r="S5" s="73"/>
      <c r="T5" s="73"/>
      <c r="U5" s="75"/>
      <c r="V5" s="64"/>
      <c r="W5" s="66"/>
      <c r="X5" s="15"/>
      <c r="Y5" s="16"/>
      <c r="Z5" s="14"/>
    </row>
    <row r="6" spans="1:26" s="61" customFormat="1" ht="15">
      <c r="A6" s="87" t="s">
        <v>193</v>
      </c>
      <c r="B6" s="87" t="s">
        <v>67</v>
      </c>
      <c r="C6" s="88" t="s">
        <v>216</v>
      </c>
      <c r="D6" s="93"/>
      <c r="E6" s="93"/>
      <c r="F6" s="104"/>
      <c r="G6" s="77">
        <v>2</v>
      </c>
      <c r="H6" s="77">
        <v>5</v>
      </c>
      <c r="I6" s="110">
        <v>1</v>
      </c>
      <c r="J6" s="77"/>
      <c r="K6" s="77"/>
      <c r="L6" s="77"/>
      <c r="M6" s="77"/>
      <c r="N6" s="73"/>
      <c r="O6" s="73"/>
      <c r="P6" s="73"/>
      <c r="Q6" s="73"/>
      <c r="R6" s="73"/>
      <c r="S6" s="73"/>
      <c r="T6" s="73"/>
      <c r="U6" s="75"/>
      <c r="V6" s="64"/>
      <c r="W6" s="66"/>
      <c r="X6" s="15"/>
      <c r="Y6" s="16"/>
      <c r="Z6" s="14"/>
    </row>
    <row r="7" spans="1:26" s="61" customFormat="1" ht="15">
      <c r="A7" s="87" t="s">
        <v>124</v>
      </c>
      <c r="B7" s="87" t="s">
        <v>125</v>
      </c>
      <c r="C7" s="88" t="s">
        <v>4</v>
      </c>
      <c r="D7" s="93"/>
      <c r="E7" s="93"/>
      <c r="F7" s="104"/>
      <c r="G7" s="77">
        <v>4</v>
      </c>
      <c r="H7" s="77"/>
      <c r="I7" s="110"/>
      <c r="J7" s="77"/>
      <c r="K7" s="77"/>
      <c r="L7" s="77"/>
      <c r="M7" s="77"/>
      <c r="N7" s="73"/>
      <c r="O7" s="73"/>
      <c r="P7" s="73"/>
      <c r="Q7" s="73"/>
      <c r="R7" s="73"/>
      <c r="S7" s="73"/>
      <c r="T7" s="73"/>
      <c r="U7" s="75"/>
      <c r="V7" s="64"/>
      <c r="W7" s="66"/>
      <c r="X7" s="15"/>
      <c r="Y7" s="16"/>
      <c r="Z7" s="14"/>
    </row>
    <row r="8" spans="1:26" s="61" customFormat="1" ht="15">
      <c r="A8" s="87" t="s">
        <v>120</v>
      </c>
      <c r="B8" s="87" t="s">
        <v>222</v>
      </c>
      <c r="C8" s="88" t="s">
        <v>4</v>
      </c>
      <c r="D8" s="93"/>
      <c r="E8" s="93"/>
      <c r="F8" s="104"/>
      <c r="G8" s="77">
        <v>4</v>
      </c>
      <c r="H8" s="77"/>
      <c r="I8" s="110"/>
      <c r="J8" s="77"/>
      <c r="K8" s="77"/>
      <c r="L8" s="77"/>
      <c r="M8" s="77"/>
      <c r="N8" s="73"/>
      <c r="O8" s="73"/>
      <c r="P8" s="73"/>
      <c r="Q8" s="73"/>
      <c r="R8" s="73"/>
      <c r="S8" s="73"/>
      <c r="T8" s="73"/>
      <c r="U8" s="75"/>
      <c r="V8" s="64"/>
      <c r="W8" s="66"/>
      <c r="X8" s="15"/>
      <c r="Y8" s="16"/>
      <c r="Z8" s="14"/>
    </row>
    <row r="9" spans="1:26" s="61" customFormat="1" ht="15">
      <c r="A9" s="87" t="s">
        <v>38</v>
      </c>
      <c r="B9" s="87" t="s">
        <v>44</v>
      </c>
      <c r="C9" s="88" t="s">
        <v>53</v>
      </c>
      <c r="D9" s="93"/>
      <c r="E9" s="93"/>
      <c r="F9" s="104"/>
      <c r="G9" s="77">
        <v>2</v>
      </c>
      <c r="H9" s="77"/>
      <c r="I9" s="110"/>
      <c r="J9" s="77"/>
      <c r="K9" s="77"/>
      <c r="L9" s="77"/>
      <c r="M9" s="77"/>
      <c r="N9" s="73"/>
      <c r="O9" s="73"/>
      <c r="P9" s="73"/>
      <c r="Q9" s="73"/>
      <c r="R9" s="73"/>
      <c r="S9" s="73"/>
      <c r="T9" s="73"/>
      <c r="U9" s="75"/>
      <c r="V9" s="64"/>
      <c r="W9" s="66"/>
      <c r="X9" s="15"/>
      <c r="Y9" s="16"/>
      <c r="Z9" s="14"/>
    </row>
    <row r="10" spans="1:26" s="61" customFormat="1" ht="15">
      <c r="A10" s="87" t="s">
        <v>131</v>
      </c>
      <c r="B10" s="87" t="s">
        <v>132</v>
      </c>
      <c r="C10" s="88" t="s">
        <v>4</v>
      </c>
      <c r="D10" s="93"/>
      <c r="E10" s="93"/>
      <c r="F10" s="104"/>
      <c r="G10" s="77">
        <v>4</v>
      </c>
      <c r="H10" s="77"/>
      <c r="I10" s="110"/>
      <c r="J10" s="77"/>
      <c r="K10" s="77"/>
      <c r="L10" s="77"/>
      <c r="M10" s="77"/>
      <c r="N10" s="73"/>
      <c r="O10" s="73"/>
      <c r="P10" s="73"/>
      <c r="Q10" s="73"/>
      <c r="R10" s="73"/>
      <c r="S10" s="73"/>
      <c r="T10" s="73"/>
      <c r="U10" s="75"/>
      <c r="V10" s="64"/>
      <c r="W10" s="66"/>
      <c r="X10" s="15"/>
      <c r="Y10" s="16"/>
      <c r="Z10" s="14"/>
    </row>
    <row r="11" spans="1:26" ht="15">
      <c r="A11" s="87" t="s">
        <v>196</v>
      </c>
      <c r="B11" s="87" t="s">
        <v>197</v>
      </c>
      <c r="C11" s="88" t="s">
        <v>216</v>
      </c>
      <c r="D11" s="93"/>
      <c r="E11" s="93"/>
      <c r="F11" s="104"/>
      <c r="G11" s="77">
        <v>1</v>
      </c>
      <c r="H11" s="77"/>
      <c r="I11" s="110">
        <v>1</v>
      </c>
      <c r="J11" s="77"/>
      <c r="K11" s="77"/>
      <c r="L11" s="77"/>
      <c r="M11" s="77"/>
      <c r="N11" s="73"/>
      <c r="O11" s="73"/>
      <c r="P11" s="73"/>
      <c r="Q11" s="73"/>
      <c r="R11" s="73"/>
      <c r="S11" s="73"/>
      <c r="T11" s="73"/>
      <c r="U11" s="75"/>
      <c r="V11" s="64"/>
      <c r="W11" s="66"/>
      <c r="X11" s="15"/>
      <c r="Y11" s="16"/>
      <c r="Z11" s="14"/>
    </row>
    <row r="12" spans="1:26" ht="15">
      <c r="A12" s="87" t="s">
        <v>36</v>
      </c>
      <c r="B12" s="87" t="s">
        <v>37</v>
      </c>
      <c r="C12" s="88" t="s">
        <v>53</v>
      </c>
      <c r="D12" s="93"/>
      <c r="E12" s="93"/>
      <c r="F12" s="104"/>
      <c r="G12" s="77">
        <v>3</v>
      </c>
      <c r="H12" s="77"/>
      <c r="I12" s="110"/>
      <c r="J12" s="77"/>
      <c r="K12" s="77"/>
      <c r="L12" s="77"/>
      <c r="M12" s="77"/>
      <c r="N12" s="73"/>
      <c r="O12" s="73"/>
      <c r="P12" s="73"/>
      <c r="Q12" s="73"/>
      <c r="R12" s="73"/>
      <c r="S12" s="73"/>
      <c r="T12" s="73"/>
      <c r="U12" s="75"/>
      <c r="V12" s="64"/>
      <c r="W12" s="66"/>
      <c r="X12" s="15"/>
      <c r="Y12" s="16"/>
      <c r="Z12" s="14"/>
    </row>
    <row r="13" spans="1:26" ht="15">
      <c r="A13" s="87" t="s">
        <v>189</v>
      </c>
      <c r="B13" s="87" t="s">
        <v>190</v>
      </c>
      <c r="C13" s="88" t="s">
        <v>216</v>
      </c>
      <c r="D13" s="93"/>
      <c r="E13" s="93"/>
      <c r="F13" s="104"/>
      <c r="G13" s="77">
        <v>2</v>
      </c>
      <c r="H13" s="77"/>
      <c r="I13" s="110"/>
      <c r="J13" s="77"/>
      <c r="K13" s="77"/>
      <c r="L13" s="77"/>
      <c r="M13" s="77"/>
      <c r="N13" s="73"/>
      <c r="O13" s="73"/>
      <c r="P13" s="73"/>
      <c r="Q13" s="73"/>
      <c r="R13" s="73"/>
      <c r="S13" s="73"/>
      <c r="T13" s="73"/>
      <c r="U13" s="75"/>
      <c r="V13" s="64"/>
      <c r="W13" s="66"/>
      <c r="X13" s="15"/>
      <c r="Y13" s="16"/>
      <c r="Z13" s="14"/>
    </row>
    <row r="14" spans="1:26" ht="15">
      <c r="A14" s="87" t="s">
        <v>126</v>
      </c>
      <c r="B14" s="87" t="s">
        <v>127</v>
      </c>
      <c r="C14" s="88" t="s">
        <v>4</v>
      </c>
      <c r="D14" s="93"/>
      <c r="E14" s="93"/>
      <c r="F14" s="104"/>
      <c r="G14" s="77">
        <v>4</v>
      </c>
      <c r="H14" s="77"/>
      <c r="I14" s="110"/>
      <c r="J14" s="77"/>
      <c r="K14" s="77"/>
      <c r="L14" s="77"/>
      <c r="M14" s="77"/>
      <c r="N14" s="73"/>
      <c r="O14" s="73"/>
      <c r="P14" s="73"/>
      <c r="Q14" s="73"/>
      <c r="R14" s="73"/>
      <c r="S14" s="73"/>
      <c r="T14" s="73"/>
      <c r="U14" s="75"/>
      <c r="V14" s="64"/>
      <c r="W14" s="66"/>
      <c r="X14" s="15"/>
      <c r="Y14" s="16"/>
      <c r="Z14" s="14"/>
    </row>
    <row r="15" spans="1:26" ht="15">
      <c r="A15" s="87" t="s">
        <v>34</v>
      </c>
      <c r="B15" s="87" t="s">
        <v>35</v>
      </c>
      <c r="C15" s="88" t="s">
        <v>53</v>
      </c>
      <c r="D15" s="93"/>
      <c r="E15" s="93"/>
      <c r="F15" s="104"/>
      <c r="G15" s="77"/>
      <c r="H15" s="77"/>
      <c r="I15" s="110"/>
      <c r="J15" s="77"/>
      <c r="K15" s="77"/>
      <c r="L15" s="77"/>
      <c r="M15" s="77"/>
      <c r="N15" s="73"/>
      <c r="O15" s="73"/>
      <c r="P15" s="73"/>
      <c r="Q15" s="73"/>
      <c r="R15" s="73"/>
      <c r="S15" s="73"/>
      <c r="T15" s="73"/>
      <c r="U15" s="75"/>
      <c r="V15" s="64"/>
      <c r="W15" s="66"/>
      <c r="X15" s="15"/>
      <c r="Y15" s="16"/>
      <c r="Z15" s="14"/>
    </row>
    <row r="16" spans="1:26" ht="15">
      <c r="A16" s="87" t="s">
        <v>129</v>
      </c>
      <c r="B16" s="87" t="s">
        <v>130</v>
      </c>
      <c r="C16" s="88" t="s">
        <v>4</v>
      </c>
      <c r="D16" s="93"/>
      <c r="E16" s="93"/>
      <c r="F16" s="104"/>
      <c r="G16" s="77">
        <v>4</v>
      </c>
      <c r="H16" s="77"/>
      <c r="I16" s="110"/>
      <c r="J16" s="77"/>
      <c r="K16" s="77"/>
      <c r="L16" s="77"/>
      <c r="M16" s="77"/>
      <c r="N16" s="73"/>
      <c r="O16" s="73"/>
      <c r="P16" s="73"/>
      <c r="Q16" s="73"/>
      <c r="R16" s="73"/>
      <c r="S16" s="73"/>
      <c r="T16" s="73"/>
      <c r="U16" s="75"/>
      <c r="V16" s="64"/>
      <c r="W16" s="66"/>
      <c r="X16" s="15"/>
      <c r="Y16" s="16"/>
      <c r="Z16" s="14"/>
    </row>
    <row r="17" spans="1:26" ht="15">
      <c r="A17" s="87" t="s">
        <v>159</v>
      </c>
      <c r="B17" s="87" t="s">
        <v>86</v>
      </c>
      <c r="C17" s="88" t="s">
        <v>219</v>
      </c>
      <c r="D17" s="93"/>
      <c r="E17" s="93"/>
      <c r="F17" s="104"/>
      <c r="G17" s="77">
        <v>2</v>
      </c>
      <c r="H17" s="77"/>
      <c r="I17" s="110"/>
      <c r="J17" s="77"/>
      <c r="K17" s="77"/>
      <c r="L17" s="77"/>
      <c r="M17" s="77"/>
      <c r="N17" s="73"/>
      <c r="O17" s="73"/>
      <c r="P17" s="73"/>
      <c r="Q17" s="73"/>
      <c r="R17" s="73"/>
      <c r="S17" s="73"/>
      <c r="T17" s="73"/>
      <c r="U17" s="75"/>
      <c r="V17" s="64"/>
      <c r="W17" s="66"/>
      <c r="X17" s="15"/>
      <c r="Y17" s="16"/>
      <c r="Z17" s="14"/>
    </row>
    <row r="18" spans="1:26" ht="15">
      <c r="A18" s="87" t="s">
        <v>160</v>
      </c>
      <c r="B18" s="87" t="s">
        <v>7</v>
      </c>
      <c r="C18" s="88" t="s">
        <v>219</v>
      </c>
      <c r="D18" s="93"/>
      <c r="E18" s="93"/>
      <c r="F18" s="104"/>
      <c r="G18" s="77">
        <v>3</v>
      </c>
      <c r="H18" s="77">
        <v>5</v>
      </c>
      <c r="I18" s="110"/>
      <c r="J18" s="77"/>
      <c r="K18" s="77"/>
      <c r="L18" s="77"/>
      <c r="M18" s="77"/>
      <c r="N18" s="73"/>
      <c r="O18" s="73"/>
      <c r="P18" s="73"/>
      <c r="Q18" s="73"/>
      <c r="R18" s="73"/>
      <c r="S18" s="73"/>
      <c r="T18" s="73"/>
      <c r="U18" s="75"/>
      <c r="V18" s="64"/>
      <c r="W18" s="66"/>
      <c r="X18" s="15"/>
      <c r="Y18" s="16"/>
      <c r="Z18" s="14"/>
    </row>
    <row r="19" spans="1:26" ht="15">
      <c r="A19" s="87" t="s">
        <v>39</v>
      </c>
      <c r="B19" s="87" t="s">
        <v>40</v>
      </c>
      <c r="C19" s="88" t="s">
        <v>53</v>
      </c>
      <c r="D19" s="93"/>
      <c r="E19" s="93"/>
      <c r="F19" s="104"/>
      <c r="G19" s="77"/>
      <c r="H19" s="77"/>
      <c r="I19" s="110"/>
      <c r="J19" s="77">
        <v>4</v>
      </c>
      <c r="K19" s="77"/>
      <c r="L19" s="77"/>
      <c r="M19" s="77"/>
      <c r="N19" s="73"/>
      <c r="O19" s="73"/>
      <c r="P19" s="73"/>
      <c r="Q19" s="73"/>
      <c r="R19" s="73"/>
      <c r="S19" s="73"/>
      <c r="T19" s="73"/>
      <c r="U19" s="75"/>
      <c r="V19" s="64"/>
      <c r="W19" s="66"/>
      <c r="X19" s="15"/>
      <c r="Y19" s="16"/>
      <c r="Z19" s="14"/>
    </row>
    <row r="20" spans="1:26" ht="15">
      <c r="A20" s="87" t="s">
        <v>156</v>
      </c>
      <c r="B20" s="87" t="s">
        <v>73</v>
      </c>
      <c r="C20" s="88" t="s">
        <v>121</v>
      </c>
      <c r="D20" s="93"/>
      <c r="E20" s="93"/>
      <c r="F20" s="104"/>
      <c r="G20" s="77"/>
      <c r="H20" s="77"/>
      <c r="I20" s="110"/>
      <c r="J20" s="77"/>
      <c r="K20" s="77"/>
      <c r="L20" s="77"/>
      <c r="M20" s="77"/>
      <c r="N20" s="73"/>
      <c r="O20" s="73"/>
      <c r="P20" s="73"/>
      <c r="Q20" s="73"/>
      <c r="R20" s="73"/>
      <c r="S20" s="73"/>
      <c r="T20" s="73"/>
      <c r="U20" s="75"/>
      <c r="V20" s="64"/>
      <c r="W20" s="66"/>
      <c r="X20" s="15"/>
      <c r="Y20" s="16"/>
      <c r="Z20" s="14"/>
    </row>
    <row r="21" spans="1:26" ht="15">
      <c r="A21" s="87" t="s">
        <v>141</v>
      </c>
      <c r="B21" s="87" t="s">
        <v>142</v>
      </c>
      <c r="C21" s="88" t="s">
        <v>4</v>
      </c>
      <c r="D21" s="93"/>
      <c r="E21" s="93"/>
      <c r="F21" s="104"/>
      <c r="G21" s="77">
        <v>4</v>
      </c>
      <c r="H21" s="77"/>
      <c r="I21" s="110"/>
      <c r="J21" s="77"/>
      <c r="K21" s="77"/>
      <c r="L21" s="77"/>
      <c r="M21" s="77"/>
      <c r="N21" s="73"/>
      <c r="O21" s="73"/>
      <c r="P21" s="73"/>
      <c r="Q21" s="73"/>
      <c r="R21" s="73"/>
      <c r="S21" s="73"/>
      <c r="T21" s="73"/>
      <c r="U21" s="75"/>
      <c r="V21" s="64"/>
      <c r="W21" s="66"/>
      <c r="X21" s="15"/>
      <c r="Y21" s="16"/>
      <c r="Z21" s="14"/>
    </row>
    <row r="22" spans="1:26" ht="15">
      <c r="A22" s="87" t="s">
        <v>12</v>
      </c>
      <c r="B22" s="87" t="s">
        <v>13</v>
      </c>
      <c r="C22" s="88" t="s">
        <v>151</v>
      </c>
      <c r="D22" s="93"/>
      <c r="E22" s="93"/>
      <c r="F22" s="104"/>
      <c r="G22" s="77">
        <v>1</v>
      </c>
      <c r="H22" s="77"/>
      <c r="I22" s="110"/>
      <c r="J22" s="77"/>
      <c r="K22" s="77"/>
      <c r="L22" s="77"/>
      <c r="M22" s="77"/>
      <c r="N22" s="73"/>
      <c r="O22" s="73"/>
      <c r="P22" s="73"/>
      <c r="Q22" s="73"/>
      <c r="R22" s="73"/>
      <c r="S22" s="73"/>
      <c r="T22" s="73"/>
      <c r="U22" s="75"/>
      <c r="V22" s="64"/>
      <c r="W22" s="66"/>
      <c r="X22" s="15"/>
      <c r="Y22" s="16"/>
      <c r="Z22" s="14"/>
    </row>
    <row r="23" spans="1:26" ht="15">
      <c r="A23" s="87" t="s">
        <v>143</v>
      </c>
      <c r="B23" s="87" t="s">
        <v>144</v>
      </c>
      <c r="C23" s="88" t="s">
        <v>4</v>
      </c>
      <c r="D23" s="93"/>
      <c r="E23" s="93"/>
      <c r="F23" s="104"/>
      <c r="G23" s="77">
        <v>4</v>
      </c>
      <c r="H23" s="77"/>
      <c r="I23" s="110"/>
      <c r="J23" s="77"/>
      <c r="K23" s="77"/>
      <c r="L23" s="77"/>
      <c r="M23" s="77"/>
      <c r="N23" s="73"/>
      <c r="O23" s="73"/>
      <c r="P23" s="73"/>
      <c r="Q23" s="73"/>
      <c r="R23" s="73"/>
      <c r="S23" s="73"/>
      <c r="T23" s="73"/>
      <c r="U23" s="75"/>
      <c r="V23" s="64"/>
      <c r="W23" s="66"/>
      <c r="X23" s="15"/>
      <c r="Y23" s="16"/>
      <c r="Z23" s="14"/>
    </row>
    <row r="24" spans="1:26" ht="15">
      <c r="A24" s="87" t="s">
        <v>135</v>
      </c>
      <c r="B24" s="87" t="s">
        <v>136</v>
      </c>
      <c r="C24" s="88" t="s">
        <v>4</v>
      </c>
      <c r="D24" s="93"/>
      <c r="E24" s="93"/>
      <c r="F24" s="104"/>
      <c r="G24" s="77">
        <v>4</v>
      </c>
      <c r="H24" s="77"/>
      <c r="I24" s="110"/>
      <c r="J24" s="77"/>
      <c r="K24" s="77"/>
      <c r="L24" s="77"/>
      <c r="M24" s="77"/>
      <c r="N24" s="73"/>
      <c r="O24" s="73"/>
      <c r="P24" s="73"/>
      <c r="Q24" s="73"/>
      <c r="R24" s="73"/>
      <c r="S24" s="73"/>
      <c r="T24" s="73"/>
      <c r="U24" s="75"/>
      <c r="V24" s="64"/>
      <c r="W24" s="66"/>
      <c r="X24" s="15"/>
      <c r="Y24" s="16"/>
      <c r="Z24" s="14"/>
    </row>
    <row r="25" spans="1:26" ht="15">
      <c r="A25" s="87" t="s">
        <v>54</v>
      </c>
      <c r="B25" s="87" t="s">
        <v>66</v>
      </c>
      <c r="C25" s="88" t="s">
        <v>215</v>
      </c>
      <c r="D25" s="93"/>
      <c r="E25" s="93"/>
      <c r="F25" s="104"/>
      <c r="G25" s="77">
        <v>1</v>
      </c>
      <c r="H25" s="77"/>
      <c r="I25" s="110"/>
      <c r="J25" s="77"/>
      <c r="K25" s="77"/>
      <c r="L25" s="77"/>
      <c r="M25" s="77"/>
      <c r="N25" s="73"/>
      <c r="O25" s="73"/>
      <c r="P25" s="73"/>
      <c r="Q25" s="73"/>
      <c r="R25" s="73"/>
      <c r="S25" s="73"/>
      <c r="T25" s="73"/>
      <c r="U25" s="75"/>
      <c r="V25" s="64"/>
      <c r="W25" s="66"/>
      <c r="X25" s="15"/>
      <c r="Y25" s="16"/>
      <c r="Z25" s="14"/>
    </row>
    <row r="26" spans="1:26" ht="15">
      <c r="A26" s="87" t="s">
        <v>139</v>
      </c>
      <c r="B26" s="87" t="s">
        <v>140</v>
      </c>
      <c r="C26" s="88" t="s">
        <v>4</v>
      </c>
      <c r="D26" s="93"/>
      <c r="E26" s="93"/>
      <c r="F26" s="104"/>
      <c r="G26" s="77">
        <v>4</v>
      </c>
      <c r="H26" s="77"/>
      <c r="I26" s="110"/>
      <c r="J26" s="77"/>
      <c r="K26" s="77"/>
      <c r="L26" s="77"/>
      <c r="M26" s="77"/>
      <c r="N26" s="73"/>
      <c r="O26" s="73"/>
      <c r="P26" s="73"/>
      <c r="Q26" s="73"/>
      <c r="R26" s="73"/>
      <c r="S26" s="73"/>
      <c r="T26" s="73"/>
      <c r="U26" s="75"/>
      <c r="V26" s="64"/>
      <c r="W26" s="66"/>
      <c r="X26" s="15"/>
      <c r="Y26" s="16"/>
      <c r="Z26" s="14"/>
    </row>
    <row r="27" spans="1:26" ht="15">
      <c r="A27" s="87" t="s">
        <v>175</v>
      </c>
      <c r="B27" s="87" t="s">
        <v>176</v>
      </c>
      <c r="C27" s="88" t="s">
        <v>218</v>
      </c>
      <c r="D27" s="93"/>
      <c r="E27" s="93"/>
      <c r="F27" s="104"/>
      <c r="G27" s="77">
        <v>2</v>
      </c>
      <c r="H27" s="77"/>
      <c r="I27" s="110"/>
      <c r="J27" s="77">
        <v>4</v>
      </c>
      <c r="K27" s="77"/>
      <c r="L27" s="77"/>
      <c r="M27" s="77"/>
      <c r="N27" s="73"/>
      <c r="O27" s="73"/>
      <c r="P27" s="73"/>
      <c r="Q27" s="73"/>
      <c r="R27" s="73"/>
      <c r="S27" s="73"/>
      <c r="T27" s="73"/>
      <c r="U27" s="75"/>
      <c r="V27" s="64"/>
      <c r="W27" s="66"/>
      <c r="X27" s="15"/>
      <c r="Y27" s="16"/>
      <c r="Z27" s="14"/>
    </row>
    <row r="28" spans="1:26" ht="15">
      <c r="A28" s="87" t="s">
        <v>205</v>
      </c>
      <c r="B28" s="87" t="s">
        <v>69</v>
      </c>
      <c r="C28" s="88" t="s">
        <v>216</v>
      </c>
      <c r="D28" s="93"/>
      <c r="E28" s="93"/>
      <c r="F28" s="104"/>
      <c r="G28" s="77">
        <v>2</v>
      </c>
      <c r="H28" s="77">
        <v>5</v>
      </c>
      <c r="I28" s="110"/>
      <c r="J28" s="77"/>
      <c r="K28" s="77"/>
      <c r="L28" s="77"/>
      <c r="M28" s="77"/>
      <c r="N28" s="73"/>
      <c r="O28" s="73"/>
      <c r="P28" s="73"/>
      <c r="Q28" s="73"/>
      <c r="R28" s="73"/>
      <c r="S28" s="73"/>
      <c r="T28" s="73"/>
      <c r="U28" s="75"/>
      <c r="V28" s="64"/>
      <c r="W28" s="66"/>
      <c r="X28" s="15"/>
      <c r="Y28" s="16"/>
      <c r="Z28" s="14"/>
    </row>
    <row r="29" spans="1:26" ht="15">
      <c r="A29" s="87" t="s">
        <v>122</v>
      </c>
      <c r="B29" s="87" t="s">
        <v>123</v>
      </c>
      <c r="C29" s="88" t="s">
        <v>4</v>
      </c>
      <c r="D29" s="93"/>
      <c r="E29" s="93"/>
      <c r="F29" s="104"/>
      <c r="G29" s="77">
        <v>4</v>
      </c>
      <c r="H29" s="77"/>
      <c r="I29" s="110"/>
      <c r="J29" s="77"/>
      <c r="K29" s="77"/>
      <c r="L29" s="77"/>
      <c r="M29" s="77"/>
      <c r="N29" s="73"/>
      <c r="O29" s="73"/>
      <c r="P29" s="73"/>
      <c r="Q29" s="73"/>
      <c r="R29" s="73"/>
      <c r="S29" s="73"/>
      <c r="T29" s="73"/>
      <c r="U29" s="75"/>
      <c r="V29" s="64"/>
      <c r="W29" s="66"/>
      <c r="X29" s="15"/>
      <c r="Y29" s="16"/>
      <c r="Z29" s="14"/>
    </row>
    <row r="30" spans="1:26" ht="15">
      <c r="A30" s="87" t="s">
        <v>181</v>
      </c>
      <c r="B30" s="87" t="s">
        <v>182</v>
      </c>
      <c r="C30" s="88" t="s">
        <v>218</v>
      </c>
      <c r="D30" s="93"/>
      <c r="E30" s="93"/>
      <c r="F30" s="104"/>
      <c r="G30" s="77">
        <v>3</v>
      </c>
      <c r="H30" s="77">
        <v>5</v>
      </c>
      <c r="I30" s="110">
        <v>1</v>
      </c>
      <c r="J30" s="77">
        <v>4</v>
      </c>
      <c r="K30" s="77"/>
      <c r="L30" s="77"/>
      <c r="M30" s="77"/>
      <c r="N30" s="73"/>
      <c r="O30" s="73"/>
      <c r="P30" s="73"/>
      <c r="Q30" s="73"/>
      <c r="R30" s="73"/>
      <c r="S30" s="73"/>
      <c r="T30" s="73"/>
      <c r="U30" s="75"/>
      <c r="V30" s="64"/>
      <c r="W30" s="66"/>
      <c r="X30" s="15"/>
      <c r="Y30" s="16"/>
      <c r="Z30" s="14"/>
    </row>
    <row r="31" spans="1:26" ht="15">
      <c r="A31" s="87" t="s">
        <v>161</v>
      </c>
      <c r="B31" s="87" t="s">
        <v>83</v>
      </c>
      <c r="C31" s="88" t="s">
        <v>219</v>
      </c>
      <c r="D31" s="93"/>
      <c r="E31" s="93"/>
      <c r="F31" s="104"/>
      <c r="G31" s="77"/>
      <c r="H31" s="77"/>
      <c r="I31" s="110"/>
      <c r="J31" s="77"/>
      <c r="K31" s="77"/>
      <c r="L31" s="77"/>
      <c r="M31" s="77"/>
      <c r="N31" s="73"/>
      <c r="O31" s="73"/>
      <c r="P31" s="73"/>
      <c r="Q31" s="73"/>
      <c r="R31" s="73"/>
      <c r="S31" s="73"/>
      <c r="T31" s="73"/>
      <c r="U31" s="75"/>
      <c r="V31" s="64"/>
      <c r="W31" s="66"/>
      <c r="X31" s="15"/>
      <c r="Y31" s="16"/>
      <c r="Z31" s="14"/>
    </row>
    <row r="32" spans="1:26" ht="15">
      <c r="A32" s="87" t="s">
        <v>213</v>
      </c>
      <c r="B32" s="87" t="s">
        <v>214</v>
      </c>
      <c r="C32" s="88" t="s">
        <v>216</v>
      </c>
      <c r="D32" s="93"/>
      <c r="E32" s="93"/>
      <c r="F32" s="104"/>
      <c r="G32" s="77">
        <v>2</v>
      </c>
      <c r="H32" s="77"/>
      <c r="I32" s="110"/>
      <c r="J32" s="77">
        <v>4</v>
      </c>
      <c r="K32" s="77"/>
      <c r="L32" s="77"/>
      <c r="M32" s="77"/>
      <c r="N32" s="73"/>
      <c r="O32" s="73"/>
      <c r="P32" s="73"/>
      <c r="Q32" s="73"/>
      <c r="R32" s="73"/>
      <c r="S32" s="73"/>
      <c r="T32" s="73"/>
      <c r="U32" s="75"/>
      <c r="V32" s="64"/>
      <c r="W32" s="66"/>
      <c r="X32" s="15"/>
      <c r="Y32" s="16"/>
      <c r="Z32" s="14"/>
    </row>
    <row r="33" spans="1:26" ht="15">
      <c r="A33" s="87" t="s">
        <v>221</v>
      </c>
      <c r="B33" s="87" t="s">
        <v>222</v>
      </c>
      <c r="C33" s="88" t="s">
        <v>4</v>
      </c>
      <c r="D33" s="93"/>
      <c r="E33" s="93"/>
      <c r="F33" s="104"/>
      <c r="G33" s="77">
        <v>4</v>
      </c>
      <c r="H33" s="77"/>
      <c r="I33" s="110"/>
      <c r="J33" s="77"/>
      <c r="K33" s="77"/>
      <c r="L33" s="77"/>
      <c r="M33" s="77"/>
      <c r="N33" s="73"/>
      <c r="O33" s="73"/>
      <c r="P33" s="73"/>
      <c r="Q33" s="73"/>
      <c r="R33" s="73"/>
      <c r="S33" s="73"/>
      <c r="T33" s="73"/>
      <c r="U33" s="75"/>
      <c r="V33" s="64"/>
      <c r="W33" s="66"/>
      <c r="X33" s="15"/>
      <c r="Y33" s="16"/>
      <c r="Z33" s="14"/>
    </row>
    <row r="34" spans="1:26" ht="15">
      <c r="A34" s="87" t="s">
        <v>157</v>
      </c>
      <c r="B34" s="87" t="s">
        <v>158</v>
      </c>
      <c r="C34" s="88" t="s">
        <v>121</v>
      </c>
      <c r="D34" s="93"/>
      <c r="E34" s="93"/>
      <c r="F34" s="104"/>
      <c r="G34" s="77"/>
      <c r="H34" s="77"/>
      <c r="I34" s="110"/>
      <c r="J34" s="77"/>
      <c r="K34" s="77"/>
      <c r="L34" s="77"/>
      <c r="M34" s="77"/>
      <c r="N34" s="73"/>
      <c r="O34" s="73"/>
      <c r="P34" s="73"/>
      <c r="Q34" s="73"/>
      <c r="R34" s="73"/>
      <c r="S34" s="73"/>
      <c r="T34" s="73"/>
      <c r="U34" s="75"/>
      <c r="V34" s="64"/>
      <c r="W34" s="66"/>
      <c r="X34" s="15"/>
      <c r="Y34" s="16"/>
      <c r="Z34" s="14"/>
    </row>
    <row r="35" spans="1:26" ht="15">
      <c r="A35" s="87" t="s">
        <v>16</v>
      </c>
      <c r="B35" s="87" t="s">
        <v>190</v>
      </c>
      <c r="C35" s="88" t="s">
        <v>6</v>
      </c>
      <c r="D35" s="93"/>
      <c r="E35" s="93"/>
      <c r="F35" s="104"/>
      <c r="G35" s="77">
        <v>1</v>
      </c>
      <c r="H35" s="77"/>
      <c r="I35" s="110">
        <v>1</v>
      </c>
      <c r="J35" s="77">
        <v>4</v>
      </c>
      <c r="K35" s="77"/>
      <c r="L35" s="77"/>
      <c r="M35" s="77"/>
      <c r="N35" s="73"/>
      <c r="O35" s="73"/>
      <c r="P35" s="73"/>
      <c r="Q35" s="73"/>
      <c r="R35" s="73"/>
      <c r="S35" s="73"/>
      <c r="T35" s="73"/>
      <c r="U35" s="75"/>
      <c r="V35" s="64"/>
      <c r="W35" s="66"/>
      <c r="X35" s="15"/>
      <c r="Y35" s="16"/>
      <c r="Z35" s="14"/>
    </row>
    <row r="36" spans="1:26" ht="15">
      <c r="A36" s="87" t="s">
        <v>137</v>
      </c>
      <c r="B36" s="87" t="s">
        <v>138</v>
      </c>
      <c r="C36" s="88" t="s">
        <v>4</v>
      </c>
      <c r="D36" s="93"/>
      <c r="E36" s="93"/>
      <c r="F36" s="104"/>
      <c r="G36" s="77">
        <v>4</v>
      </c>
      <c r="H36" s="77"/>
      <c r="I36" s="110"/>
      <c r="J36" s="77"/>
      <c r="K36" s="77"/>
      <c r="L36" s="77"/>
      <c r="M36" s="77"/>
      <c r="N36" s="73"/>
      <c r="O36" s="73"/>
      <c r="P36" s="73"/>
      <c r="Q36" s="73"/>
      <c r="R36" s="73"/>
      <c r="S36" s="73"/>
      <c r="T36" s="73"/>
      <c r="U36" s="75"/>
      <c r="V36" s="64"/>
      <c r="W36" s="66"/>
      <c r="X36" s="15"/>
      <c r="Y36" s="16"/>
      <c r="Z36" s="14"/>
    </row>
    <row r="37" spans="1:26" ht="15">
      <c r="A37" s="87" t="s">
        <v>223</v>
      </c>
      <c r="B37" s="87" t="s">
        <v>224</v>
      </c>
      <c r="C37" s="88" t="s">
        <v>4</v>
      </c>
      <c r="D37" s="93"/>
      <c r="E37" s="93"/>
      <c r="F37" s="104"/>
      <c r="G37" s="77">
        <v>4</v>
      </c>
      <c r="H37" s="77"/>
      <c r="I37" s="110"/>
      <c r="J37" s="77"/>
      <c r="K37" s="77"/>
      <c r="L37" s="77"/>
      <c r="M37" s="77"/>
      <c r="N37" s="73"/>
      <c r="O37" s="73"/>
      <c r="P37" s="73"/>
      <c r="Q37" s="73"/>
      <c r="R37" s="73"/>
      <c r="S37" s="73"/>
      <c r="T37" s="73"/>
      <c r="U37" s="75"/>
      <c r="V37" s="64"/>
      <c r="W37" s="66"/>
      <c r="X37" s="15"/>
      <c r="Y37" s="16"/>
      <c r="Z37" s="14"/>
    </row>
    <row r="38" spans="1:26" ht="15">
      <c r="A38" s="87" t="s">
        <v>209</v>
      </c>
      <c r="B38" s="87" t="s">
        <v>210</v>
      </c>
      <c r="C38" s="88" t="s">
        <v>216</v>
      </c>
      <c r="D38" s="93"/>
      <c r="E38" s="93"/>
      <c r="F38" s="104"/>
      <c r="G38" s="77"/>
      <c r="H38" s="77"/>
      <c r="I38" s="110">
        <v>1</v>
      </c>
      <c r="J38" s="77"/>
      <c r="K38" s="77"/>
      <c r="L38" s="77"/>
      <c r="M38" s="77"/>
      <c r="N38" s="73"/>
      <c r="O38" s="73"/>
      <c r="P38" s="73"/>
      <c r="Q38" s="73"/>
      <c r="R38" s="73"/>
      <c r="S38" s="73"/>
      <c r="T38" s="73"/>
      <c r="U38" s="75"/>
      <c r="V38" s="64"/>
      <c r="W38" s="66"/>
      <c r="X38" s="15"/>
      <c r="Y38" s="16"/>
      <c r="Z38" s="14"/>
    </row>
    <row r="39" spans="1:26" ht="15">
      <c r="A39" s="87" t="s">
        <v>208</v>
      </c>
      <c r="B39" s="87" t="s">
        <v>82</v>
      </c>
      <c r="C39" s="88" t="s">
        <v>119</v>
      </c>
      <c r="D39" s="93"/>
      <c r="E39" s="93"/>
      <c r="F39" s="104"/>
      <c r="G39" s="77">
        <v>4</v>
      </c>
      <c r="H39" s="77"/>
      <c r="I39" s="110">
        <v>1</v>
      </c>
      <c r="J39" s="77"/>
      <c r="K39" s="77"/>
      <c r="L39" s="77"/>
      <c r="M39" s="77"/>
      <c r="N39" s="73"/>
      <c r="O39" s="73"/>
      <c r="P39" s="73"/>
      <c r="Q39" s="73"/>
      <c r="R39" s="73"/>
      <c r="S39" s="73"/>
      <c r="T39" s="73"/>
      <c r="U39" s="75"/>
      <c r="V39" s="64"/>
      <c r="W39" s="66"/>
      <c r="X39" s="15"/>
      <c r="Y39" s="16"/>
      <c r="Z39" s="14"/>
    </row>
    <row r="40" spans="1:26" ht="15">
      <c r="A40" s="87" t="s">
        <v>77</v>
      </c>
      <c r="B40" s="87" t="s">
        <v>188</v>
      </c>
      <c r="C40" s="88" t="s">
        <v>216</v>
      </c>
      <c r="D40" s="93"/>
      <c r="E40" s="93"/>
      <c r="F40" s="104"/>
      <c r="G40" s="77">
        <v>2</v>
      </c>
      <c r="H40" s="77">
        <v>5</v>
      </c>
      <c r="I40" s="110">
        <v>1</v>
      </c>
      <c r="J40" s="77"/>
      <c r="K40" s="77"/>
      <c r="L40" s="77"/>
      <c r="M40" s="77"/>
      <c r="N40" s="73"/>
      <c r="O40" s="73"/>
      <c r="P40" s="73"/>
      <c r="Q40" s="73"/>
      <c r="R40" s="73"/>
      <c r="S40" s="73"/>
      <c r="T40" s="73"/>
      <c r="U40" s="75"/>
      <c r="V40" s="64"/>
      <c r="W40" s="66"/>
      <c r="X40" s="15"/>
      <c r="Y40" s="16"/>
      <c r="Z40" s="14"/>
    </row>
    <row r="41" spans="1:26" ht="15">
      <c r="A41" s="87" t="s">
        <v>28</v>
      </c>
      <c r="B41" s="87" t="s">
        <v>65</v>
      </c>
      <c r="C41" s="88" t="s">
        <v>53</v>
      </c>
      <c r="D41" s="93"/>
      <c r="E41" s="93"/>
      <c r="F41" s="104"/>
      <c r="G41" s="77">
        <v>2</v>
      </c>
      <c r="H41" s="77"/>
      <c r="I41" s="110">
        <v>1</v>
      </c>
      <c r="J41" s="77">
        <v>4</v>
      </c>
      <c r="K41" s="77"/>
      <c r="L41" s="77"/>
      <c r="M41" s="77"/>
      <c r="N41" s="73"/>
      <c r="O41" s="73"/>
      <c r="P41" s="73"/>
      <c r="Q41" s="73"/>
      <c r="R41" s="73"/>
      <c r="S41" s="73"/>
      <c r="T41" s="73"/>
      <c r="U41" s="75"/>
      <c r="V41" s="64"/>
      <c r="W41" s="66"/>
      <c r="X41" s="15"/>
      <c r="Y41" s="16"/>
      <c r="Z41" s="14"/>
    </row>
    <row r="42" spans="1:26" ht="15">
      <c r="A42" s="87" t="s">
        <v>225</v>
      </c>
      <c r="B42" s="87" t="s">
        <v>226</v>
      </c>
      <c r="C42" s="88" t="s">
        <v>4</v>
      </c>
      <c r="D42" s="93"/>
      <c r="E42" s="93"/>
      <c r="F42" s="104"/>
      <c r="G42" s="77">
        <v>3</v>
      </c>
      <c r="H42" s="77"/>
      <c r="I42" s="110"/>
      <c r="J42" s="77"/>
      <c r="K42" s="77"/>
      <c r="L42" s="77"/>
      <c r="M42" s="77"/>
      <c r="N42" s="73"/>
      <c r="O42" s="73"/>
      <c r="P42" s="73"/>
      <c r="Q42" s="73"/>
      <c r="R42" s="73"/>
      <c r="S42" s="73"/>
      <c r="T42" s="73"/>
      <c r="U42" s="75"/>
      <c r="V42" s="64"/>
      <c r="W42" s="66"/>
      <c r="X42" s="15"/>
      <c r="Y42" s="16"/>
      <c r="Z42" s="14"/>
    </row>
    <row r="43" spans="1:26" ht="15">
      <c r="A43" s="87" t="s">
        <v>200</v>
      </c>
      <c r="B43" s="87" t="s">
        <v>201</v>
      </c>
      <c r="C43" s="88" t="s">
        <v>119</v>
      </c>
      <c r="D43" s="93"/>
      <c r="E43" s="93"/>
      <c r="F43" s="104"/>
      <c r="G43" s="77"/>
      <c r="H43" s="77">
        <v>5</v>
      </c>
      <c r="I43" s="110">
        <v>1</v>
      </c>
      <c r="J43" s="77"/>
      <c r="K43" s="77"/>
      <c r="L43" s="77"/>
      <c r="M43" s="77"/>
      <c r="N43" s="73"/>
      <c r="O43" s="73"/>
      <c r="P43" s="73"/>
      <c r="Q43" s="73"/>
      <c r="R43" s="73"/>
      <c r="S43" s="73"/>
      <c r="T43" s="73"/>
      <c r="U43" s="75"/>
      <c r="V43" s="64"/>
      <c r="W43" s="66"/>
      <c r="X43" s="15"/>
      <c r="Y43" s="16"/>
      <c r="Z43" s="14"/>
    </row>
    <row r="44" spans="1:26" ht="15">
      <c r="A44" s="87" t="s">
        <v>145</v>
      </c>
      <c r="B44" s="87" t="s">
        <v>146</v>
      </c>
      <c r="C44" s="88" t="s">
        <v>4</v>
      </c>
      <c r="D44" s="93"/>
      <c r="E44" s="93"/>
      <c r="F44" s="104"/>
      <c r="G44" s="77">
        <v>4</v>
      </c>
      <c r="H44" s="77"/>
      <c r="I44" s="110"/>
      <c r="J44" s="77"/>
      <c r="K44" s="77"/>
      <c r="L44" s="77"/>
      <c r="M44" s="77"/>
      <c r="N44" s="73"/>
      <c r="O44" s="73"/>
      <c r="P44" s="73"/>
      <c r="Q44" s="73"/>
      <c r="R44" s="73"/>
      <c r="S44" s="73"/>
      <c r="T44" s="73"/>
      <c r="U44" s="75"/>
      <c r="V44" s="64"/>
      <c r="W44" s="66"/>
      <c r="X44" s="15"/>
      <c r="Y44" s="16"/>
      <c r="Z44" s="14"/>
    </row>
    <row r="45" spans="1:26" ht="15">
      <c r="A45" s="87" t="s">
        <v>30</v>
      </c>
      <c r="B45" s="87" t="s">
        <v>69</v>
      </c>
      <c r="C45" s="88" t="s">
        <v>219</v>
      </c>
      <c r="D45" s="93"/>
      <c r="E45" s="93"/>
      <c r="F45" s="104"/>
      <c r="G45" s="77">
        <v>3</v>
      </c>
      <c r="H45" s="77"/>
      <c r="I45" s="110"/>
      <c r="J45" s="77">
        <v>4</v>
      </c>
      <c r="K45" s="77"/>
      <c r="L45" s="77"/>
      <c r="M45" s="77"/>
      <c r="N45" s="73"/>
      <c r="O45" s="73"/>
      <c r="P45" s="73"/>
      <c r="Q45" s="73"/>
      <c r="R45" s="73"/>
      <c r="S45" s="73"/>
      <c r="T45" s="73"/>
      <c r="U45" s="75"/>
      <c r="V45" s="64"/>
      <c r="W45" s="66"/>
      <c r="X45" s="15"/>
      <c r="Y45" s="16"/>
      <c r="Z45" s="14"/>
    </row>
    <row r="46" spans="1:26" ht="15">
      <c r="A46" s="87" t="s">
        <v>174</v>
      </c>
      <c r="B46" s="87" t="s">
        <v>79</v>
      </c>
      <c r="C46" s="88" t="s">
        <v>5</v>
      </c>
      <c r="D46" s="93"/>
      <c r="E46" s="93"/>
      <c r="F46" s="104"/>
      <c r="G46" s="77">
        <v>3</v>
      </c>
      <c r="H46" s="77"/>
      <c r="I46" s="110"/>
      <c r="J46" s="77"/>
      <c r="K46" s="77"/>
      <c r="L46" s="77"/>
      <c r="M46" s="77"/>
      <c r="N46" s="73"/>
      <c r="O46" s="73"/>
      <c r="P46" s="73"/>
      <c r="Q46" s="73"/>
      <c r="R46" s="73"/>
      <c r="S46" s="73"/>
      <c r="T46" s="73"/>
      <c r="U46" s="75"/>
      <c r="V46" s="64"/>
      <c r="W46" s="66"/>
      <c r="X46" s="15"/>
      <c r="Y46" s="16"/>
      <c r="Z46" s="14"/>
    </row>
    <row r="47" spans="1:26" ht="15">
      <c r="A47" s="87" t="s">
        <v>149</v>
      </c>
      <c r="B47" s="87" t="s">
        <v>150</v>
      </c>
      <c r="C47" s="88" t="s">
        <v>4</v>
      </c>
      <c r="D47" s="93"/>
      <c r="E47" s="93"/>
      <c r="F47" s="104"/>
      <c r="G47" s="77">
        <v>2</v>
      </c>
      <c r="H47" s="77"/>
      <c r="I47" s="110"/>
      <c r="J47" s="77"/>
      <c r="K47" s="77"/>
      <c r="L47" s="77"/>
      <c r="M47" s="77"/>
      <c r="N47" s="73"/>
      <c r="O47" s="73"/>
      <c r="P47" s="73"/>
      <c r="Q47" s="73"/>
      <c r="R47" s="73"/>
      <c r="S47" s="73"/>
      <c r="T47" s="73"/>
      <c r="U47" s="75"/>
      <c r="V47" s="64"/>
      <c r="W47" s="66"/>
      <c r="X47" s="15"/>
      <c r="Y47" s="16"/>
      <c r="Z47" s="14"/>
    </row>
    <row r="48" spans="1:26" ht="15">
      <c r="A48" s="87" t="s">
        <v>81</v>
      </c>
      <c r="B48" s="87" t="s">
        <v>80</v>
      </c>
      <c r="C48" s="88" t="s">
        <v>5</v>
      </c>
      <c r="D48" s="93"/>
      <c r="E48" s="93"/>
      <c r="F48" s="104"/>
      <c r="G48" s="77">
        <v>1</v>
      </c>
      <c r="H48" s="77"/>
      <c r="I48" s="110">
        <v>1</v>
      </c>
      <c r="J48" s="77"/>
      <c r="K48" s="77"/>
      <c r="L48" s="77"/>
      <c r="M48" s="77"/>
      <c r="N48" s="73"/>
      <c r="O48" s="73"/>
      <c r="P48" s="73"/>
      <c r="Q48" s="73"/>
      <c r="R48" s="73"/>
      <c r="S48" s="73"/>
      <c r="T48" s="73"/>
      <c r="U48" s="75"/>
      <c r="V48" s="64"/>
      <c r="W48" s="66"/>
      <c r="X48" s="15"/>
      <c r="Y48" s="16"/>
      <c r="Z48" s="14"/>
    </row>
    <row r="49" spans="1:26" ht="15">
      <c r="A49" s="87" t="s">
        <v>185</v>
      </c>
      <c r="B49" s="87" t="s">
        <v>162</v>
      </c>
      <c r="C49" s="88" t="s">
        <v>152</v>
      </c>
      <c r="D49" s="93"/>
      <c r="E49" s="93"/>
      <c r="F49" s="104"/>
      <c r="G49" s="77">
        <v>3</v>
      </c>
      <c r="H49" s="77"/>
      <c r="I49" s="110"/>
      <c r="J49" s="77">
        <v>4</v>
      </c>
      <c r="K49" s="77"/>
      <c r="L49" s="77"/>
      <c r="M49" s="77"/>
      <c r="N49" s="73"/>
      <c r="O49" s="73"/>
      <c r="P49" s="73"/>
      <c r="Q49" s="73"/>
      <c r="R49" s="73"/>
      <c r="S49" s="73"/>
      <c r="T49" s="73"/>
      <c r="U49" s="75"/>
      <c r="V49" s="64"/>
      <c r="W49" s="66"/>
      <c r="X49" s="15"/>
      <c r="Y49" s="16"/>
      <c r="Z49" s="14"/>
    </row>
    <row r="50" spans="1:26" ht="15">
      <c r="A50" s="87" t="s">
        <v>23</v>
      </c>
      <c r="B50" s="87" t="s">
        <v>24</v>
      </c>
      <c r="C50" s="88" t="s">
        <v>53</v>
      </c>
      <c r="D50" s="93"/>
      <c r="E50" s="93"/>
      <c r="F50" s="104"/>
      <c r="G50" s="77">
        <v>3</v>
      </c>
      <c r="H50" s="77"/>
      <c r="I50" s="110"/>
      <c r="J50" s="77"/>
      <c r="K50" s="77"/>
      <c r="L50" s="77"/>
      <c r="M50" s="77"/>
      <c r="N50" s="73"/>
      <c r="O50" s="73"/>
      <c r="P50" s="73"/>
      <c r="Q50" s="73"/>
      <c r="R50" s="73"/>
      <c r="S50" s="73"/>
      <c r="T50" s="73"/>
      <c r="U50" s="75"/>
      <c r="V50" s="64"/>
      <c r="W50" s="66"/>
      <c r="X50" s="15"/>
      <c r="Y50" s="16"/>
      <c r="Z50" s="14"/>
    </row>
    <row r="51" spans="1:26" ht="15">
      <c r="A51" s="87" t="s">
        <v>183</v>
      </c>
      <c r="B51" s="87" t="s">
        <v>66</v>
      </c>
      <c r="C51" s="88" t="s">
        <v>218</v>
      </c>
      <c r="D51" s="93"/>
      <c r="E51" s="93"/>
      <c r="F51" s="104"/>
      <c r="G51" s="77">
        <v>2</v>
      </c>
      <c r="H51" s="77"/>
      <c r="I51" s="110"/>
      <c r="J51" s="77"/>
      <c r="K51" s="77"/>
      <c r="L51" s="77"/>
      <c r="M51" s="77"/>
      <c r="N51" s="73"/>
      <c r="O51" s="73"/>
      <c r="P51" s="73"/>
      <c r="Q51" s="73"/>
      <c r="R51" s="73"/>
      <c r="S51" s="73"/>
      <c r="T51" s="73"/>
      <c r="U51" s="75"/>
      <c r="V51" s="64"/>
      <c r="W51" s="66"/>
      <c r="X51" s="15"/>
      <c r="Y51" s="16"/>
      <c r="Z51" s="14"/>
    </row>
    <row r="52" spans="1:26" ht="15">
      <c r="A52" s="87" t="s">
        <v>19</v>
      </c>
      <c r="B52" s="87" t="s">
        <v>20</v>
      </c>
      <c r="C52" s="88" t="s">
        <v>6</v>
      </c>
      <c r="D52" s="93"/>
      <c r="E52" s="93"/>
      <c r="F52" s="104"/>
      <c r="G52" s="77">
        <v>2</v>
      </c>
      <c r="H52" s="77"/>
      <c r="I52" s="110">
        <v>1</v>
      </c>
      <c r="J52" s="77">
        <v>4</v>
      </c>
      <c r="K52" s="77"/>
      <c r="L52" s="77"/>
      <c r="M52" s="77"/>
      <c r="N52" s="73"/>
      <c r="O52" s="73"/>
      <c r="P52" s="73"/>
      <c r="Q52" s="73"/>
      <c r="R52" s="73"/>
      <c r="S52" s="73"/>
      <c r="T52" s="73"/>
      <c r="U52" s="75"/>
      <c r="V52" s="64"/>
      <c r="W52" s="66"/>
      <c r="X52" s="15"/>
      <c r="Y52" s="16"/>
      <c r="Z52" s="14"/>
    </row>
    <row r="53" spans="1:26" ht="15">
      <c r="A53" s="87" t="s">
        <v>198</v>
      </c>
      <c r="B53" s="87" t="s">
        <v>71</v>
      </c>
      <c r="C53" s="88" t="s">
        <v>119</v>
      </c>
      <c r="D53" s="93"/>
      <c r="E53" s="93"/>
      <c r="F53" s="104"/>
      <c r="G53" s="77">
        <v>3</v>
      </c>
      <c r="H53" s="77"/>
      <c r="I53" s="110">
        <v>1</v>
      </c>
      <c r="J53" s="77"/>
      <c r="K53" s="77"/>
      <c r="L53" s="77"/>
      <c r="M53" s="77"/>
      <c r="N53" s="73"/>
      <c r="O53" s="73"/>
      <c r="P53" s="73"/>
      <c r="Q53" s="73"/>
      <c r="R53" s="73"/>
      <c r="S53" s="73"/>
      <c r="T53" s="73"/>
      <c r="U53" s="75"/>
      <c r="V53" s="64"/>
      <c r="W53" s="66"/>
      <c r="X53" s="15"/>
      <c r="Y53" s="16"/>
      <c r="Z53" s="14"/>
    </row>
    <row r="54" spans="1:26" ht="15">
      <c r="A54" s="87" t="s">
        <v>25</v>
      </c>
      <c r="B54" s="87" t="s">
        <v>180</v>
      </c>
      <c r="C54" s="88" t="s">
        <v>6</v>
      </c>
      <c r="D54" s="93"/>
      <c r="E54" s="93"/>
      <c r="F54" s="104"/>
      <c r="G54" s="77">
        <v>3</v>
      </c>
      <c r="H54" s="77"/>
      <c r="I54" s="110"/>
      <c r="J54" s="77"/>
      <c r="K54" s="77"/>
      <c r="L54" s="77"/>
      <c r="M54" s="77"/>
      <c r="N54" s="73"/>
      <c r="O54" s="73"/>
      <c r="P54" s="73"/>
      <c r="Q54" s="73"/>
      <c r="R54" s="73"/>
      <c r="S54" s="73"/>
      <c r="T54" s="73"/>
      <c r="U54" s="75"/>
      <c r="V54" s="64"/>
      <c r="W54" s="66"/>
      <c r="X54" s="15"/>
      <c r="Y54" s="16"/>
      <c r="Z54" s="14"/>
    </row>
    <row r="55" spans="1:26" ht="15">
      <c r="A55" s="87" t="s">
        <v>227</v>
      </c>
      <c r="B55" s="87" t="s">
        <v>228</v>
      </c>
      <c r="C55" s="88" t="s">
        <v>4</v>
      </c>
      <c r="D55" s="93"/>
      <c r="E55" s="93"/>
      <c r="F55" s="104"/>
      <c r="G55" s="77">
        <v>4</v>
      </c>
      <c r="H55" s="77"/>
      <c r="I55" s="110"/>
      <c r="J55" s="77"/>
      <c r="K55" s="77"/>
      <c r="L55" s="77"/>
      <c r="M55" s="77"/>
      <c r="N55" s="73"/>
      <c r="O55" s="73"/>
      <c r="P55" s="73"/>
      <c r="Q55" s="73"/>
      <c r="R55" s="73"/>
      <c r="S55" s="73"/>
      <c r="T55" s="73"/>
      <c r="U55" s="75"/>
      <c r="V55" s="64"/>
      <c r="W55" s="66"/>
      <c r="X55" s="15"/>
      <c r="Y55" s="16"/>
      <c r="Z55" s="14"/>
    </row>
    <row r="56" spans="1:26" ht="15">
      <c r="A56" s="87" t="s">
        <v>10</v>
      </c>
      <c r="B56" s="87" t="s">
        <v>11</v>
      </c>
      <c r="C56" s="88" t="s">
        <v>53</v>
      </c>
      <c r="D56" s="93"/>
      <c r="E56" s="93"/>
      <c r="F56" s="104"/>
      <c r="G56" s="77">
        <v>4</v>
      </c>
      <c r="H56" s="77"/>
      <c r="I56" s="110"/>
      <c r="J56" s="77"/>
      <c r="K56" s="77"/>
      <c r="L56" s="77"/>
      <c r="M56" s="77"/>
      <c r="N56" s="73"/>
      <c r="O56" s="73"/>
      <c r="P56" s="73"/>
      <c r="Q56" s="73"/>
      <c r="R56" s="73"/>
      <c r="S56" s="73"/>
      <c r="T56" s="73"/>
      <c r="U56" s="75"/>
      <c r="V56" s="64"/>
      <c r="W56" s="66"/>
      <c r="X56" s="15"/>
      <c r="Y56" s="16"/>
      <c r="Z56" s="14"/>
    </row>
    <row r="57" spans="1:26" ht="15">
      <c r="A57" s="87" t="s">
        <v>203</v>
      </c>
      <c r="B57" s="87" t="s">
        <v>76</v>
      </c>
      <c r="C57" s="88" t="s">
        <v>119</v>
      </c>
      <c r="D57" s="93"/>
      <c r="E57" s="93"/>
      <c r="F57" s="104"/>
      <c r="G57" s="77">
        <v>3</v>
      </c>
      <c r="H57" s="77"/>
      <c r="I57" s="110"/>
      <c r="J57" s="77"/>
      <c r="K57" s="77"/>
      <c r="L57" s="77"/>
      <c r="M57" s="77"/>
      <c r="N57" s="73"/>
      <c r="O57" s="73"/>
      <c r="P57" s="73"/>
      <c r="Q57" s="73"/>
      <c r="R57" s="73"/>
      <c r="S57" s="73"/>
      <c r="T57" s="73"/>
      <c r="U57" s="75"/>
      <c r="V57" s="64"/>
      <c r="W57" s="66"/>
      <c r="X57" s="15"/>
      <c r="Y57" s="16"/>
      <c r="Z57" s="14"/>
    </row>
    <row r="58" spans="1:26" ht="15">
      <c r="A58" s="87" t="s">
        <v>29</v>
      </c>
      <c r="B58" s="87" t="s">
        <v>65</v>
      </c>
      <c r="C58" s="88" t="s">
        <v>53</v>
      </c>
      <c r="D58" s="93"/>
      <c r="E58" s="93"/>
      <c r="F58" s="104"/>
      <c r="G58" s="77">
        <v>3</v>
      </c>
      <c r="H58" s="77"/>
      <c r="I58" s="110"/>
      <c r="J58" s="77">
        <v>4</v>
      </c>
      <c r="K58" s="77"/>
      <c r="L58" s="77"/>
      <c r="M58" s="77"/>
      <c r="N58" s="73"/>
      <c r="O58" s="73"/>
      <c r="P58" s="73"/>
      <c r="Q58" s="73"/>
      <c r="R58" s="73"/>
      <c r="S58" s="73"/>
      <c r="T58" s="73"/>
      <c r="U58" s="75"/>
      <c r="V58" s="64"/>
      <c r="W58" s="66"/>
      <c r="X58" s="15"/>
      <c r="Y58" s="16"/>
      <c r="Z58" s="14"/>
    </row>
    <row r="59" spans="1:26" ht="15">
      <c r="A59" s="87" t="s">
        <v>229</v>
      </c>
      <c r="B59" s="87" t="s">
        <v>230</v>
      </c>
      <c r="C59" s="88" t="s">
        <v>4</v>
      </c>
      <c r="D59" s="93"/>
      <c r="E59" s="93"/>
      <c r="F59" s="104"/>
      <c r="G59" s="77">
        <v>4</v>
      </c>
      <c r="H59" s="77"/>
      <c r="I59" s="110"/>
      <c r="J59" s="77"/>
      <c r="K59" s="77"/>
      <c r="L59" s="77"/>
      <c r="M59" s="77"/>
      <c r="N59" s="73"/>
      <c r="O59" s="73"/>
      <c r="P59" s="73"/>
      <c r="Q59" s="73"/>
      <c r="R59" s="73"/>
      <c r="S59" s="73"/>
      <c r="T59" s="73"/>
      <c r="U59" s="75"/>
      <c r="V59" s="64"/>
      <c r="W59" s="66"/>
      <c r="X59" s="15"/>
      <c r="Y59" s="16"/>
      <c r="Z59" s="14"/>
    </row>
    <row r="60" spans="1:26" ht="15">
      <c r="A60" s="87" t="s">
        <v>21</v>
      </c>
      <c r="B60" s="87" t="s">
        <v>22</v>
      </c>
      <c r="C60" s="88" t="s">
        <v>151</v>
      </c>
      <c r="D60" s="93"/>
      <c r="E60" s="93"/>
      <c r="F60" s="104"/>
      <c r="G60" s="77">
        <v>2</v>
      </c>
      <c r="H60" s="77"/>
      <c r="I60" s="110"/>
      <c r="J60" s="77">
        <v>4</v>
      </c>
      <c r="K60" s="77"/>
      <c r="L60" s="77"/>
      <c r="M60" s="77"/>
      <c r="N60" s="73"/>
      <c r="O60" s="73"/>
      <c r="P60" s="73"/>
      <c r="Q60" s="73"/>
      <c r="R60" s="73"/>
      <c r="S60" s="73"/>
      <c r="T60" s="73"/>
      <c r="U60" s="75"/>
      <c r="V60" s="64"/>
      <c r="W60" s="66"/>
      <c r="X60" s="15"/>
      <c r="Y60" s="16"/>
      <c r="Z60" s="14"/>
    </row>
    <row r="61" spans="1:26" ht="15">
      <c r="A61" s="87" t="s">
        <v>41</v>
      </c>
      <c r="B61" s="87" t="s">
        <v>69</v>
      </c>
      <c r="C61" s="88" t="s">
        <v>5</v>
      </c>
      <c r="D61" s="93"/>
      <c r="E61" s="93"/>
      <c r="F61" s="104"/>
      <c r="G61" s="77"/>
      <c r="H61" s="77"/>
      <c r="I61" s="110">
        <v>1</v>
      </c>
      <c r="J61" s="77"/>
      <c r="K61" s="77"/>
      <c r="L61" s="77"/>
      <c r="M61" s="77"/>
      <c r="N61" s="73"/>
      <c r="O61" s="73"/>
      <c r="P61" s="73"/>
      <c r="Q61" s="73"/>
      <c r="R61" s="73"/>
      <c r="S61" s="73"/>
      <c r="T61" s="73"/>
      <c r="U61" s="75"/>
      <c r="V61" s="64"/>
      <c r="W61" s="66"/>
      <c r="X61" s="15"/>
      <c r="Y61" s="16"/>
      <c r="Z61" s="14"/>
    </row>
    <row r="62" spans="1:26" ht="15">
      <c r="A62" s="87" t="s">
        <v>231</v>
      </c>
      <c r="B62" s="87" t="s">
        <v>232</v>
      </c>
      <c r="C62" s="88" t="s">
        <v>4</v>
      </c>
      <c r="D62" s="93"/>
      <c r="E62" s="93"/>
      <c r="F62" s="104"/>
      <c r="G62" s="77">
        <v>4</v>
      </c>
      <c r="H62" s="77"/>
      <c r="I62" s="110"/>
      <c r="J62" s="77"/>
      <c r="K62" s="77"/>
      <c r="L62" s="77"/>
      <c r="M62" s="77"/>
      <c r="N62" s="73"/>
      <c r="O62" s="73"/>
      <c r="P62" s="73"/>
      <c r="Q62" s="73"/>
      <c r="R62" s="73"/>
      <c r="S62" s="73"/>
      <c r="T62" s="73"/>
      <c r="U62" s="75"/>
      <c r="V62" s="64"/>
      <c r="W62" s="66"/>
      <c r="X62" s="15"/>
      <c r="Y62" s="16"/>
      <c r="Z62" s="14"/>
    </row>
    <row r="63" spans="1:26" ht="15">
      <c r="A63" s="87" t="s">
        <v>233</v>
      </c>
      <c r="B63" s="87" t="s">
        <v>234</v>
      </c>
      <c r="C63" s="88" t="s">
        <v>4</v>
      </c>
      <c r="D63" s="93"/>
      <c r="E63" s="93"/>
      <c r="F63" s="104"/>
      <c r="G63" s="77">
        <v>4</v>
      </c>
      <c r="H63" s="77"/>
      <c r="I63" s="110"/>
      <c r="J63" s="77"/>
      <c r="K63" s="77"/>
      <c r="L63" s="77"/>
      <c r="M63" s="77"/>
      <c r="N63" s="73"/>
      <c r="O63" s="73"/>
      <c r="P63" s="73"/>
      <c r="Q63" s="73"/>
      <c r="R63" s="73"/>
      <c r="S63" s="73"/>
      <c r="T63" s="73"/>
      <c r="U63" s="75"/>
      <c r="V63" s="64"/>
      <c r="W63" s="66"/>
      <c r="X63" s="15"/>
      <c r="Y63" s="16"/>
      <c r="Z63" s="14"/>
    </row>
    <row r="64" spans="1:26" ht="15">
      <c r="A64" s="87" t="s">
        <v>14</v>
      </c>
      <c r="B64" s="87" t="s">
        <v>15</v>
      </c>
      <c r="C64" s="88" t="s">
        <v>53</v>
      </c>
      <c r="D64" s="93"/>
      <c r="E64" s="93"/>
      <c r="F64" s="104"/>
      <c r="G64" s="77">
        <v>3</v>
      </c>
      <c r="H64" s="77"/>
      <c r="I64" s="110">
        <v>1</v>
      </c>
      <c r="J64" s="77"/>
      <c r="K64" s="77"/>
      <c r="L64" s="77"/>
      <c r="M64" s="77"/>
      <c r="N64" s="73"/>
      <c r="O64" s="73"/>
      <c r="P64" s="73"/>
      <c r="Q64" s="73"/>
      <c r="R64" s="73"/>
      <c r="S64" s="73"/>
      <c r="T64" s="73"/>
      <c r="U64" s="75"/>
      <c r="V64" s="64"/>
      <c r="W64" s="66"/>
      <c r="X64" s="15"/>
      <c r="Y64" s="16"/>
      <c r="Z64" s="14"/>
    </row>
    <row r="65" spans="1:26" ht="15">
      <c r="A65" s="87" t="s">
        <v>32</v>
      </c>
      <c r="B65" s="87" t="s">
        <v>33</v>
      </c>
      <c r="C65" s="88" t="s">
        <v>151</v>
      </c>
      <c r="D65" s="93"/>
      <c r="E65" s="93"/>
      <c r="F65" s="104"/>
      <c r="G65" s="77"/>
      <c r="H65" s="77"/>
      <c r="I65" s="110"/>
      <c r="J65" s="77">
        <v>4</v>
      </c>
      <c r="K65" s="77"/>
      <c r="L65" s="77"/>
      <c r="M65" s="77"/>
      <c r="N65" s="73"/>
      <c r="O65" s="73"/>
      <c r="P65" s="73"/>
      <c r="Q65" s="73"/>
      <c r="R65" s="73"/>
      <c r="S65" s="73"/>
      <c r="T65" s="73"/>
      <c r="U65" s="75"/>
      <c r="V65" s="64"/>
      <c r="W65" s="66"/>
      <c r="X65" s="15"/>
      <c r="Y65" s="16"/>
      <c r="Z65" s="14"/>
    </row>
    <row r="66" spans="1:26" ht="15">
      <c r="A66" s="87" t="s">
        <v>168</v>
      </c>
      <c r="B66" s="87" t="s">
        <v>169</v>
      </c>
      <c r="C66" s="88" t="s">
        <v>218</v>
      </c>
      <c r="D66" s="93"/>
      <c r="E66" s="93"/>
      <c r="F66" s="104"/>
      <c r="G66" s="77">
        <v>3</v>
      </c>
      <c r="H66" s="77">
        <v>5</v>
      </c>
      <c r="I66" s="110">
        <v>1</v>
      </c>
      <c r="J66" s="77">
        <v>4</v>
      </c>
      <c r="K66" s="77"/>
      <c r="L66" s="77"/>
      <c r="M66" s="77"/>
      <c r="N66" s="73"/>
      <c r="O66" s="73"/>
      <c r="P66" s="73"/>
      <c r="Q66" s="73"/>
      <c r="R66" s="73"/>
      <c r="S66" s="73"/>
      <c r="T66" s="73"/>
      <c r="U66" s="75"/>
      <c r="V66" s="64"/>
      <c r="W66" s="66"/>
      <c r="X66" s="15"/>
      <c r="Y66" s="16"/>
      <c r="Z66" s="14"/>
    </row>
    <row r="67" spans="1:26" ht="15">
      <c r="A67" s="87" t="s">
        <v>163</v>
      </c>
      <c r="B67" s="87" t="s">
        <v>74</v>
      </c>
      <c r="C67" s="88" t="s">
        <v>152</v>
      </c>
      <c r="D67" s="93"/>
      <c r="E67" s="93"/>
      <c r="F67" s="104"/>
      <c r="G67" s="77">
        <v>2</v>
      </c>
      <c r="H67" s="77">
        <v>5</v>
      </c>
      <c r="I67" s="110"/>
      <c r="J67" s="77"/>
      <c r="K67" s="77"/>
      <c r="L67" s="77"/>
      <c r="M67" s="77"/>
      <c r="N67" s="73"/>
      <c r="O67" s="73"/>
      <c r="P67" s="73"/>
      <c r="Q67" s="73"/>
      <c r="R67" s="73"/>
      <c r="S67" s="73"/>
      <c r="T67" s="73"/>
      <c r="U67" s="75"/>
      <c r="V67" s="64"/>
      <c r="W67" s="66"/>
      <c r="X67" s="15"/>
      <c r="Y67" s="16"/>
      <c r="Z67" s="14"/>
    </row>
    <row r="68" spans="1:26" ht="15">
      <c r="A68" s="87" t="s">
        <v>147</v>
      </c>
      <c r="B68" s="87" t="s">
        <v>148</v>
      </c>
      <c r="C68" s="88" t="s">
        <v>4</v>
      </c>
      <c r="D68" s="93"/>
      <c r="E68" s="93"/>
      <c r="F68" s="104"/>
      <c r="G68" s="77">
        <v>4</v>
      </c>
      <c r="H68" s="77">
        <v>5</v>
      </c>
      <c r="I68" s="110"/>
      <c r="J68" s="77"/>
      <c r="K68" s="77"/>
      <c r="L68" s="77"/>
      <c r="M68" s="77"/>
      <c r="N68" s="73"/>
      <c r="O68" s="73"/>
      <c r="P68" s="73"/>
      <c r="Q68" s="73"/>
      <c r="R68" s="73"/>
      <c r="S68" s="73"/>
      <c r="T68" s="73"/>
      <c r="U68" s="75"/>
      <c r="V68" s="64"/>
      <c r="W68" s="66"/>
      <c r="X68" s="15"/>
      <c r="Y68" s="16"/>
      <c r="Z68" s="14"/>
    </row>
    <row r="69" spans="1:26" ht="15">
      <c r="A69" s="87" t="s">
        <v>202</v>
      </c>
      <c r="B69" s="87" t="s">
        <v>180</v>
      </c>
      <c r="C69" s="88" t="s">
        <v>119</v>
      </c>
      <c r="D69" s="93"/>
      <c r="E69" s="93"/>
      <c r="F69" s="104"/>
      <c r="G69" s="77">
        <v>3</v>
      </c>
      <c r="H69" s="77">
        <v>5</v>
      </c>
      <c r="I69" s="110">
        <v>1</v>
      </c>
      <c r="J69" s="77"/>
      <c r="K69" s="77"/>
      <c r="L69" s="77"/>
      <c r="M69" s="77"/>
      <c r="N69" s="73"/>
      <c r="O69" s="73"/>
      <c r="P69" s="73"/>
      <c r="Q69" s="73"/>
      <c r="R69" s="73"/>
      <c r="S69" s="73"/>
      <c r="T69" s="73"/>
      <c r="U69" s="75"/>
      <c r="V69" s="64"/>
      <c r="W69" s="66"/>
      <c r="X69" s="15"/>
      <c r="Y69" s="16"/>
      <c r="Z69" s="14"/>
    </row>
    <row r="70" spans="1:26" ht="15">
      <c r="A70" s="87" t="s">
        <v>164</v>
      </c>
      <c r="B70" s="87" t="s">
        <v>78</v>
      </c>
      <c r="C70" s="88" t="s">
        <v>152</v>
      </c>
      <c r="D70" s="93"/>
      <c r="E70" s="93"/>
      <c r="F70" s="104"/>
      <c r="G70" s="77"/>
      <c r="H70" s="77"/>
      <c r="I70" s="110"/>
      <c r="J70" s="77"/>
      <c r="K70" s="77"/>
      <c r="L70" s="77"/>
      <c r="M70" s="77"/>
      <c r="N70" s="73"/>
      <c r="O70" s="73"/>
      <c r="P70" s="73"/>
      <c r="Q70" s="73"/>
      <c r="R70" s="73"/>
      <c r="S70" s="73"/>
      <c r="T70" s="73"/>
      <c r="U70" s="75"/>
      <c r="V70" s="64"/>
      <c r="W70" s="66"/>
      <c r="X70" s="15"/>
      <c r="Y70" s="16"/>
      <c r="Z70" s="14"/>
    </row>
    <row r="71" spans="1:26" ht="15">
      <c r="A71" s="87" t="s">
        <v>133</v>
      </c>
      <c r="B71" s="87" t="s">
        <v>134</v>
      </c>
      <c r="C71" s="88" t="s">
        <v>4</v>
      </c>
      <c r="D71" s="93"/>
      <c r="E71" s="93"/>
      <c r="F71" s="104"/>
      <c r="G71" s="77">
        <v>4</v>
      </c>
      <c r="H71" s="77"/>
      <c r="I71" s="110"/>
      <c r="J71" s="77"/>
      <c r="K71" s="77"/>
      <c r="L71" s="77"/>
      <c r="M71" s="77"/>
      <c r="N71" s="73"/>
      <c r="O71" s="73"/>
      <c r="P71" s="73"/>
      <c r="Q71" s="73"/>
      <c r="R71" s="73"/>
      <c r="S71" s="73"/>
      <c r="T71" s="73"/>
      <c r="U71" s="75"/>
      <c r="V71" s="64"/>
      <c r="W71" s="66"/>
      <c r="X71" s="15"/>
      <c r="Y71" s="16"/>
      <c r="Z71" s="14"/>
    </row>
    <row r="72" spans="1:26" ht="15">
      <c r="A72" s="87" t="s">
        <v>31</v>
      </c>
      <c r="B72" s="87" t="s">
        <v>69</v>
      </c>
      <c r="C72" s="88" t="s">
        <v>53</v>
      </c>
      <c r="D72" s="93"/>
      <c r="E72" s="93"/>
      <c r="F72" s="104"/>
      <c r="G72" s="77">
        <v>2</v>
      </c>
      <c r="H72" s="77"/>
      <c r="I72" s="110"/>
      <c r="J72" s="77">
        <v>4</v>
      </c>
      <c r="K72" s="77"/>
      <c r="L72" s="77"/>
      <c r="M72" s="77"/>
      <c r="N72" s="73"/>
      <c r="O72" s="73"/>
      <c r="P72" s="73"/>
      <c r="Q72" s="73"/>
      <c r="R72" s="73"/>
      <c r="S72" s="73"/>
      <c r="T72" s="73"/>
      <c r="U72" s="75"/>
      <c r="V72" s="64"/>
      <c r="W72" s="66"/>
      <c r="X72" s="15"/>
      <c r="Y72" s="16"/>
      <c r="Z72" s="14"/>
    </row>
    <row r="73" spans="1:26" ht="15">
      <c r="A73" s="87" t="s">
        <v>165</v>
      </c>
      <c r="B73" s="87" t="s">
        <v>166</v>
      </c>
      <c r="C73" s="88" t="s">
        <v>152</v>
      </c>
      <c r="D73" s="93"/>
      <c r="E73" s="93"/>
      <c r="F73" s="104"/>
      <c r="G73" s="77">
        <v>2</v>
      </c>
      <c r="H73" s="77"/>
      <c r="I73" s="110"/>
      <c r="J73" s="77"/>
      <c r="K73" s="77"/>
      <c r="L73" s="77"/>
      <c r="M73" s="77"/>
      <c r="N73" s="73"/>
      <c r="O73" s="73"/>
      <c r="P73" s="73"/>
      <c r="Q73" s="73"/>
      <c r="R73" s="73"/>
      <c r="S73" s="73"/>
      <c r="T73" s="73"/>
      <c r="U73" s="75"/>
      <c r="V73" s="64"/>
      <c r="W73" s="66"/>
      <c r="X73" s="15"/>
      <c r="Y73" s="16"/>
      <c r="Z73" s="14"/>
    </row>
    <row r="74" spans="1:26" ht="15">
      <c r="A74" s="87" t="s">
        <v>26</v>
      </c>
      <c r="B74" s="87" t="s">
        <v>27</v>
      </c>
      <c r="C74" s="88" t="s">
        <v>151</v>
      </c>
      <c r="D74" s="93"/>
      <c r="E74" s="93"/>
      <c r="F74" s="104"/>
      <c r="G74" s="77"/>
      <c r="H74" s="77"/>
      <c r="I74" s="110">
        <v>1</v>
      </c>
      <c r="J74" s="77"/>
      <c r="K74" s="77"/>
      <c r="L74" s="77"/>
      <c r="M74" s="77"/>
      <c r="N74" s="73"/>
      <c r="O74" s="73"/>
      <c r="P74" s="73"/>
      <c r="Q74" s="73"/>
      <c r="R74" s="73"/>
      <c r="S74" s="73"/>
      <c r="T74" s="73"/>
      <c r="U74" s="75"/>
      <c r="V74" s="64"/>
      <c r="W74" s="66"/>
      <c r="X74" s="15"/>
      <c r="Y74" s="16"/>
      <c r="Z74" s="14"/>
    </row>
    <row r="75" spans="1:26" ht="15">
      <c r="A75" s="87" t="s">
        <v>186</v>
      </c>
      <c r="B75" s="87" t="s">
        <v>187</v>
      </c>
      <c r="C75" s="88" t="s">
        <v>119</v>
      </c>
      <c r="D75" s="93"/>
      <c r="E75" s="93"/>
      <c r="F75" s="104"/>
      <c r="G75" s="77">
        <v>2</v>
      </c>
      <c r="H75" s="77"/>
      <c r="I75" s="110">
        <v>1</v>
      </c>
      <c r="J75" s="77"/>
      <c r="K75" s="77"/>
      <c r="L75" s="77"/>
      <c r="M75" s="77"/>
      <c r="N75" s="73"/>
      <c r="O75" s="73"/>
      <c r="P75" s="73"/>
      <c r="Q75" s="73"/>
      <c r="R75" s="73"/>
      <c r="S75" s="73"/>
      <c r="T75" s="73"/>
      <c r="U75" s="75"/>
      <c r="V75" s="64"/>
      <c r="W75" s="66"/>
      <c r="X75" s="15"/>
      <c r="Y75" s="16"/>
      <c r="Z75" s="14"/>
    </row>
    <row r="76" spans="1:26" ht="15">
      <c r="A76" s="87" t="s">
        <v>42</v>
      </c>
      <c r="B76" s="87" t="s">
        <v>43</v>
      </c>
      <c r="C76" s="88" t="s">
        <v>118</v>
      </c>
      <c r="D76" s="93"/>
      <c r="E76" s="93"/>
      <c r="F76" s="104"/>
      <c r="G76" s="77">
        <v>2</v>
      </c>
      <c r="H76" s="77"/>
      <c r="I76" s="110"/>
      <c r="J76" s="77"/>
      <c r="K76" s="77"/>
      <c r="L76" s="77"/>
      <c r="M76" s="77"/>
      <c r="N76" s="73"/>
      <c r="O76" s="73"/>
      <c r="P76" s="73"/>
      <c r="Q76" s="73"/>
      <c r="R76" s="73"/>
      <c r="S76" s="73"/>
      <c r="T76" s="73"/>
      <c r="U76" s="75"/>
      <c r="V76" s="64"/>
      <c r="W76" s="66"/>
      <c r="X76" s="15"/>
      <c r="Y76" s="16"/>
      <c r="Z76" s="14"/>
    </row>
    <row r="77" spans="1:26" ht="15">
      <c r="A77" s="87" t="s">
        <v>55</v>
      </c>
      <c r="B77" s="87" t="s">
        <v>83</v>
      </c>
      <c r="C77" s="88" t="s">
        <v>5</v>
      </c>
      <c r="D77" s="93"/>
      <c r="E77" s="93"/>
      <c r="F77" s="104"/>
      <c r="G77" s="77">
        <v>2</v>
      </c>
      <c r="H77" s="77"/>
      <c r="I77" s="110"/>
      <c r="J77" s="77"/>
      <c r="K77" s="77"/>
      <c r="L77" s="77"/>
      <c r="M77" s="77"/>
      <c r="N77" s="73"/>
      <c r="O77" s="73"/>
      <c r="P77" s="73"/>
      <c r="Q77" s="73"/>
      <c r="R77" s="73"/>
      <c r="S77" s="73"/>
      <c r="T77" s="73"/>
      <c r="U77" s="75"/>
      <c r="V77" s="64"/>
      <c r="W77" s="66"/>
      <c r="X77" s="15"/>
      <c r="Y77" s="16"/>
      <c r="Z77" s="14"/>
    </row>
    <row r="78" spans="1:26" ht="15">
      <c r="A78" s="87" t="s">
        <v>235</v>
      </c>
      <c r="B78" s="87" t="s">
        <v>236</v>
      </c>
      <c r="C78" s="88" t="s">
        <v>4</v>
      </c>
      <c r="D78" s="93"/>
      <c r="E78" s="93"/>
      <c r="F78" s="104"/>
      <c r="G78" s="77">
        <v>3</v>
      </c>
      <c r="H78" s="77"/>
      <c r="I78" s="110"/>
      <c r="J78" s="77"/>
      <c r="K78" s="77"/>
      <c r="L78" s="77"/>
      <c r="M78" s="77"/>
      <c r="N78" s="73"/>
      <c r="O78" s="73"/>
      <c r="P78" s="73"/>
      <c r="Q78" s="73"/>
      <c r="R78" s="73"/>
      <c r="S78" s="73"/>
      <c r="T78" s="73"/>
      <c r="U78" s="75"/>
      <c r="V78" s="64"/>
      <c r="W78" s="66"/>
      <c r="X78" s="15"/>
      <c r="Y78" s="16"/>
      <c r="Z78" s="14"/>
    </row>
    <row r="79" spans="1:26" ht="15">
      <c r="A79" s="87" t="s">
        <v>237</v>
      </c>
      <c r="B79" s="87" t="s">
        <v>238</v>
      </c>
      <c r="C79" s="88" t="s">
        <v>4</v>
      </c>
      <c r="D79" s="93"/>
      <c r="E79" s="93"/>
      <c r="F79" s="104"/>
      <c r="G79" s="77">
        <v>3</v>
      </c>
      <c r="H79" s="77">
        <v>5</v>
      </c>
      <c r="I79" s="110"/>
      <c r="J79" s="77"/>
      <c r="K79" s="77"/>
      <c r="L79" s="77"/>
      <c r="M79" s="77"/>
      <c r="N79" s="73"/>
      <c r="O79" s="73"/>
      <c r="P79" s="73"/>
      <c r="Q79" s="73"/>
      <c r="R79" s="73"/>
      <c r="S79" s="73"/>
      <c r="T79" s="73"/>
      <c r="U79" s="75"/>
      <c r="V79" s="64"/>
      <c r="W79" s="66"/>
      <c r="X79" s="15"/>
      <c r="Y79" s="16"/>
      <c r="Z79" s="14"/>
    </row>
    <row r="80" spans="1:26" ht="15">
      <c r="A80" s="87" t="s">
        <v>84</v>
      </c>
      <c r="B80" s="87" t="s">
        <v>182</v>
      </c>
      <c r="C80" s="88" t="s">
        <v>151</v>
      </c>
      <c r="D80" s="93"/>
      <c r="E80" s="93"/>
      <c r="F80" s="104"/>
      <c r="G80" s="77">
        <v>3</v>
      </c>
      <c r="H80" s="77"/>
      <c r="I80" s="110"/>
      <c r="J80" s="77">
        <v>4</v>
      </c>
      <c r="K80" s="77"/>
      <c r="L80" s="77"/>
      <c r="M80" s="77"/>
      <c r="N80" s="73"/>
      <c r="O80" s="73"/>
      <c r="P80" s="73"/>
      <c r="Q80" s="73"/>
      <c r="R80" s="73"/>
      <c r="S80" s="73"/>
      <c r="T80" s="73"/>
      <c r="U80" s="75"/>
      <c r="V80" s="64"/>
      <c r="W80" s="66"/>
      <c r="X80" s="15"/>
      <c r="Y80" s="16"/>
      <c r="Z80" s="14"/>
    </row>
    <row r="81" spans="1:26" ht="15">
      <c r="A81" s="87" t="s">
        <v>191</v>
      </c>
      <c r="B81" s="87" t="s">
        <v>220</v>
      </c>
      <c r="C81" s="88" t="s">
        <v>216</v>
      </c>
      <c r="D81" s="93"/>
      <c r="E81" s="93"/>
      <c r="F81" s="104"/>
      <c r="G81" s="77">
        <v>2</v>
      </c>
      <c r="H81" s="77"/>
      <c r="I81" s="110">
        <v>1</v>
      </c>
      <c r="J81" s="77"/>
      <c r="K81" s="77"/>
      <c r="L81" s="77"/>
      <c r="M81" s="77"/>
      <c r="N81" s="73"/>
      <c r="O81" s="73"/>
      <c r="P81" s="73"/>
      <c r="Q81" s="73"/>
      <c r="R81" s="73"/>
      <c r="S81" s="73"/>
      <c r="T81" s="73"/>
      <c r="U81" s="75"/>
      <c r="V81" s="64"/>
      <c r="W81" s="66"/>
      <c r="X81" s="15"/>
      <c r="Y81" s="16"/>
      <c r="Z81" s="14"/>
    </row>
    <row r="82" spans="1:26" ht="15">
      <c r="A82" s="87" t="s">
        <v>17</v>
      </c>
      <c r="B82" s="87" t="s">
        <v>18</v>
      </c>
      <c r="C82" s="88" t="s">
        <v>6</v>
      </c>
      <c r="D82" s="93"/>
      <c r="E82" s="93"/>
      <c r="F82" s="104"/>
      <c r="G82" s="77">
        <v>3</v>
      </c>
      <c r="H82" s="77"/>
      <c r="I82" s="110"/>
      <c r="J82" s="77"/>
      <c r="K82" s="77"/>
      <c r="L82" s="77"/>
      <c r="M82" s="77"/>
      <c r="N82" s="73"/>
      <c r="O82" s="73"/>
      <c r="P82" s="73"/>
      <c r="Q82" s="73"/>
      <c r="R82" s="73"/>
      <c r="S82" s="73"/>
      <c r="T82" s="73"/>
      <c r="U82" s="75"/>
      <c r="V82" s="64"/>
      <c r="W82" s="66"/>
      <c r="X82" s="15"/>
      <c r="Y82" s="16"/>
      <c r="Z82" s="14"/>
    </row>
    <row r="83" spans="1:26" ht="15">
      <c r="A83" s="87" t="s">
        <v>199</v>
      </c>
      <c r="B83" s="87" t="s">
        <v>71</v>
      </c>
      <c r="C83" s="88" t="s">
        <v>119</v>
      </c>
      <c r="D83" s="93"/>
      <c r="E83" s="93"/>
      <c r="F83" s="104"/>
      <c r="G83" s="77"/>
      <c r="H83" s="77"/>
      <c r="I83" s="110">
        <v>1</v>
      </c>
      <c r="J83" s="77"/>
      <c r="K83" s="77"/>
      <c r="L83" s="77"/>
      <c r="M83" s="77"/>
      <c r="N83" s="73"/>
      <c r="O83" s="73"/>
      <c r="P83" s="73"/>
      <c r="Q83" s="73"/>
      <c r="R83" s="73"/>
      <c r="S83" s="73"/>
      <c r="T83" s="73"/>
      <c r="U83" s="75"/>
      <c r="V83" s="64"/>
      <c r="W83" s="66"/>
      <c r="X83" s="15"/>
      <c r="Y83" s="16"/>
      <c r="Z83" s="14"/>
    </row>
    <row r="84" spans="1:26" ht="15">
      <c r="A84" s="87" t="s">
        <v>239</v>
      </c>
      <c r="B84" s="87" t="s">
        <v>240</v>
      </c>
      <c r="C84" s="88" t="s">
        <v>4</v>
      </c>
      <c r="D84" s="93"/>
      <c r="E84" s="93"/>
      <c r="F84" s="104"/>
      <c r="G84" s="77">
        <v>4</v>
      </c>
      <c r="H84" s="77"/>
      <c r="I84" s="110"/>
      <c r="J84" s="77"/>
      <c r="K84" s="77"/>
      <c r="L84" s="77"/>
      <c r="M84" s="77"/>
      <c r="N84" s="73"/>
      <c r="O84" s="73"/>
      <c r="P84" s="73"/>
      <c r="Q84" s="73"/>
      <c r="R84" s="73"/>
      <c r="S84" s="73"/>
      <c r="T84" s="73"/>
      <c r="U84" s="75"/>
      <c r="V84" s="64"/>
      <c r="W84" s="66"/>
      <c r="X84" s="15"/>
      <c r="Y84" s="16"/>
      <c r="Z84" s="14"/>
    </row>
    <row r="85" spans="1:26" ht="15">
      <c r="A85" s="87" t="s">
        <v>207</v>
      </c>
      <c r="B85" s="87" t="s">
        <v>64</v>
      </c>
      <c r="C85" s="88" t="s">
        <v>119</v>
      </c>
      <c r="D85" s="93"/>
      <c r="E85" s="93"/>
      <c r="F85" s="104"/>
      <c r="G85" s="77"/>
      <c r="H85" s="77"/>
      <c r="I85" s="110"/>
      <c r="J85" s="77"/>
      <c r="K85" s="77"/>
      <c r="L85" s="77"/>
      <c r="M85" s="77"/>
      <c r="N85" s="73"/>
      <c r="O85" s="73"/>
      <c r="P85" s="73"/>
      <c r="Q85" s="73"/>
      <c r="R85" s="73"/>
      <c r="S85" s="73"/>
      <c r="T85" s="73"/>
      <c r="U85" s="75"/>
      <c r="V85" s="64"/>
      <c r="W85" s="66"/>
      <c r="X85" s="15"/>
      <c r="Y85" s="16"/>
      <c r="Z85" s="14"/>
    </row>
    <row r="86" spans="1:26" ht="15">
      <c r="A86" s="87" t="s">
        <v>170</v>
      </c>
      <c r="B86" s="87" t="s">
        <v>72</v>
      </c>
      <c r="C86" s="88" t="s">
        <v>118</v>
      </c>
      <c r="D86" s="93"/>
      <c r="E86" s="93"/>
      <c r="F86" s="104"/>
      <c r="G86" s="77">
        <v>3</v>
      </c>
      <c r="H86" s="77"/>
      <c r="I86" s="110">
        <v>1</v>
      </c>
      <c r="J86" s="77"/>
      <c r="K86" s="77"/>
      <c r="L86" s="77"/>
      <c r="M86" s="77"/>
      <c r="N86" s="73"/>
      <c r="O86" s="73"/>
      <c r="P86" s="73"/>
      <c r="Q86" s="73"/>
      <c r="R86" s="73"/>
      <c r="S86" s="73"/>
      <c r="T86" s="73"/>
      <c r="U86" s="75"/>
      <c r="V86" s="64"/>
      <c r="W86" s="66"/>
      <c r="X86" s="15"/>
      <c r="Y86" s="16"/>
      <c r="Z86" s="14"/>
    </row>
    <row r="87" spans="1:26" ht="15">
      <c r="A87" s="87" t="s">
        <v>194</v>
      </c>
      <c r="B87" s="87" t="s">
        <v>192</v>
      </c>
      <c r="C87" s="88" t="s">
        <v>119</v>
      </c>
      <c r="D87" s="93"/>
      <c r="E87" s="93"/>
      <c r="F87" s="104"/>
      <c r="G87" s="77"/>
      <c r="H87" s="77"/>
      <c r="I87" s="110"/>
      <c r="J87" s="77"/>
      <c r="K87" s="77"/>
      <c r="L87" s="77"/>
      <c r="M87" s="77"/>
      <c r="N87" s="73"/>
      <c r="O87" s="73"/>
      <c r="P87" s="73"/>
      <c r="Q87" s="73"/>
      <c r="R87" s="73"/>
      <c r="S87" s="73"/>
      <c r="T87" s="73"/>
      <c r="U87" s="75"/>
      <c r="V87" s="64"/>
      <c r="W87" s="66"/>
      <c r="X87" s="15"/>
      <c r="Y87" s="16"/>
      <c r="Z87" s="14"/>
    </row>
    <row r="88" spans="1:26" ht="15">
      <c r="A88" s="87" t="s">
        <v>171</v>
      </c>
      <c r="B88" s="87" t="s">
        <v>172</v>
      </c>
      <c r="C88" s="88" t="s">
        <v>118</v>
      </c>
      <c r="D88" s="93"/>
      <c r="E88" s="93"/>
      <c r="F88" s="104"/>
      <c r="G88" s="77">
        <v>2</v>
      </c>
      <c r="H88" s="77"/>
      <c r="I88" s="110">
        <v>1</v>
      </c>
      <c r="J88" s="77"/>
      <c r="K88" s="77"/>
      <c r="L88" s="77"/>
      <c r="M88" s="77"/>
      <c r="N88" s="73"/>
      <c r="O88" s="73"/>
      <c r="P88" s="73"/>
      <c r="Q88" s="73"/>
      <c r="R88" s="73"/>
      <c r="S88" s="73"/>
      <c r="T88" s="73"/>
      <c r="U88" s="75"/>
      <c r="V88" s="64"/>
      <c r="W88" s="66"/>
      <c r="X88" s="15"/>
      <c r="Y88" s="16"/>
      <c r="Z88" s="14"/>
    </row>
    <row r="89" spans="1:26" ht="15">
      <c r="A89" s="87" t="s">
        <v>195</v>
      </c>
      <c r="B89" s="87" t="s">
        <v>176</v>
      </c>
      <c r="C89" s="88" t="s">
        <v>119</v>
      </c>
      <c r="D89" s="93"/>
      <c r="E89" s="93"/>
      <c r="F89" s="104"/>
      <c r="G89" s="77">
        <v>3</v>
      </c>
      <c r="H89" s="77"/>
      <c r="I89" s="110">
        <v>1</v>
      </c>
      <c r="J89" s="77"/>
      <c r="K89" s="77"/>
      <c r="L89" s="77"/>
      <c r="M89" s="77"/>
      <c r="N89" s="73"/>
      <c r="O89" s="73"/>
      <c r="P89" s="73"/>
      <c r="Q89" s="73"/>
      <c r="R89" s="73"/>
      <c r="S89" s="73"/>
      <c r="T89" s="73"/>
      <c r="U89" s="75"/>
      <c r="V89" s="64"/>
      <c r="W89" s="66"/>
      <c r="X89" s="15"/>
      <c r="Y89" s="16"/>
      <c r="Z89" s="14"/>
    </row>
    <row r="90" spans="1:26" ht="15">
      <c r="A90" s="87" t="s">
        <v>241</v>
      </c>
      <c r="B90" s="87" t="s">
        <v>242</v>
      </c>
      <c r="C90" s="88" t="s">
        <v>4</v>
      </c>
      <c r="D90" s="93"/>
      <c r="E90" s="93"/>
      <c r="F90" s="104"/>
      <c r="G90" s="77">
        <v>4</v>
      </c>
      <c r="H90" s="77"/>
      <c r="I90" s="110"/>
      <c r="J90" s="77"/>
      <c r="K90" s="77"/>
      <c r="L90" s="77"/>
      <c r="M90" s="77"/>
      <c r="N90" s="73"/>
      <c r="O90" s="73"/>
      <c r="P90" s="73"/>
      <c r="Q90" s="73"/>
      <c r="R90" s="73"/>
      <c r="S90" s="73"/>
      <c r="T90" s="73"/>
      <c r="U90" s="75"/>
      <c r="V90" s="64"/>
      <c r="W90" s="66"/>
      <c r="X90" s="15"/>
      <c r="Y90" s="16"/>
      <c r="Z90" s="14"/>
    </row>
    <row r="91" spans="1:26" ht="15">
      <c r="A91" s="87" t="s">
        <v>206</v>
      </c>
      <c r="B91" s="87" t="s">
        <v>66</v>
      </c>
      <c r="C91" s="88" t="s">
        <v>119</v>
      </c>
      <c r="D91" s="93"/>
      <c r="E91" s="93"/>
      <c r="F91" s="104"/>
      <c r="G91" s="77">
        <v>3</v>
      </c>
      <c r="H91" s="77"/>
      <c r="I91" s="110">
        <v>1</v>
      </c>
      <c r="J91" s="77">
        <v>4</v>
      </c>
      <c r="K91" s="77"/>
      <c r="L91" s="77"/>
      <c r="M91" s="77"/>
      <c r="N91" s="73"/>
      <c r="O91" s="73"/>
      <c r="P91" s="73"/>
      <c r="Q91" s="73"/>
      <c r="R91" s="73"/>
      <c r="S91" s="73"/>
      <c r="T91" s="73"/>
      <c r="U91" s="75"/>
      <c r="V91" s="64"/>
      <c r="W91" s="66"/>
      <c r="X91" s="15"/>
      <c r="Y91" s="16"/>
      <c r="Z91" s="14"/>
    </row>
    <row r="92" spans="1:26" ht="15">
      <c r="A92" s="87" t="s">
        <v>85</v>
      </c>
      <c r="B92" s="87" t="s">
        <v>86</v>
      </c>
      <c r="C92" s="88" t="s">
        <v>5</v>
      </c>
      <c r="D92" s="93"/>
      <c r="E92" s="93"/>
      <c r="F92" s="104"/>
      <c r="G92" s="77"/>
      <c r="H92" s="77"/>
      <c r="I92" s="110"/>
      <c r="J92" s="77"/>
      <c r="K92" s="77"/>
      <c r="L92" s="77"/>
      <c r="M92" s="77"/>
      <c r="N92" s="73"/>
      <c r="O92" s="73"/>
      <c r="P92" s="73"/>
      <c r="Q92" s="73"/>
      <c r="R92" s="73"/>
      <c r="S92" s="73"/>
      <c r="T92" s="73"/>
      <c r="U92" s="75"/>
      <c r="V92" s="64"/>
      <c r="W92" s="66"/>
      <c r="X92" s="15"/>
      <c r="Y92" s="16"/>
      <c r="Z92" s="14"/>
    </row>
    <row r="93" spans="1:26" ht="15">
      <c r="A93" s="87" t="s">
        <v>204</v>
      </c>
      <c r="B93" s="87" t="s">
        <v>68</v>
      </c>
      <c r="C93" s="88" t="s">
        <v>119</v>
      </c>
      <c r="D93" s="93"/>
      <c r="E93" s="93"/>
      <c r="F93" s="104"/>
      <c r="G93" s="77">
        <v>2</v>
      </c>
      <c r="H93" s="77"/>
      <c r="I93" s="110"/>
      <c r="J93" s="77"/>
      <c r="K93" s="77"/>
      <c r="L93" s="77"/>
      <c r="M93" s="77"/>
      <c r="N93" s="73"/>
      <c r="O93" s="73"/>
      <c r="P93" s="73"/>
      <c r="Q93" s="73"/>
      <c r="R93" s="73"/>
      <c r="S93" s="73"/>
      <c r="T93" s="73"/>
      <c r="U93" s="75"/>
      <c r="V93" s="64"/>
      <c r="W93" s="66"/>
      <c r="X93" s="15"/>
      <c r="Y93" s="16"/>
      <c r="Z93" s="14"/>
    </row>
    <row r="94" spans="1:26" ht="15">
      <c r="A94" s="87" t="s">
        <v>173</v>
      </c>
      <c r="B94" s="87" t="s">
        <v>172</v>
      </c>
      <c r="C94" s="88" t="s">
        <v>218</v>
      </c>
      <c r="D94" s="93"/>
      <c r="E94" s="93"/>
      <c r="F94" s="104"/>
      <c r="G94" s="77">
        <v>3</v>
      </c>
      <c r="H94" s="77">
        <v>5</v>
      </c>
      <c r="I94" s="110"/>
      <c r="J94" s="77"/>
      <c r="K94" s="77"/>
      <c r="L94" s="77"/>
      <c r="M94" s="77"/>
      <c r="N94" s="73"/>
      <c r="O94" s="73"/>
      <c r="P94" s="73"/>
      <c r="Q94" s="73"/>
      <c r="R94" s="73"/>
      <c r="S94" s="73"/>
      <c r="T94" s="73"/>
      <c r="U94" s="75"/>
      <c r="V94" s="64"/>
      <c r="W94" s="66"/>
      <c r="X94" s="15"/>
      <c r="Y94" s="16"/>
      <c r="Z94" s="14"/>
    </row>
    <row r="95" spans="1:26" ht="11.25" customHeight="1">
      <c r="A95" s="87" t="s">
        <v>87</v>
      </c>
      <c r="B95" s="87"/>
      <c r="C95" s="88"/>
      <c r="D95" s="93"/>
      <c r="E95" s="93"/>
      <c r="F95" s="104"/>
      <c r="G95" s="76">
        <f>SUM(G3:G94)</f>
        <v>226</v>
      </c>
      <c r="H95" s="78"/>
      <c r="I95" s="74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5"/>
      <c r="V95" s="64"/>
      <c r="W95" s="66"/>
      <c r="X95" s="15"/>
      <c r="Y95" s="16"/>
      <c r="Z95" s="14"/>
    </row>
    <row r="96" spans="1:26" ht="11.25" customHeight="1">
      <c r="A96" s="114" t="s">
        <v>88</v>
      </c>
      <c r="B96" s="114"/>
      <c r="C96" s="72"/>
      <c r="D96" s="17"/>
      <c r="E96" s="17"/>
      <c r="F96" s="18"/>
      <c r="G96" s="19"/>
      <c r="H96" s="19"/>
      <c r="I96" s="71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21"/>
      <c r="X96" s="67"/>
      <c r="Y96" s="67"/>
      <c r="Z96" s="68"/>
    </row>
    <row r="97" spans="1:26" ht="11.25" customHeight="1">
      <c r="A97" s="114" t="s">
        <v>89</v>
      </c>
      <c r="B97" s="114"/>
      <c r="C97" s="72"/>
      <c r="D97" s="17"/>
      <c r="E97" s="17"/>
      <c r="F97" s="18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20"/>
      <c r="X97" s="22">
        <f>SUM(X1:X2)</f>
        <v>0</v>
      </c>
      <c r="Y97" s="23">
        <f>SUM(Y1:Y2)</f>
        <v>0</v>
      </c>
      <c r="Z97" s="24">
        <f>SUM(Z1:Z2)</f>
        <v>0</v>
      </c>
    </row>
    <row r="98" spans="1:26" ht="11.25" customHeight="1" thickBot="1">
      <c r="A98" s="2"/>
      <c r="B98" s="2"/>
      <c r="C98" s="2"/>
      <c r="D98" s="2"/>
      <c r="E98" s="2"/>
      <c r="F98" s="25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27"/>
      <c r="X98" s="28"/>
      <c r="Y98" s="28"/>
      <c r="Z98" s="28"/>
    </row>
    <row r="99" spans="1:26" ht="11.25" customHeight="1" thickTop="1">
      <c r="A99" s="131" t="s">
        <v>90</v>
      </c>
      <c r="B99" s="132"/>
      <c r="C99" s="132"/>
      <c r="D99" s="132"/>
      <c r="E99" s="132"/>
      <c r="F99" s="133"/>
      <c r="G99" s="26"/>
      <c r="H99" s="26"/>
      <c r="I99" s="1"/>
      <c r="J99" s="27"/>
      <c r="K99" s="27"/>
      <c r="L99" s="29"/>
      <c r="M99" s="26"/>
      <c r="N99" s="26"/>
      <c r="O99" s="26"/>
      <c r="P99" s="1"/>
      <c r="Q99" s="26"/>
      <c r="R99" s="26"/>
      <c r="S99" s="26"/>
      <c r="T99" s="26"/>
      <c r="U99" s="29"/>
      <c r="V99" s="29"/>
      <c r="W99" s="26"/>
      <c r="X99" s="30"/>
      <c r="Y99" s="30"/>
      <c r="Z99" s="30"/>
    </row>
    <row r="100" spans="1:26" ht="11.25" customHeight="1">
      <c r="A100" s="134" t="s">
        <v>91</v>
      </c>
      <c r="B100" s="135"/>
      <c r="C100" s="135"/>
      <c r="D100" s="135"/>
      <c r="E100" s="135"/>
      <c r="F100" s="136"/>
      <c r="G100" s="26"/>
      <c r="H100" s="26"/>
      <c r="I100" s="1"/>
      <c r="J100" s="27"/>
      <c r="K100" s="27"/>
      <c r="L100" s="29"/>
      <c r="M100" s="26"/>
      <c r="N100" s="26"/>
      <c r="O100" s="26"/>
      <c r="P100" s="1"/>
      <c r="Q100" s="26"/>
      <c r="R100" s="26"/>
      <c r="S100" s="26"/>
      <c r="T100" s="26"/>
      <c r="U100" s="29"/>
      <c r="V100" s="29"/>
      <c r="W100" s="26"/>
      <c r="X100" s="30"/>
      <c r="Y100" s="30"/>
      <c r="Z100" s="30"/>
    </row>
    <row r="101" spans="1:26" ht="11.25" customHeight="1">
      <c r="A101" s="137" t="s">
        <v>92</v>
      </c>
      <c r="B101" s="138"/>
      <c r="C101" s="138"/>
      <c r="D101" s="138"/>
      <c r="E101" s="138"/>
      <c r="F101" s="139"/>
      <c r="G101" s="26"/>
      <c r="H101" s="26"/>
      <c r="I101" s="1"/>
      <c r="J101" s="27"/>
      <c r="K101" s="27"/>
      <c r="L101" s="29"/>
      <c r="M101" s="26"/>
      <c r="N101" s="26"/>
      <c r="O101" s="26"/>
      <c r="P101" s="1"/>
      <c r="Q101" s="26"/>
      <c r="R101" s="26"/>
      <c r="S101" s="26"/>
      <c r="T101" s="26"/>
      <c r="U101" s="29"/>
      <c r="V101" s="29"/>
      <c r="W101" s="26"/>
      <c r="X101" s="30"/>
      <c r="Y101" s="30"/>
      <c r="Z101" s="30"/>
    </row>
    <row r="102" spans="1:26" ht="11.25" customHeight="1">
      <c r="A102" s="149" t="s">
        <v>184</v>
      </c>
      <c r="B102" s="150"/>
      <c r="C102" s="150"/>
      <c r="D102" s="150"/>
      <c r="E102" s="150"/>
      <c r="F102" s="151"/>
      <c r="G102" s="26"/>
      <c r="H102" s="26"/>
      <c r="I102" s="1"/>
      <c r="J102" s="27"/>
      <c r="K102" s="27"/>
      <c r="L102" s="29"/>
      <c r="M102" s="26"/>
      <c r="N102" s="26"/>
      <c r="O102" s="26"/>
      <c r="P102" s="1"/>
      <c r="Q102" s="26"/>
      <c r="R102" s="26"/>
      <c r="S102" s="26"/>
      <c r="T102" s="26"/>
      <c r="U102" s="29"/>
      <c r="V102" s="29"/>
      <c r="W102" s="26"/>
      <c r="X102" s="30"/>
      <c r="Y102" s="30"/>
      <c r="Z102" s="30"/>
    </row>
    <row r="103" spans="1:26" ht="11.25" customHeight="1">
      <c r="A103" s="140" t="s">
        <v>93</v>
      </c>
      <c r="B103" s="141"/>
      <c r="C103" s="141"/>
      <c r="D103" s="141"/>
      <c r="E103" s="141"/>
      <c r="F103" s="142"/>
      <c r="G103" s="30"/>
      <c r="H103" s="30"/>
      <c r="I103" s="30"/>
      <c r="J103" s="27"/>
      <c r="K103" s="27"/>
      <c r="L103" s="31"/>
      <c r="M103" s="27"/>
      <c r="N103" s="27"/>
      <c r="O103" s="27"/>
      <c r="P103" s="1"/>
      <c r="Q103" s="27"/>
      <c r="R103" s="27"/>
      <c r="S103" s="27"/>
      <c r="T103" s="27"/>
      <c r="U103" s="32"/>
      <c r="V103" s="32"/>
      <c r="W103" s="26"/>
      <c r="X103" s="30"/>
      <c r="Y103" s="30"/>
      <c r="Z103" s="30"/>
    </row>
    <row r="104" spans="1:26" ht="11.25" customHeight="1">
      <c r="A104" s="143" t="s">
        <v>94</v>
      </c>
      <c r="B104" s="144"/>
      <c r="C104" s="144"/>
      <c r="D104" s="144"/>
      <c r="E104" s="144"/>
      <c r="F104" s="145"/>
      <c r="G104" s="30"/>
      <c r="H104" s="30"/>
      <c r="I104" s="33"/>
      <c r="J104" s="27"/>
      <c r="K104" s="27"/>
      <c r="L104" s="31"/>
      <c r="M104" s="27"/>
      <c r="N104" s="27"/>
      <c r="O104" s="27"/>
      <c r="P104" s="1"/>
      <c r="Q104" s="27"/>
      <c r="R104" s="27"/>
      <c r="S104" s="27"/>
      <c r="T104" s="27"/>
      <c r="U104" s="32"/>
      <c r="V104" s="32"/>
      <c r="W104" s="26"/>
      <c r="X104" s="30"/>
      <c r="Y104" s="30"/>
      <c r="Z104" s="30"/>
    </row>
    <row r="105" spans="1:26" ht="11.25" customHeight="1" thickBot="1">
      <c r="A105" s="146" t="s">
        <v>95</v>
      </c>
      <c r="B105" s="147"/>
      <c r="C105" s="147"/>
      <c r="D105" s="147"/>
      <c r="E105" s="147"/>
      <c r="F105" s="148"/>
      <c r="G105" s="30"/>
      <c r="H105" s="30"/>
      <c r="I105" s="33"/>
      <c r="J105" s="27"/>
      <c r="K105" s="27"/>
      <c r="L105" s="31"/>
      <c r="M105" s="27"/>
      <c r="N105" s="27"/>
      <c r="O105" s="27"/>
      <c r="P105" s="1"/>
      <c r="Q105" s="27"/>
      <c r="R105" s="27"/>
      <c r="S105" s="27"/>
      <c r="T105" s="27"/>
      <c r="U105" s="32"/>
      <c r="V105" s="32"/>
      <c r="W105" s="26"/>
      <c r="X105" s="30"/>
      <c r="Y105" s="30"/>
      <c r="Z105" s="30"/>
    </row>
    <row r="106" spans="1:26" ht="11.25" customHeight="1" thickTop="1" thickBot="1">
      <c r="A106" s="34"/>
      <c r="B106" s="35"/>
      <c r="C106" s="35"/>
      <c r="D106" s="35"/>
      <c r="E106" s="35"/>
      <c r="F106" s="36"/>
      <c r="G106" s="30"/>
      <c r="H106" s="30"/>
      <c r="I106" s="33"/>
      <c r="J106" s="30"/>
      <c r="K106" s="30"/>
      <c r="L106" s="33"/>
      <c r="M106" s="30"/>
      <c r="N106" s="30"/>
      <c r="O106" s="30"/>
      <c r="P106" s="1"/>
      <c r="Q106" s="27"/>
      <c r="R106" s="27"/>
      <c r="S106" s="27"/>
      <c r="T106" s="27"/>
      <c r="U106" s="30"/>
      <c r="V106" s="30"/>
      <c r="W106" s="37"/>
      <c r="X106" s="37"/>
      <c r="Y106" s="37"/>
      <c r="Z106" s="37"/>
    </row>
    <row r="107" spans="1:26" ht="11.25" customHeight="1" thickTop="1">
      <c r="A107" s="119" t="s">
        <v>96</v>
      </c>
      <c r="B107" s="120"/>
      <c r="C107" s="120"/>
      <c r="D107" s="120"/>
      <c r="E107" s="120"/>
      <c r="F107" s="121"/>
      <c r="G107" s="38"/>
      <c r="H107" s="38"/>
      <c r="I107" s="33"/>
      <c r="J107" s="33"/>
      <c r="K107" s="33"/>
      <c r="L107" s="30"/>
      <c r="M107" s="30"/>
      <c r="N107" s="30"/>
      <c r="O107" s="30"/>
      <c r="P107" s="1"/>
      <c r="Q107" s="30"/>
      <c r="R107" s="30"/>
      <c r="S107" s="30"/>
      <c r="T107" s="30"/>
      <c r="U107" s="30"/>
      <c r="V107" s="30"/>
      <c r="W107" s="1"/>
      <c r="X107" s="1"/>
      <c r="Y107" s="1"/>
      <c r="Z107" s="1"/>
    </row>
    <row r="108" spans="1:26" ht="11.25" customHeight="1">
      <c r="A108" s="96" t="s">
        <v>97</v>
      </c>
      <c r="B108" s="97"/>
      <c r="C108" s="97"/>
      <c r="D108" s="97"/>
      <c r="E108" s="97"/>
      <c r="F108" s="98"/>
      <c r="G108" s="38"/>
      <c r="H108" s="38"/>
      <c r="I108" s="39"/>
      <c r="J108" s="30"/>
      <c r="K108" s="30"/>
      <c r="L108" s="30"/>
      <c r="M108" s="30"/>
      <c r="N108" s="30"/>
      <c r="O108" s="30"/>
      <c r="P108" s="1"/>
      <c r="Q108" s="30"/>
      <c r="R108" s="30"/>
      <c r="S108" s="30"/>
      <c r="T108" s="30"/>
      <c r="U108" s="1"/>
      <c r="V108" s="1"/>
      <c r="W108" s="1"/>
      <c r="X108" s="1"/>
      <c r="Y108" s="1"/>
      <c r="Z108" s="1"/>
    </row>
    <row r="109" spans="1:26" ht="11.25" customHeight="1">
      <c r="A109" s="96" t="s">
        <v>98</v>
      </c>
      <c r="B109" s="99"/>
      <c r="C109" s="99"/>
      <c r="D109" s="99"/>
      <c r="E109" s="99"/>
      <c r="F109" s="100"/>
      <c r="G109" s="38"/>
      <c r="H109" s="38"/>
      <c r="I109" s="30"/>
      <c r="J109" s="30"/>
      <c r="K109" s="30"/>
      <c r="L109" s="30"/>
      <c r="M109" s="30"/>
      <c r="N109" s="30"/>
      <c r="O109" s="30"/>
      <c r="P109" s="1"/>
      <c r="Q109" s="30"/>
      <c r="R109" s="30"/>
      <c r="S109" s="30"/>
      <c r="T109" s="30"/>
      <c r="U109" s="1"/>
      <c r="V109" s="1"/>
      <c r="W109" s="1"/>
      <c r="X109" s="1"/>
      <c r="Y109" s="1"/>
      <c r="Z109" s="1"/>
    </row>
    <row r="110" spans="1:26" ht="11.25" customHeight="1">
      <c r="A110" s="96" t="s">
        <v>99</v>
      </c>
      <c r="B110" s="99"/>
      <c r="C110" s="99"/>
      <c r="D110" s="99"/>
      <c r="E110" s="99"/>
      <c r="F110" s="100"/>
      <c r="G110" s="38"/>
      <c r="H110" s="38"/>
      <c r="I110" s="1"/>
      <c r="J110" s="30"/>
      <c r="K110" s="30"/>
      <c r="L110" s="30"/>
      <c r="M110" s="30"/>
      <c r="N110" s="30"/>
      <c r="O110" s="30"/>
      <c r="P110" s="1"/>
      <c r="Q110" s="30"/>
      <c r="R110" s="30"/>
      <c r="S110" s="30"/>
      <c r="T110" s="30"/>
      <c r="U110" s="1"/>
      <c r="V110" s="1"/>
      <c r="W110" s="1"/>
      <c r="X110" s="1"/>
      <c r="Y110" s="1"/>
      <c r="Z110" s="1"/>
    </row>
    <row r="111" spans="1:26" ht="11.25" customHeight="1" thickBot="1">
      <c r="A111" s="101" t="s">
        <v>100</v>
      </c>
      <c r="B111" s="102"/>
      <c r="C111" s="102"/>
      <c r="D111" s="102"/>
      <c r="E111" s="102"/>
      <c r="F111" s="103"/>
      <c r="G111" s="38"/>
      <c r="H111" s="38"/>
      <c r="I111" s="1"/>
      <c r="J111" s="1"/>
      <c r="K111" s="1"/>
      <c r="L111" s="1"/>
      <c r="M111" s="1"/>
      <c r="N111" s="30"/>
      <c r="O111" s="30"/>
      <c r="P111" s="1"/>
      <c r="Q111" s="30"/>
      <c r="R111" s="30"/>
      <c r="S111" s="30"/>
      <c r="T111" s="30"/>
      <c r="U111" s="1"/>
      <c r="V111" s="1"/>
      <c r="W111" s="1"/>
      <c r="X111" s="1"/>
      <c r="Y111" s="1"/>
      <c r="Z111" s="1"/>
    </row>
    <row r="112" spans="1:26" ht="11.25" customHeight="1" thickTop="1" thickBot="1">
      <c r="A112" s="40"/>
      <c r="B112" s="40"/>
      <c r="C112" s="40"/>
      <c r="D112" s="40"/>
      <c r="E112" s="40"/>
      <c r="F112" s="41"/>
      <c r="G112" s="42"/>
      <c r="H112" s="42"/>
      <c r="I112" s="1"/>
      <c r="J112" s="1"/>
      <c r="K112" s="1"/>
      <c r="L112" s="39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1.25" customHeight="1" thickTop="1">
      <c r="A113" s="122" t="s">
        <v>101</v>
      </c>
      <c r="B113" s="123"/>
      <c r="C113" s="123"/>
      <c r="D113" s="123"/>
      <c r="E113" s="123"/>
      <c r="F113" s="124"/>
      <c r="G113" s="38"/>
      <c r="H113" s="38"/>
      <c r="I113" s="1"/>
      <c r="J113" s="1"/>
      <c r="K113" s="1"/>
      <c r="L113" s="39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1.25" customHeight="1">
      <c r="A114" s="125" t="s">
        <v>102</v>
      </c>
      <c r="B114" s="126"/>
      <c r="C114" s="126"/>
      <c r="D114" s="126"/>
      <c r="E114" s="126"/>
      <c r="F114" s="127"/>
      <c r="G114" s="38"/>
      <c r="H114" s="38"/>
      <c r="I114" s="1"/>
      <c r="J114" s="1"/>
      <c r="K114" s="1"/>
      <c r="L114" s="39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1.25" customHeight="1" thickBot="1">
      <c r="A115" s="128" t="s">
        <v>103</v>
      </c>
      <c r="B115" s="129"/>
      <c r="C115" s="129"/>
      <c r="D115" s="129"/>
      <c r="E115" s="129"/>
      <c r="F115" s="130"/>
      <c r="G115" s="38"/>
      <c r="H115" s="38"/>
      <c r="I115" s="1"/>
      <c r="J115" s="1"/>
      <c r="K115" s="1"/>
      <c r="L115" s="39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1.25" customHeight="1" thickTop="1">
      <c r="A116" s="43"/>
      <c r="B116" s="43"/>
      <c r="C116" s="43"/>
      <c r="D116" s="43"/>
      <c r="E116" s="43"/>
      <c r="F116" s="44"/>
      <c r="G116" s="38"/>
      <c r="H116" s="38"/>
      <c r="I116" s="1"/>
      <c r="J116" s="1"/>
      <c r="K116" s="1"/>
      <c r="L116" s="39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</sheetData>
  <sortState ref="A3:E95">
    <sortCondition ref="A4:A95"/>
  </sortState>
  <mergeCells count="15">
    <mergeCell ref="A113:F113"/>
    <mergeCell ref="A114:F114"/>
    <mergeCell ref="A115:F115"/>
    <mergeCell ref="A99:F99"/>
    <mergeCell ref="A100:F100"/>
    <mergeCell ref="A101:F101"/>
    <mergeCell ref="A103:F103"/>
    <mergeCell ref="A104:F104"/>
    <mergeCell ref="A105:F105"/>
    <mergeCell ref="A102:F102"/>
    <mergeCell ref="A97:B97"/>
    <mergeCell ref="A1:B1"/>
    <mergeCell ref="F1:F2"/>
    <mergeCell ref="A96:B96"/>
    <mergeCell ref="A107:F107"/>
  </mergeCells>
  <phoneticPr fontId="21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26"/>
  <sheetViews>
    <sheetView workbookViewId="0">
      <selection activeCell="A4" sqref="A4:A18"/>
    </sheetView>
  </sheetViews>
  <sheetFormatPr baseColWidth="10" defaultColWidth="8.625" defaultRowHeight="15"/>
  <cols>
    <col min="1" max="1" width="18.375" customWidth="1"/>
    <col min="2" max="2" width="48.375" style="60" customWidth="1"/>
    <col min="3" max="4" width="15.625" customWidth="1"/>
  </cols>
  <sheetData>
    <row r="1" spans="1:5" ht="24" customHeight="1">
      <c r="A1" s="152" t="s">
        <v>104</v>
      </c>
      <c r="B1" s="152"/>
      <c r="C1" s="152"/>
      <c r="D1" s="153"/>
    </row>
    <row r="2" spans="1:5" ht="24" customHeight="1">
      <c r="A2" s="45" t="s">
        <v>105</v>
      </c>
      <c r="B2" s="46" t="s">
        <v>106</v>
      </c>
      <c r="C2" s="154" t="s">
        <v>107</v>
      </c>
      <c r="D2" s="155"/>
    </row>
    <row r="3" spans="1:5" ht="24" customHeight="1" thickBot="1">
      <c r="A3" s="156"/>
      <c r="B3" s="157"/>
      <c r="C3" s="47" t="s">
        <v>108</v>
      </c>
      <c r="D3" s="47" t="s">
        <v>109</v>
      </c>
    </row>
    <row r="4" spans="1:5" ht="24" customHeight="1" thickTop="1" thickBot="1">
      <c r="A4" s="158">
        <v>112</v>
      </c>
      <c r="B4" s="48" t="s">
        <v>110</v>
      </c>
      <c r="C4" s="49">
        <f>(A4*(1/2))</f>
        <v>56</v>
      </c>
      <c r="D4" s="50">
        <f>(A4*(1/2))</f>
        <v>56</v>
      </c>
      <c r="E4" t="s">
        <v>111</v>
      </c>
    </row>
    <row r="5" spans="1:5" ht="10" customHeight="1" thickTop="1" thickBot="1">
      <c r="A5" s="158"/>
      <c r="B5" s="51"/>
      <c r="C5" s="52"/>
      <c r="D5" s="53"/>
    </row>
    <row r="6" spans="1:5" ht="24" customHeight="1" thickTop="1" thickBot="1">
      <c r="A6" s="158"/>
      <c r="B6" s="48" t="s">
        <v>112</v>
      </c>
      <c r="C6" s="49">
        <f>(A4*(3/4))</f>
        <v>84</v>
      </c>
      <c r="D6" s="50">
        <f>(A4*(1/4))</f>
        <v>28</v>
      </c>
    </row>
    <row r="7" spans="1:5" ht="10" customHeight="1" thickTop="1" thickBot="1">
      <c r="A7" s="158"/>
      <c r="B7" s="51"/>
      <c r="C7" s="52"/>
      <c r="D7" s="53"/>
    </row>
    <row r="8" spans="1:5" ht="24" customHeight="1" thickTop="1" thickBot="1">
      <c r="A8" s="158"/>
      <c r="B8" s="48" t="s">
        <v>113</v>
      </c>
      <c r="C8" s="49">
        <f>(A4*(1/2))</f>
        <v>56</v>
      </c>
      <c r="D8" s="50">
        <f>(A4*(1/2))</f>
        <v>56</v>
      </c>
    </row>
    <row r="9" spans="1:5" ht="10" customHeight="1" thickTop="1" thickBot="1">
      <c r="A9" s="158"/>
      <c r="B9" s="51"/>
      <c r="C9" s="52"/>
      <c r="D9" s="53"/>
    </row>
    <row r="10" spans="1:5" ht="24" customHeight="1" thickTop="1" thickBot="1">
      <c r="A10" s="158"/>
      <c r="B10" s="48" t="s">
        <v>114</v>
      </c>
      <c r="C10" s="49">
        <f>(A4*(3/4))</f>
        <v>84</v>
      </c>
      <c r="D10" s="50">
        <f>(A4*(1/4))</f>
        <v>28</v>
      </c>
    </row>
    <row r="11" spans="1:5" ht="10" customHeight="1" thickTop="1" thickBot="1">
      <c r="A11" s="158"/>
      <c r="B11" s="51"/>
      <c r="C11" s="52"/>
      <c r="D11" s="53"/>
    </row>
    <row r="12" spans="1:5" ht="24" customHeight="1" thickTop="1" thickBot="1">
      <c r="A12" s="158"/>
      <c r="B12" s="48" t="s">
        <v>115</v>
      </c>
      <c r="C12" s="49">
        <f>(A4*(5/6))</f>
        <v>93.333333333333343</v>
      </c>
      <c r="D12" s="50">
        <f>(A4*(1/6))</f>
        <v>18.666666666666664</v>
      </c>
    </row>
    <row r="13" spans="1:5" ht="10" customHeight="1" thickTop="1" thickBot="1">
      <c r="A13" s="158"/>
      <c r="B13" s="51"/>
      <c r="C13" s="52"/>
      <c r="D13" s="53"/>
    </row>
    <row r="14" spans="1:5" ht="24" customHeight="1" thickTop="1" thickBot="1">
      <c r="A14" s="158"/>
      <c r="B14" s="48" t="s">
        <v>116</v>
      </c>
      <c r="C14" s="49">
        <f>(A4*(2/3))</f>
        <v>74.666666666666657</v>
      </c>
      <c r="D14" s="50">
        <f>(A4*(1/3))</f>
        <v>37.333333333333329</v>
      </c>
      <c r="E14" s="54" t="s">
        <v>117</v>
      </c>
    </row>
    <row r="15" spans="1:5" ht="10" customHeight="1" thickTop="1" thickBot="1">
      <c r="A15" s="158"/>
      <c r="B15" s="51"/>
      <c r="C15" s="52"/>
      <c r="D15" s="53"/>
    </row>
    <row r="16" spans="1:5" ht="24" customHeight="1" thickTop="1" thickBot="1">
      <c r="A16" s="158"/>
      <c r="B16" s="48" t="s">
        <v>153</v>
      </c>
      <c r="C16" s="49">
        <f>(A4*(3/4))</f>
        <v>84</v>
      </c>
      <c r="D16" s="50">
        <f>(A4*(1/4))</f>
        <v>28</v>
      </c>
    </row>
    <row r="17" spans="1:4" ht="10" customHeight="1" thickTop="1" thickBot="1">
      <c r="A17" s="158"/>
      <c r="B17" s="55"/>
      <c r="C17" s="56"/>
      <c r="D17" s="57"/>
    </row>
    <row r="18" spans="1:4" ht="24" customHeight="1" thickTop="1" thickBot="1">
      <c r="A18" s="159"/>
      <c r="B18" s="58" t="s">
        <v>154</v>
      </c>
      <c r="C18" s="49">
        <f>(A4*(1/2))</f>
        <v>56</v>
      </c>
      <c r="D18" s="50">
        <f>(A4*(1/2))</f>
        <v>56</v>
      </c>
    </row>
    <row r="19" spans="1:4" ht="17" customHeight="1" thickTop="1">
      <c r="A19" s="59"/>
      <c r="B19" s="59"/>
      <c r="C19" s="59"/>
    </row>
    <row r="20" spans="1:4" ht="17" customHeight="1">
      <c r="A20" s="59"/>
      <c r="B20" s="59"/>
      <c r="C20" s="59"/>
    </row>
    <row r="21" spans="1:4" ht="17" customHeight="1">
      <c r="A21" s="59"/>
      <c r="B21" s="59"/>
      <c r="C21" s="59"/>
    </row>
    <row r="22" spans="1:4" ht="17" customHeight="1">
      <c r="A22" s="59"/>
      <c r="B22" s="59"/>
      <c r="C22" s="59"/>
    </row>
    <row r="23" spans="1:4" ht="17" customHeight="1">
      <c r="A23" s="59"/>
      <c r="B23" s="59"/>
      <c r="C23" s="59"/>
    </row>
    <row r="24" spans="1:4" ht="17" customHeight="1">
      <c r="A24" s="59"/>
      <c r="B24" s="59"/>
      <c r="C24" s="59"/>
    </row>
    <row r="25" spans="1:4" ht="17" customHeight="1">
      <c r="A25" s="59"/>
      <c r="B25" s="59"/>
      <c r="C25" s="59"/>
    </row>
    <row r="26" spans="1:4" ht="17" customHeight="1">
      <c r="A26" s="59"/>
      <c r="B26" s="59"/>
      <c r="C26" s="59"/>
    </row>
  </sheetData>
  <mergeCells count="4">
    <mergeCell ref="A1:D1"/>
    <mergeCell ref="C2:D2"/>
    <mergeCell ref="A3:B3"/>
    <mergeCell ref="A4:A18"/>
  </mergeCells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K74"/>
  <sheetViews>
    <sheetView topLeftCell="G1" workbookViewId="0">
      <pane ySplit="1" topLeftCell="A2" activePane="bottomLeft" state="frozen"/>
      <selection pane="bottomLeft" activeCell="I3" sqref="I3:I70"/>
    </sheetView>
  </sheetViews>
  <sheetFormatPr baseColWidth="10" defaultColWidth="8.625" defaultRowHeight="15"/>
  <cols>
    <col min="6" max="6" width="13.5" customWidth="1"/>
    <col min="7" max="7" width="15.5" customWidth="1"/>
    <col min="8" max="8" width="13.5" customWidth="1"/>
    <col min="9" max="9" width="13.25" customWidth="1"/>
    <col min="10" max="11" width="22.5" customWidth="1"/>
  </cols>
  <sheetData>
    <row r="1" spans="1:11">
      <c r="A1" s="115" t="s">
        <v>45</v>
      </c>
      <c r="B1" s="116"/>
      <c r="C1" s="2"/>
      <c r="D1" s="2"/>
      <c r="E1" s="80"/>
      <c r="F1" s="85" t="s">
        <v>46</v>
      </c>
      <c r="G1" s="85" t="s">
        <v>47</v>
      </c>
      <c r="H1" s="85" t="s">
        <v>48</v>
      </c>
      <c r="I1" s="86" t="s">
        <v>49</v>
      </c>
      <c r="J1" s="108" t="s">
        <v>56</v>
      </c>
      <c r="K1" s="108" t="s">
        <v>57</v>
      </c>
    </row>
    <row r="2" spans="1:11">
      <c r="A2" s="6" t="s">
        <v>60</v>
      </c>
      <c r="B2" s="6" t="s">
        <v>61</v>
      </c>
      <c r="C2" s="80" t="s">
        <v>219</v>
      </c>
      <c r="D2" s="17" t="s">
        <v>167</v>
      </c>
      <c r="E2" s="79" t="s">
        <v>9</v>
      </c>
      <c r="F2" s="83">
        <v>40795</v>
      </c>
      <c r="G2" s="83">
        <v>40799</v>
      </c>
      <c r="H2" s="83">
        <v>40800</v>
      </c>
      <c r="I2" s="83">
        <v>40801</v>
      </c>
      <c r="J2" s="109">
        <v>40806</v>
      </c>
      <c r="K2" s="83">
        <v>40813</v>
      </c>
    </row>
    <row r="3" spans="1:11">
      <c r="A3" s="105" t="s">
        <v>177</v>
      </c>
      <c r="B3" s="105" t="s">
        <v>178</v>
      </c>
      <c r="C3" s="88" t="s">
        <v>218</v>
      </c>
      <c r="D3" s="89"/>
      <c r="E3" s="89"/>
      <c r="F3" s="82"/>
      <c r="G3" s="84">
        <v>1</v>
      </c>
      <c r="H3" s="84">
        <v>1</v>
      </c>
      <c r="I3" s="84">
        <v>1</v>
      </c>
      <c r="J3" s="81"/>
      <c r="K3" s="84">
        <v>1</v>
      </c>
    </row>
    <row r="4" spans="1:11">
      <c r="A4" s="90" t="s">
        <v>211</v>
      </c>
      <c r="B4" s="90" t="s">
        <v>212</v>
      </c>
      <c r="C4" s="91" t="s">
        <v>216</v>
      </c>
      <c r="D4" s="92"/>
      <c r="E4" s="92">
        <v>1</v>
      </c>
      <c r="F4" s="84">
        <v>1</v>
      </c>
      <c r="G4" s="84">
        <v>1</v>
      </c>
      <c r="H4" s="84">
        <v>1</v>
      </c>
      <c r="I4" s="84">
        <v>1</v>
      </c>
      <c r="J4" s="81"/>
      <c r="K4" s="84">
        <v>1</v>
      </c>
    </row>
    <row r="5" spans="1:11">
      <c r="A5" s="87" t="s">
        <v>193</v>
      </c>
      <c r="B5" s="87" t="s">
        <v>67</v>
      </c>
      <c r="C5" s="88" t="s">
        <v>216</v>
      </c>
      <c r="D5" s="93"/>
      <c r="E5" s="93"/>
      <c r="F5" s="84"/>
      <c r="G5" s="84">
        <v>1</v>
      </c>
      <c r="H5" s="84">
        <v>1</v>
      </c>
      <c r="I5" s="84">
        <v>1</v>
      </c>
      <c r="J5" s="81"/>
      <c r="K5" s="84">
        <v>1</v>
      </c>
    </row>
    <row r="6" spans="1:11">
      <c r="A6" s="87" t="s">
        <v>38</v>
      </c>
      <c r="B6" s="87" t="s">
        <v>44</v>
      </c>
      <c r="C6" s="88" t="s">
        <v>53</v>
      </c>
      <c r="D6" s="93"/>
      <c r="E6" s="93"/>
      <c r="F6" s="84"/>
      <c r="G6" s="84"/>
      <c r="H6" s="84">
        <v>1</v>
      </c>
      <c r="I6" s="84">
        <v>1</v>
      </c>
      <c r="J6" s="81"/>
      <c r="K6" s="84"/>
    </row>
    <row r="7" spans="1:11">
      <c r="A7" s="105" t="s">
        <v>196</v>
      </c>
      <c r="B7" s="105" t="s">
        <v>197</v>
      </c>
      <c r="C7" s="88" t="s">
        <v>216</v>
      </c>
      <c r="D7" s="92"/>
      <c r="E7" s="92">
        <v>1</v>
      </c>
      <c r="F7" s="84"/>
      <c r="G7" s="84">
        <v>1</v>
      </c>
      <c r="H7" s="84">
        <v>1</v>
      </c>
      <c r="I7" s="84">
        <v>1</v>
      </c>
      <c r="J7" s="81"/>
      <c r="K7" s="84">
        <v>1</v>
      </c>
    </row>
    <row r="8" spans="1:11">
      <c r="A8" s="87" t="s">
        <v>36</v>
      </c>
      <c r="B8" s="87" t="s">
        <v>37</v>
      </c>
      <c r="C8" s="88" t="s">
        <v>53</v>
      </c>
      <c r="D8" s="92"/>
      <c r="E8" s="92"/>
      <c r="F8" s="84">
        <v>1</v>
      </c>
      <c r="G8" s="84">
        <v>1</v>
      </c>
      <c r="H8" s="84">
        <v>1</v>
      </c>
      <c r="I8" s="84">
        <v>1</v>
      </c>
      <c r="J8" s="81"/>
      <c r="K8" s="84">
        <v>1</v>
      </c>
    </row>
    <row r="9" spans="1:11">
      <c r="A9" s="105" t="s">
        <v>189</v>
      </c>
      <c r="B9" s="105" t="s">
        <v>190</v>
      </c>
      <c r="C9" s="88" t="s">
        <v>216</v>
      </c>
      <c r="D9" s="93"/>
      <c r="E9" s="93"/>
      <c r="F9" s="84">
        <v>1</v>
      </c>
      <c r="G9" s="84">
        <v>1</v>
      </c>
      <c r="H9" s="84">
        <v>1</v>
      </c>
      <c r="I9" s="84">
        <v>1</v>
      </c>
      <c r="J9" s="81"/>
      <c r="K9" s="84">
        <v>1</v>
      </c>
    </row>
    <row r="10" spans="1:11">
      <c r="A10" s="105" t="s">
        <v>34</v>
      </c>
      <c r="B10" s="105" t="s">
        <v>35</v>
      </c>
      <c r="C10" s="88" t="s">
        <v>53</v>
      </c>
      <c r="D10" s="93"/>
      <c r="E10" s="93"/>
      <c r="F10" s="84"/>
      <c r="G10" s="84"/>
      <c r="H10" s="84"/>
      <c r="I10" s="84">
        <v>1</v>
      </c>
      <c r="J10" s="81"/>
      <c r="K10" s="84"/>
    </row>
    <row r="11" spans="1:11">
      <c r="A11" s="105" t="s">
        <v>159</v>
      </c>
      <c r="B11" s="105" t="s">
        <v>86</v>
      </c>
      <c r="C11" s="88" t="s">
        <v>219</v>
      </c>
      <c r="D11" s="92"/>
      <c r="E11" s="92"/>
      <c r="F11" s="84"/>
      <c r="G11" s="84"/>
      <c r="H11" s="84">
        <v>1</v>
      </c>
      <c r="I11" s="84"/>
      <c r="J11" s="81"/>
      <c r="K11" s="84">
        <v>1</v>
      </c>
    </row>
    <row r="12" spans="1:11">
      <c r="A12" s="87" t="s">
        <v>160</v>
      </c>
      <c r="B12" s="87" t="s">
        <v>7</v>
      </c>
      <c r="C12" s="88" t="s">
        <v>219</v>
      </c>
      <c r="D12" s="92"/>
      <c r="E12" s="92"/>
      <c r="F12" s="84">
        <v>1</v>
      </c>
      <c r="G12" s="84">
        <v>1</v>
      </c>
      <c r="H12" s="84">
        <v>1</v>
      </c>
      <c r="I12" s="84">
        <v>1</v>
      </c>
      <c r="J12" s="81"/>
      <c r="K12" s="84">
        <v>1</v>
      </c>
    </row>
    <row r="13" spans="1:11">
      <c r="A13" s="105" t="s">
        <v>39</v>
      </c>
      <c r="B13" s="105" t="s">
        <v>40</v>
      </c>
      <c r="C13" s="88" t="s">
        <v>53</v>
      </c>
      <c r="D13" s="92"/>
      <c r="E13" s="92"/>
      <c r="F13" s="84"/>
      <c r="G13" s="84">
        <v>1</v>
      </c>
      <c r="H13" s="84">
        <v>1</v>
      </c>
      <c r="I13" s="84"/>
      <c r="J13" s="81"/>
      <c r="K13" s="84">
        <v>1</v>
      </c>
    </row>
    <row r="14" spans="1:11">
      <c r="A14" s="105" t="s">
        <v>12</v>
      </c>
      <c r="B14" s="105" t="s">
        <v>13</v>
      </c>
      <c r="C14" s="88" t="s">
        <v>53</v>
      </c>
      <c r="D14" s="92"/>
      <c r="E14" s="92"/>
      <c r="F14" s="84"/>
      <c r="G14" s="84">
        <v>1</v>
      </c>
      <c r="H14" s="84">
        <v>1</v>
      </c>
      <c r="I14" s="84"/>
      <c r="J14" s="81"/>
      <c r="K14" s="84">
        <v>1</v>
      </c>
    </row>
    <row r="15" spans="1:11">
      <c r="A15" s="106" t="s">
        <v>156</v>
      </c>
      <c r="B15" s="107" t="s">
        <v>73</v>
      </c>
      <c r="C15" s="95" t="s">
        <v>217</v>
      </c>
      <c r="D15" s="93"/>
      <c r="E15" s="93"/>
      <c r="F15" s="84"/>
      <c r="G15" s="84">
        <v>1</v>
      </c>
      <c r="H15" s="84">
        <v>1</v>
      </c>
      <c r="I15" s="84">
        <v>1</v>
      </c>
      <c r="J15" s="81"/>
      <c r="K15" s="84">
        <v>1</v>
      </c>
    </row>
    <row r="16" spans="1:11">
      <c r="A16" s="90" t="s">
        <v>54</v>
      </c>
      <c r="B16" s="94" t="s">
        <v>66</v>
      </c>
      <c r="C16" s="88" t="s">
        <v>215</v>
      </c>
      <c r="D16" s="93"/>
      <c r="E16" s="93"/>
      <c r="F16" s="84"/>
      <c r="G16" s="84">
        <v>1</v>
      </c>
      <c r="H16" s="84">
        <v>1</v>
      </c>
      <c r="I16" s="84">
        <v>1</v>
      </c>
      <c r="J16" s="81"/>
      <c r="K16" s="84">
        <v>1</v>
      </c>
    </row>
    <row r="17" spans="1:11">
      <c r="A17" s="87" t="s">
        <v>175</v>
      </c>
      <c r="B17" s="87" t="s">
        <v>176</v>
      </c>
      <c r="C17" s="88" t="s">
        <v>218</v>
      </c>
      <c r="D17" s="92"/>
      <c r="E17" s="92"/>
      <c r="F17" s="84">
        <v>1</v>
      </c>
      <c r="G17" s="84">
        <v>1</v>
      </c>
      <c r="H17" s="84">
        <v>1</v>
      </c>
      <c r="I17" s="84">
        <v>1</v>
      </c>
      <c r="J17" s="81"/>
      <c r="K17" s="84">
        <v>1</v>
      </c>
    </row>
    <row r="18" spans="1:11">
      <c r="A18" s="90" t="s">
        <v>205</v>
      </c>
      <c r="B18" s="90" t="s">
        <v>69</v>
      </c>
      <c r="C18" s="91" t="s">
        <v>216</v>
      </c>
      <c r="D18" s="89"/>
      <c r="E18" s="89"/>
      <c r="F18" s="84"/>
      <c r="G18" s="84">
        <v>1</v>
      </c>
      <c r="H18" s="84">
        <v>1</v>
      </c>
      <c r="I18" s="84">
        <v>1</v>
      </c>
      <c r="J18" s="81"/>
      <c r="K18" s="84">
        <v>1</v>
      </c>
    </row>
    <row r="19" spans="1:11">
      <c r="A19" s="90" t="s">
        <v>181</v>
      </c>
      <c r="B19" s="90" t="s">
        <v>182</v>
      </c>
      <c r="C19" s="91" t="s">
        <v>218</v>
      </c>
      <c r="D19" s="92"/>
      <c r="E19" s="92"/>
      <c r="F19" s="84">
        <v>1</v>
      </c>
      <c r="G19" s="84"/>
      <c r="H19" s="84">
        <v>1</v>
      </c>
      <c r="I19" s="84">
        <v>1</v>
      </c>
      <c r="J19" s="81"/>
      <c r="K19" s="84">
        <v>1</v>
      </c>
    </row>
    <row r="20" spans="1:11">
      <c r="A20" s="105" t="s">
        <v>70</v>
      </c>
      <c r="B20" s="105" t="s">
        <v>71</v>
      </c>
      <c r="C20" s="88" t="s">
        <v>215</v>
      </c>
      <c r="D20" s="92"/>
      <c r="E20" s="92"/>
      <c r="F20" s="84"/>
      <c r="G20" s="84"/>
      <c r="H20" s="84"/>
      <c r="I20" s="84"/>
      <c r="J20" s="81"/>
      <c r="K20" s="84"/>
    </row>
    <row r="21" spans="1:11">
      <c r="A21" s="90" t="s">
        <v>161</v>
      </c>
      <c r="B21" s="94" t="s">
        <v>83</v>
      </c>
      <c r="C21" s="95" t="s">
        <v>219</v>
      </c>
      <c r="D21" s="92"/>
      <c r="E21" s="92"/>
      <c r="F21" s="84"/>
      <c r="G21" s="84">
        <v>1</v>
      </c>
      <c r="H21" s="84">
        <v>1</v>
      </c>
      <c r="I21" s="84">
        <v>1</v>
      </c>
      <c r="J21" s="81"/>
      <c r="K21" s="84">
        <v>1</v>
      </c>
    </row>
    <row r="22" spans="1:11">
      <c r="A22" s="90" t="s">
        <v>213</v>
      </c>
      <c r="B22" s="90" t="s">
        <v>214</v>
      </c>
      <c r="C22" s="91" t="s">
        <v>216</v>
      </c>
      <c r="D22" s="92"/>
      <c r="E22" s="92">
        <v>1</v>
      </c>
      <c r="F22" s="84"/>
      <c r="G22" s="84">
        <v>1</v>
      </c>
      <c r="H22" s="84">
        <v>1</v>
      </c>
      <c r="I22" s="84">
        <v>1</v>
      </c>
      <c r="J22" s="81"/>
      <c r="K22" s="84">
        <v>1</v>
      </c>
    </row>
    <row r="23" spans="1:11">
      <c r="A23" s="87" t="s">
        <v>157</v>
      </c>
      <c r="B23" s="87" t="s">
        <v>158</v>
      </c>
      <c r="C23" s="88" t="s">
        <v>217</v>
      </c>
      <c r="D23" s="93"/>
      <c r="E23" s="93"/>
      <c r="F23" s="84"/>
      <c r="G23" s="84">
        <v>1</v>
      </c>
      <c r="H23" s="84">
        <v>1</v>
      </c>
      <c r="I23" s="84">
        <v>1</v>
      </c>
      <c r="J23" s="81"/>
      <c r="K23" s="84">
        <v>1</v>
      </c>
    </row>
    <row r="24" spans="1:11">
      <c r="A24" s="87" t="s">
        <v>16</v>
      </c>
      <c r="B24" s="87" t="s">
        <v>190</v>
      </c>
      <c r="C24" s="88" t="s">
        <v>53</v>
      </c>
      <c r="D24" s="93"/>
      <c r="E24" s="93"/>
      <c r="F24" s="84">
        <v>1</v>
      </c>
      <c r="G24" s="84">
        <v>1</v>
      </c>
      <c r="H24" s="84">
        <v>1</v>
      </c>
      <c r="I24" s="84">
        <v>1</v>
      </c>
      <c r="J24" s="81"/>
      <c r="K24" s="84">
        <v>1</v>
      </c>
    </row>
    <row r="25" spans="1:11">
      <c r="A25" s="106" t="s">
        <v>75</v>
      </c>
      <c r="B25" s="107" t="s">
        <v>76</v>
      </c>
      <c r="C25" s="95" t="s">
        <v>215</v>
      </c>
      <c r="D25" s="92"/>
      <c r="E25" s="92"/>
      <c r="F25" s="84"/>
      <c r="G25" s="84"/>
      <c r="H25" s="84">
        <v>1</v>
      </c>
      <c r="I25" s="84"/>
      <c r="J25" s="81"/>
      <c r="K25" s="84"/>
    </row>
    <row r="26" spans="1:11">
      <c r="A26" s="90" t="s">
        <v>209</v>
      </c>
      <c r="B26" s="90" t="s">
        <v>210</v>
      </c>
      <c r="C26" s="91" t="s">
        <v>216</v>
      </c>
      <c r="D26" s="92"/>
      <c r="E26" s="92"/>
      <c r="F26" s="84"/>
      <c r="G26" s="84">
        <v>1</v>
      </c>
      <c r="H26" s="84">
        <v>1</v>
      </c>
      <c r="I26" s="84">
        <v>1</v>
      </c>
      <c r="J26" s="81"/>
      <c r="K26" s="84">
        <v>1</v>
      </c>
    </row>
    <row r="27" spans="1:11">
      <c r="A27" s="90" t="s">
        <v>208</v>
      </c>
      <c r="B27" s="90" t="s">
        <v>82</v>
      </c>
      <c r="C27" s="91" t="s">
        <v>216</v>
      </c>
      <c r="D27" s="92"/>
      <c r="E27" s="92"/>
      <c r="F27" s="84"/>
      <c r="G27" s="84">
        <v>1</v>
      </c>
      <c r="H27" s="84">
        <v>1</v>
      </c>
      <c r="I27" s="84">
        <v>1</v>
      </c>
      <c r="J27" s="81"/>
      <c r="K27" s="84">
        <v>1</v>
      </c>
    </row>
    <row r="28" spans="1:11">
      <c r="A28" s="105" t="s">
        <v>77</v>
      </c>
      <c r="B28" s="105" t="s">
        <v>188</v>
      </c>
      <c r="C28" s="88" t="s">
        <v>216</v>
      </c>
      <c r="D28" s="93"/>
      <c r="E28" s="93"/>
      <c r="F28" s="84"/>
      <c r="G28" s="84">
        <v>1</v>
      </c>
      <c r="H28" s="84">
        <v>1</v>
      </c>
      <c r="I28" s="84">
        <v>1</v>
      </c>
      <c r="J28" s="81"/>
      <c r="K28" s="84">
        <v>1</v>
      </c>
    </row>
    <row r="29" spans="1:11">
      <c r="A29" s="87" t="s">
        <v>28</v>
      </c>
      <c r="B29" s="87" t="s">
        <v>65</v>
      </c>
      <c r="C29" s="88" t="s">
        <v>53</v>
      </c>
      <c r="D29" s="93"/>
      <c r="E29" s="93"/>
      <c r="F29" s="84">
        <v>1</v>
      </c>
      <c r="G29" s="84">
        <v>1</v>
      </c>
      <c r="H29" s="84">
        <v>1</v>
      </c>
      <c r="I29" s="84">
        <v>1</v>
      </c>
      <c r="J29" s="81"/>
      <c r="K29" s="84">
        <v>1</v>
      </c>
    </row>
    <row r="30" spans="1:11">
      <c r="A30" s="105" t="s">
        <v>200</v>
      </c>
      <c r="B30" s="105" t="s">
        <v>201</v>
      </c>
      <c r="C30" s="88" t="s">
        <v>216</v>
      </c>
      <c r="D30" s="93"/>
      <c r="E30" s="93"/>
      <c r="F30" s="84">
        <v>1</v>
      </c>
      <c r="G30" s="84">
        <v>1</v>
      </c>
      <c r="H30" s="84">
        <v>1</v>
      </c>
      <c r="I30" s="84">
        <v>1</v>
      </c>
      <c r="J30" s="81"/>
      <c r="K30" s="84">
        <v>1</v>
      </c>
    </row>
    <row r="31" spans="1:11">
      <c r="A31" s="87" t="s">
        <v>30</v>
      </c>
      <c r="B31" s="87" t="s">
        <v>69</v>
      </c>
      <c r="C31" s="88" t="s">
        <v>53</v>
      </c>
      <c r="D31" s="93"/>
      <c r="E31" s="93"/>
      <c r="F31" s="84"/>
      <c r="G31" s="84">
        <v>1</v>
      </c>
      <c r="H31" s="84">
        <v>1</v>
      </c>
      <c r="I31" s="84">
        <v>1</v>
      </c>
      <c r="J31" s="81"/>
      <c r="K31" s="84">
        <v>1</v>
      </c>
    </row>
    <row r="32" spans="1:11">
      <c r="A32" s="94" t="s">
        <v>174</v>
      </c>
      <c r="B32" s="94" t="s">
        <v>79</v>
      </c>
      <c r="C32" s="95" t="s">
        <v>215</v>
      </c>
      <c r="D32" s="93"/>
      <c r="E32" s="93"/>
      <c r="F32" s="84">
        <v>1</v>
      </c>
      <c r="G32" s="84">
        <v>1</v>
      </c>
      <c r="H32" s="84">
        <v>1</v>
      </c>
      <c r="I32" s="84">
        <v>1</v>
      </c>
      <c r="J32" s="81"/>
      <c r="K32" s="84">
        <v>1</v>
      </c>
    </row>
    <row r="33" spans="1:11">
      <c r="A33" s="90" t="s">
        <v>81</v>
      </c>
      <c r="B33" s="94" t="s">
        <v>80</v>
      </c>
      <c r="C33" s="95" t="s">
        <v>215</v>
      </c>
      <c r="D33" s="92"/>
      <c r="E33" s="92"/>
      <c r="F33" s="84"/>
      <c r="G33" s="84" t="s">
        <v>8</v>
      </c>
      <c r="H33" s="84">
        <v>1</v>
      </c>
      <c r="I33" s="84">
        <v>1</v>
      </c>
      <c r="J33" s="81"/>
      <c r="K33" s="84">
        <v>1</v>
      </c>
    </row>
    <row r="34" spans="1:11">
      <c r="A34" s="90" t="s">
        <v>185</v>
      </c>
      <c r="B34" s="94" t="s">
        <v>162</v>
      </c>
      <c r="C34" s="95" t="s">
        <v>219</v>
      </c>
      <c r="D34" s="92"/>
      <c r="E34" s="92"/>
      <c r="F34" s="84">
        <v>1</v>
      </c>
      <c r="G34" s="84">
        <v>1</v>
      </c>
      <c r="H34" s="84">
        <v>1</v>
      </c>
      <c r="I34" s="84">
        <v>1</v>
      </c>
      <c r="J34" s="81"/>
      <c r="K34" s="84">
        <v>1</v>
      </c>
    </row>
    <row r="35" spans="1:11">
      <c r="A35" s="90" t="s">
        <v>23</v>
      </c>
      <c r="B35" s="94" t="s">
        <v>24</v>
      </c>
      <c r="C35" s="88" t="s">
        <v>53</v>
      </c>
      <c r="D35" s="92"/>
      <c r="E35" s="92">
        <v>1</v>
      </c>
      <c r="F35" s="84">
        <v>1</v>
      </c>
      <c r="G35" s="84" t="s">
        <v>8</v>
      </c>
      <c r="H35" s="84">
        <v>1</v>
      </c>
      <c r="I35" s="84">
        <v>1</v>
      </c>
      <c r="J35" s="81"/>
      <c r="K35" s="84">
        <v>1</v>
      </c>
    </row>
    <row r="36" spans="1:11">
      <c r="A36" s="87" t="s">
        <v>183</v>
      </c>
      <c r="B36" s="87" t="s">
        <v>66</v>
      </c>
      <c r="C36" s="88" t="s">
        <v>218</v>
      </c>
      <c r="D36" s="93"/>
      <c r="E36" s="93"/>
      <c r="F36" s="84">
        <v>1</v>
      </c>
      <c r="G36" s="84">
        <v>1</v>
      </c>
      <c r="H36" s="84" t="s">
        <v>8</v>
      </c>
      <c r="I36" s="84">
        <v>1</v>
      </c>
      <c r="J36" s="81"/>
      <c r="K36" s="84">
        <v>1</v>
      </c>
    </row>
    <row r="37" spans="1:11">
      <c r="A37" s="87" t="s">
        <v>19</v>
      </c>
      <c r="B37" s="87" t="s">
        <v>20</v>
      </c>
      <c r="C37" s="88" t="s">
        <v>53</v>
      </c>
      <c r="D37" s="93"/>
      <c r="E37" s="93"/>
      <c r="F37" s="84">
        <v>1</v>
      </c>
      <c r="G37" s="84"/>
      <c r="H37" s="84">
        <v>1</v>
      </c>
      <c r="I37" s="84">
        <v>1</v>
      </c>
      <c r="J37" s="81"/>
      <c r="K37" s="84">
        <v>1</v>
      </c>
    </row>
    <row r="38" spans="1:11">
      <c r="A38" s="105" t="s">
        <v>198</v>
      </c>
      <c r="B38" s="105" t="s">
        <v>71</v>
      </c>
      <c r="C38" s="88" t="s">
        <v>216</v>
      </c>
      <c r="D38" s="93"/>
      <c r="E38" s="93"/>
      <c r="F38" s="84"/>
      <c r="G38" s="84">
        <v>1</v>
      </c>
      <c r="H38" s="84">
        <v>1</v>
      </c>
      <c r="I38" s="84">
        <v>1</v>
      </c>
      <c r="J38" s="81"/>
      <c r="K38" s="84">
        <v>1</v>
      </c>
    </row>
    <row r="39" spans="1:11">
      <c r="A39" s="87" t="s">
        <v>25</v>
      </c>
      <c r="B39" s="87" t="s">
        <v>180</v>
      </c>
      <c r="C39" s="88" t="s">
        <v>53</v>
      </c>
      <c r="D39" s="93"/>
      <c r="E39" s="93"/>
      <c r="F39" s="84"/>
      <c r="G39" s="84">
        <v>1</v>
      </c>
      <c r="H39" s="84">
        <v>1</v>
      </c>
      <c r="I39" s="84">
        <v>1</v>
      </c>
      <c r="J39" s="81"/>
      <c r="K39" s="84">
        <v>1</v>
      </c>
    </row>
    <row r="40" spans="1:11">
      <c r="A40" s="87" t="s">
        <v>179</v>
      </c>
      <c r="B40" s="87" t="s">
        <v>155</v>
      </c>
      <c r="C40" s="88" t="s">
        <v>218</v>
      </c>
      <c r="D40" s="93"/>
      <c r="E40" s="93"/>
      <c r="F40" s="84"/>
      <c r="G40" s="84"/>
      <c r="H40" s="84" t="s">
        <v>8</v>
      </c>
      <c r="I40" s="84">
        <v>1</v>
      </c>
      <c r="J40" s="81"/>
      <c r="K40" s="84"/>
    </row>
    <row r="41" spans="1:11">
      <c r="A41" s="87" t="s">
        <v>41</v>
      </c>
      <c r="B41" s="87" t="s">
        <v>69</v>
      </c>
      <c r="C41" s="88" t="s">
        <v>53</v>
      </c>
      <c r="D41" s="93"/>
      <c r="E41" s="93"/>
      <c r="F41" s="84"/>
      <c r="G41" s="84">
        <v>1</v>
      </c>
      <c r="H41" s="84">
        <v>1</v>
      </c>
      <c r="I41" s="84">
        <v>1</v>
      </c>
      <c r="J41" s="81"/>
      <c r="K41" s="84">
        <v>1</v>
      </c>
    </row>
    <row r="42" spans="1:11">
      <c r="A42" s="87" t="s">
        <v>50</v>
      </c>
      <c r="B42" s="87" t="s">
        <v>51</v>
      </c>
      <c r="C42" s="88" t="s">
        <v>216</v>
      </c>
      <c r="D42" s="93"/>
      <c r="E42" s="93"/>
      <c r="F42" s="84">
        <v>1</v>
      </c>
      <c r="G42" s="84">
        <v>1</v>
      </c>
      <c r="H42" s="84">
        <v>1</v>
      </c>
      <c r="I42" s="84">
        <v>1</v>
      </c>
      <c r="J42" s="81"/>
      <c r="K42" s="84">
        <v>1</v>
      </c>
    </row>
    <row r="43" spans="1:11">
      <c r="A43" s="87" t="s">
        <v>10</v>
      </c>
      <c r="B43" s="87" t="s">
        <v>11</v>
      </c>
      <c r="C43" s="88" t="s">
        <v>53</v>
      </c>
      <c r="D43" s="93"/>
      <c r="E43" s="93"/>
      <c r="F43" s="84">
        <v>1</v>
      </c>
      <c r="G43" s="84">
        <v>1</v>
      </c>
      <c r="H43" s="84">
        <v>1</v>
      </c>
      <c r="I43" s="84">
        <v>1</v>
      </c>
      <c r="J43" s="81"/>
      <c r="K43" s="84">
        <v>1</v>
      </c>
    </row>
    <row r="44" spans="1:11">
      <c r="A44" s="106" t="s">
        <v>203</v>
      </c>
      <c r="B44" s="107" t="s">
        <v>76</v>
      </c>
      <c r="C44" s="88" t="s">
        <v>216</v>
      </c>
      <c r="D44" s="92"/>
      <c r="E44" s="92"/>
      <c r="F44" s="84"/>
      <c r="G44" s="84">
        <v>1</v>
      </c>
      <c r="H44" s="84">
        <v>1</v>
      </c>
      <c r="I44" s="84">
        <v>1</v>
      </c>
      <c r="J44" s="81"/>
      <c r="K44" s="84">
        <v>1</v>
      </c>
    </row>
    <row r="45" spans="1:11">
      <c r="A45" s="106" t="s">
        <v>29</v>
      </c>
      <c r="B45" s="107" t="s">
        <v>65</v>
      </c>
      <c r="C45" s="88" t="s">
        <v>53</v>
      </c>
      <c r="D45" s="92"/>
      <c r="E45" s="92"/>
      <c r="F45" s="84"/>
      <c r="G45" s="84">
        <v>1</v>
      </c>
      <c r="H45" s="84">
        <v>1</v>
      </c>
      <c r="I45" s="84"/>
      <c r="J45" s="81"/>
      <c r="K45" s="84">
        <v>1</v>
      </c>
    </row>
    <row r="46" spans="1:11">
      <c r="A46" s="90" t="s">
        <v>21</v>
      </c>
      <c r="B46" s="94" t="s">
        <v>22</v>
      </c>
      <c r="C46" s="88" t="s">
        <v>53</v>
      </c>
      <c r="D46" s="92"/>
      <c r="E46" s="92"/>
      <c r="F46" s="84"/>
      <c r="G46" s="84"/>
      <c r="H46" s="84">
        <v>1</v>
      </c>
      <c r="I46" s="84">
        <v>1</v>
      </c>
      <c r="J46" s="81"/>
      <c r="K46" s="84">
        <v>1</v>
      </c>
    </row>
    <row r="47" spans="1:11">
      <c r="A47" s="90" t="s">
        <v>14</v>
      </c>
      <c r="B47" s="94" t="s">
        <v>15</v>
      </c>
      <c r="C47" s="88" t="s">
        <v>53</v>
      </c>
      <c r="D47" s="92"/>
      <c r="E47" s="92"/>
      <c r="F47" s="84">
        <v>1</v>
      </c>
      <c r="G47" s="84" t="s">
        <v>8</v>
      </c>
      <c r="H47" s="84">
        <v>1</v>
      </c>
      <c r="I47" s="84">
        <v>1</v>
      </c>
      <c r="J47" s="81"/>
      <c r="K47" s="84">
        <v>1</v>
      </c>
    </row>
    <row r="48" spans="1:11">
      <c r="A48" s="106" t="s">
        <v>32</v>
      </c>
      <c r="B48" s="107" t="s">
        <v>33</v>
      </c>
      <c r="C48" s="88" t="s">
        <v>53</v>
      </c>
      <c r="D48" s="92"/>
      <c r="E48" s="92"/>
      <c r="F48" s="84">
        <v>1</v>
      </c>
      <c r="G48" s="84">
        <v>1</v>
      </c>
      <c r="H48" s="84">
        <v>1</v>
      </c>
      <c r="I48" s="84">
        <v>1</v>
      </c>
      <c r="J48" s="81"/>
      <c r="K48" s="84">
        <v>1</v>
      </c>
    </row>
    <row r="49" spans="1:11">
      <c r="A49" s="90" t="s">
        <v>168</v>
      </c>
      <c r="B49" s="94" t="s">
        <v>169</v>
      </c>
      <c r="C49" s="95" t="s">
        <v>218</v>
      </c>
      <c r="D49" s="93"/>
      <c r="E49" s="93"/>
      <c r="F49" s="84"/>
      <c r="G49" s="84">
        <v>1</v>
      </c>
      <c r="H49" s="84">
        <v>1</v>
      </c>
      <c r="I49" s="84">
        <v>1</v>
      </c>
      <c r="J49" s="81"/>
      <c r="K49" s="84">
        <v>1</v>
      </c>
    </row>
    <row r="50" spans="1:11">
      <c r="A50" s="105" t="s">
        <v>163</v>
      </c>
      <c r="B50" s="105" t="s">
        <v>74</v>
      </c>
      <c r="C50" s="88" t="s">
        <v>219</v>
      </c>
      <c r="D50" s="92"/>
      <c r="E50" s="92"/>
      <c r="F50" s="84"/>
      <c r="G50" s="84">
        <v>1</v>
      </c>
      <c r="H50" s="84">
        <v>1</v>
      </c>
      <c r="I50" s="84"/>
      <c r="J50" s="81"/>
      <c r="K50" s="84">
        <v>1</v>
      </c>
    </row>
    <row r="51" spans="1:11">
      <c r="A51" s="87" t="s">
        <v>202</v>
      </c>
      <c r="B51" s="87" t="s">
        <v>180</v>
      </c>
      <c r="C51" s="88" t="s">
        <v>216</v>
      </c>
      <c r="D51" s="93"/>
      <c r="E51" s="93">
        <v>1</v>
      </c>
      <c r="F51" s="84"/>
      <c r="G51" s="84">
        <v>1</v>
      </c>
      <c r="H51" s="84">
        <v>1</v>
      </c>
      <c r="I51" s="84">
        <v>1</v>
      </c>
      <c r="J51" s="81"/>
      <c r="K51" s="84">
        <v>1</v>
      </c>
    </row>
    <row r="52" spans="1:11">
      <c r="A52" s="105" t="s">
        <v>164</v>
      </c>
      <c r="B52" s="105" t="s">
        <v>78</v>
      </c>
      <c r="C52" s="88" t="s">
        <v>219</v>
      </c>
      <c r="D52" s="92"/>
      <c r="E52" s="92"/>
      <c r="F52" s="84"/>
      <c r="G52" s="84"/>
      <c r="H52" s="84">
        <v>1</v>
      </c>
      <c r="I52" s="84"/>
      <c r="J52" s="81"/>
      <c r="K52" s="84"/>
    </row>
    <row r="53" spans="1:11">
      <c r="A53" s="87" t="s">
        <v>31</v>
      </c>
      <c r="B53" s="87" t="s">
        <v>69</v>
      </c>
      <c r="C53" s="88" t="s">
        <v>53</v>
      </c>
      <c r="D53" s="92"/>
      <c r="E53" s="92"/>
      <c r="F53" s="84">
        <v>1</v>
      </c>
      <c r="G53" s="84">
        <v>1</v>
      </c>
      <c r="H53" s="84">
        <v>1</v>
      </c>
      <c r="I53" s="84">
        <v>1</v>
      </c>
      <c r="J53" s="81"/>
      <c r="K53" s="84">
        <v>1</v>
      </c>
    </row>
    <row r="54" spans="1:11">
      <c r="A54" s="90" t="s">
        <v>165</v>
      </c>
      <c r="B54" s="90" t="s">
        <v>166</v>
      </c>
      <c r="C54" s="91" t="s">
        <v>219</v>
      </c>
      <c r="D54" s="93"/>
      <c r="E54" s="93"/>
      <c r="F54" s="84"/>
      <c r="G54" s="84">
        <v>1</v>
      </c>
      <c r="H54" s="84">
        <v>1</v>
      </c>
      <c r="I54" s="84">
        <v>1</v>
      </c>
      <c r="J54" s="81"/>
      <c r="K54" s="84">
        <v>1</v>
      </c>
    </row>
    <row r="55" spans="1:11">
      <c r="A55" s="106" t="s">
        <v>26</v>
      </c>
      <c r="B55" s="106" t="s">
        <v>27</v>
      </c>
      <c r="C55" s="88" t="s">
        <v>53</v>
      </c>
      <c r="D55" s="93"/>
      <c r="E55" s="93"/>
      <c r="F55" s="84"/>
      <c r="G55" s="84"/>
      <c r="H55" s="84">
        <v>1</v>
      </c>
      <c r="I55" s="84"/>
      <c r="J55" s="81"/>
      <c r="K55" s="84"/>
    </row>
    <row r="56" spans="1:11">
      <c r="A56" s="105" t="s">
        <v>186</v>
      </c>
      <c r="B56" s="105" t="s">
        <v>187</v>
      </c>
      <c r="C56" s="88" t="s">
        <v>216</v>
      </c>
      <c r="D56" s="93"/>
      <c r="E56" s="93"/>
      <c r="F56" s="84"/>
      <c r="G56" s="84">
        <v>1</v>
      </c>
      <c r="H56" s="84">
        <v>1</v>
      </c>
      <c r="I56" s="84">
        <v>1</v>
      </c>
      <c r="J56" s="81"/>
      <c r="K56" s="84">
        <v>1</v>
      </c>
    </row>
    <row r="57" spans="1:11">
      <c r="A57" s="87" t="s">
        <v>42</v>
      </c>
      <c r="B57" s="87" t="s">
        <v>43</v>
      </c>
      <c r="C57" s="95" t="s">
        <v>218</v>
      </c>
      <c r="D57" s="93"/>
      <c r="E57" s="93"/>
      <c r="F57" s="84"/>
      <c r="G57" s="84">
        <v>1</v>
      </c>
      <c r="H57" s="84">
        <v>1</v>
      </c>
      <c r="I57" s="84">
        <v>1</v>
      </c>
      <c r="J57" s="81"/>
      <c r="K57" s="84">
        <v>1</v>
      </c>
    </row>
    <row r="58" spans="1:11">
      <c r="A58" s="105" t="s">
        <v>84</v>
      </c>
      <c r="B58" s="105" t="s">
        <v>182</v>
      </c>
      <c r="C58" s="88" t="s">
        <v>53</v>
      </c>
      <c r="D58" s="93"/>
      <c r="E58" s="93"/>
      <c r="F58" s="84"/>
      <c r="G58" s="84">
        <v>1</v>
      </c>
      <c r="H58" s="84">
        <v>1</v>
      </c>
      <c r="I58" s="84">
        <v>1</v>
      </c>
      <c r="J58" s="81"/>
      <c r="K58" s="84">
        <v>1</v>
      </c>
    </row>
    <row r="59" spans="1:11">
      <c r="A59" s="87" t="s">
        <v>191</v>
      </c>
      <c r="B59" s="87" t="s">
        <v>220</v>
      </c>
      <c r="C59" s="88" t="s">
        <v>216</v>
      </c>
      <c r="D59" s="93"/>
      <c r="E59" s="93"/>
      <c r="F59" s="84"/>
      <c r="G59" s="84">
        <v>1</v>
      </c>
      <c r="H59" s="84">
        <v>1</v>
      </c>
      <c r="I59" s="84">
        <v>1</v>
      </c>
      <c r="J59" s="81"/>
      <c r="K59" s="84">
        <v>1</v>
      </c>
    </row>
    <row r="60" spans="1:11">
      <c r="A60" s="90" t="s">
        <v>17</v>
      </c>
      <c r="B60" s="94" t="s">
        <v>18</v>
      </c>
      <c r="C60" s="88" t="s">
        <v>53</v>
      </c>
      <c r="D60" s="92"/>
      <c r="E60" s="92"/>
      <c r="F60" s="84"/>
      <c r="G60" s="84">
        <v>1</v>
      </c>
      <c r="H60" s="84">
        <v>1</v>
      </c>
      <c r="I60" s="84">
        <v>1</v>
      </c>
      <c r="J60" s="81"/>
      <c r="K60" s="84">
        <v>1</v>
      </c>
    </row>
    <row r="61" spans="1:11">
      <c r="A61" s="106" t="s">
        <v>199</v>
      </c>
      <c r="B61" s="107" t="s">
        <v>71</v>
      </c>
      <c r="C61" s="88" t="s">
        <v>216</v>
      </c>
      <c r="D61" s="92"/>
      <c r="E61" s="92"/>
      <c r="F61" s="84"/>
      <c r="G61" s="84">
        <v>1</v>
      </c>
      <c r="H61" s="84">
        <v>1</v>
      </c>
      <c r="I61" s="84"/>
      <c r="J61" s="81"/>
      <c r="K61" s="84">
        <v>1</v>
      </c>
    </row>
    <row r="62" spans="1:11">
      <c r="A62" s="106" t="s">
        <v>207</v>
      </c>
      <c r="B62" s="107" t="s">
        <v>64</v>
      </c>
      <c r="C62" s="88" t="s">
        <v>216</v>
      </c>
      <c r="D62" s="93"/>
      <c r="E62" s="93"/>
      <c r="F62" s="84"/>
      <c r="G62" s="84">
        <v>1</v>
      </c>
      <c r="H62" s="84">
        <v>1</v>
      </c>
      <c r="I62" s="84">
        <v>1</v>
      </c>
      <c r="J62" s="81"/>
      <c r="K62" s="84"/>
    </row>
    <row r="63" spans="1:11">
      <c r="A63" s="90" t="s">
        <v>170</v>
      </c>
      <c r="B63" s="94" t="s">
        <v>72</v>
      </c>
      <c r="C63" s="95" t="s">
        <v>218</v>
      </c>
      <c r="D63" s="92"/>
      <c r="E63" s="92"/>
      <c r="F63" s="84"/>
      <c r="G63" s="84">
        <v>1</v>
      </c>
      <c r="H63" s="84">
        <v>1</v>
      </c>
      <c r="I63" s="84">
        <v>1</v>
      </c>
      <c r="J63" s="81"/>
      <c r="K63" s="84">
        <v>1</v>
      </c>
    </row>
    <row r="64" spans="1:11">
      <c r="A64" s="87" t="s">
        <v>194</v>
      </c>
      <c r="B64" s="87" t="s">
        <v>192</v>
      </c>
      <c r="C64" s="88" t="s">
        <v>216</v>
      </c>
      <c r="D64" s="93"/>
      <c r="E64" s="93"/>
      <c r="F64" s="84"/>
      <c r="G64" s="84">
        <v>1</v>
      </c>
      <c r="H64" s="84">
        <v>1</v>
      </c>
      <c r="I64" s="84">
        <v>1</v>
      </c>
      <c r="J64" s="81"/>
      <c r="K64" s="84">
        <v>1</v>
      </c>
    </row>
    <row r="65" spans="1:11">
      <c r="A65" s="90" t="s">
        <v>171</v>
      </c>
      <c r="B65" s="94" t="s">
        <v>172</v>
      </c>
      <c r="C65" s="95" t="s">
        <v>218</v>
      </c>
      <c r="D65" s="93"/>
      <c r="E65" s="93"/>
      <c r="F65" s="84"/>
      <c r="G65" s="84">
        <v>1</v>
      </c>
      <c r="H65" s="84">
        <v>1</v>
      </c>
      <c r="I65" s="84">
        <v>1</v>
      </c>
      <c r="J65" s="81"/>
      <c r="K65" s="84">
        <v>1</v>
      </c>
    </row>
    <row r="66" spans="1:11">
      <c r="A66" s="87" t="s">
        <v>195</v>
      </c>
      <c r="B66" s="87" t="s">
        <v>176</v>
      </c>
      <c r="C66" s="88" t="s">
        <v>216</v>
      </c>
      <c r="D66" s="93"/>
      <c r="E66" s="93"/>
      <c r="F66" s="84"/>
      <c r="G66" s="84">
        <v>1</v>
      </c>
      <c r="H66" s="84">
        <v>1</v>
      </c>
      <c r="I66" s="84">
        <v>1</v>
      </c>
      <c r="J66" s="81"/>
      <c r="K66" s="84">
        <v>1</v>
      </c>
    </row>
    <row r="67" spans="1:11">
      <c r="A67" s="90" t="s">
        <v>206</v>
      </c>
      <c r="B67" s="94" t="s">
        <v>66</v>
      </c>
      <c r="C67" s="88" t="s">
        <v>216</v>
      </c>
      <c r="D67" s="93"/>
      <c r="E67" s="93"/>
      <c r="F67" s="84">
        <v>1</v>
      </c>
      <c r="G67" s="84">
        <v>1</v>
      </c>
      <c r="H67" s="84">
        <v>1</v>
      </c>
      <c r="I67" s="84">
        <v>1</v>
      </c>
      <c r="J67" s="81"/>
      <c r="K67" s="84">
        <v>1</v>
      </c>
    </row>
    <row r="68" spans="1:11">
      <c r="A68" s="106" t="s">
        <v>85</v>
      </c>
      <c r="B68" s="106" t="s">
        <v>86</v>
      </c>
      <c r="C68" s="91" t="s">
        <v>215</v>
      </c>
      <c r="D68" s="92"/>
      <c r="E68" s="92"/>
      <c r="F68" s="84"/>
      <c r="G68" s="84"/>
      <c r="H68" s="84">
        <v>1</v>
      </c>
      <c r="I68" s="84">
        <v>1</v>
      </c>
      <c r="J68" s="81"/>
      <c r="K68" s="84">
        <v>1</v>
      </c>
    </row>
    <row r="69" spans="1:11">
      <c r="A69" s="87" t="s">
        <v>204</v>
      </c>
      <c r="B69" s="87" t="s">
        <v>68</v>
      </c>
      <c r="C69" s="88" t="s">
        <v>216</v>
      </c>
      <c r="D69" s="93"/>
      <c r="E69" s="93"/>
      <c r="F69" s="84"/>
      <c r="G69" s="84">
        <v>1</v>
      </c>
      <c r="H69" s="84">
        <v>1</v>
      </c>
      <c r="I69" s="84">
        <v>1</v>
      </c>
      <c r="J69" s="81"/>
      <c r="K69" s="84">
        <v>1</v>
      </c>
    </row>
    <row r="70" spans="1:11">
      <c r="A70" s="90" t="s">
        <v>173</v>
      </c>
      <c r="B70" s="94" t="s">
        <v>172</v>
      </c>
      <c r="C70" s="95" t="s">
        <v>218</v>
      </c>
      <c r="D70" s="92"/>
      <c r="E70" s="92"/>
      <c r="F70" s="84">
        <v>1</v>
      </c>
      <c r="G70" s="84">
        <v>1</v>
      </c>
      <c r="H70" s="84">
        <v>1</v>
      </c>
      <c r="I70" s="84">
        <v>1</v>
      </c>
      <c r="J70" s="81"/>
      <c r="K70" s="84">
        <v>1</v>
      </c>
    </row>
    <row r="71" spans="1:11">
      <c r="A71" s="114" t="s">
        <v>87</v>
      </c>
      <c r="B71" s="114"/>
      <c r="C71" s="80"/>
      <c r="D71" s="17"/>
      <c r="E71" s="17"/>
      <c r="F71" s="84">
        <f>SUM(F3:F70)</f>
        <v>21</v>
      </c>
      <c r="G71" s="84">
        <f>SUM(G3:G70)</f>
        <v>53</v>
      </c>
      <c r="H71" s="84">
        <f>SUM(H3:H70)</f>
        <v>64</v>
      </c>
      <c r="I71" s="81">
        <f>SUM(I3:I70)</f>
        <v>58</v>
      </c>
      <c r="J71" s="81"/>
      <c r="K71" s="81">
        <f>SUM(K3:K70)</f>
        <v>60</v>
      </c>
    </row>
    <row r="72" spans="1:11">
      <c r="A72" s="114" t="s">
        <v>88</v>
      </c>
      <c r="B72" s="114"/>
      <c r="C72" s="80"/>
      <c r="D72" s="17"/>
      <c r="E72" s="17"/>
      <c r="F72" s="81"/>
      <c r="G72" s="81"/>
      <c r="H72" s="81" t="s">
        <v>52</v>
      </c>
      <c r="I72" s="81"/>
      <c r="J72" s="81"/>
      <c r="K72" s="81"/>
    </row>
    <row r="73" spans="1:11">
      <c r="A73" s="114" t="s">
        <v>89</v>
      </c>
      <c r="B73" s="114"/>
      <c r="C73" s="80"/>
      <c r="D73" s="17"/>
      <c r="E73" s="17"/>
      <c r="F73" s="81"/>
      <c r="G73" s="81"/>
      <c r="H73" s="81"/>
      <c r="I73" s="81"/>
      <c r="J73" s="81"/>
      <c r="K73" s="81"/>
    </row>
    <row r="74" spans="1:11">
      <c r="A74">
        <v>63</v>
      </c>
    </row>
  </sheetData>
  <mergeCells count="4">
    <mergeCell ref="A1:B1"/>
    <mergeCell ref="A71:B71"/>
    <mergeCell ref="A72:B72"/>
    <mergeCell ref="A73:B73"/>
  </mergeCells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625" defaultRowHeight="15"/>
  <sheetData/>
  <sheetCalcPr fullCalcOnLoad="1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Role</vt:lpstr>
      <vt:lpstr>Quotas</vt:lpstr>
      <vt:lpstr>Events</vt:lpstr>
      <vt:lpstr>Sheet4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Schuster</dc:creator>
  <cp:lastModifiedBy>Andrew Nguyen</cp:lastModifiedBy>
  <dcterms:created xsi:type="dcterms:W3CDTF">2009-01-12T03:23:18Z</dcterms:created>
  <dcterms:modified xsi:type="dcterms:W3CDTF">2012-03-28T18:36:25Z</dcterms:modified>
</cp:coreProperties>
</file>