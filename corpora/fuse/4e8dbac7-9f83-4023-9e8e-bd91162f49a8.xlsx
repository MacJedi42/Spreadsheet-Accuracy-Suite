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18975" windowHeight="8640"/>
  </bookViews>
  <sheets>
    <sheet name="Team results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17" i="1"/>
  <c r="A18"/>
  <c r="A19"/>
  <c r="A20"/>
  <c r="A21"/>
  <c r="A22"/>
  <c r="A23"/>
  <c r="A24"/>
  <c r="A25"/>
  <c r="A26"/>
  <c r="A27"/>
  <c r="A28"/>
  <c r="A29"/>
  <c r="A30"/>
  <c r="A31"/>
  <c r="A32"/>
  <c r="A33"/>
  <c r="D5"/>
  <c r="D6"/>
  <c r="D7"/>
  <c r="D12"/>
  <c r="D13"/>
  <c r="D14"/>
  <c r="D15"/>
  <c r="D16"/>
  <c r="D17"/>
  <c r="D19"/>
  <c r="D20"/>
  <c r="D22"/>
  <c r="D23"/>
  <c r="D24"/>
  <c r="D25"/>
  <c r="D26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</calcChain>
</file>

<file path=xl/sharedStrings.xml><?xml version="1.0" encoding="utf-8"?>
<sst xmlns="http://schemas.openxmlformats.org/spreadsheetml/2006/main" count="104" uniqueCount="76">
  <si>
    <t>BUCS Surf Women's Team Results</t>
  </si>
  <si>
    <t>Position</t>
  </si>
  <si>
    <t>Swansea</t>
  </si>
  <si>
    <t>Plymouth</t>
  </si>
  <si>
    <t>Swansea Metropolitan</t>
  </si>
  <si>
    <t>Cardiff</t>
  </si>
  <si>
    <t>St Mark &amp; St John A</t>
  </si>
  <si>
    <t>Southampton</t>
  </si>
  <si>
    <t>St Mark &amp; St John B</t>
  </si>
  <si>
    <t>Bournemouth</t>
  </si>
  <si>
    <t>Oxford Brookes</t>
  </si>
  <si>
    <t>Exeter</t>
  </si>
  <si>
    <t>Exeter B</t>
  </si>
  <si>
    <t>Newcastle</t>
  </si>
  <si>
    <t>Liverpool</t>
  </si>
  <si>
    <t>Bangor</t>
  </si>
  <si>
    <t>Sussex</t>
  </si>
  <si>
    <t>Nottingham</t>
  </si>
  <si>
    <t>UWE</t>
  </si>
  <si>
    <t>Nottingham B</t>
  </si>
  <si>
    <t>Aberdeen</t>
  </si>
  <si>
    <t>Durham</t>
  </si>
  <si>
    <t>Bath</t>
  </si>
  <si>
    <t>Glasgow</t>
  </si>
  <si>
    <t>Kent</t>
  </si>
  <si>
    <t>Manchester</t>
  </si>
  <si>
    <t>Bangor B</t>
  </si>
  <si>
    <t>Warwick</t>
  </si>
  <si>
    <t>Sussex    B</t>
  </si>
  <si>
    <t>Loughborough</t>
  </si>
  <si>
    <t>Manchester Metropolitan</t>
  </si>
  <si>
    <t>Glasgow B</t>
  </si>
  <si>
    <t>Sunderland</t>
  </si>
  <si>
    <t>BUCS Surf Men's Team Results</t>
  </si>
  <si>
    <t>Falmouth</t>
  </si>
  <si>
    <t>Falmouth B</t>
  </si>
  <si>
    <t>Bristol B</t>
  </si>
  <si>
    <t>Plymouth B</t>
  </si>
  <si>
    <t>Plymouth C</t>
  </si>
  <si>
    <t xml:space="preserve">Swansea Metropolitan </t>
  </si>
  <si>
    <t>St Mark &amp; St John</t>
  </si>
  <si>
    <t>UWIC</t>
  </si>
  <si>
    <t>East Anglia</t>
  </si>
  <si>
    <t>Portsmouth</t>
  </si>
  <si>
    <t>Falmouth C</t>
  </si>
  <si>
    <t>Gloucestershire</t>
  </si>
  <si>
    <t>Newcastle B</t>
  </si>
  <si>
    <t>Aberystwyth</t>
  </si>
  <si>
    <t>Bath B</t>
  </si>
  <si>
    <t>Swansea Metropolitan B</t>
  </si>
  <si>
    <t>Swansea B</t>
  </si>
  <si>
    <t>Cambrdge</t>
  </si>
  <si>
    <t>Aberystwyth B</t>
  </si>
  <si>
    <t>Portsmouth B</t>
  </si>
  <si>
    <t>Oxford</t>
  </si>
  <si>
    <t>Southampton Solent</t>
  </si>
  <si>
    <t>UWIC B</t>
  </si>
  <si>
    <t>Brighton</t>
  </si>
  <si>
    <t>Aberdeen B</t>
  </si>
  <si>
    <t>Plymouth D</t>
  </si>
  <si>
    <t>Surrey</t>
  </si>
  <si>
    <t>Brisol C</t>
  </si>
  <si>
    <t>Glamorgan</t>
  </si>
  <si>
    <t>Leeds</t>
  </si>
  <si>
    <t>Nottingham Trent</t>
  </si>
  <si>
    <t>Sussex B</t>
  </si>
  <si>
    <t>UWIC C</t>
  </si>
  <si>
    <t>Bangor C</t>
  </si>
  <si>
    <t>Swansea C</t>
  </si>
  <si>
    <t>Warwick B</t>
  </si>
  <si>
    <t>Sheffield Hallam</t>
  </si>
  <si>
    <t>Strathclyde</t>
  </si>
  <si>
    <t>Southampton B</t>
  </si>
  <si>
    <t xml:space="preserve">Sunderland </t>
  </si>
  <si>
    <t>Mancheter B</t>
  </si>
  <si>
    <t>Kingston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</si>
</sst>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>
      <selection activeCell="C3" sqref="C3"/>
    </sheetView>
  </sheetViews>
  <sheetFormatPr defaultRowHeight="15"/>
  <cols>
    <col min="2" max="2" width="24" bestFit="1" customWidth="1"/>
    <col min="4" max="4" width="18.28515625" customWidth="1"/>
    <col min="5" max="5" width="24" bestFit="1" customWidth="1"/>
  </cols>
  <sheetData>
    <row r="1" spans="1:5">
      <c r="A1" s="1" t="s">
        <v>0</v>
      </c>
      <c r="D1" s="1" t="s">
        <v>33</v>
      </c>
    </row>
    <row r="3" spans="1:5">
      <c r="A3" t="s">
        <v>1</v>
      </c>
      <c r="D3">
        <v>1</v>
      </c>
      <c r="E3" t="s">
        <v>3</v>
      </c>
    </row>
    <row r="4" spans="1:5">
      <c r="A4">
        <v>1</v>
      </c>
      <c r="B4" t="s">
        <v>2</v>
      </c>
      <c r="D4">
        <v>2</v>
      </c>
      <c r="E4" t="s">
        <v>34</v>
      </c>
    </row>
    <row r="5" spans="1:5">
      <c r="A5">
        <v>2</v>
      </c>
      <c r="B5" t="s">
        <v>3</v>
      </c>
      <c r="D5">
        <f>3</f>
        <v>3</v>
      </c>
      <c r="E5" t="s">
        <v>9</v>
      </c>
    </row>
    <row r="6" spans="1:5">
      <c r="A6">
        <v>3</v>
      </c>
      <c r="B6" t="s">
        <v>4</v>
      </c>
      <c r="D6">
        <f>3</f>
        <v>3</v>
      </c>
      <c r="E6" t="s">
        <v>35</v>
      </c>
    </row>
    <row r="7" spans="1:5">
      <c r="A7">
        <v>4</v>
      </c>
      <c r="B7" t="s">
        <v>5</v>
      </c>
      <c r="D7">
        <f>3</f>
        <v>3</v>
      </c>
      <c r="E7" t="s">
        <v>36</v>
      </c>
    </row>
    <row r="8" spans="1:5">
      <c r="A8">
        <v>5</v>
      </c>
      <c r="B8" t="s">
        <v>6</v>
      </c>
      <c r="D8">
        <v>6</v>
      </c>
      <c r="E8" t="s">
        <v>5</v>
      </c>
    </row>
    <row r="9" spans="1:5">
      <c r="A9">
        <v>6</v>
      </c>
      <c r="B9" t="s">
        <v>7</v>
      </c>
      <c r="D9">
        <v>7</v>
      </c>
      <c r="E9" t="s">
        <v>37</v>
      </c>
    </row>
    <row r="10" spans="1:5">
      <c r="A10">
        <v>7</v>
      </c>
      <c r="B10" t="s">
        <v>8</v>
      </c>
      <c r="D10">
        <v>8</v>
      </c>
      <c r="E10" t="s">
        <v>38</v>
      </c>
    </row>
    <row r="11" spans="1:5">
      <c r="A11">
        <v>8</v>
      </c>
      <c r="B11" t="s">
        <v>9</v>
      </c>
      <c r="D11">
        <v>9</v>
      </c>
      <c r="E11" t="s">
        <v>21</v>
      </c>
    </row>
    <row r="12" spans="1:5">
      <c r="A12">
        <v>9</v>
      </c>
      <c r="B12" t="s">
        <v>10</v>
      </c>
      <c r="D12">
        <f>10</f>
        <v>10</v>
      </c>
      <c r="E12" t="s">
        <v>39</v>
      </c>
    </row>
    <row r="13" spans="1:5">
      <c r="A13">
        <v>10</v>
      </c>
      <c r="B13" t="s">
        <v>11</v>
      </c>
      <c r="D13">
        <f>10</f>
        <v>10</v>
      </c>
      <c r="E13" t="s">
        <v>13</v>
      </c>
    </row>
    <row r="14" spans="1:5">
      <c r="A14">
        <v>11</v>
      </c>
      <c r="B14" t="s">
        <v>12</v>
      </c>
      <c r="D14">
        <f>12</f>
        <v>12</v>
      </c>
      <c r="E14" t="s">
        <v>11</v>
      </c>
    </row>
    <row r="15" spans="1:5">
      <c r="A15">
        <v>12</v>
      </c>
      <c r="B15" t="s">
        <v>13</v>
      </c>
      <c r="D15">
        <f>12</f>
        <v>12</v>
      </c>
      <c r="E15" t="s">
        <v>23</v>
      </c>
    </row>
    <row r="16" spans="1:5">
      <c r="A16">
        <v>13</v>
      </c>
      <c r="B16" t="s">
        <v>14</v>
      </c>
      <c r="D16">
        <f>13</f>
        <v>13</v>
      </c>
      <c r="E16" t="s">
        <v>40</v>
      </c>
    </row>
    <row r="17" spans="1:5">
      <c r="A17">
        <f>14</f>
        <v>14</v>
      </c>
      <c r="B17" t="s">
        <v>15</v>
      </c>
      <c r="D17">
        <f>13</f>
        <v>13</v>
      </c>
      <c r="E17" t="s">
        <v>2</v>
      </c>
    </row>
    <row r="18" spans="1:5">
      <c r="A18">
        <f>14</f>
        <v>14</v>
      </c>
      <c r="B18" t="s">
        <v>16</v>
      </c>
      <c r="D18">
        <v>15</v>
      </c>
      <c r="E18" t="s">
        <v>22</v>
      </c>
    </row>
    <row r="19" spans="1:5">
      <c r="A19">
        <f>16</f>
        <v>16</v>
      </c>
      <c r="B19" t="s">
        <v>17</v>
      </c>
      <c r="D19">
        <f>16</f>
        <v>16</v>
      </c>
      <c r="E19" t="s">
        <v>41</v>
      </c>
    </row>
    <row r="20" spans="1:5">
      <c r="A20">
        <f>16</f>
        <v>16</v>
      </c>
      <c r="B20" t="s">
        <v>18</v>
      </c>
      <c r="D20">
        <f>16</f>
        <v>16</v>
      </c>
      <c r="E20" t="s">
        <v>15</v>
      </c>
    </row>
    <row r="21" spans="1:5">
      <c r="A21">
        <f>18</f>
        <v>18</v>
      </c>
      <c r="B21" t="s">
        <v>19</v>
      </c>
      <c r="D21">
        <v>18</v>
      </c>
      <c r="E21" t="s">
        <v>29</v>
      </c>
    </row>
    <row r="22" spans="1:5">
      <c r="A22">
        <f>18</f>
        <v>18</v>
      </c>
      <c r="B22" t="s">
        <v>20</v>
      </c>
      <c r="D22">
        <f>19</f>
        <v>19</v>
      </c>
      <c r="E22" t="s">
        <v>12</v>
      </c>
    </row>
    <row r="23" spans="1:5">
      <c r="A23">
        <f>18</f>
        <v>18</v>
      </c>
      <c r="B23" t="s">
        <v>21</v>
      </c>
      <c r="D23">
        <f>19</f>
        <v>19</v>
      </c>
      <c r="E23" t="s">
        <v>7</v>
      </c>
    </row>
    <row r="24" spans="1:5">
      <c r="A24">
        <f>21</f>
        <v>21</v>
      </c>
      <c r="B24" t="s">
        <v>22</v>
      </c>
      <c r="D24">
        <f>19</f>
        <v>19</v>
      </c>
      <c r="E24" t="s">
        <v>42</v>
      </c>
    </row>
    <row r="25" spans="1:5">
      <c r="A25">
        <f>21</f>
        <v>21</v>
      </c>
      <c r="B25" t="s">
        <v>23</v>
      </c>
      <c r="D25">
        <f>22</f>
        <v>22</v>
      </c>
      <c r="E25" t="s">
        <v>43</v>
      </c>
    </row>
    <row r="26" spans="1:5">
      <c r="A26">
        <f>21</f>
        <v>21</v>
      </c>
      <c r="B26" t="s">
        <v>24</v>
      </c>
      <c r="D26">
        <f>22</f>
        <v>22</v>
      </c>
      <c r="E26" t="s">
        <v>44</v>
      </c>
    </row>
    <row r="27" spans="1:5">
      <c r="A27">
        <f>21</f>
        <v>21</v>
      </c>
      <c r="B27" t="s">
        <v>25</v>
      </c>
      <c r="D27">
        <v>24</v>
      </c>
      <c r="E27" t="s">
        <v>45</v>
      </c>
    </row>
    <row r="28" spans="1:5">
      <c r="A28">
        <f>25</f>
        <v>25</v>
      </c>
      <c r="B28" t="s">
        <v>26</v>
      </c>
      <c r="D28">
        <v>25</v>
      </c>
      <c r="E28" t="s">
        <v>18</v>
      </c>
    </row>
    <row r="29" spans="1:5">
      <c r="A29">
        <f>25</f>
        <v>25</v>
      </c>
      <c r="B29" t="s">
        <v>27</v>
      </c>
      <c r="D29">
        <v>26</v>
      </c>
      <c r="E29" t="s">
        <v>26</v>
      </c>
    </row>
    <row r="30" spans="1:5">
      <c r="A30">
        <f>27</f>
        <v>27</v>
      </c>
      <c r="B30" t="s">
        <v>28</v>
      </c>
      <c r="D30">
        <f>27</f>
        <v>27</v>
      </c>
      <c r="E30" t="s">
        <v>36</v>
      </c>
    </row>
    <row r="31" spans="1:5">
      <c r="A31">
        <f>27</f>
        <v>27</v>
      </c>
      <c r="B31" t="s">
        <v>29</v>
      </c>
      <c r="D31">
        <f>27</f>
        <v>27</v>
      </c>
      <c r="E31" t="s">
        <v>46</v>
      </c>
    </row>
    <row r="32" spans="1:5">
      <c r="A32">
        <f>27</f>
        <v>27</v>
      </c>
      <c r="B32" t="s">
        <v>30</v>
      </c>
      <c r="D32">
        <f>29</f>
        <v>29</v>
      </c>
      <c r="E32" t="s">
        <v>47</v>
      </c>
    </row>
    <row r="33" spans="1:5">
      <c r="A33">
        <f>27</f>
        <v>27</v>
      </c>
      <c r="B33" t="s">
        <v>31</v>
      </c>
      <c r="D33">
        <f>29</f>
        <v>29</v>
      </c>
      <c r="E33" t="s">
        <v>48</v>
      </c>
    </row>
    <row r="34" spans="1:5">
      <c r="A34">
        <v>31</v>
      </c>
      <c r="B34" t="s">
        <v>32</v>
      </c>
      <c r="D34">
        <f>29</f>
        <v>29</v>
      </c>
      <c r="E34" t="s">
        <v>49</v>
      </c>
    </row>
    <row r="35" spans="1:5">
      <c r="D35">
        <f>29</f>
        <v>29</v>
      </c>
      <c r="E35" t="s">
        <v>50</v>
      </c>
    </row>
    <row r="36" spans="1:5">
      <c r="D36">
        <f>33</f>
        <v>33</v>
      </c>
      <c r="E36" t="s">
        <v>16</v>
      </c>
    </row>
    <row r="37" spans="1:5">
      <c r="D37">
        <f>33</f>
        <v>33</v>
      </c>
      <c r="E37" t="s">
        <v>8</v>
      </c>
    </row>
    <row r="38" spans="1:5">
      <c r="D38">
        <f>35</f>
        <v>35</v>
      </c>
      <c r="E38" t="s">
        <v>51</v>
      </c>
    </row>
    <row r="39" spans="1:5">
      <c r="D39">
        <f>35</f>
        <v>35</v>
      </c>
      <c r="E39" t="s">
        <v>25</v>
      </c>
    </row>
    <row r="40" spans="1:5">
      <c r="D40">
        <f>36</f>
        <v>36</v>
      </c>
      <c r="E40" t="s">
        <v>52</v>
      </c>
    </row>
    <row r="41" spans="1:5">
      <c r="D41">
        <f>36</f>
        <v>36</v>
      </c>
      <c r="E41" t="s">
        <v>31</v>
      </c>
    </row>
    <row r="42" spans="1:5">
      <c r="D42">
        <f>36</f>
        <v>36</v>
      </c>
      <c r="E42" t="s">
        <v>10</v>
      </c>
    </row>
    <row r="43" spans="1:5">
      <c r="D43">
        <f>36</f>
        <v>36</v>
      </c>
      <c r="E43" t="s">
        <v>24</v>
      </c>
    </row>
    <row r="44" spans="1:5">
      <c r="D44">
        <f>36</f>
        <v>36</v>
      </c>
      <c r="E44" t="s">
        <v>53</v>
      </c>
    </row>
    <row r="45" spans="1:5">
      <c r="D45">
        <f>36</f>
        <v>36</v>
      </c>
      <c r="E45" t="s">
        <v>54</v>
      </c>
    </row>
    <row r="46" spans="1:5">
      <c r="D46">
        <f>36</f>
        <v>36</v>
      </c>
      <c r="E46" t="s">
        <v>55</v>
      </c>
    </row>
    <row r="47" spans="1:5">
      <c r="D47">
        <f>36</f>
        <v>36</v>
      </c>
      <c r="E47" t="s">
        <v>56</v>
      </c>
    </row>
    <row r="48" spans="1:5">
      <c r="D48">
        <f>43</f>
        <v>43</v>
      </c>
      <c r="E48" t="s">
        <v>57</v>
      </c>
    </row>
    <row r="49" spans="4:5">
      <c r="D49">
        <f>43</f>
        <v>43</v>
      </c>
      <c r="E49" t="s">
        <v>58</v>
      </c>
    </row>
    <row r="50" spans="4:5">
      <c r="D50">
        <f>43</f>
        <v>43</v>
      </c>
      <c r="E50" t="s">
        <v>17</v>
      </c>
    </row>
    <row r="51" spans="4:5">
      <c r="D51">
        <f>43</f>
        <v>43</v>
      </c>
      <c r="E51" t="s">
        <v>59</v>
      </c>
    </row>
    <row r="52" spans="4:5">
      <c r="D52">
        <f>43</f>
        <v>43</v>
      </c>
      <c r="E52" t="s">
        <v>60</v>
      </c>
    </row>
    <row r="53" spans="4:5">
      <c r="D53">
        <f>48</f>
        <v>48</v>
      </c>
      <c r="E53" t="s">
        <v>20</v>
      </c>
    </row>
    <row r="54" spans="4:5">
      <c r="D54">
        <f>48</f>
        <v>48</v>
      </c>
      <c r="E54" t="s">
        <v>61</v>
      </c>
    </row>
    <row r="55" spans="4:5">
      <c r="D55">
        <f>48</f>
        <v>48</v>
      </c>
      <c r="E55" t="s">
        <v>62</v>
      </c>
    </row>
    <row r="56" spans="4:5">
      <c r="D56">
        <f>48</f>
        <v>48</v>
      </c>
      <c r="E56" t="s">
        <v>63</v>
      </c>
    </row>
    <row r="57" spans="4:5">
      <c r="D57">
        <f>48</f>
        <v>48</v>
      </c>
      <c r="E57" t="s">
        <v>30</v>
      </c>
    </row>
    <row r="58" spans="4:5">
      <c r="D58">
        <f>48</f>
        <v>48</v>
      </c>
      <c r="E58" t="s">
        <v>64</v>
      </c>
    </row>
    <row r="59" spans="4:5">
      <c r="D59">
        <f>48</f>
        <v>48</v>
      </c>
      <c r="E59" t="s">
        <v>65</v>
      </c>
    </row>
    <row r="60" spans="4:5">
      <c r="D60">
        <f>48</f>
        <v>48</v>
      </c>
      <c r="E60" t="s">
        <v>66</v>
      </c>
    </row>
    <row r="61" spans="4:5">
      <c r="D61">
        <f>56</f>
        <v>56</v>
      </c>
      <c r="E61" t="s">
        <v>67</v>
      </c>
    </row>
    <row r="62" spans="4:5">
      <c r="D62">
        <f>56</f>
        <v>56</v>
      </c>
      <c r="E62" t="s">
        <v>68</v>
      </c>
    </row>
    <row r="63" spans="4:5">
      <c r="D63">
        <f>56</f>
        <v>56</v>
      </c>
      <c r="E63" t="s">
        <v>69</v>
      </c>
    </row>
    <row r="64" spans="4:5">
      <c r="D64">
        <f>56</f>
        <v>56</v>
      </c>
      <c r="E64" t="s">
        <v>19</v>
      </c>
    </row>
    <row r="65" spans="4:5">
      <c r="D65">
        <f>60</f>
        <v>60</v>
      </c>
      <c r="E65" t="s">
        <v>70</v>
      </c>
    </row>
    <row r="66" spans="4:5">
      <c r="D66">
        <f>60</f>
        <v>60</v>
      </c>
      <c r="E66" t="s">
        <v>71</v>
      </c>
    </row>
    <row r="67" spans="4:5">
      <c r="D67">
        <f>62</f>
        <v>62</v>
      </c>
      <c r="E67" t="s">
        <v>27</v>
      </c>
    </row>
    <row r="68" spans="4:5">
      <c r="D68">
        <f>62</f>
        <v>62</v>
      </c>
      <c r="E68" t="s">
        <v>72</v>
      </c>
    </row>
    <row r="69" spans="4:5">
      <c r="D69">
        <f>64</f>
        <v>64</v>
      </c>
      <c r="E69" t="s">
        <v>73</v>
      </c>
    </row>
    <row r="70" spans="4:5">
      <c r="D70">
        <f>64</f>
        <v>64</v>
      </c>
      <c r="E70" t="s">
        <v>74</v>
      </c>
    </row>
    <row r="71" spans="4:5">
      <c r="D71">
        <f>66</f>
        <v>66</v>
      </c>
      <c r="E71" t="s">
        <v>14</v>
      </c>
    </row>
    <row r="72" spans="4:5">
      <c r="D72">
        <f>66</f>
        <v>66</v>
      </c>
      <c r="E72" t="s">
        <v>75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results</vt:lpstr>
      <vt:lpstr>Sheet2</vt:lpstr>
      <vt:lpstr>Sheet3</vt:lpstr>
    </vt:vector>
  </TitlesOfParts>
  <Company>Busa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</dc:creator>
  <cp:lastModifiedBy>priya</cp:lastModifiedBy>
  <dcterms:created xsi:type="dcterms:W3CDTF">2009-10-20T09:28:23Z</dcterms:created>
  <dcterms:modified xsi:type="dcterms:W3CDTF">2009-10-20T14:53:12Z</dcterms:modified>
</cp:coreProperties>
</file>