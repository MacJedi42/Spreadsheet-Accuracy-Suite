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24" yWindow="192" windowWidth="11868" windowHeight="916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D4" i="1"/>
  <c r="C4" i="1"/>
  <c r="B4" i="1"/>
  <c r="A4" i="1"/>
  <c r="O568" i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B5" i="3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<sst xmlns="http://schemas.openxmlformats.org/spreadsheetml/2006/main" count="70" uniqueCount="33">
  <si>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</si>
  <si>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</si>
  <si>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</si>
  <si>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</si>
  <si>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</si>
  <si>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</si>
  <si>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</si>
  <si>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</si>
  <si>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</si>
  <si>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</si>
  <si>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</si>
  <si>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</si>
  <si>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</si>
  <si>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</si>
  <si>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</si>
  <si>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</si>
  <si>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</si>
  <si>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</si>
  <si>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</si>
  <si>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</si>
  <si>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</si>
  <si>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</si>
  <si>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</si>
  <si>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</si>
  <si>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</si>
  <si>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</si>
  <si>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barge = Illinois River barge rate (index = percent of tariff rate); and ocean = routes to Japan ($/metric ton)</t>
  </si>
  <si>
    <t>Unit</t>
  </si>
  <si>
    <t>Shuttle</t>
  </si>
  <si>
    <t>Monthly Averaged Tariffs
 with Fuel Surcharges</t>
  </si>
  <si>
    <t>Unit Train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</si>
  <si>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surcharge ($/car); </t>
    </r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</si>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</sst>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F570"/>
  <sheetViews>
    <sheetView defaultGridColor="0" colorId="22" zoomScaleNormal="100" workbookViewId="0">
      <pane xSplit="1" ySplit="7" topLeftCell="B562" activePane="bottomRight" state="frozen"/>
      <selection pane="topRight" activeCell="B1" sqref="B1"/>
      <selection pane="bottomLeft" activeCell="A8" sqref="A8"/>
      <selection pane="bottomRight" activeCell="F572" sqref="F572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2695312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7265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(A568)</f>
        <v>41409</v>
      </c>
      <c r="B4" s="53">
        <f t="shared" ref="B4:G4" si="0">J568</f>
        <v>259.46308724832215</v>
      </c>
      <c r="C4" s="53">
        <f t="shared" si="0"/>
        <v>233.09054784847424</v>
      </c>
      <c r="D4" s="53">
        <f t="shared" si="0"/>
        <v>204.69602309221301</v>
      </c>
      <c r="E4" s="53">
        <f t="shared" si="0"/>
        <v>154.44444444444443</v>
      </c>
      <c r="F4" s="53">
        <f t="shared" si="0"/>
        <v>201.25223613595705</v>
      </c>
      <c r="G4" s="53">
        <f t="shared" si="0"/>
        <v>170.21276595744681</v>
      </c>
    </row>
    <row r="5" spans="1:26" s="32" customFormat="1" ht="15.6" customHeight="1" x14ac:dyDescent="0.3">
      <c r="A5" s="28"/>
      <c r="B5" s="8">
        <f t="shared" ref="B5:G5" si="1">(B568-B567)/(B567)</f>
        <v>5.4616384915474403E-3</v>
      </c>
      <c r="C5" s="8" t="e">
        <f t="shared" si="1"/>
        <v>#DIV/0!</v>
      </c>
      <c r="D5" s="8">
        <f t="shared" si="1"/>
        <v>-0.22978723404255319</v>
      </c>
      <c r="E5" s="8">
        <f t="shared" si="1"/>
        <v>-3.4722222222222224E-2</v>
      </c>
      <c r="F5" s="8">
        <f t="shared" si="1"/>
        <v>0</v>
      </c>
      <c r="G5" s="8">
        <f t="shared" si="1"/>
        <v>0</v>
      </c>
      <c r="H5" s="29"/>
      <c r="I5" s="29"/>
      <c r="J5" s="29"/>
      <c r="K5" s="29">
        <v>-0.115</v>
      </c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30" t="s">
        <v>29</v>
      </c>
      <c r="Z5" s="131"/>
    </row>
    <row r="6" spans="1:26" x14ac:dyDescent="0.3">
      <c r="A6" s="1" t="s">
        <v>4</v>
      </c>
      <c r="B6" s="19" t="s">
        <v>5</v>
      </c>
      <c r="C6" s="2" t="s">
        <v>32</v>
      </c>
      <c r="D6" s="2" t="s">
        <v>32</v>
      </c>
      <c r="E6" s="2" t="s">
        <v>22</v>
      </c>
      <c r="F6" s="19" t="s">
        <v>6</v>
      </c>
      <c r="I6" s="1" t="s">
        <v>7</v>
      </c>
      <c r="Q6" s="9" t="s">
        <v>8</v>
      </c>
      <c r="Y6" s="131"/>
      <c r="Z6" s="131"/>
    </row>
    <row r="7" spans="1:26" x14ac:dyDescent="0.3">
      <c r="A7" s="1" t="s">
        <v>9</v>
      </c>
      <c r="B7" s="19" t="s">
        <v>10</v>
      </c>
      <c r="C7" s="2" t="s">
        <v>27</v>
      </c>
      <c r="D7" s="2" t="s">
        <v>28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27</v>
      </c>
      <c r="S7" s="4" t="s">
        <v>28</v>
      </c>
      <c r="T7" s="4" t="s">
        <v>17</v>
      </c>
      <c r="U7" s="4" t="s">
        <v>13</v>
      </c>
      <c r="V7" s="3" t="s">
        <v>14</v>
      </c>
      <c r="Y7" s="4" t="s">
        <v>27</v>
      </c>
      <c r="Z7" s="4" t="s">
        <v>28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29" t="s">
        <v>25</v>
      </c>
      <c r="G236" s="129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8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8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68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68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X569" s="61">
        <v>41416</v>
      </c>
      <c r="Y569" s="68">
        <v>4232.5807105263157</v>
      </c>
      <c r="Z569" s="68">
        <v>4876.8757894736846</v>
      </c>
    </row>
    <row r="570" spans="1:26" x14ac:dyDescent="0.3">
      <c r="X570" s="61">
        <v>41423</v>
      </c>
      <c r="Y570" s="68">
        <v>4232.5807105263157</v>
      </c>
      <c r="Z570" s="68">
        <v>4876.8757894736846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  <ignoredErrors>
    <ignoredError sqref="C5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33" t="s">
        <v>11</v>
      </c>
      <c r="E3" s="133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30</v>
      </c>
      <c r="E4" s="41" t="s">
        <v>28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41409</v>
      </c>
      <c r="C5" s="51">
        <f>Data!B4</f>
        <v>259.46308724832215</v>
      </c>
      <c r="D5" s="51">
        <f>Data!C4</f>
        <v>233.09054784847424</v>
      </c>
      <c r="E5" s="51">
        <f>Data!D4</f>
        <v>204.69602309221301</v>
      </c>
      <c r="F5" s="51">
        <f>Data!E4</f>
        <v>154.44444444444443</v>
      </c>
      <c r="G5" s="51">
        <f>Data!F4</f>
        <v>201.25223613595705</v>
      </c>
      <c r="H5" s="51">
        <f>Data!G4</f>
        <v>170.21276595744681</v>
      </c>
      <c r="I5" s="22"/>
      <c r="J5" s="47"/>
    </row>
    <row r="6" spans="1:10" ht="9" customHeight="1" x14ac:dyDescent="0.25">
      <c r="A6" s="47"/>
      <c r="B6" s="25"/>
      <c r="C6" s="26">
        <f>Data!B5</f>
        <v>5.4616384915474403E-3</v>
      </c>
      <c r="D6" s="26" t="e">
        <f>Data!C5</f>
        <v>#DIV/0!</v>
      </c>
      <c r="E6" s="26"/>
      <c r="F6" s="26">
        <f>Data!E5</f>
        <v>-3.4722222222222224E-2</v>
      </c>
      <c r="G6" s="26">
        <f>Data!F5</f>
        <v>0</v>
      </c>
      <c r="H6" s="26">
        <f>Data!G5</f>
        <v>0</v>
      </c>
      <c r="I6" s="22"/>
      <c r="J6" s="47"/>
    </row>
    <row r="7" spans="1:10" ht="12" customHeight="1" x14ac:dyDescent="0.25">
      <c r="A7" s="47"/>
      <c r="B7" s="49">
        <f>Data!A567</f>
        <v>41402</v>
      </c>
      <c r="C7" s="50">
        <f>Data!J567</f>
        <v>258.05369127516781</v>
      </c>
      <c r="D7" s="50">
        <f>Data!K567</f>
        <v>233.09054784847424</v>
      </c>
      <c r="E7" s="50">
        <f>Data!L567</f>
        <v>203.5413305092269</v>
      </c>
      <c r="F7" s="50">
        <f>Data!M567</f>
        <v>160</v>
      </c>
      <c r="G7" s="50">
        <f>Data!N567</f>
        <v>201.25223613595705</v>
      </c>
      <c r="H7" s="50">
        <f>Data!O567</f>
        <v>170.21276595744681</v>
      </c>
      <c r="I7" s="22"/>
      <c r="J7" s="47"/>
    </row>
    <row r="8" spans="1:10" x14ac:dyDescent="0.25">
      <c r="A8" s="47"/>
      <c r="B8" s="46" t="s">
        <v>31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26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32"/>
      <c r="C10" s="132"/>
      <c r="D10" s="132"/>
      <c r="E10" s="132"/>
      <c r="F10" s="132"/>
      <c r="G10" s="132"/>
      <c r="H10" s="132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2013-05-15T15:01:27Z</dcterms:modified>
</cp:coreProperties>
</file>