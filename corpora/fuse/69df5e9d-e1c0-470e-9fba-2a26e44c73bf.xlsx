
<file path=[Content_Types].xml><?xml version="1.0" encoding="utf-8"?>
<Types xmlns="http://schemas.openxmlformats.org/package/2006/content-types">
  <Default Extension="rels" ContentType="application/vnd.openxmlformats-package.relationships+xml"/>
  <Default Extension="xml" ContentType="application/xml"/>
  <Override PartName="/xl/charts/chart3.xml" ContentType="application/vnd.openxmlformats-officedocument.drawingml.chart+xml"/>
  <Override PartName="/xl/charts/chart2.xml" ContentType="application/vnd.openxmlformats-officedocument.drawingml.chart+xml"/>
  <Override PartName="/xl/charts/chart1.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Notes" state="visible" r:id="rId3"/>
    <sheet sheetId="2" name="2009" state="visible" r:id="rId4"/>
    <sheet sheetId="3" name="2008" state="visible" r:id="rId5"/>
    <sheet sheetId="4" name="2007" state="visible" r:id="rId6"/>
  </sheets>
  <definedNames/>
  <calcPr/>
</workbook>
</file>

<file path=xl/sharedStrings.xml><?xml version="1.0" encoding="utf-8"?>
<sst xmlns="http://schemas.openxmlformats.org/spreadsheetml/2006/main" count="955" uniqueCount="174">
  <si>
    <t>This only includes returns with itemized decutions</t>
  </si>
  <si>
    <t>Table 2.1  Returns with Itemized Deductions: Sources of Income, 
Adjustments, Itemized Deductions by Type, Exemptions, and Tax 
Items, by Size of Adjusted Gross Income, Tax Year 2009</t>
  </si>
  <si>
    <t>(All figures are estimates based on samples—money amounts are in thousands of dollars)</t>
  </si>
  <si>
    <t>Size of adjusted
gross income</t>
  </si>
  <si>
    <t>Number
of
returns</t>
  </si>
  <si>
    <t>Adjusted
gross income
less deficit</t>
  </si>
  <si>
    <t>Total income</t>
  </si>
  <si>
    <t>Salaries and wages</t>
  </si>
  <si>
    <t>Taxable interest</t>
  </si>
  <si>
    <t>Tax-exempt interest [1]</t>
  </si>
  <si>
    <t>Ordinary dividends</t>
  </si>
  <si>
    <t>Qualified dividends [1]</t>
  </si>
  <si>
    <t>State income tax refunds</t>
  </si>
  <si>
    <t>Alimony received</t>
  </si>
  <si>
    <t> Business or profession
net income less loss</t>
  </si>
  <si>
    <t>Sales of capital assets,
net gain less loss</t>
  </si>
  <si>
    <t>Sales of property other than
capital assets, net gain less loss</t>
  </si>
  <si>
    <t>Taxable IRA
distributions</t>
  </si>
  <si>
    <t>Taxable pensions
and annuities</t>
  </si>
  <si>
    <t>Rent and royalty
net income</t>
  </si>
  <si>
    <t>Rent and royalty
net loss</t>
  </si>
  <si>
    <t>Farm rental net
income less loss</t>
  </si>
  <si>
    <t>Partnership and S-corporation
net income less loss</t>
  </si>
  <si>
    <t>Estate and trust net
income less loss</t>
  </si>
  <si>
    <t>Farm net income
less loss</t>
  </si>
  <si>
    <t>Unemployment
compensation</t>
  </si>
  <si>
    <t>Taxable social
security benefits</t>
  </si>
  <si>
    <t>Foreign earned
income exclusion</t>
  </si>
  <si>
    <t>Other income
less loss</t>
  </si>
  <si>
    <t>Total statutory
adjustments</t>
  </si>
  <si>
    <t>Itemized deductions</t>
  </si>
  <si>
    <t>Exemptions</t>
  </si>
  <si>
    <t>Taxable
income</t>
  </si>
  <si>
    <t>Alternative
minimum tax</t>
  </si>
  <si>
    <t>Income tax
before credits</t>
  </si>
  <si>
    <t>Total tax
credits</t>
  </si>
  <si>
    <t>Income tax
after credits</t>
  </si>
  <si>
    <t>Total income
tax</t>
  </si>
  <si>
    <t>Total</t>
  </si>
  <si>
    <t>Itemized deductions
in excess
of limitation</t>
  </si>
  <si>
    <t>Medical and dental expenses deduction</t>
  </si>
  <si>
    <t>Taxes paid deduction</t>
  </si>
  <si>
    <t>Interest paid deduction</t>
  </si>
  <si>
    <t>Contributions deduction</t>
  </si>
  <si>
    <t>Casualty or theft loss deduction</t>
  </si>
  <si>
    <t>Limited miscellaneous deductions</t>
  </si>
  <si>
    <t>Unlimited miscellaneous deductions</t>
  </si>
  <si>
    <t>Total medical
expenses</t>
  </si>
  <si>
    <t>Expenses in excess
of limitation</t>
  </si>
  <si>
    <t>State and local taxes</t>
  </si>
  <si>
    <t>Real estate
taxes</t>
  </si>
  <si>
    <t>New motor
vehicle taxes</t>
  </si>
  <si>
    <t>Personal property
taxes</t>
  </si>
  <si>
    <t>Other
taxes</t>
  </si>
  <si>
    <t>Home mortgage interest</t>
  </si>
  <si>
    <t>Deductible points</t>
  </si>
  <si>
    <t>Qualified mortgage 
insurance premiums</t>
  </si>
  <si>
    <t>Investment interest
expense deduction</t>
  </si>
  <si>
    <t>Cash
contributions</t>
  </si>
  <si>
    <t>Other than cash
contributions</t>
  </si>
  <si>
    <t>Carryover from
prior years</t>
  </si>
  <si>
    <t>Total after
limitation</t>
  </si>
  <si>
    <t>Unreimbursed employee
business expenses</t>
  </si>
  <si>
    <t>Tax preparation
fees</t>
  </si>
  <si>
    <t>Other limited
miscellaneous deductions  </t>
  </si>
  <si>
    <t>Miscellaneous deductions subject
to 2% AGI limitation</t>
  </si>
  <si>
    <t>Gambling loss
deduction</t>
  </si>
  <si>
    <t>Miscellaneous deductions
other than gambling</t>
  </si>
  <si>
    <t>Income tax</t>
  </si>
  <si>
    <t>General sales tax</t>
  </si>
  <si>
    <t>Paid to financial institutions</t>
  </si>
  <si>
    <t>Paid to individuals</t>
  </si>
  <si>
    <t>Number of
returns</t>
  </si>
  <si>
    <t>Amount</t>
  </si>
  <si>
    <t>Number of
exemptions</t>
  </si>
  <si>
    <t>All returns, total</t>
  </si>
  <si>
    <t>    Under $5,000</t>
  </si>
  <si>
    <t>    $5,000 under $10,000</t>
  </si>
  <si>
    <t>    $10,000 under $15,000</t>
  </si>
  <si>
    <t>    $15,000 under $20,000</t>
  </si>
  <si>
    <t>    $20,000 under $25,000</t>
  </si>
  <si>
    <t>    $25,000 under $30,000</t>
  </si>
  <si>
    <t>    $30,000 under $35,000</t>
  </si>
  <si>
    <t>    $35,000 under $40,000</t>
  </si>
  <si>
    <t>    $40,000 under $45,000</t>
  </si>
  <si>
    <t>    $45,000 under $50,000</t>
  </si>
  <si>
    <t>    $50,000 under $55,000</t>
  </si>
  <si>
    <t>    $55,000 under $60,000</t>
  </si>
  <si>
    <t>    $60,000 under $75,000</t>
  </si>
  <si>
    <t>    $75,000 under $100,000</t>
  </si>
  <si>
    <t>    $100,000 under $200,000</t>
  </si>
  <si>
    <t>    $200,000 under $500,000</t>
  </si>
  <si>
    <t>    $500,000 under $1,000,000</t>
  </si>
  <si>
    <t>    $1,000,000 under $1,500,000</t>
  </si>
  <si>
    <t>    $1,500,000 under $2,000,000</t>
  </si>
  <si>
    <t>    $2,000,000 under $5,000,000</t>
  </si>
  <si>
    <t>    $5,000,000 under $10,000,000</t>
  </si>
  <si>
    <t>    $10,000,000 or more</t>
  </si>
  <si>
    <t>Taxable returns, total</t>
  </si>
  <si>
    <t>Nontaxable returns, total</t>
  </si>
  <si>
    <t>* Estimate should be used with caution due to the small number of sample returns on which it is based.</t>
  </si>
  <si>
    <t>** Data combined to avoid disclosure of information for specific taxpayers.</t>
  </si>
  <si>
    <t>[1] Not included in total income.</t>
  </si>
  <si>
    <t>NOTE: Detail may not add to totals because of rounding.</t>
  </si>
  <si>
    <t>Source: IRS, Statistics of Income Division, July 2011</t>
  </si>
  <si>
    <t>Income</t>
  </si>
  <si>
    <t>AGI</t>
  </si>
  <si>
    <t>Sheet Total AGI</t>
  </si>
  <si>
    <t>error</t>
  </si>
  <si>
    <t>Salary &amp; Wages</t>
  </si>
  <si>
    <t>Taxable Interest</t>
  </si>
  <si>
    <t>Tax Exempt Interest</t>
  </si>
  <si>
    <t>Ordinary Dividends</t>
  </si>
  <si>
    <t>Qualified Dividends</t>
  </si>
  <si>
    <t>State Income Tax Refunds</t>
  </si>
  <si>
    <t>Alimony</t>
  </si>
  <si>
    <t>Business Net Income</t>
  </si>
  <si>
    <t>Capital Gains</t>
  </si>
  <si>
    <t>Sale of Assets</t>
  </si>
  <si>
    <t>Taxable IRA</t>
  </si>
  <si>
    <t>Taxable Penion</t>
  </si>
  <si>
    <t>Rent &amp; Royalty Net Income</t>
  </si>
  <si>
    <t>Rent &amp; Royalty Net Loss</t>
  </si>
  <si>
    <t>Farm Rental Net Income</t>
  </si>
  <si>
    <t>Partnership &amp; S Corp Income</t>
  </si>
  <si>
    <t>Estate &amp; Trust Income</t>
  </si>
  <si>
    <t>Farm Income</t>
  </si>
  <si>
    <t>Unemployment Compensation</t>
  </si>
  <si>
    <t>Taxable Social Security Benefits</t>
  </si>
  <si>
    <t>Foreign Earned Income Exclusion</t>
  </si>
  <si>
    <t>Other Income</t>
  </si>
  <si>
    <t>Total Statuatory Adjustments</t>
  </si>
  <si>
    <t>Deductions</t>
  </si>
  <si>
    <t>Taxable Income</t>
  </si>
  <si>
    <t>amt</t>
  </si>
  <si>
    <t>income tax before credits</t>
  </si>
  <si>
    <t>credits</t>
  </si>
  <si>
    <t>income tax after credits</t>
  </si>
  <si>
    <t>income tax</t>
  </si>
  <si>
    <t>rate</t>
  </si>
  <si>
    <t>Reported Total</t>
  </si>
  <si>
    <t>Sheet Total</t>
  </si>
  <si>
    <t>Medical &amp; Dental exp</t>
  </si>
  <si>
    <t>Taxes Paid</t>
  </si>
  <si>
    <t>Mortgage</t>
  </si>
  <si>
    <t>Mortgage Investment Interest</t>
  </si>
  <si>
    <t>Contributions</t>
  </si>
  <si>
    <t>Casulaty or Theft Loss</t>
  </si>
  <si>
    <t>Limited Miscellaneous</t>
  </si>
  <si>
    <t>Gambling</t>
  </si>
  <si>
    <t>Miscellaneous Non-Gambling</t>
  </si>
  <si>
    <t>Total Unlimited Miscellaneous</t>
  </si>
  <si>
    <t>Table 2.1  Returns with Itemized Deductions: Sources of Income, 
Adjustments, Itemized Deductions by Type, Exemptions, and Tax 
Items, by Size of Adjusted Gross Income, Tax Year 2008</t>
  </si>
  <si>
    <t>Tax-exempt interest</t>
  </si>
  <si>
    <t>Qualified dividends</t>
  </si>
  <si>
    <t>Partnership and S Corporation
net income less loss</t>
  </si>
  <si>
    <t>Total itemized deductions</t>
  </si>
  <si>
    <t>Total in
taxable income</t>
  </si>
  <si>
    <t>Itemized
deductions
limitation</t>
  </si>
  <si>
    <t>Medical and dental
expenses
deduction</t>
  </si>
  <si>
    <t>Medical and
dental
expenses</t>
  </si>
  <si>
    <t>Medical and dental
expenses
limitation</t>
  </si>
  <si>
    <t>Gambling
loss
deduction</t>
  </si>
  <si>
    <t>Miscellaneous
deductions other
than gambling</t>
  </si>
  <si>
    <t>Total unlimited
miscellaneous
deduction</t>
  </si>
  <si>
    <t>Source: IRS, Statistics of Income Division, July 2010</t>
  </si>
  <si>
    <t>error %</t>
  </si>
  <si>
    <t>deductions</t>
  </si>
  <si>
    <t>Table 2.1  Returns with Itemized Deductions: Sources of Income, 
Adjustments, Itemized Deductions by Type, Exemptions, and Tax 
Items, by Size of Adjusted Gross Income, Tax Year 2007</t>
  </si>
  <si>
    <t>Number
of
returns [1]</t>
  </si>
  <si>
    <t>Foreign-earned
income exclusion</t>
  </si>
  <si>
    <t>[1] The total number of returns does not include the returns filed by individuals to only receive the economic stimulus 
payment and who had no other reason to file.</t>
  </si>
  <si>
    <t>Source: IRS, Statistics of Income Division, July 2009</t>
  </si>
  <si>
    <t>difference</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</si>
</sst>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quot;$&quot;#,##0"/>
    <numFmt numFmtId="165" formatCode="*#,##0;*-#,##0"/>
    <numFmt numFmtId="166" formatCode="#,##0;-#,##0"/>
    <numFmt numFmtId="167" formatCode="#,##0;-#,##0"/>
    <numFmt numFmtId="168" formatCode="(0)"/>
    <numFmt numFmtId="169" formatCode="0.0%"/>
    <numFmt numFmtId="170" formatCode="0.0%"/>
    <numFmt numFmtId="171" formatCode="&quot;$&quot;#,##0"/>
    <numFmt numFmtId="172" formatCode="*#,##0;*-#,##0"/>
    <numFmt numFmtId="173" formatCode="#,##0;-#,##0"/>
    <numFmt numFmtId="174" formatCode="(0)"/>
  </numFmts>
  <fonts count="59">
    <font>
      <b val="0"/>
      <i val="0"/>
      <strike val="0"/>
      <u val="none"/>
      <sz val="10.0"/>
      <color rgb="FF000000"/>
      <name val="Arial"/>
    </font>
    <font>
      <b/>
      <i val="0"/>
      <strike val="0"/>
      <u val="none"/>
      <sz val="10.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11.0"/>
      <color rgb="FF000000"/>
      <name val="Arial"/>
    </font>
    <font>
      <b val="0"/>
      <i val="0"/>
      <strike val="0"/>
      <u val="none"/>
      <sz val="8.0"/>
      <color rgb="FF000000"/>
      <name val="Arial"/>
    </font>
    <font>
      <b/>
      <i val="0"/>
      <strike val="0"/>
      <u val="none"/>
      <sz val="8.0"/>
      <color rgb="FF000000"/>
      <name val="Arial"/>
    </font>
    <font>
      <b val="0"/>
      <i val="0"/>
      <strike val="0"/>
      <u val="none"/>
      <sz val="8.0"/>
      <color rgb="FF000000"/>
      <name val="Arial"/>
    </font>
    <font>
      <b val="0"/>
      <i val="0"/>
      <strike val="0"/>
      <u val="none"/>
      <sz val="8.0"/>
      <color rgb="FF000000"/>
      <name val="Arial"/>
    </font>
    <font>
      <b/>
      <i val="0"/>
      <strike val="0"/>
      <u val="none"/>
      <sz val="8.0"/>
      <color rgb="FF000000"/>
      <name val="Arial"/>
    </font>
    <font>
      <b val="0"/>
      <i val="0"/>
      <strike val="0"/>
      <u val="none"/>
      <sz val="8.0"/>
      <color rgb="FF000000"/>
      <name val="Arial"/>
    </font>
    <font>
      <b/>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i val="0"/>
      <strike val="0"/>
      <u val="none"/>
      <sz val="8.0"/>
      <color rgb="FF000000"/>
      <name val="Arial"/>
    </font>
    <font>
      <b/>
      <i val="0"/>
      <strike val="0"/>
      <u val="none"/>
      <sz val="8.0"/>
      <color rgb="FF000000"/>
      <name val="Arial"/>
    </font>
    <font>
      <b val="0"/>
      <i val="0"/>
      <strike val="0"/>
      <u val="none"/>
      <sz val="8.0"/>
      <color rgb="FF000000"/>
      <name val="Arial"/>
    </font>
    <font>
      <b val="0"/>
      <i val="0"/>
      <strike val="0"/>
      <u val="none"/>
      <sz val="8.0"/>
      <color rgb="FF000000"/>
      <name val="Arial"/>
    </font>
    <font>
      <b/>
      <i val="0"/>
      <strike val="0"/>
      <u val="none"/>
      <sz val="8.0"/>
      <color rgb="FF000000"/>
      <name val="Arial"/>
    </font>
    <font>
      <b val="0"/>
      <i val="0"/>
      <strike val="0"/>
      <u val="none"/>
      <sz val="6.0"/>
      <color rgb="FF000000"/>
      <name val="Arial"/>
    </font>
    <font>
      <b val="0"/>
      <i val="0"/>
      <strike val="0"/>
      <u val="none"/>
      <sz val="8.0"/>
      <color rgb="FF000000"/>
      <name val="Arial"/>
    </font>
    <font>
      <b/>
      <i val="0"/>
      <strike val="0"/>
      <u val="none"/>
      <sz val="8.0"/>
      <color rgb="FF000000"/>
      <name val="Arial"/>
    </font>
    <font>
      <b/>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6.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6.0"/>
      <color rgb="FF000000"/>
      <name val="Arial"/>
    </font>
    <font>
      <b val="0"/>
      <i val="0"/>
      <strike val="0"/>
      <u val="none"/>
      <sz val="8.0"/>
      <color rgb="FF000000"/>
      <name val="Arial"/>
    </font>
    <font>
      <b/>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6.0"/>
      <color rgb="FF000000"/>
      <name val="Arial"/>
    </font>
  </fonts>
  <fills count="3">
    <fill>
      <patternFill patternType="none"/>
    </fill>
    <fill>
      <patternFill patternType="gray125">
        <bgColor rgb="FFFFFFFF"/>
      </patternFill>
    </fill>
    <fill>
      <patternFill patternType="solid">
        <fgColor rgb="FF92D050"/>
        <bgColor indexed="64"/>
      </patternFill>
    </fill>
  </fills>
  <borders count="56">
    <border>
      <left/>
      <right/>
      <top/>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1">
    <xf fillId="0" numFmtId="0" borderId="0" fontId="0"/>
  </cellStyleXfs>
  <cellXfs count="69">
    <xf applyAlignment="1" fillId="0" xfId="0" numFmtId="0" borderId="0" fontId="0">
      <alignment vertical="bottom" horizontal="general" wrapText="1"/>
    </xf>
    <xf applyAlignment="1" fillId="0" xfId="0" numFmtId="0" borderId="0" applyFont="1" fontId="1">
      <alignment vertical="bottom" horizontal="left" wrapText="1"/>
    </xf>
    <xf applyBorder="1" applyAlignment="1" fillId="0" xfId="0" numFmtId="0" borderId="1" fontId="0">
      <alignment vertical="bottom" horizontal="general" wrapText="1"/>
    </xf>
    <xf applyAlignment="1" fillId="0" xfId="0" numFmtId="164" borderId="0" applyFont="1" fontId="2" applyNumberFormat="1">
      <alignment vertical="bottom" horizontal="right"/>
    </xf>
    <xf applyBorder="1" applyAlignment="1" fillId="0" xfId="0" numFmtId="0" borderId="2" applyFont="1" fontId="3">
      <alignment vertical="center" horizontal="center"/>
    </xf>
    <xf applyBorder="1" applyAlignment="1" fillId="0" xfId="0" numFmtId="0" borderId="3" applyFont="1" fontId="4">
      <alignment vertical="center" horizontal="center" wrapText="1"/>
    </xf>
    <xf applyBorder="1" applyAlignment="1" fillId="0" xfId="0" numFmtId="3" borderId="4" applyFont="1" fontId="5" applyNumberFormat="1">
      <alignment vertical="bottom" horizontal="right"/>
    </xf>
    <xf applyBorder="1" applyAlignment="1" fillId="0" xfId="0" numFmtId="0" borderId="5" fontId="0">
      <alignment vertical="bottom" horizontal="general" wrapText="1"/>
    </xf>
    <xf fillId="0" xfId="0" numFmtId="0" borderId="0" applyFont="1" fontId="6"/>
    <xf applyBorder="1" applyAlignment="1" fillId="0" xfId="0" numFmtId="3" borderId="6" applyFont="1" fontId="7" applyNumberFormat="1">
      <alignment vertical="center" horizontal="center"/>
    </xf>
    <xf applyBorder="1" applyAlignment="1" fillId="0" xfId="0" numFmtId="3" borderId="7" applyFont="1" fontId="8" applyNumberFormat="1">
      <alignment vertical="bottom" horizontal="right"/>
    </xf>
    <xf applyBorder="1" applyAlignment="1" fillId="0" xfId="0" numFmtId="0" borderId="8" fontId="0">
      <alignment vertical="bottom" horizontal="general" wrapText="1"/>
    </xf>
    <xf applyAlignment="1" fillId="0" xfId="0" numFmtId="0" borderId="0" applyFont="1" fontId="9">
      <alignment vertical="bottom" horizontal="center"/>
    </xf>
    <xf applyBorder="1" applyAlignment="1" fillId="0" xfId="0" numFmtId="0" borderId="9" applyFont="1" fontId="10">
      <alignment vertical="top" horizontal="left" wrapText="1"/>
    </xf>
    <xf applyBorder="1" applyAlignment="1" fillId="0" xfId="0" numFmtId="0" borderId="10" fontId="0">
      <alignment vertical="bottom" horizontal="general" wrapText="1"/>
    </xf>
    <xf applyBorder="1" applyAlignment="1" fillId="0" xfId="0" numFmtId="3" borderId="11" applyFont="1" fontId="11" applyNumberFormat="1">
      <alignment vertical="bottom" horizontal="right"/>
    </xf>
    <xf applyBorder="1" applyAlignment="1" fillId="0" xfId="0" numFmtId="3" borderId="12" applyFont="1" fontId="12" applyNumberFormat="1">
      <alignment vertical="center" horizontal="center" wrapText="1"/>
    </xf>
    <xf applyBorder="1" applyAlignment="1" fillId="0" xfId="0" numFmtId="3" borderId="13" applyFont="1" fontId="13" applyNumberFormat="1">
      <alignment vertical="bottom" horizontal="right"/>
    </xf>
    <xf applyBorder="1" applyAlignment="1" fillId="0" xfId="0" numFmtId="165" borderId="14" applyFont="1" fontId="14" applyNumberFormat="1">
      <alignment vertical="bottom" horizontal="right"/>
    </xf>
    <xf applyBorder="1" applyAlignment="1" fillId="0" xfId="0" numFmtId="166" borderId="15" applyFont="1" fontId="15" applyNumberFormat="1">
      <alignment vertical="bottom" horizontal="right"/>
    </xf>
    <xf applyBorder="1" applyAlignment="1" fillId="0" xfId="0" numFmtId="0" borderId="16" applyFont="1" fontId="16">
      <alignment vertical="center" horizontal="center" wrapText="1"/>
    </xf>
    <xf applyBorder="1" applyAlignment="1" fillId="0" xfId="0" numFmtId="0" borderId="17" fontId="0">
      <alignment vertical="bottom" horizontal="general" wrapText="1"/>
    </xf>
    <xf applyBorder="1" fillId="0" xfId="0" numFmtId="0" borderId="18" applyFont="1" fontId="17"/>
    <xf applyBorder="1" applyAlignment="1" fillId="0" xfId="0" numFmtId="3" borderId="19" applyFont="1" fontId="18" applyNumberFormat="1">
      <alignment vertical="center" horizontal="center"/>
    </xf>
    <xf applyBorder="1" fillId="0" xfId="0" numFmtId="49" borderId="20" applyFont="1" fontId="19" applyNumberFormat="1"/>
    <xf applyBorder="1" applyAlignment="1" fillId="0" xfId="0" numFmtId="3" borderId="21" applyFont="1" fontId="20" applyNumberFormat="1">
      <alignment vertical="bottom" horizontal="right"/>
    </xf>
    <xf applyBorder="1" applyAlignment="1" fillId="0" xfId="0" numFmtId="0" borderId="22" applyFont="1" fontId="21">
      <alignment vertical="center" horizontal="center" wrapText="1"/>
    </xf>
    <xf applyBorder="1" applyAlignment="1" fillId="0" xfId="0" numFmtId="3" borderId="23" applyFont="1" fontId="22" applyNumberFormat="1">
      <alignment vertical="center" horizontal="center"/>
    </xf>
    <xf applyBorder="1" applyAlignment="1" fillId="0" xfId="0" numFmtId="3" borderId="24" applyFont="1" fontId="23" applyNumberFormat="1">
      <alignment vertical="bottom" horizontal="right"/>
    </xf>
    <xf applyAlignment="1" fillId="0" xfId="0" numFmtId="0" borderId="0" applyFont="1" fontId="24">
      <alignment vertical="bottom" horizontal="general" wrapText="1"/>
    </xf>
    <xf applyBorder="1" applyAlignment="1" fillId="0" xfId="0" numFmtId="167" borderId="25" applyFont="1" fontId="25" applyNumberFormat="1">
      <alignment vertical="bottom" horizontal="right"/>
    </xf>
    <xf applyBorder="1" applyAlignment="1" fillId="0" xfId="0" numFmtId="3" borderId="26" applyFont="1" fontId="26" applyNumberFormat="1">
      <alignment vertical="bottom" horizontal="right"/>
    </xf>
    <xf applyBorder="1" applyAlignment="1" fillId="0" xfId="0" numFmtId="3" borderId="27" applyFont="1" fontId="27" applyNumberFormat="1">
      <alignment vertical="bottom" horizontal="right"/>
    </xf>
    <xf applyBorder="1" applyAlignment="1" fillId="0" xfId="0" numFmtId="0" borderId="28" applyFont="1" fontId="28">
      <alignment vertical="center" horizontal="center"/>
    </xf>
    <xf applyBorder="1" applyAlignment="1" fillId="0" xfId="0" numFmtId="3" borderId="29" applyFont="1" fontId="29" applyNumberFormat="1">
      <alignment vertical="center" horizontal="center"/>
    </xf>
    <xf applyBorder="1" applyAlignment="1" fillId="0" xfId="0" numFmtId="0" borderId="30" fontId="0">
      <alignment vertical="bottom" horizontal="general" wrapText="1"/>
    </xf>
    <xf applyBorder="1" applyAlignment="1" fillId="0" xfId="0" numFmtId="168" borderId="31" applyFont="1" fontId="30" applyNumberFormat="1">
      <alignment vertical="center" horizontal="center"/>
    </xf>
    <xf applyBorder="1" fillId="0" xfId="0" numFmtId="49" borderId="32" applyFont="1" fontId="31" applyNumberFormat="1"/>
    <xf applyAlignment="1" fillId="0" xfId="0" numFmtId="49" borderId="0" applyFont="1" fontId="32" applyNumberFormat="1">
      <alignment vertical="bottom" horizontal="right"/>
    </xf>
    <xf applyAlignment="1" fillId="0" xfId="0" numFmtId="0" borderId="0" applyFont="1" fontId="33">
      <alignment vertical="bottom" horizontal="right"/>
    </xf>
    <xf applyBorder="1" applyAlignment="1" fillId="0" xfId="0" numFmtId="3" borderId="33" applyFont="1" fontId="34" applyNumberFormat="1">
      <alignment vertical="bottom" horizontal="right"/>
    </xf>
    <xf applyBorder="1" applyAlignment="1" fillId="0" xfId="0" numFmtId="0" borderId="34" fontId="0">
      <alignment vertical="bottom" horizontal="general" wrapText="1"/>
    </xf>
    <xf applyAlignment="1" fillId="0" xfId="0" numFmtId="169" borderId="0" applyFont="1" fontId="35" applyNumberFormat="1">
      <alignment vertical="bottom" horizontal="right"/>
    </xf>
    <xf applyBorder="1" fillId="0" xfId="0" numFmtId="49" borderId="35" applyFont="1" fontId="36" applyNumberFormat="1"/>
    <xf applyBorder="1" applyAlignment="1" fillId="0" xfId="0" numFmtId="3" borderId="36" applyFont="1" fontId="37" applyNumberFormat="1">
      <alignment vertical="bottom" horizontal="right"/>
    </xf>
    <xf applyBorder="1" applyAlignment="1" fillId="2" xfId="0" numFmtId="0" borderId="37" applyFont="1" fontId="38" applyFill="1">
      <alignment vertical="center" horizontal="center"/>
    </xf>
    <xf applyBorder="1" applyAlignment="1" fillId="0" xfId="0" numFmtId="0" borderId="38" applyFont="1" fontId="39">
      <alignment vertical="center" horizontal="center" wrapText="1"/>
    </xf>
    <xf applyBorder="1" applyAlignment="1" fillId="0" xfId="0" numFmtId="3" borderId="39" applyFont="1" fontId="40" applyNumberFormat="1">
      <alignment vertical="bottom" horizontal="right"/>
    </xf>
    <xf fillId="0" xfId="0" numFmtId="170" borderId="0" applyFont="1" fontId="41" applyNumberFormat="1"/>
    <xf fillId="0" xfId="0" numFmtId="171" borderId="0" applyFont="1" fontId="42" applyNumberFormat="1"/>
    <xf applyBorder="1" applyAlignment="1" fillId="0" xfId="0" numFmtId="172" borderId="40" applyFont="1" fontId="43" applyNumberFormat="1">
      <alignment vertical="bottom" horizontal="right"/>
    </xf>
    <xf applyBorder="1" applyAlignment="1" fillId="0" xfId="0" numFmtId="3" borderId="41" applyFont="1" fontId="44" applyNumberFormat="1">
      <alignment vertical="center" horizontal="center" wrapText="1"/>
    </xf>
    <xf applyBorder="1" applyAlignment="1" fillId="0" xfId="0" numFmtId="0" borderId="42" fontId="0">
      <alignment vertical="bottom" horizontal="general" wrapText="1"/>
    </xf>
    <xf applyBorder="1" applyAlignment="1" fillId="0" xfId="0" numFmtId="173" borderId="43" applyFont="1" fontId="45" applyNumberFormat="1">
      <alignment vertical="bottom" horizontal="right"/>
    </xf>
    <xf applyBorder="1" applyAlignment="1" fillId="0" xfId="0" numFmtId="0" borderId="44" fontId="0">
      <alignment vertical="bottom" horizontal="general" wrapText="1"/>
    </xf>
    <xf applyAlignment="1" fillId="0" xfId="0" numFmtId="10" borderId="0" applyFont="1" fontId="46" applyNumberFormat="1">
      <alignment vertical="bottom" horizontal="center"/>
    </xf>
    <xf applyBorder="1" applyAlignment="1" fillId="0" xfId="0" numFmtId="0" borderId="45" applyFont="1" fontId="47">
      <alignment vertical="bottom" horizontal="general" wrapText="1"/>
    </xf>
    <xf applyBorder="1" applyAlignment="1" fillId="0" xfId="0" numFmtId="3" borderId="46" applyFont="1" fontId="48" applyNumberFormat="1">
      <alignment vertical="center" horizontal="center"/>
    </xf>
    <xf applyBorder="1" fillId="0" xfId="0" numFmtId="49" borderId="47" applyFont="1" fontId="49" applyNumberFormat="1"/>
    <xf applyBorder="1" applyAlignment="1" fillId="0" xfId="0" numFmtId="174" borderId="48" applyFont="1" fontId="50" applyNumberFormat="1">
      <alignment vertical="center" horizontal="center"/>
    </xf>
    <xf applyBorder="1" applyAlignment="1" fillId="0" xfId="0" numFmtId="3" borderId="49" applyFont="1" fontId="51" applyNumberFormat="1">
      <alignment vertical="bottom" horizontal="right"/>
    </xf>
    <xf applyBorder="1" applyAlignment="1" fillId="0" xfId="0" numFmtId="3" borderId="50" applyFont="1" fontId="52" applyNumberFormat="1">
      <alignment vertical="center" horizontal="center"/>
    </xf>
    <xf applyBorder="1" applyAlignment="1" fillId="0" xfId="0" numFmtId="0" borderId="51" fontId="0">
      <alignment vertical="bottom" horizontal="general" wrapText="1"/>
    </xf>
    <xf applyAlignment="1" fillId="0" xfId="0" numFmtId="0" borderId="0" applyFont="1" fontId="53">
      <alignment vertical="bottom" horizontal="left" wrapText="1"/>
    </xf>
    <xf applyBorder="1" applyAlignment="1" fillId="0" xfId="0" numFmtId="0" borderId="52" applyFont="1" fontId="54">
      <alignment vertical="center" horizontal="center" wrapText="1"/>
    </xf>
    <xf applyBorder="1" fillId="0" xfId="0" numFmtId="49" borderId="53" applyFont="1" fontId="55" applyNumberFormat="1"/>
    <xf applyBorder="1" applyAlignment="1" fillId="0" xfId="0" numFmtId="0" borderId="54" applyFont="1" fontId="56">
      <alignment vertical="center" horizontal="center"/>
    </xf>
    <xf fillId="0" xfId="0" numFmtId="0" borderId="0" applyFont="1" fontId="57"/>
    <xf applyBorder="1" applyAlignment="1" fillId="0" xfId="0" numFmtId="0" borderId="55" applyFont="1" fontId="58">
      <alignment vertical="bottom" horizontal="left" wrapText="1"/>
    </xf>
  </cellXfs>
  <cellStyles count="1">
    <cellStyle builtinId="0" name="Normal" xfId="0"/>
  </cellStyles>
  <dxfs count="1">
    <dxf>
      <font>
        <color rgb="FF000000"/>
      </font>
      <fill>
        <patternFill patternType="solid">
          <bgColor rgb="FFFFFFFF"/>
        </patternFill>
      </fill>
    </dxf>
  </dxf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 Target="worksheets/sheet4.xml" Type="http://schemas.openxmlformats.org/officeDocument/2006/relationships/worksheet" Id="rId6"/><Relationship Target="worksheets/sheet3.xml" Type="http://schemas.openxmlformats.org/officeDocument/2006/relationships/worksheet" Id="rId5"/></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w="25400" cmpd="sng">
              <a:solidFill>
                <a:srgbClr val="4684EE"/>
              </a:solidFill>
            </a:ln>
          </c:spPr>
          <c:marker>
            <c:symbol val="circle"/>
            <c:size val="7"/>
            <c:spPr>
              <a:solidFill>
                <a:srgbClr val="4684EE"/>
              </a:solidFill>
              <a:ln cmpd="sng">
                <a:solidFill>
                  <a:srgbClr val="4684EE"/>
                </a:solidFill>
              </a:ln>
            </c:spPr>
          </c:marker>
          <c:cat>
            <c:strRef>
              <c:f>'2008'!$C$100:$C$117</c:f>
            </c:strRef>
          </c:cat>
          <c:val>
            <c:numRef>
              <c:f>'2008'!$F$100:$F$117</c:f>
            </c:numRef>
          </c:val>
        </c:ser>
        <c:ser>
          <c:idx val="1"/>
          <c:order val="1"/>
          <c:spPr>
            <a:ln w="25400" cmpd="sng">
              <a:solidFill>
                <a:srgbClr val="DC3912"/>
              </a:solidFill>
            </a:ln>
          </c:spPr>
          <c:marker>
            <c:symbol val="circle"/>
            <c:size val="7"/>
            <c:spPr>
              <a:solidFill>
                <a:srgbClr val="DC3912"/>
              </a:solidFill>
              <a:ln cmpd="sng">
                <a:solidFill>
                  <a:srgbClr val="DC3912"/>
                </a:solidFill>
              </a:ln>
            </c:spPr>
          </c:marker>
          <c:cat>
            <c:strRef>
              <c:f>'2008'!$C$100:$C$117</c:f>
            </c:strRef>
          </c:cat>
          <c:val>
            <c:numRef>
              <c:f>'2008'!$G$100:$G$117</c:f>
            </c:numRef>
          </c:val>
        </c:ser>
        <c:ser>
          <c:idx val="2"/>
          <c:order val="2"/>
          <c:spPr>
            <a:ln w="25400" cmpd="sng">
              <a:solidFill>
                <a:srgbClr val="FF9900"/>
              </a:solidFill>
            </a:ln>
          </c:spPr>
          <c:marker>
            <c:symbol val="circle"/>
            <c:size val="7"/>
            <c:spPr>
              <a:solidFill>
                <a:srgbClr val="FF9900"/>
              </a:solidFill>
              <a:ln cmpd="sng">
                <a:solidFill>
                  <a:srgbClr val="FF9900"/>
                </a:solidFill>
              </a:ln>
            </c:spPr>
          </c:marker>
          <c:cat>
            <c:strRef>
              <c:f>'2008'!$C$100:$C$117</c:f>
            </c:strRef>
          </c:cat>
          <c:val>
            <c:numRef>
              <c:f>'2008'!$H$100:$H$117</c:f>
            </c:numRef>
          </c:val>
        </c:ser>
        <c:ser>
          <c:idx val="3"/>
          <c:order val="3"/>
          <c:spPr>
            <a:ln w="25400" cmpd="sng">
              <a:solidFill>
                <a:srgbClr val="008000"/>
              </a:solidFill>
            </a:ln>
          </c:spPr>
          <c:marker>
            <c:symbol val="circle"/>
            <c:size val="7"/>
            <c:spPr>
              <a:solidFill>
                <a:srgbClr val="008000"/>
              </a:solidFill>
              <a:ln cmpd="sng">
                <a:solidFill>
                  <a:srgbClr val="008000"/>
                </a:solidFill>
              </a:ln>
            </c:spPr>
          </c:marker>
          <c:cat>
            <c:strRef>
              <c:f>'2008'!$C$100:$C$117</c:f>
            </c:strRef>
          </c:cat>
          <c:val>
            <c:numRef>
              <c:f>'2008'!$I$100:$I$117</c:f>
            </c:numRef>
          </c:val>
        </c:ser>
        <c:ser>
          <c:idx val="4"/>
          <c:order val="4"/>
          <c:spPr>
            <a:ln w="25400" cmpd="sng">
              <a:solidFill>
                <a:srgbClr val="666666"/>
              </a:solidFill>
            </a:ln>
          </c:spPr>
          <c:marker>
            <c:symbol val="circle"/>
            <c:size val="7"/>
            <c:spPr>
              <a:solidFill>
                <a:srgbClr val="666666"/>
              </a:solidFill>
              <a:ln cmpd="sng">
                <a:solidFill>
                  <a:srgbClr val="666666"/>
                </a:solidFill>
              </a:ln>
            </c:spPr>
          </c:marker>
          <c:cat>
            <c:strRef>
              <c:f>'2008'!$C$100:$C$117</c:f>
            </c:strRef>
          </c:cat>
          <c:val>
            <c:numRef>
              <c:f>'2008'!$J$100:$J$117</c:f>
            </c:numRef>
          </c:val>
        </c:ser>
        <c:ser>
          <c:idx val="5"/>
          <c:order val="5"/>
          <c:spPr>
            <a:ln w="25400" cmpd="sng">
              <a:solidFill>
                <a:srgbClr val="4942CC"/>
              </a:solidFill>
            </a:ln>
          </c:spPr>
          <c:marker>
            <c:symbol val="circle"/>
            <c:size val="7"/>
            <c:spPr>
              <a:solidFill>
                <a:srgbClr val="4942CC"/>
              </a:solidFill>
              <a:ln cmpd="sng">
                <a:solidFill>
                  <a:srgbClr val="4942CC"/>
                </a:solidFill>
              </a:ln>
            </c:spPr>
          </c:marker>
          <c:cat>
            <c:strRef>
              <c:f>'2008'!$C$100:$C$117</c:f>
            </c:strRef>
          </c:cat>
          <c:val>
            <c:numRef>
              <c:f>'2008'!$K$100:$K$117</c:f>
            </c:numRef>
          </c:val>
        </c:ser>
        <c:ser>
          <c:idx val="6"/>
          <c:order val="6"/>
          <c:spPr>
            <a:ln w="25400" cmpd="sng">
              <a:solidFill>
                <a:srgbClr val="CB4AC5"/>
              </a:solidFill>
            </a:ln>
          </c:spPr>
          <c:marker>
            <c:symbol val="circle"/>
            <c:size val="7"/>
            <c:spPr>
              <a:solidFill>
                <a:srgbClr val="CB4AC5"/>
              </a:solidFill>
              <a:ln cmpd="sng">
                <a:solidFill>
                  <a:srgbClr val="CB4AC5"/>
                </a:solidFill>
              </a:ln>
            </c:spPr>
          </c:marker>
          <c:cat>
            <c:strRef>
              <c:f>'2008'!$C$100:$C$117</c:f>
            </c:strRef>
          </c:cat>
          <c:val>
            <c:numRef>
              <c:f>'2008'!$L$100:$L$117</c:f>
            </c:numRef>
          </c:val>
        </c:ser>
        <c:ser>
          <c:idx val="7"/>
          <c:order val="7"/>
          <c:spPr>
            <a:ln w="25400" cmpd="sng">
              <a:solidFill>
                <a:srgbClr val="D6AE00"/>
              </a:solidFill>
            </a:ln>
          </c:spPr>
          <c:marker>
            <c:symbol val="circle"/>
            <c:size val="7"/>
            <c:spPr>
              <a:solidFill>
                <a:srgbClr val="D6AE00"/>
              </a:solidFill>
              <a:ln cmpd="sng">
                <a:solidFill>
                  <a:srgbClr val="D6AE00"/>
                </a:solidFill>
              </a:ln>
            </c:spPr>
          </c:marker>
          <c:cat>
            <c:strRef>
              <c:f>'2008'!$C$100:$C$117</c:f>
            </c:strRef>
          </c:cat>
          <c:val>
            <c:numRef>
              <c:f>'2008'!$M$100:$M$117</c:f>
            </c:numRef>
          </c:val>
        </c:ser>
        <c:ser>
          <c:idx val="8"/>
          <c:order val="8"/>
          <c:spPr>
            <a:ln w="25400" cmpd="sng">
              <a:solidFill>
                <a:srgbClr val="336699"/>
              </a:solidFill>
            </a:ln>
          </c:spPr>
          <c:marker>
            <c:symbol val="circle"/>
            <c:size val="7"/>
            <c:spPr>
              <a:solidFill>
                <a:srgbClr val="336699"/>
              </a:solidFill>
              <a:ln cmpd="sng">
                <a:solidFill>
                  <a:srgbClr val="336699"/>
                </a:solidFill>
              </a:ln>
            </c:spPr>
          </c:marker>
          <c:cat>
            <c:strRef>
              <c:f>'2008'!$C$100:$C$117</c:f>
            </c:strRef>
          </c:cat>
          <c:val>
            <c:numRef>
              <c:f>'2008'!$N$100:$N$117</c:f>
            </c:numRef>
          </c:val>
        </c:ser>
        <c:ser>
          <c:idx val="9"/>
          <c:order val="9"/>
          <c:spPr>
            <a:ln w="25400" cmpd="sng">
              <a:solidFill>
                <a:srgbClr val="DD4477"/>
              </a:solidFill>
            </a:ln>
          </c:spPr>
          <c:marker>
            <c:symbol val="circle"/>
            <c:size val="7"/>
            <c:spPr>
              <a:solidFill>
                <a:srgbClr val="DD4477"/>
              </a:solidFill>
              <a:ln cmpd="sng">
                <a:solidFill>
                  <a:srgbClr val="DD4477"/>
                </a:solidFill>
              </a:ln>
            </c:spPr>
          </c:marker>
          <c:cat>
            <c:strRef>
              <c:f>'2008'!$C$100:$C$117</c:f>
            </c:strRef>
          </c:cat>
          <c:val>
            <c:numRef>
              <c:f>'2008'!$O$100:$O$117</c:f>
            </c:numRef>
          </c:val>
        </c:ser>
        <c:axId val="163135083"/>
        <c:axId val="1816242373"/>
      </c:lineChart>
      <c:catAx>
        <c:axId val="163135083"/>
        <c:scaling>
          <c:orientation val="minMax"/>
        </c:scaling>
        <c:axPos val="b"/>
        <c:txPr>
          <a:bodyPr/>
          <a:lstStyle/>
          <a:p>
            <a:pPr>
              <a:defRPr/>
            </a:pPr>
          </a:p>
        </c:txPr>
        <c:crossAx val="1816242373"/>
      </c:catAx>
      <c:valAx>
        <c:axId val="1816242373"/>
        <c:scaling>
          <c:orientation val="minMax"/>
        </c:scaling>
        <c:delete val="0"/>
        <c:axPos val="l"/>
        <c:majorGridlines/>
        <c:numFmt sourceLinked="1" formatCode="General"/>
        <c:tickLblPos val="nextTo"/>
        <c:spPr>
          <a:ln w="47625">
            <a:noFill/>
          </a:ln>
        </c:spPr>
        <c:txPr>
          <a:bodyPr/>
          <a:lstStyle/>
          <a:p>
            <a:pPr>
              <a:defRPr/>
            </a:pPr>
          </a:p>
        </c:txPr>
        <c:crossAx val="163135083"/>
      </c:valAx>
    </c:plotArea>
    <c:legend>
      <c:legendPos val="r"/>
      <c:overlay val="0"/>
    </c:legend>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w="25400" cmpd="sng">
              <a:solidFill>
                <a:srgbClr val="4684EE"/>
              </a:solidFill>
            </a:ln>
          </c:spPr>
          <c:marker>
            <c:symbol val="circle"/>
            <c:size val="7"/>
            <c:spPr>
              <a:solidFill>
                <a:srgbClr val="4684EE"/>
              </a:solidFill>
              <a:ln cmpd="sng">
                <a:solidFill>
                  <a:srgbClr val="4684EE"/>
                </a:solidFill>
              </a:ln>
            </c:spPr>
          </c:marker>
          <c:cat>
            <c:strRef>
              <c:f>'2008'!$C$100:$C$117</c:f>
            </c:strRef>
          </c:cat>
          <c:val>
            <c:numRef>
              <c:f>'2008'!$F$100:$F$117</c:f>
            </c:numRef>
          </c:val>
        </c:ser>
        <c:ser>
          <c:idx val="1"/>
          <c:order val="1"/>
          <c:spPr>
            <a:ln w="25400" cmpd="sng">
              <a:solidFill>
                <a:srgbClr val="DC3912"/>
              </a:solidFill>
            </a:ln>
          </c:spPr>
          <c:marker>
            <c:symbol val="circle"/>
            <c:size val="7"/>
            <c:spPr>
              <a:solidFill>
                <a:srgbClr val="DC3912"/>
              </a:solidFill>
              <a:ln cmpd="sng">
                <a:solidFill>
                  <a:srgbClr val="DC3912"/>
                </a:solidFill>
              </a:ln>
            </c:spPr>
          </c:marker>
          <c:cat>
            <c:strRef>
              <c:f>'2008'!$C$100:$C$117</c:f>
            </c:strRef>
          </c:cat>
          <c:val>
            <c:numRef>
              <c:f>'2008'!$G$100:$G$117</c:f>
            </c:numRef>
          </c:val>
        </c:ser>
        <c:ser>
          <c:idx val="2"/>
          <c:order val="2"/>
          <c:spPr>
            <a:ln w="25400" cmpd="sng">
              <a:solidFill>
                <a:srgbClr val="FF9900"/>
              </a:solidFill>
            </a:ln>
          </c:spPr>
          <c:marker>
            <c:symbol val="circle"/>
            <c:size val="7"/>
            <c:spPr>
              <a:solidFill>
                <a:srgbClr val="FF9900"/>
              </a:solidFill>
              <a:ln cmpd="sng">
                <a:solidFill>
                  <a:srgbClr val="FF9900"/>
                </a:solidFill>
              </a:ln>
            </c:spPr>
          </c:marker>
          <c:cat>
            <c:strRef>
              <c:f>'2008'!$C$100:$C$117</c:f>
            </c:strRef>
          </c:cat>
          <c:val>
            <c:numRef>
              <c:f>'2008'!$H$100:$H$117</c:f>
            </c:numRef>
          </c:val>
        </c:ser>
        <c:ser>
          <c:idx val="3"/>
          <c:order val="3"/>
          <c:spPr>
            <a:ln w="25400" cmpd="sng">
              <a:solidFill>
                <a:srgbClr val="008000"/>
              </a:solidFill>
            </a:ln>
          </c:spPr>
          <c:marker>
            <c:symbol val="circle"/>
            <c:size val="7"/>
            <c:spPr>
              <a:solidFill>
                <a:srgbClr val="008000"/>
              </a:solidFill>
              <a:ln cmpd="sng">
                <a:solidFill>
                  <a:srgbClr val="008000"/>
                </a:solidFill>
              </a:ln>
            </c:spPr>
          </c:marker>
          <c:cat>
            <c:strRef>
              <c:f>'2008'!$C$100:$C$117</c:f>
            </c:strRef>
          </c:cat>
          <c:val>
            <c:numRef>
              <c:f>'2008'!$I$100:$I$117</c:f>
            </c:numRef>
          </c:val>
        </c:ser>
        <c:ser>
          <c:idx val="4"/>
          <c:order val="4"/>
          <c:spPr>
            <a:ln w="25400" cmpd="sng">
              <a:solidFill>
                <a:srgbClr val="666666"/>
              </a:solidFill>
            </a:ln>
          </c:spPr>
          <c:marker>
            <c:symbol val="circle"/>
            <c:size val="7"/>
            <c:spPr>
              <a:solidFill>
                <a:srgbClr val="666666"/>
              </a:solidFill>
              <a:ln cmpd="sng">
                <a:solidFill>
                  <a:srgbClr val="666666"/>
                </a:solidFill>
              </a:ln>
            </c:spPr>
          </c:marker>
          <c:cat>
            <c:strRef>
              <c:f>'2008'!$C$100:$C$117</c:f>
            </c:strRef>
          </c:cat>
          <c:val>
            <c:numRef>
              <c:f>'2008'!$J$100:$J$117</c:f>
            </c:numRef>
          </c:val>
        </c:ser>
        <c:ser>
          <c:idx val="5"/>
          <c:order val="5"/>
          <c:spPr>
            <a:ln w="25400" cmpd="sng">
              <a:solidFill>
                <a:srgbClr val="4942CC"/>
              </a:solidFill>
            </a:ln>
          </c:spPr>
          <c:marker>
            <c:symbol val="circle"/>
            <c:size val="7"/>
            <c:spPr>
              <a:solidFill>
                <a:srgbClr val="4942CC"/>
              </a:solidFill>
              <a:ln cmpd="sng">
                <a:solidFill>
                  <a:srgbClr val="4942CC"/>
                </a:solidFill>
              </a:ln>
            </c:spPr>
          </c:marker>
          <c:cat>
            <c:strRef>
              <c:f>'2008'!$C$100:$C$117</c:f>
            </c:strRef>
          </c:cat>
          <c:val>
            <c:numRef>
              <c:f>'2008'!$K$100:$K$117</c:f>
            </c:numRef>
          </c:val>
        </c:ser>
        <c:ser>
          <c:idx val="6"/>
          <c:order val="6"/>
          <c:spPr>
            <a:ln w="25400" cmpd="sng">
              <a:solidFill>
                <a:srgbClr val="CB4AC5"/>
              </a:solidFill>
            </a:ln>
          </c:spPr>
          <c:marker>
            <c:symbol val="circle"/>
            <c:size val="7"/>
            <c:spPr>
              <a:solidFill>
                <a:srgbClr val="CB4AC5"/>
              </a:solidFill>
              <a:ln cmpd="sng">
                <a:solidFill>
                  <a:srgbClr val="CB4AC5"/>
                </a:solidFill>
              </a:ln>
            </c:spPr>
          </c:marker>
          <c:cat>
            <c:strRef>
              <c:f>'2008'!$C$100:$C$117</c:f>
            </c:strRef>
          </c:cat>
          <c:val>
            <c:numRef>
              <c:f>'2008'!$L$100:$L$117</c:f>
            </c:numRef>
          </c:val>
        </c:ser>
        <c:ser>
          <c:idx val="7"/>
          <c:order val="7"/>
          <c:spPr>
            <a:ln w="25400" cmpd="sng">
              <a:solidFill>
                <a:srgbClr val="D6AE00"/>
              </a:solidFill>
            </a:ln>
          </c:spPr>
          <c:marker>
            <c:symbol val="circle"/>
            <c:size val="7"/>
            <c:spPr>
              <a:solidFill>
                <a:srgbClr val="D6AE00"/>
              </a:solidFill>
              <a:ln cmpd="sng">
                <a:solidFill>
                  <a:srgbClr val="D6AE00"/>
                </a:solidFill>
              </a:ln>
            </c:spPr>
          </c:marker>
          <c:cat>
            <c:strRef>
              <c:f>'2008'!$C$100:$C$117</c:f>
            </c:strRef>
          </c:cat>
          <c:val>
            <c:numRef>
              <c:f>'2008'!$M$100:$M$117</c:f>
            </c:numRef>
          </c:val>
        </c:ser>
        <c:ser>
          <c:idx val="8"/>
          <c:order val="8"/>
          <c:spPr>
            <a:ln w="25400" cmpd="sng">
              <a:solidFill>
                <a:srgbClr val="336699"/>
              </a:solidFill>
            </a:ln>
          </c:spPr>
          <c:marker>
            <c:symbol val="circle"/>
            <c:size val="7"/>
            <c:spPr>
              <a:solidFill>
                <a:srgbClr val="336699"/>
              </a:solidFill>
              <a:ln cmpd="sng">
                <a:solidFill>
                  <a:srgbClr val="336699"/>
                </a:solidFill>
              </a:ln>
            </c:spPr>
          </c:marker>
          <c:cat>
            <c:strRef>
              <c:f>'2008'!$C$100:$C$117</c:f>
            </c:strRef>
          </c:cat>
          <c:val>
            <c:numRef>
              <c:f>'2008'!$N$100:$N$117</c:f>
            </c:numRef>
          </c:val>
        </c:ser>
        <c:ser>
          <c:idx val="9"/>
          <c:order val="9"/>
          <c:spPr>
            <a:ln w="25400" cmpd="sng">
              <a:solidFill>
                <a:srgbClr val="DD4477"/>
              </a:solidFill>
            </a:ln>
          </c:spPr>
          <c:marker>
            <c:symbol val="circle"/>
            <c:size val="7"/>
            <c:spPr>
              <a:solidFill>
                <a:srgbClr val="DD4477"/>
              </a:solidFill>
              <a:ln cmpd="sng">
                <a:solidFill>
                  <a:srgbClr val="DD4477"/>
                </a:solidFill>
              </a:ln>
            </c:spPr>
          </c:marker>
          <c:cat>
            <c:strRef>
              <c:f>'2008'!$C$100:$C$117</c:f>
            </c:strRef>
          </c:cat>
          <c:val>
            <c:numRef>
              <c:f>'2008'!$O$100:$O$117</c:f>
            </c:numRef>
          </c:val>
        </c:ser>
        <c:axId val="1689034308"/>
        <c:axId val="1197690327"/>
      </c:lineChart>
      <c:catAx>
        <c:axId val="1689034308"/>
        <c:scaling>
          <c:orientation val="minMax"/>
        </c:scaling>
        <c:axPos val="b"/>
        <c:txPr>
          <a:bodyPr/>
          <a:lstStyle/>
          <a:p>
            <a:pPr>
              <a:defRPr/>
            </a:pPr>
          </a:p>
        </c:txPr>
        <c:crossAx val="1197690327"/>
      </c:catAx>
      <c:valAx>
        <c:axId val="1197690327"/>
        <c:scaling>
          <c:orientation val="minMax"/>
        </c:scaling>
        <c:delete val="0"/>
        <c:axPos val="l"/>
        <c:majorGridlines/>
        <c:numFmt sourceLinked="1" formatCode="General"/>
        <c:tickLblPos val="nextTo"/>
        <c:spPr>
          <a:ln w="47625">
            <a:noFill/>
          </a:ln>
        </c:spPr>
        <c:txPr>
          <a:bodyPr/>
          <a:lstStyle/>
          <a:p>
            <a:pPr>
              <a:defRPr/>
            </a:pPr>
          </a:p>
        </c:txPr>
        <c:crossAx val="1689034308"/>
      </c:valAx>
    </c:plotArea>
    <c:legend>
      <c:legendPos val="r"/>
      <c:overlay val="0"/>
    </c:legend>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a:defRPr/>
            </a:pPr>
            <a:r>
              <a:t>Deductions as a % of AGI</a:t>
            </a:r>
          </a:p>
        </c:rich>
      </c:tx>
      <c:overlay val="0"/>
    </c:title>
    <c:plotArea>
      <c:layout/>
      <c:lineChart>
        <c:ser>
          <c:idx val="0"/>
          <c:order val="0"/>
          <c:spPr>
            <a:ln w="25400" cmpd="sng">
              <a:solidFill>
                <a:srgbClr val="4684EE"/>
              </a:solidFill>
            </a:ln>
          </c:spPr>
          <c:marker>
            <c:symbol val="circle"/>
            <c:size val="7"/>
            <c:spPr>
              <a:solidFill>
                <a:srgbClr val="4684EE"/>
              </a:solidFill>
              <a:ln cmpd="sng">
                <a:solidFill>
                  <a:srgbClr val="4684EE"/>
                </a:solidFill>
              </a:ln>
            </c:spPr>
          </c:marker>
          <c:cat>
            <c:strRef>
              <c:f>'2007'!$C$100:$C$117</c:f>
            </c:strRef>
          </c:cat>
          <c:val>
            <c:numRef>
              <c:f>'2007'!$F$100:$F$117</c:f>
            </c:numRef>
          </c:val>
        </c:ser>
        <c:ser>
          <c:idx val="1"/>
          <c:order val="1"/>
          <c:spPr>
            <a:ln w="25400" cmpd="sng">
              <a:solidFill>
                <a:srgbClr val="DC3912"/>
              </a:solidFill>
            </a:ln>
          </c:spPr>
          <c:marker>
            <c:symbol val="circle"/>
            <c:size val="7"/>
            <c:spPr>
              <a:solidFill>
                <a:srgbClr val="DC3912"/>
              </a:solidFill>
              <a:ln cmpd="sng">
                <a:solidFill>
                  <a:srgbClr val="DC3912"/>
                </a:solidFill>
              </a:ln>
            </c:spPr>
          </c:marker>
          <c:cat>
            <c:strRef>
              <c:f>'2007'!$C$100:$C$117</c:f>
            </c:strRef>
          </c:cat>
          <c:val>
            <c:numRef>
              <c:f>'2007'!$G$100:$G$117</c:f>
            </c:numRef>
          </c:val>
        </c:ser>
        <c:ser>
          <c:idx val="2"/>
          <c:order val="2"/>
          <c:spPr>
            <a:ln w="25400" cmpd="sng">
              <a:solidFill>
                <a:srgbClr val="FF9900"/>
              </a:solidFill>
            </a:ln>
          </c:spPr>
          <c:marker>
            <c:symbol val="circle"/>
            <c:size val="7"/>
            <c:spPr>
              <a:solidFill>
                <a:srgbClr val="FF9900"/>
              </a:solidFill>
              <a:ln cmpd="sng">
                <a:solidFill>
                  <a:srgbClr val="FF9900"/>
                </a:solidFill>
              </a:ln>
            </c:spPr>
          </c:marker>
          <c:cat>
            <c:strRef>
              <c:f>'2007'!$C$100:$C$117</c:f>
            </c:strRef>
          </c:cat>
          <c:val>
            <c:numRef>
              <c:f>'2007'!$H$100:$H$117</c:f>
            </c:numRef>
          </c:val>
        </c:ser>
        <c:ser>
          <c:idx val="3"/>
          <c:order val="3"/>
          <c:spPr>
            <a:ln w="25400" cmpd="sng">
              <a:solidFill>
                <a:srgbClr val="008000"/>
              </a:solidFill>
            </a:ln>
          </c:spPr>
          <c:marker>
            <c:symbol val="circle"/>
            <c:size val="7"/>
            <c:spPr>
              <a:solidFill>
                <a:srgbClr val="008000"/>
              </a:solidFill>
              <a:ln cmpd="sng">
                <a:solidFill>
                  <a:srgbClr val="008000"/>
                </a:solidFill>
              </a:ln>
            </c:spPr>
          </c:marker>
          <c:cat>
            <c:strRef>
              <c:f>'2007'!$C$100:$C$117</c:f>
            </c:strRef>
          </c:cat>
          <c:val>
            <c:numRef>
              <c:f>'2007'!$I$100:$I$117</c:f>
            </c:numRef>
          </c:val>
        </c:ser>
        <c:ser>
          <c:idx val="4"/>
          <c:order val="4"/>
          <c:spPr>
            <a:ln w="25400" cmpd="sng">
              <a:solidFill>
                <a:srgbClr val="666666"/>
              </a:solidFill>
            </a:ln>
          </c:spPr>
          <c:marker>
            <c:symbol val="circle"/>
            <c:size val="7"/>
            <c:spPr>
              <a:solidFill>
                <a:srgbClr val="666666"/>
              </a:solidFill>
              <a:ln cmpd="sng">
                <a:solidFill>
                  <a:srgbClr val="666666"/>
                </a:solidFill>
              </a:ln>
            </c:spPr>
          </c:marker>
          <c:cat>
            <c:strRef>
              <c:f>'2007'!$C$100:$C$117</c:f>
            </c:strRef>
          </c:cat>
          <c:val>
            <c:numRef>
              <c:f>'2007'!$J$100:$J$117</c:f>
            </c:numRef>
          </c:val>
        </c:ser>
        <c:ser>
          <c:idx val="5"/>
          <c:order val="5"/>
          <c:spPr>
            <a:ln w="25400" cmpd="sng">
              <a:solidFill>
                <a:srgbClr val="4942CC"/>
              </a:solidFill>
            </a:ln>
          </c:spPr>
          <c:marker>
            <c:symbol val="circle"/>
            <c:size val="7"/>
            <c:spPr>
              <a:solidFill>
                <a:srgbClr val="4942CC"/>
              </a:solidFill>
              <a:ln cmpd="sng">
                <a:solidFill>
                  <a:srgbClr val="4942CC"/>
                </a:solidFill>
              </a:ln>
            </c:spPr>
          </c:marker>
          <c:cat>
            <c:strRef>
              <c:f>'2007'!$C$100:$C$117</c:f>
            </c:strRef>
          </c:cat>
          <c:val>
            <c:numRef>
              <c:f>'2007'!$K$100:$K$117</c:f>
            </c:numRef>
          </c:val>
        </c:ser>
        <c:ser>
          <c:idx val="6"/>
          <c:order val="6"/>
          <c:spPr>
            <a:ln w="25400" cmpd="sng">
              <a:solidFill>
                <a:srgbClr val="CB4AC5"/>
              </a:solidFill>
            </a:ln>
          </c:spPr>
          <c:marker>
            <c:symbol val="circle"/>
            <c:size val="7"/>
            <c:spPr>
              <a:solidFill>
                <a:srgbClr val="CB4AC5"/>
              </a:solidFill>
              <a:ln cmpd="sng">
                <a:solidFill>
                  <a:srgbClr val="CB4AC5"/>
                </a:solidFill>
              </a:ln>
            </c:spPr>
          </c:marker>
          <c:cat>
            <c:strRef>
              <c:f>'2007'!$C$100:$C$117</c:f>
            </c:strRef>
          </c:cat>
          <c:val>
            <c:numRef>
              <c:f>'2007'!$L$100:$L$117</c:f>
            </c:numRef>
          </c:val>
        </c:ser>
        <c:ser>
          <c:idx val="7"/>
          <c:order val="7"/>
          <c:spPr>
            <a:ln w="25400" cmpd="sng">
              <a:solidFill>
                <a:srgbClr val="D6AE00"/>
              </a:solidFill>
            </a:ln>
          </c:spPr>
          <c:marker>
            <c:symbol val="circle"/>
            <c:size val="7"/>
            <c:spPr>
              <a:solidFill>
                <a:srgbClr val="D6AE00"/>
              </a:solidFill>
              <a:ln cmpd="sng">
                <a:solidFill>
                  <a:srgbClr val="D6AE00"/>
                </a:solidFill>
              </a:ln>
            </c:spPr>
          </c:marker>
          <c:cat>
            <c:strRef>
              <c:f>'2007'!$C$100:$C$117</c:f>
            </c:strRef>
          </c:cat>
          <c:val>
            <c:numRef>
              <c:f>'2007'!$M$100:$M$117</c:f>
            </c:numRef>
          </c:val>
        </c:ser>
        <c:ser>
          <c:idx val="8"/>
          <c:order val="8"/>
          <c:spPr>
            <a:ln w="25400" cmpd="sng">
              <a:solidFill>
                <a:srgbClr val="336699"/>
              </a:solidFill>
            </a:ln>
          </c:spPr>
          <c:marker>
            <c:symbol val="circle"/>
            <c:size val="7"/>
            <c:spPr>
              <a:solidFill>
                <a:srgbClr val="336699"/>
              </a:solidFill>
              <a:ln cmpd="sng">
                <a:solidFill>
                  <a:srgbClr val="336699"/>
                </a:solidFill>
              </a:ln>
            </c:spPr>
          </c:marker>
          <c:cat>
            <c:strRef>
              <c:f>'2007'!$C$100:$C$117</c:f>
            </c:strRef>
          </c:cat>
          <c:val>
            <c:numRef>
              <c:f>'2007'!$N$100:$N$117</c:f>
            </c:numRef>
          </c:val>
        </c:ser>
        <c:ser>
          <c:idx val="9"/>
          <c:order val="9"/>
          <c:spPr>
            <a:ln w="25400" cmpd="sng">
              <a:solidFill>
                <a:srgbClr val="DD4477"/>
              </a:solidFill>
            </a:ln>
          </c:spPr>
          <c:marker>
            <c:symbol val="circle"/>
            <c:size val="7"/>
            <c:spPr>
              <a:solidFill>
                <a:srgbClr val="DD4477"/>
              </a:solidFill>
              <a:ln cmpd="sng">
                <a:solidFill>
                  <a:srgbClr val="DD4477"/>
                </a:solidFill>
              </a:ln>
            </c:spPr>
          </c:marker>
          <c:cat>
            <c:strRef>
              <c:f>'2007'!$C$100:$C$117</c:f>
            </c:strRef>
          </c:cat>
          <c:val>
            <c:numRef>
              <c:f>'2007'!$O$100:$O$117</c:f>
            </c:numRef>
          </c:val>
        </c:ser>
        <c:axId val="90112483"/>
        <c:axId val="1870136508"/>
      </c:lineChart>
      <c:catAx>
        <c:axId val="90112483"/>
        <c:scaling>
          <c:orientation val="minMax"/>
        </c:scaling>
        <c:axPos val="b"/>
        <c:txPr>
          <a:bodyPr/>
          <a:lstStyle/>
          <a:p>
            <a:pPr>
              <a:defRPr/>
            </a:pPr>
          </a:p>
        </c:txPr>
        <c:crossAx val="1870136508"/>
      </c:catAx>
      <c:valAx>
        <c:axId val="1870136508"/>
        <c:scaling>
          <c:orientation val="minMax"/>
        </c:scaling>
        <c:delete val="0"/>
        <c:axPos val="l"/>
        <c:majorGridlines/>
        <c:numFmt sourceLinked="1" formatCode="General"/>
        <c:tickLblPos val="nextTo"/>
        <c:spPr>
          <a:ln w="47625">
            <a:noFill/>
          </a:ln>
        </c:spPr>
        <c:txPr>
          <a:bodyPr/>
          <a:lstStyle/>
          <a:p>
            <a:pPr>
              <a:defRPr/>
            </a:pPr>
          </a:p>
        </c:txPr>
        <c:crossAx val="90112483"/>
      </c:valAx>
    </c:plotArea>
    <c:legend>
      <c:legendPos val="r"/>
      <c:overlay val="0"/>
    </c:legend>
  </c:chart>
</c:chartSpace>
</file>

<file path=xl/drawings/_rels/drawing1.xml.rels><?xml version="1.0" encoding="UTF-8" standalone="yes"?><Relationships xmlns="http://schemas.openxmlformats.org/package/2006/relationships"><Relationship Target="../charts/chart1.xml" Type="http://schemas.openxmlformats.org/officeDocument/2006/relationships/chart" Id="rId1"/></Relationships>
</file>

<file path=xl/drawings/_rels/drawing2.xml.rels><?xml version="1.0" encoding="UTF-8" standalone="yes"?><Relationships xmlns="http://schemas.openxmlformats.org/package/2006/relationships"><Relationship Target="../charts/chart2.xml" Type="http://schemas.openxmlformats.org/officeDocument/2006/relationships/chart" Id="rId1"/></Relationships>
</file>

<file path=xl/drawings/_rels/drawing3.xml.rels><?xml version="1.0" encoding="UTF-8" standalone="yes"?><Relationships xmlns="http://schemas.openxmlformats.org/package/2006/relationships"><Relationship Target="../charts/chart3.xml" Type="http://schemas.openxmlformats.org/officeDocument/2006/relationships/chart" Id="rId1"/></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xdr:oneCellAnchor>
    <xdr:from>
      <xdr:col>4</xdr:col>
      <xdr:colOff>352425</xdr:colOff>
      <xdr:row>120</xdr:row>
      <xdr:rowOff>0</xdr:rowOff>
    </xdr:from>
    <xdr:ext cy="952500" cx="6038850"/>
    <xdr:graphicFrame>
      <xdr:nvGraphicFramePr>
        <xdr:cNvPr id="1" name="Chart 1"/>
        <xdr:cNvGraphicFramePr/>
      </xdr:nvGraphicFramePr>
      <xdr:xfrm>
        <a:off y="0" x="0"/>
        <a:ext cy="0" cx="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xdr:oneCellAnchor>
    <xdr:from>
      <xdr:col>3</xdr:col>
      <xdr:colOff>895350</xdr:colOff>
      <xdr:row>113</xdr:row>
      <xdr:rowOff>0</xdr:rowOff>
    </xdr:from>
    <xdr:ext cy="952500" cx="6038850"/>
    <xdr:graphicFrame>
      <xdr:nvGraphicFramePr>
        <xdr:cNvPr id="2" name="Chart 2"/>
        <xdr:cNvGraphicFramePr/>
      </xdr:nvGraphicFramePr>
      <xdr:xfrm>
        <a:off y="0" x="0"/>
        <a:ext cy="0" cx="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xdr:oneCellAnchor>
    <xdr:from>
      <xdr:col>0</xdr:col>
      <xdr:colOff>3867150</xdr:colOff>
      <xdr:row>72</xdr:row>
      <xdr:rowOff>57150</xdr:rowOff>
    </xdr:from>
    <xdr:ext cy="3514725" cx="6038850"/>
    <xdr:graphicFrame>
      <xdr:nvGraphicFramePr>
        <xdr:cNvPr id="3" name="Chart 3"/>
        <xdr:cNvGraphicFramePr/>
      </xdr:nvGraphicFramePr>
      <xdr:xfrm>
        <a:off y="0" x="0"/>
        <a:ext cy="0" cx="0"/>
      </xdr:xfrm>
      <a:graphic>
        <a:graphicData uri="http://schemas.openxmlformats.org/drawingml/2006/chart">
          <c:chart r:id="rId1"/>
        </a:graphicData>
      </a:graphic>
    </xdr:graphicFrame>
    <xdr:clientData fLocksWithSheet="0"/>
  </xdr:oneCellAnchor>
</xdr:wsDr>
</file>

<file path=xl/worksheets/_rels/sheet2.xml.rels><?xml version="1.0" encoding="UTF-8" standalone="yes"?><Relationships xmlns="http://schemas.openxmlformats.org/package/2006/relationships"><Relationship Target="../drawings/drawing1.xml" Type="http://schemas.openxmlformats.org/officeDocument/2006/relationships/drawing" Id="rId1"/></Relationships>
</file>

<file path=xl/worksheets/_rels/sheet3.xml.rels><?xml version="1.0" encoding="UTF-8" standalone="yes"?><Relationships xmlns="http://schemas.openxmlformats.org/package/2006/relationships"><Relationship Target="../drawings/drawing2.xml" Type="http://schemas.openxmlformats.org/officeDocument/2006/relationships/drawing" Id="rId1"/></Relationships>
</file>

<file path=xl/worksheets/_rels/sheet4.xml.rels><?xml version="1.0" encoding="UTF-8" standalone="yes"?><Relationships xmlns="http://schemas.openxmlformats.org/package/2006/relationships"><Relationship Target="../drawings/drawing3.xml" Type="http://schemas.openxmlformats.org/officeDocument/2006/relationships/drawing" Id="rId1"/></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5.0"/>
  <sheetData>
    <row r="5">
      <c t="s" s="8" r="C5">
        <v>0</v>
      </c>
    </row>
  </sheetData>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0"/>
  <cols>
    <col min="1" customWidth="1" max="1" width="61.71"/>
    <col min="2" customWidth="1" max="130" width="16.0"/>
  </cols>
  <sheetData>
    <row customHeight="1" r="1" ht="39.75">
      <c t="s" s="1" r="A1">
        <v>1</v>
      </c>
    </row>
    <row customHeight="1" r="2" ht="15.0">
      <c t="s" s="13" r="A2">
        <v>2</v>
      </c>
      <c s="41" r="B2"/>
      <c s="41" r="C2"/>
      <c s="41" r="D2"/>
      <c s="41" r="E2"/>
      <c s="41" r="F2"/>
      <c s="41" r="G2"/>
      <c s="41" r="H2"/>
      <c s="41" r="I2"/>
      <c s="41" r="J2"/>
      <c s="41" r="K2"/>
      <c s="41" r="L2"/>
      <c s="41" r="M2"/>
      <c s="41" r="N2"/>
      <c s="41" r="O2"/>
      <c s="41" r="P2"/>
      <c s="41" r="Q2"/>
      <c s="41" r="R2"/>
      <c s="41" r="S2"/>
      <c s="41" r="T2"/>
      <c s="41" r="U2"/>
      <c s="41" r="V2"/>
      <c s="41" r="W2"/>
      <c s="41" r="X2"/>
      <c s="41" r="Y2"/>
      <c s="41" r="Z2"/>
      <c s="41" r="AA2"/>
      <c s="41" r="AB2"/>
      <c s="41" r="AC2"/>
      <c s="41" r="AD2"/>
      <c s="41" r="AE2"/>
      <c s="41" r="AF2"/>
      <c s="41" r="AG2"/>
      <c s="41" r="AH2"/>
      <c s="41" r="AI2"/>
      <c s="41" r="AJ2"/>
      <c s="41" r="AK2"/>
      <c s="41" r="AL2"/>
      <c s="41" r="AM2"/>
      <c s="41" r="AN2"/>
      <c s="41" r="AO2"/>
      <c s="41" r="AP2"/>
      <c s="41" r="AQ2"/>
      <c s="41" r="AR2"/>
      <c s="41" r="AS2"/>
      <c s="41" r="AT2"/>
      <c s="41" r="AU2"/>
      <c s="41" r="AV2"/>
      <c s="41" r="AW2"/>
      <c s="41" r="AX2"/>
      <c s="41" r="AY2"/>
      <c s="41" r="AZ2"/>
      <c s="41" r="BA2"/>
      <c s="41" r="BB2"/>
      <c s="41" r="BC2"/>
      <c s="41" r="BD2"/>
      <c s="41" r="BE2"/>
      <c s="41" r="BF2"/>
      <c s="41" r="BG2"/>
      <c s="41" r="BH2"/>
      <c s="41" r="BI2"/>
      <c s="41" r="BJ2"/>
      <c s="41" r="BK2"/>
      <c s="41" r="BL2"/>
      <c s="41" r="BM2"/>
      <c s="41" r="BN2"/>
      <c s="41" r="BO2"/>
      <c s="41" r="BP2"/>
      <c s="41" r="BQ2"/>
      <c s="41" r="BR2"/>
      <c s="41" r="BS2"/>
      <c s="41" r="BT2"/>
      <c s="41" r="BU2"/>
      <c s="41" r="BV2"/>
      <c s="41" r="BW2"/>
      <c s="41" r="BX2"/>
      <c s="41" r="BY2"/>
      <c s="41" r="BZ2"/>
      <c s="41" r="CA2"/>
      <c s="41" r="CB2"/>
      <c s="41" r="CC2"/>
      <c s="41" r="CD2"/>
      <c s="41" r="CE2"/>
      <c s="41" r="CF2"/>
      <c s="41" r="CG2"/>
      <c s="41" r="CH2"/>
      <c s="41" r="CI2"/>
      <c s="41" r="CJ2"/>
      <c s="41" r="CK2"/>
      <c s="41" r="CL2"/>
      <c s="41" r="CM2"/>
      <c s="41" r="CN2"/>
      <c s="41" r="CO2"/>
      <c s="41" r="CP2"/>
      <c s="41" r="CQ2"/>
      <c s="41" r="CR2"/>
      <c s="41" r="CS2"/>
      <c s="41" r="CT2"/>
      <c s="41" r="CU2"/>
      <c s="41" r="CV2"/>
      <c s="41" r="CW2"/>
      <c s="41" r="CX2"/>
      <c s="41" r="CY2"/>
      <c s="41" r="CZ2"/>
      <c s="41" r="DA2"/>
      <c s="41" r="DB2"/>
      <c s="41" r="DC2"/>
      <c s="41" r="DD2"/>
      <c s="41" r="DE2"/>
      <c s="41" r="DF2"/>
      <c s="41" r="DG2"/>
      <c s="41" r="DH2"/>
      <c s="41" r="DI2"/>
      <c s="41" r="DJ2"/>
      <c s="41" r="DK2"/>
      <c s="41" r="DL2"/>
      <c s="41" r="DM2"/>
      <c s="41" r="DN2"/>
      <c s="41" r="DO2"/>
      <c s="41" r="DP2"/>
      <c s="41" r="DQ2"/>
      <c s="41" r="DR2"/>
      <c s="41" r="DS2"/>
      <c s="41" r="DT2"/>
      <c s="41" r="DU2"/>
      <c s="41" r="DV2"/>
      <c s="41" r="DW2"/>
      <c s="41" r="DX2"/>
      <c s="41" r="DY2"/>
      <c s="41" r="DZ2"/>
    </row>
    <row customHeight="1" r="3" ht="15.0">
      <c t="s" s="46" r="A3">
        <v>3</v>
      </c>
      <c t="s" s="5" r="B3">
        <v>4</v>
      </c>
      <c t="s" s="5" r="C3">
        <v>5</v>
      </c>
      <c t="s" s="33" r="D3">
        <v>6</v>
      </c>
      <c s="21" r="E3"/>
      <c t="s" s="33" r="F3">
        <v>7</v>
      </c>
      <c s="21" r="G3"/>
      <c t="s" s="33" r="H3">
        <v>8</v>
      </c>
      <c s="21" r="I3"/>
      <c t="s" s="33" r="J3">
        <v>9</v>
      </c>
      <c s="21" r="K3"/>
      <c t="s" s="33" r="L3">
        <v>10</v>
      </c>
      <c s="21" r="M3"/>
      <c t="s" s="33" r="N3">
        <v>11</v>
      </c>
      <c s="21" r="O3"/>
      <c t="s" s="33" r="P3">
        <v>12</v>
      </c>
      <c s="21" r="Q3"/>
      <c t="s" s="33" r="R3">
        <v>13</v>
      </c>
      <c s="21" r="S3"/>
      <c t="s" s="51" r="T3">
        <v>14</v>
      </c>
      <c s="21" r="U3"/>
      <c t="s" s="51" r="V3">
        <v>15</v>
      </c>
      <c s="21" r="W3"/>
      <c t="s" s="51" r="X3">
        <v>16</v>
      </c>
      <c s="21" r="Y3"/>
      <c t="s" s="51" r="Z3">
        <v>17</v>
      </c>
      <c s="21" r="AA3"/>
      <c t="s" s="51" r="AB3">
        <v>18</v>
      </c>
      <c s="21" r="AC3"/>
      <c t="s" s="64" r="AD3">
        <v>19</v>
      </c>
      <c s="21" r="AE3"/>
      <c t="s" s="64" r="AF3">
        <v>20</v>
      </c>
      <c s="21" r="AG3"/>
      <c t="s" s="64" r="AH3">
        <v>21</v>
      </c>
      <c s="21" r="AI3"/>
      <c t="s" s="64" r="AJ3">
        <v>22</v>
      </c>
      <c s="21" r="AK3"/>
      <c t="s" s="64" r="AL3">
        <v>23</v>
      </c>
      <c s="21" r="AM3"/>
      <c t="s" s="64" r="AN3">
        <v>24</v>
      </c>
      <c s="21" r="AO3"/>
      <c t="s" s="64" r="AP3">
        <v>25</v>
      </c>
      <c s="21" r="AQ3"/>
      <c t="s" s="64" r="AR3">
        <v>26</v>
      </c>
      <c s="21" r="AS3"/>
      <c t="s" s="64" r="AT3">
        <v>27</v>
      </c>
      <c s="21" r="AU3"/>
      <c t="s" s="64" r="AV3">
        <v>28</v>
      </c>
      <c s="21" r="AW3"/>
      <c t="s" s="64" r="AX3">
        <v>29</v>
      </c>
      <c s="21" r="AY3"/>
      <c t="s" s="4" r="AZ3">
        <v>30</v>
      </c>
      <c s="11" r="BA3"/>
      <c s="11" r="BB3"/>
      <c s="11" r="BC3"/>
      <c s="11" r="BD3"/>
      <c s="11" r="BE3"/>
      <c s="11" r="BF3"/>
      <c s="11" r="BG3"/>
      <c s="11" r="BH3"/>
      <c s="11" r="BI3"/>
      <c s="11" r="BJ3"/>
      <c s="11" r="BK3"/>
      <c s="11" r="BL3"/>
      <c s="11" r="BM3"/>
      <c s="11" r="BN3"/>
      <c s="11" r="BO3"/>
      <c s="11" r="BP3"/>
      <c s="11" r="BQ3"/>
      <c s="11" r="BR3"/>
      <c s="11" r="BS3"/>
      <c s="11" r="BT3"/>
      <c s="11" r="BU3"/>
      <c s="11" r="BV3"/>
      <c s="11" r="BW3"/>
      <c s="11" r="BX3"/>
      <c s="11" r="BY3"/>
      <c s="11" r="BZ3"/>
      <c s="11" r="CA3"/>
      <c s="11" r="CB3"/>
      <c s="11" r="CC3"/>
      <c s="11" r="CD3"/>
      <c s="11" r="CE3"/>
      <c s="11" r="CF3"/>
      <c s="11" r="CG3"/>
      <c s="11" r="CH3"/>
      <c s="11" r="CI3"/>
      <c s="11" r="CJ3"/>
      <c s="11" r="CK3"/>
      <c s="11" r="CL3"/>
      <c s="11" r="CM3"/>
      <c s="11" r="CN3"/>
      <c s="11" r="CO3"/>
      <c s="11" r="CP3"/>
      <c s="11" r="CQ3"/>
      <c s="11" r="CR3"/>
      <c s="11" r="CS3"/>
      <c s="11" r="CT3"/>
      <c s="11" r="CU3"/>
      <c s="11" r="CV3"/>
      <c s="11" r="CW3"/>
      <c s="11" r="CX3"/>
      <c s="11" r="CY3"/>
      <c s="11" r="CZ3"/>
      <c s="11" r="DA3"/>
      <c s="11" r="DB3"/>
      <c s="11" r="DC3"/>
      <c s="11" r="DD3"/>
      <c s="11" r="DE3"/>
      <c s="11" r="DF3"/>
      <c s="11" r="DG3"/>
      <c s="11" r="DH3"/>
      <c s="11" r="DI3"/>
      <c s="11" r="DJ3"/>
      <c s="11" r="DK3"/>
      <c s="54" r="DL3"/>
      <c t="s" s="33" r="DM3">
        <v>31</v>
      </c>
      <c s="21" r="DN3"/>
      <c t="s" s="64" r="DO3">
        <v>32</v>
      </c>
      <c s="21" r="DP3"/>
      <c t="s" s="51" r="DQ3">
        <v>33</v>
      </c>
      <c s="21" r="DR3"/>
      <c t="s" s="51" r="DS3">
        <v>34</v>
      </c>
      <c s="21" r="DT3"/>
      <c t="s" s="51" r="DU3">
        <v>35</v>
      </c>
      <c s="21" r="DV3"/>
      <c t="s" s="51" r="DW3">
        <v>36</v>
      </c>
      <c s="21" r="DX3"/>
      <c t="s" s="51" r="DY3">
        <v>37</v>
      </c>
      <c s="2" r="DZ3"/>
    </row>
    <row customHeight="1" r="4" ht="15.0">
      <c s="7" r="AY4"/>
      <c t="s" s="5" r="AZ4">
        <v>38</v>
      </c>
      <c t="s" s="64" r="BA4">
        <v>39</v>
      </c>
      <c s="21" r="BB4"/>
      <c t="s" s="20" r="BC4">
        <v>40</v>
      </c>
      <c s="11" r="BD4"/>
      <c s="11" r="BE4"/>
      <c s="11" r="BF4"/>
      <c s="11" r="BG4"/>
      <c s="54" r="BH4"/>
      <c t="s" s="9" r="BI4">
        <v>41</v>
      </c>
      <c s="11" r="BJ4"/>
      <c s="11" r="BK4"/>
      <c s="11" r="BL4"/>
      <c s="11" r="BM4"/>
      <c s="11" r="BN4"/>
      <c s="11" r="BO4"/>
      <c s="11" r="BP4"/>
      <c s="11" r="BQ4"/>
      <c s="11" r="BR4"/>
      <c s="11" r="BS4"/>
      <c s="11" r="BT4"/>
      <c s="11" r="BU4"/>
      <c s="11" r="BV4"/>
      <c s="11" r="BW4"/>
      <c s="54" r="BX4"/>
      <c t="s" s="9" r="BY4">
        <v>42</v>
      </c>
      <c s="11" r="BZ4"/>
      <c s="11" r="CA4"/>
      <c s="11" r="CB4"/>
      <c s="11" r="CC4"/>
      <c s="11" r="CD4"/>
      <c s="11" r="CE4"/>
      <c s="11" r="CF4"/>
      <c s="11" r="CG4"/>
      <c s="11" r="CH4"/>
      <c s="11" r="CI4"/>
      <c s="11" r="CJ4"/>
      <c s="11" r="CK4"/>
      <c s="54" r="CL4"/>
      <c t="s" s="4" r="CM4">
        <v>43</v>
      </c>
      <c s="11" r="CN4"/>
      <c s="11" r="CO4"/>
      <c s="11" r="CP4"/>
      <c s="11" r="CQ4"/>
      <c s="11" r="CR4"/>
      <c s="11" r="CS4"/>
      <c s="54" r="CT4"/>
      <c t="s" s="34" r="CU4">
        <v>44</v>
      </c>
      <c s="21" r="CV4"/>
      <c t="s" s="9" r="CW4">
        <v>45</v>
      </c>
      <c s="11" r="CX4"/>
      <c s="11" r="CY4"/>
      <c s="11" r="CZ4"/>
      <c s="11" r="DA4"/>
      <c s="11" r="DB4"/>
      <c s="11" r="DC4"/>
      <c s="11" r="DD4"/>
      <c s="11" r="DE4"/>
      <c s="54" r="DF4"/>
      <c t="s" s="16" r="DG4">
        <v>46</v>
      </c>
      <c s="11" r="DH4"/>
      <c s="11" r="DI4"/>
      <c s="11" r="DJ4"/>
      <c s="11" r="DK4"/>
      <c s="11" r="DL4"/>
    </row>
    <row customHeight="1" r="5" ht="15.0">
      <c s="7" r="BB5"/>
      <c t="s" s="64" r="BC5">
        <v>38</v>
      </c>
      <c s="21" r="BD5"/>
      <c t="s" s="5" r="BE5">
        <v>47</v>
      </c>
      <c s="21" r="BF5"/>
      <c t="s" s="5" r="BG5">
        <v>48</v>
      </c>
      <c s="21" r="BH5"/>
      <c t="s" s="34" r="BI5">
        <v>38</v>
      </c>
      <c s="21" r="BJ5"/>
      <c t="s" s="9" r="BK5">
        <v>49</v>
      </c>
      <c s="11" r="BL5"/>
      <c s="11" r="BM5"/>
      <c s="11" r="BN5"/>
      <c s="11" r="BO5"/>
      <c s="54" r="BP5"/>
      <c t="s" s="51" r="BQ5">
        <v>50</v>
      </c>
      <c s="21" r="BR5"/>
      <c t="s" s="51" r="BS5">
        <v>51</v>
      </c>
      <c s="21" r="BT5"/>
      <c t="s" s="51" r="BU5">
        <v>52</v>
      </c>
      <c s="21" r="BV5"/>
      <c t="s" s="51" r="BW5">
        <v>53</v>
      </c>
      <c s="21" r="BX5"/>
      <c t="s" s="34" r="BY5">
        <v>38</v>
      </c>
      <c s="21" r="BZ5"/>
      <c t="s" s="9" r="CA5">
        <v>54</v>
      </c>
      <c s="11" r="CB5"/>
      <c s="11" r="CC5"/>
      <c s="11" r="CD5"/>
      <c s="11" r="CE5"/>
      <c s="54" r="CF5"/>
      <c t="s" s="33" r="CG5">
        <v>55</v>
      </c>
      <c s="21" r="CH5"/>
      <c t="s" s="64" r="CI5">
        <v>56</v>
      </c>
      <c s="21" r="CJ5"/>
      <c t="s" s="64" r="CK5">
        <v>57</v>
      </c>
      <c s="21" r="CL5"/>
      <c t="s" s="34" r="CM5">
        <v>38</v>
      </c>
      <c s="21" r="CN5"/>
      <c t="s" s="64" r="CO5">
        <v>58</v>
      </c>
      <c s="21" r="CP5"/>
      <c t="s" s="51" r="CQ5">
        <v>59</v>
      </c>
      <c s="21" r="CR5"/>
      <c t="s" s="51" r="CS5">
        <v>60</v>
      </c>
      <c s="2" r="CT5"/>
      <c s="7" r="CV5"/>
      <c t="s" s="51" r="CW5">
        <v>61</v>
      </c>
      <c s="21" r="CX5"/>
      <c t="s" s="51" r="CY5">
        <v>62</v>
      </c>
      <c s="21" r="CZ5"/>
      <c t="s" s="51" r="DA5">
        <v>63</v>
      </c>
      <c s="21" r="DB5"/>
      <c t="s" s="51" r="DC5">
        <v>64</v>
      </c>
      <c s="21" r="DD5"/>
      <c t="s" s="51" r="DE5">
        <v>65</v>
      </c>
      <c s="21" r="DF5"/>
      <c t="s" s="51" r="DG5">
        <v>38</v>
      </c>
      <c s="21" r="DH5"/>
      <c t="s" s="51" r="DI5">
        <v>66</v>
      </c>
      <c s="21" r="DJ5"/>
      <c t="s" s="51" r="DK5">
        <v>67</v>
      </c>
      <c s="2" r="DL5"/>
    </row>
    <row customHeight="1" r="6" ht="15.0">
      <c s="41" r="D6"/>
      <c s="41" r="E6"/>
      <c s="41" r="F6"/>
      <c s="41" r="G6"/>
      <c s="41" r="H6"/>
      <c s="41" r="I6"/>
      <c s="41" r="J6"/>
      <c s="41" r="K6"/>
      <c s="41" r="L6"/>
      <c s="41" r="M6"/>
      <c s="41" r="N6"/>
      <c s="41" r="O6"/>
      <c s="41" r="P6"/>
      <c s="41" r="Q6"/>
      <c s="41" r="R6"/>
      <c s="41" r="S6"/>
      <c s="41" r="T6"/>
      <c s="41" r="U6"/>
      <c s="41" r="V6"/>
      <c s="41" r="W6"/>
      <c s="41" r="X6"/>
      <c s="41" r="Y6"/>
      <c s="41" r="Z6"/>
      <c s="41" r="AA6"/>
      <c s="41" r="AB6"/>
      <c s="41" r="AC6"/>
      <c s="41" r="AD6"/>
      <c s="41" r="AE6"/>
      <c s="41" r="AF6"/>
      <c s="41" r="AG6"/>
      <c s="41" r="AH6"/>
      <c s="41" r="AI6"/>
      <c s="41" r="AJ6"/>
      <c s="41" r="AK6"/>
      <c s="41" r="AL6"/>
      <c s="41" r="AM6"/>
      <c s="41" r="AN6"/>
      <c s="41" r="AO6"/>
      <c s="41" r="AP6"/>
      <c s="41" r="AQ6"/>
      <c s="41" r="AR6"/>
      <c s="41" r="AS6"/>
      <c s="41" r="AT6"/>
      <c s="41" r="AU6"/>
      <c s="41" r="AV6"/>
      <c s="41" r="AW6"/>
      <c s="41" r="AX6"/>
      <c s="41" r="AY6"/>
      <c s="41" r="BA6"/>
      <c s="41" r="BB6"/>
      <c s="41" r="BC6"/>
      <c s="41" r="BD6"/>
      <c s="41" r="BE6"/>
      <c s="41" r="BF6"/>
      <c s="41" r="BG6"/>
      <c s="41" r="BH6"/>
      <c s="41" r="BI6"/>
      <c s="62" r="BJ6"/>
      <c t="s" s="9" r="BK6">
        <v>38</v>
      </c>
      <c s="54" r="BL6"/>
      <c t="s" s="9" r="BM6">
        <v>68</v>
      </c>
      <c s="54" r="BN6"/>
      <c t="s" s="9" r="BO6">
        <v>69</v>
      </c>
      <c s="11" r="BP6"/>
      <c s="41" r="BQ6"/>
      <c s="41" r="BR6"/>
      <c s="41" r="BS6"/>
      <c s="41" r="BT6"/>
      <c s="41" r="BU6"/>
      <c s="41" r="BV6"/>
      <c s="41" r="BW6"/>
      <c s="41" r="BX6"/>
      <c s="41" r="BY6"/>
      <c s="62" r="BZ6"/>
      <c t="s" s="9" r="CA6">
        <v>38</v>
      </c>
      <c s="54" r="CB6"/>
      <c t="s" s="4" r="CC6">
        <v>70</v>
      </c>
      <c s="54" r="CD6"/>
      <c t="s" s="4" r="CE6">
        <v>71</v>
      </c>
      <c s="11" r="CF6"/>
      <c s="41" r="CG6"/>
      <c s="41" r="CH6"/>
      <c s="41" r="CI6"/>
      <c s="41" r="CJ6"/>
      <c s="41" r="CK6"/>
      <c s="41" r="CL6"/>
      <c s="41" r="CM6"/>
      <c s="41" r="CN6"/>
      <c s="41" r="CO6"/>
      <c s="41" r="CP6"/>
      <c s="41" r="CQ6"/>
      <c s="41" r="CR6"/>
      <c s="41" r="CS6"/>
      <c s="41" r="CT6"/>
      <c s="41" r="CU6"/>
      <c s="41" r="CV6"/>
      <c s="41" r="CW6"/>
      <c s="41" r="CX6"/>
      <c s="41" r="CY6"/>
      <c s="41" r="CZ6"/>
      <c s="41" r="DA6"/>
      <c s="41" r="DB6"/>
      <c s="41" r="DC6"/>
      <c s="41" r="DD6"/>
      <c s="41" r="DE6"/>
      <c s="41" r="DF6"/>
      <c s="41" r="DG6"/>
      <c s="41" r="DH6"/>
      <c s="41" r="DI6"/>
      <c s="41" r="DJ6"/>
      <c s="41" r="DK6"/>
      <c s="41" r="DL6"/>
      <c s="41" r="DM6"/>
      <c s="41" r="DN6"/>
      <c s="41" r="DO6"/>
      <c s="41" r="DP6"/>
      <c s="41" r="DQ6"/>
      <c s="41" r="DR6"/>
      <c s="41" r="DS6"/>
      <c s="41" r="DT6"/>
      <c s="41" r="DU6"/>
      <c s="41" r="DV6"/>
      <c s="41" r="DW6"/>
      <c s="41" r="DX6"/>
      <c s="41" r="DY6"/>
      <c s="41" r="DZ6"/>
    </row>
    <row customHeight="1" r="7" ht="15.0">
      <c s="7" r="C7"/>
      <c t="s" s="5" r="D7">
        <v>72</v>
      </c>
      <c t="s" s="57" r="E7">
        <v>73</v>
      </c>
      <c t="s" s="5" r="F7">
        <v>72</v>
      </c>
      <c t="s" s="57" r="G7">
        <v>73</v>
      </c>
      <c t="s" s="5" r="H7">
        <v>72</v>
      </c>
      <c t="s" s="57" r="I7">
        <v>73</v>
      </c>
      <c t="s" s="5" r="J7">
        <v>72</v>
      </c>
      <c t="s" s="57" r="K7">
        <v>73</v>
      </c>
      <c t="s" s="5" r="L7">
        <v>72</v>
      </c>
      <c t="s" s="57" r="M7">
        <v>73</v>
      </c>
      <c t="s" s="5" r="N7">
        <v>72</v>
      </c>
      <c t="s" s="57" r="O7">
        <v>73</v>
      </c>
      <c t="s" s="5" r="P7">
        <v>72</v>
      </c>
      <c t="s" s="57" r="Q7">
        <v>73</v>
      </c>
      <c t="s" s="5" r="R7">
        <v>72</v>
      </c>
      <c t="s" s="57" r="S7">
        <v>73</v>
      </c>
      <c t="s" s="5" r="T7">
        <v>72</v>
      </c>
      <c t="s" s="57" r="U7">
        <v>73</v>
      </c>
      <c t="s" s="5" r="V7">
        <v>72</v>
      </c>
      <c t="s" s="57" r="W7">
        <v>73</v>
      </c>
      <c t="s" s="5" r="X7">
        <v>72</v>
      </c>
      <c t="s" s="57" r="Y7">
        <v>73</v>
      </c>
      <c t="s" s="5" r="Z7">
        <v>72</v>
      </c>
      <c t="s" s="57" r="AA7">
        <v>73</v>
      </c>
      <c t="s" s="5" r="AB7">
        <v>72</v>
      </c>
      <c t="s" s="57" r="AC7">
        <v>73</v>
      </c>
      <c t="s" s="5" r="AD7">
        <v>72</v>
      </c>
      <c t="s" s="57" r="AE7">
        <v>73</v>
      </c>
      <c t="s" s="5" r="AF7">
        <v>72</v>
      </c>
      <c t="s" s="57" r="AG7">
        <v>73</v>
      </c>
      <c t="s" s="5" r="AH7">
        <v>72</v>
      </c>
      <c t="s" s="57" r="AI7">
        <v>73</v>
      </c>
      <c t="s" s="5" r="AJ7">
        <v>72</v>
      </c>
      <c t="s" s="57" r="AK7">
        <v>73</v>
      </c>
      <c t="s" s="5" r="AL7">
        <v>72</v>
      </c>
      <c t="s" s="57" r="AM7">
        <v>73</v>
      </c>
      <c t="s" s="5" r="AN7">
        <v>72</v>
      </c>
      <c t="s" s="57" r="AO7">
        <v>73</v>
      </c>
      <c t="s" s="5" r="AP7">
        <v>72</v>
      </c>
      <c t="s" s="57" r="AQ7">
        <v>73</v>
      </c>
      <c t="s" s="5" r="AR7">
        <v>72</v>
      </c>
      <c t="s" s="57" r="AS7">
        <v>73</v>
      </c>
      <c t="s" s="5" r="AT7">
        <v>72</v>
      </c>
      <c t="s" s="57" r="AU7">
        <v>73</v>
      </c>
      <c t="s" s="5" r="AV7">
        <v>72</v>
      </c>
      <c t="s" s="57" r="AW7">
        <v>73</v>
      </c>
      <c t="s" s="5" r="AX7">
        <v>72</v>
      </c>
      <c t="s" s="57" r="AY7">
        <v>73</v>
      </c>
      <c s="35" r="AZ7"/>
      <c t="s" s="5" r="BA7">
        <v>72</v>
      </c>
      <c t="s" s="57" r="BB7">
        <v>73</v>
      </c>
      <c t="s" s="5" r="BC7">
        <v>72</v>
      </c>
      <c t="s" s="57" r="BD7">
        <v>73</v>
      </c>
      <c t="s" s="5" r="BE7">
        <v>72</v>
      </c>
      <c t="s" s="57" r="BF7">
        <v>73</v>
      </c>
      <c t="s" s="5" r="BG7">
        <v>72</v>
      </c>
      <c t="s" s="57" r="BH7">
        <v>73</v>
      </c>
      <c t="s" s="5" r="BI7">
        <v>72</v>
      </c>
      <c t="s" s="57" r="BJ7">
        <v>73</v>
      </c>
      <c t="s" s="5" r="BK7">
        <v>72</v>
      </c>
      <c t="s" s="57" r="BL7">
        <v>73</v>
      </c>
      <c t="s" s="5" r="BM7">
        <v>72</v>
      </c>
      <c t="s" s="57" r="BN7">
        <v>73</v>
      </c>
      <c t="s" s="5" r="BO7">
        <v>72</v>
      </c>
      <c t="s" s="57" r="BP7">
        <v>73</v>
      </c>
      <c t="s" s="5" r="BQ7">
        <v>72</v>
      </c>
      <c t="s" s="57" r="BR7">
        <v>73</v>
      </c>
      <c t="s" s="5" r="BS7">
        <v>72</v>
      </c>
      <c t="s" s="57" r="BT7">
        <v>73</v>
      </c>
      <c t="s" s="5" r="BU7">
        <v>72</v>
      </c>
      <c t="s" s="57" r="BV7">
        <v>73</v>
      </c>
      <c t="s" s="5" r="BW7">
        <v>72</v>
      </c>
      <c t="s" s="57" r="BX7">
        <v>73</v>
      </c>
      <c t="s" s="5" r="BY7">
        <v>72</v>
      </c>
      <c t="s" s="57" r="BZ7">
        <v>73</v>
      </c>
      <c t="s" s="5" r="CA7">
        <v>72</v>
      </c>
      <c t="s" s="57" r="CB7">
        <v>73</v>
      </c>
      <c t="s" s="5" r="CC7">
        <v>72</v>
      </c>
      <c t="s" s="57" r="CD7">
        <v>73</v>
      </c>
      <c t="s" s="5" r="CE7">
        <v>72</v>
      </c>
      <c t="s" s="57" r="CF7">
        <v>73</v>
      </c>
      <c t="s" s="5" r="CG7">
        <v>72</v>
      </c>
      <c t="s" s="57" r="CH7">
        <v>73</v>
      </c>
      <c t="s" s="5" r="CI7">
        <v>72</v>
      </c>
      <c t="s" s="57" r="CJ7">
        <v>73</v>
      </c>
      <c t="s" s="5" r="CK7">
        <v>72</v>
      </c>
      <c t="s" s="57" r="CL7">
        <v>73</v>
      </c>
      <c t="s" s="5" r="CM7">
        <v>72</v>
      </c>
      <c t="s" s="57" r="CN7">
        <v>73</v>
      </c>
      <c t="s" s="5" r="CO7">
        <v>72</v>
      </c>
      <c t="s" s="57" r="CP7">
        <v>73</v>
      </c>
      <c t="s" s="5" r="CQ7">
        <v>72</v>
      </c>
      <c t="s" s="57" r="CR7">
        <v>73</v>
      </c>
      <c t="s" s="5" r="CS7">
        <v>72</v>
      </c>
      <c t="s" s="57" r="CT7">
        <v>73</v>
      </c>
      <c t="s" s="5" r="CU7">
        <v>72</v>
      </c>
      <c t="s" s="57" r="CV7">
        <v>73</v>
      </c>
      <c t="s" s="5" r="CW7">
        <v>72</v>
      </c>
      <c t="s" s="57" r="CX7">
        <v>73</v>
      </c>
      <c t="s" s="5" r="CY7">
        <v>72</v>
      </c>
      <c t="s" s="57" r="CZ7">
        <v>73</v>
      </c>
      <c t="s" s="5" r="DA7">
        <v>72</v>
      </c>
      <c t="s" s="57" r="DB7">
        <v>73</v>
      </c>
      <c t="s" s="5" r="DC7">
        <v>72</v>
      </c>
      <c t="s" s="57" r="DD7">
        <v>73</v>
      </c>
      <c t="s" s="5" r="DE7">
        <v>72</v>
      </c>
      <c t="s" s="57" r="DF7">
        <v>73</v>
      </c>
      <c t="s" s="5" r="DG7">
        <v>72</v>
      </c>
      <c t="s" s="57" r="DH7">
        <v>73</v>
      </c>
      <c t="s" s="5" r="DI7">
        <v>72</v>
      </c>
      <c t="s" s="57" r="DJ7">
        <v>73</v>
      </c>
      <c t="s" s="5" r="DK7">
        <v>72</v>
      </c>
      <c t="s" s="57" r="DL7">
        <v>73</v>
      </c>
      <c t="s" s="5" r="DM7">
        <v>74</v>
      </c>
      <c t="s" s="57" r="DN7">
        <v>73</v>
      </c>
      <c t="s" s="5" r="DO7">
        <v>72</v>
      </c>
      <c t="s" s="57" r="DP7">
        <v>73</v>
      </c>
      <c t="s" s="5" r="DQ7">
        <v>72</v>
      </c>
      <c t="s" s="57" r="DR7">
        <v>73</v>
      </c>
      <c t="s" s="5" r="DS7">
        <v>72</v>
      </c>
      <c t="s" s="57" r="DT7">
        <v>73</v>
      </c>
      <c t="s" s="5" r="DU7">
        <v>72</v>
      </c>
      <c t="s" s="57" r="DV7">
        <v>73</v>
      </c>
      <c t="s" s="5" r="DW7">
        <v>72</v>
      </c>
      <c t="s" s="57" r="DX7">
        <v>73</v>
      </c>
      <c t="s" s="5" r="DY7">
        <v>72</v>
      </c>
      <c t="s" s="34" r="DZ7">
        <v>73</v>
      </c>
    </row>
    <row customHeight="1" r="8" ht="15.0">
      <c s="41" r="B8"/>
      <c s="41" r="C8"/>
      <c s="41" r="D8"/>
      <c s="41" r="E8"/>
      <c s="41" r="F8"/>
      <c s="41" r="G8"/>
      <c s="41" r="H8"/>
      <c s="41" r="I8"/>
      <c s="41" r="J8"/>
      <c s="41" r="K8"/>
      <c s="41" r="L8"/>
      <c s="41" r="M8"/>
      <c s="41" r="N8"/>
      <c s="41" r="O8"/>
      <c s="41" r="P8"/>
      <c s="41" r="Q8"/>
      <c s="41" r="R8"/>
      <c s="41" r="S8"/>
      <c s="41" r="T8"/>
      <c s="41" r="U8"/>
      <c s="41" r="V8"/>
      <c s="41" r="W8"/>
      <c s="41" r="X8"/>
      <c s="41" r="Y8"/>
      <c s="41" r="Z8"/>
      <c s="41" r="AA8"/>
      <c s="41" r="AB8"/>
      <c s="41" r="AC8"/>
      <c s="41" r="AD8"/>
      <c s="41" r="AE8"/>
      <c s="41" r="AF8"/>
      <c s="41" r="AG8"/>
      <c s="41" r="AH8"/>
      <c s="41" r="AI8"/>
      <c s="41" r="AJ8"/>
      <c s="41" r="AK8"/>
      <c s="41" r="AL8"/>
      <c s="41" r="AM8"/>
      <c s="41" r="AN8"/>
      <c s="41" r="AO8"/>
      <c s="41" r="AP8"/>
      <c s="41" r="AQ8"/>
      <c s="41" r="AR8"/>
      <c s="41" r="AS8"/>
      <c s="41" r="AT8"/>
      <c s="41" r="AU8"/>
      <c s="41" r="AV8"/>
      <c s="41" r="AW8"/>
      <c s="41" r="AX8"/>
      <c s="41" r="AY8"/>
      <c s="41" r="AZ8"/>
      <c s="41" r="BA8"/>
      <c s="41" r="BB8"/>
      <c s="41" r="BC8"/>
      <c s="41" r="BD8"/>
      <c s="41" r="BE8"/>
      <c s="41" r="BF8"/>
      <c s="41" r="BG8"/>
      <c s="41" r="BH8"/>
      <c s="41" r="BI8"/>
      <c s="41" r="BJ8"/>
      <c s="41" r="BK8"/>
      <c s="41" r="BL8"/>
      <c s="41" r="BM8"/>
      <c s="41" r="BN8"/>
      <c s="41" r="BO8"/>
      <c s="41" r="BP8"/>
      <c s="41" r="BQ8"/>
      <c s="41" r="BR8"/>
      <c s="41" r="BS8"/>
      <c s="41" r="BT8"/>
      <c s="41" r="BU8"/>
      <c s="41" r="BV8"/>
      <c s="41" r="BW8"/>
      <c s="41" r="BX8"/>
      <c s="41" r="BY8"/>
      <c s="41" r="BZ8"/>
      <c s="41" r="CA8"/>
      <c s="41" r="CB8"/>
      <c s="41" r="CC8"/>
      <c s="41" r="CD8"/>
      <c s="41" r="CE8"/>
      <c s="41" r="CF8"/>
      <c s="41" r="CG8"/>
      <c s="41" r="CH8"/>
      <c s="41" r="CI8"/>
      <c s="41" r="CJ8"/>
      <c s="41" r="CK8"/>
      <c s="41" r="CL8"/>
      <c s="41" r="CM8"/>
      <c s="41" r="CN8"/>
      <c s="41" r="CO8"/>
      <c s="41" r="CP8"/>
      <c s="41" r="CQ8"/>
      <c s="41" r="CR8"/>
      <c s="41" r="CS8"/>
      <c s="41" r="CT8"/>
      <c s="41" r="CU8"/>
      <c s="41" r="CV8"/>
      <c s="41" r="CW8"/>
      <c s="41" r="CX8"/>
      <c s="41" r="CY8"/>
      <c s="41" r="CZ8"/>
      <c s="41" r="DA8"/>
      <c s="41" r="DB8"/>
      <c s="41" r="DC8"/>
      <c s="41" r="DD8"/>
      <c s="41" r="DE8"/>
      <c s="41" r="DF8"/>
      <c s="41" r="DG8"/>
      <c s="41" r="DH8"/>
      <c s="41" r="DI8"/>
      <c s="41" r="DJ8"/>
      <c s="41" r="DK8"/>
      <c s="41" r="DL8"/>
      <c s="41" r="DM8"/>
      <c s="41" r="DN8"/>
      <c s="41" r="DO8"/>
      <c s="41" r="DP8"/>
      <c s="41" r="DQ8"/>
      <c s="41" r="DR8"/>
      <c s="41" r="DS8"/>
      <c s="41" r="DT8"/>
      <c s="41" r="DU8"/>
      <c s="41" r="DV8"/>
      <c s="41" r="DW8"/>
      <c s="41" r="DX8"/>
      <c s="41" r="DY8"/>
      <c s="41" r="DZ8"/>
    </row>
    <row customHeight="1" r="9" ht="15.0">
      <c s="7" r="A9"/>
      <c s="36" r="B9">
        <v>1</v>
      </c>
      <c s="36" r="C9">
        <v>2</v>
      </c>
      <c s="36" r="D9">
        <v>3</v>
      </c>
      <c s="36" r="E9">
        <v>4</v>
      </c>
      <c s="36" r="F9">
        <v>5</v>
      </c>
      <c s="36" r="G9">
        <v>6</v>
      </c>
      <c s="36" r="H9">
        <v>7</v>
      </c>
      <c s="36" r="I9">
        <v>8</v>
      </c>
      <c s="36" r="J9">
        <v>9</v>
      </c>
      <c s="36" r="K9">
        <v>10</v>
      </c>
      <c s="36" r="L9">
        <v>11</v>
      </c>
      <c s="36" r="M9">
        <v>12</v>
      </c>
      <c s="36" r="N9">
        <v>13</v>
      </c>
      <c s="36" r="O9">
        <v>14</v>
      </c>
      <c s="36" r="P9">
        <v>15</v>
      </c>
      <c s="36" r="Q9">
        <v>16</v>
      </c>
      <c s="36" r="R9">
        <v>17</v>
      </c>
      <c s="36" r="S9">
        <v>18</v>
      </c>
      <c s="36" r="T9">
        <v>19</v>
      </c>
      <c s="36" r="U9">
        <v>20</v>
      </c>
      <c s="36" r="V9">
        <v>21</v>
      </c>
      <c s="36" r="W9">
        <v>22</v>
      </c>
      <c s="36" r="X9">
        <v>23</v>
      </c>
      <c s="36" r="Y9">
        <v>24</v>
      </c>
      <c s="36" r="Z9">
        <v>25</v>
      </c>
      <c s="36" r="AA9">
        <v>26</v>
      </c>
      <c s="36" r="AB9">
        <v>27</v>
      </c>
      <c s="36" r="AC9">
        <v>28</v>
      </c>
      <c s="36" r="AD9">
        <v>29</v>
      </c>
      <c s="36" r="AE9">
        <v>30</v>
      </c>
      <c s="36" r="AF9">
        <v>31</v>
      </c>
      <c s="36" r="AG9">
        <v>32</v>
      </c>
      <c s="36" r="AH9">
        <v>33</v>
      </c>
      <c s="36" r="AI9">
        <v>34</v>
      </c>
      <c s="36" r="AJ9">
        <v>35</v>
      </c>
      <c s="36" r="AK9">
        <v>36</v>
      </c>
      <c s="36" r="AL9">
        <v>37</v>
      </c>
      <c s="36" r="AM9">
        <v>38</v>
      </c>
      <c s="36" r="AN9">
        <v>39</v>
      </c>
      <c s="36" r="AO9">
        <v>40</v>
      </c>
      <c s="36" r="AP9">
        <v>41</v>
      </c>
      <c s="36" r="AQ9">
        <v>42</v>
      </c>
      <c s="36" r="AR9">
        <v>43</v>
      </c>
      <c s="36" r="AS9">
        <v>44</v>
      </c>
      <c s="36" r="AT9">
        <v>45</v>
      </c>
      <c s="36" r="AU9">
        <v>46</v>
      </c>
      <c s="36" r="AV9">
        <v>47</v>
      </c>
      <c s="36" r="AW9">
        <v>48</v>
      </c>
      <c s="36" r="AX9">
        <v>49</v>
      </c>
      <c s="36" r="AY9">
        <v>50</v>
      </c>
      <c s="36" r="AZ9">
        <v>51</v>
      </c>
      <c s="36" r="BA9">
        <v>52</v>
      </c>
      <c s="36" r="BB9">
        <v>53</v>
      </c>
      <c s="36" r="BC9">
        <v>54</v>
      </c>
      <c s="36" r="BD9">
        <v>55</v>
      </c>
      <c s="36" r="BE9">
        <v>56</v>
      </c>
      <c s="36" r="BF9">
        <v>57</v>
      </c>
      <c s="36" r="BG9">
        <v>58</v>
      </c>
      <c s="36" r="BH9">
        <v>59</v>
      </c>
      <c s="36" r="BI9">
        <v>60</v>
      </c>
      <c s="36" r="BJ9">
        <v>61</v>
      </c>
      <c s="36" r="BK9">
        <v>62</v>
      </c>
      <c s="36" r="BL9">
        <v>63</v>
      </c>
      <c s="36" r="BM9">
        <v>64</v>
      </c>
      <c s="36" r="BN9">
        <v>65</v>
      </c>
      <c s="36" r="BO9">
        <v>66</v>
      </c>
      <c s="36" r="BP9">
        <v>67</v>
      </c>
      <c s="36" r="BQ9">
        <v>68</v>
      </c>
      <c s="36" r="BR9">
        <v>69</v>
      </c>
      <c s="36" r="BS9">
        <v>70</v>
      </c>
      <c s="36" r="BT9">
        <v>71</v>
      </c>
      <c s="36" r="BU9">
        <v>72</v>
      </c>
      <c s="36" r="BV9">
        <v>73</v>
      </c>
      <c s="36" r="BW9">
        <v>74</v>
      </c>
      <c s="36" r="BX9">
        <v>75</v>
      </c>
      <c s="36" r="BY9">
        <v>76</v>
      </c>
      <c s="36" r="BZ9">
        <v>77</v>
      </c>
      <c s="36" r="CA9">
        <v>78</v>
      </c>
      <c s="36" r="CB9">
        <v>79</v>
      </c>
      <c s="36" r="CC9">
        <v>80</v>
      </c>
      <c s="36" r="CD9">
        <v>81</v>
      </c>
      <c s="36" r="CE9">
        <v>82</v>
      </c>
      <c s="36" r="CF9">
        <v>83</v>
      </c>
      <c s="36" r="CG9">
        <v>84</v>
      </c>
      <c s="36" r="CH9">
        <v>85</v>
      </c>
      <c s="36" r="CI9">
        <v>86</v>
      </c>
      <c s="36" r="CJ9">
        <v>87</v>
      </c>
      <c s="36" r="CK9">
        <v>88</v>
      </c>
      <c s="36" r="CL9">
        <v>89</v>
      </c>
      <c s="36" r="CM9">
        <v>90</v>
      </c>
      <c s="36" r="CN9">
        <v>91</v>
      </c>
      <c s="36" r="CO9">
        <v>92</v>
      </c>
      <c s="36" r="CP9">
        <v>93</v>
      </c>
      <c s="36" r="CQ9">
        <v>94</v>
      </c>
      <c s="36" r="CR9">
        <v>95</v>
      </c>
      <c s="36" r="CS9">
        <v>96</v>
      </c>
      <c s="36" r="CT9">
        <v>97</v>
      </c>
      <c s="36" r="CU9">
        <v>98</v>
      </c>
      <c s="36" r="CV9">
        <v>99</v>
      </c>
      <c s="36" r="CW9">
        <v>100</v>
      </c>
      <c s="36" r="CX9">
        <v>101</v>
      </c>
      <c s="36" r="CY9">
        <v>102</v>
      </c>
      <c s="36" r="CZ9">
        <v>103</v>
      </c>
      <c s="36" r="DA9">
        <v>104</v>
      </c>
      <c s="36" r="DB9">
        <v>105</v>
      </c>
      <c s="36" r="DC9">
        <v>106</v>
      </c>
      <c s="36" r="DD9">
        <v>107</v>
      </c>
      <c s="36" r="DE9">
        <v>108</v>
      </c>
      <c s="36" r="DF9">
        <v>109</v>
      </c>
      <c s="36" r="DG9">
        <v>110</v>
      </c>
      <c s="36" r="DH9">
        <v>111</v>
      </c>
      <c s="36" r="DI9">
        <v>112</v>
      </c>
      <c s="36" r="DJ9">
        <v>113</v>
      </c>
      <c s="36" r="DK9">
        <v>114</v>
      </c>
      <c s="36" r="DL9">
        <v>115</v>
      </c>
      <c s="36" r="DM9">
        <v>116</v>
      </c>
      <c s="36" r="DN9">
        <v>117</v>
      </c>
      <c s="36" r="DO9">
        <v>118</v>
      </c>
      <c s="36" r="DP9">
        <v>119</v>
      </c>
      <c s="36" r="DQ9">
        <v>120</v>
      </c>
      <c s="36" r="DR9">
        <v>121</v>
      </c>
      <c s="36" r="DS9">
        <v>122</v>
      </c>
      <c s="36" r="DT9">
        <v>123</v>
      </c>
      <c s="36" r="DU9">
        <v>124</v>
      </c>
      <c s="36" r="DV9">
        <v>125</v>
      </c>
      <c s="36" r="DW9">
        <v>126</v>
      </c>
      <c s="36" r="DX9">
        <v>127</v>
      </c>
      <c s="36" r="DY9">
        <v>128</v>
      </c>
      <c s="59" r="DZ9">
        <v>129</v>
      </c>
    </row>
    <row customHeight="1" r="10" ht="15.0">
      <c t="s" s="65" r="A10">
        <v>75</v>
      </c>
      <c s="44" r="B10">
        <v>45695736</v>
      </c>
      <c s="44" r="C10">
        <v>5098314390</v>
      </c>
      <c s="44" r="D10">
        <v>45695736</v>
      </c>
      <c s="44" r="E10">
        <v>5176678533</v>
      </c>
      <c s="44" r="F10">
        <v>38808579</v>
      </c>
      <c s="44" r="G10">
        <v>3560572270</v>
      </c>
      <c s="44" r="H10">
        <v>29540698</v>
      </c>
      <c s="44" r="I10">
        <v>111525040</v>
      </c>
      <c s="44" r="J10">
        <v>4179050</v>
      </c>
      <c s="44" r="K10">
        <v>61620148</v>
      </c>
      <c s="44" r="L10">
        <v>16541382</v>
      </c>
      <c s="44" r="M10">
        <v>133652682</v>
      </c>
      <c s="44" r="N10">
        <v>14623788</v>
      </c>
      <c s="44" r="O10">
        <v>103721031</v>
      </c>
      <c s="44" r="P10">
        <v>20433308</v>
      </c>
      <c s="44" r="Q10">
        <v>27698409</v>
      </c>
      <c s="44" r="R10">
        <v>233828</v>
      </c>
      <c s="44" r="S10">
        <v>6408356</v>
      </c>
      <c s="44" r="T10">
        <v>9173842</v>
      </c>
      <c s="44" r="U10">
        <v>171504663</v>
      </c>
      <c s="44" r="V10">
        <v>12165928</v>
      </c>
      <c s="44" r="W10">
        <v>206076646</v>
      </c>
      <c s="44" r="X10">
        <v>1091931</v>
      </c>
      <c s="44" r="Y10">
        <v>-1461592</v>
      </c>
      <c s="44" r="Z10">
        <v>4506036</v>
      </c>
      <c s="44" r="AA10">
        <v>86044667</v>
      </c>
      <c s="44" r="AB10">
        <v>11061422</v>
      </c>
      <c s="44" r="AC10">
        <v>278028064</v>
      </c>
      <c s="44" r="AD10">
        <v>3472086</v>
      </c>
      <c s="44" r="AE10">
        <v>62294413</v>
      </c>
      <c s="44" r="AF10">
        <v>3570965</v>
      </c>
      <c s="44" r="AG10">
        <v>42767947</v>
      </c>
      <c s="44" r="AH10">
        <v>244563</v>
      </c>
      <c s="44" r="AI10">
        <v>2234681</v>
      </c>
      <c s="44" r="AJ10">
        <v>5426459</v>
      </c>
      <c s="44" r="AK10">
        <v>406763098</v>
      </c>
      <c s="44" r="AL10">
        <v>435916</v>
      </c>
      <c s="44" r="AM10">
        <v>16430801</v>
      </c>
      <c s="44" r="AN10">
        <v>722277</v>
      </c>
      <c s="44" r="AO10">
        <v>-6483085</v>
      </c>
      <c s="44" r="AP10">
        <v>3475265</v>
      </c>
      <c s="44" r="AQ10">
        <v>28362836</v>
      </c>
      <c s="44" r="AR10">
        <v>7263368</v>
      </c>
      <c s="44" r="AS10">
        <v>99875201</v>
      </c>
      <c s="44" r="AT10">
        <v>89878</v>
      </c>
      <c s="44" r="AU10">
        <v>6243842</v>
      </c>
      <c s="44" r="AV10">
        <v>3343037</v>
      </c>
      <c s="44" r="AW10">
        <v>21221772</v>
      </c>
      <c s="44" r="AX10">
        <v>15253404</v>
      </c>
      <c s="44" r="AY10">
        <v>78364142</v>
      </c>
      <c s="44" r="AZ10">
        <v>1203808276</v>
      </c>
      <c s="44" r="BA10">
        <v>5705805</v>
      </c>
      <c s="44" r="BB10">
        <v>12504244</v>
      </c>
      <c s="44" r="BC10">
        <v>10090297</v>
      </c>
      <c s="44" r="BD10">
        <v>79865796</v>
      </c>
      <c s="44" r="BE10">
        <v>10090297</v>
      </c>
      <c s="44" r="BF10">
        <v>119791957</v>
      </c>
      <c s="44" r="BG10">
        <v>10087293</v>
      </c>
      <c s="44" r="BH10">
        <v>39926161</v>
      </c>
      <c s="44" r="BI10">
        <v>45423760</v>
      </c>
      <c s="44" r="BJ10">
        <v>432032137</v>
      </c>
      <c s="44" r="BK10">
        <v>44016660</v>
      </c>
      <c s="44" r="BL10">
        <v>251658325</v>
      </c>
      <c s="44" r="BM10">
        <v>33754929</v>
      </c>
      <c s="44" r="BN10">
        <v>236095574</v>
      </c>
      <c s="44" r="BO10">
        <v>10261731</v>
      </c>
      <c s="44" r="BP10">
        <v>15562752</v>
      </c>
      <c s="44" r="BQ10">
        <v>39987898</v>
      </c>
      <c s="44" r="BR10">
        <v>167779177</v>
      </c>
      <c s="44" r="BS10">
        <v>2234141</v>
      </c>
      <c s="44" r="BT10">
        <v>3449410</v>
      </c>
      <c s="44" r="BU10">
        <v>16119827</v>
      </c>
      <c s="44" r="BV10">
        <v>6062775</v>
      </c>
      <c s="44" r="BW10">
        <v>5435231</v>
      </c>
      <c s="44" r="BX10">
        <v>3082450</v>
      </c>
      <c s="44" r="BY10">
        <v>37004065</v>
      </c>
      <c s="44" r="BZ10">
        <v>442051459</v>
      </c>
      <c s="44" r="CA10">
        <v>36541819</v>
      </c>
      <c s="44" r="CB10">
        <v>420812712</v>
      </c>
      <c s="44" r="CC10">
        <v>36110081</v>
      </c>
      <c s="44" r="CD10">
        <v>414454048</v>
      </c>
      <c s="44" r="CE10">
        <v>1070248</v>
      </c>
      <c s="44" r="CF10">
        <v>6358663</v>
      </c>
      <c s="44" r="CG10">
        <v>2812342</v>
      </c>
      <c s="44" r="CH10">
        <v>1684526</v>
      </c>
      <c s="44" r="CI10">
        <v>3596975</v>
      </c>
      <c s="44" r="CJ10">
        <v>5467406</v>
      </c>
      <c s="44" r="CK10">
        <v>1578759</v>
      </c>
      <c s="44" r="CL10">
        <v>14086816</v>
      </c>
      <c s="44" r="CM10">
        <v>37243302</v>
      </c>
      <c s="44" r="CN10">
        <v>158016526</v>
      </c>
      <c s="44" r="CO10">
        <v>34311435</v>
      </c>
      <c s="44" r="CP10">
        <v>129946302</v>
      </c>
      <c s="44" r="CQ10">
        <v>21867440</v>
      </c>
      <c s="44" r="CR10">
        <v>31816050</v>
      </c>
      <c s="44" r="CS10">
        <v>557316</v>
      </c>
      <c s="44" r="CT10">
        <v>27783719</v>
      </c>
      <c s="44" r="CU10">
        <v>134237</v>
      </c>
      <c s="44" r="CV10">
        <v>2330132</v>
      </c>
      <c s="44" r="CW10">
        <v>11867883</v>
      </c>
      <c s="44" r="CX10">
        <v>80902507</v>
      </c>
      <c s="44" r="CY10">
        <v>14942268</v>
      </c>
      <c s="44" r="CZ10">
        <v>75607218</v>
      </c>
      <c s="44" r="DA10">
        <v>22082123</v>
      </c>
      <c s="44" r="DB10">
        <v>6646100</v>
      </c>
      <c s="44" r="DC10">
        <v>7586942</v>
      </c>
      <c s="44" r="DD10">
        <v>30559671</v>
      </c>
      <c s="44" r="DE10">
        <v>28372887</v>
      </c>
      <c s="44" r="DF10">
        <v>112812989</v>
      </c>
      <c s="44" r="DG10">
        <v>1411210</v>
      </c>
      <c s="44" r="DH10">
        <v>21113963</v>
      </c>
      <c s="44" r="DI10">
        <v>876565</v>
      </c>
      <c s="44" r="DJ10">
        <v>15345475</v>
      </c>
      <c s="44" r="DK10">
        <v>536178</v>
      </c>
      <c s="44" r="DL10">
        <v>3300753</v>
      </c>
      <c s="44" r="DM10">
        <v>109053577</v>
      </c>
      <c s="44" r="DN10">
        <v>391197619</v>
      </c>
      <c s="44" r="DO10">
        <v>41617926</v>
      </c>
      <c s="44" r="DP10">
        <v>3561563854</v>
      </c>
      <c s="44" r="DQ10">
        <v>3699263</v>
      </c>
      <c s="44" r="DR10">
        <v>22258760</v>
      </c>
      <c s="44" r="DS10">
        <v>41356028</v>
      </c>
      <c s="44" r="DT10">
        <v>755794876</v>
      </c>
      <c s="44" r="DU10">
        <v>35048336</v>
      </c>
      <c s="44" r="DV10">
        <v>58884869</v>
      </c>
      <c s="44" r="DW10">
        <v>36967537</v>
      </c>
      <c s="44" r="DX10">
        <v>696910008</v>
      </c>
      <c s="44" r="DY10">
        <v>36967537</v>
      </c>
      <c s="31" r="DZ10">
        <v>696910431</v>
      </c>
    </row>
    <row customHeight="1" r="11" ht="15.0">
      <c t="s" s="43" r="A11">
        <v>76</v>
      </c>
      <c s="60" r="B11">
        <v>439203</v>
      </c>
      <c s="60" r="C11">
        <v>1098424</v>
      </c>
      <c s="60" r="D11">
        <v>439203</v>
      </c>
      <c s="60" r="E11">
        <v>1529367</v>
      </c>
      <c s="60" r="F11">
        <v>115920</v>
      </c>
      <c s="60" r="G11">
        <v>1459148</v>
      </c>
      <c s="60" r="H11">
        <v>288224</v>
      </c>
      <c s="60" r="I11">
        <v>428474</v>
      </c>
      <c s="60" r="J11">
        <v>33369</v>
      </c>
      <c s="60" r="K11">
        <v>211899</v>
      </c>
      <c s="60" r="L11">
        <v>175661</v>
      </c>
      <c s="60" r="M11">
        <v>380348</v>
      </c>
      <c s="60" r="N11">
        <v>148601</v>
      </c>
      <c s="60" r="O11">
        <v>214236</v>
      </c>
      <c s="60" r="P11">
        <v>38421</v>
      </c>
      <c s="60" r="Q11">
        <v>51529</v>
      </c>
      <c s="30" r="R11">
        <v>997</v>
      </c>
      <c s="30" r="S11">
        <v>9385</v>
      </c>
      <c s="60" r="T11">
        <v>130278</v>
      </c>
      <c s="60" r="U11">
        <v>376542</v>
      </c>
      <c s="60" r="V11">
        <v>151915</v>
      </c>
      <c s="60" r="W11">
        <v>-208381</v>
      </c>
      <c s="60" r="X11">
        <v>11132</v>
      </c>
      <c s="60" r="Y11">
        <v>-203973</v>
      </c>
      <c s="60" r="Z11">
        <v>48157</v>
      </c>
      <c s="60" r="AA11">
        <v>303781</v>
      </c>
      <c s="60" r="AB11">
        <v>79651</v>
      </c>
      <c s="60" r="AC11">
        <v>354488</v>
      </c>
      <c s="60" r="AD11">
        <v>38108</v>
      </c>
      <c s="60" r="AE11">
        <v>269928</v>
      </c>
      <c s="60" r="AF11">
        <v>42812</v>
      </c>
      <c s="60" r="AG11">
        <v>617514</v>
      </c>
      <c s="30" r="AH11">
        <v>2074</v>
      </c>
      <c s="30" r="AI11">
        <v>4025</v>
      </c>
      <c s="60" r="AJ11">
        <v>49709</v>
      </c>
      <c s="60" r="AK11">
        <v>-544608</v>
      </c>
      <c s="60" r="AL11">
        <v>1709</v>
      </c>
      <c s="60" r="AM11">
        <v>4824</v>
      </c>
      <c s="60" r="AN11">
        <v>9561</v>
      </c>
      <c s="60" r="AO11">
        <v>-44675</v>
      </c>
      <c s="60" r="AP11">
        <v>14456</v>
      </c>
      <c s="60" r="AQ11">
        <v>96092</v>
      </c>
      <c s="60" r="AR11">
        <v>5877</v>
      </c>
      <c s="60" r="AS11">
        <v>20730</v>
      </c>
      <c s="30" r="AT11">
        <v>4016</v>
      </c>
      <c s="30" r="AU11">
        <v>204458</v>
      </c>
      <c s="60" r="AV11">
        <v>39129</v>
      </c>
      <c s="60" r="AW11">
        <v>31751</v>
      </c>
      <c s="60" r="AX11">
        <v>128276</v>
      </c>
      <c s="60" r="AY11">
        <v>430943</v>
      </c>
      <c s="60" r="AZ11">
        <v>8020096</v>
      </c>
      <c s="60" r="BA11">
        <v>0</v>
      </c>
      <c s="60" r="BB11">
        <v>0</v>
      </c>
      <c s="60" r="BC11">
        <v>313734</v>
      </c>
      <c s="60" r="BD11">
        <v>2907891</v>
      </c>
      <c s="60" r="BE11">
        <v>313734</v>
      </c>
      <c s="60" r="BF11">
        <v>2966882</v>
      </c>
      <c s="60" r="BG11">
        <v>310730</v>
      </c>
      <c s="60" r="BH11">
        <v>58991</v>
      </c>
      <c s="60" r="BI11">
        <v>410867</v>
      </c>
      <c s="60" r="BJ11">
        <v>1588538</v>
      </c>
      <c s="60" r="BK11">
        <v>345327</v>
      </c>
      <c s="60" r="BL11">
        <v>420754</v>
      </c>
      <c s="60" r="BM11">
        <v>115573</v>
      </c>
      <c s="60" r="BN11">
        <v>321803</v>
      </c>
      <c s="60" r="BO11">
        <v>229754</v>
      </c>
      <c s="60" r="BP11">
        <v>98952</v>
      </c>
      <c s="60" r="BQ11">
        <v>316058</v>
      </c>
      <c s="60" r="BR11">
        <v>1120898</v>
      </c>
      <c s="60" r="BS11">
        <v>6619</v>
      </c>
      <c s="60" r="BT11">
        <v>4700</v>
      </c>
      <c s="60" r="BU11">
        <v>97918</v>
      </c>
      <c s="60" r="BV11">
        <v>28965</v>
      </c>
      <c s="60" r="BW11">
        <v>32685</v>
      </c>
      <c s="60" r="BX11">
        <v>13221</v>
      </c>
      <c s="60" r="BY11">
        <v>266517</v>
      </c>
      <c s="60" r="BZ11">
        <v>2616163</v>
      </c>
      <c s="60" r="CA11">
        <v>259111</v>
      </c>
      <c s="60" r="CB11">
        <v>2546876</v>
      </c>
      <c s="60" r="CC11">
        <v>254714</v>
      </c>
      <c s="60" r="CD11">
        <v>2515231</v>
      </c>
      <c s="60" r="CE11">
        <v>9396</v>
      </c>
      <c s="60" r="CF11">
        <v>31645</v>
      </c>
      <c s="60" r="CG11">
        <v>17421</v>
      </c>
      <c s="60" r="CH11">
        <v>3172</v>
      </c>
      <c s="60" r="CI11">
        <v>15462</v>
      </c>
      <c s="60" r="CJ11">
        <v>29062</v>
      </c>
      <c s="60" r="CK11">
        <v>21822</v>
      </c>
      <c s="60" r="CL11">
        <v>37052</v>
      </c>
      <c s="60" r="CM11">
        <v>248384</v>
      </c>
      <c s="60" r="CN11">
        <v>180294</v>
      </c>
      <c s="60" r="CO11">
        <v>220512</v>
      </c>
      <c s="60" r="CP11">
        <v>337893</v>
      </c>
      <c s="60" r="CQ11">
        <v>81207</v>
      </c>
      <c s="60" r="CR11">
        <v>55140</v>
      </c>
      <c s="60" r="CS11">
        <v>30028</v>
      </c>
      <c s="60" r="CT11">
        <v>93592</v>
      </c>
      <c s="30" r="CU11">
        <v>1148</v>
      </c>
      <c s="30" r="CV11">
        <v>1689</v>
      </c>
      <c s="60" r="CW11">
        <v>176829</v>
      </c>
      <c s="60" r="CX11">
        <v>460562</v>
      </c>
      <c s="60" r="CY11">
        <v>20971</v>
      </c>
      <c s="60" r="CZ11">
        <v>56813</v>
      </c>
      <c s="60" r="DA11">
        <v>154618</v>
      </c>
      <c s="60" r="DB11">
        <v>47617</v>
      </c>
      <c s="60" r="DC11">
        <v>82127</v>
      </c>
      <c s="60" r="DD11">
        <v>365299</v>
      </c>
      <c s="60" r="DE11">
        <v>191045</v>
      </c>
      <c s="60" r="DF11">
        <v>469728</v>
      </c>
      <c s="60" r="DG11">
        <v>10964</v>
      </c>
      <c s="60" r="DH11">
        <v>264960</v>
      </c>
      <c s="30" r="DI11">
        <v>3592</v>
      </c>
      <c s="30" r="DJ11">
        <v>6085</v>
      </c>
      <c s="60" r="DK11">
        <v>6374</v>
      </c>
      <c s="60" r="DL11">
        <v>16973</v>
      </c>
      <c s="60" r="DM11">
        <v>629993</v>
      </c>
      <c s="60" r="DN11">
        <v>2292370</v>
      </c>
      <c s="60" r="DO11">
        <v>10036</v>
      </c>
      <c s="60" r="DP11">
        <v>10542</v>
      </c>
      <c s="30" r="DQ11">
        <v>52</v>
      </c>
      <c s="30" r="DR11">
        <v>1165</v>
      </c>
      <c s="60" r="DS11">
        <v>6665</v>
      </c>
      <c s="60" r="DT11">
        <v>1847</v>
      </c>
      <c s="30" r="DU11">
        <v>3647</v>
      </c>
      <c s="30" r="DV11">
        <v>281</v>
      </c>
      <c s="30" r="DW11">
        <v>3619</v>
      </c>
      <c s="30" r="DX11">
        <v>1567</v>
      </c>
      <c s="30" r="DY11">
        <v>3619</v>
      </c>
      <c s="19" r="DZ11">
        <v>1567</v>
      </c>
    </row>
    <row customHeight="1" r="12" ht="15.0">
      <c t="s" s="43" r="A12">
        <v>77</v>
      </c>
      <c s="60" r="B12">
        <v>629928</v>
      </c>
      <c s="60" r="C12">
        <v>4889885</v>
      </c>
      <c s="60" r="D12">
        <v>629928</v>
      </c>
      <c s="60" r="E12">
        <v>5353299</v>
      </c>
      <c s="60" r="F12">
        <v>231302</v>
      </c>
      <c s="60" r="G12">
        <v>2646279</v>
      </c>
      <c s="60" r="H12">
        <v>393410</v>
      </c>
      <c s="60" r="I12">
        <v>672007</v>
      </c>
      <c s="60" r="J12">
        <v>63746</v>
      </c>
      <c s="60" r="K12">
        <v>338554</v>
      </c>
      <c s="60" r="L12">
        <v>237818</v>
      </c>
      <c s="60" r="M12">
        <v>645126</v>
      </c>
      <c s="60" r="N12">
        <v>206702</v>
      </c>
      <c s="60" r="O12">
        <v>360627</v>
      </c>
      <c s="60" r="P12">
        <v>77864</v>
      </c>
      <c s="60" r="Q12">
        <v>64738</v>
      </c>
      <c s="30" r="R12">
        <v>2998</v>
      </c>
      <c s="30" r="S12">
        <v>14040</v>
      </c>
      <c s="60" r="T12">
        <v>189987</v>
      </c>
      <c s="60" r="U12">
        <v>574793</v>
      </c>
      <c s="60" r="V12">
        <v>188828</v>
      </c>
      <c s="60" r="W12">
        <v>-175747</v>
      </c>
      <c s="60" r="X12">
        <v>16639</v>
      </c>
      <c s="60" r="Y12">
        <v>-234006</v>
      </c>
      <c s="60" r="Z12">
        <v>93160</v>
      </c>
      <c s="60" r="AA12">
        <v>412058</v>
      </c>
      <c s="60" r="AB12">
        <v>199310</v>
      </c>
      <c s="60" r="AC12">
        <v>1296094</v>
      </c>
      <c s="60" r="AD12">
        <v>63396</v>
      </c>
      <c s="60" r="AE12">
        <v>443147</v>
      </c>
      <c s="60" r="AF12">
        <v>60023</v>
      </c>
      <c s="60" r="AG12">
        <v>734274</v>
      </c>
      <c s="30" r="AH12">
        <v>2754</v>
      </c>
      <c s="30" r="AI12">
        <v>15067</v>
      </c>
      <c s="60" r="AJ12">
        <v>59426</v>
      </c>
      <c s="60" r="AK12">
        <v>-343647</v>
      </c>
      <c s="60" r="AL12">
        <v>4973</v>
      </c>
      <c s="60" r="AM12">
        <v>-15130</v>
      </c>
      <c s="60" r="AN12">
        <v>11610</v>
      </c>
      <c s="60" r="AO12">
        <v>-110309</v>
      </c>
      <c s="60" r="AP12">
        <v>42249</v>
      </c>
      <c s="60" r="AQ12">
        <v>259359</v>
      </c>
      <c s="60" r="AR12">
        <v>16212</v>
      </c>
      <c s="60" r="AS12">
        <v>103443</v>
      </c>
      <c s="30" r="AT12">
        <v>301</v>
      </c>
      <c s="30" r="AU12">
        <v>54333</v>
      </c>
      <c s="60" r="AV12">
        <v>37860</v>
      </c>
      <c s="60" r="AW12">
        <v>68713</v>
      </c>
      <c s="60" r="AX12">
        <v>177692</v>
      </c>
      <c s="60" r="AY12">
        <v>463414</v>
      </c>
      <c s="60" r="AZ12">
        <v>9932585</v>
      </c>
      <c s="60" r="BA12">
        <v>0</v>
      </c>
      <c s="60" r="BB12">
        <v>0</v>
      </c>
      <c s="60" r="BC12">
        <v>423675</v>
      </c>
      <c s="60" r="BD12">
        <v>3394622</v>
      </c>
      <c s="60" r="BE12">
        <v>423675</v>
      </c>
      <c s="60" r="BF12">
        <v>3637611</v>
      </c>
      <c s="60" r="BG12">
        <v>423675</v>
      </c>
      <c s="60" r="BH12">
        <v>242989</v>
      </c>
      <c s="60" r="BI12">
        <v>599549</v>
      </c>
      <c s="60" r="BJ12">
        <v>2010306</v>
      </c>
      <c s="60" r="BK12">
        <v>522087</v>
      </c>
      <c s="60" r="BL12">
        <v>372233</v>
      </c>
      <c s="60" r="BM12">
        <v>198663</v>
      </c>
      <c s="60" r="BN12">
        <v>217107</v>
      </c>
      <c s="60" r="BO12">
        <v>323424</v>
      </c>
      <c s="60" r="BP12">
        <v>155126</v>
      </c>
      <c s="60" r="BQ12">
        <v>484033</v>
      </c>
      <c s="60" r="BR12">
        <v>1540429</v>
      </c>
      <c s="60" r="BS12">
        <v>9776</v>
      </c>
      <c s="60" r="BT12">
        <v>30245</v>
      </c>
      <c s="60" r="BU12">
        <v>146828</v>
      </c>
      <c s="60" r="BV12">
        <v>38440</v>
      </c>
      <c s="60" r="BW12">
        <v>51494</v>
      </c>
      <c s="60" r="BX12">
        <v>28958</v>
      </c>
      <c s="60" r="BY12">
        <v>367046</v>
      </c>
      <c s="60" r="BZ12">
        <v>3359297</v>
      </c>
      <c s="60" r="CA12">
        <v>354540</v>
      </c>
      <c s="60" r="CB12">
        <v>3264323</v>
      </c>
      <c s="60" r="CC12">
        <v>348561</v>
      </c>
      <c s="60" r="CD12">
        <v>3211352</v>
      </c>
      <c s="60" r="CE12">
        <v>7526</v>
      </c>
      <c s="60" r="CF12">
        <v>52971</v>
      </c>
      <c s="60" r="CG12">
        <v>8791</v>
      </c>
      <c s="60" r="CH12">
        <v>1188</v>
      </c>
      <c s="60" r="CI12">
        <v>38081</v>
      </c>
      <c s="60" r="CJ12">
        <v>67435</v>
      </c>
      <c s="60" r="CK12">
        <v>13085</v>
      </c>
      <c s="60" r="CL12">
        <v>26351</v>
      </c>
      <c s="60" r="CM12">
        <v>355300</v>
      </c>
      <c s="60" r="CN12">
        <v>515685</v>
      </c>
      <c s="60" r="CO12">
        <v>323340</v>
      </c>
      <c s="60" r="CP12">
        <v>581580</v>
      </c>
      <c s="60" r="CQ12">
        <v>145960</v>
      </c>
      <c s="60" r="CR12">
        <v>80234</v>
      </c>
      <c s="60" r="CS12">
        <v>29458</v>
      </c>
      <c s="60" r="CT12">
        <v>353772</v>
      </c>
      <c s="30" r="CU12">
        <v>2595</v>
      </c>
      <c s="30" r="CV12">
        <v>27337</v>
      </c>
      <c s="60" r="CW12">
        <v>204863</v>
      </c>
      <c s="60" r="CX12">
        <v>565522</v>
      </c>
      <c s="60" r="CY12">
        <v>57804</v>
      </c>
      <c s="60" r="CZ12">
        <v>240293</v>
      </c>
      <c s="60" r="DA12">
        <v>231097</v>
      </c>
      <c s="60" r="DB12">
        <v>71925</v>
      </c>
      <c s="60" r="DC12">
        <v>110914</v>
      </c>
      <c s="60" r="DD12">
        <v>293340</v>
      </c>
      <c s="60" r="DE12">
        <v>295359</v>
      </c>
      <c s="60" r="DF12">
        <v>605559</v>
      </c>
      <c s="60" r="DG12">
        <v>13803</v>
      </c>
      <c s="60" r="DH12">
        <v>59816</v>
      </c>
      <c s="60" r="DI12">
        <v>9722</v>
      </c>
      <c s="60" r="DJ12">
        <v>55749</v>
      </c>
      <c s="60" r="DK12">
        <v>4074</v>
      </c>
      <c s="60" r="DL12">
        <v>1125</v>
      </c>
      <c s="60" r="DM12">
        <v>898495</v>
      </c>
      <c s="60" r="DN12">
        <v>3270844</v>
      </c>
      <c s="60" r="DO12">
        <v>22654</v>
      </c>
      <c s="60" r="DP12">
        <v>70888</v>
      </c>
      <c s="30" r="DQ12">
        <v>77</v>
      </c>
      <c s="30" r="DR12">
        <v>1373</v>
      </c>
      <c s="60" r="DS12">
        <v>23209</v>
      </c>
      <c s="60" r="DT12">
        <v>10123</v>
      </c>
      <c s="60" r="DU12">
        <v>15639</v>
      </c>
      <c s="60" r="DV12">
        <v>2331</v>
      </c>
      <c s="60" r="DW12">
        <v>14152</v>
      </c>
      <c s="60" r="DX12">
        <v>7792</v>
      </c>
      <c s="60" r="DY12">
        <v>14152</v>
      </c>
      <c s="40" r="DZ12">
        <v>7792</v>
      </c>
    </row>
    <row customHeight="1" r="13" ht="15.0">
      <c t="s" s="43" r="A13">
        <v>78</v>
      </c>
      <c s="60" r="B13">
        <v>922814</v>
      </c>
      <c s="60" r="C13">
        <v>11636980</v>
      </c>
      <c s="60" r="D13">
        <v>922814</v>
      </c>
      <c s="60" r="E13">
        <v>12293720</v>
      </c>
      <c s="60" r="F13">
        <v>374427</v>
      </c>
      <c s="60" r="G13">
        <v>5199893</v>
      </c>
      <c s="60" r="H13">
        <v>550217</v>
      </c>
      <c s="60" r="I13">
        <v>1185244</v>
      </c>
      <c s="60" r="J13">
        <v>72893</v>
      </c>
      <c s="60" r="K13">
        <v>235083</v>
      </c>
      <c s="60" r="L13">
        <v>320592</v>
      </c>
      <c s="60" r="M13">
        <v>1030894</v>
      </c>
      <c s="60" r="N13">
        <v>272436</v>
      </c>
      <c s="60" r="O13">
        <v>622571</v>
      </c>
      <c s="60" r="P13">
        <v>134509</v>
      </c>
      <c s="60" r="Q13">
        <v>82348</v>
      </c>
      <c s="30" r="R13">
        <v>6100</v>
      </c>
      <c s="30" r="S13">
        <v>59884</v>
      </c>
      <c s="60" r="T13">
        <v>240928</v>
      </c>
      <c s="60" r="U13">
        <v>1659228</v>
      </c>
      <c s="60" r="V13">
        <v>243449</v>
      </c>
      <c s="60" r="W13">
        <v>-171250</v>
      </c>
      <c s="60" r="X13">
        <v>27528</v>
      </c>
      <c s="60" r="Y13">
        <v>-288033</v>
      </c>
      <c s="60" r="Z13">
        <v>144896</v>
      </c>
      <c s="60" r="AA13">
        <v>895057</v>
      </c>
      <c s="60" r="AB13">
        <v>355114</v>
      </c>
      <c s="60" r="AC13">
        <v>3381459</v>
      </c>
      <c s="60" r="AD13">
        <v>76674</v>
      </c>
      <c s="60" r="AE13">
        <v>501544</v>
      </c>
      <c s="60" r="AF13">
        <v>83633</v>
      </c>
      <c s="60" r="AG13">
        <v>1012755</v>
      </c>
      <c s="30" r="AH13">
        <v>6268</v>
      </c>
      <c s="30" r="AI13">
        <v>30589</v>
      </c>
      <c s="60" r="AJ13">
        <v>82633</v>
      </c>
      <c s="60" r="AK13">
        <v>-611747</v>
      </c>
      <c s="60" r="AL13">
        <v>6716</v>
      </c>
      <c s="60" r="AM13">
        <v>10001</v>
      </c>
      <c s="60" r="AN13">
        <v>16232</v>
      </c>
      <c s="60" r="AO13">
        <v>-307945</v>
      </c>
      <c s="60" r="AP13">
        <v>70703</v>
      </c>
      <c s="60" r="AQ13">
        <v>558829</v>
      </c>
      <c s="60" r="AR13">
        <v>28705</v>
      </c>
      <c s="60" r="AS13">
        <v>86491</v>
      </c>
      <c s="60" r="AT13">
        <v>2850</v>
      </c>
      <c s="60" r="AU13">
        <v>205023</v>
      </c>
      <c s="60" r="AV13">
        <v>53210</v>
      </c>
      <c s="60" r="AW13">
        <v>47019</v>
      </c>
      <c s="60" r="AX13">
        <v>241617</v>
      </c>
      <c s="60" r="AY13">
        <v>656740</v>
      </c>
      <c s="60" r="AZ13">
        <v>14780542</v>
      </c>
      <c s="60" r="BA13">
        <v>0</v>
      </c>
      <c s="60" r="BB13">
        <v>0</v>
      </c>
      <c s="60" r="BC13">
        <v>621179</v>
      </c>
      <c s="60" r="BD13">
        <v>5140460</v>
      </c>
      <c s="60" r="BE13">
        <v>621179</v>
      </c>
      <c s="60" r="BF13">
        <v>5729435</v>
      </c>
      <c s="60" r="BG13">
        <v>621179</v>
      </c>
      <c s="60" r="BH13">
        <v>588975</v>
      </c>
      <c s="60" r="BI13">
        <v>900738</v>
      </c>
      <c s="60" r="BJ13">
        <v>2839172</v>
      </c>
      <c s="60" r="BK13">
        <v>825932</v>
      </c>
      <c s="60" r="BL13">
        <v>601077</v>
      </c>
      <c s="60" r="BM13">
        <v>317226</v>
      </c>
      <c s="60" r="BN13">
        <v>306944</v>
      </c>
      <c s="60" r="BO13">
        <v>508706</v>
      </c>
      <c s="60" r="BP13">
        <v>294133</v>
      </c>
      <c s="60" r="BQ13">
        <v>709815</v>
      </c>
      <c s="60" r="BR13">
        <v>2098709</v>
      </c>
      <c s="60" r="BS13">
        <v>13269</v>
      </c>
      <c s="60" r="BT13">
        <v>15083</v>
      </c>
      <c s="60" r="BU13">
        <v>250042</v>
      </c>
      <c s="60" r="BV13">
        <v>84807</v>
      </c>
      <c s="60" r="BW13">
        <v>78596</v>
      </c>
      <c s="60" r="BX13">
        <v>39496</v>
      </c>
      <c s="60" r="BY13">
        <v>544031</v>
      </c>
      <c s="60" r="BZ13">
        <v>4761121</v>
      </c>
      <c s="60" r="CA13">
        <v>533068</v>
      </c>
      <c s="60" r="CB13">
        <v>4638944</v>
      </c>
      <c s="60" r="CC13">
        <v>529143</v>
      </c>
      <c s="60" r="CD13">
        <v>4504480</v>
      </c>
      <c s="60" r="CE13">
        <v>12068</v>
      </c>
      <c s="60" r="CF13">
        <v>134464</v>
      </c>
      <c s="60" r="CG13">
        <v>26038</v>
      </c>
      <c s="60" r="CH13">
        <v>8758</v>
      </c>
      <c s="60" r="CI13">
        <v>57621</v>
      </c>
      <c s="60" r="CJ13">
        <v>92236</v>
      </c>
      <c s="60" r="CK13">
        <v>19853</v>
      </c>
      <c s="60" r="CL13">
        <v>21183</v>
      </c>
      <c s="60" r="CM13">
        <v>589164</v>
      </c>
      <c s="60" r="CN13">
        <v>1098374</v>
      </c>
      <c s="60" r="CO13">
        <v>539330</v>
      </c>
      <c s="60" r="CP13">
        <v>1045407</v>
      </c>
      <c s="60" r="CQ13">
        <v>231465</v>
      </c>
      <c s="60" r="CR13">
        <v>155601</v>
      </c>
      <c s="60" r="CS13">
        <v>45224</v>
      </c>
      <c s="60" r="CT13">
        <v>402366</v>
      </c>
      <c s="30" r="CU13">
        <v>5070</v>
      </c>
      <c s="30" r="CV13">
        <v>17569</v>
      </c>
      <c s="60" r="CW13">
        <v>231254</v>
      </c>
      <c s="60" r="CX13">
        <v>704556</v>
      </c>
      <c s="60" r="CY13">
        <v>96819</v>
      </c>
      <c s="60" r="CZ13">
        <v>394208</v>
      </c>
      <c s="60" r="DA13">
        <v>347934</v>
      </c>
      <c s="60" r="DB13">
        <v>87010</v>
      </c>
      <c s="60" r="DC13">
        <v>133585</v>
      </c>
      <c s="60" r="DD13">
        <v>307331</v>
      </c>
      <c s="60" r="DE13">
        <v>437838</v>
      </c>
      <c s="60" r="DF13">
        <v>788549</v>
      </c>
      <c s="60" r="DG13">
        <v>28623</v>
      </c>
      <c s="60" r="DH13">
        <v>219290</v>
      </c>
      <c s="60" r="DI13">
        <v>22753</v>
      </c>
      <c s="60" r="DJ13">
        <v>172469</v>
      </c>
      <c s="60" r="DK13">
        <v>6869</v>
      </c>
      <c s="60" r="DL13">
        <v>46656</v>
      </c>
      <c s="60" r="DM13">
        <v>1401606</v>
      </c>
      <c s="60" r="DN13">
        <v>5103970</v>
      </c>
      <c s="60" r="DO13">
        <v>188018</v>
      </c>
      <c s="60" r="DP13">
        <v>405057</v>
      </c>
      <c s="30" r="DQ13">
        <v>105</v>
      </c>
      <c s="30" r="DR13">
        <v>1155</v>
      </c>
      <c s="60" r="DS13">
        <v>165275</v>
      </c>
      <c s="60" r="DT13">
        <v>37460</v>
      </c>
      <c s="60" r="DU13">
        <v>106221</v>
      </c>
      <c s="60" r="DV13">
        <v>20875</v>
      </c>
      <c s="60" r="DW13">
        <v>81925</v>
      </c>
      <c s="60" r="DX13">
        <v>16585</v>
      </c>
      <c s="60" r="DY13">
        <v>81925</v>
      </c>
      <c s="40" r="DZ13">
        <v>16585</v>
      </c>
    </row>
    <row customHeight="1" r="14" ht="15.0">
      <c t="s" s="43" r="A14">
        <v>79</v>
      </c>
      <c s="60" r="B14">
        <v>1168782</v>
      </c>
      <c s="60" r="C14">
        <v>20395758</v>
      </c>
      <c s="60" r="D14">
        <v>1168782</v>
      </c>
      <c s="60" r="E14">
        <v>21315246</v>
      </c>
      <c s="60" r="F14">
        <v>642240</v>
      </c>
      <c s="60" r="G14">
        <v>10291627</v>
      </c>
      <c s="60" r="H14">
        <v>613764</v>
      </c>
      <c s="60" r="I14">
        <v>1471031</v>
      </c>
      <c s="60" r="J14">
        <v>74102</v>
      </c>
      <c s="60" r="K14">
        <v>444758</v>
      </c>
      <c s="60" r="L14">
        <v>331865</v>
      </c>
      <c s="60" r="M14">
        <v>1117599</v>
      </c>
      <c s="60" r="N14">
        <v>279826</v>
      </c>
      <c s="60" r="O14">
        <v>634699</v>
      </c>
      <c s="60" r="P14">
        <v>233508</v>
      </c>
      <c s="60" r="Q14">
        <v>169204</v>
      </c>
      <c s="60" r="R14">
        <v>16835</v>
      </c>
      <c s="60" r="S14">
        <v>248570</v>
      </c>
      <c s="60" r="T14">
        <v>292531</v>
      </c>
      <c s="60" r="U14">
        <v>1941179</v>
      </c>
      <c s="60" r="V14">
        <v>245756</v>
      </c>
      <c s="60" r="W14">
        <v>-165845</v>
      </c>
      <c s="60" r="X14">
        <v>27088</v>
      </c>
      <c s="60" r="Y14">
        <v>-175843</v>
      </c>
      <c s="60" r="Z14">
        <v>172354</v>
      </c>
      <c s="60" r="AA14">
        <v>1396412</v>
      </c>
      <c s="60" r="AB14">
        <v>392045</v>
      </c>
      <c s="60" r="AC14">
        <v>4254456</v>
      </c>
      <c s="60" r="AD14">
        <v>105439</v>
      </c>
      <c s="60" r="AE14">
        <v>785315</v>
      </c>
      <c s="60" r="AF14">
        <v>90260</v>
      </c>
      <c s="60" r="AG14">
        <v>1010028</v>
      </c>
      <c s="60" r="AH14">
        <v>10246</v>
      </c>
      <c s="60" r="AI14">
        <v>35510</v>
      </c>
      <c s="60" r="AJ14">
        <v>100077</v>
      </c>
      <c s="60" r="AK14">
        <v>-190232</v>
      </c>
      <c s="60" r="AL14">
        <v>6480</v>
      </c>
      <c s="60" r="AM14">
        <v>39502</v>
      </c>
      <c s="60" r="AN14">
        <v>13767</v>
      </c>
      <c s="60" r="AO14">
        <v>-140861</v>
      </c>
      <c s="60" r="AP14">
        <v>135488</v>
      </c>
      <c s="60" r="AQ14">
        <v>1108645</v>
      </c>
      <c s="60" r="AR14">
        <v>207820</v>
      </c>
      <c s="60" r="AS14">
        <v>241840</v>
      </c>
      <c s="60" r="AT14">
        <v>3237</v>
      </c>
      <c s="60" r="AU14">
        <v>281209</v>
      </c>
      <c s="60" r="AV14">
        <v>64037</v>
      </c>
      <c s="60" r="AW14">
        <v>110642</v>
      </c>
      <c s="60" r="AX14">
        <v>309184</v>
      </c>
      <c s="60" r="AY14">
        <v>919488</v>
      </c>
      <c s="60" r="AZ14">
        <v>18048313</v>
      </c>
      <c s="60" r="BA14">
        <v>0</v>
      </c>
      <c s="60" r="BB14">
        <v>0</v>
      </c>
      <c s="60" r="BC14">
        <v>674951</v>
      </c>
      <c s="60" r="BD14">
        <v>5175334</v>
      </c>
      <c s="60" r="BE14">
        <v>674951</v>
      </c>
      <c s="60" r="BF14">
        <v>6053093</v>
      </c>
      <c s="60" r="BG14">
        <v>674951</v>
      </c>
      <c s="60" r="BH14">
        <v>877759</v>
      </c>
      <c s="60" r="BI14">
        <v>1146267</v>
      </c>
      <c s="60" r="BJ14">
        <v>3531008</v>
      </c>
      <c s="60" r="BK14">
        <v>1060903</v>
      </c>
      <c s="60" r="BL14">
        <v>869657</v>
      </c>
      <c s="60" r="BM14">
        <v>530644</v>
      </c>
      <c s="60" r="BN14">
        <v>547355</v>
      </c>
      <c s="60" r="BO14">
        <v>530258</v>
      </c>
      <c s="60" r="BP14">
        <v>322302</v>
      </c>
      <c s="60" r="BQ14">
        <v>872201</v>
      </c>
      <c s="60" r="BR14">
        <v>2483034</v>
      </c>
      <c s="60" r="BS14">
        <v>17055</v>
      </c>
      <c s="60" r="BT14">
        <v>33338</v>
      </c>
      <c s="60" r="BU14">
        <v>338586</v>
      </c>
      <c s="60" r="BV14">
        <v>93587</v>
      </c>
      <c s="60" r="BW14">
        <v>112917</v>
      </c>
      <c s="60" r="BX14">
        <v>51392</v>
      </c>
      <c s="60" r="BY14">
        <v>715265</v>
      </c>
      <c s="60" r="BZ14">
        <v>6172775</v>
      </c>
      <c s="60" r="CA14">
        <v>705104</v>
      </c>
      <c s="60" r="CB14">
        <v>6040079</v>
      </c>
      <c s="60" r="CC14">
        <v>696461</v>
      </c>
      <c s="60" r="CD14">
        <v>5965034</v>
      </c>
      <c s="60" r="CE14">
        <v>13925</v>
      </c>
      <c s="60" r="CF14">
        <v>75045</v>
      </c>
      <c s="60" r="CG14">
        <v>31972</v>
      </c>
      <c s="60" r="CH14">
        <v>12271</v>
      </c>
      <c s="60" r="CI14">
        <v>73010</v>
      </c>
      <c s="60" r="CJ14">
        <v>79452</v>
      </c>
      <c s="60" r="CK14">
        <v>20375</v>
      </c>
      <c s="60" r="CL14">
        <v>40973</v>
      </c>
      <c s="60" r="CM14">
        <v>783586</v>
      </c>
      <c s="60" r="CN14">
        <v>1567863</v>
      </c>
      <c s="60" r="CO14">
        <v>710440</v>
      </c>
      <c s="60" r="CP14">
        <v>1378091</v>
      </c>
      <c s="60" r="CQ14">
        <v>366235</v>
      </c>
      <c s="60" r="CR14">
        <v>229027</v>
      </c>
      <c s="60" r="CS14">
        <v>40188</v>
      </c>
      <c s="60" r="CT14">
        <v>391968</v>
      </c>
      <c s="30" r="CU14">
        <v>3634</v>
      </c>
      <c s="30" r="CV14">
        <v>12710</v>
      </c>
      <c s="60" r="CW14">
        <v>311683</v>
      </c>
      <c s="60" r="CX14">
        <v>1254451</v>
      </c>
      <c s="60" r="CY14">
        <v>219881</v>
      </c>
      <c s="60" r="CZ14">
        <v>929495</v>
      </c>
      <c s="60" r="DA14">
        <v>480853</v>
      </c>
      <c s="60" r="DB14">
        <v>113151</v>
      </c>
      <c s="60" r="DC14">
        <v>172095</v>
      </c>
      <c s="60" r="DD14">
        <v>370994</v>
      </c>
      <c s="60" r="DE14">
        <v>622794</v>
      </c>
      <c s="60" r="DF14">
        <v>1413640</v>
      </c>
      <c s="60" r="DG14">
        <v>33255</v>
      </c>
      <c s="60" r="DH14">
        <v>334172</v>
      </c>
      <c s="60" r="DI14">
        <v>21620</v>
      </c>
      <c s="60" r="DJ14">
        <v>146391</v>
      </c>
      <c s="60" r="DK14">
        <v>10636</v>
      </c>
      <c s="60" r="DL14">
        <v>29130</v>
      </c>
      <c s="60" r="DM14">
        <v>1824695</v>
      </c>
      <c s="60" r="DN14">
        <v>6644619</v>
      </c>
      <c s="60" r="DO14">
        <v>545021</v>
      </c>
      <c s="60" r="DP14">
        <v>2310255</v>
      </c>
      <c s="30" r="DQ14">
        <v>1021</v>
      </c>
      <c s="30" r="DR14">
        <v>704</v>
      </c>
      <c s="60" r="DS14">
        <v>516026</v>
      </c>
      <c s="60" r="DT14">
        <v>220801</v>
      </c>
      <c s="60" r="DU14">
        <v>365041</v>
      </c>
      <c s="60" r="DV14">
        <v>107245</v>
      </c>
      <c s="60" r="DW14">
        <v>321738</v>
      </c>
      <c s="60" r="DX14">
        <v>113557</v>
      </c>
      <c s="60" r="DY14">
        <v>321738</v>
      </c>
      <c s="40" r="DZ14">
        <v>113557</v>
      </c>
    </row>
    <row customHeight="1" r="15" ht="15.0">
      <c t="s" s="43" r="A15">
        <v>80</v>
      </c>
      <c s="60" r="B15">
        <v>1319637</v>
      </c>
      <c s="60" r="C15">
        <v>29814501</v>
      </c>
      <c s="60" r="D15">
        <v>1319637</v>
      </c>
      <c s="60" r="E15">
        <v>30750081</v>
      </c>
      <c s="60" r="F15">
        <v>879172</v>
      </c>
      <c s="60" r="G15">
        <v>18445741</v>
      </c>
      <c s="60" r="H15">
        <v>648044</v>
      </c>
      <c s="60" r="I15">
        <v>1300647</v>
      </c>
      <c s="60" r="J15">
        <v>83400</v>
      </c>
      <c s="60" r="K15">
        <v>682302</v>
      </c>
      <c s="60" r="L15">
        <v>335233</v>
      </c>
      <c s="60" r="M15">
        <v>1055202</v>
      </c>
      <c s="60" r="N15">
        <v>282588</v>
      </c>
      <c s="60" r="O15">
        <v>637833</v>
      </c>
      <c s="60" r="P15">
        <v>319211</v>
      </c>
      <c s="60" r="Q15">
        <v>205231</v>
      </c>
      <c s="30" r="R15">
        <v>6087</v>
      </c>
      <c s="30" r="S15">
        <v>65419</v>
      </c>
      <c s="60" r="T15">
        <v>335540</v>
      </c>
      <c s="60" r="U15">
        <v>2478502</v>
      </c>
      <c s="60" r="V15">
        <v>240088</v>
      </c>
      <c s="60" r="W15">
        <v>-96785</v>
      </c>
      <c s="60" r="X15">
        <v>18232</v>
      </c>
      <c s="60" r="Y15">
        <v>-221892</v>
      </c>
      <c s="60" r="Z15">
        <v>171568</v>
      </c>
      <c s="60" r="AA15">
        <v>1604931</v>
      </c>
      <c s="60" r="AB15">
        <v>377816</v>
      </c>
      <c s="60" r="AC15">
        <v>4836561</v>
      </c>
      <c s="60" r="AD15">
        <v>90246</v>
      </c>
      <c s="60" r="AE15">
        <v>760603</v>
      </c>
      <c s="60" r="AF15">
        <v>109459</v>
      </c>
      <c s="60" r="AG15">
        <v>1274471</v>
      </c>
      <c s="60" r="AH15">
        <v>11952</v>
      </c>
      <c s="60" r="AI15">
        <v>43220</v>
      </c>
      <c s="60" r="AJ15">
        <v>90237</v>
      </c>
      <c s="60" r="AK15">
        <v>-187555</v>
      </c>
      <c s="60" r="AL15">
        <v>13231</v>
      </c>
      <c s="60" r="AM15">
        <v>53448</v>
      </c>
      <c s="60" r="AN15">
        <v>23131</v>
      </c>
      <c s="60" r="AO15">
        <v>-234257</v>
      </c>
      <c s="60" r="AP15">
        <v>155857</v>
      </c>
      <c s="60" r="AQ15">
        <v>1487183</v>
      </c>
      <c s="60" r="AR15">
        <v>349403</v>
      </c>
      <c s="60" r="AS15">
        <v>802127</v>
      </c>
      <c s="60" r="AT15">
        <v>3890</v>
      </c>
      <c s="60" r="AU15">
        <v>236793</v>
      </c>
      <c s="60" r="AV15">
        <v>63035</v>
      </c>
      <c s="60" r="AW15">
        <v>206703</v>
      </c>
      <c s="60" r="AX15">
        <v>366633</v>
      </c>
      <c s="60" r="AY15">
        <v>935580</v>
      </c>
      <c s="60" r="AZ15">
        <v>21306431</v>
      </c>
      <c s="60" r="BA15">
        <v>0</v>
      </c>
      <c s="60" r="BB15">
        <v>0</v>
      </c>
      <c s="60" r="BC15">
        <v>650665</v>
      </c>
      <c s="60" r="BD15">
        <v>5519318</v>
      </c>
      <c s="60" r="BE15">
        <v>650665</v>
      </c>
      <c s="60" r="BF15">
        <v>6617872</v>
      </c>
      <c s="60" r="BG15">
        <v>650665</v>
      </c>
      <c s="60" r="BH15">
        <v>1098554</v>
      </c>
      <c s="60" r="BI15">
        <v>1299366</v>
      </c>
      <c s="60" r="BJ15">
        <v>4173784</v>
      </c>
      <c s="60" r="BK15">
        <v>1223145</v>
      </c>
      <c s="60" r="BL15">
        <v>1130789</v>
      </c>
      <c s="60" r="BM15">
        <v>691706</v>
      </c>
      <c s="60" r="BN15">
        <v>743790</v>
      </c>
      <c s="60" r="BO15">
        <v>531439</v>
      </c>
      <c s="60" r="BP15">
        <v>386999</v>
      </c>
      <c s="60" r="BQ15">
        <v>995385</v>
      </c>
      <c s="60" r="BR15">
        <v>2852745</v>
      </c>
      <c s="60" r="BS15">
        <v>22469</v>
      </c>
      <c s="60" r="BT15">
        <v>36903</v>
      </c>
      <c s="60" r="BU15">
        <v>386038</v>
      </c>
      <c s="60" r="BV15">
        <v>93464</v>
      </c>
      <c s="60" r="BW15">
        <v>113366</v>
      </c>
      <c s="60" r="BX15">
        <v>59884</v>
      </c>
      <c s="60" r="BY15">
        <v>883999</v>
      </c>
      <c s="60" r="BZ15">
        <v>7574071</v>
      </c>
      <c s="60" r="CA15">
        <v>874872</v>
      </c>
      <c s="60" r="CB15">
        <v>7389909</v>
      </c>
      <c s="60" r="CC15">
        <v>860601</v>
      </c>
      <c s="60" r="CD15">
        <v>7262299</v>
      </c>
      <c s="60" r="CE15">
        <v>27973</v>
      </c>
      <c s="60" r="CF15">
        <v>127610</v>
      </c>
      <c s="60" r="CG15">
        <v>50133</v>
      </c>
      <c s="60" r="CH15">
        <v>20120</v>
      </c>
      <c s="60" r="CI15">
        <v>118989</v>
      </c>
      <c s="60" r="CJ15">
        <v>136422</v>
      </c>
      <c s="60" r="CK15">
        <v>20554</v>
      </c>
      <c s="60" r="CL15">
        <v>27620</v>
      </c>
      <c s="60" r="CM15">
        <v>906190</v>
      </c>
      <c s="60" r="CN15">
        <v>1879966</v>
      </c>
      <c s="60" r="CO15">
        <v>820181</v>
      </c>
      <c s="60" r="CP15">
        <v>1551868</v>
      </c>
      <c s="60" r="CQ15">
        <v>447402</v>
      </c>
      <c s="60" r="CR15">
        <v>298252</v>
      </c>
      <c s="60" r="CS15">
        <v>33622</v>
      </c>
      <c s="60" r="CT15">
        <v>240435</v>
      </c>
      <c s="60" r="CU15">
        <v>9147</v>
      </c>
      <c s="60" r="CV15">
        <v>40303</v>
      </c>
      <c s="60" r="CW15">
        <v>381364</v>
      </c>
      <c s="60" r="CX15">
        <v>1879760</v>
      </c>
      <c s="60" r="CY15">
        <v>319723</v>
      </c>
      <c s="60" r="CZ15">
        <v>1618674</v>
      </c>
      <c s="60" r="DA15">
        <v>544044</v>
      </c>
      <c s="60" r="DB15">
        <v>128693</v>
      </c>
      <c s="60" r="DC15">
        <v>183507</v>
      </c>
      <c s="60" r="DD15">
        <v>365195</v>
      </c>
      <c s="60" r="DE15">
        <v>713140</v>
      </c>
      <c s="60" r="DF15">
        <v>2112562</v>
      </c>
      <c s="60" r="DG15">
        <v>37659</v>
      </c>
      <c s="60" r="DH15">
        <v>239228</v>
      </c>
      <c s="60" r="DI15">
        <v>23185</v>
      </c>
      <c s="60" r="DJ15">
        <v>186028</v>
      </c>
      <c s="60" r="DK15">
        <v>14475</v>
      </c>
      <c s="60" r="DL15">
        <v>53201</v>
      </c>
      <c s="60" r="DM15">
        <v>2344057</v>
      </c>
      <c s="60" r="DN15">
        <v>8541397</v>
      </c>
      <c s="60" r="DO15">
        <v>803572</v>
      </c>
      <c s="60" r="DP15">
        <v>5765318</v>
      </c>
      <c s="60" r="DQ15">
        <v>3560</v>
      </c>
      <c s="60" r="DR15">
        <v>3815</v>
      </c>
      <c s="60" r="DS15">
        <v>777791</v>
      </c>
      <c s="60" r="DT15">
        <v>601021</v>
      </c>
      <c s="60" r="DU15">
        <v>632457</v>
      </c>
      <c s="60" r="DV15">
        <v>254151</v>
      </c>
      <c s="60" r="DW15">
        <v>524717</v>
      </c>
      <c s="60" r="DX15">
        <v>346870</v>
      </c>
      <c s="60" r="DY15">
        <v>524717</v>
      </c>
      <c s="40" r="DZ15">
        <v>346870</v>
      </c>
    </row>
    <row customHeight="1" r="16" ht="15.0">
      <c t="s" s="43" r="A16">
        <v>81</v>
      </c>
      <c s="60" r="B16">
        <v>1533209</v>
      </c>
      <c s="60" r="C16">
        <v>42318676</v>
      </c>
      <c s="60" r="D16">
        <v>1533209</v>
      </c>
      <c s="60" r="E16">
        <v>43304965</v>
      </c>
      <c s="60" r="F16">
        <v>1094892</v>
      </c>
      <c s="60" r="G16">
        <v>27432923</v>
      </c>
      <c s="60" r="H16">
        <v>697237</v>
      </c>
      <c s="60" r="I16">
        <v>1626240</v>
      </c>
      <c s="60" r="J16">
        <v>93252</v>
      </c>
      <c s="60" r="K16">
        <v>743067</v>
      </c>
      <c s="60" r="L16">
        <v>368593</v>
      </c>
      <c s="60" r="M16">
        <v>1159390</v>
      </c>
      <c s="60" r="N16">
        <v>322132</v>
      </c>
      <c s="60" r="O16">
        <v>767475</v>
      </c>
      <c s="60" r="P16">
        <v>442183</v>
      </c>
      <c s="60" r="Q16">
        <v>292121</v>
      </c>
      <c s="60" r="R16">
        <v>9103</v>
      </c>
      <c s="60" r="S16">
        <v>102353</v>
      </c>
      <c s="60" r="T16">
        <v>314227</v>
      </c>
      <c s="60" r="U16">
        <v>2585000</v>
      </c>
      <c s="60" r="V16">
        <v>285760</v>
      </c>
      <c s="60" r="W16">
        <v>-181620</v>
      </c>
      <c s="60" r="X16">
        <v>19649</v>
      </c>
      <c s="60" r="Y16">
        <v>-143515</v>
      </c>
      <c s="60" r="Z16">
        <v>185338</v>
      </c>
      <c s="60" r="AA16">
        <v>1888369</v>
      </c>
      <c s="60" r="AB16">
        <v>415362</v>
      </c>
      <c s="60" r="AC16">
        <v>6030162</v>
      </c>
      <c s="60" r="AD16">
        <v>101889</v>
      </c>
      <c s="60" r="AE16">
        <v>763533</v>
      </c>
      <c s="60" r="AF16">
        <v>130222</v>
      </c>
      <c s="60" r="AG16">
        <v>1479794</v>
      </c>
      <c s="60" r="AH16">
        <v>7937</v>
      </c>
      <c s="60" r="AI16">
        <v>59149</v>
      </c>
      <c s="60" r="AJ16">
        <v>114795</v>
      </c>
      <c s="60" r="AK16">
        <v>69749</v>
      </c>
      <c s="60" r="AL16">
        <v>8346</v>
      </c>
      <c s="60" r="AM16">
        <v>41192</v>
      </c>
      <c s="60" r="AN16">
        <v>17463</v>
      </c>
      <c s="60" r="AO16">
        <v>-132106</v>
      </c>
      <c s="60" r="AP16">
        <v>171659</v>
      </c>
      <c s="60" r="AQ16">
        <v>1515195</v>
      </c>
      <c s="60" r="AR16">
        <v>390945</v>
      </c>
      <c s="60" r="AS16">
        <v>1406097</v>
      </c>
      <c s="60" r="AT16">
        <v>3992</v>
      </c>
      <c s="60" r="AU16">
        <v>190131</v>
      </c>
      <c s="60" r="AV16">
        <v>88077</v>
      </c>
      <c s="60" r="AW16">
        <v>303927</v>
      </c>
      <c s="60" r="AX16">
        <v>373940</v>
      </c>
      <c s="60" r="AY16">
        <v>986289</v>
      </c>
      <c s="60" r="AZ16">
        <v>24192992</v>
      </c>
      <c s="60" r="BA16">
        <v>0</v>
      </c>
      <c s="60" r="BB16">
        <v>0</v>
      </c>
      <c s="60" r="BC16">
        <v>634268</v>
      </c>
      <c s="60" r="BD16">
        <v>4530855</v>
      </c>
      <c s="60" r="BE16">
        <v>634268</v>
      </c>
      <c s="60" r="BF16">
        <v>5840121</v>
      </c>
      <c s="60" r="BG16">
        <v>634268</v>
      </c>
      <c s="60" r="BH16">
        <v>1309266</v>
      </c>
      <c s="60" r="BI16">
        <v>1507526</v>
      </c>
      <c s="60" r="BJ16">
        <v>5053247</v>
      </c>
      <c s="60" r="BK16">
        <v>1434033</v>
      </c>
      <c s="60" r="BL16">
        <v>1624779</v>
      </c>
      <c s="60" r="BM16">
        <v>886889</v>
      </c>
      <c s="60" r="BN16">
        <v>1171080</v>
      </c>
      <c s="60" r="BO16">
        <v>547144</v>
      </c>
      <c s="60" r="BP16">
        <v>453699</v>
      </c>
      <c s="60" r="BQ16">
        <v>1178383</v>
      </c>
      <c s="60" r="BR16">
        <v>3145811</v>
      </c>
      <c s="60" r="BS16">
        <v>42031</v>
      </c>
      <c s="60" r="BT16">
        <v>49168</v>
      </c>
      <c s="60" r="BU16">
        <v>470913</v>
      </c>
      <c s="60" r="BV16">
        <v>135062</v>
      </c>
      <c s="60" r="BW16">
        <v>144848</v>
      </c>
      <c s="60" r="BX16">
        <v>98428</v>
      </c>
      <c s="60" r="BY16">
        <v>1090427</v>
      </c>
      <c s="60" r="BZ16">
        <v>9503460</v>
      </c>
      <c s="60" r="CA16">
        <v>1075474</v>
      </c>
      <c s="60" r="CB16">
        <v>9294308</v>
      </c>
      <c s="60" r="CC16">
        <v>1058911</v>
      </c>
      <c s="60" r="CD16">
        <v>9129687</v>
      </c>
      <c s="60" r="CE16">
        <v>27953</v>
      </c>
      <c s="60" r="CF16">
        <v>164621</v>
      </c>
      <c s="60" r="CG16">
        <v>51556</v>
      </c>
      <c s="60" r="CH16">
        <v>23538</v>
      </c>
      <c s="60" r="CI16">
        <v>152974</v>
      </c>
      <c s="60" r="CJ16">
        <v>152537</v>
      </c>
      <c s="60" r="CK16">
        <v>23177</v>
      </c>
      <c s="60" r="CL16">
        <v>33077</v>
      </c>
      <c s="60" r="CM16">
        <v>1059014</v>
      </c>
      <c s="60" r="CN16">
        <v>2217714</v>
      </c>
      <c s="60" r="CO16">
        <v>933337</v>
      </c>
      <c s="60" r="CP16">
        <v>1858788</v>
      </c>
      <c s="60" r="CQ16">
        <v>565710</v>
      </c>
      <c s="60" r="CR16">
        <v>354926</v>
      </c>
      <c s="60" r="CS16">
        <v>21872</v>
      </c>
      <c s="60" r="CT16">
        <v>669373</v>
      </c>
      <c s="30" r="CU16">
        <v>5004</v>
      </c>
      <c s="30" r="CV16">
        <v>15755</v>
      </c>
      <c s="60" r="CW16">
        <v>448563</v>
      </c>
      <c s="60" r="CX16">
        <v>2499301</v>
      </c>
      <c s="60" r="CY16">
        <v>423461</v>
      </c>
      <c s="60" r="CZ16">
        <v>2262545</v>
      </c>
      <c s="60" r="DA16">
        <v>654417</v>
      </c>
      <c s="60" r="DB16">
        <v>153936</v>
      </c>
      <c s="60" r="DC16">
        <v>203366</v>
      </c>
      <c s="60" r="DD16">
        <v>414450</v>
      </c>
      <c s="60" r="DE16">
        <v>858498</v>
      </c>
      <c s="60" r="DF16">
        <v>2830932</v>
      </c>
      <c s="60" r="DG16">
        <v>49595</v>
      </c>
      <c s="60" r="DH16">
        <v>372661</v>
      </c>
      <c s="60" r="DI16">
        <v>26220</v>
      </c>
      <c s="60" r="DJ16">
        <v>209419</v>
      </c>
      <c s="60" r="DK16">
        <v>23346</v>
      </c>
      <c s="60" r="DL16">
        <v>108317</v>
      </c>
      <c s="60" r="DM16">
        <v>2725465</v>
      </c>
      <c s="60" r="DN16">
        <v>9931304</v>
      </c>
      <c s="60" r="DO16">
        <v>1163561</v>
      </c>
      <c s="60" r="DP16">
        <v>11849534</v>
      </c>
      <c s="30" r="DQ16">
        <v>160</v>
      </c>
      <c s="30" r="DR16">
        <v>1965</v>
      </c>
      <c s="60" r="DS16">
        <v>1141339</v>
      </c>
      <c s="60" r="DT16">
        <v>1335547</v>
      </c>
      <c s="60" r="DU16">
        <v>950350</v>
      </c>
      <c s="60" r="DV16">
        <v>485152</v>
      </c>
      <c s="60" r="DW16">
        <v>766483</v>
      </c>
      <c s="60" r="DX16">
        <v>850395</v>
      </c>
      <c s="60" r="DY16">
        <v>766483</v>
      </c>
      <c s="40" r="DZ16">
        <v>850395</v>
      </c>
    </row>
    <row customHeight="1" r="17" ht="15.0">
      <c t="s" s="43" r="A17">
        <v>82</v>
      </c>
      <c s="60" r="B17">
        <v>1739943</v>
      </c>
      <c s="60" r="C17">
        <v>56594888</v>
      </c>
      <c s="60" r="D17">
        <v>1739943</v>
      </c>
      <c s="60" r="E17">
        <v>57737735</v>
      </c>
      <c s="60" r="F17">
        <v>1386236</v>
      </c>
      <c s="60" r="G17">
        <v>41288745</v>
      </c>
      <c s="60" r="H17">
        <v>775454</v>
      </c>
      <c s="60" r="I17">
        <v>1388407</v>
      </c>
      <c s="60" r="J17">
        <v>73529</v>
      </c>
      <c s="60" r="K17">
        <v>489807</v>
      </c>
      <c s="60" r="L17">
        <v>360313</v>
      </c>
      <c s="60" r="M17">
        <v>1012678</v>
      </c>
      <c s="60" r="N17">
        <v>317811</v>
      </c>
      <c s="60" r="O17">
        <v>621018</v>
      </c>
      <c s="60" r="P17">
        <v>589820</v>
      </c>
      <c s="60" r="Q17">
        <v>382051</v>
      </c>
      <c s="60" r="R17">
        <v>20991</v>
      </c>
      <c s="60" r="S17">
        <v>267765</v>
      </c>
      <c s="60" r="T17">
        <v>317005</v>
      </c>
      <c s="60" r="U17">
        <v>2801938</v>
      </c>
      <c s="60" r="V17">
        <v>258774</v>
      </c>
      <c s="60" r="W17">
        <v>-197411</v>
      </c>
      <c s="60" r="X17">
        <v>27514</v>
      </c>
      <c s="60" r="Y17">
        <v>-295186</v>
      </c>
      <c s="60" r="Z17">
        <v>179721</v>
      </c>
      <c s="60" r="AA17">
        <v>1771905</v>
      </c>
      <c s="60" r="AB17">
        <v>378337</v>
      </c>
      <c s="60" r="AC17">
        <v>5948629</v>
      </c>
      <c s="60" r="AD17">
        <v>89408</v>
      </c>
      <c s="60" r="AE17">
        <v>913924</v>
      </c>
      <c s="60" r="AF17">
        <v>109191</v>
      </c>
      <c s="60" r="AG17">
        <v>1000867</v>
      </c>
      <c s="60" r="AH17">
        <v>6341</v>
      </c>
      <c s="60" r="AI17">
        <v>31090</v>
      </c>
      <c s="60" r="AJ17">
        <v>105781</v>
      </c>
      <c s="60" r="AK17">
        <v>-288620</v>
      </c>
      <c s="60" r="AL17">
        <v>10128</v>
      </c>
      <c s="60" r="AM17">
        <v>32996</v>
      </c>
      <c s="60" r="AN17">
        <v>19905</v>
      </c>
      <c s="60" r="AO17">
        <v>-238044</v>
      </c>
      <c s="60" r="AP17">
        <v>182641</v>
      </c>
      <c s="60" r="AQ17">
        <v>1563820</v>
      </c>
      <c s="60" r="AR17">
        <v>379772</v>
      </c>
      <c s="60" r="AS17">
        <v>1959041</v>
      </c>
      <c s="60" r="AT17">
        <v>1090</v>
      </c>
      <c s="60" r="AU17">
        <v>96632</v>
      </c>
      <c s="60" r="AV17">
        <v>79515</v>
      </c>
      <c s="60" r="AW17">
        <v>280135</v>
      </c>
      <c s="60" r="AX17">
        <v>440573</v>
      </c>
      <c s="60" r="AY17">
        <v>1142847</v>
      </c>
      <c s="60" r="AZ17">
        <v>26670810</v>
      </c>
      <c s="60" r="BA17">
        <v>0</v>
      </c>
      <c s="60" r="BB17">
        <v>0</v>
      </c>
      <c s="60" r="BC17">
        <v>669250</v>
      </c>
      <c s="60" r="BD17">
        <v>4195270</v>
      </c>
      <c s="60" r="BE17">
        <v>669250</v>
      </c>
      <c s="60" r="BF17">
        <v>5823490</v>
      </c>
      <c s="60" r="BG17">
        <v>669250</v>
      </c>
      <c s="60" r="BH17">
        <v>1628219</v>
      </c>
      <c s="60" r="BI17">
        <v>1716188</v>
      </c>
      <c s="60" r="BJ17">
        <v>6042005</v>
      </c>
      <c s="60" r="BK17">
        <v>1627605</v>
      </c>
      <c s="60" r="BL17">
        <v>2088057</v>
      </c>
      <c s="60" r="BM17">
        <v>1098878</v>
      </c>
      <c s="60" r="BN17">
        <v>1616794</v>
      </c>
      <c s="60" r="BO17">
        <v>528727</v>
      </c>
      <c s="60" r="BP17">
        <v>471263</v>
      </c>
      <c s="60" r="BQ17">
        <v>1345424</v>
      </c>
      <c s="60" r="BR17">
        <v>3627592</v>
      </c>
      <c s="60" r="BS17">
        <v>45134</v>
      </c>
      <c s="60" r="BT17">
        <v>47434</v>
      </c>
      <c s="60" r="BU17">
        <v>546964</v>
      </c>
      <c s="60" r="BV17">
        <v>180263</v>
      </c>
      <c s="60" r="BW17">
        <v>169976</v>
      </c>
      <c s="60" r="BX17">
        <v>98660</v>
      </c>
      <c s="60" r="BY17">
        <v>1228227</v>
      </c>
      <c s="60" r="BZ17">
        <v>10270587</v>
      </c>
      <c s="60" r="CA17">
        <v>1217754</v>
      </c>
      <c s="60" r="CB17">
        <v>10003250</v>
      </c>
      <c s="60" r="CC17">
        <v>1198385</v>
      </c>
      <c s="60" r="CD17">
        <v>9844338</v>
      </c>
      <c s="60" r="CE17">
        <v>31408</v>
      </c>
      <c s="60" r="CF17">
        <v>158912</v>
      </c>
      <c s="60" r="CG17">
        <v>52026</v>
      </c>
      <c s="60" r="CH17">
        <v>16552</v>
      </c>
      <c s="60" r="CI17">
        <v>186099</v>
      </c>
      <c s="60" r="CJ17">
        <v>208684</v>
      </c>
      <c s="60" r="CK17">
        <v>29402</v>
      </c>
      <c s="60" r="CL17">
        <v>42102</v>
      </c>
      <c s="60" r="CM17">
        <v>1216902</v>
      </c>
      <c s="60" r="CN17">
        <v>2418768</v>
      </c>
      <c s="60" r="CO17">
        <v>1094724</v>
      </c>
      <c s="60" r="CP17">
        <v>1895245</v>
      </c>
      <c s="60" r="CQ17">
        <v>647625</v>
      </c>
      <c s="60" r="CR17">
        <v>449893</v>
      </c>
      <c s="60" r="CS17">
        <v>22748</v>
      </c>
      <c s="60" r="CT17">
        <v>326250</v>
      </c>
      <c s="60" r="CU17">
        <v>8239</v>
      </c>
      <c s="60" r="CV17">
        <v>169762</v>
      </c>
      <c s="60" r="CW17">
        <v>531668</v>
      </c>
      <c s="60" r="CX17">
        <v>3182934</v>
      </c>
      <c s="60" r="CY17">
        <v>558605</v>
      </c>
      <c s="60" r="CZ17">
        <v>2998091</v>
      </c>
      <c s="60" r="DA17">
        <v>760054</v>
      </c>
      <c s="60" r="DB17">
        <v>157830</v>
      </c>
      <c s="60" r="DC17">
        <v>227698</v>
      </c>
      <c s="60" r="DD17">
        <v>481308</v>
      </c>
      <c s="60" r="DE17">
        <v>1009849</v>
      </c>
      <c s="60" r="DF17">
        <v>3637229</v>
      </c>
      <c s="60" r="DG17">
        <v>59833</v>
      </c>
      <c s="60" r="DH17">
        <v>391483</v>
      </c>
      <c s="60" r="DI17">
        <v>38700</v>
      </c>
      <c s="60" r="DJ17">
        <v>320441</v>
      </c>
      <c s="60" r="DK17">
        <v>22133</v>
      </c>
      <c s="60" r="DL17">
        <v>71043</v>
      </c>
      <c s="60" r="DM17">
        <v>3174052</v>
      </c>
      <c s="60" r="DN17">
        <v>11568716</v>
      </c>
      <c s="60" r="DO17">
        <v>1517437</v>
      </c>
      <c s="60" r="DP17">
        <v>20037936</v>
      </c>
      <c s="60" r="DQ17">
        <v>2096</v>
      </c>
      <c s="60" r="DR17">
        <v>6119</v>
      </c>
      <c s="60" r="DS17">
        <v>1496019</v>
      </c>
      <c s="60" r="DT17">
        <v>2364452</v>
      </c>
      <c s="60" r="DU17">
        <v>1302063</v>
      </c>
      <c s="60" r="DV17">
        <v>815017</v>
      </c>
      <c s="60" r="DW17">
        <v>1044433</v>
      </c>
      <c s="60" r="DX17">
        <v>1549435</v>
      </c>
      <c s="60" r="DY17">
        <v>1044433</v>
      </c>
      <c s="40" r="DZ17">
        <v>1549435</v>
      </c>
    </row>
    <row customHeight="1" r="18" ht="15.0">
      <c t="s" s="43" r="A18">
        <v>83</v>
      </c>
      <c s="60" r="B18">
        <v>1880008</v>
      </c>
      <c s="60" r="C18">
        <v>70564948</v>
      </c>
      <c s="60" r="D18">
        <v>1880008</v>
      </c>
      <c s="60" r="E18">
        <v>71912711</v>
      </c>
      <c s="60" r="F18">
        <v>1572403</v>
      </c>
      <c s="60" r="G18">
        <v>53599108</v>
      </c>
      <c s="60" r="H18">
        <v>870370</v>
      </c>
      <c s="60" r="I18">
        <v>1368643</v>
      </c>
      <c s="60" r="J18">
        <v>81234</v>
      </c>
      <c s="60" r="K18">
        <v>536350</v>
      </c>
      <c s="60" r="L18">
        <v>389527</v>
      </c>
      <c s="60" r="M18">
        <v>1118073</v>
      </c>
      <c s="60" r="N18">
        <v>347381</v>
      </c>
      <c s="60" r="O18">
        <v>713704</v>
      </c>
      <c s="60" r="P18">
        <v>714782</v>
      </c>
      <c s="60" r="Q18">
        <v>508168</v>
      </c>
      <c s="60" r="R18">
        <v>14709</v>
      </c>
      <c s="60" r="S18">
        <v>287582</v>
      </c>
      <c s="60" r="T18">
        <v>348569</v>
      </c>
      <c s="60" r="U18">
        <v>2344893</v>
      </c>
      <c s="60" r="V18">
        <v>266959</v>
      </c>
      <c s="60" r="W18">
        <v>-152158</v>
      </c>
      <c s="60" r="X18">
        <v>21530</v>
      </c>
      <c s="60" r="Y18">
        <v>-114700</v>
      </c>
      <c s="60" r="Z18">
        <v>169725</v>
      </c>
      <c s="60" r="AA18">
        <v>2103425</v>
      </c>
      <c s="60" r="AB18">
        <v>415388</v>
      </c>
      <c s="60" r="AC18">
        <v>7244532</v>
      </c>
      <c s="60" r="AD18">
        <v>95059</v>
      </c>
      <c s="60" r="AE18">
        <v>872040</v>
      </c>
      <c s="60" r="AF18">
        <v>131253</v>
      </c>
      <c s="60" r="AG18">
        <v>1564494</v>
      </c>
      <c s="60" r="AH18">
        <v>4489</v>
      </c>
      <c s="60" r="AI18">
        <v>13567</v>
      </c>
      <c s="60" r="AJ18">
        <v>103842</v>
      </c>
      <c s="60" r="AK18">
        <v>209251</v>
      </c>
      <c s="60" r="AL18">
        <v>14928</v>
      </c>
      <c s="60" r="AM18">
        <v>72996</v>
      </c>
      <c s="60" r="AN18">
        <v>30765</v>
      </c>
      <c s="60" r="AO18">
        <v>-254811</v>
      </c>
      <c s="60" r="AP18">
        <v>174836</v>
      </c>
      <c s="60" r="AQ18">
        <v>1518796</v>
      </c>
      <c s="60" r="AR18">
        <v>365782</v>
      </c>
      <c s="60" r="AS18">
        <v>2528795</v>
      </c>
      <c s="60" r="AT18">
        <v>2968</v>
      </c>
      <c s="60" r="AU18">
        <v>183268</v>
      </c>
      <c s="60" r="AV18">
        <v>107759</v>
      </c>
      <c s="60" r="AW18">
        <v>244166</v>
      </c>
      <c s="60" r="AX18">
        <v>513933</v>
      </c>
      <c s="60" r="AY18">
        <v>1347763</v>
      </c>
      <c s="60" r="AZ18">
        <v>30430418</v>
      </c>
      <c s="60" r="BA18">
        <v>0</v>
      </c>
      <c s="60" r="BB18">
        <v>0</v>
      </c>
      <c s="60" r="BC18">
        <v>628010</v>
      </c>
      <c s="60" r="BD18">
        <v>4514800</v>
      </c>
      <c s="60" r="BE18">
        <v>628010</v>
      </c>
      <c s="60" r="BF18">
        <v>6283376</v>
      </c>
      <c s="60" r="BG18">
        <v>628010</v>
      </c>
      <c s="60" r="BH18">
        <v>1768575</v>
      </c>
      <c s="60" r="BI18">
        <v>1870986</v>
      </c>
      <c s="60" r="BJ18">
        <v>7106358</v>
      </c>
      <c s="60" r="BK18">
        <v>1800983</v>
      </c>
      <c s="60" r="BL18">
        <v>2740294</v>
      </c>
      <c s="60" r="BM18">
        <v>1297940</v>
      </c>
      <c s="60" r="BN18">
        <v>2232327</v>
      </c>
      <c s="60" r="BO18">
        <v>503043</v>
      </c>
      <c s="60" r="BP18">
        <v>507967</v>
      </c>
      <c s="60" r="BQ18">
        <v>1485962</v>
      </c>
      <c s="60" r="BR18">
        <v>4047522</v>
      </c>
      <c s="60" r="BS18">
        <v>70722</v>
      </c>
      <c s="60" r="BT18">
        <v>80347</v>
      </c>
      <c s="60" r="BU18">
        <v>617545</v>
      </c>
      <c s="60" r="BV18">
        <v>177529</v>
      </c>
      <c s="60" r="BW18">
        <v>169065</v>
      </c>
      <c s="60" r="BX18">
        <v>60666</v>
      </c>
      <c s="60" r="BY18">
        <v>1392345</v>
      </c>
      <c s="60" r="BZ18">
        <v>11899832</v>
      </c>
      <c s="60" r="CA18">
        <v>1383932</v>
      </c>
      <c s="60" r="CB18">
        <v>11519906</v>
      </c>
      <c s="60" r="CC18">
        <v>1362891</v>
      </c>
      <c s="60" r="CD18">
        <v>11278537</v>
      </c>
      <c s="60" r="CE18">
        <v>37562</v>
      </c>
      <c s="60" r="CF18">
        <v>241369</v>
      </c>
      <c s="60" r="CG18">
        <v>66957</v>
      </c>
      <c s="60" r="CH18">
        <v>46026</v>
      </c>
      <c s="60" r="CI18">
        <v>229404</v>
      </c>
      <c s="60" r="CJ18">
        <v>303115</v>
      </c>
      <c s="60" r="CK18">
        <v>21249</v>
      </c>
      <c s="60" r="CL18">
        <v>30785</v>
      </c>
      <c s="60" r="CM18">
        <v>1363960</v>
      </c>
      <c s="60" r="CN18">
        <v>3066029</v>
      </c>
      <c s="60" r="CO18">
        <v>1228372</v>
      </c>
      <c s="60" r="CP18">
        <v>2495616</v>
      </c>
      <c s="60" r="CQ18">
        <v>733152</v>
      </c>
      <c s="60" r="CR18">
        <v>517619</v>
      </c>
      <c s="60" r="CS18">
        <v>27621</v>
      </c>
      <c s="60" r="CT18">
        <v>128800</v>
      </c>
      <c s="60" r="CU18">
        <v>9005</v>
      </c>
      <c s="60" r="CV18">
        <v>71577</v>
      </c>
      <c s="60" r="CW18">
        <v>602240</v>
      </c>
      <c s="60" r="CX18">
        <v>3505155</v>
      </c>
      <c s="60" r="CY18">
        <v>647463</v>
      </c>
      <c s="60" r="CZ18">
        <v>3375065</v>
      </c>
      <c s="60" r="DA18">
        <v>890715</v>
      </c>
      <c s="60" r="DB18">
        <v>192793</v>
      </c>
      <c s="60" r="DC18">
        <v>239532</v>
      </c>
      <c s="60" r="DD18">
        <v>522233</v>
      </c>
      <c s="60" r="DE18">
        <v>1166180</v>
      </c>
      <c s="60" r="DF18">
        <v>4090091</v>
      </c>
      <c s="60" r="DG18">
        <v>45465</v>
      </c>
      <c s="60" r="DH18">
        <v>266668</v>
      </c>
      <c s="60" r="DI18">
        <v>20974</v>
      </c>
      <c s="60" r="DJ18">
        <v>93192</v>
      </c>
      <c s="60" r="DK18">
        <v>23506</v>
      </c>
      <c s="60" r="DL18">
        <v>126312</v>
      </c>
      <c s="60" r="DM18">
        <v>3655702</v>
      </c>
      <c s="60" r="DN18">
        <v>13325080</v>
      </c>
      <c s="60" r="DO18">
        <v>1702276</v>
      </c>
      <c s="60" r="DP18">
        <v>28566491</v>
      </c>
      <c s="30" r="DQ18">
        <v>2000</v>
      </c>
      <c s="30" r="DR18">
        <v>9150</v>
      </c>
      <c s="60" r="DS18">
        <v>1684585</v>
      </c>
      <c s="60" r="DT18">
        <v>3465840</v>
      </c>
      <c s="60" r="DU18">
        <v>1506475</v>
      </c>
      <c s="60" r="DV18">
        <v>1149800</v>
      </c>
      <c s="60" r="DW18">
        <v>1203231</v>
      </c>
      <c s="60" r="DX18">
        <v>2316039</v>
      </c>
      <c s="60" r="DY18">
        <v>1203231</v>
      </c>
      <c s="40" r="DZ18">
        <v>2316039</v>
      </c>
    </row>
    <row customHeight="1" r="19" ht="15.0">
      <c t="s" s="43" r="A19">
        <v>84</v>
      </c>
      <c s="60" r="B19">
        <v>2050637</v>
      </c>
      <c s="60" r="C19">
        <v>87157478</v>
      </c>
      <c s="60" r="D19">
        <v>2050637</v>
      </c>
      <c s="60" r="E19">
        <v>88470239</v>
      </c>
      <c s="60" r="F19">
        <v>1750579</v>
      </c>
      <c s="60" r="G19">
        <v>66884148</v>
      </c>
      <c s="60" r="H19">
        <v>971398</v>
      </c>
      <c s="60" r="I19">
        <v>1482385</v>
      </c>
      <c s="60" r="J19">
        <v>97672</v>
      </c>
      <c s="60" r="K19">
        <v>709044</v>
      </c>
      <c s="60" r="L19">
        <v>463807</v>
      </c>
      <c s="60" r="M19">
        <v>1486463</v>
      </c>
      <c s="60" r="N19">
        <v>396857</v>
      </c>
      <c s="60" r="O19">
        <v>936568</v>
      </c>
      <c s="60" r="P19">
        <v>794022</v>
      </c>
      <c s="60" r="Q19">
        <v>555271</v>
      </c>
      <c s="60" r="R19">
        <v>20369</v>
      </c>
      <c s="60" r="S19">
        <v>275119</v>
      </c>
      <c s="60" r="T19">
        <v>321707</v>
      </c>
      <c s="60" r="U19">
        <v>2578867</v>
      </c>
      <c s="60" r="V19">
        <v>316906</v>
      </c>
      <c s="60" r="W19">
        <v>112016</v>
      </c>
      <c s="60" r="X19">
        <v>31726</v>
      </c>
      <c s="60" r="Y19">
        <v>-145797</v>
      </c>
      <c s="60" r="Z19">
        <v>207303</v>
      </c>
      <c s="60" r="AA19">
        <v>2259543</v>
      </c>
      <c s="60" r="AB19">
        <v>463708</v>
      </c>
      <c s="60" r="AC19">
        <v>8247806</v>
      </c>
      <c s="60" r="AD19">
        <v>121689</v>
      </c>
      <c s="60" r="AE19">
        <v>894828</v>
      </c>
      <c s="60" r="AF19">
        <v>129598</v>
      </c>
      <c s="60" r="AG19">
        <v>1544895</v>
      </c>
      <c s="60" r="AH19">
        <v>5575</v>
      </c>
      <c s="60" r="AI19">
        <v>11035</v>
      </c>
      <c s="60" r="AJ19">
        <v>132290</v>
      </c>
      <c s="60" r="AK19">
        <v>26759</v>
      </c>
      <c s="60" r="AL19">
        <v>9795</v>
      </c>
      <c s="60" r="AM19">
        <v>52803</v>
      </c>
      <c s="60" r="AN19">
        <v>21750</v>
      </c>
      <c s="60" r="AO19">
        <v>-216074</v>
      </c>
      <c s="60" r="AP19">
        <v>176891</v>
      </c>
      <c s="60" r="AQ19">
        <v>1477970</v>
      </c>
      <c s="60" r="AR19">
        <v>386769</v>
      </c>
      <c s="60" r="AS19">
        <v>3509390</v>
      </c>
      <c s="60" r="AT19">
        <v>2605</v>
      </c>
      <c s="60" r="AU19">
        <v>81032</v>
      </c>
      <c s="60" r="AV19">
        <v>88056</v>
      </c>
      <c s="60" r="AW19">
        <v>205174</v>
      </c>
      <c s="60" r="AX19">
        <v>524759</v>
      </c>
      <c s="60" r="AY19">
        <v>1312761</v>
      </c>
      <c s="60" r="AZ19">
        <v>34608377</v>
      </c>
      <c s="60" r="BA19">
        <v>0</v>
      </c>
      <c s="60" r="BB19">
        <v>0</v>
      </c>
      <c s="60" r="BC19">
        <v>593927</v>
      </c>
      <c s="60" r="BD19">
        <v>4435274</v>
      </c>
      <c s="60" r="BE19">
        <v>593927</v>
      </c>
      <c s="60" r="BF19">
        <v>6329982</v>
      </c>
      <c s="60" r="BG19">
        <v>593927</v>
      </c>
      <c s="60" r="BH19">
        <v>1894707</v>
      </c>
      <c s="60" r="BI19">
        <v>2028337</v>
      </c>
      <c s="60" r="BJ19">
        <v>8270466</v>
      </c>
      <c s="60" r="BK19">
        <v>1929210</v>
      </c>
      <c s="60" r="BL19">
        <v>3340512</v>
      </c>
      <c s="60" r="BM19">
        <v>1386891</v>
      </c>
      <c s="60" r="BN19">
        <v>2740834</v>
      </c>
      <c s="60" r="BO19">
        <v>542319</v>
      </c>
      <c s="60" r="BP19">
        <v>599678</v>
      </c>
      <c s="60" r="BQ19">
        <v>1672053</v>
      </c>
      <c s="60" r="BR19">
        <v>4526020</v>
      </c>
      <c s="60" r="BS19">
        <v>61732</v>
      </c>
      <c s="60" r="BT19">
        <v>87844</v>
      </c>
      <c s="60" r="BU19">
        <v>653972</v>
      </c>
      <c s="60" r="BV19">
        <v>199186</v>
      </c>
      <c s="60" r="BW19">
        <v>220814</v>
      </c>
      <c s="60" r="BX19">
        <v>116903</v>
      </c>
      <c s="60" r="BY19">
        <v>1559585</v>
      </c>
      <c s="60" r="BZ19">
        <v>13909201</v>
      </c>
      <c s="60" r="CA19">
        <v>1546859</v>
      </c>
      <c s="60" r="CB19">
        <v>13272252</v>
      </c>
      <c s="60" r="CC19">
        <v>1521898</v>
      </c>
      <c s="60" r="CD19">
        <v>13048888</v>
      </c>
      <c s="60" r="CE19">
        <v>37290</v>
      </c>
      <c s="60" r="CF19">
        <v>223365</v>
      </c>
      <c s="60" r="CG19">
        <v>80998</v>
      </c>
      <c s="60" r="CH19">
        <v>48032</v>
      </c>
      <c s="60" r="CI19">
        <v>269092</v>
      </c>
      <c s="60" r="CJ19">
        <v>549534</v>
      </c>
      <c s="60" r="CK19">
        <v>24647</v>
      </c>
      <c s="60" r="CL19">
        <v>39382</v>
      </c>
      <c s="60" r="CM19">
        <v>1515174</v>
      </c>
      <c s="60" r="CN19">
        <v>3551157</v>
      </c>
      <c s="60" r="CO19">
        <v>1349870</v>
      </c>
      <c s="60" r="CP19">
        <v>2865547</v>
      </c>
      <c s="60" r="CQ19">
        <v>851236</v>
      </c>
      <c s="60" r="CR19">
        <v>616828</v>
      </c>
      <c s="60" r="CS19">
        <v>23912</v>
      </c>
      <c s="60" r="CT19">
        <v>556976</v>
      </c>
      <c s="30" r="CU19">
        <v>3984</v>
      </c>
      <c s="30" r="CV19">
        <v>40302</v>
      </c>
      <c s="60" r="CW19">
        <v>657439</v>
      </c>
      <c s="60" r="CX19">
        <v>4042435</v>
      </c>
      <c s="60" r="CY19">
        <v>710828</v>
      </c>
      <c s="60" r="CZ19">
        <v>4010328</v>
      </c>
      <c s="60" r="DA19">
        <v>971796</v>
      </c>
      <c s="60" r="DB19">
        <v>211295</v>
      </c>
      <c s="60" r="DC19">
        <v>263630</v>
      </c>
      <c s="60" r="DD19">
        <v>528971</v>
      </c>
      <c s="60" r="DE19">
        <v>1256934</v>
      </c>
      <c s="60" r="DF19">
        <v>4750594</v>
      </c>
      <c s="60" r="DG19">
        <v>61369</v>
      </c>
      <c s="60" r="DH19">
        <v>359542</v>
      </c>
      <c s="60" r="DI19">
        <v>34491</v>
      </c>
      <c s="60" r="DJ19">
        <v>217432</v>
      </c>
      <c s="60" r="DK19">
        <v>27565</v>
      </c>
      <c s="60" r="DL19">
        <v>93780</v>
      </c>
      <c s="60" r="DM19">
        <v>3928111</v>
      </c>
      <c s="60" r="DN19">
        <v>14316092</v>
      </c>
      <c s="60" r="DO19">
        <v>1940005</v>
      </c>
      <c s="60" r="DP19">
        <v>39789652</v>
      </c>
      <c s="60" r="DQ19">
        <v>1349</v>
      </c>
      <c s="60" r="DR19">
        <v>4807</v>
      </c>
      <c s="60" r="DS19">
        <v>1918032</v>
      </c>
      <c s="60" r="DT19">
        <v>4902799</v>
      </c>
      <c s="60" r="DU19">
        <v>1733476</v>
      </c>
      <c s="60" r="DV19">
        <v>1454402</v>
      </c>
      <c s="60" r="DW19">
        <v>1459484</v>
      </c>
      <c s="60" r="DX19">
        <v>3448397</v>
      </c>
      <c s="60" r="DY19">
        <v>1459484</v>
      </c>
      <c s="40" r="DZ19">
        <v>3448428</v>
      </c>
    </row>
    <row customHeight="1" r="20" ht="15.0">
      <c t="s" s="43" r="A20">
        <v>85</v>
      </c>
      <c s="60" r="B20">
        <v>1943914</v>
      </c>
      <c s="60" r="C20">
        <v>92397639</v>
      </c>
      <c s="60" r="D20">
        <v>1943914</v>
      </c>
      <c s="60" r="E20">
        <v>93731703</v>
      </c>
      <c s="60" r="F20">
        <v>1679483</v>
      </c>
      <c s="60" r="G20">
        <v>72426252</v>
      </c>
      <c s="60" r="H20">
        <v>984004</v>
      </c>
      <c s="60" r="I20">
        <v>1393950</v>
      </c>
      <c s="60" r="J20">
        <v>101898</v>
      </c>
      <c s="60" r="K20">
        <v>745156</v>
      </c>
      <c s="60" r="L20">
        <v>453036</v>
      </c>
      <c s="60" r="M20">
        <v>1467563</v>
      </c>
      <c s="60" r="N20">
        <v>395460</v>
      </c>
      <c s="60" r="O20">
        <v>987627</v>
      </c>
      <c s="60" r="P20">
        <v>837362</v>
      </c>
      <c s="60" r="Q20">
        <v>628853</v>
      </c>
      <c s="60" r="R20">
        <v>9233</v>
      </c>
      <c s="60" r="S20">
        <v>220543</v>
      </c>
      <c s="60" r="T20">
        <v>346000</v>
      </c>
      <c s="60" r="U20">
        <v>2823273</v>
      </c>
      <c s="60" r="V20">
        <v>344036</v>
      </c>
      <c s="60" r="W20">
        <v>62486</v>
      </c>
      <c s="60" r="X20">
        <v>22315</v>
      </c>
      <c s="60" r="Y20">
        <v>-142829</v>
      </c>
      <c s="60" r="Z20">
        <v>160654</v>
      </c>
      <c s="60" r="AA20">
        <v>2013014</v>
      </c>
      <c s="60" r="AB20">
        <v>427386</v>
      </c>
      <c s="60" r="AC20">
        <v>8462580</v>
      </c>
      <c s="60" r="AD20">
        <v>96390</v>
      </c>
      <c s="60" r="AE20">
        <v>772525</v>
      </c>
      <c s="60" r="AF20">
        <v>114518</v>
      </c>
      <c s="60" r="AG20">
        <v>1222500</v>
      </c>
      <c s="60" r="AH20">
        <v>6184</v>
      </c>
      <c s="60" r="AI20">
        <v>4810</v>
      </c>
      <c s="60" r="AJ20">
        <v>106473</v>
      </c>
      <c s="60" r="AK20">
        <v>242158</v>
      </c>
      <c s="60" r="AL20">
        <v>9111</v>
      </c>
      <c s="60" r="AM20">
        <v>82858</v>
      </c>
      <c s="60" r="AN20">
        <v>29237</v>
      </c>
      <c s="60" r="AO20">
        <v>-358132</v>
      </c>
      <c s="60" r="AP20">
        <v>172138</v>
      </c>
      <c s="60" r="AQ20">
        <v>1320477</v>
      </c>
      <c s="60" r="AR20">
        <v>316936</v>
      </c>
      <c s="60" r="AS20">
        <v>3337281</v>
      </c>
      <c s="60" r="AT20">
        <v>1206</v>
      </c>
      <c s="60" r="AU20">
        <v>93664</v>
      </c>
      <c s="60" r="AV20">
        <v>114593</v>
      </c>
      <c s="60" r="AW20">
        <v>269231</v>
      </c>
      <c s="60" r="AX20">
        <v>544898</v>
      </c>
      <c s="60" r="AY20">
        <v>1334064</v>
      </c>
      <c s="60" r="AZ20">
        <v>33722351</v>
      </c>
      <c s="60" r="BA20">
        <v>0</v>
      </c>
      <c s="60" r="BB20">
        <v>0</v>
      </c>
      <c s="60" r="BC20">
        <v>503679</v>
      </c>
      <c s="60" r="BD20">
        <v>3749545</v>
      </c>
      <c s="60" r="BE20">
        <v>503679</v>
      </c>
      <c s="60" r="BF20">
        <v>5543532</v>
      </c>
      <c s="60" r="BG20">
        <v>503679</v>
      </c>
      <c s="60" r="BH20">
        <v>1793987</v>
      </c>
      <c s="60" r="BI20">
        <v>1931884</v>
      </c>
      <c s="60" r="BJ20">
        <v>8481175</v>
      </c>
      <c s="60" r="BK20">
        <v>1874224</v>
      </c>
      <c s="60" r="BL20">
        <v>3746205</v>
      </c>
      <c s="60" r="BM20">
        <v>1443181</v>
      </c>
      <c s="60" r="BN20">
        <v>3221865</v>
      </c>
      <c s="60" r="BO20">
        <v>431043</v>
      </c>
      <c s="60" r="BP20">
        <v>524340</v>
      </c>
      <c s="60" r="BQ20">
        <v>1580455</v>
      </c>
      <c s="60" r="BR20">
        <v>4354148</v>
      </c>
      <c s="60" r="BS20">
        <v>64207</v>
      </c>
      <c s="60" r="BT20">
        <v>90255</v>
      </c>
      <c s="60" r="BU20">
        <v>678895</v>
      </c>
      <c s="60" r="BV20">
        <v>214749</v>
      </c>
      <c s="60" r="BW20">
        <v>182208</v>
      </c>
      <c s="60" r="BX20">
        <v>75818</v>
      </c>
      <c s="60" r="BY20">
        <v>1524905</v>
      </c>
      <c s="60" r="BZ20">
        <v>13980014</v>
      </c>
      <c s="60" r="CA20">
        <v>1512587</v>
      </c>
      <c s="60" r="CB20">
        <v>13569487</v>
      </c>
      <c s="60" r="CC20">
        <v>1491502</v>
      </c>
      <c s="60" r="CD20">
        <v>13326547</v>
      </c>
      <c s="60" r="CE20">
        <v>40093</v>
      </c>
      <c s="60" r="CF20">
        <v>242940</v>
      </c>
      <c s="60" r="CG20">
        <v>84818</v>
      </c>
      <c s="60" r="CH20">
        <v>59075</v>
      </c>
      <c s="60" r="CI20">
        <v>233723</v>
      </c>
      <c s="60" r="CJ20">
        <v>318911</v>
      </c>
      <c s="60" r="CK20">
        <v>26743</v>
      </c>
      <c s="60" r="CL20">
        <v>32542</v>
      </c>
      <c s="60" r="CM20">
        <v>1473040</v>
      </c>
      <c s="60" r="CN20">
        <v>3580253</v>
      </c>
      <c s="60" r="CO20">
        <v>1338814</v>
      </c>
      <c s="60" r="CP20">
        <v>3043722</v>
      </c>
      <c s="60" r="CQ20">
        <v>796913</v>
      </c>
      <c s="60" r="CR20">
        <v>652676</v>
      </c>
      <c s="60" r="CS20">
        <v>23382</v>
      </c>
      <c s="60" r="CT20">
        <v>721274</v>
      </c>
      <c s="30" r="CU20">
        <v>7979</v>
      </c>
      <c s="30" r="CV20">
        <v>50859</v>
      </c>
      <c s="60" r="CW20">
        <v>594099</v>
      </c>
      <c s="60" r="CX20">
        <v>3696820</v>
      </c>
      <c s="60" r="CY20">
        <v>696111</v>
      </c>
      <c s="60" r="CZ20">
        <v>3574719</v>
      </c>
      <c s="60" r="DA20">
        <v>920117</v>
      </c>
      <c s="60" r="DB20">
        <v>194549</v>
      </c>
      <c s="60" r="DC20">
        <v>266337</v>
      </c>
      <c s="60" r="DD20">
        <v>660566</v>
      </c>
      <c s="60" r="DE20">
        <v>1198827</v>
      </c>
      <c s="60" r="DF20">
        <v>4429835</v>
      </c>
      <c s="60" r="DG20">
        <v>34546</v>
      </c>
      <c s="60" r="DH20">
        <v>183685</v>
      </c>
      <c s="60" r="DI20">
        <v>22983</v>
      </c>
      <c s="60" r="DJ20">
        <v>122724</v>
      </c>
      <c s="60" r="DK20">
        <v>11609</v>
      </c>
      <c s="60" r="DL20">
        <v>48582</v>
      </c>
      <c s="60" r="DM20">
        <v>3789651</v>
      </c>
      <c s="60" r="DN20">
        <v>13812097</v>
      </c>
      <c s="60" r="DO20">
        <v>1883016</v>
      </c>
      <c s="60" r="DP20">
        <v>46398747</v>
      </c>
      <c s="30" r="DQ20">
        <v>1046</v>
      </c>
      <c s="30" r="DR20">
        <v>1493</v>
      </c>
      <c s="60" r="DS20">
        <v>1867389</v>
      </c>
      <c s="60" r="DT20">
        <v>5921393</v>
      </c>
      <c s="60" r="DU20">
        <v>1702298</v>
      </c>
      <c s="60" r="DV20">
        <v>1696330</v>
      </c>
      <c s="60" r="DW20">
        <v>1460638</v>
      </c>
      <c s="60" r="DX20">
        <v>4225063</v>
      </c>
      <c s="60" r="DY20">
        <v>1460638</v>
      </c>
      <c s="40" r="DZ20">
        <v>4225063</v>
      </c>
    </row>
    <row customHeight="1" r="21" ht="15.0">
      <c t="s" s="43" r="A21">
        <v>86</v>
      </c>
      <c s="60" r="B21">
        <v>1959430</v>
      </c>
      <c s="60" r="C21">
        <v>102937687</v>
      </c>
      <c s="60" r="D21">
        <v>1959430</v>
      </c>
      <c s="60" r="E21">
        <v>104625404</v>
      </c>
      <c s="60" r="F21">
        <v>1655900</v>
      </c>
      <c s="60" r="G21">
        <v>79147987</v>
      </c>
      <c s="60" r="H21">
        <v>1103017</v>
      </c>
      <c s="60" r="I21">
        <v>2078436</v>
      </c>
      <c s="60" r="J21">
        <v>126378</v>
      </c>
      <c s="60" r="K21">
        <v>1239739</v>
      </c>
      <c s="60" r="L21">
        <v>544595</v>
      </c>
      <c s="60" r="M21">
        <v>1911998</v>
      </c>
      <c s="60" r="N21">
        <v>481493</v>
      </c>
      <c s="60" r="O21">
        <v>1239666</v>
      </c>
      <c s="60" r="P21">
        <v>911847</v>
      </c>
      <c s="60" r="Q21">
        <v>692855</v>
      </c>
      <c s="60" r="R21">
        <v>13363</v>
      </c>
      <c s="60" r="S21">
        <v>210741</v>
      </c>
      <c s="60" r="T21">
        <v>336576</v>
      </c>
      <c s="60" r="U21">
        <v>3111858</v>
      </c>
      <c s="60" r="V21">
        <v>407423</v>
      </c>
      <c s="60" r="W21">
        <v>371086</v>
      </c>
      <c s="60" r="X21">
        <v>23040</v>
      </c>
      <c s="60" r="Y21">
        <v>-231739</v>
      </c>
      <c s="60" r="Z21">
        <v>192235</v>
      </c>
      <c s="60" r="AA21">
        <v>2733862</v>
      </c>
      <c s="60" r="AB21">
        <v>462145</v>
      </c>
      <c s="60" r="AC21">
        <v>9034910</v>
      </c>
      <c s="60" r="AD21">
        <v>102444</v>
      </c>
      <c s="60" r="AE21">
        <v>998881</v>
      </c>
      <c s="60" r="AF21">
        <v>139444</v>
      </c>
      <c s="60" r="AG21">
        <v>1511562</v>
      </c>
      <c s="60" r="AH21">
        <v>8019</v>
      </c>
      <c s="60" r="AI21">
        <v>71921</v>
      </c>
      <c s="60" r="AJ21">
        <v>140443</v>
      </c>
      <c s="60" r="AK21">
        <v>448270</v>
      </c>
      <c s="60" r="AL21">
        <v>9217</v>
      </c>
      <c s="60" r="AM21">
        <v>72745</v>
      </c>
      <c s="60" r="AN21">
        <v>32548</v>
      </c>
      <c s="60" r="AO21">
        <v>-499918</v>
      </c>
      <c s="60" r="AP21">
        <v>153819</v>
      </c>
      <c s="60" r="AQ21">
        <v>1193623</v>
      </c>
      <c s="60" r="AR21">
        <v>370344</v>
      </c>
      <c s="60" r="AS21">
        <v>4555645</v>
      </c>
      <c s="60" r="AT21">
        <v>1976</v>
      </c>
      <c s="60" r="AU21">
        <v>103589</v>
      </c>
      <c s="60" r="AV21">
        <v>108195</v>
      </c>
      <c s="60" r="AW21">
        <v>258078</v>
      </c>
      <c s="60" r="AX21">
        <v>613537</v>
      </c>
      <c s="60" r="AY21">
        <v>1687717</v>
      </c>
      <c s="60" r="AZ21">
        <v>35825277</v>
      </c>
      <c s="60" r="BA21">
        <v>0</v>
      </c>
      <c s="60" r="BB21">
        <v>0</v>
      </c>
      <c s="60" r="BC21">
        <v>561060</v>
      </c>
      <c s="60" r="BD21">
        <v>4494464</v>
      </c>
      <c s="60" r="BE21">
        <v>561060</v>
      </c>
      <c s="60" r="BF21">
        <v>6705791</v>
      </c>
      <c s="60" r="BG21">
        <v>561060</v>
      </c>
      <c s="60" r="BH21">
        <v>2211327</v>
      </c>
      <c s="60" r="BI21">
        <v>1952391</v>
      </c>
      <c s="60" r="BJ21">
        <v>9462836</v>
      </c>
      <c s="60" r="BK21">
        <v>1894720</v>
      </c>
      <c s="60" r="BL21">
        <v>4027052</v>
      </c>
      <c s="60" r="BM21">
        <v>1431975</v>
      </c>
      <c s="60" r="BN21">
        <v>3498140</v>
      </c>
      <c s="60" r="BO21">
        <v>462746</v>
      </c>
      <c s="60" r="BP21">
        <v>528913</v>
      </c>
      <c s="60" r="BQ21">
        <v>1689217</v>
      </c>
      <c s="60" r="BR21">
        <v>5032599</v>
      </c>
      <c s="60" r="BS21">
        <v>80016</v>
      </c>
      <c s="60" r="BT21">
        <v>98981</v>
      </c>
      <c s="60" r="BU21">
        <v>694838</v>
      </c>
      <c s="60" r="BV21">
        <v>215017</v>
      </c>
      <c s="60" r="BW21">
        <v>218005</v>
      </c>
      <c s="60" r="BX21">
        <v>89186</v>
      </c>
      <c s="60" r="BY21">
        <v>1556112</v>
      </c>
      <c s="60" r="BZ21">
        <v>14367436</v>
      </c>
      <c s="60" r="CA21">
        <v>1543015</v>
      </c>
      <c s="60" r="CB21">
        <v>13855541</v>
      </c>
      <c s="60" r="CC21">
        <v>1530142</v>
      </c>
      <c s="60" r="CD21">
        <v>13718850</v>
      </c>
      <c s="60" r="CE21">
        <v>36141</v>
      </c>
      <c s="60" r="CF21">
        <v>136690</v>
      </c>
      <c s="60" r="CG21">
        <v>99362</v>
      </c>
      <c s="60" r="CH21">
        <v>68811</v>
      </c>
      <c s="60" r="CI21">
        <v>232517</v>
      </c>
      <c s="60" r="CJ21">
        <v>363589</v>
      </c>
      <c s="60" r="CK21">
        <v>37515</v>
      </c>
      <c s="60" r="CL21">
        <v>79496</v>
      </c>
      <c s="60" r="CM21">
        <v>1528520</v>
      </c>
      <c s="60" r="CN21">
        <v>3647322</v>
      </c>
      <c s="60" r="CO21">
        <v>1374300</v>
      </c>
      <c s="60" r="CP21">
        <v>3003627</v>
      </c>
      <c s="60" r="CQ21">
        <v>890191</v>
      </c>
      <c s="60" r="CR21">
        <v>589453</v>
      </c>
      <c s="60" r="CS21">
        <v>16799</v>
      </c>
      <c s="60" r="CT21">
        <v>114955</v>
      </c>
      <c s="30" r="CU21">
        <v>4984</v>
      </c>
      <c s="30" r="CV21">
        <v>27614</v>
      </c>
      <c s="60" r="CW21">
        <v>569941</v>
      </c>
      <c s="60" r="CX21">
        <v>3558822</v>
      </c>
      <c s="60" r="CY21">
        <v>709293</v>
      </c>
      <c s="60" r="CZ21">
        <v>3662700</v>
      </c>
      <c s="60" r="DA21">
        <v>994469</v>
      </c>
      <c s="60" r="DB21">
        <v>215790</v>
      </c>
      <c s="60" r="DC21">
        <v>276402</v>
      </c>
      <c s="60" r="DD21">
        <v>496207</v>
      </c>
      <c s="60" r="DE21">
        <v>1269864</v>
      </c>
      <c s="60" r="DF21">
        <v>4374697</v>
      </c>
      <c s="60" r="DG21">
        <v>54232</v>
      </c>
      <c s="60" r="DH21">
        <v>266784</v>
      </c>
      <c s="60" r="DI21">
        <v>32057</v>
      </c>
      <c s="60" r="DJ21">
        <v>194198</v>
      </c>
      <c s="60" r="DK21">
        <v>22175</v>
      </c>
      <c s="60" r="DL21">
        <v>69821</v>
      </c>
      <c s="60" r="DM21">
        <v>4034517</v>
      </c>
      <c s="60" r="DN21">
        <v>14711503</v>
      </c>
      <c s="60" r="DO21">
        <v>1902835</v>
      </c>
      <c s="60" r="DP21">
        <v>53315705</v>
      </c>
      <c s="60" r="DQ21">
        <v>7245</v>
      </c>
      <c s="60" r="DR21">
        <v>4805</v>
      </c>
      <c s="60" r="DS21">
        <v>1887903</v>
      </c>
      <c s="60" r="DT21">
        <v>6990655</v>
      </c>
      <c s="60" r="DU21">
        <v>1695970</v>
      </c>
      <c s="60" r="DV21">
        <v>1827269</v>
      </c>
      <c s="60" r="DW21">
        <v>1534137</v>
      </c>
      <c s="60" r="DX21">
        <v>5163386</v>
      </c>
      <c s="60" r="DY21">
        <v>1534137</v>
      </c>
      <c s="40" r="DZ21">
        <v>5163386</v>
      </c>
    </row>
    <row customHeight="1" r="22" ht="15.0">
      <c t="s" s="43" r="A22">
        <v>87</v>
      </c>
      <c s="60" r="B22">
        <v>1951929</v>
      </c>
      <c s="60" r="C22">
        <v>112234251</v>
      </c>
      <c s="60" r="D22">
        <v>1951929</v>
      </c>
      <c s="60" r="E22">
        <v>113849102</v>
      </c>
      <c s="60" r="F22">
        <v>1708148</v>
      </c>
      <c s="60" r="G22">
        <v>88344893</v>
      </c>
      <c s="60" r="H22">
        <v>1087741</v>
      </c>
      <c s="60" r="I22">
        <v>1736956</v>
      </c>
      <c s="60" r="J22">
        <v>86406</v>
      </c>
      <c s="60" r="K22">
        <v>711786</v>
      </c>
      <c s="60" r="L22">
        <v>493460</v>
      </c>
      <c s="60" r="M22">
        <v>1641107</v>
      </c>
      <c s="60" r="N22">
        <v>416760</v>
      </c>
      <c s="60" r="O22">
        <v>1097048</v>
      </c>
      <c s="60" r="P22">
        <v>937641</v>
      </c>
      <c s="60" r="Q22">
        <v>758445</v>
      </c>
      <c s="60" r="R22">
        <v>19246</v>
      </c>
      <c s="60" r="S22">
        <v>369656</v>
      </c>
      <c s="60" r="T22">
        <v>373666</v>
      </c>
      <c s="60" r="U22">
        <v>2678856</v>
      </c>
      <c s="60" r="V22">
        <v>326669</v>
      </c>
      <c s="60" r="W22">
        <v>128245</v>
      </c>
      <c s="60" r="X22">
        <v>29049</v>
      </c>
      <c s="60" r="Y22">
        <v>-272851</v>
      </c>
      <c s="60" r="Z22">
        <v>180658</v>
      </c>
      <c s="60" r="AA22">
        <v>2514491</v>
      </c>
      <c s="60" r="AB22">
        <v>461463</v>
      </c>
      <c s="60" r="AC22">
        <v>9874731</v>
      </c>
      <c s="60" r="AD22">
        <v>107786</v>
      </c>
      <c s="60" r="AE22">
        <v>918987</v>
      </c>
      <c s="60" r="AF22">
        <v>142844</v>
      </c>
      <c s="60" r="AG22">
        <v>1493352</v>
      </c>
      <c s="60" r="AH22">
        <v>16922</v>
      </c>
      <c s="60" r="AI22">
        <v>131201</v>
      </c>
      <c s="60" r="AJ22">
        <v>142706</v>
      </c>
      <c s="60" r="AK22">
        <v>434743</v>
      </c>
      <c s="60" r="AL22">
        <v>12337</v>
      </c>
      <c s="60" r="AM22">
        <v>127990</v>
      </c>
      <c s="60" r="AN22">
        <v>22093</v>
      </c>
      <c s="60" r="AO22">
        <v>-173721</v>
      </c>
      <c s="60" r="AP22">
        <v>172695</v>
      </c>
      <c s="60" r="AQ22">
        <v>1360122</v>
      </c>
      <c s="60" r="AR22">
        <v>335945</v>
      </c>
      <c s="60" r="AS22">
        <v>4470668</v>
      </c>
      <c s="60" r="AT22">
        <v>2947</v>
      </c>
      <c s="60" r="AU22">
        <v>260816</v>
      </c>
      <c s="60" r="AV22">
        <v>106963</v>
      </c>
      <c s="60" r="AW22">
        <v>293237</v>
      </c>
      <c s="60" r="AX22">
        <v>622428</v>
      </c>
      <c s="60" r="AY22">
        <v>1614851</v>
      </c>
      <c s="60" r="AZ22">
        <v>35866523</v>
      </c>
      <c s="60" r="BA22">
        <v>0</v>
      </c>
      <c s="60" r="BB22">
        <v>0</v>
      </c>
      <c s="60" r="BC22">
        <v>472694</v>
      </c>
      <c s="60" r="BD22">
        <v>3387650</v>
      </c>
      <c s="60" r="BE22">
        <v>472694</v>
      </c>
      <c s="60" r="BF22">
        <v>5427086</v>
      </c>
      <c s="60" r="BG22">
        <v>472694</v>
      </c>
      <c s="60" r="BH22">
        <v>2039436</v>
      </c>
      <c s="60" r="BI22">
        <v>1941960</v>
      </c>
      <c s="60" r="BJ22">
        <v>9947665</v>
      </c>
      <c s="60" r="BK22">
        <v>1879334</v>
      </c>
      <c s="60" r="BL22">
        <v>4477572</v>
      </c>
      <c s="60" r="BM22">
        <v>1485955</v>
      </c>
      <c s="60" r="BN22">
        <v>4010437</v>
      </c>
      <c s="60" r="BO22">
        <v>393380</v>
      </c>
      <c s="60" r="BP22">
        <v>467135</v>
      </c>
      <c s="60" r="BQ22">
        <v>1699455</v>
      </c>
      <c s="60" r="BR22">
        <v>5054049</v>
      </c>
      <c s="60" r="BS22">
        <v>84232</v>
      </c>
      <c s="60" r="BT22">
        <v>108846</v>
      </c>
      <c s="60" r="BU22">
        <v>703641</v>
      </c>
      <c s="60" r="BV22">
        <v>220555</v>
      </c>
      <c s="60" r="BW22">
        <v>211550</v>
      </c>
      <c s="60" r="BX22">
        <v>86643</v>
      </c>
      <c s="60" r="BY22">
        <v>1577173</v>
      </c>
      <c s="60" r="BZ22">
        <v>14781655</v>
      </c>
      <c s="60" r="CA22">
        <v>1560403</v>
      </c>
      <c s="60" r="CB22">
        <v>14216446</v>
      </c>
      <c s="60" r="CC22">
        <v>1544787</v>
      </c>
      <c s="60" r="CD22">
        <v>14072692</v>
      </c>
      <c s="60" r="CE22">
        <v>27810</v>
      </c>
      <c s="60" r="CF22">
        <v>143754</v>
      </c>
      <c s="60" r="CG22">
        <v>88685</v>
      </c>
      <c s="60" r="CH22">
        <v>72849</v>
      </c>
      <c s="60" r="CI22">
        <v>266874</v>
      </c>
      <c s="60" r="CJ22">
        <v>396799</v>
      </c>
      <c s="60" r="CK22">
        <v>36344</v>
      </c>
      <c s="60" r="CL22">
        <v>95561</v>
      </c>
      <c s="60" r="CM22">
        <v>1555099</v>
      </c>
      <c s="60" r="CN22">
        <v>3875465</v>
      </c>
      <c s="60" r="CO22">
        <v>1414335</v>
      </c>
      <c s="60" r="CP22">
        <v>3249251</v>
      </c>
      <c s="60" r="CQ22">
        <v>900649</v>
      </c>
      <c s="60" r="CR22">
        <v>592217</v>
      </c>
      <c s="60" r="CS22">
        <v>14637</v>
      </c>
      <c s="60" r="CT22">
        <v>160279</v>
      </c>
      <c s="30" r="CU22">
        <v>40</v>
      </c>
      <c s="30" r="CV22">
        <v>278</v>
      </c>
      <c s="60" r="CW22">
        <v>589896</v>
      </c>
      <c s="60" r="CX22">
        <v>3528548</v>
      </c>
      <c s="60" r="CY22">
        <v>721356</v>
      </c>
      <c s="60" r="CZ22">
        <v>3710757</v>
      </c>
      <c s="60" r="DA22">
        <v>943502</v>
      </c>
      <c s="60" r="DB22">
        <v>209464</v>
      </c>
      <c s="60" r="DC22">
        <v>268178</v>
      </c>
      <c s="60" r="DD22">
        <v>501115</v>
      </c>
      <c s="60" r="DE22">
        <v>1224752</v>
      </c>
      <c s="60" r="DF22">
        <v>4421335</v>
      </c>
      <c s="60" r="DG22">
        <v>54055</v>
      </c>
      <c s="60" r="DH22">
        <v>345263</v>
      </c>
      <c s="60" r="DI22">
        <v>41422</v>
      </c>
      <c s="60" r="DJ22">
        <v>229924</v>
      </c>
      <c s="60" r="DK22">
        <v>12633</v>
      </c>
      <c s="60" r="DL22">
        <v>115339</v>
      </c>
      <c s="60" r="DM22">
        <v>4114221</v>
      </c>
      <c s="60" r="DN22">
        <v>15002663</v>
      </c>
      <c s="60" r="DO22">
        <v>1920085</v>
      </c>
      <c s="60" r="DP22">
        <v>61869540</v>
      </c>
      <c s="60" r="DQ22">
        <v>9193</v>
      </c>
      <c s="60" r="DR22">
        <v>11070</v>
      </c>
      <c s="60" r="DS22">
        <v>1913446</v>
      </c>
      <c s="60" r="DT22">
        <v>8536143</v>
      </c>
      <c s="60" r="DU22">
        <v>1749046</v>
      </c>
      <c s="60" r="DV22">
        <v>2111817</v>
      </c>
      <c s="60" r="DW22">
        <v>1612349</v>
      </c>
      <c s="60" r="DX22">
        <v>6424327</v>
      </c>
      <c s="60" r="DY22">
        <v>1612349</v>
      </c>
      <c s="40" r="DZ22">
        <v>6424327</v>
      </c>
    </row>
    <row customHeight="1" r="23" ht="15.0">
      <c t="s" s="43" r="A23">
        <v>88</v>
      </c>
      <c s="60" r="B23">
        <v>5361166</v>
      </c>
      <c s="60" r="C23">
        <v>361344756</v>
      </c>
      <c s="60" r="D23">
        <v>5361166</v>
      </c>
      <c s="60" r="E23">
        <v>366009670</v>
      </c>
      <c s="60" r="F23">
        <v>4789587</v>
      </c>
      <c s="60" r="G23">
        <v>289155142</v>
      </c>
      <c s="60" r="H23">
        <v>3158769</v>
      </c>
      <c s="60" r="I23">
        <v>4934986</v>
      </c>
      <c s="60" r="J23">
        <v>309514</v>
      </c>
      <c s="60" r="K23">
        <v>2813995</v>
      </c>
      <c s="60" r="L23">
        <v>1526733</v>
      </c>
      <c s="60" r="M23">
        <v>4959291</v>
      </c>
      <c s="60" r="N23">
        <v>1333623</v>
      </c>
      <c s="60" r="O23">
        <v>3507811</v>
      </c>
      <c s="60" r="P23">
        <v>2745238</v>
      </c>
      <c s="60" r="Q23">
        <v>2363994</v>
      </c>
      <c s="60" r="R23">
        <v>29978</v>
      </c>
      <c s="60" r="S23">
        <v>823328</v>
      </c>
      <c s="60" r="T23">
        <v>993743</v>
      </c>
      <c s="60" r="U23">
        <v>8896305</v>
      </c>
      <c s="60" r="V23">
        <v>1036667</v>
      </c>
      <c s="60" r="W23">
        <v>1274152</v>
      </c>
      <c s="60" r="X23">
        <v>84961</v>
      </c>
      <c s="60" r="Y23">
        <v>-213928</v>
      </c>
      <c s="60" r="Z23">
        <v>528475</v>
      </c>
      <c s="60" r="AA23">
        <v>7707224</v>
      </c>
      <c s="60" r="AB23">
        <v>1221585</v>
      </c>
      <c s="60" r="AC23">
        <v>28083946</v>
      </c>
      <c s="60" r="AD23">
        <v>292014</v>
      </c>
      <c s="60" r="AE23">
        <v>2905362</v>
      </c>
      <c s="60" r="AF23">
        <v>422559</v>
      </c>
      <c s="60" r="AG23">
        <v>4472467</v>
      </c>
      <c s="60" r="AH23">
        <v>16884</v>
      </c>
      <c s="60" r="AI23">
        <v>83470</v>
      </c>
      <c s="60" r="AJ23">
        <v>402719</v>
      </c>
      <c s="60" r="AK23">
        <v>2517911</v>
      </c>
      <c s="60" r="AL23">
        <v>36528</v>
      </c>
      <c s="60" r="AM23">
        <v>272196</v>
      </c>
      <c s="60" r="AN23">
        <v>68750</v>
      </c>
      <c s="60" r="AO23">
        <v>-854131</v>
      </c>
      <c s="60" r="AP23">
        <v>436869</v>
      </c>
      <c s="60" r="AQ23">
        <v>3428001</v>
      </c>
      <c s="60" r="AR23">
        <v>863183</v>
      </c>
      <c s="60" r="AS23">
        <v>13092305</v>
      </c>
      <c s="60" r="AT23">
        <v>5284</v>
      </c>
      <c s="60" r="AU23">
        <v>331064</v>
      </c>
      <c s="60" r="AV23">
        <v>345266</v>
      </c>
      <c s="60" r="AW23">
        <v>638670</v>
      </c>
      <c s="60" r="AX23">
        <v>1825836</v>
      </c>
      <c s="60" r="AY23">
        <v>4664914</v>
      </c>
      <c s="60" r="AZ23">
        <v>105237942</v>
      </c>
      <c s="60" r="BA23">
        <v>0</v>
      </c>
      <c s="60" r="BB23">
        <v>0</v>
      </c>
      <c s="60" r="BC23">
        <v>1107220</v>
      </c>
      <c s="60" r="BD23">
        <v>7532628</v>
      </c>
      <c s="60" r="BE23">
        <v>1107220</v>
      </c>
      <c s="60" r="BF23">
        <v>13104152</v>
      </c>
      <c s="60" r="BG23">
        <v>1107220</v>
      </c>
      <c s="60" r="BH23">
        <v>5571524</v>
      </c>
      <c s="60" r="BI23">
        <v>5347135</v>
      </c>
      <c s="60" r="BJ23">
        <v>31014036</v>
      </c>
      <c s="60" r="BK23">
        <v>5208808</v>
      </c>
      <c s="60" r="BL23">
        <v>14912126</v>
      </c>
      <c s="60" r="BM23">
        <v>4181950</v>
      </c>
      <c s="60" r="BN23">
        <v>13399730</v>
      </c>
      <c s="60" r="BO23">
        <v>1026858</v>
      </c>
      <c s="60" r="BP23">
        <v>1512396</v>
      </c>
      <c s="60" r="BQ23">
        <v>4735104</v>
      </c>
      <c s="60" r="BR23">
        <v>14838064</v>
      </c>
      <c s="60" r="BS23">
        <v>254322</v>
      </c>
      <c s="60" r="BT23">
        <v>377409</v>
      </c>
      <c s="60" r="BU23">
        <v>1953614</v>
      </c>
      <c s="60" r="BV23">
        <v>665796</v>
      </c>
      <c s="60" r="BW23">
        <v>610715</v>
      </c>
      <c s="60" r="BX23">
        <v>220641</v>
      </c>
      <c s="60" r="BY23">
        <v>4486435</v>
      </c>
      <c s="60" r="BZ23">
        <v>44755718</v>
      </c>
      <c s="60" r="CA23">
        <v>4453178</v>
      </c>
      <c s="60" r="CB23">
        <v>43364143</v>
      </c>
      <c s="60" r="CC23">
        <v>4397790</v>
      </c>
      <c s="60" r="CD23">
        <v>42703910</v>
      </c>
      <c s="60" r="CE23">
        <v>128197</v>
      </c>
      <c s="60" r="CF23">
        <v>660234</v>
      </c>
      <c s="60" r="CG23">
        <v>273971</v>
      </c>
      <c s="60" r="CH23">
        <v>220329</v>
      </c>
      <c s="60" r="CI23">
        <v>654319</v>
      </c>
      <c s="60" r="CJ23">
        <v>1012060</v>
      </c>
      <c s="60" r="CK23">
        <v>98452</v>
      </c>
      <c s="60" r="CL23">
        <v>159186</v>
      </c>
      <c s="60" r="CM23">
        <v>4367936</v>
      </c>
      <c s="60" r="CN23">
        <v>11625653</v>
      </c>
      <c s="60" r="CO23">
        <v>3957490</v>
      </c>
      <c s="60" r="CP23">
        <v>9647536</v>
      </c>
      <c s="60" r="CQ23">
        <v>2526967</v>
      </c>
      <c s="60" r="CR23">
        <v>1906077</v>
      </c>
      <c s="60" r="CS23">
        <v>53369</v>
      </c>
      <c s="60" r="CT23">
        <v>660698</v>
      </c>
      <c s="60" r="CU23">
        <v>10425</v>
      </c>
      <c s="60" r="CV23">
        <v>132992</v>
      </c>
      <c s="60" r="CW23">
        <v>1495671</v>
      </c>
      <c s="60" r="CX23">
        <v>9079477</v>
      </c>
      <c s="60" r="CY23">
        <v>2035977</v>
      </c>
      <c s="60" r="CZ23">
        <v>9752650</v>
      </c>
      <c s="60" r="DA23">
        <v>2655565</v>
      </c>
      <c s="60" r="DB23">
        <v>605115</v>
      </c>
      <c s="60" r="DC23">
        <v>767795</v>
      </c>
      <c s="60" r="DD23">
        <v>1467699</v>
      </c>
      <c s="60" r="DE23">
        <v>3424985</v>
      </c>
      <c s="60" r="DF23">
        <v>11825464</v>
      </c>
      <c s="60" r="DG23">
        <v>171469</v>
      </c>
      <c s="60" r="DH23">
        <v>1097438</v>
      </c>
      <c s="60" r="DI23">
        <v>119816</v>
      </c>
      <c s="60" r="DJ23">
        <v>792488</v>
      </c>
      <c s="60" r="DK23">
        <v>53301</v>
      </c>
      <c s="60" r="DL23">
        <v>304854</v>
      </c>
      <c s="60" r="DM23">
        <v>12487180</v>
      </c>
      <c s="60" r="DN23">
        <v>45533737</v>
      </c>
      <c s="60" r="DO23">
        <v>5305549</v>
      </c>
      <c s="60" r="DP23">
        <v>211824749</v>
      </c>
      <c s="60" r="DQ23">
        <v>39756</v>
      </c>
      <c s="60" r="DR23">
        <v>45850</v>
      </c>
      <c s="60" r="DS23">
        <v>5275068</v>
      </c>
      <c s="60" r="DT23">
        <v>30464782</v>
      </c>
      <c s="60" r="DU23">
        <v>4921530</v>
      </c>
      <c s="60" r="DV23">
        <v>7315796</v>
      </c>
      <c s="60" r="DW23">
        <v>4688844</v>
      </c>
      <c s="60" r="DX23">
        <v>23148986</v>
      </c>
      <c s="60" r="DY23">
        <v>4688844</v>
      </c>
      <c s="40" r="DZ23">
        <v>23148986</v>
      </c>
    </row>
    <row customHeight="1" r="24" ht="15.0">
      <c t="s" s="43" r="A24">
        <v>89</v>
      </c>
      <c s="60" r="B24">
        <v>7583001</v>
      </c>
      <c s="60" r="C24">
        <v>658834731</v>
      </c>
      <c s="60" r="D24">
        <v>7583001</v>
      </c>
      <c s="60" r="E24">
        <v>665900820</v>
      </c>
      <c s="60" r="F24">
        <v>6908331</v>
      </c>
      <c s="60" r="G24">
        <v>531916809</v>
      </c>
      <c s="60" r="H24">
        <v>4988205</v>
      </c>
      <c s="60" r="I24">
        <v>7662151</v>
      </c>
      <c s="60" r="J24">
        <v>487333</v>
      </c>
      <c s="60" r="K24">
        <v>4336021</v>
      </c>
      <c s="60" r="L24">
        <v>2473525</v>
      </c>
      <c s="60" r="M24">
        <v>8025103</v>
      </c>
      <c s="60" r="N24">
        <v>2139041</v>
      </c>
      <c s="60" r="O24">
        <v>5699263</v>
      </c>
      <c s="60" r="P24">
        <v>4047717</v>
      </c>
      <c s="60" r="Q24">
        <v>3967972</v>
      </c>
      <c s="60" r="R24">
        <v>24863</v>
      </c>
      <c s="60" r="S24">
        <v>775304</v>
      </c>
      <c s="60" r="T24">
        <v>1369987</v>
      </c>
      <c s="60" r="U24">
        <v>14387920</v>
      </c>
      <c s="60" r="V24">
        <v>1703328</v>
      </c>
      <c s="60" r="W24">
        <v>2219837</v>
      </c>
      <c s="60" r="X24">
        <v>103977</v>
      </c>
      <c s="60" r="Y24">
        <v>-221427</v>
      </c>
      <c s="60" r="Z24">
        <v>732415</v>
      </c>
      <c s="60" r="AA24">
        <v>13488023</v>
      </c>
      <c s="60" r="AB24">
        <v>1881650</v>
      </c>
      <c s="60" r="AC24">
        <v>50165091</v>
      </c>
      <c s="60" r="AD24">
        <v>462906</v>
      </c>
      <c s="60" r="AE24">
        <v>4436347</v>
      </c>
      <c s="60" r="AF24">
        <v>568977</v>
      </c>
      <c s="60" r="AG24">
        <v>6063855</v>
      </c>
      <c s="60" r="AH24">
        <v>40734</v>
      </c>
      <c s="60" r="AI24">
        <v>167955</v>
      </c>
      <c s="60" r="AJ24">
        <v>655358</v>
      </c>
      <c s="60" r="AK24">
        <v>6836799</v>
      </c>
      <c s="60" r="AL24">
        <v>53208</v>
      </c>
      <c s="60" r="AM24">
        <v>795265</v>
      </c>
      <c s="60" r="AN24">
        <v>129669</v>
      </c>
      <c s="60" r="AO24">
        <v>-696448</v>
      </c>
      <c s="60" r="AP24">
        <v>571668</v>
      </c>
      <c s="60" r="AQ24">
        <v>4490169</v>
      </c>
      <c s="60" r="AR24">
        <v>1221523</v>
      </c>
      <c s="60" r="AS24">
        <v>21350685</v>
      </c>
      <c s="60" r="AT24">
        <v>9593</v>
      </c>
      <c s="60" r="AU24">
        <v>537053</v>
      </c>
      <c s="60" r="AV24">
        <v>536769</v>
      </c>
      <c s="60" r="AW24">
        <v>1849390</v>
      </c>
      <c s="60" r="AX24">
        <v>2547743</v>
      </c>
      <c s="60" r="AY24">
        <v>7066089</v>
      </c>
      <c s="60" r="AZ24">
        <v>168120241</v>
      </c>
      <c s="60" r="BA24">
        <v>65951</v>
      </c>
      <c s="60" r="BB24">
        <v>5967</v>
      </c>
      <c s="60" r="BC24">
        <v>1177591</v>
      </c>
      <c s="60" r="BD24">
        <v>9211988</v>
      </c>
      <c s="60" r="BE24">
        <v>1177591</v>
      </c>
      <c s="60" r="BF24">
        <v>16818511</v>
      </c>
      <c s="60" r="BG24">
        <v>1177591</v>
      </c>
      <c s="60" r="BH24">
        <v>7606523</v>
      </c>
      <c s="60" r="BI24">
        <v>7573177</v>
      </c>
      <c s="60" r="BJ24">
        <v>54623942</v>
      </c>
      <c s="60" r="BK24">
        <v>7418205</v>
      </c>
      <c s="60" r="BL24">
        <v>27682618</v>
      </c>
      <c s="60" r="BM24">
        <v>6082634</v>
      </c>
      <c s="60" r="BN24">
        <v>25368780</v>
      </c>
      <c s="60" r="BO24">
        <v>1335571</v>
      </c>
      <c s="60" r="BP24">
        <v>2313838</v>
      </c>
      <c s="60" r="BQ24">
        <v>6954275</v>
      </c>
      <c s="60" r="BR24">
        <v>24787270</v>
      </c>
      <c s="60" r="BS24">
        <v>448540</v>
      </c>
      <c s="60" r="BT24">
        <v>676067</v>
      </c>
      <c s="60" r="BU24">
        <v>2906432</v>
      </c>
      <c s="60" r="BV24">
        <v>1048979</v>
      </c>
      <c s="60" r="BW24">
        <v>934403</v>
      </c>
      <c s="60" r="BX24">
        <v>429009</v>
      </c>
      <c s="60" r="BY24">
        <v>6558320</v>
      </c>
      <c s="60" r="BZ24">
        <v>71074808</v>
      </c>
      <c s="60" r="CA24">
        <v>6505543</v>
      </c>
      <c s="60" r="CB24">
        <v>68841385</v>
      </c>
      <c s="60" r="CC24">
        <v>6431234</v>
      </c>
      <c s="60" r="CD24">
        <v>67850657</v>
      </c>
      <c s="60" r="CE24">
        <v>191078</v>
      </c>
      <c s="60" r="CF24">
        <v>990728</v>
      </c>
      <c s="60" r="CG24">
        <v>526827</v>
      </c>
      <c s="60" r="CH24">
        <v>284627</v>
      </c>
      <c s="60" r="CI24">
        <v>881225</v>
      </c>
      <c s="60" r="CJ24">
        <v>1575791</v>
      </c>
      <c s="60" r="CK24">
        <v>166185</v>
      </c>
      <c s="60" r="CL24">
        <v>373005</v>
      </c>
      <c s="60" r="CM24">
        <v>6432143</v>
      </c>
      <c s="60" r="CN24">
        <v>19384777</v>
      </c>
      <c s="60" r="CO24">
        <v>5871362</v>
      </c>
      <c s="60" r="CP24">
        <v>16220038</v>
      </c>
      <c s="60" r="CQ24">
        <v>3999260</v>
      </c>
      <c s="60" r="CR24">
        <v>3192922</v>
      </c>
      <c s="60" r="CS24">
        <v>67195</v>
      </c>
      <c s="60" r="CT24">
        <v>754554</v>
      </c>
      <c s="60" r="CU24">
        <v>23229</v>
      </c>
      <c s="60" r="CV24">
        <v>469032</v>
      </c>
      <c s="60" r="CW24">
        <v>1921772</v>
      </c>
      <c s="60" r="CX24">
        <v>12106109</v>
      </c>
      <c s="60" r="CY24">
        <v>2844463</v>
      </c>
      <c s="60" r="CZ24">
        <v>13294131</v>
      </c>
      <c s="60" r="DA24">
        <v>3926589</v>
      </c>
      <c s="60" r="DB24">
        <v>883551</v>
      </c>
      <c s="60" r="DC24">
        <v>1115644</v>
      </c>
      <c s="60" r="DD24">
        <v>2582691</v>
      </c>
      <c s="60" r="DE24">
        <v>4930775</v>
      </c>
      <c s="60" r="DF24">
        <v>16760373</v>
      </c>
      <c s="60" r="DG24">
        <v>195653</v>
      </c>
      <c s="60" r="DH24">
        <v>1255552</v>
      </c>
      <c s="60" r="DI24">
        <v>129989</v>
      </c>
      <c s="60" r="DJ24">
        <v>957682</v>
      </c>
      <c s="60" r="DK24">
        <v>67252</v>
      </c>
      <c s="60" r="DL24">
        <v>292830</v>
      </c>
      <c s="60" r="DM24">
        <v>19796120</v>
      </c>
      <c s="60" r="DN24">
        <v>72201436</v>
      </c>
      <c s="60" r="DO24">
        <v>7542959</v>
      </c>
      <c s="60" r="DP24">
        <v>419652035</v>
      </c>
      <c s="60" r="DQ24">
        <v>94993</v>
      </c>
      <c s="60" r="DR24">
        <v>143208</v>
      </c>
      <c s="60" r="DS24">
        <v>7525751</v>
      </c>
      <c s="60" r="DT24">
        <v>62454663</v>
      </c>
      <c s="60" r="DU24">
        <v>6878004</v>
      </c>
      <c s="60" r="DV24">
        <v>12393298</v>
      </c>
      <c s="60" r="DW24">
        <v>7194182</v>
      </c>
      <c s="60" r="DX24">
        <v>50061365</v>
      </c>
      <c s="60" r="DY24">
        <v>7194182</v>
      </c>
      <c s="40" r="DZ24">
        <v>50061365</v>
      </c>
    </row>
    <row customHeight="1" r="25" ht="15.0">
      <c t="s" s="43" r="A25">
        <v>90</v>
      </c>
      <c s="60" r="B25">
        <v>11454028</v>
      </c>
      <c s="60" r="C25">
        <v>1546516499</v>
      </c>
      <c s="60" r="D25">
        <v>11454028</v>
      </c>
      <c s="60" r="E25">
        <v>1566986605</v>
      </c>
      <c s="60" r="F25">
        <v>10640620</v>
      </c>
      <c s="60" r="G25">
        <v>1246032932</v>
      </c>
      <c s="60" r="H25">
        <v>8950047</v>
      </c>
      <c s="60" r="I25">
        <v>20769584</v>
      </c>
      <c s="60" r="J25">
        <v>1217306</v>
      </c>
      <c s="60" r="K25">
        <v>11496636</v>
      </c>
      <c s="60" r="L25">
        <v>5323527</v>
      </c>
      <c s="60" r="M25">
        <v>22693443</v>
      </c>
      <c s="60" r="N25">
        <v>4731394</v>
      </c>
      <c s="60" r="O25">
        <v>17263171</v>
      </c>
      <c s="60" r="P25">
        <v>6204048</v>
      </c>
      <c s="60" r="Q25">
        <v>7885602</v>
      </c>
      <c s="60" r="R25">
        <v>31630</v>
      </c>
      <c s="60" r="S25">
        <v>1599318</v>
      </c>
      <c s="60" r="T25">
        <v>2317777</v>
      </c>
      <c s="60" r="U25">
        <v>46507796</v>
      </c>
      <c s="60" r="V25">
        <v>3746437</v>
      </c>
      <c s="60" r="W25">
        <v>12799425</v>
      </c>
      <c s="60" r="X25">
        <v>267090</v>
      </c>
      <c s="60" r="Y25">
        <v>-963316</v>
      </c>
      <c s="60" r="Z25">
        <v>1049809</v>
      </c>
      <c s="60" r="AA25">
        <v>28589986</v>
      </c>
      <c s="60" r="AB25">
        <v>2784410</v>
      </c>
      <c s="60" r="AC25">
        <v>94783287</v>
      </c>
      <c s="60" r="AD25">
        <v>974765</v>
      </c>
      <c s="60" r="AE25">
        <v>14803361</v>
      </c>
      <c s="60" r="AF25">
        <v>939795</v>
      </c>
      <c s="60" r="AG25">
        <v>9831751</v>
      </c>
      <c s="60" r="AH25">
        <v>68865</v>
      </c>
      <c s="60" r="AI25">
        <v>677855</v>
      </c>
      <c s="60" r="AJ25">
        <v>1599376</v>
      </c>
      <c s="60" r="AK25">
        <v>36884454</v>
      </c>
      <c s="60" r="AL25">
        <v>140093</v>
      </c>
      <c s="60" r="AM25">
        <v>2563480</v>
      </c>
      <c s="60" r="AN25">
        <v>188874</v>
      </c>
      <c s="60" r="AO25">
        <v>-1165991</v>
      </c>
      <c s="60" r="AP25">
        <v>716356</v>
      </c>
      <c s="60" r="AQ25">
        <v>5921096</v>
      </c>
      <c s="60" r="AR25">
        <v>1508514</v>
      </c>
      <c s="60" r="AS25">
        <v>30609963</v>
      </c>
      <c s="60" r="AT25">
        <v>20546</v>
      </c>
      <c s="60" r="AU25">
        <v>1497616</v>
      </c>
      <c s="60" r="AV25">
        <v>940312</v>
      </c>
      <c s="60" r="AW25">
        <v>4040338</v>
      </c>
      <c s="60" r="AX25">
        <v>4411855</v>
      </c>
      <c s="60" r="AY25">
        <v>20470106</v>
      </c>
      <c s="60" r="AZ25">
        <v>332160979</v>
      </c>
      <c s="60" r="BA25">
        <v>1881871</v>
      </c>
      <c s="60" r="BB25">
        <v>317385</v>
      </c>
      <c s="60" r="BC25">
        <v>969681</v>
      </c>
      <c s="60" r="BD25">
        <v>9158667</v>
      </c>
      <c s="60" r="BE25">
        <v>969681</v>
      </c>
      <c s="60" r="BF25">
        <v>18488196</v>
      </c>
      <c s="60" r="BG25">
        <v>969681</v>
      </c>
      <c s="60" r="BH25">
        <v>9329529</v>
      </c>
      <c s="60" r="BI25">
        <v>11443400</v>
      </c>
      <c s="60" r="BJ25">
        <v>127079106</v>
      </c>
      <c s="60" r="BK25">
        <v>11251904</v>
      </c>
      <c s="60" r="BL25">
        <v>70935010</v>
      </c>
      <c s="60" r="BM25">
        <v>9484135</v>
      </c>
      <c s="60" r="BN25">
        <v>66762946</v>
      </c>
      <c s="60" r="BO25">
        <v>1767769</v>
      </c>
      <c s="60" r="BP25">
        <v>4172065</v>
      </c>
      <c s="60" r="BQ25">
        <v>10720635</v>
      </c>
      <c s="60" r="BR25">
        <v>51824082</v>
      </c>
      <c s="60" r="BS25">
        <v>899093</v>
      </c>
      <c s="60" r="BT25">
        <v>1501820</v>
      </c>
      <c s="60" r="BU25">
        <v>4490290</v>
      </c>
      <c s="60" r="BV25">
        <v>1961398</v>
      </c>
      <c s="60" r="BW25">
        <v>1530420</v>
      </c>
      <c s="60" r="BX25">
        <v>856795</v>
      </c>
      <c s="60" r="BY25">
        <v>10068081</v>
      </c>
      <c s="60" r="BZ25">
        <v>134316549</v>
      </c>
      <c s="60" r="CA25">
        <v>9968207</v>
      </c>
      <c s="60" r="CB25">
        <v>132171829</v>
      </c>
      <c s="60" r="CC25">
        <v>9867158</v>
      </c>
      <c s="60" r="CD25">
        <v>130312250</v>
      </c>
      <c s="60" r="CE25">
        <v>340606</v>
      </c>
      <c s="60" r="CF25">
        <v>1859579</v>
      </c>
      <c s="60" r="CG25">
        <v>986406</v>
      </c>
      <c s="60" r="CH25">
        <v>568449</v>
      </c>
      <c s="60" r="CI25">
        <v>187146</v>
      </c>
      <c s="60" r="CJ25">
        <v>180219</v>
      </c>
      <c s="60" r="CK25">
        <v>450202</v>
      </c>
      <c s="60" r="CL25">
        <v>1396053</v>
      </c>
      <c s="60" r="CM25">
        <v>10321488</v>
      </c>
      <c s="60" r="CN25">
        <v>40295558</v>
      </c>
      <c s="60" r="CO25">
        <v>9695400</v>
      </c>
      <c s="60" r="CP25">
        <v>33822132</v>
      </c>
      <c s="60" r="CQ25">
        <v>6619952</v>
      </c>
      <c s="60" r="CR25">
        <v>6660220</v>
      </c>
      <c s="60" r="CS25">
        <v>69849</v>
      </c>
      <c s="60" r="CT25">
        <v>2869363</v>
      </c>
      <c s="60" r="CU25">
        <v>30589</v>
      </c>
      <c s="60" r="CV25">
        <v>754472</v>
      </c>
      <c s="60" r="CW25">
        <v>2611188</v>
      </c>
      <c s="60" r="CX25">
        <v>17475455</v>
      </c>
      <c s="60" r="CY25">
        <v>4120958</v>
      </c>
      <c s="60" r="CZ25">
        <v>20277252</v>
      </c>
      <c s="60" r="DA25">
        <v>5899799</v>
      </c>
      <c s="60" r="DB25">
        <v>1729749</v>
      </c>
      <c s="60" r="DC25">
        <v>2121319</v>
      </c>
      <c s="60" r="DD25">
        <v>5426585</v>
      </c>
      <c s="60" r="DE25">
        <v>7446031</v>
      </c>
      <c s="60" r="DF25">
        <v>27433586</v>
      </c>
      <c s="60" r="DG25">
        <v>337352</v>
      </c>
      <c s="60" r="DH25">
        <v>3398559</v>
      </c>
      <c s="60" r="DI25">
        <v>236449</v>
      </c>
      <c s="60" r="DJ25">
        <v>2504101</v>
      </c>
      <c s="60" r="DK25">
        <v>101364</v>
      </c>
      <c s="60" r="DL25">
        <v>428099</v>
      </c>
      <c s="60" r="DM25">
        <v>33008528</v>
      </c>
      <c s="60" r="DN25">
        <v>120331433</v>
      </c>
      <c s="60" r="DO25">
        <v>11424369</v>
      </c>
      <c s="60" r="DP25">
        <v>1095596040</v>
      </c>
      <c s="60" r="DQ25">
        <v>871624</v>
      </c>
      <c s="60" r="DR25">
        <v>1873132</v>
      </c>
      <c s="60" r="DS25">
        <v>11407308</v>
      </c>
      <c s="60" r="DT25">
        <v>195138767</v>
      </c>
      <c s="60" r="DU25">
        <v>9524842</v>
      </c>
      <c s="60" r="DV25">
        <v>16873799</v>
      </c>
      <c s="60" r="DW25">
        <v>11316679</v>
      </c>
      <c s="60" r="DX25">
        <v>178264967</v>
      </c>
      <c s="60" r="DY25">
        <v>11316679</v>
      </c>
      <c s="40" r="DZ25">
        <v>178264967</v>
      </c>
    </row>
    <row customHeight="1" r="26" ht="15.0">
      <c t="s" s="43" r="A26">
        <v>91</v>
      </c>
      <c s="60" r="B26">
        <v>3051936</v>
      </c>
      <c s="60" r="C26">
        <v>867016579</v>
      </c>
      <c s="60" r="D26">
        <v>3051936</v>
      </c>
      <c s="60" r="E26">
        <v>885279827</v>
      </c>
      <c s="60" r="F26">
        <v>2775816</v>
      </c>
      <c s="60" r="G26">
        <v>611355357</v>
      </c>
      <c s="60" r="H26">
        <v>2774535</v>
      </c>
      <c s="60" r="I26">
        <v>18351395</v>
      </c>
      <c s="60" r="J26">
        <v>803346</v>
      </c>
      <c s="60" r="K26">
        <v>12834676</v>
      </c>
      <c s="60" r="L26">
        <v>2134974</v>
      </c>
      <c s="60" r="M26">
        <v>22905069</v>
      </c>
      <c s="60" r="N26">
        <v>1976601</v>
      </c>
      <c s="60" r="O26">
        <v>18246467</v>
      </c>
      <c s="60" r="P26">
        <v>1120360</v>
      </c>
      <c s="60" r="Q26">
        <v>3057300</v>
      </c>
      <c s="60" r="R26">
        <v>6513</v>
      </c>
      <c s="60" r="S26">
        <v>937804</v>
      </c>
      <c s="60" r="T26">
        <v>766514</v>
      </c>
      <c s="60" r="U26">
        <v>46542829</v>
      </c>
      <c s="60" r="V26">
        <v>1818468</v>
      </c>
      <c s="60" r="W26">
        <v>22982192</v>
      </c>
      <c s="60" r="X26">
        <v>204872</v>
      </c>
      <c s="60" r="Y26">
        <v>-303621</v>
      </c>
      <c s="60" r="Z26">
        <v>247464</v>
      </c>
      <c s="60" r="AA26">
        <v>12363046</v>
      </c>
      <c s="60" r="AB26">
        <v>639239</v>
      </c>
      <c s="60" r="AC26">
        <v>29938047</v>
      </c>
      <c s="60" r="AD26">
        <v>457857</v>
      </c>
      <c s="60" r="AE26">
        <v>13619573</v>
      </c>
      <c s="60" r="AF26">
        <v>254601</v>
      </c>
      <c s="60" r="AG26">
        <v>4384798</v>
      </c>
      <c s="60" r="AH26">
        <v>22878</v>
      </c>
      <c s="60" r="AI26">
        <v>651019</v>
      </c>
      <c s="60" r="AJ26">
        <v>1067716</v>
      </c>
      <c s="60" r="AK26">
        <v>87548414</v>
      </c>
      <c s="60" r="AL26">
        <v>64524</v>
      </c>
      <c s="60" r="AM26">
        <v>2396520</v>
      </c>
      <c s="60" r="AN26">
        <v>65102</v>
      </c>
      <c s="60" r="AO26">
        <v>-278562</v>
      </c>
      <c s="60" r="AP26">
        <v>116338</v>
      </c>
      <c s="60" r="AQ26">
        <v>968516</v>
      </c>
      <c s="60" r="AR26">
        <v>412661</v>
      </c>
      <c s="60" r="AS26">
        <v>9222423</v>
      </c>
      <c s="60" r="AT26">
        <v>15053</v>
      </c>
      <c s="60" r="AU26">
        <v>1194560</v>
      </c>
      <c s="60" r="AV26">
        <v>408994</v>
      </c>
      <c s="60" r="AW26">
        <v>4635453</v>
      </c>
      <c s="60" r="AX26">
        <v>1217986</v>
      </c>
      <c s="60" r="AY26">
        <v>18263248</v>
      </c>
      <c s="60" r="AZ26">
        <v>156026826</v>
      </c>
      <c s="60" r="BA26">
        <v>3051861</v>
      </c>
      <c s="60" r="BB26">
        <v>3618431</v>
      </c>
      <c s="60" r="BC26">
        <v>84678</v>
      </c>
      <c s="60" r="BD26">
        <v>2229902</v>
      </c>
      <c s="60" r="BE26">
        <v>84678</v>
      </c>
      <c s="60" r="BF26">
        <v>3885205</v>
      </c>
      <c s="60" r="BG26">
        <v>84678</v>
      </c>
      <c s="60" r="BH26">
        <v>1655303</v>
      </c>
      <c s="60" r="BI26">
        <v>3048983</v>
      </c>
      <c s="60" r="BJ26">
        <v>72051311</v>
      </c>
      <c s="60" r="BK26">
        <v>3020343</v>
      </c>
      <c s="60" r="BL26">
        <v>46778399</v>
      </c>
      <c s="60" r="BM26">
        <v>2532705</v>
      </c>
      <c s="60" r="BN26">
        <v>44945059</v>
      </c>
      <c s="60" r="BO26">
        <v>487638</v>
      </c>
      <c s="60" r="BP26">
        <v>1833340</v>
      </c>
      <c s="60" r="BQ26">
        <v>2880813</v>
      </c>
      <c s="60" r="BR26">
        <v>24125769</v>
      </c>
      <c s="60" r="BS26">
        <v>114926</v>
      </c>
      <c s="60" r="BT26">
        <v>210970</v>
      </c>
      <c s="60" r="BU26">
        <v>1006807</v>
      </c>
      <c s="60" r="BV26">
        <v>537777</v>
      </c>
      <c s="60" r="BW26">
        <v>513381</v>
      </c>
      <c s="60" r="BX26">
        <v>398396</v>
      </c>
      <c s="60" r="BY26">
        <v>2605531</v>
      </c>
      <c s="60" r="BZ26">
        <v>53629620</v>
      </c>
      <c s="60" r="CA26">
        <v>2530322</v>
      </c>
      <c s="60" r="CB26">
        <v>51484182</v>
      </c>
      <c s="60" r="CC26">
        <v>2507523</v>
      </c>
      <c s="60" r="CD26">
        <v>50796716</v>
      </c>
      <c s="60" r="CE26">
        <v>78716</v>
      </c>
      <c s="60" r="CF26">
        <v>687466</v>
      </c>
      <c s="60" r="CG26">
        <v>308011</v>
      </c>
      <c s="60" r="CH26">
        <v>179766</v>
      </c>
      <c s="18" r="CI26">
        <v>440</v>
      </c>
      <c s="18" r="CJ26">
        <v>1560</v>
      </c>
      <c s="60" r="CK26">
        <v>356328</v>
      </c>
      <c s="60" r="CL26">
        <v>1964241</v>
      </c>
      <c s="60" r="CM26">
        <v>2856469</v>
      </c>
      <c s="60" r="CN26">
        <v>21596948</v>
      </c>
      <c s="60" r="CO26">
        <v>2776047</v>
      </c>
      <c s="60" r="CP26">
        <v>18257749</v>
      </c>
      <c s="60" r="CQ26">
        <v>1733371</v>
      </c>
      <c s="60" r="CR26">
        <v>3328417</v>
      </c>
      <c s="60" r="CS26">
        <v>25328</v>
      </c>
      <c s="60" r="CT26">
        <v>4003956</v>
      </c>
      <c s="60" r="CU26">
        <v>7594</v>
      </c>
      <c s="60" r="CV26">
        <v>303689</v>
      </c>
      <c s="60" r="CW26">
        <v>450375</v>
      </c>
      <c s="60" r="CX26">
        <v>5380530</v>
      </c>
      <c s="60" r="CY26">
        <v>682794</v>
      </c>
      <c s="60" r="CZ26">
        <v>4326374</v>
      </c>
      <c s="60" r="DA26">
        <v>1414070</v>
      </c>
      <c s="60" r="DB26">
        <v>912313</v>
      </c>
      <c s="60" r="DC26">
        <v>817677</v>
      </c>
      <c s="60" r="DD26">
        <v>4265876</v>
      </c>
      <c s="60" r="DE26">
        <v>1865306</v>
      </c>
      <c s="60" r="DF26">
        <v>9504563</v>
      </c>
      <c s="60" r="DG26">
        <v>141423</v>
      </c>
      <c s="60" r="DH26">
        <v>4453257</v>
      </c>
      <c s="60" r="DI26">
        <v>72107</v>
      </c>
      <c s="60" r="DJ26">
        <v>3316266</v>
      </c>
      <c s="60" r="DK26">
        <v>67752</v>
      </c>
      <c s="60" r="DL26">
        <v>581383</v>
      </c>
      <c s="60" r="DM26">
        <v>9098551</v>
      </c>
      <c s="60" r="DN26">
        <v>29412420</v>
      </c>
      <c s="60" r="DO26">
        <v>3043827</v>
      </c>
      <c s="60" r="DP26">
        <v>683079783</v>
      </c>
      <c s="60" r="DQ26">
        <v>2325339</v>
      </c>
      <c s="60" r="DR26">
        <v>13228930</v>
      </c>
      <c s="60" r="DS26">
        <v>3045453</v>
      </c>
      <c s="60" r="DT26">
        <v>172024808</v>
      </c>
      <c s="60" r="DU26">
        <v>1495716</v>
      </c>
      <c s="60" r="DV26">
        <v>3179040</v>
      </c>
      <c s="60" r="DW26">
        <v>3038099</v>
      </c>
      <c s="60" r="DX26">
        <v>168845768</v>
      </c>
      <c s="60" r="DY26">
        <v>3038099</v>
      </c>
      <c s="40" r="DZ26">
        <v>168845768</v>
      </c>
    </row>
    <row customHeight="1" r="27" ht="15.0">
      <c t="s" s="43" r="A27">
        <v>92</v>
      </c>
      <c s="60" r="B27">
        <v>475847</v>
      </c>
      <c s="60" r="C27">
        <v>320962433</v>
      </c>
      <c s="60" r="D27">
        <v>475847</v>
      </c>
      <c s="60" r="E27">
        <v>327901203</v>
      </c>
      <c s="60" r="F27">
        <v>411139</v>
      </c>
      <c s="60" r="G27">
        <v>181181869</v>
      </c>
      <c s="60" r="H27">
        <v>458453</v>
      </c>
      <c s="60" r="I27">
        <v>9740717</v>
      </c>
      <c s="60" r="J27">
        <v>224607</v>
      </c>
      <c s="60" r="K27">
        <v>7070424</v>
      </c>
      <c s="60" r="L27">
        <v>399060</v>
      </c>
      <c s="60" r="M27">
        <v>12235130</v>
      </c>
      <c s="60" r="N27">
        <v>375654</v>
      </c>
      <c s="60" r="O27">
        <v>9713949</v>
      </c>
      <c s="60" r="P27">
        <v>167185</v>
      </c>
      <c s="60" r="Q27">
        <v>1418775</v>
      </c>
      <c s="60" r="R27">
        <v>672</v>
      </c>
      <c s="60" r="S27">
        <v>55777</v>
      </c>
      <c s="60" r="T27">
        <v>123508</v>
      </c>
      <c s="60" r="U27">
        <v>14737269</v>
      </c>
      <c s="60" r="V27">
        <v>377187</v>
      </c>
      <c s="60" r="W27">
        <v>21099933</v>
      </c>
      <c s="60" r="X27">
        <v>84149</v>
      </c>
      <c s="60" r="Y27">
        <v>-245394</v>
      </c>
      <c s="60" r="Z27">
        <v>30407</v>
      </c>
      <c s="60" r="AA27">
        <v>2507755</v>
      </c>
      <c s="60" r="AB27">
        <v>71844</v>
      </c>
      <c s="60" r="AC27">
        <v>3779012</v>
      </c>
      <c s="60" r="AD27">
        <v>115682</v>
      </c>
      <c s="60" r="AE27">
        <v>6596084</v>
      </c>
      <c s="60" r="AF27">
        <v>62938</v>
      </c>
      <c s="60" r="AG27">
        <v>1589223</v>
      </c>
      <c s="60" r="AH27">
        <v>3654</v>
      </c>
      <c s="60" r="AI27">
        <v>100556</v>
      </c>
      <c s="60" r="AJ27">
        <v>294402</v>
      </c>
      <c s="60" r="AK27">
        <v>69971814</v>
      </c>
      <c s="60" r="AL27">
        <v>18587</v>
      </c>
      <c s="60" r="AM27">
        <v>1351722</v>
      </c>
      <c s="60" r="AN27">
        <v>13783</v>
      </c>
      <c s="60" r="AO27">
        <v>-218684</v>
      </c>
      <c s="60" r="AP27">
        <v>8277</v>
      </c>
      <c s="60" r="AQ27">
        <v>74533</v>
      </c>
      <c s="60" r="AR27">
        <v>65864</v>
      </c>
      <c s="60" r="AS27">
        <v>1639069</v>
      </c>
      <c s="60" r="AT27">
        <v>4695</v>
      </c>
      <c s="60" r="AU27">
        <v>395768</v>
      </c>
      <c s="60" r="AV27">
        <v>97908</v>
      </c>
      <c s="60" r="AW27">
        <v>1977463</v>
      </c>
      <c s="60" r="AX27">
        <v>255057</v>
      </c>
      <c s="60" r="AY27">
        <v>6938770</v>
      </c>
      <c s="60" r="AZ27">
        <v>48304789</v>
      </c>
      <c s="60" r="BA27">
        <v>475819</v>
      </c>
      <c s="60" r="BB27">
        <v>2412527</v>
      </c>
      <c s="60" r="BC27">
        <v>3281</v>
      </c>
      <c s="60" r="BD27">
        <v>211501</v>
      </c>
      <c s="60" r="BE27">
        <v>3281</v>
      </c>
      <c s="60" r="BF27">
        <v>376418</v>
      </c>
      <c s="60" r="BG27">
        <v>3281</v>
      </c>
      <c s="60" r="BH27">
        <v>164917</v>
      </c>
      <c s="60" r="BI27">
        <v>475136</v>
      </c>
      <c s="60" r="BJ27">
        <v>25643294</v>
      </c>
      <c s="60" r="BK27">
        <v>471715</v>
      </c>
      <c s="60" r="BL27">
        <v>19020103</v>
      </c>
      <c s="60" r="BM27">
        <v>394788</v>
      </c>
      <c s="60" r="BN27">
        <v>18594263</v>
      </c>
      <c s="60" r="BO27">
        <v>76927</v>
      </c>
      <c s="60" r="BP27">
        <v>425840</v>
      </c>
      <c s="60" r="BQ27">
        <v>450374</v>
      </c>
      <c s="60" r="BR27">
        <v>6379976</v>
      </c>
      <c s="60" r="BS27">
        <v>0</v>
      </c>
      <c s="60" r="BT27">
        <v>0</v>
      </c>
      <c s="60" r="BU27">
        <v>122866</v>
      </c>
      <c s="60" r="BV27">
        <v>95891</v>
      </c>
      <c s="60" r="BW27">
        <v>94626</v>
      </c>
      <c s="60" r="BX27">
        <v>147324</v>
      </c>
      <c s="60" r="BY27">
        <v>395816</v>
      </c>
      <c s="60" r="BZ27">
        <v>12110201</v>
      </c>
      <c s="60" r="CA27">
        <v>366682</v>
      </c>
      <c s="60" r="CB27">
        <v>10378238</v>
      </c>
      <c s="60" r="CC27">
        <v>361041</v>
      </c>
      <c s="60" r="CD27">
        <v>10122638</v>
      </c>
      <c s="60" r="CE27">
        <v>15451</v>
      </c>
      <c s="60" r="CF27">
        <v>255600</v>
      </c>
      <c s="60" r="CG27">
        <v>43007</v>
      </c>
      <c s="60" r="CH27">
        <v>35884</v>
      </c>
      <c s="60" r="CI27">
        <v>0</v>
      </c>
      <c s="60" r="CJ27">
        <v>0</v>
      </c>
      <c s="60" r="CK27">
        <v>116944</v>
      </c>
      <c s="60" r="CL27">
        <v>1696078</v>
      </c>
      <c s="60" r="CM27">
        <v>450480</v>
      </c>
      <c s="60" r="CN27">
        <v>8332887</v>
      </c>
      <c s="60" r="CO27">
        <v>444891</v>
      </c>
      <c s="60" r="CP27">
        <v>7081779</v>
      </c>
      <c s="60" r="CQ27">
        <v>230209</v>
      </c>
      <c s="60" r="CR27">
        <v>1458992</v>
      </c>
      <c s="60" r="CS27">
        <v>5813</v>
      </c>
      <c s="60" r="CT27">
        <v>2457474</v>
      </c>
      <c s="60" r="CU27">
        <v>1250</v>
      </c>
      <c s="60" r="CV27">
        <v>140750</v>
      </c>
      <c s="60" r="CW27">
        <v>58382</v>
      </c>
      <c s="60" r="CX27">
        <v>2090525</v>
      </c>
      <c s="60" r="CY27">
        <v>58351</v>
      </c>
      <c s="60" r="CZ27">
        <v>573669</v>
      </c>
      <c s="60" r="DA27">
        <v>200774</v>
      </c>
      <c s="60" r="DB27">
        <v>315874</v>
      </c>
      <c s="60" r="DC27">
        <v>199792</v>
      </c>
      <c s="60" r="DD27">
        <v>2664681</v>
      </c>
      <c s="60" r="DE27">
        <v>296901</v>
      </c>
      <c s="60" r="DF27">
        <v>3554224</v>
      </c>
      <c s="60" r="DG27">
        <v>41284</v>
      </c>
      <c s="60" r="DH27">
        <v>2188159</v>
      </c>
      <c s="60" r="DI27">
        <v>12983</v>
      </c>
      <c s="60" r="DJ27">
        <v>1676086</v>
      </c>
      <c s="60" r="DK27">
        <v>28121</v>
      </c>
      <c s="60" r="DL27">
        <v>279639</v>
      </c>
      <c s="60" r="DM27">
        <v>1457540</v>
      </c>
      <c s="60" r="DN27">
        <v>3536096</v>
      </c>
      <c s="60" r="DO27">
        <v>473617</v>
      </c>
      <c s="60" r="DP27">
        <v>269759724</v>
      </c>
      <c s="60" r="DQ27">
        <v>288888</v>
      </c>
      <c s="60" r="DR27">
        <v>3632488</v>
      </c>
      <c s="60" r="DS27">
        <v>474919</v>
      </c>
      <c s="60" r="DT27">
        <v>80031602</v>
      </c>
      <c s="60" r="DU27">
        <v>297745</v>
      </c>
      <c s="60" r="DV27">
        <v>1985309</v>
      </c>
      <c s="60" r="DW27">
        <v>473703</v>
      </c>
      <c s="60" r="DX27">
        <v>78046292</v>
      </c>
      <c s="60" r="DY27">
        <v>473703</v>
      </c>
      <c s="40" r="DZ27">
        <v>78046292</v>
      </c>
    </row>
    <row customHeight="1" r="28" ht="15.0">
      <c t="s" s="43" r="A28">
        <v>93</v>
      </c>
      <c s="60" r="B28">
        <v>104559</v>
      </c>
      <c s="60" r="C28">
        <v>125946346</v>
      </c>
      <c s="60" r="D28">
        <v>104559</v>
      </c>
      <c s="60" r="E28">
        <v>128296034</v>
      </c>
      <c s="60" r="F28">
        <v>87964</v>
      </c>
      <c s="60" r="G28">
        <v>58248840</v>
      </c>
      <c s="60" r="H28">
        <v>103258</v>
      </c>
      <c s="60" r="I28">
        <v>4509397</v>
      </c>
      <c s="60" r="J28">
        <v>61752</v>
      </c>
      <c s="60" r="K28">
        <v>3292272</v>
      </c>
      <c s="60" r="L28">
        <v>92553</v>
      </c>
      <c s="60" r="M28">
        <v>6360496</v>
      </c>
      <c s="60" r="N28">
        <v>88349</v>
      </c>
      <c s="60" r="O28">
        <v>5094359</v>
      </c>
      <c s="60" r="P28">
        <v>49444</v>
      </c>
      <c s="60" r="Q28">
        <v>776470</v>
      </c>
      <c s="30" r="R28">
        <v>55</v>
      </c>
      <c s="30" r="S28">
        <v>9082</v>
      </c>
      <c s="60" r="T28">
        <v>24641</v>
      </c>
      <c s="60" r="U28">
        <v>4561353</v>
      </c>
      <c s="60" r="V28">
        <v>91535</v>
      </c>
      <c s="60" r="W28">
        <v>11829043</v>
      </c>
      <c s="60" r="X28">
        <v>26070</v>
      </c>
      <c s="60" r="Y28">
        <v>-7968</v>
      </c>
      <c s="60" r="Z28">
        <v>5674</v>
      </c>
      <c s="60" r="AA28">
        <v>496674</v>
      </c>
      <c s="60" r="AB28">
        <v>15809</v>
      </c>
      <c s="60" r="AC28">
        <v>926412</v>
      </c>
      <c s="60" r="AD28">
        <v>30894</v>
      </c>
      <c s="60" r="AE28">
        <v>2969003</v>
      </c>
      <c s="60" r="AF28">
        <v>15961</v>
      </c>
      <c s="60" r="AG28">
        <v>564885</v>
      </c>
      <c s="60" r="AH28">
        <v>1174</v>
      </c>
      <c s="60" r="AI28">
        <v>45929</v>
      </c>
      <c s="60" r="AJ28">
        <v>77018</v>
      </c>
      <c s="60" r="AK28">
        <v>35139612</v>
      </c>
      <c s="60" r="AL28">
        <v>5504</v>
      </c>
      <c s="60" r="AM28">
        <v>918551</v>
      </c>
      <c s="60" r="AN28">
        <v>3297</v>
      </c>
      <c s="60" r="AO28">
        <v>-99142</v>
      </c>
      <c s="60" r="AP28">
        <v>1289</v>
      </c>
      <c s="60" r="AQ28">
        <v>11231</v>
      </c>
      <c s="60" r="AR28">
        <v>16036</v>
      </c>
      <c s="60" r="AS28">
        <v>394682</v>
      </c>
      <c s="60" r="AT28">
        <v>1599</v>
      </c>
      <c s="60" r="AU28">
        <v>122654</v>
      </c>
      <c s="60" r="AV28">
        <v>25169</v>
      </c>
      <c s="60" r="AW28">
        <v>876482</v>
      </c>
      <c s="60" r="AX28">
        <v>59558</v>
      </c>
      <c s="60" r="AY28">
        <v>2349688</v>
      </c>
      <c s="60" r="AZ28">
        <v>18101201</v>
      </c>
      <c s="60" r="BA28">
        <v>104553</v>
      </c>
      <c s="60" r="BB28">
        <v>1059117</v>
      </c>
      <c s="60" r="BC28">
        <v>528</v>
      </c>
      <c s="60" r="BD28">
        <v>36259</v>
      </c>
      <c s="60" r="BE28">
        <v>528</v>
      </c>
      <c s="60" r="BF28">
        <v>82887</v>
      </c>
      <c s="60" r="BG28">
        <v>528</v>
      </c>
      <c s="60" r="BH28">
        <v>46628</v>
      </c>
      <c s="60" r="BI28">
        <v>104408</v>
      </c>
      <c s="60" r="BJ28">
        <v>10016134</v>
      </c>
      <c s="60" r="BK28">
        <v>103644</v>
      </c>
      <c s="60" r="BL28">
        <v>7960119</v>
      </c>
      <c s="60" r="BM28">
        <v>86873</v>
      </c>
      <c s="60" r="BN28">
        <v>7834064</v>
      </c>
      <c s="60" r="BO28">
        <v>16771</v>
      </c>
      <c s="60" r="BP28">
        <v>126055</v>
      </c>
      <c s="60" r="BQ28">
        <v>99210</v>
      </c>
      <c s="60" r="BR28">
        <v>1978372</v>
      </c>
      <c s="60" r="BS28">
        <v>0</v>
      </c>
      <c s="60" r="BT28">
        <v>0</v>
      </c>
      <c s="60" r="BU28">
        <v>25536</v>
      </c>
      <c s="60" r="BV28">
        <v>24975</v>
      </c>
      <c s="60" r="BW28">
        <v>20901</v>
      </c>
      <c s="60" r="BX28">
        <v>52668</v>
      </c>
      <c s="60" r="BY28">
        <v>83656</v>
      </c>
      <c s="60" r="BZ28">
        <v>3210318</v>
      </c>
      <c s="60" r="CA28">
        <v>72732</v>
      </c>
      <c s="60" r="CB28">
        <v>2295982</v>
      </c>
      <c s="60" r="CC28">
        <v>71195</v>
      </c>
      <c s="60" r="CD28">
        <v>2224944</v>
      </c>
      <c s="60" r="CE28">
        <v>2978</v>
      </c>
      <c s="60" r="CF28">
        <v>71038</v>
      </c>
      <c s="60" r="CG28">
        <v>7469</v>
      </c>
      <c s="60" r="CH28">
        <v>6045</v>
      </c>
      <c s="60" r="CI28">
        <v>0</v>
      </c>
      <c s="60" r="CJ28">
        <v>0</v>
      </c>
      <c s="60" r="CK28">
        <v>36424</v>
      </c>
      <c s="60" r="CL28">
        <v>908292</v>
      </c>
      <c s="60" r="CM28">
        <v>99522</v>
      </c>
      <c s="60" r="CN28">
        <v>3708879</v>
      </c>
      <c s="60" r="CO28">
        <v>98555</v>
      </c>
      <c s="60" r="CP28">
        <v>3046118</v>
      </c>
      <c s="60" r="CQ28">
        <v>46556</v>
      </c>
      <c s="60" r="CR28">
        <v>988461</v>
      </c>
      <c s="60" r="CS28">
        <v>2502</v>
      </c>
      <c s="60" r="CT28">
        <v>3174515</v>
      </c>
      <c s="60" r="CU28">
        <v>127</v>
      </c>
      <c s="60" r="CV28">
        <v>13094</v>
      </c>
      <c s="60" r="CW28">
        <v>13276</v>
      </c>
      <c s="60" r="CX28">
        <v>1052724</v>
      </c>
      <c s="60" r="CY28">
        <v>8717</v>
      </c>
      <c s="60" r="CZ28">
        <v>122358</v>
      </c>
      <c s="60" r="DA28">
        <v>43155</v>
      </c>
      <c s="60" r="DB28">
        <v>120054</v>
      </c>
      <c s="60" r="DC28">
        <v>56862</v>
      </c>
      <c s="60" r="DD28">
        <v>1428677</v>
      </c>
      <c s="60" r="DE28">
        <v>71236</v>
      </c>
      <c s="60" r="DF28">
        <v>1671090</v>
      </c>
      <c s="60" r="DG28">
        <v>14351</v>
      </c>
      <c s="60" r="DH28">
        <v>1122909</v>
      </c>
      <c s="60" r="DI28">
        <v>3412</v>
      </c>
      <c s="60" r="DJ28">
        <v>762531</v>
      </c>
      <c s="60" r="DK28">
        <v>10858</v>
      </c>
      <c s="60" r="DL28">
        <v>153307</v>
      </c>
      <c s="60" r="DM28">
        <v>312603</v>
      </c>
      <c s="60" r="DN28">
        <v>758625</v>
      </c>
      <c s="60" r="DO28">
        <v>103990</v>
      </c>
      <c s="60" r="DP28">
        <v>107510088</v>
      </c>
      <c s="60" r="DQ28">
        <v>25249</v>
      </c>
      <c s="60" r="DR28">
        <v>724617</v>
      </c>
      <c s="60" r="DS28">
        <v>104338</v>
      </c>
      <c s="60" r="DT28">
        <v>32760207</v>
      </c>
      <c s="60" r="DU28">
        <v>73647</v>
      </c>
      <c s="60" r="DV28">
        <v>971217</v>
      </c>
      <c s="60" r="DW28">
        <v>103998</v>
      </c>
      <c s="60" r="DX28">
        <v>31788990</v>
      </c>
      <c s="60" r="DY28">
        <v>103998</v>
      </c>
      <c s="40" r="DZ28">
        <v>31788990</v>
      </c>
    </row>
    <row customHeight="1" r="29" ht="15.0">
      <c t="s" s="43" r="A29">
        <v>94</v>
      </c>
      <c s="60" r="B29">
        <v>43015</v>
      </c>
      <c s="60" r="C29">
        <v>73979265</v>
      </c>
      <c s="60" r="D29">
        <v>43015</v>
      </c>
      <c s="60" r="E29">
        <v>75190125</v>
      </c>
      <c s="60" r="F29">
        <v>35363</v>
      </c>
      <c s="60" r="G29">
        <v>30331222</v>
      </c>
      <c s="60" r="H29">
        <v>42492</v>
      </c>
      <c s="60" r="I29">
        <v>2796303</v>
      </c>
      <c s="60" r="J29">
        <v>27815</v>
      </c>
      <c s="60" r="K29">
        <v>1960467</v>
      </c>
      <c s="60" r="L29">
        <v>39258</v>
      </c>
      <c s="60" r="M29">
        <v>3717336</v>
      </c>
      <c s="60" r="N29">
        <v>37246</v>
      </c>
      <c s="60" r="O29">
        <v>2943572</v>
      </c>
      <c s="60" r="P29">
        <v>22328</v>
      </c>
      <c s="60" r="Q29">
        <v>522689</v>
      </c>
      <c s="30" r="R29">
        <v>25</v>
      </c>
      <c s="30" r="S29">
        <v>17477</v>
      </c>
      <c s="60" r="T29">
        <v>9957</v>
      </c>
      <c s="60" r="U29">
        <v>2017969</v>
      </c>
      <c s="60" r="V29">
        <v>38687</v>
      </c>
      <c s="60" r="W29">
        <v>8655262</v>
      </c>
      <c s="60" r="X29">
        <v>12821</v>
      </c>
      <c s="60" r="Y29">
        <v>68381</v>
      </c>
      <c s="60" r="Z29">
        <v>2370</v>
      </c>
      <c s="60" r="AA29">
        <v>286695</v>
      </c>
      <c s="60" r="AB29">
        <v>6443</v>
      </c>
      <c s="60" r="AC29">
        <v>377276</v>
      </c>
      <c s="60" r="AD29">
        <v>14663</v>
      </c>
      <c s="60" r="AE29">
        <v>1473121</v>
      </c>
      <c s="60" r="AF29">
        <v>7317</v>
      </c>
      <c s="60" r="AG29">
        <v>273689</v>
      </c>
      <c s="60" r="AH29">
        <v>585</v>
      </c>
      <c s="60" r="AI29">
        <v>16827</v>
      </c>
      <c s="60" r="AJ29">
        <v>33294</v>
      </c>
      <c s="60" r="AK29">
        <v>23378783</v>
      </c>
      <c s="60" r="AL29">
        <v>3002</v>
      </c>
      <c s="60" r="AM29">
        <v>645486</v>
      </c>
      <c s="60" r="AN29">
        <v>1565</v>
      </c>
      <c s="60" r="AO29">
        <v>-70647</v>
      </c>
      <c s="60" r="AP29">
        <v>340</v>
      </c>
      <c s="60" r="AQ29">
        <v>2724</v>
      </c>
      <c s="60" r="AR29">
        <v>7129</v>
      </c>
      <c s="60" r="AS29">
        <v>177385</v>
      </c>
      <c s="60" r="AT29">
        <v>672</v>
      </c>
      <c s="60" r="AU29">
        <v>58386</v>
      </c>
      <c s="60" r="AV29">
        <v>11565</v>
      </c>
      <c s="60" r="AW29">
        <v>574684</v>
      </c>
      <c s="60" r="AX29">
        <v>26060</v>
      </c>
      <c s="60" r="AY29">
        <v>1210859</v>
      </c>
      <c s="60" r="AZ29">
        <v>10229861</v>
      </c>
      <c s="60" r="BA29">
        <v>43012</v>
      </c>
      <c s="60" r="BB29">
        <v>643553</v>
      </c>
      <c s="60" r="BC29">
        <v>134</v>
      </c>
      <c s="60" r="BD29">
        <v>15740</v>
      </c>
      <c s="60" r="BE29">
        <v>134</v>
      </c>
      <c s="60" r="BF29">
        <v>33273</v>
      </c>
      <c s="60" r="BG29">
        <v>134</v>
      </c>
      <c s="60" r="BH29">
        <v>17534</v>
      </c>
      <c s="60" r="BI29">
        <v>42924</v>
      </c>
      <c s="60" r="BJ29">
        <v>5939519</v>
      </c>
      <c s="60" r="BK29">
        <v>42619</v>
      </c>
      <c s="60" r="BL29">
        <v>4940403</v>
      </c>
      <c s="60" r="BM29">
        <v>36168</v>
      </c>
      <c s="60" r="BN29">
        <v>4868023</v>
      </c>
      <c s="60" r="BO29">
        <v>6451</v>
      </c>
      <c s="60" r="BP29">
        <v>72380</v>
      </c>
      <c s="60" r="BQ29">
        <v>40692</v>
      </c>
      <c s="60" r="BR29">
        <v>953432</v>
      </c>
      <c s="60" r="BS29">
        <v>0</v>
      </c>
      <c s="60" r="BT29">
        <v>0</v>
      </c>
      <c s="60" r="BU29">
        <v>9509</v>
      </c>
      <c s="60" r="BV29">
        <v>13232</v>
      </c>
      <c s="60" r="BW29">
        <v>8913</v>
      </c>
      <c s="60" r="BX29">
        <v>32451</v>
      </c>
      <c s="60" r="BY29">
        <v>34390</v>
      </c>
      <c s="60" r="BZ29">
        <v>1526744</v>
      </c>
      <c s="60" r="CA29">
        <v>28824</v>
      </c>
      <c s="60" r="CB29">
        <v>941135</v>
      </c>
      <c s="60" r="CC29">
        <v>28076</v>
      </c>
      <c s="60" r="CD29">
        <v>908381</v>
      </c>
      <c s="60" r="CE29">
        <v>1474</v>
      </c>
      <c s="60" r="CF29">
        <v>32755</v>
      </c>
      <c s="60" r="CG29">
        <v>3266</v>
      </c>
      <c s="60" r="CH29">
        <v>2597</v>
      </c>
      <c s="60" r="CI29">
        <v>0</v>
      </c>
      <c s="60" r="CJ29">
        <v>0</v>
      </c>
      <c s="60" r="CK29">
        <v>17260</v>
      </c>
      <c s="60" r="CL29">
        <v>583012</v>
      </c>
      <c s="60" r="CM29">
        <v>41239</v>
      </c>
      <c s="60" r="CN29">
        <v>2193433</v>
      </c>
      <c s="60" r="CO29">
        <v>40934</v>
      </c>
      <c s="60" r="CP29">
        <v>1718957</v>
      </c>
      <c s="60" r="CQ29">
        <v>18648</v>
      </c>
      <c s="60" r="CR29">
        <v>685468</v>
      </c>
      <c s="60" r="CS29">
        <v>914</v>
      </c>
      <c s="60" r="CT29">
        <v>632276</v>
      </c>
      <c s="60" r="CU29">
        <v>80</v>
      </c>
      <c s="60" r="CV29">
        <v>11011</v>
      </c>
      <c s="60" r="CW29">
        <v>5404</v>
      </c>
      <c s="60" r="CX29">
        <v>557061</v>
      </c>
      <c s="60" r="CY29">
        <v>3104</v>
      </c>
      <c s="60" r="CZ29">
        <v>52951</v>
      </c>
      <c s="60" r="DA29">
        <v>16571</v>
      </c>
      <c s="60" r="DB29">
        <v>58512</v>
      </c>
      <c s="60" r="DC29">
        <v>24817</v>
      </c>
      <c s="60" r="DD29">
        <v>811412</v>
      </c>
      <c s="60" r="DE29">
        <v>29968</v>
      </c>
      <c s="60" r="DF29">
        <v>922874</v>
      </c>
      <c s="60" r="DG29">
        <v>6818</v>
      </c>
      <c s="60" r="DH29">
        <v>629907</v>
      </c>
      <c s="60" r="DI29">
        <v>1418</v>
      </c>
      <c s="60" r="DJ29">
        <v>516971</v>
      </c>
      <c s="60" r="DK29">
        <v>5365</v>
      </c>
      <c s="60" r="DL29">
        <v>70241</v>
      </c>
      <c s="60" r="DM29">
        <v>128473</v>
      </c>
      <c s="60" r="DN29">
        <v>311757</v>
      </c>
      <c s="60" r="DO29">
        <v>42794</v>
      </c>
      <c s="60" r="DP29">
        <v>63601487</v>
      </c>
      <c s="60" r="DQ29">
        <v>9180</v>
      </c>
      <c s="60" r="DR29">
        <v>399619</v>
      </c>
      <c s="60" r="DS29">
        <v>42949</v>
      </c>
      <c s="60" r="DT29">
        <v>19614043</v>
      </c>
      <c s="60" r="DU29">
        <v>31118</v>
      </c>
      <c s="60" r="DV29">
        <v>673236</v>
      </c>
      <c s="60" r="DW29">
        <v>42813</v>
      </c>
      <c s="60" r="DX29">
        <v>18940808</v>
      </c>
      <c s="60" r="DY29">
        <v>42813</v>
      </c>
      <c s="40" r="DZ29">
        <v>18940808</v>
      </c>
    </row>
    <row customHeight="1" r="30" ht="15.0">
      <c t="s" s="43" r="A30">
        <v>95</v>
      </c>
      <c s="60" r="B30">
        <v>60522</v>
      </c>
      <c s="60" r="C30">
        <v>178983624</v>
      </c>
      <c s="60" r="D30">
        <v>60522</v>
      </c>
      <c s="60" r="E30">
        <v>181202111</v>
      </c>
      <c s="60" r="F30">
        <v>50567</v>
      </c>
      <c s="60" r="G30">
        <v>67614929</v>
      </c>
      <c s="60" r="H30">
        <v>59959</v>
      </c>
      <c s="60" r="I30">
        <v>7661737</v>
      </c>
      <c s="60" r="J30">
        <v>41896</v>
      </c>
      <c s="60" r="K30">
        <v>4629682</v>
      </c>
      <c s="60" r="L30">
        <v>55958</v>
      </c>
      <c s="60" r="M30">
        <v>10095115</v>
      </c>
      <c s="60" r="N30">
        <v>53454</v>
      </c>
      <c s="60" r="O30">
        <v>8167483</v>
      </c>
      <c s="60" r="P30">
        <v>32649</v>
      </c>
      <c s="60" r="Q30">
        <v>1230469</v>
      </c>
      <c s="60" r="R30">
        <v>48</v>
      </c>
      <c s="60" r="S30">
        <v>9253</v>
      </c>
      <c s="60" r="T30">
        <v>14952</v>
      </c>
      <c s="60" r="U30">
        <v>3990362</v>
      </c>
      <c s="60" r="V30">
        <v>55779</v>
      </c>
      <c s="60" r="W30">
        <v>26152725</v>
      </c>
      <c s="60" r="X30">
        <v>21796</v>
      </c>
      <c s="60" r="Y30">
        <v>199179</v>
      </c>
      <c s="60" r="Z30">
        <v>2728</v>
      </c>
      <c s="60" r="AA30">
        <v>372907</v>
      </c>
      <c s="60" r="AB30">
        <v>9196</v>
      </c>
      <c s="60" r="AC30">
        <v>630724</v>
      </c>
      <c s="60" r="AD30">
        <v>23638</v>
      </c>
      <c s="60" r="AE30">
        <v>2986860</v>
      </c>
      <c s="60" r="AF30">
        <v>10795</v>
      </c>
      <c s="60" r="AG30">
        <v>561510</v>
      </c>
      <c s="60" r="AH30">
        <v>772</v>
      </c>
      <c s="60" r="AI30">
        <v>31392</v>
      </c>
      <c s="60" r="AJ30">
        <v>48764</v>
      </c>
      <c s="60" r="AK30">
        <v>56047678</v>
      </c>
      <c s="60" r="AL30">
        <v>4594</v>
      </c>
      <c s="60" r="AM30">
        <v>1815595</v>
      </c>
      <c s="60" r="AN30">
        <v>2178</v>
      </c>
      <c s="60" r="AO30">
        <v>-141697</v>
      </c>
      <c s="60" r="AP30">
        <v>608</v>
      </c>
      <c s="60" r="AQ30">
        <v>4884</v>
      </c>
      <c s="60" r="AR30">
        <v>10108</v>
      </c>
      <c s="60" r="AS30">
        <v>262698</v>
      </c>
      <c s="60" r="AT30">
        <v>947</v>
      </c>
      <c s="60" r="AU30">
        <v>81002</v>
      </c>
      <c s="60" r="AV30">
        <v>18108</v>
      </c>
      <c s="60" r="AW30">
        <v>1516155</v>
      </c>
      <c s="60" r="AX30">
        <v>37353</v>
      </c>
      <c s="60" r="AY30">
        <v>2218488</v>
      </c>
      <c s="60" r="AZ30">
        <v>24296813</v>
      </c>
      <c s="60" r="BA30">
        <v>60518</v>
      </c>
      <c s="60" r="BB30">
        <v>1569404</v>
      </c>
      <c s="60" r="BC30">
        <v>83</v>
      </c>
      <c s="60" r="BD30">
        <v>22498</v>
      </c>
      <c s="60" r="BE30">
        <v>83</v>
      </c>
      <c s="60" r="BF30">
        <v>40710</v>
      </c>
      <c s="60" r="BG30">
        <v>83</v>
      </c>
      <c s="60" r="BH30">
        <v>18212</v>
      </c>
      <c s="60" r="BI30">
        <v>60379</v>
      </c>
      <c s="60" r="BJ30">
        <v>13869067</v>
      </c>
      <c s="60" r="BK30">
        <v>59964</v>
      </c>
      <c s="60" r="BL30">
        <v>12058828</v>
      </c>
      <c s="60" r="BM30">
        <v>51089</v>
      </c>
      <c s="60" r="BN30">
        <v>11936146</v>
      </c>
      <c s="60" r="BO30">
        <v>8875</v>
      </c>
      <c s="60" r="BP30">
        <v>122682</v>
      </c>
      <c s="60" r="BQ30">
        <v>57261</v>
      </c>
      <c s="60" r="BR30">
        <v>1737604</v>
      </c>
      <c s="60" r="BS30">
        <v>0</v>
      </c>
      <c s="60" r="BT30">
        <v>0</v>
      </c>
      <c s="60" r="BU30">
        <v>13488</v>
      </c>
      <c s="60" r="BV30">
        <v>18494</v>
      </c>
      <c s="60" r="BW30">
        <v>12144</v>
      </c>
      <c s="60" r="BX30">
        <v>54141</v>
      </c>
      <c s="60" r="BY30">
        <v>48129</v>
      </c>
      <c s="60" r="BZ30">
        <v>2898792</v>
      </c>
      <c s="60" r="CA30">
        <v>37931</v>
      </c>
      <c s="60" r="CB30">
        <v>1296667</v>
      </c>
      <c s="60" r="CC30">
        <v>36817</v>
      </c>
      <c s="60" r="CD30">
        <v>1248542</v>
      </c>
      <c s="60" r="CE30">
        <v>1964</v>
      </c>
      <c s="60" r="CF30">
        <v>48124</v>
      </c>
      <c s="60" r="CG30">
        <v>3688</v>
      </c>
      <c s="60" r="CH30">
        <v>4856</v>
      </c>
      <c s="60" r="CI30">
        <v>0</v>
      </c>
      <c s="60" r="CJ30">
        <v>0</v>
      </c>
      <c s="60" r="CK30">
        <v>28487</v>
      </c>
      <c s="60" r="CL30">
        <v>1597269</v>
      </c>
      <c s="60" r="CM30">
        <v>58048</v>
      </c>
      <c s="60" r="CN30">
        <v>5697548</v>
      </c>
      <c s="60" r="CO30">
        <v>57660</v>
      </c>
      <c s="60" r="CP30">
        <v>4444721</v>
      </c>
      <c s="60" r="CQ30">
        <v>25311</v>
      </c>
      <c s="60" r="CR30">
        <v>1846734</v>
      </c>
      <c s="60" r="CS30">
        <v>1745</v>
      </c>
      <c s="60" r="CT30">
        <v>2147379</v>
      </c>
      <c s="60" r="CU30">
        <v>75</v>
      </c>
      <c s="60" r="CV30">
        <v>13570</v>
      </c>
      <c s="60" r="CW30">
        <v>8389</v>
      </c>
      <c s="60" r="CX30">
        <v>1542394</v>
      </c>
      <c s="60" r="CY30">
        <v>4163</v>
      </c>
      <c s="60" r="CZ30">
        <v>167461</v>
      </c>
      <c s="60" r="DA30">
        <v>23414</v>
      </c>
      <c s="60" r="DB30">
        <v>125858</v>
      </c>
      <c s="60" r="DC30">
        <v>38668</v>
      </c>
      <c s="60" r="DD30">
        <v>2201780</v>
      </c>
      <c s="60" r="DE30">
        <v>44314</v>
      </c>
      <c s="60" r="DF30">
        <v>2495100</v>
      </c>
      <c s="60" r="DG30">
        <v>12542</v>
      </c>
      <c s="60" r="DH30">
        <v>1822349</v>
      </c>
      <c s="60" r="DI30">
        <v>2020</v>
      </c>
      <c s="60" r="DJ30">
        <v>1476030</v>
      </c>
      <c s="60" r="DK30">
        <v>10492</v>
      </c>
      <c s="60" r="DL30">
        <v>181741</v>
      </c>
      <c s="60" r="DM30">
        <v>178903</v>
      </c>
      <c s="60" r="DN30">
        <v>433744</v>
      </c>
      <c s="60" r="DO30">
        <v>60202</v>
      </c>
      <c s="60" r="DP30">
        <v>154722740</v>
      </c>
      <c s="60" r="DQ30">
        <v>11611</v>
      </c>
      <c s="60" r="DR30">
        <v>796936</v>
      </c>
      <c s="60" r="DS30">
        <v>60377</v>
      </c>
      <c s="60" r="DT30">
        <v>47798346</v>
      </c>
      <c s="60" r="DU30">
        <v>45090</v>
      </c>
      <c s="60" r="DV30">
        <v>1742779</v>
      </c>
      <c s="60" r="DW30">
        <v>60209</v>
      </c>
      <c s="60" r="DX30">
        <v>46055567</v>
      </c>
      <c s="60" r="DY30">
        <v>60209</v>
      </c>
      <c s="40" r="DZ30">
        <v>46055708</v>
      </c>
    </row>
    <row customHeight="1" r="31" ht="15.0">
      <c t="s" s="43" r="A31">
        <v>96</v>
      </c>
      <c s="60" r="B31">
        <v>14079</v>
      </c>
      <c s="60" r="C31">
        <v>95881733</v>
      </c>
      <c s="60" r="D31">
        <v>14079</v>
      </c>
      <c s="60" r="E31">
        <v>96734376</v>
      </c>
      <c s="60" r="F31">
        <v>11788</v>
      </c>
      <c s="60" r="G31">
        <v>32113674</v>
      </c>
      <c s="60" r="H31">
        <v>13972</v>
      </c>
      <c s="60" r="I31">
        <v>4447427</v>
      </c>
      <c s="60" r="J31">
        <v>10772</v>
      </c>
      <c s="60" r="K31">
        <v>2241414</v>
      </c>
      <c s="60" r="L31">
        <v>13385</v>
      </c>
      <c s="60" r="M31">
        <v>6321956</v>
      </c>
      <c s="60" r="N31">
        <v>12770</v>
      </c>
      <c s="60" r="O31">
        <v>5187273</v>
      </c>
      <c s="60" r="P31">
        <v>8214</v>
      </c>
      <c s="60" r="Q31">
        <v>681344</v>
      </c>
      <c s="30" r="R31">
        <v>8</v>
      </c>
      <c s="30" r="S31">
        <v>9814</v>
      </c>
      <c s="60" r="T31">
        <v>3539</v>
      </c>
      <c s="60" r="U31">
        <v>1467169</v>
      </c>
      <c s="60" r="V31">
        <v>13356</v>
      </c>
      <c s="60" r="W31">
        <v>19646413</v>
      </c>
      <c s="60" r="X31">
        <v>6280</v>
      </c>
      <c s="60" r="Y31">
        <v>165496</v>
      </c>
      <c s="60" r="Z31">
        <v>558</v>
      </c>
      <c s="60" r="AA31">
        <v>135551</v>
      </c>
      <c s="60" r="AB31">
        <v>2174</v>
      </c>
      <c s="60" r="AC31">
        <v>196110</v>
      </c>
      <c s="60" r="AD31">
        <v>6575</v>
      </c>
      <c s="60" r="AE31">
        <v>1318431</v>
      </c>
      <c s="60" r="AF31">
        <v>2878</v>
      </c>
      <c s="60" r="AG31">
        <v>225844</v>
      </c>
      <c s="60" r="AH31">
        <v>161</v>
      </c>
      <c s="60" r="AI31">
        <v>6384</v>
      </c>
      <c s="60" r="AJ31">
        <v>12018</v>
      </c>
      <c s="60" r="AK31">
        <v>28135701</v>
      </c>
      <c s="60" r="AL31">
        <v>1581</v>
      </c>
      <c s="60" r="AM31">
        <v>1104969</v>
      </c>
      <c s="60" r="AN31">
        <v>625</v>
      </c>
      <c s="60" r="AO31">
        <v>-121487</v>
      </c>
      <c s="60" r="AP31">
        <v>73</v>
      </c>
      <c s="60" r="AQ31">
        <v>1350</v>
      </c>
      <c s="60" r="AR31">
        <v>2429</v>
      </c>
      <c s="60" r="AS31">
        <v>64670</v>
      </c>
      <c s="60" r="AT31">
        <v>271</v>
      </c>
      <c s="60" r="AU31">
        <v>22601</v>
      </c>
      <c s="60" r="AV31">
        <v>5028</v>
      </c>
      <c s="60" r="AW31">
        <v>791697</v>
      </c>
      <c s="60" r="AX31">
        <v>8940</v>
      </c>
      <c s="60" r="AY31">
        <v>852643</v>
      </c>
      <c s="60" r="AZ31">
        <v>12805159</v>
      </c>
      <c s="60" r="BA31">
        <v>14076</v>
      </c>
      <c s="60" r="BB31">
        <v>831915</v>
      </c>
      <c s="30" r="BC31">
        <v>6</v>
      </c>
      <c s="30" r="BD31">
        <v>1132</v>
      </c>
      <c s="30" r="BE31">
        <v>6</v>
      </c>
      <c s="30" r="BF31">
        <v>4338</v>
      </c>
      <c s="30" r="BG31">
        <v>6</v>
      </c>
      <c s="30" r="BH31">
        <v>3206</v>
      </c>
      <c s="60" r="BI31">
        <v>14041</v>
      </c>
      <c s="60" r="BJ31">
        <v>7053279</v>
      </c>
      <c s="60" r="BK31">
        <v>13897</v>
      </c>
      <c s="60" r="BL31">
        <v>6412133</v>
      </c>
      <c s="60" r="BM31">
        <v>12043</v>
      </c>
      <c s="60" r="BN31">
        <v>6356008</v>
      </c>
      <c s="60" r="BO31">
        <v>1854</v>
      </c>
      <c s="60" r="BP31">
        <v>56126</v>
      </c>
      <c s="60" r="BQ31">
        <v>13346</v>
      </c>
      <c s="60" r="BR31">
        <v>609378</v>
      </c>
      <c s="60" r="BS31">
        <v>0</v>
      </c>
      <c s="60" r="BT31">
        <v>0</v>
      </c>
      <c s="60" r="BU31">
        <v>3114</v>
      </c>
      <c s="60" r="BV31">
        <v>6120</v>
      </c>
      <c s="60" r="BW31">
        <v>2663</v>
      </c>
      <c s="60" r="BX31">
        <v>25648</v>
      </c>
      <c s="60" r="BY31">
        <v>11283</v>
      </c>
      <c s="60" r="BZ31">
        <v>1275849</v>
      </c>
      <c s="60" r="CA31">
        <v>7766</v>
      </c>
      <c s="60" r="CB31">
        <v>283905</v>
      </c>
      <c s="60" r="CC31">
        <v>7495</v>
      </c>
      <c s="60" r="CD31">
        <v>271373</v>
      </c>
      <c s="60" r="CE31">
        <v>400</v>
      </c>
      <c s="60" r="CF31">
        <v>12533</v>
      </c>
      <c s="60" r="CG31">
        <v>682</v>
      </c>
      <c s="60" r="CH31">
        <v>1027</v>
      </c>
      <c s="60" r="CI31">
        <v>0</v>
      </c>
      <c s="60" r="CJ31">
        <v>0</v>
      </c>
      <c s="60" r="CK31">
        <v>8116</v>
      </c>
      <c s="60" r="CL31">
        <v>990917</v>
      </c>
      <c s="60" r="CM31">
        <v>13683</v>
      </c>
      <c s="60" r="CN31">
        <v>3685240</v>
      </c>
      <c s="60" r="CO31">
        <v>13594</v>
      </c>
      <c s="60" r="CP31">
        <v>2761833</v>
      </c>
      <c s="60" r="CQ31">
        <v>5780</v>
      </c>
      <c s="60" r="CR31">
        <v>1386715</v>
      </c>
      <c s="60" r="CS31">
        <v>597</v>
      </c>
      <c s="60" r="CT31">
        <v>2612705</v>
      </c>
      <c s="60" r="CU31">
        <v>23</v>
      </c>
      <c s="60" r="CV31">
        <v>2267</v>
      </c>
      <c s="60" r="CW31">
        <v>2210</v>
      </c>
      <c s="60" r="CX31">
        <v>875795</v>
      </c>
      <c s="60" r="CY31">
        <v>983</v>
      </c>
      <c s="60" r="CZ31">
        <v>100599</v>
      </c>
      <c s="60" r="DA31">
        <v>5410</v>
      </c>
      <c s="60" r="DB31">
        <v>48666</v>
      </c>
      <c s="60" r="DC31">
        <v>10251</v>
      </c>
      <c s="60" r="DD31">
        <v>1282459</v>
      </c>
      <c s="60" r="DE31">
        <v>11233</v>
      </c>
      <c s="60" r="DF31">
        <v>1431724</v>
      </c>
      <c s="60" r="DG31">
        <v>3848</v>
      </c>
      <c s="60" r="DH31">
        <v>743512</v>
      </c>
      <c s="60" r="DI31">
        <v>432</v>
      </c>
      <c s="60" r="DJ31">
        <v>615801</v>
      </c>
      <c s="60" r="DK31">
        <v>3398</v>
      </c>
      <c s="60" r="DL31">
        <v>67186</v>
      </c>
      <c s="60" r="DM31">
        <v>41294</v>
      </c>
      <c s="60" r="DN31">
        <v>100018</v>
      </c>
      <c s="60" r="DO31">
        <v>14004</v>
      </c>
      <c s="60" r="DP31">
        <v>83198269</v>
      </c>
      <c s="60" r="DQ31">
        <v>2849</v>
      </c>
      <c s="60" r="DR31">
        <v>423159</v>
      </c>
      <c s="60" r="DS31">
        <v>14054</v>
      </c>
      <c s="60" r="DT31">
        <v>25235088</v>
      </c>
      <c s="60" r="DU31">
        <v>11114</v>
      </c>
      <c s="60" r="DV31">
        <v>976756</v>
      </c>
      <c s="60" r="DW31">
        <v>14010</v>
      </c>
      <c s="60" r="DX31">
        <v>24258332</v>
      </c>
      <c s="60" r="DY31">
        <v>14010</v>
      </c>
      <c s="40" r="DZ31">
        <v>24258332</v>
      </c>
    </row>
    <row customHeight="1" r="32" ht="15.0">
      <c t="s" s="43" r="A32">
        <v>97</v>
      </c>
      <c s="60" r="B32">
        <v>8148</v>
      </c>
      <c s="60" r="C32">
        <v>236807310</v>
      </c>
      <c s="60" r="D32">
        <v>8148</v>
      </c>
      <c s="60" r="E32">
        <v>238304189</v>
      </c>
      <c s="60" r="F32">
        <v>6703</v>
      </c>
      <c s="60" r="G32">
        <v>45454751</v>
      </c>
      <c s="60" r="H32">
        <v>8128</v>
      </c>
      <c s="60" r="I32">
        <v>14518922</v>
      </c>
      <c s="60" r="J32">
        <v>6831</v>
      </c>
      <c s="60" r="K32">
        <v>3857017</v>
      </c>
      <c s="60" r="L32">
        <v>7908</v>
      </c>
      <c s="60" r="M32">
        <v>22313300</v>
      </c>
      <c s="60" r="N32">
        <v>7607</v>
      </c>
      <c s="60" r="O32">
        <v>19064611</v>
      </c>
      <c s="60" r="P32">
        <v>4956</v>
      </c>
      <c s="60" r="Q32">
        <v>1402980</v>
      </c>
      <c s="30" r="R32">
        <v>7</v>
      </c>
      <c s="30" r="S32">
        <v>40142</v>
      </c>
      <c s="60" r="T32">
        <v>2209</v>
      </c>
      <c s="60" r="U32">
        <v>2440760</v>
      </c>
      <c s="60" r="V32">
        <v>7921</v>
      </c>
      <c s="60" r="W32">
        <v>80093029</v>
      </c>
      <c s="60" r="X32">
        <v>4472</v>
      </c>
      <c s="60" r="Y32">
        <v>2531369</v>
      </c>
      <c s="60" r="Z32">
        <v>363</v>
      </c>
      <c s="60" r="AA32">
        <v>199958</v>
      </c>
      <c s="60" r="AB32">
        <v>1347</v>
      </c>
      <c s="60" r="AC32">
        <v>181750</v>
      </c>
      <c s="60" r="AD32">
        <v>4563</v>
      </c>
      <c s="60" r="AE32">
        <v>2291018</v>
      </c>
      <c s="60" r="AF32">
        <v>1886</v>
      </c>
      <c s="60" r="AG32">
        <v>333421</v>
      </c>
      <c s="60" r="AH32">
        <v>96</v>
      </c>
      <c s="60" r="AI32">
        <v>2111</v>
      </c>
      <c s="60" r="AJ32">
        <v>7381</v>
      </c>
      <c s="60" r="AK32">
        <v>61037412</v>
      </c>
      <c s="60" r="AL32">
        <v>1322</v>
      </c>
      <c s="60" r="AM32">
        <v>3990792</v>
      </c>
      <c s="60" r="AN32">
        <v>371</v>
      </c>
      <c s="60" r="AO32">
        <v>-125444</v>
      </c>
      <c s="60" r="AP32">
        <v>17</v>
      </c>
      <c s="60" r="AQ32">
        <v>219</v>
      </c>
      <c s="60" r="AR32">
        <v>1412</v>
      </c>
      <c s="60" r="AS32">
        <v>39775</v>
      </c>
      <c s="60" r="AT32">
        <v>137</v>
      </c>
      <c s="60" r="AU32">
        <v>12192</v>
      </c>
      <c s="60" r="AV32">
        <v>3490</v>
      </c>
      <c s="60" r="AW32">
        <v>2002665</v>
      </c>
      <c s="60" r="AX32">
        <v>5547</v>
      </c>
      <c s="60" r="AY32">
        <v>1496879</v>
      </c>
      <c s="60" r="AZ32">
        <v>35119750</v>
      </c>
      <c s="60" r="BA32">
        <v>8145</v>
      </c>
      <c s="60" r="BB32">
        <v>2045943</v>
      </c>
      <c s="60" r="BC32">
        <v>0</v>
      </c>
      <c s="60" r="BD32">
        <v>0</v>
      </c>
      <c s="60" r="BE32">
        <v>0</v>
      </c>
      <c s="60" r="BF32">
        <v>0</v>
      </c>
      <c s="60" r="BG32">
        <v>0</v>
      </c>
      <c s="60" r="BH32">
        <v>0</v>
      </c>
      <c s="60" r="BI32">
        <v>8117</v>
      </c>
      <c s="60" r="BJ32">
        <v>16235889</v>
      </c>
      <c s="60" r="BK32">
        <v>8057</v>
      </c>
      <c s="60" r="BL32">
        <v>15519607</v>
      </c>
      <c s="60" r="BM32">
        <v>7024</v>
      </c>
      <c s="60" r="BN32">
        <v>15402081</v>
      </c>
      <c s="60" r="BO32">
        <v>1033</v>
      </c>
      <c s="60" r="BP32">
        <v>117526</v>
      </c>
      <c s="60" r="BQ32">
        <v>7746</v>
      </c>
      <c s="60" r="BR32">
        <v>661672</v>
      </c>
      <c s="60" r="BS32">
        <v>0</v>
      </c>
      <c s="60" r="BT32">
        <v>0</v>
      </c>
      <c s="60" r="BU32">
        <v>1992</v>
      </c>
      <c s="60" r="BV32">
        <v>8490</v>
      </c>
      <c s="60" r="BW32">
        <v>1542</v>
      </c>
      <c s="60" r="BX32">
        <v>46121</v>
      </c>
      <c s="60" r="BY32">
        <v>6790</v>
      </c>
      <c s="60" r="BZ32">
        <v>4057246</v>
      </c>
      <c s="60" r="CA32">
        <v>3916</v>
      </c>
      <c s="60" r="CB32">
        <v>143924</v>
      </c>
      <c s="60" r="CC32">
        <v>3757</v>
      </c>
      <c s="60" r="CD32">
        <v>136703</v>
      </c>
      <c s="60" r="CE32">
        <v>239</v>
      </c>
      <c s="60" r="CF32">
        <v>7221</v>
      </c>
      <c s="60" r="CG32">
        <v>259</v>
      </c>
      <c s="60" r="CH32">
        <v>555</v>
      </c>
      <c s="18" r="CI32">
        <v>0</v>
      </c>
      <c s="18" r="CJ32">
        <v>0</v>
      </c>
      <c s="60" r="CK32">
        <v>5594</v>
      </c>
      <c s="60" r="CL32">
        <v>3912638</v>
      </c>
      <c s="60" r="CM32">
        <v>7963</v>
      </c>
      <c s="60" r="CN32">
        <v>13896715</v>
      </c>
      <c s="60" r="CO32">
        <v>7946</v>
      </c>
      <c s="60" r="CP32">
        <v>9638803</v>
      </c>
      <c s="60" r="CQ32">
        <v>3642</v>
      </c>
      <c s="60" r="CR32">
        <v>5770178</v>
      </c>
      <c s="60" r="CS32">
        <v>514</v>
      </c>
      <c s="60" r="CT32">
        <v>4310760</v>
      </c>
      <c s="60" r="CU32">
        <v>14</v>
      </c>
      <c s="60" r="CV32">
        <v>13500</v>
      </c>
      <c s="60" r="CW32">
        <v>1379</v>
      </c>
      <c s="60" r="CX32">
        <v>1863573</v>
      </c>
      <c s="60" r="CY32">
        <v>441</v>
      </c>
      <c s="60" r="CZ32">
        <v>106086</v>
      </c>
      <c s="60" r="DA32">
        <v>3160</v>
      </c>
      <c s="60" r="DB32">
        <v>62354</v>
      </c>
      <c s="60" r="DC32">
        <v>6748</v>
      </c>
      <c s="60" r="DD32">
        <v>3120801</v>
      </c>
      <c s="60" r="DE32">
        <v>7060</v>
      </c>
      <c s="60" r="DF32">
        <v>3289241</v>
      </c>
      <c s="60" r="DG32">
        <v>3071</v>
      </c>
      <c s="60" r="DH32">
        <v>1098771</v>
      </c>
      <c s="60" r="DI32">
        <v>220</v>
      </c>
      <c s="60" r="DJ32">
        <v>773468</v>
      </c>
      <c s="60" r="DK32">
        <v>2883</v>
      </c>
      <c s="60" r="DL32">
        <v>161196</v>
      </c>
      <c s="60" r="DM32">
        <v>23822</v>
      </c>
      <c s="60" r="DN32">
        <v>57699</v>
      </c>
      <c s="60" r="DO32">
        <v>8099</v>
      </c>
      <c s="60" r="DP32">
        <v>202229274</v>
      </c>
      <c s="60" r="DQ32">
        <v>1872</v>
      </c>
      <c s="60" r="DR32">
        <v>943203</v>
      </c>
      <c s="60" r="DS32">
        <v>8130</v>
      </c>
      <c s="60" r="DT32">
        <v>55884490</v>
      </c>
      <c s="60" r="DU32">
        <v>6847</v>
      </c>
      <c s="60" r="DV32">
        <v>2848970</v>
      </c>
      <c s="60" r="DW32">
        <v>8094</v>
      </c>
      <c s="60" r="DX32">
        <v>53035521</v>
      </c>
      <c s="60" r="DY32">
        <v>8094</v>
      </c>
      <c s="40" r="DZ32">
        <v>53035772</v>
      </c>
    </row>
    <row customHeight="1" r="33" ht="15.0">
      <c t="s" s="24" r="A33">
        <v>98</v>
      </c>
      <c s="44" r="B33">
        <v>36967537</v>
      </c>
      <c s="44" r="C33">
        <v>4786897747</v>
      </c>
      <c s="44" r="D33">
        <v>36967537</v>
      </c>
      <c s="44" r="E33">
        <v>4855744847</v>
      </c>
      <c s="44" r="F33">
        <v>32736324</v>
      </c>
      <c s="44" r="G33">
        <v>3331092263</v>
      </c>
      <c s="44" r="H33">
        <v>24865657</v>
      </c>
      <c s="44" r="I33">
        <v>99108780</v>
      </c>
      <c s="44" r="J33">
        <v>3561639</v>
      </c>
      <c s="44" r="K33">
        <v>52928332</v>
      </c>
      <c s="44" r="L33">
        <v>14138770</v>
      </c>
      <c s="44" r="M33">
        <v>118381028</v>
      </c>
      <c s="44" r="N33">
        <v>12509227</v>
      </c>
      <c s="44" r="O33">
        <v>92731911</v>
      </c>
      <c s="44" r="P33">
        <v>17911432</v>
      </c>
      <c s="44" r="Q33">
        <v>24916048</v>
      </c>
      <c s="44" r="R33">
        <v>178176</v>
      </c>
      <c s="44" r="S33">
        <v>5526627</v>
      </c>
      <c s="44" r="T33">
        <v>6687172</v>
      </c>
      <c s="44" r="U33">
        <v>151241185</v>
      </c>
      <c s="44" r="V33">
        <v>10136997</v>
      </c>
      <c s="44" r="W33">
        <v>199520432</v>
      </c>
      <c s="44" r="X33">
        <v>847465</v>
      </c>
      <c s="44" r="Y33">
        <v>1121305</v>
      </c>
      <c s="44" r="Z33">
        <v>3603851</v>
      </c>
      <c s="44" r="AA33">
        <v>76537196</v>
      </c>
      <c s="44" r="AB33">
        <v>9203320</v>
      </c>
      <c s="44" r="AC33">
        <v>256423815</v>
      </c>
      <c s="44" r="AD33">
        <v>2770015</v>
      </c>
      <c s="44" r="AE33">
        <v>54378438</v>
      </c>
      <c s="44" r="AF33">
        <v>2686475</v>
      </c>
      <c s="44" r="AG33">
        <v>30146678</v>
      </c>
      <c s="44" r="AH33">
        <v>205802</v>
      </c>
      <c s="44" r="AI33">
        <v>2126959</v>
      </c>
      <c s="44" r="AJ33">
        <v>4443865</v>
      </c>
      <c s="44" r="AK33">
        <v>410619438</v>
      </c>
      <c s="44" r="AL33">
        <v>366173</v>
      </c>
      <c s="44" r="AM33">
        <v>16066870</v>
      </c>
      <c s="44" r="AN33">
        <v>558973</v>
      </c>
      <c s="44" r="AO33">
        <v>-4242987</v>
      </c>
      <c s="44" r="AP33">
        <v>2621052</v>
      </c>
      <c s="44" r="AQ33">
        <v>21296927</v>
      </c>
      <c s="44" r="AR33">
        <v>6186343</v>
      </c>
      <c s="44" r="AS33">
        <v>92962922</v>
      </c>
      <c s="44" r="AT33">
        <v>65780</v>
      </c>
      <c s="44" r="AU33">
        <v>4503567</v>
      </c>
      <c s="44" r="AV33">
        <v>2760762</v>
      </c>
      <c s="44" r="AW33">
        <v>19367235</v>
      </c>
      <c s="44" r="AX33">
        <v>12291906</v>
      </c>
      <c s="44" r="AY33">
        <v>68847100</v>
      </c>
      <c s="44" r="AZ33">
        <v>996394343</v>
      </c>
      <c s="44" r="BA33">
        <v>5679496</v>
      </c>
      <c s="44" r="BB33">
        <v>12448342</v>
      </c>
      <c s="44" r="BC33">
        <v>6120778</v>
      </c>
      <c s="44" r="BD33">
        <v>39065886</v>
      </c>
      <c s="44" r="BE33">
        <v>6120778</v>
      </c>
      <c s="44" r="BF33">
        <v>70654253</v>
      </c>
      <c s="44" r="BG33">
        <v>6120778</v>
      </c>
      <c s="44" r="BH33">
        <v>31588368</v>
      </c>
      <c s="44" r="BI33">
        <v>36851514</v>
      </c>
      <c s="44" r="BJ33">
        <v>389232376</v>
      </c>
      <c s="44" r="BK33">
        <v>35985485</v>
      </c>
      <c s="44" r="BL33">
        <v>237591235</v>
      </c>
      <c s="44" r="BM33">
        <v>28950475</v>
      </c>
      <c s="44" r="BN33">
        <v>224945511</v>
      </c>
      <c s="44" r="BO33">
        <v>7035010</v>
      </c>
      <c s="44" r="BP33">
        <v>12645724</v>
      </c>
      <c s="44" r="BQ33">
        <v>32782726</v>
      </c>
      <c s="44" r="BR33">
        <v>141048319</v>
      </c>
      <c s="44" r="BS33">
        <v>1980376</v>
      </c>
      <c s="44" r="BT33">
        <v>3052713</v>
      </c>
      <c s="44" r="BU33">
        <v>13340135</v>
      </c>
      <c s="44" r="BV33">
        <v>5025766</v>
      </c>
      <c s="44" r="BW33">
        <v>4541891</v>
      </c>
      <c s="44" r="BX33">
        <v>2514342</v>
      </c>
      <c s="44" r="BY33">
        <v>30321723</v>
      </c>
      <c s="44" r="BZ33">
        <v>361150563</v>
      </c>
      <c s="44" r="CA33">
        <v>29949907</v>
      </c>
      <c s="44" r="CB33">
        <v>344184541</v>
      </c>
      <c s="44" r="CC33">
        <v>29613431</v>
      </c>
      <c s="44" r="CD33">
        <v>339144550</v>
      </c>
      <c s="44" r="CE33">
        <v>874443</v>
      </c>
      <c s="44" r="CF33">
        <v>5039991</v>
      </c>
      <c s="44" r="CG33">
        <v>2411145</v>
      </c>
      <c s="44" r="CH33">
        <v>1362297</v>
      </c>
      <c s="44" r="CI33">
        <v>2569323</v>
      </c>
      <c s="44" r="CJ33">
        <v>3578578</v>
      </c>
      <c s="44" r="CK33">
        <v>1322197</v>
      </c>
      <c s="44" r="CL33">
        <v>12025146</v>
      </c>
      <c s="44" r="CM33">
        <v>31107941</v>
      </c>
      <c s="44" r="CN33">
        <v>140546117</v>
      </c>
      <c s="44" r="CO33">
        <v>28747605</v>
      </c>
      <c s="44" r="CP33">
        <v>114330133</v>
      </c>
      <c s="44" r="CQ33">
        <v>18722936</v>
      </c>
      <c s="44" r="CR33">
        <v>28694030</v>
      </c>
      <c s="44" r="CS33">
        <v>288412</v>
      </c>
      <c s="44" r="CT33">
        <v>21251058</v>
      </c>
      <c s="44" r="CU33">
        <v>87353</v>
      </c>
      <c s="44" r="CV33">
        <v>988864</v>
      </c>
      <c s="44" r="CW33">
        <v>8999215</v>
      </c>
      <c s="44" r="CX33">
        <v>62621407</v>
      </c>
      <c s="44" r="CY33">
        <v>12558554</v>
      </c>
      <c s="44" r="CZ33">
        <v>61380369</v>
      </c>
      <c s="44" r="DA33">
        <v>18298334</v>
      </c>
      <c s="44" r="DB33">
        <v>5489189</v>
      </c>
      <c s="44" r="DC33">
        <v>6204622</v>
      </c>
      <c s="44" r="DD33">
        <v>24954741</v>
      </c>
      <c s="44" r="DE33">
        <v>23421603</v>
      </c>
      <c s="44" r="DF33">
        <v>91824298</v>
      </c>
      <c s="44" r="DG33">
        <v>1140140</v>
      </c>
      <c s="44" r="DH33">
        <v>15237472</v>
      </c>
      <c s="44" r="DI33">
        <v>748561</v>
      </c>
      <c s="44" r="DJ33">
        <v>12736360</v>
      </c>
      <c s="44" r="DK33">
        <v>397727</v>
      </c>
      <c s="44" r="DL33">
        <v>1948102</v>
      </c>
      <c s="44" r="DM33">
        <v>85659982</v>
      </c>
      <c s="44" r="DN33">
        <v>305957168</v>
      </c>
      <c s="44" r="DO33">
        <v>36948263</v>
      </c>
      <c s="44" r="DP33">
        <v>3487142908</v>
      </c>
      <c s="44" r="DQ33">
        <v>3675567</v>
      </c>
      <c s="44" r="DR33">
        <v>22196323</v>
      </c>
      <c s="44" r="DS33">
        <v>36967537</v>
      </c>
      <c s="44" r="DT33">
        <v>747084348</v>
      </c>
      <c s="44" r="DU33">
        <v>30659846</v>
      </c>
      <c s="44" r="DV33">
        <v>50174340</v>
      </c>
      <c s="44" r="DW33">
        <v>36967537</v>
      </c>
      <c s="44" r="DX33">
        <v>696910008</v>
      </c>
      <c s="44" r="DY33">
        <v>36967537</v>
      </c>
      <c s="31" r="DZ33">
        <v>696910431</v>
      </c>
    </row>
    <row customHeight="1" r="34" ht="15.0">
      <c t="s" s="24" r="A34">
        <v>99</v>
      </c>
      <c s="44" r="B34">
        <v>8728198</v>
      </c>
      <c s="44" r="C34">
        <v>311416643</v>
      </c>
      <c s="44" r="D34">
        <v>8728198</v>
      </c>
      <c s="44" r="E34">
        <v>320933685</v>
      </c>
      <c s="44" r="F34">
        <v>6072256</v>
      </c>
      <c s="44" r="G34">
        <v>229480007</v>
      </c>
      <c s="44" r="H34">
        <v>4675042</v>
      </c>
      <c s="44" r="I34">
        <v>12416260</v>
      </c>
      <c s="44" r="J34">
        <v>617411</v>
      </c>
      <c s="44" r="K34">
        <v>8691815</v>
      </c>
      <c s="44" r="L34">
        <v>2402611</v>
      </c>
      <c s="44" r="M34">
        <v>15271654</v>
      </c>
      <c s="44" r="N34">
        <v>2114560</v>
      </c>
      <c s="44" r="O34">
        <v>10989120</v>
      </c>
      <c s="44" r="P34">
        <v>2521876</v>
      </c>
      <c s="44" r="Q34">
        <v>2782361</v>
      </c>
      <c s="44" r="R34">
        <v>55652</v>
      </c>
      <c s="44" r="S34">
        <v>881729</v>
      </c>
      <c s="44" r="T34">
        <v>2486669</v>
      </c>
      <c s="44" r="U34">
        <v>20263478</v>
      </c>
      <c s="44" r="V34">
        <v>2028931</v>
      </c>
      <c s="44" r="W34">
        <v>6556213</v>
      </c>
      <c s="44" r="X34">
        <v>244466</v>
      </c>
      <c s="44" r="Y34">
        <v>-2582897</v>
      </c>
      <c s="44" r="Z34">
        <v>902185</v>
      </c>
      <c s="44" r="AA34">
        <v>9507471</v>
      </c>
      <c s="44" r="AB34">
        <v>1858103</v>
      </c>
      <c s="44" r="AC34">
        <v>21604249</v>
      </c>
      <c s="44" r="AD34">
        <v>702071</v>
      </c>
      <c s="44" r="AE34">
        <v>7915974</v>
      </c>
      <c s="44" r="AF34">
        <v>884490</v>
      </c>
      <c s="44" r="AG34">
        <v>12621269</v>
      </c>
      <c s="44" r="AH34">
        <v>38762</v>
      </c>
      <c s="44" r="AI34">
        <v>107723</v>
      </c>
      <c s="44" r="AJ34">
        <v>982594</v>
      </c>
      <c s="44" r="AK34">
        <v>-3856340</v>
      </c>
      <c s="44" r="AL34">
        <v>69743</v>
      </c>
      <c s="44" r="AM34">
        <v>363931</v>
      </c>
      <c s="44" r="AN34">
        <v>163303</v>
      </c>
      <c s="44" r="AO34">
        <v>-2240099</v>
      </c>
      <c s="44" r="AP34">
        <v>854213</v>
      </c>
      <c s="44" r="AQ34">
        <v>7065909</v>
      </c>
      <c s="44" r="AR34">
        <v>1077025</v>
      </c>
      <c s="44" r="AS34">
        <v>6912278</v>
      </c>
      <c s="44" r="AT34">
        <v>24098</v>
      </c>
      <c s="44" r="AU34">
        <v>1740275</v>
      </c>
      <c s="44" r="AV34">
        <v>582275</v>
      </c>
      <c s="44" r="AW34">
        <v>1854538</v>
      </c>
      <c s="44" r="AX34">
        <v>2961498</v>
      </c>
      <c s="44" r="AY34">
        <v>9517042</v>
      </c>
      <c s="44" r="AZ34">
        <v>207413933</v>
      </c>
      <c s="44" r="BA34">
        <v>26308</v>
      </c>
      <c s="44" r="BB34">
        <v>55902</v>
      </c>
      <c s="44" r="BC34">
        <v>3969519</v>
      </c>
      <c s="44" r="BD34">
        <v>40799911</v>
      </c>
      <c s="44" r="BE34">
        <v>3969519</v>
      </c>
      <c s="44" r="BF34">
        <v>49137704</v>
      </c>
      <c s="44" r="BG34">
        <v>3966515</v>
      </c>
      <c s="44" r="BH34">
        <v>8337793</v>
      </c>
      <c s="44" r="BI34">
        <v>8572246</v>
      </c>
      <c s="44" r="BJ34">
        <v>42799762</v>
      </c>
      <c s="44" r="BK34">
        <v>8031175</v>
      </c>
      <c s="44" r="BL34">
        <v>14067090</v>
      </c>
      <c s="44" r="BM34">
        <v>4804454</v>
      </c>
      <c s="44" r="BN34">
        <v>11150063</v>
      </c>
      <c s="44" r="BO34">
        <v>3226721</v>
      </c>
      <c s="44" r="BP34">
        <v>2917028</v>
      </c>
      <c s="44" r="BQ34">
        <v>7205172</v>
      </c>
      <c s="44" r="BR34">
        <v>26730857</v>
      </c>
      <c s="44" r="BS34">
        <v>253765</v>
      </c>
      <c s="44" r="BT34">
        <v>396697</v>
      </c>
      <c s="44" r="BU34">
        <v>2779692</v>
      </c>
      <c s="44" r="BV34">
        <v>1037009</v>
      </c>
      <c s="44" r="BW34">
        <v>893340</v>
      </c>
      <c s="44" r="BX34">
        <v>568108</v>
      </c>
      <c s="44" r="BY34">
        <v>6682342</v>
      </c>
      <c s="44" r="BZ34">
        <v>80900896</v>
      </c>
      <c s="44" r="CA34">
        <v>6591912</v>
      </c>
      <c s="44" r="CB34">
        <v>76628170</v>
      </c>
      <c s="44" r="CC34">
        <v>6496650</v>
      </c>
      <c s="44" r="CD34">
        <v>75309498</v>
      </c>
      <c s="44" r="CE34">
        <v>195805</v>
      </c>
      <c s="44" r="CF34">
        <v>1318672</v>
      </c>
      <c s="44" r="CG34">
        <v>401196</v>
      </c>
      <c s="44" r="CH34">
        <v>322229</v>
      </c>
      <c s="44" r="CI34">
        <v>1027652</v>
      </c>
      <c s="44" r="CJ34">
        <v>1888827</v>
      </c>
      <c s="44" r="CK34">
        <v>256561</v>
      </c>
      <c s="44" r="CL34">
        <v>2061670</v>
      </c>
      <c s="44" r="CM34">
        <v>6135361</v>
      </c>
      <c s="44" r="CN34">
        <v>17470409</v>
      </c>
      <c s="44" r="CO34">
        <v>5563831</v>
      </c>
      <c s="44" r="CP34">
        <v>15616169</v>
      </c>
      <c s="44" r="CQ34">
        <v>3144504</v>
      </c>
      <c s="44" r="CR34">
        <v>3122020</v>
      </c>
      <c s="44" r="CS34">
        <v>268903</v>
      </c>
      <c s="44" r="CT34">
        <v>6532660</v>
      </c>
      <c s="44" r="CU34">
        <v>46884</v>
      </c>
      <c s="44" r="CV34">
        <v>1341268</v>
      </c>
      <c s="44" r="CW34">
        <v>2868668</v>
      </c>
      <c s="44" r="CX34">
        <v>18281099</v>
      </c>
      <c s="44" r="CY34">
        <v>2383715</v>
      </c>
      <c s="44" r="CZ34">
        <v>14226850</v>
      </c>
      <c s="44" r="DA34">
        <v>3783789</v>
      </c>
      <c s="44" r="DB34">
        <v>1156911</v>
      </c>
      <c s="44" r="DC34">
        <v>1382320</v>
      </c>
      <c s="44" r="DD34">
        <v>5604930</v>
      </c>
      <c s="44" r="DE34">
        <v>4951284</v>
      </c>
      <c s="44" r="DF34">
        <v>20988691</v>
      </c>
      <c s="44" r="DG34">
        <v>271069</v>
      </c>
      <c s="44" r="DH34">
        <v>5876491</v>
      </c>
      <c s="44" r="DI34">
        <v>128003</v>
      </c>
      <c s="44" r="DJ34">
        <v>2609115</v>
      </c>
      <c s="44" r="DK34">
        <v>138451</v>
      </c>
      <c s="44" r="DL34">
        <v>1352651</v>
      </c>
      <c s="44" r="DM34">
        <v>23393595</v>
      </c>
      <c s="44" r="DN34">
        <v>85240451</v>
      </c>
      <c s="44" r="DO34">
        <v>4669662</v>
      </c>
      <c s="44" r="DP34">
        <v>74420946</v>
      </c>
      <c s="44" r="DQ34">
        <v>23696</v>
      </c>
      <c s="44" r="DR34">
        <v>62437</v>
      </c>
      <c s="44" r="DS34">
        <v>4388491</v>
      </c>
      <c s="44" r="DT34">
        <v>8710528</v>
      </c>
      <c s="44" r="DU34">
        <v>4388491</v>
      </c>
      <c s="44" r="DV34">
        <v>8710528</v>
      </c>
      <c s="44" r="DW34">
        <v>0</v>
      </c>
      <c s="44" r="DX34">
        <v>0</v>
      </c>
      <c s="44" r="DY34">
        <v>0</v>
      </c>
      <c s="31" r="DZ34">
        <v>0</v>
      </c>
    </row>
    <row r="35">
      <c t="s" s="56" r="A35">
        <v>100</v>
      </c>
      <c s="56" r="B35"/>
      <c s="56" r="C35"/>
      <c s="56" r="D35"/>
      <c s="56" r="E35"/>
      <c s="56" r="F35"/>
      <c s="56" r="G35"/>
      <c s="56" r="H35"/>
      <c s="56" r="I35"/>
      <c s="56" r="J35"/>
      <c s="56" r="K35"/>
      <c s="56" r="L35"/>
      <c s="56" r="M35"/>
      <c s="56" r="N35"/>
      <c s="56" r="O35"/>
      <c s="56" r="P35"/>
      <c s="56" r="Q35"/>
      <c s="56" r="R35"/>
      <c s="56" r="S35"/>
      <c s="56" r="T35"/>
      <c s="56" r="U35"/>
      <c s="56" r="V35"/>
      <c s="56" r="W35"/>
      <c s="56" r="X35"/>
      <c s="56" r="Y35"/>
      <c s="56" r="Z35"/>
      <c s="56" r="AA35"/>
      <c s="56" r="AB35"/>
      <c s="56" r="AC35"/>
      <c s="56" r="AD35"/>
      <c s="56" r="AE35"/>
      <c s="56" r="AF35"/>
      <c s="56" r="AG35"/>
      <c s="56" r="AH35"/>
      <c s="56" r="AI35"/>
      <c s="56" r="AJ35"/>
      <c s="56" r="AK35"/>
      <c s="56" r="AL35"/>
      <c s="56" r="AM35"/>
      <c s="56" r="AN35"/>
      <c s="56" r="AO35"/>
      <c s="56" r="AP35"/>
      <c s="56" r="AQ35"/>
      <c s="56" r="AR35"/>
      <c s="56" r="AS35"/>
      <c s="56" r="AT35"/>
      <c s="56" r="AU35"/>
      <c s="56" r="AV35"/>
      <c s="56" r="AW35"/>
      <c s="56" r="AX35"/>
      <c s="56" r="AY35"/>
      <c s="56" r="AZ35"/>
      <c s="56" r="BA35"/>
      <c s="56" r="BB35"/>
      <c s="56" r="BC35"/>
      <c s="56" r="BD35"/>
      <c s="56" r="BE35"/>
      <c s="56" r="BF35"/>
      <c s="56" r="BG35"/>
      <c s="56" r="BH35"/>
      <c s="56" r="BI35"/>
      <c s="56" r="BJ35"/>
      <c s="56" r="BK35"/>
      <c s="56" r="BL35"/>
      <c s="56" r="BM35"/>
      <c s="56" r="BN35"/>
      <c s="56" r="BO35"/>
      <c s="56" r="BP35"/>
      <c s="56" r="BQ35"/>
      <c s="56" r="BR35"/>
      <c s="56" r="BS35"/>
      <c s="56" r="BT35"/>
      <c s="56" r="BU35"/>
      <c s="56" r="BV35"/>
      <c s="56" r="BW35"/>
      <c s="56" r="BX35"/>
      <c s="56" r="BY35"/>
      <c s="56" r="BZ35"/>
      <c s="56" r="CA35"/>
      <c s="56" r="CB35"/>
      <c s="56" r="CC35"/>
      <c s="56" r="CD35"/>
      <c s="56" r="CE35"/>
      <c s="56" r="CF35"/>
      <c s="56" r="CG35"/>
      <c s="56" r="CH35"/>
      <c s="56" r="CI35"/>
      <c s="56" r="CJ35"/>
      <c s="56" r="CK35"/>
      <c s="56" r="CL35"/>
      <c s="56" r="CM35"/>
      <c s="56" r="CN35"/>
      <c s="56" r="CO35"/>
      <c s="56" r="CP35"/>
      <c s="56" r="CQ35"/>
      <c s="56" r="CR35"/>
      <c s="56" r="CS35"/>
      <c s="56" r="CT35"/>
      <c s="56" r="CU35"/>
      <c s="56" r="CV35"/>
      <c s="56" r="CW35"/>
      <c s="56" r="CX35"/>
      <c s="56" r="CY35"/>
      <c s="56" r="CZ35"/>
      <c s="56" r="DA35"/>
      <c s="56" r="DB35"/>
      <c s="56" r="DC35"/>
      <c s="56" r="DD35"/>
      <c s="56" r="DE35"/>
      <c s="56" r="DF35"/>
      <c s="56" r="DG35"/>
      <c s="56" r="DH35"/>
      <c s="56" r="DI35"/>
      <c s="56" r="DJ35"/>
      <c s="56" r="DK35"/>
      <c s="56" r="DL35"/>
      <c s="56" r="DM35"/>
      <c s="56" r="DN35"/>
      <c s="56" r="DO35"/>
      <c s="56" r="DP35"/>
      <c s="56" r="DQ35"/>
      <c s="56" r="DR35"/>
      <c s="56" r="DS35"/>
      <c s="56" r="DT35"/>
      <c s="56" r="DU35"/>
      <c s="56" r="DV35"/>
      <c s="56" r="DW35"/>
      <c s="56" r="DX35"/>
      <c s="56" r="DY35"/>
      <c s="56" r="DZ35"/>
    </row>
    <row r="36">
      <c t="s" s="29" r="A36">
        <v>101</v>
      </c>
    </row>
    <row r="37">
      <c t="s" s="63" r="A37">
        <v>102</v>
      </c>
      <c s="63" r="B37"/>
    </row>
    <row r="38">
      <c t="s" s="29" r="A38">
        <v>103</v>
      </c>
    </row>
    <row r="39">
      <c t="s" s="29" r="A39">
        <v>104</v>
      </c>
    </row>
    <row r="40">
      <c s="3" r="C40">
        <f>SUM(F42:AB42)</f>
        <v>223471.57233664</v>
      </c>
      <c t="s" s="39" r="H40">
        <v>105</v>
      </c>
    </row>
    <row r="41">
      <c t="s" s="39" r="C41">
        <v>106</v>
      </c>
      <c t="s" s="39" r="D41">
        <v>107</v>
      </c>
      <c t="s" s="39" r="E41">
        <v>108</v>
      </c>
      <c t="s" s="39" r="F41">
        <v>109</v>
      </c>
      <c t="s" s="39" r="G41">
        <v>110</v>
      </c>
      <c t="s" s="39" r="H41">
        <v>111</v>
      </c>
      <c t="s" s="39" r="I41">
        <v>112</v>
      </c>
      <c t="s" s="39" r="J41">
        <v>113</v>
      </c>
      <c t="s" s="67" r="K41">
        <v>114</v>
      </c>
      <c t="s" s="67" r="L41">
        <v>115</v>
      </c>
      <c t="s" s="67" r="M41">
        <v>116</v>
      </c>
      <c t="s" s="67" r="N41">
        <v>117</v>
      </c>
      <c t="s" s="39" r="O41">
        <v>118</v>
      </c>
      <c t="s" s="67" r="P41">
        <v>119</v>
      </c>
      <c t="s" s="67" r="Q41">
        <v>120</v>
      </c>
      <c t="s" s="67" r="R41">
        <v>121</v>
      </c>
      <c t="s" s="67" r="S41">
        <v>122</v>
      </c>
      <c t="s" s="67" r="T41">
        <v>123</v>
      </c>
      <c t="s" s="67" r="U41">
        <v>124</v>
      </c>
      <c t="s" s="67" r="V41">
        <v>125</v>
      </c>
      <c t="s" s="67" r="W41">
        <v>126</v>
      </c>
      <c t="s" s="67" r="X41">
        <v>127</v>
      </c>
      <c t="s" s="67" r="Y41">
        <v>128</v>
      </c>
      <c t="s" s="67" r="Z41">
        <v>129</v>
      </c>
      <c t="s" s="67" r="AA41">
        <v>130</v>
      </c>
      <c t="s" s="67" r="AB41">
        <v>131</v>
      </c>
      <c t="s" s="67" r="AC41">
        <v>132</v>
      </c>
      <c t="s" s="67" r="AD41">
        <v>31</v>
      </c>
      <c t="s" s="67" r="AF41">
        <v>133</v>
      </c>
      <c t="s" s="67" r="AG41">
        <v>134</v>
      </c>
      <c t="s" s="67" r="AH41">
        <v>135</v>
      </c>
      <c t="s" s="67" r="AI41">
        <v>136</v>
      </c>
      <c t="s" s="67" r="AJ41">
        <v>137</v>
      </c>
      <c t="s" s="67" r="AK41">
        <v>138</v>
      </c>
      <c t="s" s="67" r="AL41">
        <v>139</v>
      </c>
    </row>
    <row r="42">
      <c t="str" s="38" r="B42">
        <f>A10</f>
        <v>All returns, total</v>
      </c>
      <c s="3" r="C42">
        <f>(C10/B10)*1000</f>
        <v>111570.899963183</v>
      </c>
      <c s="3" r="D42">
        <f>SUM(F42:G42,I42,K42:AB42)</f>
        <v>222987.333675947</v>
      </c>
      <c s="3" r="E42">
        <f>D42-C42</f>
        <v>111416.433712765</v>
      </c>
      <c s="3" r="F42">
        <f>(E10/B10)*1000</f>
        <v>113285.81145952</v>
      </c>
      <c s="3" r="G42">
        <f>(G10/B10)*1000</f>
        <v>77919.1360436781</v>
      </c>
      <c s="3" r="H42">
        <f>(-I10/B10)*1000</f>
        <v>-2440.60058470226</v>
      </c>
      <c s="3" r="I42">
        <f>(K10/B10)*1000</f>
        <v>1348.48792018581</v>
      </c>
      <c s="3" r="J42">
        <f>(M10/B10)*1000</f>
        <v>2924.8392453948</v>
      </c>
      <c s="49" r="K42">
        <f>(O10/B10)*1000</f>
        <v>2269.81858876286</v>
      </c>
      <c s="49" r="L42">
        <f>(Q10/B10)*1000</f>
        <v>606.148656846232</v>
      </c>
      <c s="49" r="M42">
        <f>(S10/B10)*1000</f>
        <v>140.239693261533</v>
      </c>
      <c s="49" r="N42">
        <f>(U10/B10)*1000</f>
        <v>3753.18745276364</v>
      </c>
      <c s="3" r="O42">
        <f>(W10/B10)*1000</f>
        <v>4509.75657772533</v>
      </c>
      <c s="49" r="P42">
        <f>(Y10/B10)*1000</f>
        <v>-31.9853038366643</v>
      </c>
      <c s="49" r="Q42">
        <f>(AA10/B10)*1000</f>
        <v>1882.9911613635</v>
      </c>
      <c s="49" r="R42">
        <f>(AC10/B10)*1000</f>
        <v>6084.3327701298</v>
      </c>
      <c s="49" r="S42">
        <f>(-AE10/B10)*1000</f>
        <v>-1363.24345448774</v>
      </c>
      <c s="49" r="T42">
        <f>(AG10/B10)*1000</f>
        <v>935.928617059587</v>
      </c>
      <c s="49" r="U42">
        <f>(AI10/B10)*1000</f>
        <v>48.9034906889343</v>
      </c>
      <c s="49" r="V42">
        <f>(AK10/B10)*1000</f>
        <v>8901.55479714781</v>
      </c>
      <c s="49" r="W42">
        <f>(AM10/B10)*1000</f>
        <v>359.569676260385</v>
      </c>
      <c s="49" r="X42">
        <f>(AO10/B10)*1000</f>
        <v>-141.875053724925</v>
      </c>
      <c s="49" r="Y42">
        <f>(AQ10/B10)*1000</f>
        <v>620.688897537398</v>
      </c>
      <c s="49" r="Z42">
        <f>(AS10/B10)*1000</f>
        <v>2185.65690680636</v>
      </c>
      <c s="49" r="AA42">
        <f>(AU10/B10)*1000</f>
        <v>136.639488638502</v>
      </c>
      <c s="49" r="AB42">
        <f>(-AW10/B10)*1000</f>
        <v>-464.414710379104</v>
      </c>
      <c s="49" r="AC42">
        <f>(AX10/B10)*1000</f>
        <v>333.803661680819</v>
      </c>
      <c s="49" r="AD42">
        <f>(DJ10/B10)*1000</f>
        <v>335.818532389981</v>
      </c>
      <c s="49" r="AF42">
        <f>(DL10/B10)*1000</f>
        <v>72.2332823351395</v>
      </c>
      <c s="49" r="AG42">
        <f>(DN10/B10)*1000</f>
        <v>8560.92172363741</v>
      </c>
      <c s="49" r="AH42">
        <f>(DP10/B10)*1000</f>
        <v>77940.835748876</v>
      </c>
      <c s="49" r="AI42">
        <f>(DR10/B10)*1000</f>
        <v>487.108031261385</v>
      </c>
      <c s="49" r="AJ42">
        <f>(DT10/B10)*1000</f>
        <v>16539.7243191356</v>
      </c>
      <c s="49" r="AK42">
        <f>(DV10/B10)*1000</f>
        <v>1288.62940297099</v>
      </c>
      <c s="48" r="AL42">
        <f>AK42/C42</f>
        <v>0.011549870113051</v>
      </c>
    </row>
    <row r="43">
      <c t="str" s="38" r="B43">
        <f>A11</f>
        <v>    Under $5,000</v>
      </c>
      <c s="3" r="C43">
        <f>(C11/B11)*1000</f>
        <v>2500.94830864088</v>
      </c>
      <c s="3" r="D43">
        <f>SUM(F43:G43,I43:AB43)</f>
        <v>10325.6352984838</v>
      </c>
      <c s="3" r="E43">
        <f>D43-C43</f>
        <v>7824.68698984297</v>
      </c>
      <c s="3" r="F43">
        <f>(E11/B11)*1000</f>
        <v>3482.14151542681</v>
      </c>
      <c s="3" r="G43">
        <f>(G11/B11)*1000</f>
        <v>3322.26328144389</v>
      </c>
      <c s="3" r="H43">
        <f>(-I11/B11)*1000</f>
        <v>-975.571660485015</v>
      </c>
      <c s="3" r="I43">
        <f>(K11/B11)*1000</f>
        <v>482.462551485304</v>
      </c>
      <c s="3" r="J43">
        <f>(M11/B11)*1000</f>
        <v>865.995906221041</v>
      </c>
      <c s="49" r="K43">
        <f>(O11/B11)*1000</f>
        <v>487.783553391029</v>
      </c>
      <c s="49" r="L43">
        <f>(Q11/B11)*1000</f>
        <v>117.323879845994</v>
      </c>
      <c s="49" r="M43">
        <f>(S11/B11)*1000</f>
        <v>21.3682511276107</v>
      </c>
      <c s="49" r="N43">
        <f>(U11/B11)*1000</f>
        <v>857.330209493105</v>
      </c>
      <c s="3" r="O43">
        <f>(W11/B11)*1000</f>
        <v>-474.452587983233</v>
      </c>
      <c s="49" r="P43">
        <f>(Y11/B11)*1000</f>
        <v>-464.416226665118</v>
      </c>
      <c s="49" r="Q43">
        <f>(AA11/B11)*1000</f>
        <v>691.664219051327</v>
      </c>
      <c s="49" r="R43">
        <f>(AC11/B11)*1000</f>
        <v>807.116526981828</v>
      </c>
      <c s="49" r="S43">
        <f>(-AE11/B11)*1000</f>
        <v>-614.585965942856</v>
      </c>
      <c s="49" r="T43">
        <f>(AG11/B11)*1000</f>
        <v>1405.98766401869</v>
      </c>
      <c s="49" r="U43">
        <f>(AI11/B11)*1000</f>
        <v>9.1643272017723</v>
      </c>
      <c s="49" r="V43">
        <f>(AK11/B11)*1000</f>
        <v>-1239.9915301125</v>
      </c>
      <c s="49" r="W43">
        <f>(AM11/B11)*1000</f>
        <v>10.9835315332546</v>
      </c>
      <c s="49" r="X43">
        <f>(AO11/B11)*1000</f>
        <v>-101.718339810976</v>
      </c>
      <c s="49" r="Y43">
        <f>(AQ11/B11)*1000</f>
        <v>218.787212291355</v>
      </c>
      <c s="49" r="Z43">
        <f>(AS11/B11)*1000</f>
        <v>47.1991311534757</v>
      </c>
      <c s="49" r="AA43">
        <f>(AU11/B11)*1000</f>
        <v>465.520499632288</v>
      </c>
      <c s="49" r="AB43">
        <f>(-AW11/B11)*1000</f>
        <v>-72.2923113002416</v>
      </c>
      <c s="49" r="AC43">
        <f>(AX11/B11)*1000</f>
        <v>292.065400281874</v>
      </c>
      <c s="49" r="AD43">
        <f>(DJ11/B11)*1000</f>
        <v>13.8546412478968</v>
      </c>
      <c s="49" r="AF43">
        <f>(DL11/B11)*1000</f>
        <v>38.6450001479954</v>
      </c>
      <c s="49" r="AG43">
        <f>(DN11/B11)*1000</f>
        <v>5219.38602423025</v>
      </c>
      <c s="49" r="AH43">
        <f>(DP11/B11)*1000</f>
        <v>24.002568288468</v>
      </c>
      <c s="49" r="AI43">
        <f>(DR11/B11)*1000</f>
        <v>2.65253197268689</v>
      </c>
      <c s="49" r="AJ43">
        <f>(DT11/B11)*1000</f>
        <v>4.2053446811611</v>
      </c>
      <c s="49" r="AK43">
        <f>(DV11/B11)*1000</f>
        <v>0.639795265515035</v>
      </c>
      <c s="48" r="AL43">
        <f>AK43/C43</f>
        <v>0.000255821067275</v>
      </c>
    </row>
    <row r="44">
      <c t="str" s="38" r="B44">
        <f>A12</f>
        <v>    $5,000 under $10,000</v>
      </c>
      <c s="3" r="C44">
        <f>(C12/B12)*1000</f>
        <v>7762.60937757966</v>
      </c>
      <c s="3" r="D44">
        <f>SUM(F44:G44,I44:AB44)</f>
        <v>18226.5036639108</v>
      </c>
      <c s="3" r="E44">
        <f>D44-C44</f>
        <v>10463.8942863311</v>
      </c>
      <c s="3" r="F44">
        <f>(E12/B12)*1000</f>
        <v>8498.27123099783</v>
      </c>
      <c s="3" r="G44">
        <f>(G12/B12)*1000</f>
        <v>4200.9229626243</v>
      </c>
      <c s="3" r="H44">
        <f>(-I12/B12)*1000</f>
        <v>-1066.79969774323</v>
      </c>
      <c s="3" r="I44">
        <f>(K12/B12)*1000</f>
        <v>537.44872429865</v>
      </c>
      <c s="3" r="J44">
        <f>(M12/B12)*1000</f>
        <v>1024.12656684573</v>
      </c>
      <c s="49" r="K44">
        <f>(O12/B12)*1000</f>
        <v>572.489236865166</v>
      </c>
      <c s="49" r="L44">
        <f>(Q12/B12)*1000</f>
        <v>102.770475355914</v>
      </c>
      <c s="49" r="M44">
        <f>(S12/B12)*1000</f>
        <v>22.2882615156018</v>
      </c>
      <c s="49" r="N44">
        <f>(U12/B12)*1000</f>
        <v>912.474124026873</v>
      </c>
      <c s="3" r="O44">
        <f>(W12/B12)*1000</f>
        <v>-278.995377249463</v>
      </c>
      <c s="49" r="P44">
        <f>(Y12/B12)*1000</f>
        <v>-371.480550158113</v>
      </c>
      <c s="49" r="Q44">
        <f>(AA12/B12)*1000</f>
        <v>654.135075754689</v>
      </c>
      <c s="49" r="R44">
        <f>(AC12/B12)*1000</f>
        <v>2057.52720945886</v>
      </c>
      <c s="49" r="S44">
        <f>(-AE12/B12)*1000</f>
        <v>-703.488335174814</v>
      </c>
      <c s="49" r="T44">
        <f>(AG12/B12)*1000</f>
        <v>1165.64750257172</v>
      </c>
      <c s="49" r="U44">
        <f>(AI12/B12)*1000</f>
        <v>23.9186065709097</v>
      </c>
      <c s="49" r="V44">
        <f>(AK12/B12)*1000</f>
        <v>-545.533775288604</v>
      </c>
      <c s="49" r="W44">
        <f>(AM12/B12)*1000</f>
        <v>-24.0186180007874</v>
      </c>
      <c s="49" r="X44">
        <f>(AO12/B12)*1000</f>
        <v>-175.113663783798</v>
      </c>
      <c s="49" r="Y44">
        <f>(AQ12/B12)*1000</f>
        <v>411.728007010325</v>
      </c>
      <c s="49" r="Z44">
        <f>(AS12/B12)*1000</f>
        <v>164.214005410142</v>
      </c>
      <c s="49" r="AA44">
        <f>(AU12/B12)*1000</f>
        <v>86.2527145959538</v>
      </c>
      <c s="49" r="AB44">
        <f>(-AW12/B12)*1000</f>
        <v>-109.080720336292</v>
      </c>
      <c s="49" r="AC44">
        <f>(AX12/B12)*1000</f>
        <v>282.083031711561</v>
      </c>
      <c s="49" r="AD44">
        <f>(DJ12/B12)*1000</f>
        <v>88.5005905436812</v>
      </c>
      <c s="49" r="AF44">
        <f>(DL12/B12)*1000</f>
        <v>1.78591839067322</v>
      </c>
      <c s="49" r="AG44">
        <f>(DN12/B12)*1000</f>
        <v>5192.40929122058</v>
      </c>
      <c s="49" r="AH44">
        <f>(DP12/B12)*1000</f>
        <v>112.533495891594</v>
      </c>
      <c s="49" r="AI44">
        <f>(DR12/B12)*1000</f>
        <v>2.17961417812829</v>
      </c>
      <c s="49" r="AJ44">
        <f>(DT12/B12)*1000</f>
        <v>16.0700905500311</v>
      </c>
      <c s="49" r="AK44">
        <f>(DV12/B12)*1000</f>
        <v>3.70042290547491</v>
      </c>
      <c s="48" r="AL44">
        <f>AK44/C44</f>
        <v>0.000476698327261</v>
      </c>
    </row>
    <row r="45">
      <c t="str" s="38" r="B45">
        <f>A13</f>
        <v>    $10,000 under $15,000</v>
      </c>
      <c s="3" r="C45">
        <f>(C13/B13)*1000</f>
        <v>12610.3201728626</v>
      </c>
      <c s="3" r="D45">
        <f>SUM(F45:G45,I45:AB45)</f>
        <v>27563.8286805358</v>
      </c>
      <c s="3" r="E45">
        <f>D45-C45</f>
        <v>14953.5085076733</v>
      </c>
      <c s="3" r="F45">
        <f>(E13/B13)*1000</f>
        <v>13321.9912138307</v>
      </c>
      <c s="3" r="G45">
        <f>(G13/B13)*1000</f>
        <v>5634.82240191414</v>
      </c>
      <c s="3" r="H45">
        <f>(-I13/B13)*1000</f>
        <v>-1284.38016761774</v>
      </c>
      <c s="3" r="I45">
        <f>(K13/B13)*1000</f>
        <v>254.745810098243</v>
      </c>
      <c s="3" r="J45">
        <f>(M13/B13)*1000</f>
        <v>1117.12002635417</v>
      </c>
      <c s="49" r="K45">
        <f>(O13/B13)*1000</f>
        <v>674.644077788157</v>
      </c>
      <c s="49" r="L45">
        <f>(Q13/B13)*1000</f>
        <v>89.2357506496434</v>
      </c>
      <c s="49" r="M45">
        <f>(S13/B13)*1000</f>
        <v>64.8928169707005</v>
      </c>
      <c s="49" r="N45">
        <f>(U13/B13)*1000</f>
        <v>1798.0091329347</v>
      </c>
      <c s="3" r="O45">
        <f>(W13/B13)*1000</f>
        <v>-185.573690906293</v>
      </c>
      <c s="49" r="P45">
        <f>(Y13/B13)*1000</f>
        <v>-312.124653505474</v>
      </c>
      <c s="49" r="Q45">
        <f>(AA13/B13)*1000</f>
        <v>969.921349264316</v>
      </c>
      <c s="49" r="R45">
        <f>(AC13/B13)*1000</f>
        <v>3664.29096220907</v>
      </c>
      <c s="49" r="S45">
        <f>(-AE13/B13)*1000</f>
        <v>-543.494138580472</v>
      </c>
      <c s="49" r="T45">
        <f>(AG13/B13)*1000</f>
        <v>1097.46384428498</v>
      </c>
      <c s="49" r="U45">
        <f>(AI13/B13)*1000</f>
        <v>33.1475248533291</v>
      </c>
      <c s="49" r="V45">
        <f>(AK13/B13)*1000</f>
        <v>-662.914736880888</v>
      </c>
      <c s="49" r="W45">
        <f>(AM13/B13)*1000</f>
        <v>10.8375035489275</v>
      </c>
      <c s="49" r="X45">
        <f>(AO13/B13)*1000</f>
        <v>-333.702132824166</v>
      </c>
      <c s="49" r="Y45">
        <f>(AQ13/B13)*1000</f>
        <v>605.57057001736</v>
      </c>
      <c s="49" r="Z45">
        <f>(AS13/B13)*1000</f>
        <v>93.7252794170873</v>
      </c>
      <c s="49" r="AA45">
        <f>(AU13/B13)*1000</f>
        <v>222.171531857991</v>
      </c>
      <c s="49" r="AB45">
        <f>(-AW13/B13)*1000</f>
        <v>-50.9517627604263</v>
      </c>
      <c s="49" r="AC45">
        <f>(AX13/B13)*1000</f>
        <v>261.826326865435</v>
      </c>
      <c s="49" r="AD45">
        <f>(DJ13/B13)*1000</f>
        <v>186.894650492949</v>
      </c>
      <c s="49" r="AF45">
        <f>(DL13/B13)*1000</f>
        <v>50.5584007178045</v>
      </c>
      <c s="49" r="AG45">
        <f>(DN13/B13)*1000</f>
        <v>5530.87621124084</v>
      </c>
      <c s="49" r="AH45">
        <f>(DP13/B13)*1000</f>
        <v>438.936773824411</v>
      </c>
      <c s="49" r="AI45">
        <f>(DR13/B13)*1000</f>
        <v>1.2516064992512</v>
      </c>
      <c s="49" r="AJ45">
        <f>(DT13/B13)*1000</f>
        <v>40.5932289713854</v>
      </c>
      <c s="49" r="AK45">
        <f>(DV13/B13)*1000</f>
        <v>22.6210265557306</v>
      </c>
      <c s="48" r="AL45">
        <f>AK45/C45</f>
        <v>0.001793850294492</v>
      </c>
    </row>
    <row r="46">
      <c t="str" s="38" r="B46">
        <f>A14</f>
        <v>    $15,000 under $20,000</v>
      </c>
      <c s="3" r="C46">
        <f>(C14/B14)*1000</f>
        <v>17450.4381484314</v>
      </c>
      <c s="3" r="D46">
        <f>SUM(F46:G46,I46:AB46)</f>
        <v>36757.7067408636</v>
      </c>
      <c s="3" r="E46">
        <f>D46-C46</f>
        <v>19307.2685924321</v>
      </c>
      <c s="3" r="F46">
        <f>(E14/B14)*1000</f>
        <v>18237.1443092039</v>
      </c>
      <c s="3" r="G46">
        <f>(G14/B14)*1000</f>
        <v>8805.42907060512</v>
      </c>
      <c s="3" r="H46">
        <f>(-I14/B14)*1000</f>
        <v>-1258.60168962219</v>
      </c>
      <c s="3" r="I46">
        <f>(K14/B14)*1000</f>
        <v>380.531185456313</v>
      </c>
      <c s="3" r="J46">
        <f>(M14/B14)*1000</f>
        <v>956.208257827379</v>
      </c>
      <c s="49" r="K46">
        <f>(O14/B14)*1000</f>
        <v>543.043099568611</v>
      </c>
      <c s="49" r="L46">
        <f>(Q14/B14)*1000</f>
        <v>144.769512193035</v>
      </c>
      <c s="49" r="M46">
        <f>(S14/B14)*1000</f>
        <v>212.674390947157</v>
      </c>
      <c s="49" r="N46">
        <f>(U14/B14)*1000</f>
        <v>1660.856344468</v>
      </c>
      <c s="3" r="O46">
        <f>(W14/B14)*1000</f>
        <v>-141.895580185184</v>
      </c>
      <c s="49" r="P46">
        <f>(Y14/B14)*1000</f>
        <v>-150.449784476489</v>
      </c>
      <c s="49" r="Q46">
        <f>(AA14/B14)*1000</f>
        <v>1194.75830394376</v>
      </c>
      <c s="49" r="R46">
        <f>(AC14/B14)*1000</f>
        <v>3640.07659255533</v>
      </c>
      <c s="49" r="S46">
        <f>(-AE14/B14)*1000</f>
        <v>-671.908876077832</v>
      </c>
      <c s="49" r="T46">
        <f>(AG14/B14)*1000</f>
        <v>864.171419477713</v>
      </c>
      <c s="49" r="U46">
        <f>(AI14/B14)*1000</f>
        <v>30.3820558495938</v>
      </c>
      <c s="49" r="V46">
        <f>(AK14/B14)*1000</f>
        <v>-162.760891252603</v>
      </c>
      <c s="49" r="W46">
        <f>(AM14/B14)*1000</f>
        <v>33.7975773069743</v>
      </c>
      <c s="49" r="X46">
        <f>(AO14/B14)*1000</f>
        <v>-120.519480963944</v>
      </c>
      <c s="49" r="Y46">
        <f>(AQ14/B14)*1000</f>
        <v>948.547291111602</v>
      </c>
      <c s="49" r="Z46">
        <f>(AS14/B14)*1000</f>
        <v>206.916259832886</v>
      </c>
      <c s="49" r="AA46">
        <f>(AU14/B14)*1000</f>
        <v>240.600043464051</v>
      </c>
      <c s="49" r="AB46">
        <f>(-AW14/B14)*1000</f>
        <v>-94.6643599918548</v>
      </c>
      <c s="49" r="AC46">
        <f>(AX14/B14)*1000</f>
        <v>264.535217003684</v>
      </c>
      <c s="49" r="AD46">
        <f>(DJ14/B14)*1000</f>
        <v>125.250902221287</v>
      </c>
      <c s="49" r="AF46">
        <f>(DL14/B14)*1000</f>
        <v>24.9233817769268</v>
      </c>
      <c s="49" r="AG46">
        <f>(DN14/B14)*1000</f>
        <v>5685.07985235912</v>
      </c>
      <c s="49" r="AH46">
        <f>(DP14/B14)*1000</f>
        <v>1976.63465043096</v>
      </c>
      <c s="49" r="AI46">
        <f>(DR14/B14)*1000</f>
        <v>0.602336449397749</v>
      </c>
      <c s="49" r="AJ46">
        <f>(DT14/B14)*1000</f>
        <v>188.915469266296</v>
      </c>
      <c s="49" r="AK46">
        <f>(DV14/B14)*1000</f>
        <v>91.7579155052011</v>
      </c>
      <c s="48" r="AL46">
        <f>AK46/C46</f>
        <v>0.005258201239689</v>
      </c>
    </row>
    <row r="47">
      <c t="str" s="38" r="B47">
        <f>A15</f>
        <v>    $20,000 under $25,000</v>
      </c>
      <c s="3" r="C47">
        <f>(C15/B15)*1000</f>
        <v>22592.9562447855</v>
      </c>
      <c s="3" r="D47">
        <f>SUM(F47:G47,I47:AB47)</f>
        <v>47703.459360415</v>
      </c>
      <c s="3" r="E47">
        <f>D47-C47</f>
        <v>25110.5031156295</v>
      </c>
      <c s="3" r="F47">
        <f>(E15/B15)*1000</f>
        <v>23301.9239381739</v>
      </c>
      <c s="3" r="G47">
        <f>(G15/B15)*1000</f>
        <v>13977.8901319075</v>
      </c>
      <c s="3" r="H47">
        <f>(-I15/B15)*1000</f>
        <v>-985.609679025368</v>
      </c>
      <c s="3" r="I47">
        <f>(K15/B15)*1000</f>
        <v>517.037639896426</v>
      </c>
      <c s="3" r="J47">
        <f>(M15/B15)*1000</f>
        <v>799.615348766365</v>
      </c>
      <c s="49" r="K47">
        <f>(O15/B15)*1000</f>
        <v>483.339736609386</v>
      </c>
      <c s="49" r="L47">
        <f>(Q15/B15)*1000</f>
        <v>155.520798522624</v>
      </c>
      <c s="49" r="M47">
        <f>(S15/B15)*1000</f>
        <v>49.5734811921763</v>
      </c>
      <c s="49" r="N47">
        <f>(U15/B15)*1000</f>
        <v>1878.16952692293</v>
      </c>
      <c s="3" r="O47">
        <f>(W15/B15)*1000</f>
        <v>-73.3421387851356</v>
      </c>
      <c s="49" r="P47">
        <f>(Y15/B15)*1000</f>
        <v>-168.146240216059</v>
      </c>
      <c s="49" r="Q47">
        <f>(AA15/B15)*1000</f>
        <v>1216.19127078128</v>
      </c>
      <c s="49" r="R47">
        <f>(AC15/B15)*1000</f>
        <v>3665.06925768223</v>
      </c>
      <c s="49" r="S47">
        <f>(-AE15/B15)*1000</f>
        <v>-576.372896485928</v>
      </c>
      <c s="49" r="T47">
        <f>(AG15/B15)*1000</f>
        <v>965.773921161653</v>
      </c>
      <c s="49" r="U47">
        <f>(AI15/B15)*1000</f>
        <v>32.7514308859179</v>
      </c>
      <c s="49" r="V47">
        <f>(AK15/B15)*1000</f>
        <v>-142.126205918749</v>
      </c>
      <c s="49" r="W47">
        <f>(AM15/B15)*1000</f>
        <v>40.5020471538764</v>
      </c>
      <c s="49" r="X47">
        <f>(AO15/B15)*1000</f>
        <v>-177.516241208757</v>
      </c>
      <c s="49" r="Y47">
        <f>(AQ15/B15)*1000</f>
        <v>1126.96370289708</v>
      </c>
      <c s="49" r="Z47">
        <f>(AS15/B15)*1000</f>
        <v>607.83912545647</v>
      </c>
      <c s="49" r="AA47">
        <f>(AU15/B15)*1000</f>
        <v>179.437981808634</v>
      </c>
      <c s="49" r="AB47">
        <f>(-AW15/B15)*1000</f>
        <v>-156.636256788799</v>
      </c>
      <c s="49" r="AC47">
        <f>(AX15/B15)*1000</f>
        <v>277.828675613066</v>
      </c>
      <c s="49" r="AD47">
        <f>(DJ15/B15)*1000</f>
        <v>140.969069524422</v>
      </c>
      <c s="49" r="AF47">
        <f>(DL15/B15)*1000</f>
        <v>40.3148744692669</v>
      </c>
      <c s="49" r="AG47">
        <f>(DN15/B15)*1000</f>
        <v>6472.53525022412</v>
      </c>
      <c s="49" r="AH47">
        <f>(DP15/B15)*1000</f>
        <v>4368.86658982735</v>
      </c>
      <c s="49" r="AI47">
        <f>(DR15/B15)*1000</f>
        <v>2.89094652544601</v>
      </c>
      <c s="49" r="AJ47">
        <f>(DT15/B15)*1000</f>
        <v>455.444186545239</v>
      </c>
      <c s="49" r="AK47">
        <f>(DV15/B15)*1000</f>
        <v>192.591599053376</v>
      </c>
      <c s="48" r="AL47">
        <f>AK47/C47</f>
        <v>0.008524408978034</v>
      </c>
    </row>
    <row r="48">
      <c t="str" s="38" r="B48">
        <f>A16</f>
        <v>    $25,000 under $30,000</v>
      </c>
      <c s="3" r="C48">
        <f>(C16/B16)*1000</f>
        <v>27601.374633204</v>
      </c>
      <c s="3" r="D48">
        <f>SUM(F48:G48,I48:AB48)</f>
        <v>57097.5196467018</v>
      </c>
      <c s="3" r="E48">
        <f>D48-C48</f>
        <v>29496.1450134978</v>
      </c>
      <c s="3" r="F48">
        <f>(E16/B16)*1000</f>
        <v>28244.658751677</v>
      </c>
      <c s="3" r="G48">
        <f>(G16/B16)*1000</f>
        <v>17892.4875864934</v>
      </c>
      <c s="3" r="H48">
        <f>(-I16/B16)*1000</f>
        <v>-1060.67731144286</v>
      </c>
      <c s="3" r="I48">
        <f>(K16/B16)*1000</f>
        <v>484.648211691948</v>
      </c>
      <c s="3" r="J48">
        <f>(M16/B16)*1000</f>
        <v>756.18522980233</v>
      </c>
      <c s="49" r="K48">
        <f>(O16/B16)*1000</f>
        <v>500.567763429513</v>
      </c>
      <c s="49" r="L48">
        <f>(Q16/B16)*1000</f>
        <v>190.529145080677</v>
      </c>
      <c s="49" r="M48">
        <f>(S16/B16)*1000</f>
        <v>66.7573696736714</v>
      </c>
      <c s="49" r="N48">
        <f>(U16/B16)*1000</f>
        <v>1686.00627833518</v>
      </c>
      <c s="3" r="O48">
        <f>(W16/B16)*1000</f>
        <v>-118.457431439549</v>
      </c>
      <c s="49" r="P48">
        <f>(Y16/B16)*1000</f>
        <v>-93.6043292206086</v>
      </c>
      <c s="49" r="Q48">
        <f>(AA16/B16)*1000</f>
        <v>1231.64487033405</v>
      </c>
      <c s="49" r="R48">
        <f>(AC16/B16)*1000</f>
        <v>3933.03326552349</v>
      </c>
      <c s="49" r="S48">
        <f>(-AE16/B16)*1000</f>
        <v>-497.996685383402</v>
      </c>
      <c s="49" r="T48">
        <f>(AG16/B16)*1000</f>
        <v>965.161305471074</v>
      </c>
      <c s="49" r="U48">
        <f>(AI16/B16)*1000</f>
        <v>38.5785630008694</v>
      </c>
      <c s="49" r="V48">
        <f>(AK16/B16)*1000</f>
        <v>45.4921670822438</v>
      </c>
      <c s="49" r="W48">
        <f>(AM16/B16)*1000</f>
        <v>26.8665263509411</v>
      </c>
      <c s="49" r="X48">
        <f>(AO16/B16)*1000</f>
        <v>-86.1630736579292</v>
      </c>
      <c s="49" r="Y48">
        <f>(AQ16/B16)*1000</f>
        <v>988.250786422464</v>
      </c>
      <c s="49" r="Z48">
        <f>(AS16/B16)*1000</f>
        <v>917.094146981918</v>
      </c>
      <c s="49" r="AA48">
        <f>(AU16/B16)*1000</f>
        <v>124.008533735453</v>
      </c>
      <c s="49" r="AB48">
        <f>(-AW16/B16)*1000</f>
        <v>-198.229334683008</v>
      </c>
      <c s="49" r="AC48">
        <f>(AX16/B16)*1000</f>
        <v>243.893689640486</v>
      </c>
      <c s="49" r="AD48">
        <f>(DJ16/B16)*1000</f>
        <v>136.588684256354</v>
      </c>
      <c s="49" r="AF48">
        <f>(DL16/B16)*1000</f>
        <v>70.6472503096447</v>
      </c>
      <c s="49" r="AG48">
        <f>(DN16/B16)*1000</f>
        <v>6477.46262903492</v>
      </c>
      <c s="49" r="AH48">
        <f>(DP16/B16)*1000</f>
        <v>7728.58364384764</v>
      </c>
      <c s="49" r="AI48">
        <f>(DR16/B16)*1000</f>
        <v>1.28162566225479</v>
      </c>
      <c s="49" r="AJ48">
        <f>(DT16/B16)*1000</f>
        <v>871.079546232771</v>
      </c>
      <c s="49" r="AK48">
        <f>(DV16/B16)*1000</f>
        <v>316.429136536506</v>
      </c>
      <c s="48" r="AL48">
        <f>AK48/C48</f>
        <v>0.011464252804128</v>
      </c>
    </row>
    <row r="49">
      <c t="str" s="38" r="B49">
        <f>A17</f>
        <v>    $30,000 under $35,000</v>
      </c>
      <c s="3" r="C49">
        <f>(C17/B17)*1000</f>
        <v>32526.8632363244</v>
      </c>
      <c s="3" r="D49">
        <f>SUM(F49:G49,I49:AB49)</f>
        <v>65975.3779290471</v>
      </c>
      <c s="3" r="E49">
        <f>D49-C49</f>
        <v>33448.5146927227</v>
      </c>
      <c s="3" r="F49">
        <f>(E17/B17)*1000</f>
        <v>33183.6933738634</v>
      </c>
      <c s="3" r="G49">
        <f>(G17/B17)*1000</f>
        <v>23729.9411532447</v>
      </c>
      <c s="3" r="H49">
        <f>(-I17/B17)*1000</f>
        <v>-797.961197579461</v>
      </c>
      <c s="3" r="I49">
        <f>(K17/B17)*1000</f>
        <v>281.507497659406</v>
      </c>
      <c s="3" r="J49">
        <f>(M17/B17)*1000</f>
        <v>582.01791667888</v>
      </c>
      <c s="49" r="K49">
        <f>(O17/B17)*1000</f>
        <v>356.918588712389</v>
      </c>
      <c s="49" r="L49">
        <f>(Q17/B17)*1000</f>
        <v>219.576733260802</v>
      </c>
      <c s="49" r="M49">
        <f>(S17/B17)*1000</f>
        <v>153.892972355991</v>
      </c>
      <c s="49" r="N49">
        <f>(U17/B17)*1000</f>
        <v>1610.36194863855</v>
      </c>
      <c s="3" r="O49">
        <f>(W17/B17)*1000</f>
        <v>-113.458314439036</v>
      </c>
      <c s="49" r="P49">
        <f>(Y17/B17)*1000</f>
        <v>-169.652684024707</v>
      </c>
      <c s="49" r="Q49">
        <f>(AA17/B17)*1000</f>
        <v>1018.36956727893</v>
      </c>
      <c s="49" r="R49">
        <f>(AC17/B17)*1000</f>
        <v>3418.86429612924</v>
      </c>
      <c s="49" r="S49">
        <f>(-AE17/B17)*1000</f>
        <v>-525.260884983014</v>
      </c>
      <c s="49" r="T49">
        <f>(AG17/B17)*1000</f>
        <v>575.229763273854</v>
      </c>
      <c s="49" r="U49">
        <f>(AI17/B17)*1000</f>
        <v>17.868401436139</v>
      </c>
      <c s="49" r="V49">
        <f>(AK17/B17)*1000</f>
        <v>-165.87899718554</v>
      </c>
      <c s="49" r="W49">
        <f>(AM17/B17)*1000</f>
        <v>18.9638396200335</v>
      </c>
      <c s="49" r="X49">
        <f>(AO17/B17)*1000</f>
        <v>-136.811378303772</v>
      </c>
      <c s="49" r="Y49">
        <f>(AQ17/B17)*1000</f>
        <v>898.776569117494</v>
      </c>
      <c s="49" r="Z49">
        <f>(AS17/B17)*1000</f>
        <v>1125.92251585253</v>
      </c>
      <c s="49" r="AA49">
        <f>(AU17/B17)*1000</f>
        <v>55.5374515142163</v>
      </c>
      <c s="49" r="AB49">
        <f>(-AW17/B17)*1000</f>
        <v>-161.002400653355</v>
      </c>
      <c s="49" r="AC49">
        <f>(AX17/B17)*1000</f>
        <v>253.211168411839</v>
      </c>
      <c s="49" r="AD49">
        <f>(DJ17/B17)*1000</f>
        <v>184.167527327045</v>
      </c>
      <c s="49" r="AF49">
        <f>(DL17/B17)*1000</f>
        <v>40.8306479005347</v>
      </c>
      <c s="49" r="AG49">
        <f>(DN17/B17)*1000</f>
        <v>6648.90516528415</v>
      </c>
      <c s="49" r="AH49">
        <f>(DP17/B17)*1000</f>
        <v>11516.4324348556</v>
      </c>
      <c s="49" r="AI49">
        <f>(DR17/B17)*1000</f>
        <v>3.51678187159005</v>
      </c>
      <c s="49" r="AJ49">
        <f>(DT17/B17)*1000</f>
        <v>1358.92497627796</v>
      </c>
      <c s="49" r="AK49">
        <f>(DV17/B17)*1000</f>
        <v>468.415919372071</v>
      </c>
      <c s="48" r="AL49">
        <f>AK49/C49</f>
        <v>0.014400894299853</v>
      </c>
    </row>
    <row r="50">
      <c t="str" s="38" r="B50">
        <f>A18</f>
        <v>    $35,000 under $40,000</v>
      </c>
      <c s="3" r="C50">
        <f>(C18/B18)*1000</f>
        <v>37534.3870877145</v>
      </c>
      <c s="3" r="D50">
        <f>SUM(F50:G50,I50:AB50)</f>
        <v>77032.5647550436</v>
      </c>
      <c s="3" r="E50">
        <f>D50-C50</f>
        <v>39498.1776673291</v>
      </c>
      <c s="3" r="F50">
        <f>(E18/B18)*1000</f>
        <v>38251.2792498755</v>
      </c>
      <c s="3" r="G50">
        <f>(G18/B18)*1000</f>
        <v>28510.0425104574</v>
      </c>
      <c s="3" r="H50">
        <f>(-I18/B18)*1000</f>
        <v>-727.998497878732</v>
      </c>
      <c s="3" r="I50">
        <f>(K18/B18)*1000</f>
        <v>285.291339185791</v>
      </c>
      <c s="3" r="J50">
        <f>(M18/B18)*1000</f>
        <v>594.717150139787</v>
      </c>
      <c s="49" r="K50">
        <f>(O18/B18)*1000</f>
        <v>379.628171795014</v>
      </c>
      <c s="49" r="L50">
        <f>(Q18/B18)*1000</f>
        <v>270.300977442649</v>
      </c>
      <c s="49" r="M50">
        <f>(S18/B18)*1000</f>
        <v>152.968498006391</v>
      </c>
      <c s="49" r="N50">
        <f>(U18/B18)*1000</f>
        <v>1247.27820307148</v>
      </c>
      <c s="3" r="O50">
        <f>(W18/B18)*1000</f>
        <v>-80.9347619797363</v>
      </c>
      <c s="49" r="P50">
        <f>(Y18/B18)*1000</f>
        <v>-61.0103786792397</v>
      </c>
      <c s="49" r="Q50">
        <f>(AA18/B18)*1000</f>
        <v>1118.83832409224</v>
      </c>
      <c s="49" r="R50">
        <f>(AC18/B18)*1000</f>
        <v>3853.45807039119</v>
      </c>
      <c s="49" r="S50">
        <f>(-AE18/B18)*1000</f>
        <v>-463.849090003872</v>
      </c>
      <c s="49" r="T50">
        <f>(AG18/B18)*1000</f>
        <v>832.174118408007</v>
      </c>
      <c s="49" r="U50">
        <f>(AI18/B18)*1000</f>
        <v>7.21645865336743</v>
      </c>
      <c s="49" r="V50">
        <f>(AK18/B18)*1000</f>
        <v>111.303249773405</v>
      </c>
      <c s="49" r="W50">
        <f>(AM18/B18)*1000</f>
        <v>38.8274943510879</v>
      </c>
      <c s="49" r="X50">
        <f>(AO18/B18)*1000</f>
        <v>-135.53718920345</v>
      </c>
      <c s="49" r="Y50">
        <f>(AQ18/B18)*1000</f>
        <v>807.866775035</v>
      </c>
      <c s="49" r="Z50">
        <f>(AS18/B18)*1000</f>
        <v>1345.09799958298</v>
      </c>
      <c s="49" r="AA50">
        <f>(AU18/B18)*1000</f>
        <v>97.4825639039834</v>
      </c>
      <c s="49" r="AB50">
        <f>(-AW18/B18)*1000</f>
        <v>-129.874979255407</v>
      </c>
      <c s="49" r="AC50">
        <f>(AX18/B18)*1000</f>
        <v>273.367453755516</v>
      </c>
      <c s="49" r="AD50">
        <f>(DJ18/B18)*1000</f>
        <v>49.5700018297794</v>
      </c>
      <c s="49" r="AF50">
        <f>(DL18/B18)*1000</f>
        <v>67.1869481406462</v>
      </c>
      <c s="49" r="AG50">
        <f>(DN18/B18)*1000</f>
        <v>7087.77834987936</v>
      </c>
      <c s="49" r="AH50">
        <f>(DP18/B18)*1000</f>
        <v>15194.877362224</v>
      </c>
      <c s="49" r="AI50">
        <f>(DR18/B18)*1000</f>
        <v>4.86700056595504</v>
      </c>
      <c s="49" r="AJ50">
        <f>(DT18/B18)*1000</f>
        <v>1843.52407011034</v>
      </c>
      <c s="49" r="AK50">
        <f>(DV18/B18)*1000</f>
        <v>611.593142156842</v>
      </c>
      <c s="48" r="AL50">
        <f>AK50/C50</f>
        <v>0.016294208847146</v>
      </c>
    </row>
    <row r="51">
      <c t="str" s="38" r="B51">
        <f>A19</f>
        <v>    $40,000 under $45,000</v>
      </c>
      <c s="3" r="C51">
        <f>(C19/B19)*1000</f>
        <v>42502.6360101764</v>
      </c>
      <c s="3" r="D51">
        <f>SUM(F51:G51,I51:AB51)</f>
        <v>86683.8426303631</v>
      </c>
      <c s="3" r="E51">
        <f>D51-C51</f>
        <v>44181.2066201868</v>
      </c>
      <c s="3" r="F51">
        <f>(E19/B19)*1000</f>
        <v>43142.8083078575</v>
      </c>
      <c s="3" r="G51">
        <f>(G19/B19)*1000</f>
        <v>32616.2787465553</v>
      </c>
      <c s="3" r="H51">
        <f>(-I19/B19)*1000</f>
        <v>-722.890009299549</v>
      </c>
      <c s="3" r="I51">
        <f>(K19/B19)*1000</f>
        <v>345.767680969377</v>
      </c>
      <c s="3" r="J51">
        <f>(M19/B19)*1000</f>
        <v>724.878659655512</v>
      </c>
      <c s="49" r="K51">
        <f>(O19/B19)*1000</f>
        <v>456.720521476985</v>
      </c>
      <c s="49" r="L51">
        <f>(Q19/B19)*1000</f>
        <v>270.779762581091</v>
      </c>
      <c s="49" r="M51">
        <f>(S19/B19)*1000</f>
        <v>134.162701638564</v>
      </c>
      <c s="49" r="N51">
        <f>(U19/B19)*1000</f>
        <v>1257.59312837913</v>
      </c>
      <c s="3" r="O51">
        <f>(W19/B19)*1000</f>
        <v>54.6249775069893</v>
      </c>
      <c s="49" r="P51">
        <f>(Y19/B19)*1000</f>
        <v>-71.0983952791255</v>
      </c>
      <c s="49" r="Q51">
        <f>(AA19/B19)*1000</f>
        <v>1101.87371046168</v>
      </c>
      <c s="49" r="R51">
        <f>(AC19/B19)*1000</f>
        <v>4022.07021525506</v>
      </c>
      <c s="49" r="S51">
        <f>(-AE19/B19)*1000</f>
        <v>-436.365870702616</v>
      </c>
      <c s="49" r="T51">
        <f>(AG19/B19)*1000</f>
        <v>753.373220126234</v>
      </c>
      <c s="49" r="U51">
        <f>(AI19/B19)*1000</f>
        <v>5.38125470280698</v>
      </c>
      <c s="49" r="V51">
        <f>(AK19/B19)*1000</f>
        <v>13.0491159576268</v>
      </c>
      <c s="49" r="W51">
        <f>(AM19/B19)*1000</f>
        <v>25.7495597709395</v>
      </c>
      <c s="49" r="X51">
        <f>(AO19/B19)*1000</f>
        <v>-105.369209665094</v>
      </c>
      <c s="49" r="Y51">
        <f>(AQ19/B19)*1000</f>
        <v>720.737019765078</v>
      </c>
      <c s="49" r="Z51">
        <f>(AS19/B19)*1000</f>
        <v>1711.36578536328</v>
      </c>
      <c s="49" r="AA51">
        <f>(AU19/B19)*1000</f>
        <v>39.5155261511423</v>
      </c>
      <c s="49" r="AB51">
        <f>(-AW19/B19)*1000</f>
        <v>-100.053788164361</v>
      </c>
      <c s="49" r="AC51">
        <f>(AX19/B19)*1000</f>
        <v>255.900483605826</v>
      </c>
      <c s="49" r="AD51">
        <f>(DJ19/B19)*1000</f>
        <v>106.031442912617</v>
      </c>
      <c s="49" r="AF51">
        <f>(DL19/B19)*1000</f>
        <v>45.7321310402572</v>
      </c>
      <c s="49" r="AG51">
        <f>(DN19/B19)*1000</f>
        <v>6981.29020397077</v>
      </c>
      <c s="49" r="AH51">
        <f>(DP19/B19)*1000</f>
        <v>19403.557041056</v>
      </c>
      <c s="49" r="AI51">
        <f>(DR19/B19)*1000</f>
        <v>2.34414964715842</v>
      </c>
      <c s="49" r="AJ51">
        <f>(DT19/B19)*1000</f>
        <v>2390.86635030968</v>
      </c>
      <c s="49" r="AK51">
        <f>(DV19/B19)*1000</f>
        <v>709.244005643124</v>
      </c>
      <c s="48" r="AL51">
        <f>AK51/C51</f>
        <v>0.01668705925612</v>
      </c>
    </row>
    <row r="52">
      <c t="str" s="38" r="B52">
        <f>A20</f>
        <v>    $45,000 under $50,000</v>
      </c>
      <c s="3" r="C52">
        <f>(C20/B20)*1000</f>
        <v>47531.7524334924</v>
      </c>
      <c s="3" r="D52">
        <f>SUM(F52:G52,I52:AB52)</f>
        <v>96881.8996107853</v>
      </c>
      <c s="3" r="E52">
        <f>D52-C52</f>
        <v>49350.1471772928</v>
      </c>
      <c s="3" r="F52">
        <f>(E20/B20)*1000</f>
        <v>48218.0297070755</v>
      </c>
      <c s="3" r="G52">
        <f>(G20/B20)*1000</f>
        <v>37257.9507118113</v>
      </c>
      <c s="3" r="H52">
        <f>(-I20/B20)*1000</f>
        <v>-717.084191996148</v>
      </c>
      <c s="3" r="I52">
        <f>(K20/B20)*1000</f>
        <v>383.327657499252</v>
      </c>
      <c s="3" r="J52">
        <f>(M20/B20)*1000</f>
        <v>754.952636793603</v>
      </c>
      <c s="49" r="K52">
        <f>(O20/B20)*1000</f>
        <v>508.061056198988</v>
      </c>
      <c s="49" r="L52">
        <f>(Q20/B20)*1000</f>
        <v>323.498364639588</v>
      </c>
      <c s="49" r="M52">
        <f>(S20/B20)*1000</f>
        <v>113.45306428165</v>
      </c>
      <c s="49" r="N52">
        <f>(U20/B20)*1000</f>
        <v>1452.36517664876</v>
      </c>
      <c s="3" r="O52">
        <f>(W20/B20)*1000</f>
        <v>32.1444261423088</v>
      </c>
      <c s="49" r="P52">
        <f>(Y20/B20)*1000</f>
        <v>-73.4749582543261</v>
      </c>
      <c s="49" r="Q52">
        <f>(AA20/B20)*1000</f>
        <v>1035.5468400351</v>
      </c>
      <c s="49" r="R52">
        <f>(AC20/B20)*1000</f>
        <v>4353.37159977242</v>
      </c>
      <c s="49" r="S52">
        <f>(-AE20/B20)*1000</f>
        <v>-397.406984053821</v>
      </c>
      <c s="49" r="T52">
        <f>(AG20/B20)*1000</f>
        <v>628.885845773012</v>
      </c>
      <c s="49" r="U52">
        <f>(AI20/B20)*1000</f>
        <v>2.47438929911508</v>
      </c>
      <c s="49" r="V52">
        <f>(AK20/B20)*1000</f>
        <v>124.572383346177</v>
      </c>
      <c s="49" r="W52">
        <f>(AM20/B20)*1000</f>
        <v>42.6243136270432</v>
      </c>
      <c s="49" r="X52">
        <f>(AO20/B20)*1000</f>
        <v>-184.232430035485</v>
      </c>
      <c s="49" r="Y52">
        <f>(AQ20/B20)*1000</f>
        <v>679.287766845653</v>
      </c>
      <c s="49" r="Z52">
        <f>(AS20/B20)*1000</f>
        <v>1716.78428160917</v>
      </c>
      <c s="49" r="AA52">
        <f>(AU20/B20)*1000</f>
        <v>48.1832015202319</v>
      </c>
      <c s="49" r="AB52">
        <f>(-AW20/B20)*1000</f>
        <v>-138.499439790032</v>
      </c>
      <c s="49" r="AC52">
        <f>(AX20/B20)*1000</f>
        <v>280.309725636011</v>
      </c>
      <c s="49" r="AD52">
        <f>(DJ20/B20)*1000</f>
        <v>63.1324225248648</v>
      </c>
      <c s="49" r="AF52">
        <f>(DL20/B20)*1000</f>
        <v>24.9918463471121</v>
      </c>
      <c s="49" r="AG52">
        <f>(DN20/B20)*1000</f>
        <v>7105.30249795001</v>
      </c>
      <c s="49" r="AH52">
        <f>(DP20/B20)*1000</f>
        <v>23868.7241308</v>
      </c>
      <c s="49" r="AI52">
        <f>(DR20/B20)*1000</f>
        <v>0.768038092220129</v>
      </c>
      <c s="49" r="AJ52">
        <f>(DT20/B20)*1000</f>
        <v>3046.11880978274</v>
      </c>
      <c s="49" r="AK52">
        <f>(DV20/B20)*1000</f>
        <v>872.636340908085</v>
      </c>
      <c s="48" r="AL52">
        <f>AK52/C52</f>
        <v>0.018359018892247</v>
      </c>
    </row>
    <row r="53">
      <c t="str" s="38" r="B53">
        <f>A21</f>
        <v>    $50,000 under $55,000</v>
      </c>
      <c s="3" r="C53">
        <f>(C21/B21)*1000</f>
        <v>52534.5059532619</v>
      </c>
      <c s="3" r="D53">
        <f>SUM(F53:G53,I53:AB53)</f>
        <v>107321.437867135</v>
      </c>
      <c s="3" r="E53">
        <f>D53-C53</f>
        <v>54786.9319138729</v>
      </c>
      <c s="3" r="F53">
        <f>(E21/B21)*1000</f>
        <v>53395.8365443012</v>
      </c>
      <c s="3" r="G53">
        <f>(G21/B21)*1000</f>
        <v>40393.3730727814</v>
      </c>
      <c s="3" r="H53">
        <f>(-I21/B21)*1000</f>
        <v>-1060.73500967118</v>
      </c>
      <c s="3" r="I53">
        <f>(K21/B21)*1000</f>
        <v>632.703898582751</v>
      </c>
      <c s="3" r="J53">
        <f>(M21/B21)*1000</f>
        <v>975.792960197608</v>
      </c>
      <c s="49" r="K53">
        <f>(O21/B21)*1000</f>
        <v>632.666642850217</v>
      </c>
      <c s="49" r="L53">
        <f>(Q21/B21)*1000</f>
        <v>353.60028171458</v>
      </c>
      <c s="49" r="M53">
        <f>(S21/B21)*1000</f>
        <v>107.552196301986</v>
      </c>
      <c s="49" r="N53">
        <f>(U21/B21)*1000</f>
        <v>1588.14451141403</v>
      </c>
      <c s="3" r="O53">
        <f>(W21/B21)*1000</f>
        <v>189.384667990181</v>
      </c>
      <c s="49" r="P53">
        <f>(Y21/B21)*1000</f>
        <v>-118.268578106898</v>
      </c>
      <c s="49" r="Q53">
        <f>(AA21/B21)*1000</f>
        <v>1395.23330764559</v>
      </c>
      <c s="49" r="R53">
        <f>(AC21/B21)*1000</f>
        <v>4610.98891004016</v>
      </c>
      <c s="49" r="S53">
        <f>(-AE21/B21)*1000</f>
        <v>-509.781416024048</v>
      </c>
      <c s="49" r="T53">
        <f>(AG21/B21)*1000</f>
        <v>771.429446318572</v>
      </c>
      <c s="49" r="U53">
        <f>(AI21/B21)*1000</f>
        <v>36.7050621864522</v>
      </c>
      <c s="49" r="V53">
        <f>(AK21/B21)*1000</f>
        <v>228.775715386618</v>
      </c>
      <c s="49" r="W53">
        <f>(AM21/B21)*1000</f>
        <v>37.1255926468412</v>
      </c>
      <c s="49" r="X53">
        <f>(AO21/B21)*1000</f>
        <v>-255.134401330999</v>
      </c>
      <c s="49" r="Y53">
        <f>(AQ21/B21)*1000</f>
        <v>609.168482670981</v>
      </c>
      <c s="49" r="Z53">
        <f>(AS21/B21)*1000</f>
        <v>2324.98481701311</v>
      </c>
      <c s="49" r="AA53">
        <f>(AU21/B21)*1000</f>
        <v>52.8669051714019</v>
      </c>
      <c s="49" r="AB53">
        <f>(-AW21/B21)*1000</f>
        <v>-131.710752616832</v>
      </c>
      <c s="49" r="AC53">
        <f>(AX21/B21)*1000</f>
        <v>313.120142082136</v>
      </c>
      <c s="49" r="AD53">
        <f>(DJ21/B21)*1000</f>
        <v>99.1094348866762</v>
      </c>
      <c s="49" r="AF53">
        <f>(DL21/B21)*1000</f>
        <v>35.6333219354608</v>
      </c>
      <c s="49" r="AG53">
        <f>(DN21/B21)*1000</f>
        <v>7508.05234175245</v>
      </c>
      <c s="49" r="AH53">
        <f>(DP21/B21)*1000</f>
        <v>27209.8033611816</v>
      </c>
      <c s="49" r="AI53">
        <f>(DR21/B21)*1000</f>
        <v>2.45224376476833</v>
      </c>
      <c s="49" r="AJ53">
        <f>(DT21/B21)*1000</f>
        <v>3567.69825918762</v>
      </c>
      <c s="49" r="AK53">
        <f>(DV21/B21)*1000</f>
        <v>932.55130318511</v>
      </c>
      <c s="48" r="AL53">
        <f>AK53/C53</f>
        <v>0.017751214868467</v>
      </c>
    </row>
    <row r="54">
      <c t="str" s="38" r="B54">
        <f>A22</f>
        <v>    $55,000 under $60,000</v>
      </c>
      <c s="3" r="C54">
        <f>(C22/B22)*1000</f>
        <v>57499.1462291917</v>
      </c>
      <c s="3" r="D54">
        <f>SUM(F54:G54,I54:AB54)</f>
        <v>117109.001403227</v>
      </c>
      <c s="3" r="E54">
        <f>D54-C54</f>
        <v>59609.8551740356</v>
      </c>
      <c s="3" r="F54">
        <f>(E22/B22)*1000</f>
        <v>58326.456546319</v>
      </c>
      <c s="3" r="G54">
        <f>(G22/B22)*1000</f>
        <v>45260.3004515021</v>
      </c>
      <c s="3" r="H54">
        <f>(-I22/B22)*1000</f>
        <v>-889.866383459644</v>
      </c>
      <c s="3" r="I54">
        <f>(K22/B22)*1000</f>
        <v>364.657730890826</v>
      </c>
      <c s="3" r="J54">
        <f>(M22/B22)*1000</f>
        <v>840.761626063243</v>
      </c>
      <c s="49" r="K54">
        <f>(O22/B22)*1000</f>
        <v>562.032737871101</v>
      </c>
      <c s="49" r="L54">
        <f>(Q22/B22)*1000</f>
        <v>388.561776581013</v>
      </c>
      <c s="49" r="M54">
        <f>(S22/B22)*1000</f>
        <v>189.379839123247</v>
      </c>
      <c s="49" r="N54">
        <f>(U22/B22)*1000</f>
        <v>1372.41467286976</v>
      </c>
      <c s="3" r="O54">
        <f>(W22/B22)*1000</f>
        <v>65.7016725505897</v>
      </c>
      <c s="49" r="P54">
        <f>(Y22/B22)*1000</f>
        <v>-139.785309814035</v>
      </c>
      <c s="49" r="Q54">
        <f>(AA22/B22)*1000</f>
        <v>1288.20822888537</v>
      </c>
      <c s="49" r="R54">
        <f>(AC22/B22)*1000</f>
        <v>5058.96013635742</v>
      </c>
      <c s="49" r="S54">
        <f>(-AE22/B22)*1000</f>
        <v>-470.809645227875</v>
      </c>
      <c s="49" r="T54">
        <f>(AG22/B22)*1000</f>
        <v>765.064712907078</v>
      </c>
      <c s="49" r="U54">
        <f>(AI22/B22)*1000</f>
        <v>67.2160718960577</v>
      </c>
      <c s="49" r="V54">
        <f>(AK22/B22)*1000</f>
        <v>222.724801977941</v>
      </c>
      <c s="49" r="W54">
        <f>(AM22/B22)*1000</f>
        <v>65.5710325529258</v>
      </c>
      <c s="49" r="X54">
        <f>(AO22/B22)*1000</f>
        <v>-88.9996511143592</v>
      </c>
      <c s="49" r="Y54">
        <f>(AQ22/B22)*1000</f>
        <v>696.809156480589</v>
      </c>
      <c s="49" r="Z54">
        <f>(AS22/B22)*1000</f>
        <v>2290.38453755234</v>
      </c>
      <c s="49" r="AA54">
        <f>(AU22/B22)*1000</f>
        <v>133.619614238018</v>
      </c>
      <c s="49" r="AB54">
        <f>(-AW22/B22)*1000</f>
        <v>-150.229337235115</v>
      </c>
      <c s="49" r="AC54">
        <f>(AX22/B22)*1000</f>
        <v>318.878401827116</v>
      </c>
      <c s="49" r="AD54">
        <f>(DJ22/B22)*1000</f>
        <v>117.793218913188</v>
      </c>
      <c s="49" r="AF54">
        <f>(DL22/B22)*1000</f>
        <v>59.0897517276499</v>
      </c>
      <c s="49" r="AG54">
        <f>(DN22/B22)*1000</f>
        <v>7686.0700363589</v>
      </c>
      <c s="49" r="AH54">
        <f>(DP22/B22)*1000</f>
        <v>31696.6139649547</v>
      </c>
      <c s="49" r="AI54">
        <f>(DR22/B22)*1000</f>
        <v>5.67131283976005</v>
      </c>
      <c s="49" r="AJ54">
        <f>(DT22/B22)*1000</f>
        <v>4373.18314344426</v>
      </c>
      <c s="49" r="AK54">
        <f>(DV22/B22)*1000</f>
        <v>1081.91281547638</v>
      </c>
      <c s="48" r="AL54">
        <f>AK54/C54</f>
        <v>0.018816154437561</v>
      </c>
    </row>
    <row r="55">
      <c t="str" s="38" r="B55">
        <f>A23</f>
        <v>    $60,000 under $75,000</v>
      </c>
      <c s="3" r="C55">
        <f>(C23/B23)*1000</f>
        <v>67400.4043150315</v>
      </c>
      <c s="3" r="D55">
        <f>SUM(F55:G55,I55:AB55)</f>
        <v>137130.650496552</v>
      </c>
      <c s="3" r="E55">
        <f>D55-C55</f>
        <v>69730.2461815209</v>
      </c>
      <c s="3" r="F55">
        <f>(E23/B23)*1000</f>
        <v>68270.5348053017</v>
      </c>
      <c s="3" r="G55">
        <f>(G23/B23)*1000</f>
        <v>53935.1219492178</v>
      </c>
      <c s="3" r="H55">
        <f>(-I23/B23)*1000</f>
        <v>-920.506098859838</v>
      </c>
      <c s="3" r="I55">
        <f>(K23/B23)*1000</f>
        <v>524.884885116409</v>
      </c>
      <c s="3" r="J55">
        <f>(M23/B23)*1000</f>
        <v>925.039627573554</v>
      </c>
      <c s="49" r="K55">
        <f>(O23/B23)*1000</f>
        <v>654.300016078592</v>
      </c>
      <c s="49" r="L55">
        <f>(Q23/B23)*1000</f>
        <v>440.947734130971</v>
      </c>
      <c s="49" r="M55">
        <f>(S23/B23)*1000</f>
        <v>153.572562386615</v>
      </c>
      <c s="49" r="N55">
        <f>(U23/B23)*1000</f>
        <v>1659.39741466688</v>
      </c>
      <c s="3" r="O55">
        <f>(W23/B23)*1000</f>
        <v>237.66322475372</v>
      </c>
      <c s="49" r="P55">
        <f>(Y23/B23)*1000</f>
        <v>-39.9032598505624</v>
      </c>
      <c s="49" r="Q55">
        <f>(AA23/B23)*1000</f>
        <v>1437.60219325423</v>
      </c>
      <c s="49" r="R55">
        <f>(AC23/B23)*1000</f>
        <v>5238.40261614731</v>
      </c>
      <c s="49" r="S55">
        <f>(-AE23/B23)*1000</f>
        <v>-541.927259853547</v>
      </c>
      <c s="49" r="T55">
        <f>(AG23/B23)*1000</f>
        <v>834.234008049741</v>
      </c>
      <c s="49" r="U55">
        <f>(AI23/B23)*1000</f>
        <v>15.5693742741784</v>
      </c>
      <c s="49" r="V55">
        <f>(AK23/B23)*1000</f>
        <v>469.657346927888</v>
      </c>
      <c s="49" r="W55">
        <f>(AM23/B23)*1000</f>
        <v>50.7717910618698</v>
      </c>
      <c s="49" r="X55">
        <f>(AO23/B23)*1000</f>
        <v>-159.318140867117</v>
      </c>
      <c s="49" r="Y55">
        <f>(AQ23/B23)*1000</f>
        <v>639.413329115345</v>
      </c>
      <c s="49" r="Z55">
        <f>(AS23/B23)*1000</f>
        <v>2442.06297659875</v>
      </c>
      <c s="49" r="AA55">
        <f>(AU23/B23)*1000</f>
        <v>61.7522382257889</v>
      </c>
      <c s="49" r="AB55">
        <f>(-AW23/B23)*1000</f>
        <v>-119.128935757632</v>
      </c>
      <c s="49" r="AC55">
        <f>(AX23/B23)*1000</f>
        <v>340.566958754868</v>
      </c>
      <c s="49" r="AD55">
        <f>(DJ23/B23)*1000</f>
        <v>147.820082422369</v>
      </c>
      <c s="49" r="AF55">
        <f>(DL23/B23)*1000</f>
        <v>56.8633763625301</v>
      </c>
      <c s="49" r="AG55">
        <f>(DN23/B23)*1000</f>
        <v>8493.25258721703</v>
      </c>
      <c s="49" r="AH55">
        <f>(DP23/B23)*1000</f>
        <v>39510.9476184845</v>
      </c>
      <c s="49" r="AI55">
        <f>(DR23/B23)*1000</f>
        <v>8.55224404541848</v>
      </c>
      <c s="49" r="AJ55">
        <f>(DT23/B23)*1000</f>
        <v>5682.49183106809</v>
      </c>
      <c s="49" r="AK55">
        <f>(DV23/B23)*1000</f>
        <v>1364.59046408934</v>
      </c>
      <c s="48" r="AL55">
        <f>AK55/C55</f>
        <v>0.020246027868189</v>
      </c>
    </row>
    <row r="56">
      <c t="str" s="38" r="B56">
        <f>A24</f>
        <v>    $75,000 under $100,000</v>
      </c>
      <c s="3" r="C56">
        <f>(C24/B24)*1000</f>
        <v>86883.1127676233</v>
      </c>
      <c s="3" r="D56">
        <f>SUM(F56:G56,I56:AB56)</f>
        <v>175909.29132147</v>
      </c>
      <c s="3" r="E56">
        <f>D56-C56</f>
        <v>89026.1785538469</v>
      </c>
      <c s="3" r="F56">
        <f>(E24/B24)*1000</f>
        <v>87814.9455604714</v>
      </c>
      <c s="3" r="G56">
        <f>(G24/B24)*1000</f>
        <v>70145.9500005341</v>
      </c>
      <c s="3" r="H56">
        <f>(-I24/B24)*1000</f>
        <v>-1010.43782006622</v>
      </c>
      <c s="3" r="I56">
        <f>(K24/B24)*1000</f>
        <v>571.808048027423</v>
      </c>
      <c s="3" r="J56">
        <f>(M24/B24)*1000</f>
        <v>1058.30171985999</v>
      </c>
      <c s="49" r="K56">
        <f>(O24/B24)*1000</f>
        <v>751.584102389015</v>
      </c>
      <c s="49" r="L56">
        <f>(Q24/B24)*1000</f>
        <v>523.271986908613</v>
      </c>
      <c s="49" r="M56">
        <f>(S24/B24)*1000</f>
        <v>102.242370797525</v>
      </c>
      <c s="49" r="N56">
        <f>(U24/B24)*1000</f>
        <v>1897.39128347735</v>
      </c>
      <c s="3" r="O56">
        <f>(W24/B24)*1000</f>
        <v>292.738587269077</v>
      </c>
      <c s="49" r="P56">
        <f>(Y24/B24)*1000</f>
        <v>-29.2004445205796</v>
      </c>
      <c s="49" r="Q56">
        <f>(AA24/B24)*1000</f>
        <v>1778.71834646995</v>
      </c>
      <c s="49" r="R56">
        <f>(AC24/B24)*1000</f>
        <v>6615.46675254296</v>
      </c>
      <c s="49" r="S56">
        <f>(-AE24/B24)*1000</f>
        <v>-585.038430035813</v>
      </c>
      <c s="49" r="T56">
        <f>(AG24/B24)*1000</f>
        <v>799.664275397036</v>
      </c>
      <c s="49" r="U56">
        <f>(AI24/B24)*1000</f>
        <v>22.1488827444438</v>
      </c>
      <c s="49" r="V56">
        <f>(AK24/B24)*1000</f>
        <v>901.595423764285</v>
      </c>
      <c s="49" r="W56">
        <f>(AM24/B24)*1000</f>
        <v>104.874705937662</v>
      </c>
      <c s="49" r="X56">
        <f>(AO24/B24)*1000</f>
        <v>-91.8433216611734</v>
      </c>
      <c s="49" r="Y56">
        <f>(AQ24/B24)*1000</f>
        <v>592.136147680846</v>
      </c>
      <c s="49" r="Z56">
        <f>(AS24/B24)*1000</f>
        <v>2815.59833633149</v>
      </c>
      <c s="49" r="AA56">
        <f>(AU24/B24)*1000</f>
        <v>70.8232795960333</v>
      </c>
      <c s="49" r="AB56">
        <f>(-AW24/B24)*1000</f>
        <v>-243.886292511368</v>
      </c>
      <c s="49" r="AC56">
        <f>(AX24/B24)*1000</f>
        <v>335.980833973252</v>
      </c>
      <c s="49" r="AD56">
        <f>(DJ24/B24)*1000</f>
        <v>126.293270962248</v>
      </c>
      <c s="49" r="AF56">
        <f>(DL24/B24)*1000</f>
        <v>38.6166373972521</v>
      </c>
      <c s="49" r="AG56">
        <f>(DN24/B24)*1000</f>
        <v>9521.48575478231</v>
      </c>
      <c s="49" r="AH56">
        <f>(DP24/B24)*1000</f>
        <v>55341.1551706244</v>
      </c>
      <c s="49" r="AI56">
        <f>(DR24/B24)*1000</f>
        <v>18.8853990656206</v>
      </c>
      <c s="49" r="AJ56">
        <f>(DT24/B24)*1000</f>
        <v>8236.14067834094</v>
      </c>
      <c s="49" r="AK56">
        <f>(DV24/B24)*1000</f>
        <v>1634.35267910422</v>
      </c>
      <c s="48" r="AL56">
        <f>AK56/C56</f>
        <v>0.018810936061596</v>
      </c>
    </row>
    <row r="57">
      <c t="str" s="38" r="B57">
        <f>A25</f>
        <v>    $100,000 under $200,000</v>
      </c>
      <c s="3" r="C57">
        <f>(C25/B25)*1000</f>
        <v>135019.444600624</v>
      </c>
      <c s="3" r="D57">
        <f>SUM(F57:G57,I57:AB57)</f>
        <v>272712.045928297</v>
      </c>
      <c s="3" r="E57">
        <f>D57-C57</f>
        <v>137692.601327673</v>
      </c>
      <c s="3" r="F57">
        <f>(E25/B25)*1000</f>
        <v>136806.598080605</v>
      </c>
      <c s="3" r="G57">
        <f>(G25/B25)*1000</f>
        <v>108785.567138477</v>
      </c>
      <c s="3" r="H57">
        <f>(-I25/B25)*1000</f>
        <v>-1813.29956588198</v>
      </c>
      <c s="3" r="I57">
        <f>(K25/B25)*1000</f>
        <v>1003.71991407739</v>
      </c>
      <c s="3" r="J57">
        <f>(M25/B25)*1000</f>
        <v>1981.26309801233</v>
      </c>
      <c s="49" r="K57">
        <f>(O25/B25)*1000</f>
        <v>1507.17031597967</v>
      </c>
      <c s="49" r="L57">
        <f>(Q25/B25)*1000</f>
        <v>688.45667218554</v>
      </c>
      <c s="49" r="M57">
        <f>(S25/B25)*1000</f>
        <v>139.629307698567</v>
      </c>
      <c s="49" r="N57">
        <f>(U25/B25)*1000</f>
        <v>4060.38783910778</v>
      </c>
      <c s="3" r="O57">
        <f>(W25/B25)*1000</f>
        <v>1117.46059988678</v>
      </c>
      <c s="49" r="P57">
        <f>(Y25/B25)*1000</f>
        <v>-84.1028151843177</v>
      </c>
      <c s="49" r="Q57">
        <f>(AA25/B25)*1000</f>
        <v>2496.06391742713</v>
      </c>
      <c s="49" r="R57">
        <f>(AC25/B25)*1000</f>
        <v>8275.10522935687</v>
      </c>
      <c s="49" r="S57">
        <f>(-AE25/B25)*1000</f>
        <v>-1292.41529704659</v>
      </c>
      <c s="49" r="T57">
        <f>(AG25/B25)*1000</f>
        <v>858.366244608447</v>
      </c>
      <c s="49" r="U57">
        <f>(AI25/B25)*1000</f>
        <v>59.1804909155102</v>
      </c>
      <c s="49" r="V57">
        <f>(AK25/B25)*1000</f>
        <v>3220.21685297085</v>
      </c>
      <c s="49" r="W57">
        <f>(AM25/B25)*1000</f>
        <v>223.80598336236</v>
      </c>
      <c s="49" r="X57">
        <f>(AO25/B25)*1000</f>
        <v>-101.797463739394</v>
      </c>
      <c s="49" r="Y57">
        <f>(AQ25/B25)*1000</f>
        <v>516.944432124664</v>
      </c>
      <c s="49" r="Z57">
        <f>(AS25/B25)*1000</f>
        <v>2672.41908261443</v>
      </c>
      <c s="49" r="AA57">
        <f>(AU25/B25)*1000</f>
        <v>130.750160554872</v>
      </c>
      <c s="49" r="AB57">
        <f>(-AW25/B25)*1000</f>
        <v>-352.743855698624</v>
      </c>
      <c s="49" r="AC57">
        <f>(AX25/B25)*1000</f>
        <v>385.179344768495</v>
      </c>
      <c s="49" r="AD57">
        <f>(DJ25/B25)*1000</f>
        <v>218.621868219634</v>
      </c>
      <c s="49" r="AF57">
        <f>(DL25/B25)*1000</f>
        <v>37.3754106415664</v>
      </c>
      <c s="49" r="AG57">
        <f>(DN25/B25)*1000</f>
        <v>10505.5996894717</v>
      </c>
      <c s="49" r="AH57">
        <f>(DP25/B25)*1000</f>
        <v>95651.5943561514</v>
      </c>
      <c s="49" r="AI57">
        <f>(DR25/B25)*1000</f>
        <v>163.534784444389</v>
      </c>
      <c s="49" r="AJ57">
        <f>(DT25/B25)*1000</f>
        <v>17036.6937290532</v>
      </c>
      <c s="49" r="AK57">
        <f>(DV25/B25)*1000</f>
        <v>1473.17598664854</v>
      </c>
      <c s="48" r="AL57">
        <f>AK57/C57</f>
        <v>0.01091084318267</v>
      </c>
    </row>
    <row r="58">
      <c t="str" s="38" r="B58">
        <f>A26</f>
        <v>    $200,000 under $500,000</v>
      </c>
      <c s="3" r="C58">
        <f>(C26/B26)*1000</f>
        <v>284087.405174945</v>
      </c>
      <c s="3" r="D58">
        <f>SUM(F58:G58,I58:AB58)</f>
        <v>574707.8755911</v>
      </c>
      <c s="3" r="E58">
        <f>D58-C58</f>
        <v>290620.470416156</v>
      </c>
      <c s="3" r="F58">
        <f>(E26/B26)*1000</f>
        <v>290071.556874063</v>
      </c>
      <c s="3" r="G58">
        <f>(G26/B26)*1000</f>
        <v>200317.227163348</v>
      </c>
      <c s="3" r="H58">
        <f>(-I26/B26)*1000</f>
        <v>-6013.03402168328</v>
      </c>
      <c s="3" r="I58">
        <f>(K26/B26)*1000</f>
        <v>4205.42108353517</v>
      </c>
      <c s="3" r="J58">
        <f>(M26/B26)*1000</f>
        <v>7505.09479884244</v>
      </c>
      <c s="49" r="K58">
        <f>(O26/B26)*1000</f>
        <v>5978.65322208592</v>
      </c>
      <c s="49" r="L58">
        <f>(Q26/B26)*1000</f>
        <v>1001.75757289799</v>
      </c>
      <c s="49" r="M58">
        <f>(S26/B26)*1000</f>
        <v>307.281673010181</v>
      </c>
      <c s="49" r="N58">
        <f>(U26/B26)*1000</f>
        <v>15250.263766999</v>
      </c>
      <c s="3" r="O58">
        <f>(W26/B26)*1000</f>
        <v>7530.3649879945</v>
      </c>
      <c s="49" r="P58">
        <f>(Y26/B26)*1000</f>
        <v>-99.4847205183857</v>
      </c>
      <c s="49" r="Q58">
        <f>(AA26/B26)*1000</f>
        <v>4050.88638818114</v>
      </c>
      <c s="49" r="R58">
        <f>(AC26/B26)*1000</f>
        <v>9809.52647761945</v>
      </c>
      <c s="49" r="S58">
        <f>(-AE26/B26)*1000</f>
        <v>-4462.60111614398</v>
      </c>
      <c s="49" r="T58">
        <f>(AG26/B26)*1000</f>
        <v>1436.72672035062</v>
      </c>
      <c s="49" r="U58">
        <f>(AI26/B26)*1000</f>
        <v>213.31345087184</v>
      </c>
      <c s="49" r="V58">
        <f>(AK26/B26)*1000</f>
        <v>28686.1893565265</v>
      </c>
      <c s="49" r="W58">
        <f>(AM26/B26)*1000</f>
        <v>785.245824289893</v>
      </c>
      <c s="49" r="X58">
        <f>(AO26/B26)*1000</f>
        <v>-91.2738668176528</v>
      </c>
      <c s="49" r="Y58">
        <f>(AQ26/B26)*1000</f>
        <v>317.344793599866</v>
      </c>
      <c s="49" r="Z58">
        <f>(AS26/B26)*1000</f>
        <v>3021.82712874713</v>
      </c>
      <c s="49" r="AA58">
        <f>(AU26/B26)*1000</f>
        <v>391.410566931941</v>
      </c>
      <c s="49" r="AB58">
        <f>(-AW26/B26)*1000</f>
        <v>-1518.8565553144</v>
      </c>
      <c s="49" r="AC58">
        <f>(AX26/B26)*1000</f>
        <v>399.086350434609</v>
      </c>
      <c s="49" r="AD58">
        <f>(DJ26/B26)*1000</f>
        <v>1086.61059733887</v>
      </c>
      <c s="49" r="AF58">
        <f>(DL26/B26)*1000</f>
        <v>190.496458641335</v>
      </c>
      <c s="49" r="AG58">
        <f>(DN26/B26)*1000</f>
        <v>9637.29907835551</v>
      </c>
      <c s="49" r="AH58">
        <f>(DP26/B26)*1000</f>
        <v>223818.514870561</v>
      </c>
      <c s="49" r="AI58">
        <f>(DR26/B26)*1000</f>
        <v>4334.60269153744</v>
      </c>
      <c s="49" r="AJ58">
        <f>(DT26/B26)*1000</f>
        <v>56365.7979721724</v>
      </c>
      <c s="49" r="AK58">
        <f>(DV26/B26)*1000</f>
        <v>1041.64700701456</v>
      </c>
      <c s="48" r="AL58">
        <f>AK58/C58</f>
        <v>0.003666642688271</v>
      </c>
    </row>
    <row r="59">
      <c t="str" s="38" r="B59">
        <f>A27</f>
        <v>    $500,000 under $1,000,000</v>
      </c>
      <c s="3" r="C59">
        <f>(C27/B27)*1000</f>
        <v>674507.631654713</v>
      </c>
      <c s="3" r="D59">
        <f>SUM(F59:G59,I59:AB59)</f>
        <v>1361332.85698975</v>
      </c>
      <c s="3" r="E59">
        <f>D59-C59</f>
        <v>686825.225335034</v>
      </c>
      <c s="3" r="F59">
        <f>(E27/B27)*1000</f>
        <v>689089.566604392</v>
      </c>
      <c s="3" r="G59">
        <f>(G27/B27)*1000</f>
        <v>380756.564610053</v>
      </c>
      <c s="3" r="H59">
        <f>(-I27/B27)*1000</f>
        <v>-20470.2709064048</v>
      </c>
      <c s="3" r="I59">
        <f>(K27/B27)*1000</f>
        <v>14858.6079138883</v>
      </c>
      <c s="3" r="J59">
        <f>(M27/B27)*1000</f>
        <v>25712.3192959081</v>
      </c>
      <c s="49" r="K59">
        <f>(O27/B27)*1000</f>
        <v>20414.017530845</v>
      </c>
      <c s="49" r="L59">
        <f>(Q27/B27)*1000</f>
        <v>2981.5781122924</v>
      </c>
      <c s="49" r="M59">
        <f>(S27/B27)*1000</f>
        <v>117.21624807974</v>
      </c>
      <c s="49" r="N59">
        <f>(U27/B27)*1000</f>
        <v>30970.6039966628</v>
      </c>
      <c s="3" r="O59">
        <f>(W27/B27)*1000</f>
        <v>44341.8430714074</v>
      </c>
      <c s="49" r="P59">
        <f>(Y27/B27)*1000</f>
        <v>-515.699373958436</v>
      </c>
      <c s="49" r="Q59">
        <f>(AA27/B27)*1000</f>
        <v>5270.08681361866</v>
      </c>
      <c s="49" r="R59">
        <f>(AC27/B27)*1000</f>
        <v>7941.65351468014</v>
      </c>
      <c s="49" r="S59">
        <f>(-AE27/B27)*1000</f>
        <v>-13861.7748982341</v>
      </c>
      <c s="49" r="T59">
        <f>(AG27/B27)*1000</f>
        <v>3339.77728135304</v>
      </c>
      <c s="49" r="U59">
        <f>(AI27/B27)*1000</f>
        <v>211.320025134129</v>
      </c>
      <c s="49" r="V59">
        <f>(AK27/B27)*1000</f>
        <v>147046.87431044</v>
      </c>
      <c s="49" r="W59">
        <f>(AM27/B27)*1000</f>
        <v>2840.66517178841</v>
      </c>
      <c s="49" r="X59">
        <f>(AO27/B27)*1000</f>
        <v>-459.5678863164</v>
      </c>
      <c s="49" r="Y59">
        <f>(AQ27/B27)*1000</f>
        <v>156.632278862744</v>
      </c>
      <c s="49" r="Z59">
        <f>(AS27/B27)*1000</f>
        <v>3444.52943908441</v>
      </c>
      <c s="49" r="AA59">
        <f>(AU27/B27)*1000</f>
        <v>831.712714380883</v>
      </c>
      <c s="49" r="AB59">
        <f>(-AW27/B27)*1000</f>
        <v>-4155.66978461564</v>
      </c>
      <c s="49" r="AC59">
        <f>(AX27/B27)*1000</f>
        <v>536.006321359597</v>
      </c>
      <c s="49" r="AD59">
        <f>(DJ27/B27)*1000</f>
        <v>3522.32125031785</v>
      </c>
      <c s="49" r="AF59">
        <f>(DL27/B27)*1000</f>
        <v>587.665783329516</v>
      </c>
      <c s="49" r="AG59">
        <f>(DN27/B27)*1000</f>
        <v>7431.161696932</v>
      </c>
      <c s="49" r="AH59">
        <f>(DP27/B27)*1000</f>
        <v>566904.328492142</v>
      </c>
      <c s="49" r="AI59">
        <f>(DR27/B27)*1000</f>
        <v>7633.73101017764</v>
      </c>
      <c s="49" r="AJ59">
        <f>(DT27/B27)*1000</f>
        <v>168187.677972121</v>
      </c>
      <c s="49" r="AK59">
        <f>(DV27/B27)*1000</f>
        <v>4172.15827776575</v>
      </c>
      <c s="48" r="AL59">
        <f>AK59/C59</f>
        <v>0.006185487134564</v>
      </c>
    </row>
    <row r="60">
      <c t="str" s="38" r="B60">
        <f>A28</f>
        <v>    $1,000,000 under $1,500,000</v>
      </c>
      <c s="3" r="C60">
        <f>(C28/B28)*1000</f>
        <v>1204548.1115925</v>
      </c>
      <c s="3" r="D60">
        <f>SUM(F60:G60,I60:AB60)</f>
        <v>2420987.04080949</v>
      </c>
      <c s="3" r="E60">
        <f>D60-C60</f>
        <v>1216438.929217</v>
      </c>
      <c s="3" r="F60">
        <f>(E28/B28)*1000</f>
        <v>1227020.4764774</v>
      </c>
      <c s="3" r="G60">
        <f>(G28/B28)*1000</f>
        <v>557090.637821708</v>
      </c>
      <c s="3" r="H60">
        <f>(-I28/B28)*1000</f>
        <v>-43127.7747491847</v>
      </c>
      <c s="3" r="I60">
        <f>(K28/B28)*1000</f>
        <v>31487.2177430924</v>
      </c>
      <c s="3" r="J60">
        <f>(M28/B28)*1000</f>
        <v>60831.6452911753</v>
      </c>
      <c s="49" r="K60">
        <f>(O28/B28)*1000</f>
        <v>48722.3385839574</v>
      </c>
      <c s="49" r="L60">
        <f>(Q28/B28)*1000</f>
        <v>7426.1421781004</v>
      </c>
      <c s="49" r="M60">
        <f>(S28/B28)*1000</f>
        <v>86.8600503065255</v>
      </c>
      <c s="49" r="N60">
        <f>(U28/B28)*1000</f>
        <v>43624.6808022265</v>
      </c>
      <c s="3" r="O60">
        <f>(W28/B28)*1000</f>
        <v>113132.709761953</v>
      </c>
      <c s="49" r="P60">
        <f>(Y28/B28)*1000</f>
        <v>-76.205778555648</v>
      </c>
      <c s="49" r="Q60">
        <f>(AA28/B28)*1000</f>
        <v>4750.17932459186</v>
      </c>
      <c s="49" r="R60">
        <f>(AC28/B28)*1000</f>
        <v>8860.18420222076</v>
      </c>
      <c s="49" r="S60">
        <f>(-AE28/B28)*1000</f>
        <v>-28395.4800638874</v>
      </c>
      <c s="49" r="T60">
        <f>(AG28/B28)*1000</f>
        <v>5402.54784380111</v>
      </c>
      <c s="49" r="U60">
        <f>(AI28/B28)*1000</f>
        <v>439.263956235236</v>
      </c>
      <c s="49" r="V60">
        <f>(AK28/B28)*1000</f>
        <v>336074.484262474</v>
      </c>
      <c s="49" r="W60">
        <f>(AM28/B28)*1000</f>
        <v>8785.00176933597</v>
      </c>
      <c s="49" r="X60">
        <f>(AO28/B28)*1000</f>
        <v>-948.191929915168</v>
      </c>
      <c s="49" r="Y60">
        <f>(AQ28/B28)*1000</f>
        <v>107.413039527922</v>
      </c>
      <c s="49" r="Z60">
        <f>(AS28/B28)*1000</f>
        <v>3774.73005671439</v>
      </c>
      <c s="49" r="AA60">
        <f>(AU28/B28)*1000</f>
        <v>1173.06018611502</v>
      </c>
      <c s="49" r="AB60">
        <f>(-AW28/B28)*1000</f>
        <v>-8382.65476907775</v>
      </c>
      <c s="49" r="AC60">
        <f>(AX28/B28)*1000</f>
        <v>569.611415564418</v>
      </c>
      <c s="49" r="AD60">
        <f>(DJ28/B28)*1000</f>
        <v>7292.82988551918</v>
      </c>
      <c s="49" r="AF60">
        <f>(DL28/B28)*1000</f>
        <v>1466.22481087233</v>
      </c>
      <c s="49" r="AG60">
        <f>(DN28/B28)*1000</f>
        <v>7255.47298654348</v>
      </c>
      <c s="49" r="AH60">
        <f>(DP28/B28)*1000</f>
        <v>1028224.14139385</v>
      </c>
      <c s="49" r="AI60">
        <f>(DR28/B28)*1000</f>
        <v>6930.22121481652</v>
      </c>
      <c s="49" r="AJ60">
        <f>(DT28/B28)*1000</f>
        <v>313317.906636444</v>
      </c>
      <c s="49" r="AK60">
        <f>(DV28/B28)*1000</f>
        <v>9288.69824692279</v>
      </c>
      <c s="48" r="AL60">
        <f>AK60/C60</f>
        <v>0.007711355119425</v>
      </c>
    </row>
    <row r="61">
      <c t="str" s="38" r="B61">
        <f>A29</f>
        <v>    $1,500,000 under $2,000,000</v>
      </c>
      <c s="3" r="C61">
        <f>(C29/B29)*1000</f>
        <v>1719848.07625247</v>
      </c>
      <c s="3" r="D61">
        <f>SUM(F61:G61,I61:AB61)</f>
        <v>3452825.73520865</v>
      </c>
      <c s="3" r="E61">
        <f>D61-C61</f>
        <v>1732977.65895618</v>
      </c>
      <c s="3" r="F61">
        <f>(E29/B29)*1000</f>
        <v>1747997.79146809</v>
      </c>
      <c s="3" r="G61">
        <f>(G29/B29)*1000</f>
        <v>705131.279786121</v>
      </c>
      <c s="3" r="H61">
        <f>(-I29/B29)*1000</f>
        <v>-65007.6252470069</v>
      </c>
      <c s="3" r="I61">
        <f>(K29/B29)*1000</f>
        <v>45576.3570847379</v>
      </c>
      <c s="3" r="J61">
        <f>(M29/B29)*1000</f>
        <v>86419.5280716029</v>
      </c>
      <c s="49" r="K61">
        <f>(O29/B29)*1000</f>
        <v>68431.2914099733</v>
      </c>
      <c s="49" r="L61">
        <f>(Q29/B29)*1000</f>
        <v>12151.3193072184</v>
      </c>
      <c s="49" r="M61">
        <f>(S29/B29)*1000</f>
        <v>406.300127862374</v>
      </c>
      <c s="49" r="N61">
        <f>(U29/B29)*1000</f>
        <v>46913.1465767755</v>
      </c>
      <c s="3" r="O61">
        <f>(W29/B29)*1000</f>
        <v>201214.971521562</v>
      </c>
      <c s="49" r="P61">
        <f>(Y29/B29)*1000</f>
        <v>1589.70126699988</v>
      </c>
      <c s="49" r="Q61">
        <f>(AA29/B29)*1000</f>
        <v>6665.00058119261</v>
      </c>
      <c s="49" r="R61">
        <f>(AC29/B29)*1000</f>
        <v>8770.80088341276</v>
      </c>
      <c s="49" r="S61">
        <f>(-AE29/B29)*1000</f>
        <v>-34246.6813902127</v>
      </c>
      <c s="49" r="T61">
        <f>(AG29/B29)*1000</f>
        <v>6362.64093920725</v>
      </c>
      <c s="49" r="U61">
        <f>(AI29/B29)*1000</f>
        <v>391.189120074393</v>
      </c>
      <c s="49" r="V61">
        <f>(AK29/B29)*1000</f>
        <v>543503.03382541</v>
      </c>
      <c s="49" r="W61">
        <f>(AM29/B29)*1000</f>
        <v>15006.0676508195</v>
      </c>
      <c s="49" r="X61">
        <f>(AO29/B29)*1000</f>
        <v>-1642.38056491921</v>
      </c>
      <c s="49" r="Y61">
        <f>(AQ29/B29)*1000</f>
        <v>63.3267464837847</v>
      </c>
      <c s="49" r="Z61">
        <f>(AS29/B29)*1000</f>
        <v>4123.79402534</v>
      </c>
      <c s="49" r="AA61">
        <f>(AU29/B29)*1000</f>
        <v>1357.34046262932</v>
      </c>
      <c s="49" r="AB61">
        <f>(-AW29/B29)*1000</f>
        <v>-13360.0836917354</v>
      </c>
      <c s="49" r="AC61">
        <f>(AX29/B29)*1000</f>
        <v>605.83517377659</v>
      </c>
      <c s="49" r="AD61">
        <f>(DJ29/B29)*1000</f>
        <v>12018.3889340928</v>
      </c>
      <c s="49" r="AF61">
        <f>(DL29/B29)*1000</f>
        <v>1632.9419969778</v>
      </c>
      <c s="49" r="AG61">
        <f>(DN29/B29)*1000</f>
        <v>7247.63454608857</v>
      </c>
      <c s="49" r="AH61">
        <f>(DP29/B29)*1000</f>
        <v>1478588.56212949</v>
      </c>
      <c s="49" r="AI61">
        <f>(DR29/B29)*1000</f>
        <v>9290.22434034639</v>
      </c>
      <c s="49" r="AJ61">
        <f>(DT29/B29)*1000</f>
        <v>455981.471579682</v>
      </c>
      <c s="49" r="AK61">
        <f>(DV29/B29)*1000</f>
        <v>15651.1914448448</v>
      </c>
      <c s="48" r="AL61">
        <f>AK61/C61</f>
        <v>0.009100333721888</v>
      </c>
    </row>
    <row r="62">
      <c t="str" s="38" r="B62">
        <f>A30</f>
        <v>    $2,000,000 under $5,000,000</v>
      </c>
      <c s="3" r="C62">
        <f>(C30/B30)*1000</f>
        <v>2957331.61494994</v>
      </c>
      <c s="3" r="D62">
        <f>SUM(F62:G62,I62:AB62)</f>
        <v>5922722.08453125</v>
      </c>
      <c s="3" r="E62">
        <f>D62-C62</f>
        <v>2965390.46958131</v>
      </c>
      <c s="3" r="F62">
        <f>(E30/B30)*1000</f>
        <v>2993987.49215161</v>
      </c>
      <c s="3" r="G62">
        <f>(G30/B30)*1000</f>
        <v>1117195.87918443</v>
      </c>
      <c s="3" r="H62">
        <f>(-I30/B30)*1000</f>
        <v>-126594.246720201</v>
      </c>
      <c s="3" r="I62">
        <f>(K30/B30)*1000</f>
        <v>76495.8527477612</v>
      </c>
      <c s="3" r="J62">
        <f>(M30/B30)*1000</f>
        <v>166800.750140445</v>
      </c>
      <c s="49" r="K62">
        <f>(O30/B30)*1000</f>
        <v>134950.646046066</v>
      </c>
      <c s="49" r="L62">
        <f>(Q30/B30)*1000</f>
        <v>20330.9375103268</v>
      </c>
      <c s="49" r="M62">
        <f>(S30/B30)*1000</f>
        <v>152.886553649912</v>
      </c>
      <c s="49" r="N62">
        <f>(U30/B30)*1000</f>
        <v>65932.4212682991</v>
      </c>
      <c s="3" r="O62">
        <f>(W30/B30)*1000</f>
        <v>432119.311985724</v>
      </c>
      <c s="49" r="P62">
        <f>(Y30/B30)*1000</f>
        <v>3291.01814216318</v>
      </c>
      <c s="49" r="Q62">
        <f>(AA30/B30)*1000</f>
        <v>6161.51151647335</v>
      </c>
      <c s="49" r="R62">
        <f>(AC30/B30)*1000</f>
        <v>10421.4004824692</v>
      </c>
      <c s="49" r="S62">
        <f>(-AE30/B30)*1000</f>
        <v>-49351.6407256865</v>
      </c>
      <c s="49" r="T62">
        <f>(AG30/B30)*1000</f>
        <v>9277.78328541687</v>
      </c>
      <c s="49" r="U62">
        <f>(AI30/B30)*1000</f>
        <v>518.687419450778</v>
      </c>
      <c s="49" r="V62">
        <f>(AK30/B30)*1000</f>
        <v>926071.147681835</v>
      </c>
      <c s="49" r="W62">
        <f>(AM30/B30)*1000</f>
        <v>29998.9260103764</v>
      </c>
      <c s="49" r="X62">
        <f>(AO30/B30)*1000</f>
        <v>-2341.24781071346</v>
      </c>
      <c s="49" r="Y62">
        <f>(AQ30/B30)*1000</f>
        <v>80.6979280261723</v>
      </c>
      <c s="49" r="Z62">
        <f>(AS30/B30)*1000</f>
        <v>4340.53732527015</v>
      </c>
      <c s="49" r="AA62">
        <f>(AU30/B30)*1000</f>
        <v>1338.38934602293</v>
      </c>
      <c s="49" r="AB62">
        <f>(-AW30/B30)*1000</f>
        <v>-25051.3036581739</v>
      </c>
      <c s="49" r="AC62">
        <f>(AX30/B30)*1000</f>
        <v>617.18052939427</v>
      </c>
      <c s="49" r="AD62">
        <f>(DJ30/B30)*1000</f>
        <v>24388.3216020621</v>
      </c>
      <c s="49" r="AF62">
        <f>(DL30/B30)*1000</f>
        <v>3002.8915105251</v>
      </c>
      <c s="49" r="AG62">
        <f>(DN30/B30)*1000</f>
        <v>7166.71623541853</v>
      </c>
      <c s="49" r="AH62">
        <f>(DP30/B30)*1000</f>
        <v>2556471.035326</v>
      </c>
      <c s="49" r="AI62">
        <f>(DR30/B30)*1000</f>
        <v>13167.7076104557</v>
      </c>
      <c s="49" r="AJ62">
        <f>(DT30/B30)*1000</f>
        <v>789768.117378804</v>
      </c>
      <c s="49" r="AK62">
        <f>(DV30/B30)*1000</f>
        <v>28795.7932652589</v>
      </c>
      <c s="48" r="AL62">
        <f>AK62/C62</f>
        <v>0.009737086338133</v>
      </c>
    </row>
    <row r="63">
      <c t="str" s="38" r="B63">
        <f>A31</f>
        <v>    $5,000,000 under $10,000,000</v>
      </c>
      <c s="3" r="C63">
        <f>(C31/B31)*1000</f>
        <v>6810265.85695007</v>
      </c>
      <c s="3" r="D63">
        <f>SUM(F63:G63,I63:AB63)</f>
        <v>13653703.6721358</v>
      </c>
      <c s="3" r="E63">
        <f>D63-C63</f>
        <v>6843437.81518574</v>
      </c>
      <c s="3" r="F63">
        <f>(E31/B31)*1000</f>
        <v>6870827.18943107</v>
      </c>
      <c s="3" r="G63">
        <f>(G31/B31)*1000</f>
        <v>2280962.71041977</v>
      </c>
      <c s="3" r="H63">
        <f>(-I31/B31)*1000</f>
        <v>-315890.830314653</v>
      </c>
      <c s="3" r="I63">
        <f>(K31/B31)*1000</f>
        <v>159202.642233113</v>
      </c>
      <c s="3" r="J63">
        <f>(M31/B31)*1000</f>
        <v>449034.448469352</v>
      </c>
      <c s="49" r="K63">
        <f>(O31/B31)*1000</f>
        <v>368440.443213296</v>
      </c>
      <c s="49" r="L63">
        <f>(Q31/B31)*1000</f>
        <v>48394.34618936</v>
      </c>
      <c s="49" r="M63">
        <f>(S31/B31)*1000</f>
        <v>697.066553022232</v>
      </c>
      <c s="49" r="N63">
        <f>(U31/B31)*1000</f>
        <v>104209.745010299</v>
      </c>
      <c s="3" r="O63">
        <f>(W31/B31)*1000</f>
        <v>1395440.9404077</v>
      </c>
      <c s="49" r="P63">
        <f>(Y31/B31)*1000</f>
        <v>11754.8121315434</v>
      </c>
      <c s="49" r="Q63">
        <f>(AA31/B31)*1000</f>
        <v>9627.88550323176</v>
      </c>
      <c s="49" r="R63">
        <f>(AC31/B31)*1000</f>
        <v>13929.2563392286</v>
      </c>
      <c s="49" r="S63">
        <f>(-AE31/B31)*1000</f>
        <v>-93645.2162795653</v>
      </c>
      <c s="49" r="T63">
        <f>(AG31/B31)*1000</f>
        <v>16041.1961076781</v>
      </c>
      <c s="49" r="U63">
        <f>(AI31/B31)*1000</f>
        <v>453.441295546559</v>
      </c>
      <c s="49" r="V63">
        <f>(AK31/B31)*1000</f>
        <v>1998416.15171532</v>
      </c>
      <c s="49" r="W63">
        <f>(AM31/B31)*1000</f>
        <v>78483.4860430428</v>
      </c>
      <c s="49" r="X63">
        <f>(AO31/B31)*1000</f>
        <v>-8628.95091980965</v>
      </c>
      <c s="49" r="Y63">
        <f>(AQ31/B31)*1000</f>
        <v>95.8874920093757</v>
      </c>
      <c s="49" r="Z63">
        <f>(AS31/B31)*1000</f>
        <v>4593.36600610839</v>
      </c>
      <c s="49" r="AA63">
        <f>(AU31/B31)*1000</f>
        <v>1605.29867178067</v>
      </c>
      <c s="49" r="AB63">
        <f>(-AW31/B31)*1000</f>
        <v>-56232.4738972938</v>
      </c>
      <c s="49" r="AC63">
        <f>(AX31/B31)*1000</f>
        <v>634.988280417643</v>
      </c>
      <c s="49" r="AD63">
        <f>(DJ31/B31)*1000</f>
        <v>43738.9729384189</v>
      </c>
      <c s="49" r="AF63">
        <f>(DL31/B31)*1000</f>
        <v>4772.07188010512</v>
      </c>
      <c s="49" r="AG63">
        <f>(DN31/B31)*1000</f>
        <v>7104.05568577314</v>
      </c>
      <c s="49" r="AH63">
        <f>(DP31/B31)*1000</f>
        <v>5909387.6695788</v>
      </c>
      <c s="49" r="AI63">
        <f>(DR31/B31)*1000</f>
        <v>30056.0409119966</v>
      </c>
      <c s="49" r="AJ63">
        <f>(DT31/B31)*1000</f>
        <v>1792392.07330066</v>
      </c>
      <c s="49" r="AK63">
        <f>(DV31/B31)*1000</f>
        <v>69376.8023297109</v>
      </c>
      <c s="48" r="AL63">
        <f>AK63/C63</f>
        <v>0.010187091632981</v>
      </c>
    </row>
    <row r="64">
      <c t="str" s="38" r="B64">
        <f>A32</f>
        <v>    $10,000,000 or more</v>
      </c>
      <c s="3" r="C64">
        <f>(C32/B32)*1000</f>
        <v>29063243.7407953</v>
      </c>
      <c s="3" r="D64">
        <f>SUM(F64:G64,I64:AB64)</f>
        <v>58527325.8468336</v>
      </c>
      <c s="3" r="E64">
        <f>D64-C64</f>
        <v>29464082.1060383</v>
      </c>
      <c s="3" r="F64">
        <f>(E32/B32)*1000</f>
        <v>29246954.958272</v>
      </c>
      <c s="3" r="G64">
        <f>(G32/B32)*1000</f>
        <v>5578639.05252823</v>
      </c>
      <c s="3" r="H64">
        <f>(-I32/B32)*1000</f>
        <v>-1781900.0981836</v>
      </c>
      <c s="3" r="I64">
        <f>(K32/B32)*1000</f>
        <v>473369.783996073</v>
      </c>
      <c s="3" r="J64">
        <f>(M32/B32)*1000</f>
        <v>2738500.24545901</v>
      </c>
      <c s="49" r="K64">
        <f>(O32/B32)*1000</f>
        <v>2339790.25527737</v>
      </c>
      <c s="49" r="L64">
        <f>(Q32/B32)*1000</f>
        <v>172187.039764359</v>
      </c>
      <c s="49" r="M64">
        <f>(S32/B32)*1000</f>
        <v>4926.60775650466</v>
      </c>
      <c s="49" r="N64">
        <f>(U32/B32)*1000</f>
        <v>299553.264604811</v>
      </c>
      <c s="3" r="O64">
        <f>(W32/B32)*1000</f>
        <v>9829777.73686794</v>
      </c>
      <c s="49" r="P64">
        <f>(Y32/B32)*1000</f>
        <v>310673.662248404</v>
      </c>
      <c s="49" r="Q64">
        <f>(AA32/B32)*1000</f>
        <v>24540.7461953854</v>
      </c>
      <c s="49" r="R64">
        <f>(AC32/B32)*1000</f>
        <v>22306.087383407</v>
      </c>
      <c s="49" r="S64">
        <f>(-AE32/B32)*1000</f>
        <v>-281175.503190967</v>
      </c>
      <c s="49" r="T64">
        <f>(AG32/B32)*1000</f>
        <v>40920.5940108002</v>
      </c>
      <c s="49" r="U64">
        <f>(AI32/B32)*1000</f>
        <v>259.081983308787</v>
      </c>
      <c s="49" r="V64">
        <f>(AK32/B32)*1000</f>
        <v>7491091.3107511</v>
      </c>
      <c s="49" r="W64">
        <f>(AM32/B32)*1000</f>
        <v>489787.923416789</v>
      </c>
      <c s="49" r="X64">
        <f>(AO32/B32)*1000</f>
        <v>-15395.6799214531</v>
      </c>
      <c s="49" r="Y64">
        <f>(AQ32/B32)*1000</f>
        <v>26.8777614138439</v>
      </c>
      <c s="49" r="Z64">
        <f>(AS32/B32)*1000</f>
        <v>4881.56602847325</v>
      </c>
      <c s="49" r="AA64">
        <f>(AU32/B32)*1000</f>
        <v>1496.31811487482</v>
      </c>
      <c s="49" r="AB64">
        <f>(-AW32/B32)*1000</f>
        <v>-245786.082474227</v>
      </c>
      <c s="49" r="AC64">
        <f>(AX32/B32)*1000</f>
        <v>680.780559646539</v>
      </c>
      <c s="49" r="AD64">
        <f>(DJ32/B32)*1000</f>
        <v>94927.3441335297</v>
      </c>
      <c s="49" r="AF64">
        <f>(DL32/B32)*1000</f>
        <v>19783.5051546392</v>
      </c>
      <c s="49" r="AG64">
        <f>(DN32/B32)*1000</f>
        <v>7081.36966126657</v>
      </c>
      <c s="49" r="AH64">
        <f>(DP32/B32)*1000</f>
        <v>24819498.527246</v>
      </c>
      <c s="49" r="AI64">
        <f>(DR32/B32)*1000</f>
        <v>115758.8365243</v>
      </c>
      <c s="49" r="AJ64">
        <f>(DT32/B32)*1000</f>
        <v>6858675.74864998</v>
      </c>
      <c s="49" r="AK64">
        <f>(DV32/B32)*1000</f>
        <v>349652.675503191</v>
      </c>
      <c s="48" r="AL64">
        <f>AK64/C64</f>
        <v>0.012030751922312</v>
      </c>
    </row>
    <row r="67">
      <c t="s" s="39" r="F67">
        <v>132</v>
      </c>
    </row>
    <row r="69">
      <c t="s" s="39" r="C69">
        <v>106</v>
      </c>
      <c t="s" s="39" r="D69">
        <v>140</v>
      </c>
      <c t="s" s="39" r="E69">
        <v>141</v>
      </c>
      <c t="s" s="39" r="F69">
        <v>142</v>
      </c>
      <c t="s" s="39" r="G69">
        <v>143</v>
      </c>
      <c t="s" s="39" r="H69">
        <v>144</v>
      </c>
      <c t="s" s="39" r="I69">
        <v>145</v>
      </c>
      <c t="s" s="39" r="J69">
        <v>146</v>
      </c>
      <c t="s" s="67" r="K69">
        <v>147</v>
      </c>
      <c t="s" s="67" r="L69">
        <v>148</v>
      </c>
      <c t="s" s="67" r="M69">
        <v>149</v>
      </c>
      <c t="s" s="67" r="N69">
        <v>150</v>
      </c>
      <c t="s" s="39" r="O69">
        <v>151</v>
      </c>
    </row>
    <row r="70">
      <c t="str" s="38" r="B70">
        <f>A10</f>
        <v>All returns, total</v>
      </c>
      <c s="3" r="C70">
        <f>(C10/B10)*1000</f>
        <v>111570.899963183</v>
      </c>
      <c s="3" r="D70">
        <f>(AX10/B10)*1000</f>
        <v>333.803661680819</v>
      </c>
      <c s="3" r="E70">
        <f>SUM(F70:O70)</f>
        <v>15484.2432125396</v>
      </c>
      <c s="3" r="F70">
        <f>(BB10/B10)*1000</f>
        <v>273.641374328668</v>
      </c>
      <c s="3" r="G70">
        <f>(BH10/B10)*1000</f>
        <v>873.739313444913</v>
      </c>
      <c s="3" r="H70">
        <f>(((BX10+CD10)+CF10)/B10)*1000</f>
        <v>9276.47080681664</v>
      </c>
      <c s="3" r="I70">
        <f>(CH10/B10)*1000</f>
        <v>36.8639647252864</v>
      </c>
      <c s="3" r="J70">
        <f>(CJ10/B10)*1000</f>
        <v>119.648056440102</v>
      </c>
      <c s="49" r="K70">
        <f>(CR10/B10)*1000</f>
        <v>696.258618090756</v>
      </c>
      <c s="49" r="L70">
        <f>(CT10/B10)*1000</f>
        <v>608.015570643178</v>
      </c>
      <c s="49" r="M70">
        <f>(DD10/B10)*1000</f>
        <v>668.76417090645</v>
      </c>
      <c s="49" r="N70">
        <f>(DF10/B10)*1000</f>
        <v>2468.785905976</v>
      </c>
      <c s="3" r="O70">
        <f>(DH10/B10)*1000</f>
        <v>462.055431167582</v>
      </c>
    </row>
    <row r="71">
      <c t="str" s="38" r="B71">
        <f>A11</f>
        <v>    Under $5,000</v>
      </c>
      <c s="3" r="C71">
        <f>(C11/B11)*1000</f>
        <v>2500.94830864088</v>
      </c>
      <c s="3" r="D71">
        <f>(AX11/B11)*1000</f>
        <v>292.065400281874</v>
      </c>
      <c s="3" r="E71">
        <f>SUM(F71:O71)</f>
        <v>8879.81411784528</v>
      </c>
      <c s="3" r="F71">
        <f>(BB11/B11)*1000</f>
        <v>0</v>
      </c>
      <c s="3" r="G71">
        <f>(BH11/B11)*1000</f>
        <v>134.313745580062</v>
      </c>
      <c s="3" r="H71">
        <f>(((BX11+CD11)+CF11)/B11)*1000</f>
        <v>5828.96064006849</v>
      </c>
      <c s="3" r="I71">
        <f>(CH11/B11)*1000</f>
        <v>7.22217289044018</v>
      </c>
      <c s="3" r="J71">
        <f>(CJ11/B11)*1000</f>
        <v>66.1698576740141</v>
      </c>
      <c s="49" r="K71">
        <f>(CR11/B11)*1000</f>
        <v>125.545590535584</v>
      </c>
      <c s="49" r="L71">
        <f>(CT11/B11)*1000</f>
        <v>213.095083594602</v>
      </c>
      <c s="49" r="M71">
        <f>(DD11/B11)*1000</f>
        <v>831.731568318067</v>
      </c>
      <c s="49" r="N71">
        <f>(DF11/B11)*1000</f>
        <v>1069.50089138735</v>
      </c>
      <c s="3" r="O71">
        <f>(DH11/B11)*1000</f>
        <v>603.274567796668</v>
      </c>
    </row>
    <row r="72">
      <c t="str" s="38" r="B72">
        <f>A12</f>
        <v>    $5,000 under $10,000</v>
      </c>
      <c s="3" r="C72">
        <f>(C12/B12)*1000</f>
        <v>7762.60937757966</v>
      </c>
      <c s="3" r="D72">
        <f>(AX12/B12)*1000</f>
        <v>282.083031711561</v>
      </c>
      <c s="3" r="E72">
        <f>SUM(F72:O72)</f>
        <v>7933.62733518751</v>
      </c>
      <c s="3" r="F72">
        <f>(BB12/B12)*1000</f>
        <v>0</v>
      </c>
      <c s="3" r="G72">
        <f>(BH12/B12)*1000</f>
        <v>385.740910072262</v>
      </c>
      <c s="3" r="H72">
        <f>(((BX12+CD12)+CF12)/B12)*1000</f>
        <v>5228.02764760417</v>
      </c>
      <c s="3" r="I72">
        <f>(CH12/B12)*1000</f>
        <v>1.88592982055092</v>
      </c>
      <c s="3" r="J72">
        <f>(CJ12/B12)*1000</f>
        <v>107.051917044488</v>
      </c>
      <c s="49" r="K72">
        <f>(CR12/B12)*1000</f>
        <v>127.3701121398</v>
      </c>
      <c s="49" r="L72">
        <f>(CT12/B12)*1000</f>
        <v>561.607040804663</v>
      </c>
      <c s="49" r="M72">
        <f>(DD12/B12)*1000</f>
        <v>465.67226730674</v>
      </c>
      <c s="49" r="N72">
        <f>(DF12/B12)*1000</f>
        <v>961.314626433497</v>
      </c>
      <c s="3" r="O72">
        <f>(DH12/B12)*1000</f>
        <v>94.9568839613416</v>
      </c>
    </row>
    <row r="73">
      <c t="str" s="38" r="B73">
        <f>A13</f>
        <v>    $10,000 under $15,000</v>
      </c>
      <c s="3" r="C73">
        <f>(C13/B13)*1000</f>
        <v>12610.3201728626</v>
      </c>
      <c s="3" r="D73">
        <f>(AX13/B13)*1000</f>
        <v>261.826326865435</v>
      </c>
      <c s="3" r="E73">
        <f>SUM(F73:O73)</f>
        <v>7847.24332313987</v>
      </c>
      <c s="3" r="F73">
        <f>(BB13/B13)*1000</f>
        <v>0</v>
      </c>
      <c s="3" r="G73">
        <f>(BH13/B13)*1000</f>
        <v>638.238041468812</v>
      </c>
      <c s="3" r="H73">
        <f>(((BX13+CD13)+CF13)/B13)*1000</f>
        <v>5069.75403494095</v>
      </c>
      <c s="3" r="I73">
        <f>(CH13/B13)*1000</f>
        <v>9.49053655449527</v>
      </c>
      <c s="3" r="J73">
        <f>(CJ13/B13)*1000</f>
        <v>99.9508026536225</v>
      </c>
      <c s="49" r="K73">
        <f>(CR13/B13)*1000</f>
        <v>168.615777393928</v>
      </c>
      <c s="49" r="L73">
        <f>(CT13/B13)*1000</f>
        <v>436.020693227454</v>
      </c>
      <c s="49" r="M73">
        <f>(DD13/B13)*1000</f>
        <v>333.03677664188</v>
      </c>
      <c s="49" r="N73">
        <f>(DF13/B13)*1000</f>
        <v>854.504808119513</v>
      </c>
      <c s="3" r="O73">
        <f>(DH13/B13)*1000</f>
        <v>237.631852139218</v>
      </c>
    </row>
    <row r="74">
      <c t="str" s="38" r="B74">
        <f>A14</f>
        <v>    $15,000 under $20,000</v>
      </c>
      <c s="3" r="C74">
        <f>(C14/B14)*1000</f>
        <v>17450.4381484314</v>
      </c>
      <c s="3" r="D74">
        <f>(AX14/B14)*1000</f>
        <v>264.535217003684</v>
      </c>
      <c s="3" r="E74">
        <f>SUM(F74:O74)</f>
        <v>8385.44228093862</v>
      </c>
      <c s="3" r="F74">
        <f>(BB14/B14)*1000</f>
        <v>0</v>
      </c>
      <c s="3" r="G74">
        <f>(BH14/B14)*1000</f>
        <v>751.003181089373</v>
      </c>
      <c s="3" r="H74">
        <f>(((BX14+CD14)+CF14)/B14)*1000</f>
        <v>5211.81109907579</v>
      </c>
      <c s="3" r="I74">
        <f>(CH14/B14)*1000</f>
        <v>10.498963878636</v>
      </c>
      <c s="3" r="J74">
        <f>(CJ14/B14)*1000</f>
        <v>67.9784596272017</v>
      </c>
      <c s="49" r="K74">
        <f>(CR14/B14)*1000</f>
        <v>195.953565335537</v>
      </c>
      <c s="49" r="L74">
        <f>(CT14/B14)*1000</f>
        <v>335.364507666956</v>
      </c>
      <c s="49" r="M74">
        <f>(DD14/B14)*1000</f>
        <v>317.41933055095</v>
      </c>
      <c s="49" r="N74">
        <f>(DF14/B14)*1000</f>
        <v>1209.49843512306</v>
      </c>
      <c s="3" r="O74">
        <f>(DH14/B14)*1000</f>
        <v>285.914738591114</v>
      </c>
    </row>
    <row r="75">
      <c t="str" s="38" r="B75">
        <f>A15</f>
        <v>    $20,000 under $25,000</v>
      </c>
      <c s="3" r="C75">
        <f>(C15/B15)*1000</f>
        <v>22592.9562447855</v>
      </c>
      <c s="3" r="D75">
        <f>(AX15/B15)*1000</f>
        <v>277.828675613066</v>
      </c>
      <c s="3" r="E75">
        <f>SUM(F75:O75)</f>
        <v>9063.52352957669</v>
      </c>
      <c s="3" r="F75">
        <f>(BB15/B15)*1000</f>
        <v>0</v>
      </c>
      <c s="3" r="G75">
        <f>(BH15/B15)*1000</f>
        <v>832.466807159848</v>
      </c>
      <c s="3" r="H75">
        <f>(((BX15+CD15)+CF15)/B15)*1000</f>
        <v>5645.33504289437</v>
      </c>
      <c s="3" r="I75">
        <f>(CH15/B15)*1000</f>
        <v>15.2466170621163</v>
      </c>
      <c s="3" r="J75">
        <f>(CJ15/B15)*1000</f>
        <v>103.378429067994</v>
      </c>
      <c s="49" r="K75">
        <f>(CR15/B15)*1000</f>
        <v>226.010637773873</v>
      </c>
      <c s="49" r="L75">
        <f>(CT15/B15)*1000</f>
        <v>182.197831676438</v>
      </c>
      <c s="49" r="M75">
        <f>(DD15/B15)*1000</f>
        <v>276.738982007931</v>
      </c>
      <c s="49" r="N75">
        <f>(DF15/B15)*1000</f>
        <v>1600.86599572458</v>
      </c>
      <c s="3" r="O75">
        <f>(DH15/B15)*1000</f>
        <v>181.283186209541</v>
      </c>
    </row>
    <row r="76">
      <c t="str" s="38" r="B76">
        <f>A16</f>
        <v>    $25,000 under $30,000</v>
      </c>
      <c s="3" r="C76">
        <f>(C16/B16)*1000</f>
        <v>27601.374633204</v>
      </c>
      <c s="3" r="D76">
        <f>(AX16/B16)*1000</f>
        <v>243.893689640486</v>
      </c>
      <c s="3" r="E76">
        <f>SUM(F76:O76)</f>
        <v>10122.8332210416</v>
      </c>
      <c s="3" r="F76">
        <f>(BB16/B16)*1000</f>
        <v>0</v>
      </c>
      <c s="3" r="G76">
        <f>(BH16/B16)*1000</f>
        <v>853.938373698563</v>
      </c>
      <c s="3" r="H76">
        <f>(((BX16+CD16)+CF16)/B16)*1000</f>
        <v>6126.19414574269</v>
      </c>
      <c s="3" r="I76">
        <f>(CH16/B16)*1000</f>
        <v>15.352114421452</v>
      </c>
      <c s="3" r="J76">
        <f>(CJ16/B16)*1000</f>
        <v>99.4887194113784</v>
      </c>
      <c s="49" r="K76">
        <f>(CR16/B16)*1000</f>
        <v>231.492249262821</v>
      </c>
      <c s="49" r="L76">
        <f>(CT16/B16)*1000</f>
        <v>436.583009883193</v>
      </c>
      <c s="49" r="M76">
        <f>(DD16/B16)*1000</f>
        <v>270.315397313739</v>
      </c>
      <c s="49" r="N76">
        <f>(DF16/B16)*1000</f>
        <v>1846.40971974467</v>
      </c>
      <c s="3" r="O76">
        <f>(DH16/B16)*1000</f>
        <v>243.05949156312</v>
      </c>
    </row>
    <row r="77">
      <c t="str" s="38" r="B77">
        <f>A17</f>
        <v>    $30,000 under $35,000</v>
      </c>
      <c s="3" r="C77">
        <f>(C17/B17)*1000</f>
        <v>32526.8632363244</v>
      </c>
      <c s="3" r="D77">
        <f>(AX17/B17)*1000</f>
        <v>253.211168411839</v>
      </c>
      <c s="3" r="E77">
        <f>SUM(F77:O77)</f>
        <v>9909.2487512522</v>
      </c>
      <c s="3" r="F77">
        <f>(BB17/B17)*1000</f>
        <v>0</v>
      </c>
      <c s="3" r="G77">
        <f>(BH17/B17)*1000</f>
        <v>935.788701124117</v>
      </c>
      <c s="3" r="H77">
        <f>(((BX17+CD17)+CF17)/B17)*1000</f>
        <v>5805.88559510283</v>
      </c>
      <c s="3" r="I77">
        <f>(CH17/B17)*1000</f>
        <v>9.51295530945554</v>
      </c>
      <c s="3" r="J77">
        <f>(CJ17/B17)*1000</f>
        <v>119.937262312616</v>
      </c>
      <c s="49" r="K77">
        <f>(CR17/B17)*1000</f>
        <v>258.567665722383</v>
      </c>
      <c s="49" r="L77">
        <f>(CT17/B17)*1000</f>
        <v>187.506142442597</v>
      </c>
      <c s="49" r="M77">
        <f>(DD17/B17)*1000</f>
        <v>276.622854886626</v>
      </c>
      <c s="49" r="N77">
        <f>(DF17/B17)*1000</f>
        <v>2090.42997385547</v>
      </c>
      <c s="3" r="O77">
        <f>(DH17/B17)*1000</f>
        <v>224.997600496108</v>
      </c>
    </row>
    <row r="78">
      <c t="str" s="38" r="B78">
        <f>A18</f>
        <v>    $35,000 under $40,000</v>
      </c>
      <c s="3" r="C78">
        <f>(C18/B18)*1000</f>
        <v>37534.3870877145</v>
      </c>
      <c s="3" r="D78">
        <f>(AX18/B18)*1000</f>
        <v>273.367453755516</v>
      </c>
      <c s="3" r="E78">
        <f>SUM(F78:O78)</f>
        <v>10225.3282964753</v>
      </c>
      <c s="3" r="F78">
        <f>(BB18/B18)*1000</f>
        <v>0</v>
      </c>
      <c s="3" r="G78">
        <f>(BH18/B18)*1000</f>
        <v>940.72737988349</v>
      </c>
      <c s="3" r="H78">
        <f>(((BX18+CD18)+CF18)/B18)*1000</f>
        <v>6159.85251126591</v>
      </c>
      <c s="3" r="I78">
        <f>(CH18/B18)*1000</f>
        <v>24.4818107156991</v>
      </c>
      <c s="3" r="J78">
        <f>(CJ18/B18)*1000</f>
        <v>161.230696890652</v>
      </c>
      <c s="49" r="K78">
        <f>(CR18/B18)*1000</f>
        <v>275.328083710282</v>
      </c>
      <c s="49" r="L78">
        <f>(CT18/B18)*1000</f>
        <v>68.5103467644818</v>
      </c>
      <c s="49" r="M78">
        <f>(DD18/B18)*1000</f>
        <v>277.782328585836</v>
      </c>
      <c s="49" r="N78">
        <f>(DF18/B18)*1000</f>
        <v>2175.57106139974</v>
      </c>
      <c s="3" r="O78">
        <f>(DH18/B18)*1000</f>
        <v>141.844077259246</v>
      </c>
    </row>
    <row r="79">
      <c t="str" s="38" r="B79">
        <f>A19</f>
        <v>    $40,000 under $45,000</v>
      </c>
      <c s="3" r="C79">
        <f>(C19/B19)*1000</f>
        <v>42502.6360101764</v>
      </c>
      <c s="3" r="D79">
        <f>(AX19/B19)*1000</f>
        <v>255.900483605826</v>
      </c>
      <c s="3" r="E79">
        <f>SUM(F79:O79)</f>
        <v>11066.9708973358</v>
      </c>
      <c s="3" r="F79">
        <f>(BB19/B19)*1000</f>
        <v>0</v>
      </c>
      <c s="3" r="G79">
        <f>(BH19/B19)*1000</f>
        <v>923.960213338587</v>
      </c>
      <c s="3" r="H79">
        <f>(((BX19+CD19)+CF19)/B19)*1000</f>
        <v>6529.26675954838</v>
      </c>
      <c s="3" r="I79">
        <f>(CH19/B19)*1000</f>
        <v>23.4229656443339</v>
      </c>
      <c s="3" r="J79">
        <f>(CJ19/B19)*1000</f>
        <v>267.982095319649</v>
      </c>
      <c s="49" r="K79">
        <f>(CR19/B19)*1000</f>
        <v>300.798239766473</v>
      </c>
      <c s="49" r="L79">
        <f>(CT19/B19)*1000</f>
        <v>271.611211540609</v>
      </c>
      <c s="49" r="M79">
        <f>(DD19/B19)*1000</f>
        <v>257.954479510513</v>
      </c>
      <c s="49" r="N79">
        <f>(DF19/B19)*1000</f>
        <v>2316.64307237215</v>
      </c>
      <c s="3" r="O79">
        <f>(DH19/B19)*1000</f>
        <v>175.331860295118</v>
      </c>
    </row>
    <row r="80">
      <c t="str" s="38" r="B80">
        <f>A20</f>
        <v>    $45,000 under $50,000</v>
      </c>
      <c s="3" r="C80">
        <f>(C20/B20)*1000</f>
        <v>47531.7524334924</v>
      </c>
      <c s="3" r="D80">
        <f>(AX20/B20)*1000</f>
        <v>280.309725636011</v>
      </c>
      <c s="3" r="E80">
        <f>SUM(F80:O80)</f>
        <v>11556.7427365614</v>
      </c>
      <c s="3" r="F80">
        <f>(BB20/B20)*1000</f>
        <v>0</v>
      </c>
      <c s="3" r="G80">
        <f>(BH20/B20)*1000</f>
        <v>922.873645644818</v>
      </c>
      <c s="3" r="H80">
        <f>(((BX20+CD20)+CF20)/B20)*1000</f>
        <v>7019.50034826644</v>
      </c>
      <c s="3" r="I80">
        <f>(CH20/B20)*1000</f>
        <v>30.3897188867409</v>
      </c>
      <c s="3" r="J80">
        <f>(CJ20/B20)*1000</f>
        <v>164.056125939728</v>
      </c>
      <c s="49" r="K80">
        <f>(CR20/B20)*1000</f>
        <v>335.753536421879</v>
      </c>
      <c s="49" r="L80">
        <f>(CT20/B20)*1000</f>
        <v>371.042134580028</v>
      </c>
      <c s="49" r="M80">
        <f>(DD20/B20)*1000</f>
        <v>339.812357954107</v>
      </c>
      <c s="49" r="N80">
        <f>(DF20/B20)*1000</f>
        <v>2278.82251992629</v>
      </c>
      <c s="3" r="O80">
        <f>(DH20/B20)*1000</f>
        <v>94.4923489413626</v>
      </c>
    </row>
    <row r="81">
      <c t="str" s="38" r="B81">
        <f>A21</f>
        <v>    $50,000 under $55,000</v>
      </c>
      <c s="3" r="C81">
        <f>(C21/B21)*1000</f>
        <v>52534.5059532619</v>
      </c>
      <c s="3" r="D81">
        <f>(AX21/B21)*1000</f>
        <v>313.120142082136</v>
      </c>
      <c s="3" r="E81">
        <f>SUM(F81:O81)</f>
        <v>11447.4867691114</v>
      </c>
      <c s="3" r="F81">
        <f>(BB21/B21)*1000</f>
        <v>0</v>
      </c>
      <c s="3" r="G81">
        <f>(BH21/B21)*1000</f>
        <v>1128.55626381141</v>
      </c>
      <c s="3" r="H81">
        <f>(((BX21+CD21)+CF21)/B21)*1000</f>
        <v>7116.72578249797</v>
      </c>
      <c s="3" r="I81">
        <f>(CH21/B21)*1000</f>
        <v>35.117865909984</v>
      </c>
      <c s="3" r="J81">
        <f>(CJ21/B21)*1000</f>
        <v>185.558555294142</v>
      </c>
      <c s="49" r="K81">
        <f>(CR21/B21)*1000</f>
        <v>300.828812460767</v>
      </c>
      <c s="49" r="L81">
        <f>(CT21/B21)*1000</f>
        <v>58.6675716917675</v>
      </c>
      <c s="49" r="M81">
        <f>(DD21/B21)*1000</f>
        <v>253.240483201747</v>
      </c>
      <c s="49" r="N81">
        <f>(DF21/B21)*1000</f>
        <v>2232.63755275769</v>
      </c>
      <c s="3" r="O81">
        <f>(DH21/B21)*1000</f>
        <v>136.153881485942</v>
      </c>
    </row>
    <row r="82">
      <c t="str" s="38" r="B82">
        <f>A22</f>
        <v>    $55,000 under $60,000</v>
      </c>
      <c s="3" r="C82">
        <f>(C22/B22)*1000</f>
        <v>57499.1462291917</v>
      </c>
      <c s="3" r="D82">
        <f>(AX22/B22)*1000</f>
        <v>318.878401827116</v>
      </c>
      <c s="3" r="E82">
        <f>SUM(F82:O82)</f>
        <v>11697.3424750593</v>
      </c>
      <c s="3" r="F82">
        <f>(BB22/B22)*1000</f>
        <v>0</v>
      </c>
      <c s="3" r="G82">
        <f>(BH22/B22)*1000</f>
        <v>1044.83103637479</v>
      </c>
      <c s="3" r="H82">
        <f>(((BX22+CD22)+CF22)/B22)*1000</f>
        <v>7327.66868057188</v>
      </c>
      <c s="3" r="I82">
        <f>(CH22/B22)*1000</f>
        <v>37.3215419208383</v>
      </c>
      <c s="3" r="J82">
        <f>(CJ22/B22)*1000</f>
        <v>203.28557032556</v>
      </c>
      <c s="49" r="K82">
        <f>(CR22/B22)*1000</f>
        <v>303.400892143106</v>
      </c>
      <c s="49" r="L82">
        <f>(CT22/B22)*1000</f>
        <v>82.1131301394672</v>
      </c>
      <c s="49" r="M82">
        <f>(DD22/B22)*1000</f>
        <v>256.728087958117</v>
      </c>
      <c s="49" r="N82">
        <f>(DF22/B22)*1000</f>
        <v>2265.11056498469</v>
      </c>
      <c s="3" r="O82">
        <f>(DH22/B22)*1000</f>
        <v>176.882970640838</v>
      </c>
    </row>
    <row r="83">
      <c t="str" s="38" r="B83">
        <f>A23</f>
        <v>    $60,000 under $75,000</v>
      </c>
      <c s="3" r="C83">
        <f>(C23/B23)*1000</f>
        <v>67400.4043150315</v>
      </c>
      <c s="3" r="D83">
        <f>(AX23/B23)*1000</f>
        <v>340.566958754868</v>
      </c>
      <c s="3" r="E83">
        <f>SUM(F83:O83)</f>
        <v>12561.8333772914</v>
      </c>
      <c s="3" r="F83">
        <f>(BB23/B23)*1000</f>
        <v>0</v>
      </c>
      <c s="3" r="G83">
        <f>(BH23/B23)*1000</f>
        <v>1039.23735993252</v>
      </c>
      <c s="3" r="H83">
        <f>(((BX23+CD23)+CF23)/B23)*1000</f>
        <v>8129.72122109258</v>
      </c>
      <c s="3" r="I83">
        <f>(CH23/B23)*1000</f>
        <v>41.0972165383426</v>
      </c>
      <c s="3" r="J83">
        <f>(CJ23/B23)*1000</f>
        <v>188.776098333833</v>
      </c>
      <c s="49" r="K83">
        <f>(CR23/B23)*1000</f>
        <v>355.534038677407</v>
      </c>
      <c s="49" r="L83">
        <f>(CT23/B23)*1000</f>
        <v>123.237743431186</v>
      </c>
      <c s="49" r="M83">
        <f>(DD23/B23)*1000</f>
        <v>273.764886220647</v>
      </c>
      <c s="49" r="N83">
        <f>(DF23/B23)*1000</f>
        <v>2205.7634477276</v>
      </c>
      <c s="3" r="O83">
        <f>(DH23/B23)*1000</f>
        <v>204.701365337317</v>
      </c>
    </row>
    <row r="84">
      <c t="str" s="38" r="B84">
        <f>A24</f>
        <v>    $75,000 under $100,000</v>
      </c>
      <c s="3" r="C84">
        <f>(C24/B24)*1000</f>
        <v>86883.1127676233</v>
      </c>
      <c s="3" r="D84">
        <f>(AX24/B24)*1000</f>
        <v>335.980833973252</v>
      </c>
      <c s="3" r="E84">
        <f>SUM(F84:O84)</f>
        <v>13621.1763653994</v>
      </c>
      <c s="3" r="F84">
        <f>(BB24/B24)*1000</f>
        <v>0.786891627734191</v>
      </c>
      <c s="3" r="G84">
        <f>(BH24/B24)*1000</f>
        <v>1003.10193813768</v>
      </c>
      <c s="3" r="H84">
        <f>(((BX24+CD24)+CF24)/B24)*1000</f>
        <v>9134.95778254546</v>
      </c>
      <c s="3" r="I84">
        <f>(CH24/B24)*1000</f>
        <v>37.5348757042232</v>
      </c>
      <c s="3" r="J84">
        <f>(CJ24/B24)*1000</f>
        <v>207.805722299127</v>
      </c>
      <c s="49" r="K84">
        <f>(CR24/B24)*1000</f>
        <v>421.063112084516</v>
      </c>
      <c s="49" r="L84">
        <f>(CT24/B24)*1000</f>
        <v>99.5059871415024</v>
      </c>
      <c s="49" r="M84">
        <f>(DD24/B24)*1000</f>
        <v>340.589563419549</v>
      </c>
      <c s="49" r="N84">
        <f>(DF24/B24)*1000</f>
        <v>2210.25593956799</v>
      </c>
      <c s="3" r="O84">
        <f>(DH24/B24)*1000</f>
        <v>165.574552871614</v>
      </c>
    </row>
    <row r="85">
      <c t="str" s="38" r="B85">
        <f>A25</f>
        <v>    $100,000 under $200,000</v>
      </c>
      <c s="3" r="C85">
        <f>(C25/B25)*1000</f>
        <v>135019.444600624</v>
      </c>
      <c s="3" r="D85">
        <f>(AX25/B25)*1000</f>
        <v>385.179344768495</v>
      </c>
      <c s="3" r="E85">
        <f>SUM(F85:O85)</f>
        <v>16519.2994988313</v>
      </c>
      <c s="3" r="F85">
        <f>(BB25/B25)*1000</f>
        <v>27.7094660498473</v>
      </c>
      <c s="3" r="G85">
        <f>(BH25/B25)*1000</f>
        <v>814.519486070752</v>
      </c>
      <c s="3" r="H85">
        <f>(((BX25+CD25)+CF25)/B25)*1000</f>
        <v>11614.1346956721</v>
      </c>
      <c s="3" r="I85">
        <f>(CH25/B25)*1000</f>
        <v>49.628741958724</v>
      </c>
      <c s="3" r="J85">
        <f>(CJ25/B25)*1000</f>
        <v>15.7341155443308</v>
      </c>
      <c s="49" r="K85">
        <f>(CR25/B25)*1000</f>
        <v>581.474045637046</v>
      </c>
      <c s="49" r="L85">
        <f>(CT25/B25)*1000</f>
        <v>250.51126119126</v>
      </c>
      <c s="49" r="M85">
        <f>(DD25/B25)*1000</f>
        <v>473.770886538779</v>
      </c>
      <c s="49" r="N85">
        <f>(DF25/B25)*1000</f>
        <v>2395.10380103838</v>
      </c>
      <c s="3" r="O85">
        <f>(DH25/B25)*1000</f>
        <v>296.712999130088</v>
      </c>
    </row>
    <row r="86">
      <c t="str" s="38" r="B86">
        <f>A26</f>
        <v>    $200,000 under $500,000</v>
      </c>
      <c s="3" r="C86">
        <f>(C26/B26)*1000</f>
        <v>284087.405174945</v>
      </c>
      <c s="3" r="D86">
        <f>(AX26/B26)*1000</f>
        <v>399.086350434609</v>
      </c>
      <c s="3" r="E86">
        <f>SUM(F86:O86)</f>
        <v>27161.0240188523</v>
      </c>
      <c s="3" r="F86">
        <f>(BB26/B26)*1000</f>
        <v>1185.61824363289</v>
      </c>
      <c s="3" r="G86">
        <f>(BH26/B26)*1000</f>
        <v>542.37801841192</v>
      </c>
      <c s="3" r="H86">
        <f>(((BX26+CD26)+CF26)/B26)*1000</f>
        <v>16999.89056127</v>
      </c>
      <c s="3" r="I86">
        <f>(CH26/B26)*1000</f>
        <v>58.9022836651883</v>
      </c>
      <c s="3" r="J86">
        <f>(CJ26/B26)*1000</f>
        <v>0.511150954672706</v>
      </c>
      <c s="49" r="K86">
        <f>(CR26/B26)*1000</f>
        <v>1090.59200455055</v>
      </c>
      <c s="49" r="L86">
        <f>(CT26/B26)*1000</f>
        <v>1311.93969991507</v>
      </c>
      <c s="49" r="M86">
        <f>(DD26/B26)*1000</f>
        <v>1397.76063456114</v>
      </c>
      <c s="49" r="N86">
        <f>(DF26/B26)*1000</f>
        <v>3114.27336615185</v>
      </c>
      <c s="3" r="O86">
        <f>(DH26/B26)*1000</f>
        <v>1459.15805573905</v>
      </c>
    </row>
    <row r="87">
      <c t="str" s="38" r="B87">
        <f>A27</f>
        <v>    $500,000 under $1,000,000</v>
      </c>
      <c s="3" r="C87">
        <f>(C27/B27)*1000</f>
        <v>674507.631654713</v>
      </c>
      <c s="3" r="D87">
        <f>(AX27/B27)*1000</f>
        <v>536.006321359597</v>
      </c>
      <c s="3" r="E87">
        <f>SUM(F87:O87)</f>
        <v>53509.6785311245</v>
      </c>
      <c s="3" r="F87">
        <f>(BB27/B27)*1000</f>
        <v>5069.96366479141</v>
      </c>
      <c s="3" r="G87">
        <f>(BH27/B27)*1000</f>
        <v>346.57568504162</v>
      </c>
      <c s="3" r="H87">
        <f>(((BX27+CD27)+CF27)/B27)*1000</f>
        <v>22119.6350927924</v>
      </c>
      <c s="3" r="I87">
        <f>(CH27/B27)*1000</f>
        <v>75.410793805572</v>
      </c>
      <c s="3" r="J87">
        <f>(CJ27/B27)*1000</f>
        <v>0</v>
      </c>
      <c s="49" r="K87">
        <f>(CR27/B27)*1000</f>
        <v>3066.0947741606</v>
      </c>
      <c s="49" r="L87">
        <f>(CT27/B27)*1000</f>
        <v>5164.42049650413</v>
      </c>
      <c s="49" r="M87">
        <f>(DD27/B27)*1000</f>
        <v>5599.86928571579</v>
      </c>
      <c s="49" r="N87">
        <f>(DF27/B27)*1000</f>
        <v>7469.25797577793</v>
      </c>
      <c s="3" r="O87">
        <f>(DH27/B27)*1000</f>
        <v>4598.45076253502</v>
      </c>
    </row>
    <row r="88">
      <c t="str" s="38" r="B88">
        <f>A28</f>
        <v>    $1,000,000 under $1,500,000</v>
      </c>
      <c s="3" r="C88">
        <f>(C28/B28)*1000</f>
        <v>1204548.1115925</v>
      </c>
      <c s="3" r="D88">
        <f>(AX28/B28)*1000</f>
        <v>569.611415564418</v>
      </c>
      <c s="3" r="E88">
        <f>SUM(F88:O88)</f>
        <v>113295.766026837</v>
      </c>
      <c s="3" r="F88">
        <f>(BB28/B28)*1000</f>
        <v>10129.3719335495</v>
      </c>
      <c s="3" r="G88">
        <f>(BH28/B28)*1000</f>
        <v>445.949177019673</v>
      </c>
      <c s="3" r="H88">
        <f>(((BX28+CD28)+CF28)/B28)*1000</f>
        <v>22462.4374754923</v>
      </c>
      <c s="3" r="I88">
        <f>(CH28/B28)*1000</f>
        <v>57.8142484147706</v>
      </c>
      <c s="3" r="J88">
        <f>(CJ28/B28)*1000</f>
        <v>0</v>
      </c>
      <c s="49" r="K88">
        <f>(CR28/B28)*1000</f>
        <v>9453.61948756205</v>
      </c>
      <c s="49" r="L88">
        <f>(CT28/B28)*1000</f>
        <v>30360.9923583814</v>
      </c>
      <c s="49" r="M88">
        <f>(DD28/B28)*1000</f>
        <v>13663.8357291099</v>
      </c>
      <c s="49" r="N88">
        <f>(DF28/B28)*1000</f>
        <v>15982.2683843572</v>
      </c>
      <c s="3" r="O88">
        <f>(DH28/B28)*1000</f>
        <v>10739.4772329498</v>
      </c>
    </row>
    <row r="89">
      <c t="str" s="38" r="B89">
        <f>A29</f>
        <v>    $1,500,000 under $2,000,000</v>
      </c>
      <c s="3" r="C89">
        <f>(C29/B29)*1000</f>
        <v>1719848.07625247</v>
      </c>
      <c s="3" r="D89">
        <f>(AX29/B29)*1000</f>
        <v>605.83517377659</v>
      </c>
      <c s="3" r="E89">
        <f>SUM(F89:O89)</f>
        <v>123659.374636755</v>
      </c>
      <c s="3" r="F89">
        <f>(BB29/B29)*1000</f>
        <v>14961.1298384285</v>
      </c>
      <c s="3" r="G89">
        <f>(BH29/B29)*1000</f>
        <v>407.625247006858</v>
      </c>
      <c s="3" r="H89">
        <f>(((BX29+CD29)+CF29)/B29)*1000</f>
        <v>22633.6626758108</v>
      </c>
      <c s="3" r="I89">
        <f>(CH29/B29)*1000</f>
        <v>60.3742880390562</v>
      </c>
      <c s="3" r="J89">
        <f>(CJ29/B29)*1000</f>
        <v>0</v>
      </c>
      <c s="49" r="K89">
        <f>(CR29/B29)*1000</f>
        <v>15935.5573637103</v>
      </c>
      <c s="49" r="L89">
        <f>(CT29/B29)*1000</f>
        <v>14698.9654771591</v>
      </c>
      <c s="49" r="M89">
        <f>(DD29/B29)*1000</f>
        <v>18863.4662327095</v>
      </c>
      <c s="49" r="N89">
        <f>(DF29/B29)*1000</f>
        <v>21454.7018481925</v>
      </c>
      <c s="3" r="O89">
        <f>(DH29/B29)*1000</f>
        <v>14643.891665698</v>
      </c>
    </row>
    <row r="90">
      <c t="str" s="38" r="B90">
        <f>A30</f>
        <v>    $2,000,000 under $5,000,000</v>
      </c>
      <c s="3" r="C90">
        <f>(C30/B30)*1000</f>
        <v>2957331.61494994</v>
      </c>
      <c s="3" r="D90">
        <f>(AX30/B30)*1000</f>
        <v>617.18052939427</v>
      </c>
      <c s="3" r="E90">
        <f>SUM(F90:O90)</f>
        <v>222342.635735766</v>
      </c>
      <c s="3" r="F90">
        <f>(BB30/B30)*1000</f>
        <v>25931.1324807508</v>
      </c>
      <c s="3" r="G90">
        <f>(BH30/B30)*1000</f>
        <v>300.91536961766</v>
      </c>
      <c s="3" r="H90">
        <f>(((BX30+CD30)+CF30)/B30)*1000</f>
        <v>22319.2723307227</v>
      </c>
      <c s="3" r="I90">
        <f>(CH30/B30)*1000</f>
        <v>80.2352863421566</v>
      </c>
      <c s="3" r="J90">
        <f>(CJ30/B30)*1000</f>
        <v>0</v>
      </c>
      <c s="49" r="K90">
        <f>(CR30/B30)*1000</f>
        <v>30513.4331317537</v>
      </c>
      <c s="49" r="L90">
        <f>(CT30/B30)*1000</f>
        <v>35480.9655992862</v>
      </c>
      <c s="49" r="M90">
        <f>(DD30/B30)*1000</f>
        <v>36379.8288225769</v>
      </c>
      <c s="49" r="N90">
        <f>(DF30/B30)*1000</f>
        <v>41226.3309209874</v>
      </c>
      <c s="3" r="O90">
        <f>(DH30/B30)*1000</f>
        <v>30110.5217937279</v>
      </c>
    </row>
    <row r="91">
      <c t="str" s="38" r="B91">
        <f>A31</f>
        <v>    $5,000,000 under $10,000,000</v>
      </c>
      <c s="3" r="C91">
        <f>(C31/B31)*1000</f>
        <v>6810265.85695007</v>
      </c>
      <c s="3" r="D91">
        <f>(AX31/B31)*1000</f>
        <v>634.988280417643</v>
      </c>
      <c s="3" r="E91">
        <f>SUM(F91:O91)</f>
        <v>611038.923218979</v>
      </c>
      <c s="3" r="F91">
        <f>(BB31/B31)*1000</f>
        <v>59089.0688259109</v>
      </c>
      <c s="3" r="G91">
        <f>(BH31/B31)*1000</f>
        <v>227.715036579302</v>
      </c>
      <c s="3" r="H91">
        <f>(((BX31+CD31)+CF31)/B31)*1000</f>
        <v>21986.930889978</v>
      </c>
      <c s="3" r="I91">
        <f>(CH31/B31)*1000</f>
        <v>72.9455216989843</v>
      </c>
      <c s="3" r="J91">
        <f>(CJ31/B31)*1000</f>
        <v>0</v>
      </c>
      <c s="49" r="K91">
        <f>(CR31/B31)*1000</f>
        <v>98495.2766531714</v>
      </c>
      <c s="49" r="L91">
        <f>(CT31/B31)*1000</f>
        <v>185574.614674338</v>
      </c>
      <c s="49" r="M91">
        <f>(DD31/B31)*1000</f>
        <v>91090.2052702607</v>
      </c>
      <c s="49" r="N91">
        <f>(DF31/B31)*1000</f>
        <v>101692.165636764</v>
      </c>
      <c s="3" r="O91">
        <f>(DH31/B31)*1000</f>
        <v>52810.0007102777</v>
      </c>
    </row>
    <row r="92">
      <c t="str" s="38" r="B92">
        <f>A32</f>
        <v>    $10,000,000 or more</v>
      </c>
      <c s="3" r="C92">
        <f>(C32/B32)*1000</f>
        <v>29063243.7407953</v>
      </c>
      <c s="3" r="D92">
        <f>(AX32/B32)*1000</f>
        <v>680.780559646539</v>
      </c>
      <c s="3" r="E92">
        <f>SUM(F92:O92)</f>
        <v>2433271.23220422</v>
      </c>
      <c s="3" r="F92">
        <f>(BB32/B32)*1000</f>
        <v>251097.569955817</v>
      </c>
      <c s="3" r="G92">
        <f>(BH32/B32)*1000</f>
        <v>0</v>
      </c>
      <c s="3" r="H92">
        <f>(((BX32+CD32)+CF32)/B32)*1000</f>
        <v>23324.1286205204</v>
      </c>
      <c s="3" r="I92">
        <f>(CH32/B32)*1000</f>
        <v>68.1148748159057</v>
      </c>
      <c s="3" r="J92">
        <f>(CJ32/B32)*1000</f>
        <v>0</v>
      </c>
      <c s="49" r="K92">
        <f>(CR32/B32)*1000</f>
        <v>708171.084928817</v>
      </c>
      <c s="49" r="L92">
        <f>(CT32/B32)*1000</f>
        <v>529057.437407953</v>
      </c>
      <c s="49" r="M92">
        <f>(DD32/B32)*1000</f>
        <v>383014.359351988</v>
      </c>
      <c s="49" r="N92">
        <f>(DF32/B32)*1000</f>
        <v>403686.917034855</v>
      </c>
      <c s="3" r="O92">
        <f>(DH32/B32)*1000</f>
        <v>134851.620029455</v>
      </c>
    </row>
    <row r="94">
      <c t="s" s="39" r="C94">
        <v>106</v>
      </c>
      <c t="s" s="39" r="D94">
        <v>140</v>
      </c>
      <c t="s" s="39" r="E94">
        <v>141</v>
      </c>
      <c t="s" s="39" r="F94">
        <v>142</v>
      </c>
      <c t="s" s="39" r="G94">
        <v>143</v>
      </c>
      <c t="s" s="39" r="H94">
        <v>144</v>
      </c>
      <c t="s" s="39" r="I94">
        <v>145</v>
      </c>
      <c t="s" s="67" r="J94">
        <v>146</v>
      </c>
      <c t="s" s="67" r="K94">
        <v>147</v>
      </c>
      <c t="s" s="67" r="L94">
        <v>148</v>
      </c>
      <c t="s" s="67" r="M94">
        <v>149</v>
      </c>
      <c t="s" s="39" r="N94">
        <v>150</v>
      </c>
      <c t="s" s="67" r="O94">
        <v>151</v>
      </c>
    </row>
    <row r="95">
      <c t="s" s="39" r="B95">
        <v>75</v>
      </c>
      <c s="3" r="C95">
        <v>118997.251803368</v>
      </c>
      <c s="3" r="D95">
        <v>27451.7877021891</v>
      </c>
      <c s="3" r="E95">
        <v>28281.8256514394</v>
      </c>
      <c s="42" r="F95">
        <f>F70/$C70</f>
        <v>0.002452623169832</v>
      </c>
      <c s="42" r="G95">
        <f>G70/$C70</f>
        <v>0.007831247338986</v>
      </c>
      <c s="42" r="H95">
        <f>H70/$C70</f>
        <v>0.08314417836441</v>
      </c>
      <c s="42" r="I95">
        <f>I70/$C70</f>
        <v>0.000330408419556</v>
      </c>
      <c s="42" r="J95">
        <f>J70/$C70</f>
        <v>0.001072394831265</v>
      </c>
      <c s="42" r="K95">
        <f>K70/$C70</f>
        <v>0.006240503736373</v>
      </c>
      <c s="42" r="L95">
        <f>L70/$C70</f>
        <v>0.005449589192557</v>
      </c>
      <c s="42" r="M95">
        <f>M70/$C70</f>
        <v>0.00599407346474</v>
      </c>
      <c s="42" r="N95">
        <f>N70/$C70</f>
        <v>0.022127507323062</v>
      </c>
      <c s="42" r="O95">
        <f>O70/$C70</f>
        <v>0.0041413615138</v>
      </c>
    </row>
    <row r="96">
      <c t="s" s="39" r="B96">
        <v>76</v>
      </c>
      <c s="3" r="C96">
        <v>2447.34058554668</v>
      </c>
      <c s="3" r="D96">
        <v>16541.4948228513</v>
      </c>
      <c s="3" r="E96">
        <v>16583.6398218323</v>
      </c>
      <c s="42" r="F96">
        <f>F71/$C71</f>
        <v>0</v>
      </c>
      <c s="42" r="G96">
        <f>G71/$C71</f>
        <v>0.053705126617772</v>
      </c>
      <c s="42" r="H96">
        <f>H71/$C71</f>
        <v>2.33070016678441</v>
      </c>
      <c s="42" r="I96">
        <f>I71/$C71</f>
        <v>0.002887773755854</v>
      </c>
      <c s="42" r="J96">
        <f>J71/$C71</f>
        <v>0.026457906964888</v>
      </c>
      <c s="42" r="K96">
        <f>K71/$C71</f>
        <v>0.050199194482276</v>
      </c>
      <c s="42" r="L96">
        <f>L71/$C71</f>
        <v>0.085205712912318</v>
      </c>
      <c s="42" r="M96">
        <f>M71/$C71</f>
        <v>0.332566477061681</v>
      </c>
      <c s="42" r="N96">
        <f>N71/$C71</f>
        <v>0.427638143376328</v>
      </c>
      <c s="42" r="O96">
        <f>O71/$C71</f>
        <v>0.241218327349002</v>
      </c>
    </row>
    <row r="97">
      <c t="s" s="39" r="B97">
        <v>77</v>
      </c>
      <c s="3" r="C97">
        <v>7645.66134775155</v>
      </c>
      <c s="3" r="D97">
        <v>15577.1149281287</v>
      </c>
      <c s="3" r="E97">
        <v>15689.5654754055</v>
      </c>
      <c s="42" r="F97">
        <f>F72/$C72</f>
        <v>0</v>
      </c>
      <c s="42" r="G97">
        <f>G72/$C72</f>
        <v>0.04969217067477</v>
      </c>
      <c s="42" r="H97">
        <f>H72/$C72</f>
        <v>0.67348843582211</v>
      </c>
      <c s="42" r="I97">
        <f>I72/$C72</f>
        <v>0.000242950498836</v>
      </c>
      <c s="42" r="J97">
        <f>J72/$C72</f>
        <v>0.013790712869526</v>
      </c>
      <c s="42" r="K97">
        <f>K72/$C72</f>
        <v>0.016408156838044</v>
      </c>
      <c s="42" r="L97">
        <f>L72/$C72</f>
        <v>0.072347713698788</v>
      </c>
      <c s="42" r="M97">
        <f>M72/$C72</f>
        <v>0.059989140848916</v>
      </c>
      <c s="42" r="N97">
        <f>N72/$C72</f>
        <v>0.123839108690695</v>
      </c>
      <c s="42" r="O97">
        <f>O72/$C72</f>
        <v>0.012232598517143</v>
      </c>
    </row>
    <row r="98">
      <c t="s" s="39" r="B98">
        <v>78</v>
      </c>
      <c s="3" r="C98">
        <v>12621.8372903434</v>
      </c>
      <c s="3" r="D98">
        <v>15782.6915791782</v>
      </c>
      <c s="3" r="E98">
        <v>15914.2997343778</v>
      </c>
      <c s="42" r="F98">
        <f>F73/$C73</f>
        <v>0</v>
      </c>
      <c s="42" r="G98">
        <f>G73/$C73</f>
        <v>0.050612358189152</v>
      </c>
      <c s="42" r="H98">
        <f>H73/$C73</f>
        <v>0.402032142359959</v>
      </c>
      <c s="42" r="I98">
        <f>I73/$C73</f>
        <v>0.000752600760678</v>
      </c>
      <c s="42" r="J98">
        <f>J73/$C73</f>
        <v>0.007926111413786</v>
      </c>
      <c s="42" r="K98">
        <f>K73/$C73</f>
        <v>0.01337125267896</v>
      </c>
      <c s="42" r="L98">
        <f>L73/$C73</f>
        <v>0.034576496651193</v>
      </c>
      <c s="42" r="M98">
        <f>M73/$C73</f>
        <v>0.026409858915286</v>
      </c>
      <c s="42" r="N98">
        <f>N73/$C73</f>
        <v>0.067762340401032</v>
      </c>
      <c s="42" r="O98">
        <f>O73/$C73</f>
        <v>0.018844236219363</v>
      </c>
    </row>
    <row r="99">
      <c t="s" s="39" r="B99">
        <v>79</v>
      </c>
      <c s="3" r="C99">
        <v>17587.1534300873</v>
      </c>
      <c s="3" r="D99">
        <v>16034.2010914071</v>
      </c>
      <c s="3" r="E99">
        <v>16195.489860099</v>
      </c>
      <c s="42" r="F99">
        <f>F74/$C74</f>
        <v>0</v>
      </c>
      <c s="42" r="G99">
        <f>G74/$C74</f>
        <v>0.04303635099024</v>
      </c>
      <c s="42" r="H99">
        <f>H74/$C74</f>
        <v>0.298663624073202</v>
      </c>
      <c s="42" r="I99">
        <f>I74/$C74</f>
        <v>0.000601644714553</v>
      </c>
      <c s="42" r="J99">
        <f>J74/$C74</f>
        <v>0.003895515920516</v>
      </c>
      <c s="42" r="K99">
        <f>K74/$C74</f>
        <v>0.011229148727887</v>
      </c>
      <c s="42" r="L99">
        <f>L74/$C74</f>
        <v>0.01921811388427</v>
      </c>
      <c s="42" r="M99">
        <f>M74/$C74</f>
        <v>0.018189762792832</v>
      </c>
      <c s="42" r="N99">
        <f>N74/$C74</f>
        <v>0.0693104909364</v>
      </c>
      <c s="42" r="O99">
        <f>O74/$C74</f>
        <v>0.016384387380945</v>
      </c>
    </row>
    <row r="100">
      <c t="s" s="39" r="B100">
        <v>80</v>
      </c>
      <c s="3" r="C100">
        <v>22553.3726130725</v>
      </c>
      <c s="3" r="D100">
        <v>15593.5972408665</v>
      </c>
      <c s="3" r="E100">
        <v>15763.3392039865</v>
      </c>
      <c s="42" r="F100">
        <f>F75/$C75</f>
        <v>0</v>
      </c>
      <c s="42" r="G100">
        <f>G75/$C75</f>
        <v>0.036846298383461</v>
      </c>
      <c s="42" r="H100">
        <f>H75/$C75</f>
        <v>0.249871463553926</v>
      </c>
      <c s="42" r="I100">
        <f>I75/$C75</f>
        <v>0.000674839401136</v>
      </c>
      <c s="42" r="J100">
        <f>J75/$C75</f>
        <v>0.004575692881796</v>
      </c>
      <c s="42" r="K100">
        <f>K75/$C75</f>
        <v>0.010003588522243</v>
      </c>
      <c s="42" r="L100">
        <f>L75/$C75</f>
        <v>0.008064364384297</v>
      </c>
      <c s="42" r="M100">
        <f>M75/$C75</f>
        <v>0.01224890532295</v>
      </c>
      <c s="42" r="N100">
        <f>N75/$C75</f>
        <v>0.070856862571673</v>
      </c>
      <c s="42" r="O100">
        <f>O75/$C75</f>
        <v>0.008023880728374</v>
      </c>
    </row>
    <row r="101">
      <c t="s" s="39" r="B101">
        <v>81</v>
      </c>
      <c s="3" r="C101">
        <v>27554.6662679803</v>
      </c>
      <c s="3" r="D101">
        <v>15975.8786494169</v>
      </c>
      <c s="3" r="E101">
        <v>16132.3053978966</v>
      </c>
      <c s="42" r="F101">
        <f>F76/$C76</f>
        <v>0</v>
      </c>
      <c s="42" r="G101">
        <f>G76/$C76</f>
        <v>0.030938255251653</v>
      </c>
      <c s="42" r="H101">
        <f>H76/$C76</f>
        <v>0.221952501538564</v>
      </c>
      <c s="42" r="I101">
        <f>I76/$C76</f>
        <v>0.000556208327501</v>
      </c>
      <c s="42" r="J101">
        <f>J76/$C76</f>
        <v>0.003604484223467</v>
      </c>
      <c s="42" r="K101">
        <f>K76/$C76</f>
        <v>0.00838698261732</v>
      </c>
      <c s="42" r="L101">
        <f>L76/$C76</f>
        <v>0.015817437199595</v>
      </c>
      <c s="42" r="M101">
        <f>M76/$C76</f>
        <v>0.009793548361485</v>
      </c>
      <c s="42" r="N101">
        <f>N76/$C76</f>
        <v>0.066895571118529</v>
      </c>
      <c s="42" r="O101">
        <f>O76/$C76</f>
        <v>0.0088060647266</v>
      </c>
    </row>
    <row r="102">
      <c t="s" s="39" r="B102">
        <v>82</v>
      </c>
      <c s="3" r="C102">
        <v>32553.231340111</v>
      </c>
      <c s="3" r="D102">
        <v>15684.1389608697</v>
      </c>
      <c s="3" r="E102">
        <v>15832.6917366477</v>
      </c>
      <c s="42" r="F102">
        <f>F77/$C77</f>
        <v>0</v>
      </c>
      <c s="42" r="G102">
        <f>G77/$C77</f>
        <v>0.028769718565394</v>
      </c>
      <c s="42" r="H102">
        <f>H77/$C77</f>
        <v>0.178495096588936</v>
      </c>
      <c s="42" r="I102">
        <f>I77/$C77</f>
        <v>0.000292464577366</v>
      </c>
      <c s="42" r="J102">
        <f>J77/$C77</f>
        <v>0.003687329498735</v>
      </c>
      <c s="42" r="K102">
        <f>K77/$C77</f>
        <v>0.007949357546215</v>
      </c>
      <c s="42" r="L102">
        <f>L77/$C77</f>
        <v>0.005764654927844</v>
      </c>
      <c s="42" r="M102">
        <f>M77/$C77</f>
        <v>0.008504443016125</v>
      </c>
      <c s="42" r="N102">
        <f>N77/$C77</f>
        <v>0.064267801007045</v>
      </c>
      <c s="42" r="O102">
        <f>O77/$C77</f>
        <v>0.006917285532927</v>
      </c>
    </row>
    <row r="103">
      <c t="s" s="39" r="B103">
        <v>83</v>
      </c>
      <c s="3" r="C103">
        <v>37504.5609397259</v>
      </c>
      <c s="3" r="D103">
        <v>16108.3418696303</v>
      </c>
      <c s="3" r="E103">
        <v>16263.8721238721</v>
      </c>
      <c s="42" r="F103">
        <f>F78/$C78</f>
        <v>0</v>
      </c>
      <c s="42" r="G103">
        <f>G78/$C78</f>
        <v>0.02506308089393</v>
      </c>
      <c s="42" r="H103">
        <f>H78/$C78</f>
        <v>0.164112244509838</v>
      </c>
      <c s="42" r="I103">
        <f>I78/$C78</f>
        <v>0.000652250179508</v>
      </c>
      <c s="42" r="J103">
        <f>J78/$C78</f>
        <v>0.004295546281703</v>
      </c>
      <c s="42" r="K103">
        <f>K78/$C78</f>
        <v>0.00733535579166</v>
      </c>
      <c s="42" r="L103">
        <f>L78/$C78</f>
        <v>0.001825268828938</v>
      </c>
      <c s="42" r="M103">
        <f>M78/$C78</f>
        <v>0.007400742362908</v>
      </c>
      <c s="42" r="N103">
        <f>N78/$C78</f>
        <v>0.057962077715979</v>
      </c>
      <c s="42" r="O103">
        <f>O78/$C78</f>
        <v>0.003779043385676</v>
      </c>
    </row>
    <row r="104">
      <c t="s" s="39" r="B104">
        <v>84</v>
      </c>
      <c s="3" r="C104">
        <v>42499.4299441458</v>
      </c>
      <c s="3" r="D104">
        <v>16654.9535811662</v>
      </c>
      <c s="3" r="E104">
        <v>16812.9336004255</v>
      </c>
      <c s="42" r="F104">
        <f>F79/$C79</f>
        <v>0</v>
      </c>
      <c s="42" r="G104">
        <f>G79/$C79</f>
        <v>0.021738891985837</v>
      </c>
      <c s="42" r="H104">
        <f>H79/$C79</f>
        <v>0.153620277998407</v>
      </c>
      <c s="42" r="I104">
        <f>I79/$C79</f>
        <v>0.000551094422443</v>
      </c>
      <c s="42" r="J104">
        <f>J79/$C79</f>
        <v>0.00630507000214</v>
      </c>
      <c s="42" r="K104">
        <f>K79/$C79</f>
        <v>0.007077166689013</v>
      </c>
      <c s="42" r="L104">
        <f>L79/$C79</f>
        <v>0.006390455676104</v>
      </c>
      <c s="42" r="M104">
        <f>M79/$C79</f>
        <v>0.006069140733971</v>
      </c>
      <c s="42" r="N104">
        <f>N79/$C79</f>
        <v>0.054505868102333</v>
      </c>
      <c s="42" r="O104">
        <f>O79/$C79</f>
        <v>0.004125199675925</v>
      </c>
    </row>
    <row r="105">
      <c t="s" s="39" r="B105">
        <v>85</v>
      </c>
      <c s="3" r="C105">
        <v>47475.4918974003</v>
      </c>
      <c s="3" r="D105">
        <v>17302.2316763834</v>
      </c>
      <c s="3" r="E105">
        <v>17487.1247309287</v>
      </c>
      <c s="42" r="F105">
        <f>F80/$C80</f>
        <v>0</v>
      </c>
      <c s="42" r="G105">
        <f>G80/$C80</f>
        <v>0.01941593983803</v>
      </c>
      <c s="42" r="H105">
        <f>H80/$C80</f>
        <v>0.147680234556643</v>
      </c>
      <c s="42" r="I105">
        <f>I80/$C80</f>
        <v>0.000639356163635</v>
      </c>
      <c s="42" r="J105">
        <f>J80/$C80</f>
        <v>0.003451505941618</v>
      </c>
      <c s="42" r="K105">
        <f>K80/$C80</f>
        <v>0.007063773566768</v>
      </c>
      <c s="42" r="L105">
        <f>L80/$C80</f>
        <v>0.007806195134488</v>
      </c>
      <c s="42" r="M105">
        <f>M80/$C80</f>
        <v>0.007149165359085</v>
      </c>
      <c s="42" r="N105">
        <f>N80/$C80</f>
        <v>0.047943162270629</v>
      </c>
      <c s="42" r="O105">
        <f>O80/$C80</f>
        <v>0.001987983697289</v>
      </c>
    </row>
    <row r="106">
      <c t="s" s="39" r="B106">
        <v>86</v>
      </c>
      <c s="3" r="C106">
        <v>52509.0321682136</v>
      </c>
      <c s="3" r="D106">
        <v>18034.5904285517</v>
      </c>
      <c s="3" r="E106">
        <v>18170.7891227123</v>
      </c>
      <c s="42" r="F106">
        <f>F81/$C81</f>
        <v>0</v>
      </c>
      <c s="42" r="G106">
        <f>G81/$C81</f>
        <v>0.02148219048287</v>
      </c>
      <c s="42" r="H106">
        <f>H81/$C81</f>
        <v>0.135467644614941</v>
      </c>
      <c s="42" r="I106">
        <f>I81/$C81</f>
        <v>0.000668472373971</v>
      </c>
      <c s="42" r="J106">
        <f>J81/$C81</f>
        <v>0.003532127159609</v>
      </c>
      <c s="42" r="K106">
        <f>K81/$C81</f>
        <v>0.005726308965928</v>
      </c>
      <c s="42" r="L106">
        <f>L81/$C81</f>
        <v>0.00111674356934</v>
      </c>
      <c s="42" r="M106">
        <f>M81/$C81</f>
        <v>0.004820459974004</v>
      </c>
      <c s="42" r="N106">
        <f>N81/$C81</f>
        <v>0.042498497173343</v>
      </c>
      <c s="42" r="O106">
        <f>O81/$C81</f>
        <v>0.002591703852837</v>
      </c>
    </row>
    <row r="107">
      <c t="s" s="39" r="B107">
        <v>87</v>
      </c>
      <c s="3" r="C107">
        <v>57532.6028455624</v>
      </c>
      <c s="3" r="D107">
        <v>18757.069893636</v>
      </c>
      <c s="3" r="E107">
        <v>18913.2926374116</v>
      </c>
      <c s="42" r="F107">
        <f>F82/$C82</f>
        <v>0</v>
      </c>
      <c s="42" r="G107">
        <f>G82/$C82</f>
        <v>0.0181712443557</v>
      </c>
      <c s="42" r="H107">
        <f>H82/$C82</f>
        <v>0.12743960843112</v>
      </c>
      <c s="42" r="I107">
        <f>I82/$C82</f>
        <v>0.000649079931936</v>
      </c>
      <c s="42" r="J107">
        <f>J82/$C82</f>
        <v>0.003535453718135</v>
      </c>
      <c s="42" r="K107">
        <f>K82/$C82</f>
        <v>0.005276615602843</v>
      </c>
      <c s="42" r="L107">
        <f>L82/$C82</f>
        <v>0.001428075641544</v>
      </c>
      <c s="42" r="M107">
        <f>M82/$C82</f>
        <v>0.004464902608028</v>
      </c>
      <c s="42" r="N107">
        <f>N82/$C82</f>
        <v>0.039393812143853</v>
      </c>
      <c s="42" r="O107">
        <f>O82/$C82</f>
        <v>0.003076271253416</v>
      </c>
    </row>
    <row r="108">
      <c t="s" s="39" r="B108">
        <v>88</v>
      </c>
      <c s="3" r="C108">
        <v>67404.3946508657</v>
      </c>
      <c s="3" r="D108">
        <v>19917.0817748585</v>
      </c>
      <c s="3" r="E108">
        <v>20085.3468948469</v>
      </c>
      <c s="42" r="F108">
        <f>F83/$C83</f>
        <v>0</v>
      </c>
      <c s="42" r="G108">
        <f>G83/$C83</f>
        <v>0.015418859434064</v>
      </c>
      <c s="42" r="H108">
        <f>H83/$C83</f>
        <v>0.120618285657368</v>
      </c>
      <c s="42" r="I108">
        <f>I83/$C83</f>
        <v>0.0006097473295</v>
      </c>
      <c s="42" r="J108">
        <f>J83/$C83</f>
        <v>0.002800815518131</v>
      </c>
      <c s="42" r="K108">
        <f>K83/$C83</f>
        <v>0.005274954093979</v>
      </c>
      <c s="42" r="L108">
        <f>L83/$C83</f>
        <v>0.001828442198287</v>
      </c>
      <c s="42" r="M108">
        <f>M83/$C83</f>
        <v>0.00406176919861</v>
      </c>
      <c s="42" r="N108">
        <f>N83/$C83</f>
        <v>0.032726264332448</v>
      </c>
      <c s="42" r="O108">
        <f>O83/$C83</f>
        <v>0.003037094026625</v>
      </c>
    </row>
    <row r="109">
      <c t="s" s="39" r="B109">
        <v>89</v>
      </c>
      <c s="3" r="C109">
        <v>86942.1974636094</v>
      </c>
      <c s="3" r="D109">
        <v>22382.5105009704</v>
      </c>
      <c s="3" r="E109">
        <v>22582.9037552427</v>
      </c>
      <c s="42" r="F109">
        <f>F84/$C84</f>
        <v>0.000009056899582</v>
      </c>
      <c s="42" r="G109">
        <f>G84/$C84</f>
        <v>0.011545418967902</v>
      </c>
      <c s="42" r="H109">
        <f>H84/$C84</f>
        <v>0.105140774674795</v>
      </c>
      <c s="42" r="I109">
        <f>I84/$C84</f>
        <v>0.00043201577969</v>
      </c>
      <c s="42" r="J109">
        <f>J84/$C84</f>
        <v>0.00239178495889</v>
      </c>
      <c s="42" r="K109">
        <f>K84/$C84</f>
        <v>0.004846317065213</v>
      </c>
      <c s="42" r="L109">
        <f>L84/$C84</f>
        <v>0.001145285705953</v>
      </c>
      <c s="42" r="M109">
        <f>M84/$C84</f>
        <v>0.003920089331174</v>
      </c>
      <c s="42" r="N109">
        <f>N84/$C84</f>
        <v>0.025439419343544</v>
      </c>
      <c s="42" r="O109">
        <f>O84/$C84</f>
        <v>0.00190571616966</v>
      </c>
    </row>
    <row r="110">
      <c t="s" s="39" r="B110">
        <v>90</v>
      </c>
      <c s="3" r="C110">
        <v>134640.096667065</v>
      </c>
      <c s="3" r="D110">
        <v>29241.0044898782</v>
      </c>
      <c s="3" r="E110">
        <v>29616.2015385466</v>
      </c>
      <c s="42" r="F110">
        <f>F85/$C85</f>
        <v>0.000205225744572</v>
      </c>
      <c s="42" r="G110">
        <f>G85/$C85</f>
        <v>0.006032608773351</v>
      </c>
      <c s="42" r="H110">
        <f>H85/$C85</f>
        <v>0.086018237817714</v>
      </c>
      <c s="42" r="I110">
        <f>I85/$C85</f>
        <v>0.000367567368578</v>
      </c>
      <c s="42" r="J110">
        <f>J85/$C85</f>
        <v>0.000116532219421</v>
      </c>
      <c s="42" r="K110">
        <f>K85/$C85</f>
        <v>0.004306594856445</v>
      </c>
      <c s="42" r="L110">
        <f>L85/$C85</f>
        <v>0.001855371735029</v>
      </c>
      <c s="42" r="M110">
        <f>M85/$C85</f>
        <v>0.003508908571948</v>
      </c>
      <c s="42" r="N110">
        <f>N85/$C85</f>
        <v>0.017738954623335</v>
      </c>
      <c s="42" r="O110">
        <f>O85/$C85</f>
        <v>0.002197557544454</v>
      </c>
    </row>
    <row r="111">
      <c t="s" s="39" r="B111">
        <v>91</v>
      </c>
      <c s="3" r="C111">
        <v>286247.380510862</v>
      </c>
      <c s="3" r="D111">
        <v>52368.3826551303</v>
      </c>
      <c s="3" r="E111">
        <v>54980.514062759</v>
      </c>
      <c s="42" r="F111">
        <f>F86/$C86</f>
        <v>0.004173427691744</v>
      </c>
      <c s="42" r="G111">
        <f>G86/$C86</f>
        <v>0.001909194172399</v>
      </c>
      <c s="42" r="H111">
        <f>H86/$C86</f>
        <v>0.059840352833668</v>
      </c>
      <c s="42" r="I111">
        <f>I86/$C86</f>
        <v>0.000207338595771</v>
      </c>
      <c s="42" r="J111">
        <f>J86/$C86</f>
        <v>0.000001799273552</v>
      </c>
      <c s="42" r="K111">
        <f>K86/$C86</f>
        <v>0.003838931204567</v>
      </c>
      <c s="42" r="L111">
        <f>L86/$C86</f>
        <v>0.004618084702161</v>
      </c>
      <c s="42" r="M111">
        <f>M86/$C86</f>
        <v>0.00492017811807</v>
      </c>
      <c s="42" r="N111">
        <f>N86/$C86</f>
        <v>0.010962377456452</v>
      </c>
      <c s="42" r="O111">
        <f>O86/$C86</f>
        <v>0.005136299706214</v>
      </c>
    </row>
    <row r="112">
      <c t="s" s="39" r="B112">
        <v>92</v>
      </c>
      <c s="3" r="C112">
        <v>680124.258702425</v>
      </c>
      <c s="3" r="D112">
        <v>104890.900946322</v>
      </c>
      <c s="3" r="E112">
        <v>114505.206765349</v>
      </c>
      <c s="42" r="F112">
        <f>F87/$C87</f>
        <v>0.00751654010549</v>
      </c>
      <c s="42" r="G112">
        <f>G87/$C87</f>
        <v>0.000513820257588</v>
      </c>
      <c s="42" r="H112">
        <f>H87/$C87</f>
        <v>0.032793750663025</v>
      </c>
      <c s="42" r="I112">
        <f>I87/$C87</f>
        <v>0.000111801246222</v>
      </c>
      <c s="42" r="J112">
        <f>J87/$C87</f>
        <v>0</v>
      </c>
      <c s="42" r="K112">
        <f>K87/$C87</f>
        <v>0.004545678403429</v>
      </c>
      <c s="42" r="L112">
        <f>L87/$C87</f>
        <v>0.007656578301175</v>
      </c>
      <c s="42" r="M112">
        <f>M87/$C87</f>
        <v>0.00830215852707</v>
      </c>
      <c s="42" r="N112">
        <f>N87/$C87</f>
        <v>0.011073644871081</v>
      </c>
      <c s="42" r="O112">
        <f>O87/$C87</f>
        <v>0.006817492563063</v>
      </c>
    </row>
    <row r="113">
      <c t="s" s="39" r="B113">
        <v>93</v>
      </c>
      <c s="3" r="C113">
        <v>1208001.7740326</v>
      </c>
      <c s="3" r="D113">
        <v>171859.075285508</v>
      </c>
      <c s="3" r="E113">
        <v>191378.682041616</v>
      </c>
      <c s="42" r="F113">
        <f>F88/$C88</f>
        <v>0.008409271357503</v>
      </c>
      <c s="42" r="G113">
        <f>G88/$C88</f>
        <v>0.000370221141628</v>
      </c>
      <c s="42" r="H113">
        <f>H88/$C88</f>
        <v>0.018648020165666</v>
      </c>
      <c s="42" r="I113">
        <f>I88/$C88</f>
        <v>0.00004799662866</v>
      </c>
      <c s="42" r="J113">
        <f>J88/$C88</f>
        <v>0</v>
      </c>
      <c s="42" r="K113">
        <f>K88/$C88</f>
        <v>0.007848270564356</v>
      </c>
      <c s="42" r="L113">
        <f>L88/$C88</f>
        <v>0.025205296547468</v>
      </c>
      <c s="42" r="M113">
        <f>M88/$C88</f>
        <v>0.01134353671523</v>
      </c>
      <c s="42" r="N113">
        <f>N88/$C88</f>
        <v>0.013268269013537</v>
      </c>
      <c s="42" r="O113">
        <f>O88/$C88</f>
        <v>0.008915772752947</v>
      </c>
    </row>
    <row r="114">
      <c t="s" s="39" r="B114">
        <v>94</v>
      </c>
      <c s="3" r="C114">
        <v>1722184.17748012</v>
      </c>
      <c s="3" r="D114">
        <v>240391.865494628</v>
      </c>
      <c s="3" r="E114">
        <v>271245.08162411</v>
      </c>
      <c s="42" r="F114">
        <f>F89/$C89</f>
        <v>0.008699099673402</v>
      </c>
      <c s="42" r="G114">
        <f>G89/$C89</f>
        <v>0.000237012357449</v>
      </c>
      <c s="42" r="H114">
        <f>H89/$C89</f>
        <v>0.013160268623918</v>
      </c>
      <c s="42" r="I114">
        <f>I89/$C89</f>
        <v>0.000035104430951</v>
      </c>
      <c s="42" r="J114">
        <f>J89/$C89</f>
        <v>0</v>
      </c>
      <c s="42" r="K114">
        <f>K89/$C89</f>
        <v>0.009265677348917</v>
      </c>
      <c s="42" r="L114">
        <f>L89/$C89</f>
        <v>0.008546665068922</v>
      </c>
      <c s="42" r="M114">
        <f>M89/$C89</f>
        <v>0.01096810031838</v>
      </c>
      <c s="42" r="N114">
        <f>N89/$C89</f>
        <v>0.012474765733344</v>
      </c>
      <c s="42" r="O114">
        <f>O89/$C89</f>
        <v>0.008514642582621</v>
      </c>
    </row>
    <row r="115">
      <c t="s" s="39" r="B115">
        <v>95</v>
      </c>
      <c s="3" r="C115">
        <v>2983805.47514385</v>
      </c>
      <c s="3" r="D115">
        <v>399153.806749818</v>
      </c>
      <c s="3" r="E115">
        <v>451883.897406574</v>
      </c>
      <c s="42" r="F115">
        <f>F90/$C90</f>
        <v>0.008768422299908</v>
      </c>
      <c s="42" r="G115">
        <f>G90/$C90</f>
        <v>0.000101752325676</v>
      </c>
      <c s="42" r="H115">
        <f>H90/$C90</f>
        <v>0.007547098275315</v>
      </c>
      <c s="42" r="I115">
        <f>I90/$C90</f>
        <v>0.000027130973725</v>
      </c>
      <c s="42" r="J115">
        <f>J90/$C90</f>
        <v>0</v>
      </c>
      <c s="42" r="K115">
        <f>K90/$C90</f>
        <v>0.010317893663836</v>
      </c>
      <c s="42" r="L115">
        <f>L90/$C90</f>
        <v>0.011997628341686</v>
      </c>
      <c s="42" r="M115">
        <f>M90/$C90</f>
        <v>0.012301572349435</v>
      </c>
      <c s="42" r="N115">
        <f>N90/$C90</f>
        <v>0.01394038149546</v>
      </c>
      <c s="42" r="O115">
        <f>O90/$C90</f>
        <v>0.010181652149361</v>
      </c>
    </row>
    <row r="116">
      <c t="s" s="39" r="B116">
        <v>96</v>
      </c>
      <c s="3" r="C116">
        <v>6843932.65880781</v>
      </c>
      <c s="3" r="D116">
        <v>893172.910800363</v>
      </c>
      <c s="3" r="E116">
        <v>1008752.0164177</v>
      </c>
      <c s="42" r="F116">
        <f>F91/$C91</f>
        <v>0.008676470209398</v>
      </c>
      <c s="42" r="G116">
        <f>G91/$C91</f>
        <v>0.000033437026008</v>
      </c>
      <c s="42" r="H116">
        <f>H91/$C91</f>
        <v>0.003228498174934</v>
      </c>
      <c s="42" r="I116">
        <f>I91/$C91</f>
        <v>0.000010711112199</v>
      </c>
      <c s="42" r="J116">
        <f>J91/$C91</f>
        <v>0</v>
      </c>
      <c s="42" r="K116">
        <f>K91/$C91</f>
        <v>0.014462765290235</v>
      </c>
      <c s="42" r="L116">
        <f>L91/$C91</f>
        <v>0.027249246736081</v>
      </c>
      <c s="42" r="M116">
        <f>M91/$C91</f>
        <v>0.013375425744547</v>
      </c>
      <c s="42" r="N116">
        <f>N91/$C91</f>
        <v>0.014932187343756</v>
      </c>
      <c s="42" r="O116">
        <f>O91/$C91</f>
        <v>0.007754469769544</v>
      </c>
    </row>
    <row r="117">
      <c t="s" s="39" r="B117">
        <v>97</v>
      </c>
      <c s="3" r="C117">
        <v>29719984.750601</v>
      </c>
      <c s="3" r="D117">
        <v>4008318.73497596</v>
      </c>
      <c s="3" r="E117">
        <v>4378596.22896635</v>
      </c>
      <c s="42" r="F117">
        <f>F92/$C92</f>
        <v>0.008639695286434</v>
      </c>
      <c s="42" r="G117">
        <f>G92/$C92</f>
        <v>0</v>
      </c>
      <c s="42" r="H117">
        <f>H92/$C92</f>
        <v>0.000802530124598</v>
      </c>
      <c s="42" r="I117">
        <f>I92/$C92</f>
        <v>0.000002343677651</v>
      </c>
      <c s="42" r="J117">
        <f>J92/$C92</f>
        <v>0</v>
      </c>
      <c s="42" r="K117">
        <f>K92/$C92</f>
        <v>0.024366553549382</v>
      </c>
      <c s="42" r="L117">
        <f>L92/$C92</f>
        <v>0.018203661027187</v>
      </c>
      <c s="42" r="M117">
        <f>M92/$C92</f>
        <v>0.013178651452947</v>
      </c>
      <c s="42" r="N117">
        <f>N92/$C92</f>
        <v>0.013889947062867</v>
      </c>
      <c s="42" r="O117">
        <f>O92/$C92</f>
        <v>0.004639937001945</v>
      </c>
    </row>
  </sheetData>
  <mergeCells count="75">
    <mergeCell ref="A1:DZ1"/>
    <mergeCell ref="A2:DZ2"/>
    <mergeCell ref="D3:E3"/>
    <mergeCell ref="F3:G3"/>
    <mergeCell ref="H3:I3"/>
    <mergeCell ref="J3:K3"/>
    <mergeCell ref="L3:M3"/>
    <mergeCell ref="N3:O3"/>
    <mergeCell ref="P3:Q3"/>
    <mergeCell ref="R3:S3"/>
    <mergeCell ref="T3:U3"/>
    <mergeCell ref="V3:W3"/>
    <mergeCell ref="X3:Y3"/>
    <mergeCell ref="Z3:AA3"/>
    <mergeCell ref="AB3:AC3"/>
    <mergeCell ref="AD3:AE3"/>
    <mergeCell ref="AF3:AG3"/>
    <mergeCell ref="AH3:AI3"/>
    <mergeCell ref="AJ3:AK3"/>
    <mergeCell ref="AL3:AM3"/>
    <mergeCell ref="AN3:AO3"/>
    <mergeCell ref="AP3:AQ3"/>
    <mergeCell ref="AR3:AS3"/>
    <mergeCell ref="AT3:AU3"/>
    <mergeCell ref="AV3:AW3"/>
    <mergeCell ref="AX3:AY3"/>
    <mergeCell ref="AZ3:DL3"/>
    <mergeCell ref="DM3:DN3"/>
    <mergeCell ref="DO3:DP3"/>
    <mergeCell ref="DQ3:DR3"/>
    <mergeCell ref="DS3:DT3"/>
    <mergeCell ref="DU3:DV3"/>
    <mergeCell ref="DW3:DX3"/>
    <mergeCell ref="DY3:DZ3"/>
    <mergeCell ref="BA4:BB4"/>
    <mergeCell ref="BC4:BH4"/>
    <mergeCell ref="BI4:BX4"/>
    <mergeCell ref="BY4:CL4"/>
    <mergeCell ref="CM4:CT4"/>
    <mergeCell ref="CU4:CV4"/>
    <mergeCell ref="CW4:DF4"/>
    <mergeCell ref="DG4:DL4"/>
    <mergeCell ref="BC5:BD5"/>
    <mergeCell ref="BE5:BF5"/>
    <mergeCell ref="BG5:BH5"/>
    <mergeCell ref="BI5:BJ5"/>
    <mergeCell ref="BK5:BP5"/>
    <mergeCell ref="BQ5:BR5"/>
    <mergeCell ref="BS5:BT5"/>
    <mergeCell ref="BU5:BV5"/>
    <mergeCell ref="BW5:BX5"/>
    <mergeCell ref="BY5:BZ5"/>
    <mergeCell ref="CA5:CF5"/>
    <mergeCell ref="CG5:CH5"/>
    <mergeCell ref="CI5:CJ5"/>
    <mergeCell ref="CK5:CL5"/>
    <mergeCell ref="CM5:CN5"/>
    <mergeCell ref="CO5:CP5"/>
    <mergeCell ref="CQ5:CR5"/>
    <mergeCell ref="CS5:CT5"/>
    <mergeCell ref="CW5:CX5"/>
    <mergeCell ref="CY5:CZ5"/>
    <mergeCell ref="DA5:DB5"/>
    <mergeCell ref="DC5:DD5"/>
    <mergeCell ref="DE5:DF5"/>
    <mergeCell ref="DG5:DH5"/>
    <mergeCell ref="DI5:DJ5"/>
    <mergeCell ref="DK5:DL5"/>
    <mergeCell ref="BK6:BL6"/>
    <mergeCell ref="BM6:BN6"/>
    <mergeCell ref="BO6:BP6"/>
    <mergeCell ref="CA6:CB6"/>
    <mergeCell ref="CC6:CD6"/>
    <mergeCell ref="CE6:CF6"/>
    <mergeCell ref="B37:DZ3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0"/>
  <cols>
    <col min="1" customWidth="1" max="1" width="61.71"/>
    <col min="2" customWidth="1" max="126" width="16.0"/>
  </cols>
  <sheetData>
    <row customHeight="1" r="1" ht="39.75">
      <c t="s" s="1" r="A1">
        <v>152</v>
      </c>
    </row>
    <row customHeight="1" r="2" ht="15.0">
      <c t="s" s="13" r="A2">
        <v>2</v>
      </c>
      <c s="41" r="B2"/>
      <c s="41" r="C2"/>
      <c s="41" r="D2"/>
      <c s="41" r="E2"/>
      <c s="41" r="F2"/>
      <c s="41" r="G2"/>
      <c s="41" r="H2"/>
      <c s="41" r="I2"/>
      <c s="41" r="J2"/>
      <c s="41" r="K2"/>
      <c s="41" r="L2"/>
      <c s="41" r="M2"/>
      <c s="41" r="N2"/>
      <c s="41" r="O2"/>
      <c s="41" r="P2"/>
      <c s="41" r="Q2"/>
      <c s="41" r="R2"/>
      <c s="41" r="S2"/>
      <c s="41" r="T2"/>
      <c s="41" r="U2"/>
      <c s="41" r="V2"/>
      <c s="41" r="W2"/>
      <c s="41" r="X2"/>
      <c s="41" r="Y2"/>
      <c s="41" r="Z2"/>
      <c s="41" r="AA2"/>
      <c s="41" r="AB2"/>
      <c s="41" r="AC2"/>
      <c s="41" r="AD2"/>
      <c s="41" r="AE2"/>
      <c s="41" r="AF2"/>
      <c s="41" r="AG2"/>
      <c s="41" r="AH2"/>
      <c s="41" r="AI2"/>
      <c s="41" r="AJ2"/>
      <c s="41" r="AK2"/>
      <c s="41" r="AL2"/>
      <c s="41" r="AM2"/>
      <c s="41" r="AN2"/>
      <c s="41" r="AO2"/>
      <c s="41" r="AP2"/>
      <c s="41" r="AQ2"/>
      <c s="41" r="AR2"/>
      <c s="41" r="AS2"/>
      <c s="41" r="AT2"/>
      <c s="41" r="AU2"/>
      <c s="41" r="AV2"/>
      <c s="41" r="AW2"/>
      <c s="41" r="AX2"/>
      <c s="41" r="AY2"/>
      <c s="41" r="AZ2"/>
      <c s="41" r="BA2"/>
      <c s="41" r="BB2"/>
      <c s="41" r="BC2"/>
      <c s="41" r="BD2"/>
      <c s="41" r="BE2"/>
      <c s="41" r="BF2"/>
      <c s="41" r="BG2"/>
      <c s="41" r="BH2"/>
      <c s="41" r="BI2"/>
      <c s="41" r="BJ2"/>
      <c s="41" r="BK2"/>
      <c s="41" r="BL2"/>
      <c s="41" r="BM2"/>
      <c s="41" r="BN2"/>
      <c s="41" r="BO2"/>
      <c s="41" r="BP2"/>
      <c s="41" r="BQ2"/>
      <c s="41" r="BR2"/>
      <c s="41" r="BS2"/>
      <c s="41" r="BT2"/>
      <c s="41" r="BU2"/>
      <c s="41" r="BV2"/>
      <c s="41" r="BW2"/>
      <c s="41" r="BX2"/>
      <c s="41" r="BY2"/>
      <c s="41" r="BZ2"/>
      <c s="41" r="CA2"/>
      <c s="41" r="CB2"/>
      <c s="41" r="CC2"/>
      <c s="41" r="CD2"/>
      <c s="41" r="CE2"/>
      <c s="41" r="CF2"/>
      <c s="41" r="CG2"/>
      <c s="41" r="CH2"/>
      <c s="41" r="CI2"/>
      <c s="41" r="CJ2"/>
      <c s="41" r="CK2"/>
      <c s="41" r="CL2"/>
      <c s="41" r="CM2"/>
      <c s="41" r="CN2"/>
      <c s="41" r="CO2"/>
      <c s="41" r="CP2"/>
      <c s="41" r="CQ2"/>
      <c s="41" r="CR2"/>
      <c s="41" r="CS2"/>
      <c s="41" r="CT2"/>
      <c s="41" r="CU2"/>
      <c s="41" r="CV2"/>
      <c s="41" r="CW2"/>
      <c s="41" r="CX2"/>
      <c s="41" r="CY2"/>
      <c s="41" r="CZ2"/>
      <c s="41" r="DA2"/>
      <c s="41" r="DB2"/>
      <c s="41" r="DC2"/>
      <c s="41" r="DD2"/>
      <c s="41" r="DE2"/>
      <c s="41" r="DF2"/>
      <c s="41" r="DG2"/>
      <c s="41" r="DH2"/>
      <c s="41" r="DI2"/>
      <c s="41" r="DJ2"/>
      <c s="41" r="DK2"/>
      <c s="41" r="DL2"/>
      <c s="41" r="DM2"/>
      <c s="41" r="DN2"/>
      <c s="41" r="DO2"/>
      <c s="41" r="DP2"/>
      <c s="41" r="DQ2"/>
      <c s="41" r="DR2"/>
      <c s="41" r="DS2"/>
      <c s="41" r="DT2"/>
      <c s="41" r="DU2"/>
      <c s="41" r="DV2"/>
    </row>
    <row customHeight="1" r="3" ht="15.0">
      <c t="s" s="46" r="A3">
        <v>3</v>
      </c>
      <c t="s" s="5" r="B3">
        <v>4</v>
      </c>
      <c t="s" s="5" r="C3">
        <v>5</v>
      </c>
      <c t="s" s="33" r="D3">
        <v>7</v>
      </c>
      <c s="21" r="E3"/>
      <c t="s" s="33" r="F3">
        <v>8</v>
      </c>
      <c s="21" r="G3"/>
      <c t="s" s="33" r="H3">
        <v>153</v>
      </c>
      <c s="21" r="I3"/>
      <c t="s" s="33" r="J3">
        <v>10</v>
      </c>
      <c s="21" r="K3"/>
      <c t="s" s="33" r="L3">
        <v>154</v>
      </c>
      <c s="21" r="M3"/>
      <c t="s" s="33" r="N3">
        <v>12</v>
      </c>
      <c s="21" r="O3"/>
      <c t="s" s="33" r="P3">
        <v>13</v>
      </c>
      <c s="21" r="Q3"/>
      <c t="s" s="51" r="R3">
        <v>14</v>
      </c>
      <c s="21" r="S3"/>
      <c t="s" s="51" r="T3">
        <v>15</v>
      </c>
      <c s="21" r="U3"/>
      <c t="s" s="51" r="V3">
        <v>16</v>
      </c>
      <c s="21" r="W3"/>
      <c t="s" s="51" r="X3">
        <v>17</v>
      </c>
      <c s="21" r="Y3"/>
      <c t="s" s="51" r="Z3">
        <v>18</v>
      </c>
      <c s="21" r="AA3"/>
      <c t="s" s="64" r="AB3">
        <v>19</v>
      </c>
      <c s="21" r="AC3"/>
      <c t="s" s="64" r="AD3">
        <v>20</v>
      </c>
      <c s="21" r="AE3"/>
      <c t="s" s="64" r="AF3">
        <v>21</v>
      </c>
      <c s="21" r="AG3"/>
      <c t="s" s="64" r="AH3">
        <v>155</v>
      </c>
      <c s="21" r="AI3"/>
      <c t="s" s="64" r="AJ3">
        <v>23</v>
      </c>
      <c s="21" r="AK3"/>
      <c t="s" s="64" r="AL3">
        <v>24</v>
      </c>
      <c s="21" r="AM3"/>
      <c t="s" s="64" r="AN3">
        <v>25</v>
      </c>
      <c s="21" r="AO3"/>
      <c t="s" s="64" r="AP3">
        <v>26</v>
      </c>
      <c s="21" r="AQ3"/>
      <c t="s" s="64" r="AR3">
        <v>27</v>
      </c>
      <c s="21" r="AS3"/>
      <c t="s" s="64" r="AT3">
        <v>28</v>
      </c>
      <c s="21" r="AU3"/>
      <c t="s" s="64" r="AV3">
        <v>29</v>
      </c>
      <c s="21" r="AW3"/>
      <c t="s" s="45" r="AX3">
        <v>156</v>
      </c>
      <c s="11" r="AY3"/>
      <c s="11" r="AZ3"/>
      <c s="11" r="BA3"/>
      <c s="11" r="BB3"/>
      <c s="11" r="BC3"/>
      <c s="11" r="BD3"/>
      <c s="11" r="BE3"/>
      <c s="11" r="BF3"/>
      <c s="11" r="BG3"/>
      <c s="11" r="BH3"/>
      <c s="11" r="BI3"/>
      <c s="11" r="BJ3"/>
      <c s="11" r="BK3"/>
      <c s="11" r="BL3"/>
      <c s="11" r="BM3"/>
      <c s="11" r="BN3"/>
      <c s="11" r="BO3"/>
      <c s="11" r="BP3"/>
      <c s="11" r="BQ3"/>
      <c s="11" r="BR3"/>
      <c s="11" r="BS3"/>
      <c s="11" r="BT3"/>
      <c s="11" r="BU3"/>
      <c s="11" r="BV3"/>
      <c s="11" r="BW3"/>
      <c s="11" r="BX3"/>
      <c s="11" r="BY3"/>
      <c s="11" r="BZ3"/>
      <c s="11" r="CA3"/>
      <c s="11" r="CB3"/>
      <c s="11" r="CC3"/>
      <c s="11" r="CD3"/>
      <c s="11" r="CE3"/>
      <c s="11" r="CF3"/>
      <c s="11" r="CG3"/>
      <c s="11" r="CH3"/>
      <c s="11" r="CI3"/>
      <c s="11" r="CJ3"/>
      <c s="11" r="CK3"/>
      <c s="11" r="CL3"/>
      <c s="11" r="CM3"/>
      <c s="11" r="CN3"/>
      <c s="11" r="CO3"/>
      <c s="11" r="CP3"/>
      <c s="11" r="CQ3"/>
      <c s="11" r="CR3"/>
      <c s="11" r="CS3"/>
      <c s="11" r="CT3"/>
      <c s="11" r="CU3"/>
      <c s="11" r="CV3"/>
      <c s="11" r="CW3"/>
      <c s="11" r="CX3"/>
      <c s="11" r="CY3"/>
      <c s="11" r="CZ3"/>
      <c s="11" r="DA3"/>
      <c s="11" r="DB3"/>
      <c s="11" r="DC3"/>
      <c s="11" r="DD3"/>
      <c s="11" r="DE3"/>
      <c s="11" r="DF3"/>
      <c s="11" r="DG3"/>
      <c s="54" r="DH3"/>
      <c t="s" s="33" r="DI3">
        <v>31</v>
      </c>
      <c s="21" r="DJ3"/>
      <c t="s" s="64" r="DK3">
        <v>32</v>
      </c>
      <c s="21" r="DL3"/>
      <c t="s" s="51" r="DM3">
        <v>33</v>
      </c>
      <c s="21" r="DN3"/>
      <c t="s" s="51" r="DO3">
        <v>34</v>
      </c>
      <c s="21" r="DP3"/>
      <c t="s" s="51" r="DQ3">
        <v>35</v>
      </c>
      <c s="21" r="DR3"/>
      <c t="s" s="51" r="DS3">
        <v>36</v>
      </c>
      <c s="21" r="DT3"/>
      <c t="s" s="51" r="DU3">
        <v>37</v>
      </c>
      <c s="2" r="DV3"/>
    </row>
    <row customHeight="1" r="4" ht="15.0">
      <c s="7" r="AW4"/>
      <c t="s" s="5" r="AX4">
        <v>157</v>
      </c>
      <c t="s" s="64" r="AY4">
        <v>158</v>
      </c>
      <c s="21" r="AZ4"/>
      <c t="s" s="64" r="BA4">
        <v>159</v>
      </c>
      <c s="21" r="BB4"/>
      <c t="s" s="64" r="BC4">
        <v>160</v>
      </c>
      <c s="21" r="BD4"/>
      <c t="s" s="64" r="BE4">
        <v>161</v>
      </c>
      <c s="21" r="BF4"/>
      <c t="s" s="9" r="BG4">
        <v>41</v>
      </c>
      <c s="11" r="BH4"/>
      <c s="11" r="BI4"/>
      <c s="11" r="BJ4"/>
      <c s="11" r="BK4"/>
      <c s="11" r="BL4"/>
      <c s="11" r="BM4"/>
      <c s="11" r="BN4"/>
      <c s="11" r="BO4"/>
      <c s="11" r="BP4"/>
      <c s="11" r="BQ4"/>
      <c s="11" r="BR4"/>
      <c s="11" r="BS4"/>
      <c s="54" r="BT4"/>
      <c t="s" s="9" r="BU4">
        <v>42</v>
      </c>
      <c s="11" r="BV4"/>
      <c s="11" r="BW4"/>
      <c s="11" r="BX4"/>
      <c s="11" r="BY4"/>
      <c s="11" r="BZ4"/>
      <c s="11" r="CA4"/>
      <c s="11" r="CB4"/>
      <c s="11" r="CC4"/>
      <c s="11" r="CD4"/>
      <c s="11" r="CE4"/>
      <c s="11" r="CF4"/>
      <c s="11" r="CG4"/>
      <c s="54" r="CH4"/>
      <c t="s" s="4" r="CI4">
        <v>43</v>
      </c>
      <c s="11" r="CJ4"/>
      <c s="11" r="CK4"/>
      <c s="11" r="CL4"/>
      <c s="11" r="CM4"/>
      <c s="11" r="CN4"/>
      <c s="11" r="CO4"/>
      <c s="54" r="CP4"/>
      <c t="s" s="34" r="CQ4">
        <v>44</v>
      </c>
      <c s="21" r="CR4"/>
      <c t="s" s="9" r="CS4">
        <v>45</v>
      </c>
      <c s="11" r="CT4"/>
      <c s="11" r="CU4"/>
      <c s="11" r="CV4"/>
      <c s="11" r="CW4"/>
      <c s="11" r="CX4"/>
      <c s="11" r="CY4"/>
      <c s="11" r="CZ4"/>
      <c s="11" r="DA4"/>
      <c s="54" r="DB4"/>
      <c t="s" s="51" r="DC4">
        <v>162</v>
      </c>
      <c s="21" r="DD4"/>
      <c t="s" s="51" r="DE4">
        <v>163</v>
      </c>
      <c s="21" r="DF4"/>
      <c t="s" s="51" r="DG4">
        <v>164</v>
      </c>
      <c s="2" r="DH4"/>
    </row>
    <row customHeight="1" r="5" ht="15.0">
      <c s="7" r="BF5"/>
      <c t="s" s="34" r="BG5">
        <v>38</v>
      </c>
      <c s="21" r="BH5"/>
      <c t="s" s="9" r="BI5">
        <v>49</v>
      </c>
      <c s="11" r="BJ5"/>
      <c s="11" r="BK5"/>
      <c s="11" r="BL5"/>
      <c s="11" r="BM5"/>
      <c s="54" r="BN5"/>
      <c t="s" s="51" r="BO5">
        <v>50</v>
      </c>
      <c s="21" r="BP5"/>
      <c t="s" s="51" r="BQ5">
        <v>52</v>
      </c>
      <c s="21" r="BR5"/>
      <c t="s" s="51" r="BS5">
        <v>53</v>
      </c>
      <c s="21" r="BT5"/>
      <c t="s" s="34" r="BU5">
        <v>38</v>
      </c>
      <c s="21" r="BV5"/>
      <c t="s" s="9" r="BW5">
        <v>54</v>
      </c>
      <c s="11" r="BX5"/>
      <c s="11" r="BY5"/>
      <c s="11" r="BZ5"/>
      <c s="11" r="CA5"/>
      <c s="54" r="CB5"/>
      <c t="s" s="33" r="CC5">
        <v>55</v>
      </c>
      <c s="21" r="CD5"/>
      <c t="s" s="64" r="CE5">
        <v>56</v>
      </c>
      <c s="21" r="CF5"/>
      <c t="s" s="64" r="CG5">
        <v>57</v>
      </c>
      <c s="21" r="CH5"/>
      <c t="s" s="34" r="CI5">
        <v>38</v>
      </c>
      <c s="21" r="CJ5"/>
      <c t="s" s="64" r="CK5">
        <v>58</v>
      </c>
      <c s="21" r="CL5"/>
      <c t="s" s="51" r="CM5">
        <v>59</v>
      </c>
      <c s="21" r="CN5"/>
      <c t="s" s="51" r="CO5">
        <v>60</v>
      </c>
      <c s="2" r="CP5"/>
      <c s="7" r="CR5"/>
      <c t="s" s="51" r="CS5">
        <v>61</v>
      </c>
      <c s="21" r="CT5"/>
      <c t="s" s="51" r="CU5">
        <v>62</v>
      </c>
      <c s="21" r="CV5"/>
      <c t="s" s="51" r="CW5">
        <v>63</v>
      </c>
      <c s="21" r="CX5"/>
      <c t="s" s="51" r="CY5">
        <v>64</v>
      </c>
      <c s="21" r="CZ5"/>
      <c t="s" s="51" r="DA5">
        <v>65</v>
      </c>
      <c s="2" r="DB5"/>
    </row>
    <row customHeight="1" r="6" ht="15.0">
      <c s="41" r="D6"/>
      <c s="41" r="E6"/>
      <c s="41" r="F6"/>
      <c s="41" r="G6"/>
      <c s="41" r="H6"/>
      <c s="41" r="I6"/>
      <c s="41" r="J6"/>
      <c s="41" r="K6"/>
      <c s="41" r="L6"/>
      <c s="41" r="M6"/>
      <c s="41" r="N6"/>
      <c s="41" r="O6"/>
      <c s="41" r="P6"/>
      <c s="41" r="Q6"/>
      <c s="41" r="R6"/>
      <c s="41" r="S6"/>
      <c s="41" r="T6"/>
      <c s="41" r="U6"/>
      <c s="41" r="V6"/>
      <c s="41" r="W6"/>
      <c s="41" r="X6"/>
      <c s="41" r="Y6"/>
      <c s="41" r="Z6"/>
      <c s="41" r="AA6"/>
      <c s="41" r="AB6"/>
      <c s="41" r="AC6"/>
      <c s="41" r="AD6"/>
      <c s="41" r="AE6"/>
      <c s="41" r="AF6"/>
      <c s="41" r="AG6"/>
      <c s="41" r="AH6"/>
      <c s="41" r="AI6"/>
      <c s="41" r="AJ6"/>
      <c s="41" r="AK6"/>
      <c s="41" r="AL6"/>
      <c s="41" r="AM6"/>
      <c s="41" r="AN6"/>
      <c s="41" r="AO6"/>
      <c s="41" r="AP6"/>
      <c s="41" r="AQ6"/>
      <c s="41" r="AR6"/>
      <c s="41" r="AS6"/>
      <c s="41" r="AT6"/>
      <c s="41" r="AU6"/>
      <c s="41" r="AV6"/>
      <c s="41" r="AW6"/>
      <c s="41" r="AY6"/>
      <c s="41" r="AZ6"/>
      <c s="41" r="BA6"/>
      <c s="41" r="BB6"/>
      <c s="41" r="BC6"/>
      <c s="41" r="BD6"/>
      <c s="41" r="BE6"/>
      <c s="41" r="BF6"/>
      <c s="41" r="BG6"/>
      <c s="62" r="BH6"/>
      <c t="s" s="9" r="BI6">
        <v>38</v>
      </c>
      <c s="54" r="BJ6"/>
      <c t="s" s="9" r="BK6">
        <v>68</v>
      </c>
      <c s="54" r="BL6"/>
      <c t="s" s="9" r="BM6">
        <v>69</v>
      </c>
      <c s="11" r="BN6"/>
      <c s="41" r="BO6"/>
      <c s="41" r="BP6"/>
      <c s="41" r="BQ6"/>
      <c s="41" r="BR6"/>
      <c s="41" r="BS6"/>
      <c s="41" r="BT6"/>
      <c s="41" r="BU6"/>
      <c s="62" r="BV6"/>
      <c t="s" s="9" r="BW6">
        <v>38</v>
      </c>
      <c s="54" r="BX6"/>
      <c t="s" s="4" r="BY6">
        <v>70</v>
      </c>
      <c s="54" r="BZ6"/>
      <c t="s" s="4" r="CA6">
        <v>71</v>
      </c>
      <c s="11" r="CB6"/>
      <c s="41" r="CC6"/>
      <c s="41" r="CD6"/>
      <c s="41" r="CE6"/>
      <c s="41" r="CF6"/>
      <c s="41" r="CG6"/>
      <c s="41" r="CH6"/>
      <c s="41" r="CI6"/>
      <c s="41" r="CJ6"/>
      <c s="41" r="CK6"/>
      <c s="41" r="CL6"/>
      <c s="41" r="CM6"/>
      <c s="41" r="CN6"/>
      <c s="41" r="CO6"/>
      <c s="41" r="CP6"/>
      <c s="41" r="CQ6"/>
      <c s="41" r="CR6"/>
      <c s="41" r="CS6"/>
      <c s="41" r="CT6"/>
      <c s="41" r="CU6"/>
      <c s="41" r="CV6"/>
      <c s="41" r="CW6"/>
      <c s="41" r="CX6"/>
      <c s="41" r="CY6"/>
      <c s="41" r="CZ6"/>
      <c s="41" r="DA6"/>
      <c s="41" r="DB6"/>
      <c s="41" r="DC6"/>
      <c s="41" r="DD6"/>
      <c s="41" r="DE6"/>
      <c s="41" r="DF6"/>
      <c s="41" r="DG6"/>
      <c s="41" r="DH6"/>
      <c s="41" r="DI6"/>
      <c s="41" r="DJ6"/>
      <c s="41" r="DK6"/>
      <c s="41" r="DL6"/>
      <c s="41" r="DM6"/>
      <c s="41" r="DN6"/>
      <c s="41" r="DO6"/>
      <c s="41" r="DP6"/>
      <c s="41" r="DQ6"/>
      <c s="41" r="DR6"/>
      <c s="41" r="DS6"/>
      <c s="41" r="DT6"/>
      <c s="41" r="DU6"/>
      <c s="41" r="DV6"/>
    </row>
    <row customHeight="1" r="7" ht="15.0">
      <c s="7" r="C7"/>
      <c t="s" s="5" r="D7">
        <v>72</v>
      </c>
      <c t="s" s="57" r="E7">
        <v>73</v>
      </c>
      <c t="s" s="5" r="F7">
        <v>72</v>
      </c>
      <c t="s" s="57" r="G7">
        <v>73</v>
      </c>
      <c t="s" s="5" r="H7">
        <v>72</v>
      </c>
      <c t="s" s="57" r="I7">
        <v>73</v>
      </c>
      <c t="s" s="5" r="J7">
        <v>72</v>
      </c>
      <c t="s" s="57" r="K7">
        <v>73</v>
      </c>
      <c t="s" s="5" r="L7">
        <v>72</v>
      </c>
      <c t="s" s="57" r="M7">
        <v>73</v>
      </c>
      <c t="s" s="5" r="N7">
        <v>72</v>
      </c>
      <c t="s" s="57" r="O7">
        <v>73</v>
      </c>
      <c t="s" s="5" r="P7">
        <v>72</v>
      </c>
      <c t="s" s="57" r="Q7">
        <v>73</v>
      </c>
      <c t="s" s="5" r="R7">
        <v>72</v>
      </c>
      <c t="s" s="57" r="S7">
        <v>73</v>
      </c>
      <c t="s" s="5" r="T7">
        <v>72</v>
      </c>
      <c t="s" s="57" r="U7">
        <v>73</v>
      </c>
      <c t="s" s="5" r="V7">
        <v>72</v>
      </c>
      <c t="s" s="57" r="W7">
        <v>73</v>
      </c>
      <c t="s" s="5" r="X7">
        <v>72</v>
      </c>
      <c t="s" s="57" r="Y7">
        <v>73</v>
      </c>
      <c t="s" s="5" r="Z7">
        <v>72</v>
      </c>
      <c t="s" s="57" r="AA7">
        <v>73</v>
      </c>
      <c t="s" s="5" r="AB7">
        <v>72</v>
      </c>
      <c t="s" s="57" r="AC7">
        <v>73</v>
      </c>
      <c t="s" s="5" r="AD7">
        <v>72</v>
      </c>
      <c t="s" s="57" r="AE7">
        <v>73</v>
      </c>
      <c t="s" s="5" r="AF7">
        <v>72</v>
      </c>
      <c t="s" s="57" r="AG7">
        <v>73</v>
      </c>
      <c t="s" s="5" r="AH7">
        <v>72</v>
      </c>
      <c t="s" s="57" r="AI7">
        <v>73</v>
      </c>
      <c t="s" s="5" r="AJ7">
        <v>72</v>
      </c>
      <c t="s" s="57" r="AK7">
        <v>73</v>
      </c>
      <c t="s" s="5" r="AL7">
        <v>72</v>
      </c>
      <c t="s" s="57" r="AM7">
        <v>73</v>
      </c>
      <c t="s" s="5" r="AN7">
        <v>72</v>
      </c>
      <c t="s" s="57" r="AO7">
        <v>73</v>
      </c>
      <c t="s" s="5" r="AP7">
        <v>72</v>
      </c>
      <c t="s" s="57" r="AQ7">
        <v>73</v>
      </c>
      <c t="s" s="5" r="AR7">
        <v>72</v>
      </c>
      <c t="s" s="57" r="AS7">
        <v>73</v>
      </c>
      <c t="s" s="5" r="AT7">
        <v>72</v>
      </c>
      <c t="s" s="57" r="AU7">
        <v>73</v>
      </c>
      <c t="s" s="5" r="AV7">
        <v>72</v>
      </c>
      <c t="s" s="57" r="AW7">
        <v>73</v>
      </c>
      <c s="35" r="AX7"/>
      <c t="s" s="5" r="AY7">
        <v>72</v>
      </c>
      <c t="s" s="57" r="AZ7">
        <v>73</v>
      </c>
      <c t="s" s="5" r="BA7">
        <v>72</v>
      </c>
      <c t="s" s="57" r="BB7">
        <v>73</v>
      </c>
      <c t="s" s="5" r="BC7">
        <v>72</v>
      </c>
      <c t="s" s="57" r="BD7">
        <v>73</v>
      </c>
      <c t="s" s="5" r="BE7">
        <v>72</v>
      </c>
      <c t="s" s="57" r="BF7">
        <v>73</v>
      </c>
      <c t="s" s="5" r="BG7">
        <v>72</v>
      </c>
      <c t="s" s="57" r="BH7">
        <v>73</v>
      </c>
      <c t="s" s="5" r="BI7">
        <v>72</v>
      </c>
      <c t="s" s="57" r="BJ7">
        <v>73</v>
      </c>
      <c t="s" s="5" r="BK7">
        <v>72</v>
      </c>
      <c t="s" s="57" r="BL7">
        <v>73</v>
      </c>
      <c t="s" s="5" r="BM7">
        <v>72</v>
      </c>
      <c t="s" s="57" r="BN7">
        <v>73</v>
      </c>
      <c t="s" s="5" r="BO7">
        <v>72</v>
      </c>
      <c t="s" s="57" r="BP7">
        <v>73</v>
      </c>
      <c t="s" s="5" r="BQ7">
        <v>72</v>
      </c>
      <c t="s" s="57" r="BR7">
        <v>73</v>
      </c>
      <c t="s" s="5" r="BS7">
        <v>72</v>
      </c>
      <c t="s" s="57" r="BT7">
        <v>73</v>
      </c>
      <c t="s" s="5" r="BU7">
        <v>72</v>
      </c>
      <c t="s" s="57" r="BV7">
        <v>73</v>
      </c>
      <c t="s" s="5" r="BW7">
        <v>72</v>
      </c>
      <c t="s" s="57" r="BX7">
        <v>73</v>
      </c>
      <c t="s" s="5" r="BY7">
        <v>72</v>
      </c>
      <c t="s" s="57" r="BZ7">
        <v>73</v>
      </c>
      <c t="s" s="5" r="CA7">
        <v>72</v>
      </c>
      <c t="s" s="57" r="CB7">
        <v>73</v>
      </c>
      <c t="s" s="5" r="CC7">
        <v>72</v>
      </c>
      <c t="s" s="57" r="CD7">
        <v>73</v>
      </c>
      <c t="s" s="5" r="CE7">
        <v>72</v>
      </c>
      <c t="s" s="57" r="CF7">
        <v>73</v>
      </c>
      <c t="s" s="5" r="CG7">
        <v>72</v>
      </c>
      <c t="s" s="57" r="CH7">
        <v>73</v>
      </c>
      <c t="s" s="5" r="CI7">
        <v>72</v>
      </c>
      <c t="s" s="57" r="CJ7">
        <v>73</v>
      </c>
      <c t="s" s="5" r="CK7">
        <v>72</v>
      </c>
      <c t="s" s="57" r="CL7">
        <v>73</v>
      </c>
      <c t="s" s="5" r="CM7">
        <v>72</v>
      </c>
      <c t="s" s="57" r="CN7">
        <v>73</v>
      </c>
      <c t="s" s="5" r="CO7">
        <v>72</v>
      </c>
      <c t="s" s="57" r="CP7">
        <v>73</v>
      </c>
      <c t="s" s="5" r="CQ7">
        <v>72</v>
      </c>
      <c t="s" s="57" r="CR7">
        <v>73</v>
      </c>
      <c t="s" s="5" r="CS7">
        <v>72</v>
      </c>
      <c t="s" s="57" r="CT7">
        <v>73</v>
      </c>
      <c t="s" s="5" r="CU7">
        <v>72</v>
      </c>
      <c t="s" s="57" r="CV7">
        <v>73</v>
      </c>
      <c t="s" s="5" r="CW7">
        <v>72</v>
      </c>
      <c t="s" s="57" r="CX7">
        <v>73</v>
      </c>
      <c t="s" s="5" r="CY7">
        <v>72</v>
      </c>
      <c t="s" s="57" r="CZ7">
        <v>73</v>
      </c>
      <c t="s" s="5" r="DA7">
        <v>72</v>
      </c>
      <c t="s" s="57" r="DB7">
        <v>73</v>
      </c>
      <c t="s" s="5" r="DC7">
        <v>72</v>
      </c>
      <c t="s" s="57" r="DD7">
        <v>73</v>
      </c>
      <c t="s" s="5" r="DE7">
        <v>72</v>
      </c>
      <c t="s" s="57" r="DF7">
        <v>73</v>
      </c>
      <c t="s" s="5" r="DG7">
        <v>72</v>
      </c>
      <c t="s" s="57" r="DH7">
        <v>73</v>
      </c>
      <c t="s" s="5" r="DI7">
        <v>74</v>
      </c>
      <c t="s" s="57" r="DJ7">
        <v>73</v>
      </c>
      <c t="s" s="5" r="DK7">
        <v>72</v>
      </c>
      <c t="s" s="57" r="DL7">
        <v>73</v>
      </c>
      <c t="s" s="5" r="DM7">
        <v>72</v>
      </c>
      <c t="s" s="57" r="DN7">
        <v>73</v>
      </c>
      <c t="s" s="5" r="DO7">
        <v>72</v>
      </c>
      <c t="s" s="57" r="DP7">
        <v>73</v>
      </c>
      <c t="s" s="5" r="DQ7">
        <v>72</v>
      </c>
      <c t="s" s="57" r="DR7">
        <v>73</v>
      </c>
      <c t="s" s="5" r="DS7">
        <v>72</v>
      </c>
      <c t="s" s="57" r="DT7">
        <v>73</v>
      </c>
      <c t="s" s="5" r="DU7">
        <v>72</v>
      </c>
      <c t="s" s="34" r="DV7">
        <v>73</v>
      </c>
    </row>
    <row customHeight="1" r="8" ht="15.0">
      <c s="41" r="B8"/>
      <c s="41" r="C8"/>
      <c s="41" r="D8"/>
      <c s="41" r="E8"/>
      <c s="41" r="F8"/>
      <c s="41" r="G8"/>
      <c s="41" r="H8"/>
      <c s="41" r="I8"/>
      <c s="41" r="J8"/>
      <c s="41" r="K8"/>
      <c s="41" r="L8"/>
      <c s="41" r="M8"/>
      <c s="41" r="N8"/>
      <c s="41" r="O8"/>
      <c s="41" r="P8"/>
      <c s="41" r="Q8"/>
      <c s="41" r="R8"/>
      <c s="41" r="S8"/>
      <c s="41" r="T8"/>
      <c s="41" r="U8"/>
      <c s="41" r="V8"/>
      <c s="41" r="W8"/>
      <c s="41" r="X8"/>
      <c s="41" r="Y8"/>
      <c s="41" r="Z8"/>
      <c s="41" r="AA8"/>
      <c s="41" r="AB8"/>
      <c s="41" r="AC8"/>
      <c s="41" r="AD8"/>
      <c s="41" r="AE8"/>
      <c s="41" r="AF8"/>
      <c s="41" r="AG8"/>
      <c s="41" r="AH8"/>
      <c s="41" r="AI8"/>
      <c s="41" r="AJ8"/>
      <c s="41" r="AK8"/>
      <c s="41" r="AL8"/>
      <c s="41" r="AM8"/>
      <c s="41" r="AN8"/>
      <c s="41" r="AO8"/>
      <c s="41" r="AP8"/>
      <c s="41" r="AQ8"/>
      <c s="41" r="AR8"/>
      <c s="41" r="AS8"/>
      <c s="41" r="AT8"/>
      <c s="41" r="AU8"/>
      <c s="41" r="AV8"/>
      <c s="41" r="AW8"/>
      <c s="41" r="AX8"/>
      <c s="41" r="AY8"/>
      <c s="41" r="AZ8"/>
      <c s="41" r="BA8"/>
      <c s="41" r="BB8"/>
      <c s="41" r="BC8"/>
      <c s="41" r="BD8"/>
      <c s="41" r="BE8"/>
      <c s="41" r="BF8"/>
      <c s="41" r="BG8"/>
      <c s="41" r="BH8"/>
      <c s="41" r="BI8"/>
      <c s="41" r="BJ8"/>
      <c s="41" r="BK8"/>
      <c s="41" r="BL8"/>
      <c s="41" r="BM8"/>
      <c s="41" r="BN8"/>
      <c s="41" r="BO8"/>
      <c s="41" r="BP8"/>
      <c s="41" r="BQ8"/>
      <c s="41" r="BR8"/>
      <c s="41" r="BS8"/>
      <c s="41" r="BT8"/>
      <c s="41" r="BU8"/>
      <c s="41" r="BV8"/>
      <c s="41" r="BW8"/>
      <c s="41" r="BX8"/>
      <c s="41" r="BY8"/>
      <c s="41" r="BZ8"/>
      <c s="41" r="CA8"/>
      <c s="41" r="CB8"/>
      <c s="41" r="CC8"/>
      <c s="41" r="CD8"/>
      <c s="41" r="CE8"/>
      <c s="41" r="CF8"/>
      <c s="41" r="CG8"/>
      <c s="41" r="CH8"/>
      <c s="41" r="CI8"/>
      <c s="41" r="CJ8"/>
      <c s="41" r="CK8"/>
      <c s="41" r="CL8"/>
      <c s="41" r="CM8"/>
      <c s="41" r="CN8"/>
      <c s="41" r="CO8"/>
      <c s="41" r="CP8"/>
      <c s="41" r="CQ8"/>
      <c s="41" r="CR8"/>
      <c s="41" r="CS8"/>
      <c s="41" r="CT8"/>
      <c s="41" r="CU8"/>
      <c s="41" r="CV8"/>
      <c s="41" r="CW8"/>
      <c s="41" r="CX8"/>
      <c s="41" r="CY8"/>
      <c s="41" r="CZ8"/>
      <c s="41" r="DA8"/>
      <c s="41" r="DB8"/>
      <c s="41" r="DC8"/>
      <c s="41" r="DD8"/>
      <c s="41" r="DE8"/>
      <c s="41" r="DF8"/>
      <c s="41" r="DG8"/>
      <c s="41" r="DH8"/>
      <c s="41" r="DI8"/>
      <c s="41" r="DJ8"/>
      <c s="41" r="DK8"/>
      <c s="41" r="DL8"/>
      <c s="41" r="DM8"/>
      <c s="41" r="DN8"/>
      <c s="41" r="DO8"/>
      <c s="41" r="DP8"/>
      <c s="41" r="DQ8"/>
      <c s="41" r="DR8"/>
      <c s="41" r="DS8"/>
      <c s="41" r="DT8"/>
      <c s="41" r="DU8"/>
      <c s="41" r="DV8"/>
    </row>
    <row customHeight="1" r="9" ht="15.0">
      <c s="7" r="A9"/>
      <c s="36" r="B9">
        <v>1</v>
      </c>
      <c s="36" r="C9">
        <v>2</v>
      </c>
      <c s="36" r="D9">
        <v>3</v>
      </c>
      <c s="36" r="E9">
        <v>4</v>
      </c>
      <c s="36" r="F9">
        <v>5</v>
      </c>
      <c s="36" r="G9">
        <v>6</v>
      </c>
      <c s="36" r="H9">
        <v>7</v>
      </c>
      <c s="36" r="I9">
        <v>8</v>
      </c>
      <c s="36" r="J9">
        <v>9</v>
      </c>
      <c s="36" r="K9">
        <v>10</v>
      </c>
      <c s="36" r="L9">
        <v>11</v>
      </c>
      <c s="36" r="M9">
        <v>12</v>
      </c>
      <c s="36" r="N9">
        <v>13</v>
      </c>
      <c s="36" r="O9">
        <v>14</v>
      </c>
      <c s="36" r="P9">
        <v>15</v>
      </c>
      <c s="36" r="Q9">
        <v>16</v>
      </c>
      <c s="36" r="R9">
        <v>17</v>
      </c>
      <c s="36" r="S9">
        <v>18</v>
      </c>
      <c s="36" r="T9">
        <v>19</v>
      </c>
      <c s="36" r="U9">
        <v>20</v>
      </c>
      <c s="36" r="V9">
        <v>21</v>
      </c>
      <c s="36" r="W9">
        <v>22</v>
      </c>
      <c s="36" r="X9">
        <v>23</v>
      </c>
      <c s="36" r="Y9">
        <v>24</v>
      </c>
      <c s="36" r="Z9">
        <v>25</v>
      </c>
      <c s="36" r="AA9">
        <v>26</v>
      </c>
      <c s="36" r="AB9">
        <v>27</v>
      </c>
      <c s="36" r="AC9">
        <v>28</v>
      </c>
      <c s="36" r="AD9">
        <v>29</v>
      </c>
      <c s="36" r="AE9">
        <v>30</v>
      </c>
      <c s="36" r="AF9">
        <v>31</v>
      </c>
      <c s="36" r="AG9">
        <v>32</v>
      </c>
      <c s="36" r="AH9">
        <v>33</v>
      </c>
      <c s="36" r="AI9">
        <v>34</v>
      </c>
      <c s="36" r="AJ9">
        <v>35</v>
      </c>
      <c s="36" r="AK9">
        <v>36</v>
      </c>
      <c s="36" r="AL9">
        <v>37</v>
      </c>
      <c s="36" r="AM9">
        <v>38</v>
      </c>
      <c s="36" r="AN9">
        <v>39</v>
      </c>
      <c s="36" r="AO9">
        <v>40</v>
      </c>
      <c s="36" r="AP9">
        <v>41</v>
      </c>
      <c s="36" r="AQ9">
        <v>42</v>
      </c>
      <c s="36" r="AR9">
        <v>43</v>
      </c>
      <c s="36" r="AS9">
        <v>44</v>
      </c>
      <c s="36" r="AT9">
        <v>45</v>
      </c>
      <c s="36" r="AU9">
        <v>46</v>
      </c>
      <c s="36" r="AV9">
        <v>47</v>
      </c>
      <c s="36" r="AW9">
        <v>48</v>
      </c>
      <c s="36" r="AX9">
        <v>49</v>
      </c>
      <c s="36" r="AY9">
        <v>50</v>
      </c>
      <c s="36" r="AZ9">
        <v>51</v>
      </c>
      <c s="36" r="BA9">
        <v>52</v>
      </c>
      <c s="36" r="BB9">
        <v>53</v>
      </c>
      <c s="36" r="BC9">
        <v>54</v>
      </c>
      <c s="36" r="BD9">
        <v>55</v>
      </c>
      <c s="36" r="BE9">
        <v>56</v>
      </c>
      <c s="36" r="BF9">
        <v>57</v>
      </c>
      <c s="36" r="BG9">
        <v>58</v>
      </c>
      <c s="36" r="BH9">
        <v>59</v>
      </c>
      <c s="36" r="BI9">
        <v>60</v>
      </c>
      <c s="36" r="BJ9">
        <v>61</v>
      </c>
      <c s="36" r="BK9">
        <v>62</v>
      </c>
      <c s="36" r="BL9">
        <v>63</v>
      </c>
      <c s="36" r="BM9">
        <v>64</v>
      </c>
      <c s="36" r="BN9">
        <v>65</v>
      </c>
      <c s="36" r="BO9">
        <v>66</v>
      </c>
      <c s="36" r="BP9">
        <v>67</v>
      </c>
      <c s="36" r="BQ9">
        <v>68</v>
      </c>
      <c s="36" r="BR9">
        <v>69</v>
      </c>
      <c s="36" r="BS9">
        <v>70</v>
      </c>
      <c s="36" r="BT9">
        <v>71</v>
      </c>
      <c s="36" r="BU9">
        <v>72</v>
      </c>
      <c s="36" r="BV9">
        <v>73</v>
      </c>
      <c s="36" r="BW9">
        <v>74</v>
      </c>
      <c s="36" r="BX9">
        <v>75</v>
      </c>
      <c s="36" r="BY9">
        <v>76</v>
      </c>
      <c s="36" r="BZ9">
        <v>77</v>
      </c>
      <c s="36" r="CA9">
        <v>78</v>
      </c>
      <c s="36" r="CB9">
        <v>79</v>
      </c>
      <c s="36" r="CC9">
        <v>80</v>
      </c>
      <c s="36" r="CD9">
        <v>81</v>
      </c>
      <c s="36" r="CE9">
        <v>82</v>
      </c>
      <c s="36" r="CF9">
        <v>83</v>
      </c>
      <c s="36" r="CG9">
        <v>84</v>
      </c>
      <c s="36" r="CH9">
        <v>85</v>
      </c>
      <c s="36" r="CI9">
        <v>86</v>
      </c>
      <c s="36" r="CJ9">
        <v>87</v>
      </c>
      <c s="36" r="CK9">
        <v>88</v>
      </c>
      <c s="36" r="CL9">
        <v>89</v>
      </c>
      <c s="36" r="CM9">
        <v>90</v>
      </c>
      <c s="36" r="CN9">
        <v>91</v>
      </c>
      <c s="36" r="CO9">
        <v>92</v>
      </c>
      <c s="36" r="CP9">
        <v>93</v>
      </c>
      <c s="36" r="CQ9">
        <v>94</v>
      </c>
      <c s="36" r="CR9">
        <v>95</v>
      </c>
      <c s="36" r="CS9">
        <v>96</v>
      </c>
      <c s="36" r="CT9">
        <v>97</v>
      </c>
      <c s="36" r="CU9">
        <v>98</v>
      </c>
      <c s="36" r="CV9">
        <v>99</v>
      </c>
      <c s="36" r="CW9">
        <v>100</v>
      </c>
      <c s="36" r="CX9">
        <v>101</v>
      </c>
      <c s="36" r="CY9">
        <v>102</v>
      </c>
      <c s="36" r="CZ9">
        <v>103</v>
      </c>
      <c s="36" r="DA9">
        <v>104</v>
      </c>
      <c s="36" r="DB9">
        <v>105</v>
      </c>
      <c s="36" r="DC9">
        <v>106</v>
      </c>
      <c s="36" r="DD9">
        <v>107</v>
      </c>
      <c s="36" r="DE9">
        <v>108</v>
      </c>
      <c s="36" r="DF9">
        <v>109</v>
      </c>
      <c s="36" r="DG9">
        <v>110</v>
      </c>
      <c s="36" r="DH9">
        <v>111</v>
      </c>
      <c s="36" r="DI9">
        <v>112</v>
      </c>
      <c s="36" r="DJ9">
        <v>113</v>
      </c>
      <c s="36" r="DK9">
        <v>114</v>
      </c>
      <c s="36" r="DL9">
        <v>115</v>
      </c>
      <c s="36" r="DM9">
        <v>116</v>
      </c>
      <c s="36" r="DN9">
        <v>117</v>
      </c>
      <c s="36" r="DO9">
        <v>118</v>
      </c>
      <c s="36" r="DP9">
        <v>119</v>
      </c>
      <c s="36" r="DQ9">
        <v>120</v>
      </c>
      <c s="36" r="DR9">
        <v>121</v>
      </c>
      <c s="36" r="DS9">
        <v>122</v>
      </c>
      <c s="36" r="DT9">
        <v>123</v>
      </c>
      <c s="36" r="DU9">
        <v>124</v>
      </c>
      <c s="59" r="DV9">
        <v>125</v>
      </c>
    </row>
    <row customHeight="1" r="10" ht="15.0">
      <c t="s" s="37" r="A10">
        <v>75</v>
      </c>
      <c s="28" r="B10">
        <v>48167223</v>
      </c>
      <c s="28" r="C10">
        <v>5731767164</v>
      </c>
      <c s="28" r="D10">
        <v>41201953</v>
      </c>
      <c s="28" r="E10">
        <v>3832242929</v>
      </c>
      <c s="28" r="F10">
        <v>32639485</v>
      </c>
      <c s="28" r="G10">
        <v>153056058</v>
      </c>
      <c s="28" r="H10">
        <v>4452097</v>
      </c>
      <c s="28" r="I10">
        <v>67808882</v>
      </c>
      <c s="28" r="J10">
        <v>17951814</v>
      </c>
      <c s="28" r="K10">
        <v>182169584</v>
      </c>
      <c s="28" r="L10">
        <v>15557308</v>
      </c>
      <c s="28" r="M10">
        <v>135574812</v>
      </c>
      <c s="28" r="N10">
        <v>20382079</v>
      </c>
      <c s="28" r="O10">
        <v>25792606</v>
      </c>
      <c s="28" r="P10">
        <v>234603</v>
      </c>
      <c s="28" r="Q10">
        <v>6394513</v>
      </c>
      <c s="28" r="R10">
        <v>10058410</v>
      </c>
      <c s="28" r="S10">
        <v>191360669</v>
      </c>
      <c s="28" r="T10">
        <v>14284532</v>
      </c>
      <c s="28" r="U10">
        <v>420062158</v>
      </c>
      <c s="28" r="V10">
        <v>1070810</v>
      </c>
      <c s="28" r="W10">
        <v>649205</v>
      </c>
      <c s="28" r="X10">
        <v>5339541</v>
      </c>
      <c s="28" r="Y10">
        <v>104900897</v>
      </c>
      <c s="28" r="Z10">
        <v>11153605</v>
      </c>
      <c s="28" r="AA10">
        <v>277909450</v>
      </c>
      <c s="28" r="AB10">
        <v>3593500</v>
      </c>
      <c s="28" r="AC10">
        <v>72472610</v>
      </c>
      <c s="28" r="AD10">
        <v>3683045</v>
      </c>
      <c s="28" r="AE10">
        <v>45506722</v>
      </c>
      <c s="28" r="AF10">
        <v>264065</v>
      </c>
      <c s="28" r="AG10">
        <v>2596246</v>
      </c>
      <c s="28" r="AH10">
        <v>5605873</v>
      </c>
      <c s="28" r="AI10">
        <v>433483239</v>
      </c>
      <c s="28" r="AJ10">
        <v>406426</v>
      </c>
      <c s="28" r="AK10">
        <v>17565019</v>
      </c>
      <c s="28" r="AL10">
        <v>764477</v>
      </c>
      <c s="28" r="AM10">
        <v>-7973923</v>
      </c>
      <c s="28" r="AN10">
        <v>3066975</v>
      </c>
      <c s="28" r="AO10">
        <v>15759743</v>
      </c>
      <c s="28" r="AP10">
        <v>7304102</v>
      </c>
      <c s="28" r="AQ10">
        <v>96859686</v>
      </c>
      <c s="28" r="AR10">
        <v>78955</v>
      </c>
      <c s="28" r="AS10">
        <v>5656945</v>
      </c>
      <c s="28" r="AT10">
        <v>3710767</v>
      </c>
      <c s="28" r="AU10">
        <v>25786464</v>
      </c>
      <c s="28" r="AV10">
        <v>16858232</v>
      </c>
      <c s="28" r="AW10">
        <v>86507641</v>
      </c>
      <c s="28" r="AX10">
        <v>1322276380</v>
      </c>
      <c s="28" r="AY10">
        <v>6783275</v>
      </c>
      <c s="28" r="AZ10">
        <v>17077266</v>
      </c>
      <c s="28" r="BA10">
        <v>10155306</v>
      </c>
      <c s="28" r="BB10">
        <v>76386568</v>
      </c>
      <c s="28" r="BC10">
        <v>10155306</v>
      </c>
      <c s="28" r="BD10">
        <v>117759055</v>
      </c>
      <c s="28" r="BE10">
        <v>10152333</v>
      </c>
      <c s="28" r="BF10">
        <v>41372487</v>
      </c>
      <c s="28" r="BG10">
        <v>47836465</v>
      </c>
      <c s="28" r="BH10">
        <v>467211515</v>
      </c>
      <c s="28" r="BI10">
        <v>46447827</v>
      </c>
      <c s="28" r="BJ10">
        <v>288643912</v>
      </c>
      <c s="28" r="BK10">
        <v>35402974</v>
      </c>
      <c s="28" r="BL10">
        <v>270958143</v>
      </c>
      <c s="28" r="BM10">
        <v>11044853</v>
      </c>
      <c s="28" r="BN10">
        <v>17685769</v>
      </c>
      <c s="28" r="BO10">
        <v>41643497</v>
      </c>
      <c s="28" r="BP10">
        <v>167904713</v>
      </c>
      <c s="28" r="BQ10">
        <v>20951688</v>
      </c>
      <c s="28" r="BR10">
        <v>8548167</v>
      </c>
      <c s="28" r="BS10">
        <v>2829321</v>
      </c>
      <c s="28" r="BT10">
        <v>2114722</v>
      </c>
      <c s="28" r="BU10">
        <v>39199760</v>
      </c>
      <c s="28" r="BV10">
        <v>497617809</v>
      </c>
      <c s="28" r="BW10">
        <v>38684001</v>
      </c>
      <c s="28" r="BX10">
        <v>470407829</v>
      </c>
      <c s="28" r="BY10">
        <v>38272160</v>
      </c>
      <c s="28" r="BZ10">
        <v>463673345</v>
      </c>
      <c s="28" r="CA10">
        <v>1070285</v>
      </c>
      <c s="28" r="CB10">
        <v>6734484</v>
      </c>
      <c s="28" r="CC10">
        <v>2494473</v>
      </c>
      <c s="28" r="CD10">
        <v>1484359</v>
      </c>
      <c s="28" r="CE10">
        <v>2664681</v>
      </c>
      <c s="28" r="CF10">
        <v>3405438</v>
      </c>
      <c s="28" r="CG10">
        <v>1731536</v>
      </c>
      <c s="28" r="CH10">
        <v>22320183</v>
      </c>
      <c s="28" r="CI10">
        <v>39250369</v>
      </c>
      <c s="28" r="CJ10">
        <v>172936002</v>
      </c>
      <c s="28" r="CK10">
        <v>36217970</v>
      </c>
      <c s="28" r="CL10">
        <v>139159654</v>
      </c>
      <c s="28" r="CM10">
        <v>23027465</v>
      </c>
      <c s="28" r="CN10">
        <v>40421411</v>
      </c>
      <c s="28" r="CO10">
        <v>439233</v>
      </c>
      <c s="28" r="CP10">
        <v>26366506</v>
      </c>
      <c s="28" r="CQ10">
        <v>336746</v>
      </c>
      <c s="28" r="CR10">
        <v>4348275</v>
      </c>
      <c s="28" r="CS10">
        <v>12436636</v>
      </c>
      <c s="28" r="CT10">
        <v>89924426</v>
      </c>
      <c s="28" r="CU10">
        <v>15790907</v>
      </c>
      <c s="28" r="CV10">
        <v>82225607</v>
      </c>
      <c s="28" r="CW10">
        <v>22822456</v>
      </c>
      <c s="28" r="CX10">
        <v>6692290</v>
      </c>
      <c s="28" r="CY10">
        <v>9615230</v>
      </c>
      <c s="28" r="CZ10">
        <v>36166922</v>
      </c>
      <c s="28" r="DA10">
        <v>29592693</v>
      </c>
      <c s="28" r="DB10">
        <v>125084818</v>
      </c>
      <c s="28" r="DC10">
        <v>1033797</v>
      </c>
      <c s="28" r="DD10">
        <v>18461595</v>
      </c>
      <c s="28" r="DE10">
        <v>610275</v>
      </c>
      <c s="28" r="DF10">
        <v>4441762</v>
      </c>
      <c s="28" r="DG10">
        <v>1641535</v>
      </c>
      <c s="28" r="DH10">
        <v>30929051</v>
      </c>
      <c s="28" r="DI10">
        <v>115847147</v>
      </c>
      <c s="28" r="DJ10">
        <v>397363715</v>
      </c>
      <c s="28" r="DK10">
        <v>44029053</v>
      </c>
      <c s="28" r="DL10">
        <v>4078848212</v>
      </c>
      <c s="28" r="DM10">
        <v>3800587</v>
      </c>
      <c s="28" r="DN10">
        <v>25263307</v>
      </c>
      <c s="28" r="DO10">
        <v>43761206</v>
      </c>
      <c s="28" r="DP10">
        <v>876045391</v>
      </c>
      <c s="28" r="DQ10">
        <v>22203788</v>
      </c>
      <c s="28" r="DR10">
        <v>42311204</v>
      </c>
      <c s="28" r="DS10">
        <v>40643940</v>
      </c>
      <c s="28" r="DT10">
        <v>833734186</v>
      </c>
      <c s="28" r="DU10">
        <v>40644136</v>
      </c>
      <c s="25" r="DV10">
        <v>833734401</v>
      </c>
    </row>
    <row customHeight="1" r="11" ht="15.0">
      <c t="s" s="58" r="A11">
        <v>76</v>
      </c>
      <c s="6" r="B11">
        <v>412196</v>
      </c>
      <c s="6" r="C11">
        <v>1008784</v>
      </c>
      <c s="6" r="D11">
        <v>114007</v>
      </c>
      <c s="6" r="E11">
        <v>1141996</v>
      </c>
      <c s="6" r="F11">
        <v>267407</v>
      </c>
      <c s="6" r="G11">
        <v>380752</v>
      </c>
      <c s="6" r="H11">
        <v>30818</v>
      </c>
      <c s="6" r="I11">
        <v>116723</v>
      </c>
      <c s="6" r="J11">
        <v>171693</v>
      </c>
      <c s="6" r="K11">
        <v>398813</v>
      </c>
      <c s="6" r="L11">
        <v>144433</v>
      </c>
      <c s="6" r="M11">
        <v>215299</v>
      </c>
      <c s="6" r="N11">
        <v>35669</v>
      </c>
      <c s="6" r="O11">
        <v>31619</v>
      </c>
      <c s="53" r="P11">
        <v>32</v>
      </c>
      <c s="53" r="Q11">
        <v>252</v>
      </c>
      <c s="6" r="R11">
        <v>149475</v>
      </c>
      <c s="6" r="S11">
        <v>172523</v>
      </c>
      <c s="6" r="T11">
        <v>140122</v>
      </c>
      <c s="6" r="U11">
        <v>-82603</v>
      </c>
      <c s="6" r="V11">
        <v>8474</v>
      </c>
      <c s="6" r="W11">
        <v>-32486</v>
      </c>
      <c s="6" r="X11">
        <v>45975</v>
      </c>
      <c s="6" r="Y11">
        <v>213748</v>
      </c>
      <c s="6" r="Z11">
        <v>70669</v>
      </c>
      <c s="6" r="AA11">
        <v>323650</v>
      </c>
      <c s="6" r="AB11">
        <v>33046</v>
      </c>
      <c s="6" r="AC11">
        <v>193162</v>
      </c>
      <c s="6" r="AD11">
        <v>42073</v>
      </c>
      <c s="6" r="AE11">
        <v>468512</v>
      </c>
      <c s="53" r="AF11">
        <v>2428</v>
      </c>
      <c s="53" r="AG11">
        <v>2126</v>
      </c>
      <c s="6" r="AH11">
        <v>40657</v>
      </c>
      <c s="6" r="AI11">
        <v>-576249</v>
      </c>
      <c s="6" r="AJ11">
        <v>3155</v>
      </c>
      <c s="6" r="AK11">
        <v>2174</v>
      </c>
      <c s="6" r="AL11">
        <v>7464</v>
      </c>
      <c s="6" r="AM11">
        <v>-44429</v>
      </c>
      <c s="6" r="AN11">
        <v>9100</v>
      </c>
      <c s="6" r="AO11">
        <v>28248</v>
      </c>
      <c s="6" r="AP11">
        <v>2015</v>
      </c>
      <c s="6" r="AQ11">
        <v>7157</v>
      </c>
      <c s="53" r="AR11">
        <v>1348</v>
      </c>
      <c s="53" r="AS11">
        <v>118132</v>
      </c>
      <c s="6" r="AT11">
        <v>28776</v>
      </c>
      <c s="6" r="AU11">
        <v>71097</v>
      </c>
      <c s="6" r="AV11">
        <v>136186</v>
      </c>
      <c s="6" r="AW11">
        <v>367073</v>
      </c>
      <c s="6" r="AX11">
        <v>6818338</v>
      </c>
      <c s="6" r="AY11">
        <v>0</v>
      </c>
      <c s="6" r="AZ11">
        <v>0</v>
      </c>
      <c s="6" r="BA11">
        <v>268281</v>
      </c>
      <c s="6" r="BB11">
        <v>2235820</v>
      </c>
      <c s="6" r="BC11">
        <v>268281</v>
      </c>
      <c s="6" r="BD11">
        <v>2285653</v>
      </c>
      <c s="6" r="BE11">
        <v>265308</v>
      </c>
      <c s="6" r="BF11">
        <v>49833</v>
      </c>
      <c s="6" r="BG11">
        <v>385621</v>
      </c>
      <c s="6" r="BH11">
        <v>1305585</v>
      </c>
      <c s="6" r="BI11">
        <v>332774</v>
      </c>
      <c s="6" r="BJ11">
        <v>296860</v>
      </c>
      <c s="6" r="BK11">
        <v>126288</v>
      </c>
      <c s="6" r="BL11">
        <v>207731</v>
      </c>
      <c s="6" r="BM11">
        <v>206486</v>
      </c>
      <c s="6" r="BN11">
        <v>89129</v>
      </c>
      <c s="6" r="BO11">
        <v>286887</v>
      </c>
      <c s="6" r="BP11">
        <v>961515</v>
      </c>
      <c s="6" r="BQ11">
        <v>125966</v>
      </c>
      <c s="6" r="BR11">
        <v>30828</v>
      </c>
      <c s="6" r="BS11">
        <v>17120</v>
      </c>
      <c s="6" r="BT11">
        <v>16381</v>
      </c>
      <c s="6" r="BU11">
        <v>255159</v>
      </c>
      <c s="6" r="BV11">
        <v>2769261</v>
      </c>
      <c s="6" r="BW11">
        <v>250681</v>
      </c>
      <c s="6" r="BX11">
        <v>2711196</v>
      </c>
      <c s="6" r="BY11">
        <v>243850</v>
      </c>
      <c s="6" r="BZ11">
        <v>2635861</v>
      </c>
      <c s="6" r="CA11">
        <v>7313</v>
      </c>
      <c s="6" r="CB11">
        <v>75335</v>
      </c>
      <c s="6" r="CC11">
        <v>14867</v>
      </c>
      <c s="6" r="CD11">
        <v>2947</v>
      </c>
      <c s="6" r="CE11">
        <v>14071</v>
      </c>
      <c s="6" r="CF11">
        <v>19134</v>
      </c>
      <c s="6" r="CG11">
        <v>9401</v>
      </c>
      <c s="6" r="CH11">
        <v>35984</v>
      </c>
      <c s="6" r="CI11">
        <v>228598</v>
      </c>
      <c s="6" r="CJ11">
        <v>154850</v>
      </c>
      <c s="6" r="CK11">
        <v>192987</v>
      </c>
      <c s="6" r="CL11">
        <v>283302</v>
      </c>
      <c s="6" r="CM11">
        <v>84069</v>
      </c>
      <c s="6" r="CN11">
        <v>56337</v>
      </c>
      <c s="6" r="CO11">
        <v>37160</v>
      </c>
      <c s="6" r="CP11">
        <v>254551</v>
      </c>
      <c s="53" r="CQ11">
        <v>2248</v>
      </c>
      <c s="53" r="CR11">
        <v>5847</v>
      </c>
      <c s="6" r="CS11">
        <v>165608</v>
      </c>
      <c s="6" r="CT11">
        <v>262239</v>
      </c>
      <c s="6" r="CU11">
        <v>28060</v>
      </c>
      <c s="6" r="CV11">
        <v>124328</v>
      </c>
      <c s="6" r="CW11">
        <v>135790</v>
      </c>
      <c s="6" r="CX11">
        <v>35382</v>
      </c>
      <c s="6" r="CY11">
        <v>87137</v>
      </c>
      <c s="6" r="CZ11">
        <v>110748</v>
      </c>
      <c s="6" r="DA11">
        <v>173660</v>
      </c>
      <c s="6" r="DB11">
        <v>270457</v>
      </c>
      <c s="6" r="DC11">
        <v>5548</v>
      </c>
      <c s="6" r="DD11">
        <v>10960</v>
      </c>
      <c s="6" r="DE11">
        <v>3624</v>
      </c>
      <c s="6" r="DF11">
        <v>6411</v>
      </c>
      <c s="6" r="DG11">
        <v>9886</v>
      </c>
      <c s="6" r="DH11">
        <v>84737</v>
      </c>
      <c s="6" r="DI11">
        <v>593082</v>
      </c>
      <c s="6" r="DJ11">
        <v>2070691</v>
      </c>
      <c s="6" r="DK11">
        <v>14546</v>
      </c>
      <c s="6" r="DL11">
        <v>16952</v>
      </c>
      <c s="53" r="DM11">
        <v>13</v>
      </c>
      <c s="53" r="DN11">
        <v>453</v>
      </c>
      <c s="6" r="DO11">
        <v>11196</v>
      </c>
      <c s="6" r="DP11">
        <v>2339</v>
      </c>
      <c s="6" r="DQ11">
        <v>8241</v>
      </c>
      <c s="6" r="DR11">
        <v>834</v>
      </c>
      <c s="6" r="DS11">
        <v>7606</v>
      </c>
      <c s="6" r="DT11">
        <v>1505</v>
      </c>
      <c s="6" r="DU11">
        <v>7606</v>
      </c>
      <c s="47" r="DV11">
        <v>1505</v>
      </c>
    </row>
    <row customHeight="1" r="12" ht="15.0">
      <c t="s" s="58" r="A12">
        <v>77</v>
      </c>
      <c s="6" r="B12">
        <v>606640</v>
      </c>
      <c s="6" r="C12">
        <v>4638164</v>
      </c>
      <c s="6" r="D12">
        <v>245171</v>
      </c>
      <c s="6" r="E12">
        <v>2810636</v>
      </c>
      <c s="6" r="F12">
        <v>381836</v>
      </c>
      <c s="6" r="G12">
        <v>851579</v>
      </c>
      <c s="6" r="H12">
        <v>40126</v>
      </c>
      <c s="6" r="I12">
        <v>164557</v>
      </c>
      <c s="6" r="J12">
        <v>219294</v>
      </c>
      <c s="6" r="K12">
        <v>615952</v>
      </c>
      <c s="6" r="L12">
        <v>191358</v>
      </c>
      <c s="6" r="M12">
        <v>316869</v>
      </c>
      <c s="6" r="N12">
        <v>89772</v>
      </c>
      <c s="6" r="O12">
        <v>72940</v>
      </c>
      <c s="53" r="P12">
        <v>2666</v>
      </c>
      <c s="53" r="Q12">
        <v>19800</v>
      </c>
      <c s="6" r="R12">
        <v>205441</v>
      </c>
      <c s="6" r="S12">
        <v>743376</v>
      </c>
      <c s="6" r="T12">
        <v>188620</v>
      </c>
      <c s="6" r="U12">
        <v>-3974</v>
      </c>
      <c s="6" r="V12">
        <v>19113</v>
      </c>
      <c s="6" r="W12">
        <v>-57459</v>
      </c>
      <c s="6" r="X12">
        <v>86300</v>
      </c>
      <c s="6" r="Y12">
        <v>526443</v>
      </c>
      <c s="6" r="Z12">
        <v>173688</v>
      </c>
      <c s="6" r="AA12">
        <v>1068325</v>
      </c>
      <c s="6" r="AB12">
        <v>55392</v>
      </c>
      <c s="6" r="AC12">
        <v>315686</v>
      </c>
      <c s="6" r="AD12">
        <v>51417</v>
      </c>
      <c s="6" r="AE12">
        <v>842695</v>
      </c>
      <c s="53" r="AF12">
        <v>2915</v>
      </c>
      <c s="53" r="AG12">
        <v>6916</v>
      </c>
      <c s="6" r="AH12">
        <v>61252</v>
      </c>
      <c s="6" r="AI12">
        <v>-918635</v>
      </c>
      <c s="6" r="AJ12">
        <v>2972</v>
      </c>
      <c s="6" r="AK12">
        <v>11698</v>
      </c>
      <c s="6" r="AL12">
        <v>11092</v>
      </c>
      <c s="6" r="AM12">
        <v>-128905</v>
      </c>
      <c s="6" r="AN12">
        <v>28580</v>
      </c>
      <c s="6" r="AO12">
        <v>144154</v>
      </c>
      <c s="6" r="AP12">
        <v>13744</v>
      </c>
      <c s="6" r="AQ12">
        <v>73431</v>
      </c>
      <c s="53" r="AR12">
        <v>363</v>
      </c>
      <c s="53" r="AS12">
        <v>31782</v>
      </c>
      <c s="6" r="AT12">
        <v>34965</v>
      </c>
      <c s="6" r="AU12">
        <v>76877</v>
      </c>
      <c s="6" r="AV12">
        <v>204128</v>
      </c>
      <c s="6" r="AW12">
        <v>494935</v>
      </c>
      <c s="6" r="AX12">
        <v>9449701</v>
      </c>
      <c s="6" r="AY12">
        <v>0</v>
      </c>
      <c s="6" r="AZ12">
        <v>0</v>
      </c>
      <c s="6" r="BA12">
        <v>392014</v>
      </c>
      <c s="6" r="BB12">
        <v>3173972</v>
      </c>
      <c s="6" r="BC12">
        <v>392014</v>
      </c>
      <c s="6" r="BD12">
        <v>3396402</v>
      </c>
      <c s="6" r="BE12">
        <v>392014</v>
      </c>
      <c s="6" r="BF12">
        <v>222430</v>
      </c>
      <c s="6" r="BG12">
        <v>575759</v>
      </c>
      <c s="6" r="BH12">
        <v>1707392</v>
      </c>
      <c s="6" r="BI12">
        <v>499162</v>
      </c>
      <c s="6" r="BJ12">
        <v>371946</v>
      </c>
      <c s="6" r="BK12">
        <v>196662</v>
      </c>
      <c s="6" r="BL12">
        <v>230463</v>
      </c>
      <c s="6" r="BM12">
        <v>302500</v>
      </c>
      <c s="6" r="BN12">
        <v>141483</v>
      </c>
      <c s="6" r="BO12">
        <v>439986</v>
      </c>
      <c s="6" r="BP12">
        <v>1269742</v>
      </c>
      <c s="6" r="BQ12">
        <v>177282</v>
      </c>
      <c s="6" r="BR12">
        <v>52012</v>
      </c>
      <c s="6" r="BS12">
        <v>24112</v>
      </c>
      <c s="6" r="BT12">
        <v>13692</v>
      </c>
      <c s="6" r="BU12">
        <v>386195</v>
      </c>
      <c s="6" r="BV12">
        <v>3573073</v>
      </c>
      <c s="6" r="BW12">
        <v>373693</v>
      </c>
      <c s="6" r="BX12">
        <v>3494552</v>
      </c>
      <c s="6" r="BY12">
        <v>370542</v>
      </c>
      <c s="6" r="BZ12">
        <v>3454995</v>
      </c>
      <c s="6" r="CA12">
        <v>8136</v>
      </c>
      <c s="6" r="CB12">
        <v>39557</v>
      </c>
      <c s="6" r="CC12">
        <v>22153</v>
      </c>
      <c s="6" r="CD12">
        <v>3743</v>
      </c>
      <c s="6" r="CE12">
        <v>21871</v>
      </c>
      <c s="6" r="CF12">
        <v>30253</v>
      </c>
      <c s="6" r="CG12">
        <v>18312</v>
      </c>
      <c s="6" r="CH12">
        <v>44524</v>
      </c>
      <c s="6" r="CI12">
        <v>354600</v>
      </c>
      <c s="6" r="CJ12">
        <v>480688</v>
      </c>
      <c s="6" r="CK12">
        <v>325200</v>
      </c>
      <c s="6" r="CL12">
        <v>471718</v>
      </c>
      <c s="6" r="CM12">
        <v>126797</v>
      </c>
      <c s="6" r="CN12">
        <v>89126</v>
      </c>
      <c s="6" r="CO12">
        <v>28209</v>
      </c>
      <c s="6" r="CP12">
        <v>165156</v>
      </c>
      <c s="53" r="CQ12">
        <v>6431</v>
      </c>
      <c s="53" r="CR12">
        <v>50016</v>
      </c>
      <c s="6" r="CS12">
        <v>175583</v>
      </c>
      <c s="6" r="CT12">
        <v>396342</v>
      </c>
      <c s="6" r="CU12">
        <v>64025</v>
      </c>
      <c s="6" r="CV12">
        <v>250847</v>
      </c>
      <c s="6" r="CW12">
        <v>197547</v>
      </c>
      <c s="6" r="CX12">
        <v>45113</v>
      </c>
      <c s="6" r="CY12">
        <v>102198</v>
      </c>
      <c s="6" r="CZ12">
        <v>134597</v>
      </c>
      <c s="6" r="DA12">
        <v>266407</v>
      </c>
      <c s="6" r="DB12">
        <v>430558</v>
      </c>
      <c s="6" r="DC12">
        <v>10141</v>
      </c>
      <c s="6" r="DD12">
        <v>58434</v>
      </c>
      <c s="6" r="DE12">
        <v>4897</v>
      </c>
      <c s="6" r="DF12">
        <v>9784</v>
      </c>
      <c s="6" r="DG12">
        <v>15037</v>
      </c>
      <c s="6" r="DH12">
        <v>68218</v>
      </c>
      <c s="6" r="DI12">
        <v>880917</v>
      </c>
      <c s="6" r="DJ12">
        <v>3077423</v>
      </c>
      <c s="6" r="DK12">
        <v>30299</v>
      </c>
      <c s="6" r="DL12">
        <v>96973</v>
      </c>
      <c s="53" r="DM12">
        <v>678</v>
      </c>
      <c s="53" r="DN12">
        <v>537</v>
      </c>
      <c s="6" r="DO12">
        <v>29374</v>
      </c>
      <c s="6" r="DP12">
        <v>12930</v>
      </c>
      <c s="6" r="DQ12">
        <v>12891</v>
      </c>
      <c s="6" r="DR12">
        <v>1467</v>
      </c>
      <c s="6" r="DS12">
        <v>23886</v>
      </c>
      <c s="6" r="DT12">
        <v>11463</v>
      </c>
      <c s="6" r="DU12">
        <v>23886</v>
      </c>
      <c s="47" r="DV12">
        <v>11463</v>
      </c>
    </row>
    <row customHeight="1" r="13" ht="15.0">
      <c t="s" s="58" r="A13">
        <v>78</v>
      </c>
      <c s="6" r="B13">
        <v>902786</v>
      </c>
      <c s="6" r="C13">
        <v>11394818</v>
      </c>
      <c s="6" r="D13">
        <v>387541</v>
      </c>
      <c s="6" r="E13">
        <v>5456140</v>
      </c>
      <c s="6" r="F13">
        <v>537130</v>
      </c>
      <c s="6" r="G13">
        <v>1231063</v>
      </c>
      <c s="6" r="H13">
        <v>47167</v>
      </c>
      <c s="6" r="I13">
        <v>302317</v>
      </c>
      <c s="6" r="J13">
        <v>273207</v>
      </c>
      <c s="6" r="K13">
        <v>922243</v>
      </c>
      <c s="6" r="L13">
        <v>230656</v>
      </c>
      <c s="6" r="M13">
        <v>500987</v>
      </c>
      <c s="6" r="N13">
        <v>125405</v>
      </c>
      <c s="6" r="O13">
        <v>92258</v>
      </c>
      <c s="6" r="P13">
        <v>7817</v>
      </c>
      <c s="6" r="Q13">
        <v>58502</v>
      </c>
      <c s="6" r="R13">
        <v>256441</v>
      </c>
      <c s="6" r="S13">
        <v>1641138</v>
      </c>
      <c s="6" r="T13">
        <v>233299</v>
      </c>
      <c s="6" r="U13">
        <v>15930</v>
      </c>
      <c s="6" r="V13">
        <v>13680</v>
      </c>
      <c s="6" r="W13">
        <v>-95337</v>
      </c>
      <c s="6" r="X13">
        <v>164299</v>
      </c>
      <c s="6" r="Y13">
        <v>1174463</v>
      </c>
      <c s="6" r="Z13">
        <v>334281</v>
      </c>
      <c s="6" r="AA13">
        <v>3022174</v>
      </c>
      <c s="6" r="AB13">
        <v>71753</v>
      </c>
      <c s="6" r="AC13">
        <v>475156</v>
      </c>
      <c s="6" r="AD13">
        <v>90940</v>
      </c>
      <c s="6" r="AE13">
        <v>1154686</v>
      </c>
      <c s="6" r="AF13">
        <v>9080</v>
      </c>
      <c s="6" r="AG13">
        <v>20283</v>
      </c>
      <c s="6" r="AH13">
        <v>69038</v>
      </c>
      <c s="6" r="AI13">
        <v>-590889</v>
      </c>
      <c s="6" r="AJ13">
        <v>2261</v>
      </c>
      <c s="6" r="AK13">
        <v>-15388</v>
      </c>
      <c s="6" r="AL13">
        <v>18588</v>
      </c>
      <c s="6" r="AM13">
        <v>-86666</v>
      </c>
      <c s="6" r="AN13">
        <v>58533</v>
      </c>
      <c s="6" r="AO13">
        <v>283796</v>
      </c>
      <c s="6" r="AP13">
        <v>18963</v>
      </c>
      <c s="6" r="AQ13">
        <v>67634</v>
      </c>
      <c s="53" r="AR13">
        <v>1302</v>
      </c>
      <c s="53" r="AS13">
        <v>85656</v>
      </c>
      <c s="6" r="AT13">
        <v>51894</v>
      </c>
      <c s="6" r="AU13">
        <v>76466</v>
      </c>
      <c s="6" r="AV13">
        <v>270359</v>
      </c>
      <c s="6" r="AW13">
        <v>737390</v>
      </c>
      <c s="6" r="AX13">
        <v>14248393</v>
      </c>
      <c s="6" r="AY13">
        <v>0</v>
      </c>
      <c s="6" r="AZ13">
        <v>0</v>
      </c>
      <c s="6" r="BA13">
        <v>599383</v>
      </c>
      <c s="6" r="BB13">
        <v>4650386</v>
      </c>
      <c s="6" r="BC13">
        <v>599383</v>
      </c>
      <c s="6" r="BD13">
        <v>5216164</v>
      </c>
      <c s="6" r="BE13">
        <v>599383</v>
      </c>
      <c s="6" r="BF13">
        <v>565778</v>
      </c>
      <c s="6" r="BG13">
        <v>870723</v>
      </c>
      <c s="6" r="BH13">
        <v>2630038</v>
      </c>
      <c s="6" r="BI13">
        <v>794803</v>
      </c>
      <c s="6" r="BJ13">
        <v>694723</v>
      </c>
      <c s="6" r="BK13">
        <v>334936</v>
      </c>
      <c s="6" r="BL13">
        <v>440297</v>
      </c>
      <c s="6" r="BM13">
        <v>459867</v>
      </c>
      <c s="6" r="BN13">
        <v>254426</v>
      </c>
      <c s="6" r="BO13">
        <v>653890</v>
      </c>
      <c s="6" r="BP13">
        <v>1834042</v>
      </c>
      <c s="6" r="BQ13">
        <v>282275</v>
      </c>
      <c s="6" r="BR13">
        <v>81136</v>
      </c>
      <c s="6" r="BS13">
        <v>35549</v>
      </c>
      <c s="6" r="BT13">
        <v>20138</v>
      </c>
      <c s="6" r="BU13">
        <v>531196</v>
      </c>
      <c s="6" r="BV13">
        <v>5130500</v>
      </c>
      <c s="6" r="BW13">
        <v>521930</v>
      </c>
      <c s="6" r="BX13">
        <v>5024942</v>
      </c>
      <c s="6" r="BY13">
        <v>515406</v>
      </c>
      <c s="6" r="BZ13">
        <v>4959549</v>
      </c>
      <c s="6" r="CA13">
        <v>13443</v>
      </c>
      <c s="6" r="CB13">
        <v>65393</v>
      </c>
      <c s="6" r="CC13">
        <v>22675</v>
      </c>
      <c s="6" r="CD13">
        <v>4107</v>
      </c>
      <c s="6" r="CE13">
        <v>35210</v>
      </c>
      <c s="6" r="CF13">
        <v>70688</v>
      </c>
      <c s="6" r="CG13">
        <v>20421</v>
      </c>
      <c s="6" r="CH13">
        <v>30762</v>
      </c>
      <c s="6" r="CI13">
        <v>575016</v>
      </c>
      <c s="6" r="CJ13">
        <v>917550</v>
      </c>
      <c s="6" r="CK13">
        <v>528585</v>
      </c>
      <c s="6" r="CL13">
        <v>824799</v>
      </c>
      <c s="6" r="CM13">
        <v>248975</v>
      </c>
      <c s="6" r="CN13">
        <v>157154</v>
      </c>
      <c s="6" r="CO13">
        <v>27310</v>
      </c>
      <c s="6" r="CP13">
        <v>251766</v>
      </c>
      <c s="6" r="CQ13">
        <v>9423</v>
      </c>
      <c s="6" r="CR13">
        <v>94748</v>
      </c>
      <c s="6" r="CS13">
        <v>227806</v>
      </c>
      <c s="6" r="CT13">
        <v>691685</v>
      </c>
      <c s="6" r="CU13">
        <v>108083</v>
      </c>
      <c s="6" r="CV13">
        <v>456823</v>
      </c>
      <c s="6" r="CW13">
        <v>346685</v>
      </c>
      <c s="6" r="CX13">
        <v>81227</v>
      </c>
      <c s="6" r="CY13">
        <v>155246</v>
      </c>
      <c s="6" r="CZ13">
        <v>237916</v>
      </c>
      <c s="6" r="DA13">
        <v>430915</v>
      </c>
      <c s="6" r="DB13">
        <v>775966</v>
      </c>
      <c s="6" r="DC13">
        <v>14817</v>
      </c>
      <c s="6" r="DD13">
        <v>101875</v>
      </c>
      <c s="6" r="DE13">
        <v>8499</v>
      </c>
      <c s="6" r="DF13">
        <v>16940</v>
      </c>
      <c s="6" r="DG13">
        <v>23319</v>
      </c>
      <c s="6" r="DH13">
        <v>133486</v>
      </c>
      <c s="6" r="DI13">
        <v>1400400</v>
      </c>
      <c s="6" r="DJ13">
        <v>4894199</v>
      </c>
      <c s="6" r="DK13">
        <v>221663</v>
      </c>
      <c s="6" r="DL13">
        <v>496936</v>
      </c>
      <c s="53" r="DM13">
        <v>747</v>
      </c>
      <c s="53" r="DN13">
        <v>549</v>
      </c>
      <c s="6" r="DO13">
        <v>205358</v>
      </c>
      <c s="6" r="DP13">
        <v>51918</v>
      </c>
      <c s="6" r="DQ13">
        <v>71039</v>
      </c>
      <c s="6" r="DR13">
        <v>11438</v>
      </c>
      <c s="6" r="DS13">
        <v>161671</v>
      </c>
      <c s="6" r="DT13">
        <v>40480</v>
      </c>
      <c s="6" r="DU13">
        <v>161671</v>
      </c>
      <c s="47" r="DV13">
        <v>40480</v>
      </c>
    </row>
    <row customHeight="1" r="14" ht="15.0">
      <c t="s" s="58" r="A14">
        <v>79</v>
      </c>
      <c s="6" r="B14">
        <v>1162536</v>
      </c>
      <c s="6" r="C14">
        <v>20445699</v>
      </c>
      <c s="6" r="D14">
        <v>663676</v>
      </c>
      <c s="6" r="E14">
        <v>11250600</v>
      </c>
      <c s="6" r="F14">
        <v>619667</v>
      </c>
      <c s="6" r="G14">
        <v>1218576</v>
      </c>
      <c s="6" r="H14">
        <v>58890</v>
      </c>
      <c s="6" r="I14">
        <v>309739</v>
      </c>
      <c s="6" r="J14">
        <v>312406</v>
      </c>
      <c s="6" r="K14">
        <v>1037913</v>
      </c>
      <c s="6" r="L14">
        <v>262840</v>
      </c>
      <c s="6" r="M14">
        <v>586079</v>
      </c>
      <c s="6" r="N14">
        <v>208551</v>
      </c>
      <c s="6" r="O14">
        <v>132364</v>
      </c>
      <c s="6" r="P14">
        <v>10256</v>
      </c>
      <c s="6" r="Q14">
        <v>111585</v>
      </c>
      <c s="6" r="R14">
        <v>317748</v>
      </c>
      <c s="6" r="S14">
        <v>2120736</v>
      </c>
      <c s="6" r="T14">
        <v>243058</v>
      </c>
      <c s="6" r="U14">
        <v>306367</v>
      </c>
      <c s="6" r="V14">
        <v>17493</v>
      </c>
      <c s="6" r="W14">
        <v>-191362</v>
      </c>
      <c s="6" r="X14">
        <v>176316</v>
      </c>
      <c s="6" r="Y14">
        <v>1357286</v>
      </c>
      <c s="6" r="Z14">
        <v>366579</v>
      </c>
      <c s="6" r="AA14">
        <v>4105891</v>
      </c>
      <c s="6" r="AB14">
        <v>84528</v>
      </c>
      <c s="6" r="AC14">
        <v>650171</v>
      </c>
      <c s="6" r="AD14">
        <v>102939</v>
      </c>
      <c s="6" r="AE14">
        <v>1292696</v>
      </c>
      <c s="6" r="AF14">
        <v>11501</v>
      </c>
      <c s="6" r="AG14">
        <v>76174</v>
      </c>
      <c s="6" r="AH14">
        <v>93103</v>
      </c>
      <c s="6" r="AI14">
        <v>-335875</v>
      </c>
      <c s="6" r="AJ14">
        <v>7264</v>
      </c>
      <c s="6" r="AK14">
        <v>33129</v>
      </c>
      <c s="6" r="AL14">
        <v>14355</v>
      </c>
      <c s="6" r="AM14">
        <v>-158287</v>
      </c>
      <c s="6" r="AN14">
        <v>82817</v>
      </c>
      <c s="6" r="AO14">
        <v>548749</v>
      </c>
      <c s="6" r="AP14">
        <v>156608</v>
      </c>
      <c s="6" r="AQ14">
        <v>232151</v>
      </c>
      <c s="6" r="AR14">
        <v>2012</v>
      </c>
      <c s="6" r="AS14">
        <v>125476</v>
      </c>
      <c s="6" r="AT14">
        <v>64987</v>
      </c>
      <c s="6" r="AU14">
        <v>182976</v>
      </c>
      <c s="6" r="AV14">
        <v>344160</v>
      </c>
      <c s="6" r="AW14">
        <v>790692</v>
      </c>
      <c s="6" r="AX14">
        <v>18640336</v>
      </c>
      <c s="6" r="AY14">
        <v>0</v>
      </c>
      <c s="6" r="AZ14">
        <v>0</v>
      </c>
      <c s="6" r="BA14">
        <v>600180</v>
      </c>
      <c s="6" r="BB14">
        <v>4538242</v>
      </c>
      <c s="6" r="BC14">
        <v>600180</v>
      </c>
      <c s="6" r="BD14">
        <v>5325846</v>
      </c>
      <c s="6" r="BE14">
        <v>600180</v>
      </c>
      <c s="6" r="BF14">
        <v>787604</v>
      </c>
      <c s="6" r="BG14">
        <v>1129906</v>
      </c>
      <c s="6" r="BH14">
        <v>3335129</v>
      </c>
      <c s="6" r="BI14">
        <v>1049438</v>
      </c>
      <c s="6" r="BJ14">
        <v>903790</v>
      </c>
      <c s="6" r="BK14">
        <v>513431</v>
      </c>
      <c s="6" r="BL14">
        <v>570228</v>
      </c>
      <c s="6" r="BM14">
        <v>536006</v>
      </c>
      <c s="6" r="BN14">
        <v>333563</v>
      </c>
      <c s="6" r="BO14">
        <v>824815</v>
      </c>
      <c s="6" r="BP14">
        <v>2289696</v>
      </c>
      <c s="6" r="BQ14">
        <v>373522</v>
      </c>
      <c s="6" r="BR14">
        <v>109799</v>
      </c>
      <c s="6" r="BS14">
        <v>54987</v>
      </c>
      <c s="6" r="BT14">
        <v>31843</v>
      </c>
      <c s="6" r="BU14">
        <v>748403</v>
      </c>
      <c s="6" r="BV14">
        <v>7421164</v>
      </c>
      <c s="6" r="BW14">
        <v>734298</v>
      </c>
      <c s="6" r="BX14">
        <v>7254680</v>
      </c>
      <c s="6" r="BY14">
        <v>723689</v>
      </c>
      <c s="6" r="BZ14">
        <v>7173248</v>
      </c>
      <c s="6" r="CA14">
        <v>14121</v>
      </c>
      <c s="6" r="CB14">
        <v>81431</v>
      </c>
      <c s="6" r="CC14">
        <v>33364</v>
      </c>
      <c s="6" r="CD14">
        <v>26724</v>
      </c>
      <c s="6" r="CE14">
        <v>57767</v>
      </c>
      <c s="6" r="CF14">
        <v>84072</v>
      </c>
      <c s="6" r="CG14">
        <v>18824</v>
      </c>
      <c s="6" r="CH14">
        <v>55688</v>
      </c>
      <c s="6" r="CI14">
        <v>762923</v>
      </c>
      <c s="6" r="CJ14">
        <v>1498354</v>
      </c>
      <c s="6" r="CK14">
        <v>700913</v>
      </c>
      <c s="6" r="CL14">
        <v>1229365</v>
      </c>
      <c s="6" r="CM14">
        <v>344298</v>
      </c>
      <c s="6" r="CN14">
        <v>340682</v>
      </c>
      <c s="6" r="CO14">
        <v>34315</v>
      </c>
      <c s="6" r="CP14">
        <v>235431</v>
      </c>
      <c s="6" r="CQ14">
        <v>7190</v>
      </c>
      <c s="6" r="CR14">
        <v>31853</v>
      </c>
      <c s="6" r="CS14">
        <v>299478</v>
      </c>
      <c s="6" r="CT14">
        <v>1419828</v>
      </c>
      <c s="6" r="CU14">
        <v>231279</v>
      </c>
      <c s="6" r="CV14">
        <v>1051938</v>
      </c>
      <c s="6" r="CW14">
        <v>455665</v>
      </c>
      <c s="6" r="CX14">
        <v>106361</v>
      </c>
      <c s="6" r="CY14">
        <v>185239</v>
      </c>
      <c s="6" r="CZ14">
        <v>412499</v>
      </c>
      <c s="6" r="DA14">
        <v>588345</v>
      </c>
      <c s="6" r="DB14">
        <v>1570799</v>
      </c>
      <c s="6" r="DC14">
        <v>26768</v>
      </c>
      <c s="6" r="DD14">
        <v>162579</v>
      </c>
      <c s="6" r="DE14">
        <v>14750</v>
      </c>
      <c s="6" r="DF14">
        <v>24925</v>
      </c>
      <c s="6" r="DG14">
        <v>41874</v>
      </c>
      <c s="6" r="DH14">
        <v>395766</v>
      </c>
      <c s="6" r="DI14">
        <v>1949290</v>
      </c>
      <c s="6" r="DJ14">
        <v>6809792</v>
      </c>
      <c s="6" r="DK14">
        <v>515441</v>
      </c>
      <c s="6" r="DL14">
        <v>2407057</v>
      </c>
      <c s="53" r="DM14">
        <v>1656</v>
      </c>
      <c s="53" r="DN14">
        <v>2658</v>
      </c>
      <c s="6" r="DO14">
        <v>483597</v>
      </c>
      <c s="6" r="DP14">
        <v>235403</v>
      </c>
      <c s="6" r="DQ14">
        <v>238204</v>
      </c>
      <c s="6" r="DR14">
        <v>63188</v>
      </c>
      <c s="6" r="DS14">
        <v>409004</v>
      </c>
      <c s="6" r="DT14">
        <v>172215</v>
      </c>
      <c s="6" r="DU14">
        <v>409004</v>
      </c>
      <c s="47" r="DV14">
        <v>172215</v>
      </c>
    </row>
    <row customHeight="1" r="15" ht="15.0">
      <c t="s" s="58" r="A15">
        <v>80</v>
      </c>
      <c s="6" r="B15">
        <v>1361007</v>
      </c>
      <c s="6" r="C15">
        <v>30695298</v>
      </c>
      <c s="6" r="D15">
        <v>904446</v>
      </c>
      <c s="6" r="E15">
        <v>18693261</v>
      </c>
      <c s="6" r="F15">
        <v>730579</v>
      </c>
      <c s="6" r="G15">
        <v>1620998</v>
      </c>
      <c s="6" r="H15">
        <v>63392</v>
      </c>
      <c s="6" r="I15">
        <v>319989</v>
      </c>
      <c s="6" r="J15">
        <v>361129</v>
      </c>
      <c s="6" r="K15">
        <v>1187030</v>
      </c>
      <c s="6" r="L15">
        <v>302786</v>
      </c>
      <c s="6" r="M15">
        <v>675300</v>
      </c>
      <c s="6" r="N15">
        <v>284838</v>
      </c>
      <c s="6" r="O15">
        <v>167870</v>
      </c>
      <c s="6" r="P15">
        <v>13041</v>
      </c>
      <c s="6" r="Q15">
        <v>120136</v>
      </c>
      <c s="6" r="R15">
        <v>326033</v>
      </c>
      <c s="6" r="S15">
        <v>3025528</v>
      </c>
      <c s="6" r="T15">
        <v>281821</v>
      </c>
      <c s="6" r="U15">
        <v>79086</v>
      </c>
      <c s="6" r="V15">
        <v>28081</v>
      </c>
      <c s="6" r="W15">
        <v>-61541</v>
      </c>
      <c s="6" r="X15">
        <v>188737</v>
      </c>
      <c s="6" r="Y15">
        <v>1648506</v>
      </c>
      <c s="6" r="Z15">
        <v>373863</v>
      </c>
      <c s="6" r="AA15">
        <v>4366136</v>
      </c>
      <c s="6" r="AB15">
        <v>108269</v>
      </c>
      <c s="6" r="AC15">
        <v>757177</v>
      </c>
      <c s="6" r="AD15">
        <v>103958</v>
      </c>
      <c s="6" r="AE15">
        <v>1125129</v>
      </c>
      <c s="6" r="AF15">
        <v>5628</v>
      </c>
      <c s="6" r="AG15">
        <v>17919</v>
      </c>
      <c s="6" r="AH15">
        <v>101269</v>
      </c>
      <c s="6" r="AI15">
        <v>-36319</v>
      </c>
      <c s="6" r="AJ15">
        <v>6769</v>
      </c>
      <c s="6" r="AK15">
        <v>45743</v>
      </c>
      <c s="6" r="AL15">
        <v>25143</v>
      </c>
      <c s="6" r="AM15">
        <v>-236055</v>
      </c>
      <c s="6" r="AN15">
        <v>110035</v>
      </c>
      <c s="6" r="AO15">
        <v>667161</v>
      </c>
      <c s="6" r="AP15">
        <v>359638</v>
      </c>
      <c s="6" r="AQ15">
        <v>681462</v>
      </c>
      <c s="6" r="AR15">
        <v>1775</v>
      </c>
      <c s="6" r="AS15">
        <v>134412</v>
      </c>
      <c s="6" r="AT15">
        <v>86356</v>
      </c>
      <c s="6" r="AU15">
        <v>234964</v>
      </c>
      <c s="6" r="AV15">
        <v>404503</v>
      </c>
      <c s="6" r="AW15">
        <v>1107501</v>
      </c>
      <c s="6" r="AX15">
        <v>21222995</v>
      </c>
      <c s="6" r="AY15">
        <v>0</v>
      </c>
      <c s="6" r="AZ15">
        <v>0</v>
      </c>
      <c s="6" r="BA15">
        <v>636062</v>
      </c>
      <c s="6" r="BB15">
        <v>4941018</v>
      </c>
      <c s="6" r="BC15">
        <v>636062</v>
      </c>
      <c s="6" r="BD15">
        <v>6013464</v>
      </c>
      <c s="6" r="BE15">
        <v>636062</v>
      </c>
      <c s="6" r="BF15">
        <v>1072446</v>
      </c>
      <c s="6" r="BG15">
        <v>1333039</v>
      </c>
      <c s="6" r="BH15">
        <v>4185492</v>
      </c>
      <c s="6" r="BI15">
        <v>1247697</v>
      </c>
      <c s="6" r="BJ15">
        <v>1221019</v>
      </c>
      <c s="6" r="BK15">
        <v>684123</v>
      </c>
      <c s="6" r="BL15">
        <v>806843</v>
      </c>
      <c s="6" r="BM15">
        <v>563574</v>
      </c>
      <c s="6" r="BN15">
        <v>414176</v>
      </c>
      <c s="6" r="BO15">
        <v>993441</v>
      </c>
      <c s="6" r="BP15">
        <v>2747397</v>
      </c>
      <c s="6" r="BQ15">
        <v>462266</v>
      </c>
      <c s="6" r="BR15">
        <v>185873</v>
      </c>
      <c s="6" r="BS15">
        <v>69110</v>
      </c>
      <c s="6" r="BT15">
        <v>31204</v>
      </c>
      <c s="6" r="BU15">
        <v>916594</v>
      </c>
      <c s="6" r="BV15">
        <v>8083466</v>
      </c>
      <c s="6" r="BW15">
        <v>899577</v>
      </c>
      <c s="6" r="BX15">
        <v>7932289</v>
      </c>
      <c s="6" r="BY15">
        <v>884979</v>
      </c>
      <c s="6" r="BZ15">
        <v>7771251</v>
      </c>
      <c s="6" r="CA15">
        <v>25900</v>
      </c>
      <c s="6" r="CB15">
        <v>161038</v>
      </c>
      <c s="6" r="CC15">
        <v>42796</v>
      </c>
      <c s="6" r="CD15">
        <v>15259</v>
      </c>
      <c s="6" r="CE15">
        <v>82634</v>
      </c>
      <c s="6" r="CF15">
        <v>91405</v>
      </c>
      <c s="6" r="CG15">
        <v>32649</v>
      </c>
      <c s="6" r="CH15">
        <v>44514</v>
      </c>
      <c s="6" r="CI15">
        <v>901975</v>
      </c>
      <c s="6" r="CJ15">
        <v>1835152</v>
      </c>
      <c s="6" r="CK15">
        <v>825537</v>
      </c>
      <c s="6" r="CL15">
        <v>1550581</v>
      </c>
      <c s="6" r="CM15">
        <v>434361</v>
      </c>
      <c s="6" r="CN15">
        <v>316238</v>
      </c>
      <c s="6" r="CO15">
        <v>16413</v>
      </c>
      <c s="6" r="CP15">
        <v>190544</v>
      </c>
      <c s="6" r="CQ15">
        <v>8028</v>
      </c>
      <c s="6" r="CR15">
        <v>65603</v>
      </c>
      <c s="6" r="CS15">
        <v>366193</v>
      </c>
      <c s="6" r="CT15">
        <v>1867387</v>
      </c>
      <c s="6" r="CU15">
        <v>320292</v>
      </c>
      <c s="6" r="CV15">
        <v>1627139</v>
      </c>
      <c s="6" r="CW15">
        <v>541436</v>
      </c>
      <c s="6" r="CX15">
        <v>117110</v>
      </c>
      <c s="6" r="CY15">
        <v>252131</v>
      </c>
      <c s="6" r="CZ15">
        <v>357794</v>
      </c>
      <c s="6" r="DA15">
        <v>729413</v>
      </c>
      <c s="6" r="DB15">
        <v>2102044</v>
      </c>
      <c s="6" r="DC15">
        <v>28387</v>
      </c>
      <c s="6" r="DD15">
        <v>163538</v>
      </c>
      <c s="6" r="DE15">
        <v>22454</v>
      </c>
      <c s="6" r="DF15">
        <v>67481</v>
      </c>
      <c s="6" r="DG15">
        <v>52542</v>
      </c>
      <c s="6" r="DH15">
        <v>244877</v>
      </c>
      <c s="6" r="DI15">
        <v>2382707</v>
      </c>
      <c s="6" r="DJ15">
        <v>8328034</v>
      </c>
      <c s="6" r="DK15">
        <v>829758</v>
      </c>
      <c s="6" r="DL15">
        <v>6067275</v>
      </c>
      <c s="53" r="DM15">
        <v>641</v>
      </c>
      <c s="53" r="DN15">
        <v>1416</v>
      </c>
      <c s="6" r="DO15">
        <v>793035</v>
      </c>
      <c s="6" r="DP15">
        <v>634215</v>
      </c>
      <c s="6" r="DQ15">
        <v>419025</v>
      </c>
      <c s="6" r="DR15">
        <v>144791</v>
      </c>
      <c s="6" r="DS15">
        <v>637214</v>
      </c>
      <c s="6" r="DT15">
        <v>489424</v>
      </c>
      <c s="6" r="DU15">
        <v>637214</v>
      </c>
      <c s="47" r="DV15">
        <v>489424</v>
      </c>
    </row>
    <row customHeight="1" r="16" ht="15.0">
      <c t="s" s="58" r="A16">
        <v>81</v>
      </c>
      <c s="6" r="B16">
        <v>1618649</v>
      </c>
      <c s="6" r="C16">
        <v>44601333</v>
      </c>
      <c s="6" r="D16">
        <v>1230535</v>
      </c>
      <c s="6" r="E16">
        <v>32045537</v>
      </c>
      <c s="6" r="F16">
        <v>782376</v>
      </c>
      <c s="6" r="G16">
        <v>1549805</v>
      </c>
      <c s="6" r="H16">
        <v>67281</v>
      </c>
      <c s="6" r="I16">
        <v>635566</v>
      </c>
      <c s="6" r="J16">
        <v>362664</v>
      </c>
      <c s="6" r="K16">
        <v>1303975</v>
      </c>
      <c s="6" r="L16">
        <v>305208</v>
      </c>
      <c s="6" r="M16">
        <v>738655</v>
      </c>
      <c s="6" r="N16">
        <v>409342</v>
      </c>
      <c s="6" r="O16">
        <v>249588</v>
      </c>
      <c s="6" r="P16">
        <v>19056</v>
      </c>
      <c s="6" r="Q16">
        <v>205769</v>
      </c>
      <c s="6" r="R16">
        <v>343119</v>
      </c>
      <c s="6" r="S16">
        <v>2556845</v>
      </c>
      <c s="6" r="T16">
        <v>300342</v>
      </c>
      <c s="6" r="U16">
        <v>261345</v>
      </c>
      <c s="6" r="V16">
        <v>17967</v>
      </c>
      <c s="6" r="W16">
        <v>-168364</v>
      </c>
      <c s="6" r="X16">
        <v>203012</v>
      </c>
      <c s="6" r="Y16">
        <v>1780973</v>
      </c>
      <c s="6" r="Z16">
        <v>379815</v>
      </c>
      <c s="6" r="AA16">
        <v>5251821</v>
      </c>
      <c s="6" r="AB16">
        <v>93624</v>
      </c>
      <c s="6" r="AC16">
        <v>750819</v>
      </c>
      <c s="6" r="AD16">
        <v>118455</v>
      </c>
      <c s="6" r="AE16">
        <v>1392166</v>
      </c>
      <c s="6" r="AF16">
        <v>6835</v>
      </c>
      <c s="6" r="AG16">
        <v>39625</v>
      </c>
      <c s="6" r="AH16">
        <v>118475</v>
      </c>
      <c s="6" r="AI16">
        <v>-214643</v>
      </c>
      <c s="6" r="AJ16">
        <v>6455</v>
      </c>
      <c s="6" r="AK16">
        <v>18962</v>
      </c>
      <c s="6" r="AL16">
        <v>24445</v>
      </c>
      <c s="6" r="AM16">
        <v>-264334</v>
      </c>
      <c s="6" r="AN16">
        <v>141828</v>
      </c>
      <c s="6" r="AO16">
        <v>655598</v>
      </c>
      <c s="6" r="AP16">
        <v>380512</v>
      </c>
      <c s="6" r="AQ16">
        <v>1183807</v>
      </c>
      <c s="6" r="AR16">
        <v>4144</v>
      </c>
      <c s="6" r="AS16">
        <v>328191</v>
      </c>
      <c s="6" r="AT16">
        <v>80013</v>
      </c>
      <c s="6" r="AU16">
        <v>128280</v>
      </c>
      <c s="6" r="AV16">
        <v>432641</v>
      </c>
      <c s="6" r="AW16">
        <v>1193309</v>
      </c>
      <c s="6" r="AX16">
        <v>25859340</v>
      </c>
      <c s="6" r="AY16">
        <v>0</v>
      </c>
      <c s="6" r="AZ16">
        <v>0</v>
      </c>
      <c s="6" r="BA16">
        <v>642918</v>
      </c>
      <c s="6" r="BB16">
        <v>3996696</v>
      </c>
      <c s="6" r="BC16">
        <v>642918</v>
      </c>
      <c s="6" r="BD16">
        <v>5322959</v>
      </c>
      <c s="6" r="BE16">
        <v>642918</v>
      </c>
      <c s="6" r="BF16">
        <v>1326263</v>
      </c>
      <c s="6" r="BG16">
        <v>1600429</v>
      </c>
      <c s="6" r="BH16">
        <v>5427330</v>
      </c>
      <c s="6" r="BI16">
        <v>1508980</v>
      </c>
      <c s="6" r="BJ16">
        <v>1859706</v>
      </c>
      <c s="6" r="BK16">
        <v>932833</v>
      </c>
      <c s="6" r="BL16">
        <v>1374128</v>
      </c>
      <c s="6" r="BM16">
        <v>576147</v>
      </c>
      <c s="6" r="BN16">
        <v>485578</v>
      </c>
      <c s="6" r="BO16">
        <v>1240393</v>
      </c>
      <c s="6" r="BP16">
        <v>3260423</v>
      </c>
      <c s="6" r="BQ16">
        <v>659132</v>
      </c>
      <c s="6" r="BR16">
        <v>260021</v>
      </c>
      <c s="6" r="BS16">
        <v>69660</v>
      </c>
      <c s="6" r="BT16">
        <v>47179</v>
      </c>
      <c s="6" r="BU16">
        <v>1172597</v>
      </c>
      <c s="6" r="BV16">
        <v>11153847</v>
      </c>
      <c s="6" r="BW16">
        <v>1156969</v>
      </c>
      <c s="6" r="BX16">
        <v>10961159</v>
      </c>
      <c s="6" r="BY16">
        <v>1135378</v>
      </c>
      <c s="6" r="BZ16">
        <v>10770774</v>
      </c>
      <c s="6" r="CA16">
        <v>34803</v>
      </c>
      <c s="6" r="CB16">
        <v>190385</v>
      </c>
      <c s="6" r="CC16">
        <v>51322</v>
      </c>
      <c s="6" r="CD16">
        <v>13589</v>
      </c>
      <c s="6" r="CE16">
        <v>113428</v>
      </c>
      <c s="6" r="CF16">
        <v>140812</v>
      </c>
      <c s="6" r="CG16">
        <v>27574</v>
      </c>
      <c s="6" r="CH16">
        <v>38286</v>
      </c>
      <c s="6" r="CI16">
        <v>1106054</v>
      </c>
      <c s="6" r="CJ16">
        <v>2287265</v>
      </c>
      <c s="6" r="CK16">
        <v>977999</v>
      </c>
      <c s="6" r="CL16">
        <v>1852257</v>
      </c>
      <c s="6" r="CM16">
        <v>586049</v>
      </c>
      <c s="6" r="CN16">
        <v>412706</v>
      </c>
      <c s="6" r="CO16">
        <v>22371</v>
      </c>
      <c s="6" r="CP16">
        <v>129335</v>
      </c>
      <c s="6" r="CQ16">
        <v>9753</v>
      </c>
      <c s="6" r="CR16">
        <v>74873</v>
      </c>
      <c s="6" r="CS16">
        <v>452827</v>
      </c>
      <c s="6" r="CT16">
        <v>2614795</v>
      </c>
      <c s="6" r="CU16">
        <v>452570</v>
      </c>
      <c s="6" r="CV16">
        <v>2375813</v>
      </c>
      <c s="6" r="CW16">
        <v>648236</v>
      </c>
      <c s="6" r="CX16">
        <v>144648</v>
      </c>
      <c s="6" r="CY16">
        <v>299945</v>
      </c>
      <c s="6" r="CZ16">
        <v>432168</v>
      </c>
      <c s="6" r="DA16">
        <v>886221</v>
      </c>
      <c s="6" r="DB16">
        <v>2952628</v>
      </c>
      <c s="6" r="DC16">
        <v>22388</v>
      </c>
      <c s="6" r="DD16">
        <v>172762</v>
      </c>
      <c s="6" r="DE16">
        <v>23416</v>
      </c>
      <c s="6" r="DF16">
        <v>80438</v>
      </c>
      <c s="6" r="DG16">
        <v>46423</v>
      </c>
      <c s="6" r="DH16">
        <v>304535</v>
      </c>
      <c s="6" r="DI16">
        <v>2932007</v>
      </c>
      <c s="6" r="DJ16">
        <v>10248481</v>
      </c>
      <c s="6" r="DK16">
        <v>1214149</v>
      </c>
      <c s="6" r="DL16">
        <v>12169165</v>
      </c>
      <c s="6" r="DM16">
        <v>2018</v>
      </c>
      <c s="6" r="DN16">
        <v>5955</v>
      </c>
      <c s="6" r="DO16">
        <v>1188625</v>
      </c>
      <c s="6" r="DP16">
        <v>1358538</v>
      </c>
      <c s="6" r="DQ16">
        <v>565964</v>
      </c>
      <c s="6" r="DR16">
        <v>294461</v>
      </c>
      <c s="6" r="DS16">
        <v>904014</v>
      </c>
      <c s="6" r="DT16">
        <v>1064077</v>
      </c>
      <c s="6" r="DU16">
        <v>904014</v>
      </c>
      <c s="47" r="DV16">
        <v>1064077</v>
      </c>
    </row>
    <row customHeight="1" r="17" ht="15.0">
      <c t="s" s="58" r="A17">
        <v>82</v>
      </c>
      <c s="6" r="B17">
        <v>1872412</v>
      </c>
      <c s="6" r="C17">
        <v>60953061</v>
      </c>
      <c s="6" r="D17">
        <v>1539465</v>
      </c>
      <c s="6" r="E17">
        <v>47054194</v>
      </c>
      <c s="6" r="F17">
        <v>867942</v>
      </c>
      <c s="6" r="G17">
        <v>1504651</v>
      </c>
      <c s="6" r="H17">
        <v>63866</v>
      </c>
      <c s="6" r="I17">
        <v>666553</v>
      </c>
      <c s="6" r="J17">
        <v>385505</v>
      </c>
      <c s="6" r="K17">
        <v>1160202</v>
      </c>
      <c s="6" r="L17">
        <v>323717</v>
      </c>
      <c s="6" r="M17">
        <v>655061</v>
      </c>
      <c s="6" r="N17">
        <v>571312</v>
      </c>
      <c s="6" r="O17">
        <v>338083</v>
      </c>
      <c s="6" r="P17">
        <v>14402</v>
      </c>
      <c s="6" r="Q17">
        <v>210835</v>
      </c>
      <c s="6" r="R17">
        <v>362898</v>
      </c>
      <c s="6" r="S17">
        <v>2544106</v>
      </c>
      <c s="6" r="T17">
        <v>287773</v>
      </c>
      <c s="6" r="U17">
        <v>133465</v>
      </c>
      <c s="6" r="V17">
        <v>15617</v>
      </c>
      <c s="6" r="W17">
        <v>-8229</v>
      </c>
      <c s="6" r="X17">
        <v>184973</v>
      </c>
      <c s="6" r="Y17">
        <v>1908547</v>
      </c>
      <c s="6" r="Z17">
        <v>381909</v>
      </c>
      <c s="6" r="AA17">
        <v>5411237</v>
      </c>
      <c s="6" r="AB17">
        <v>100813</v>
      </c>
      <c s="6" r="AC17">
        <v>892456</v>
      </c>
      <c s="6" r="AD17">
        <v>135651</v>
      </c>
      <c s="6" r="AE17">
        <v>1561148</v>
      </c>
      <c s="6" r="AF17">
        <v>6731</v>
      </c>
      <c s="6" r="AG17">
        <v>35371</v>
      </c>
      <c s="6" r="AH17">
        <v>110869</v>
      </c>
      <c s="6" r="AI17">
        <v>-4532</v>
      </c>
      <c s="6" r="AJ17">
        <v>10380</v>
      </c>
      <c s="6" r="AK17">
        <v>83379</v>
      </c>
      <c s="6" r="AL17">
        <v>23529</v>
      </c>
      <c s="6" r="AM17">
        <v>-334422</v>
      </c>
      <c s="6" r="AN17">
        <v>147029</v>
      </c>
      <c s="6" r="AO17">
        <v>810797</v>
      </c>
      <c s="6" r="AP17">
        <v>354281</v>
      </c>
      <c s="6" r="AQ17">
        <v>1652297</v>
      </c>
      <c s="6" r="AR17">
        <v>20</v>
      </c>
      <c s="6" r="AS17">
        <v>2484</v>
      </c>
      <c s="6" r="AT17">
        <v>87276</v>
      </c>
      <c s="6" r="AU17">
        <v>213988</v>
      </c>
      <c s="6" r="AV17">
        <v>496409</v>
      </c>
      <c s="6" r="AW17">
        <v>1279563</v>
      </c>
      <c s="6" r="AX17">
        <v>29367170</v>
      </c>
      <c s="6" r="AY17">
        <v>0</v>
      </c>
      <c s="6" r="AZ17">
        <v>0</v>
      </c>
      <c s="6" r="BA17">
        <v>672969</v>
      </c>
      <c s="6" r="BB17">
        <v>3972063</v>
      </c>
      <c s="6" r="BC17">
        <v>672969</v>
      </c>
      <c s="6" r="BD17">
        <v>5613932</v>
      </c>
      <c s="6" r="BE17">
        <v>672969</v>
      </c>
      <c s="6" r="BF17">
        <v>1641870</v>
      </c>
      <c s="6" r="BG17">
        <v>1845520</v>
      </c>
      <c s="6" r="BH17">
        <v>6348461</v>
      </c>
      <c s="6" r="BI17">
        <v>1771710</v>
      </c>
      <c s="6" r="BJ17">
        <v>2279046</v>
      </c>
      <c s="6" r="BK17">
        <v>1158511</v>
      </c>
      <c s="6" r="BL17">
        <v>1731615</v>
      </c>
      <c s="6" r="BM17">
        <v>613199</v>
      </c>
      <c s="6" r="BN17">
        <v>547430</v>
      </c>
      <c s="6" r="BO17">
        <v>1458204</v>
      </c>
      <c s="6" r="BP17">
        <v>3764759</v>
      </c>
      <c s="6" r="BQ17">
        <v>739885</v>
      </c>
      <c s="6" r="BR17">
        <v>249724</v>
      </c>
      <c s="6" r="BS17">
        <v>97719</v>
      </c>
      <c s="6" r="BT17">
        <v>54932</v>
      </c>
      <c s="6" r="BU17">
        <v>1395853</v>
      </c>
      <c s="6" r="BV17">
        <v>12619910</v>
      </c>
      <c s="6" r="BW17">
        <v>1382692</v>
      </c>
      <c s="6" r="BX17">
        <v>12349343</v>
      </c>
      <c s="6" r="BY17">
        <v>1367023</v>
      </c>
      <c s="6" r="BZ17">
        <v>12191114</v>
      </c>
      <c s="6" r="CA17">
        <v>30119</v>
      </c>
      <c s="6" r="CB17">
        <v>158230</v>
      </c>
      <c s="6" r="CC17">
        <v>57146</v>
      </c>
      <c s="6" r="CD17">
        <v>51061</v>
      </c>
      <c s="6" r="CE17">
        <v>186017</v>
      </c>
      <c s="6" r="CF17">
        <v>192084</v>
      </c>
      <c s="6" r="CG17">
        <v>26594</v>
      </c>
      <c s="6" r="CH17">
        <v>27421</v>
      </c>
      <c s="6" r="CI17">
        <v>1295896</v>
      </c>
      <c s="6" r="CJ17">
        <v>2741766</v>
      </c>
      <c s="6" r="CK17">
        <v>1162970</v>
      </c>
      <c s="6" r="CL17">
        <v>2201419</v>
      </c>
      <c s="6" r="CM17">
        <v>702632</v>
      </c>
      <c s="6" r="CN17">
        <v>491327</v>
      </c>
      <c s="6" r="CO17">
        <v>23266</v>
      </c>
      <c s="6" r="CP17">
        <v>151070</v>
      </c>
      <c s="6" r="CQ17">
        <v>8877</v>
      </c>
      <c s="6" r="CR17">
        <v>59841</v>
      </c>
      <c s="6" r="CS17">
        <v>564328</v>
      </c>
      <c s="6" r="CT17">
        <v>3346977</v>
      </c>
      <c s="6" r="CU17">
        <v>606145</v>
      </c>
      <c s="6" r="CV17">
        <v>3226051</v>
      </c>
      <c s="6" r="CW17">
        <v>816611</v>
      </c>
      <c s="6" r="CX17">
        <v>166398</v>
      </c>
      <c s="6" r="CY17">
        <v>327765</v>
      </c>
      <c s="6" r="CZ17">
        <v>438309</v>
      </c>
      <c s="6" r="DA17">
        <v>1095501</v>
      </c>
      <c s="6" r="DB17">
        <v>3830758</v>
      </c>
      <c s="6" r="DC17">
        <v>40638</v>
      </c>
      <c s="6" r="DD17">
        <v>236667</v>
      </c>
      <c s="6" r="DE17">
        <v>21725</v>
      </c>
      <c s="6" r="DF17">
        <v>41486</v>
      </c>
      <c s="6" r="DG17">
        <v>61062</v>
      </c>
      <c s="6" r="DH17">
        <v>278152</v>
      </c>
      <c s="6" r="DI17">
        <v>3559137</v>
      </c>
      <c s="6" r="DJ17">
        <v>12444180</v>
      </c>
      <c s="6" r="DK17">
        <v>1606294</v>
      </c>
      <c s="6" r="DL17">
        <v>21704123</v>
      </c>
      <c s="53" r="DM17">
        <v>115</v>
      </c>
      <c s="53" r="DN17">
        <v>204</v>
      </c>
      <c s="6" r="DO17">
        <v>1583758</v>
      </c>
      <c s="6" r="DP17">
        <v>2552523</v>
      </c>
      <c s="6" r="DQ17">
        <v>775776</v>
      </c>
      <c s="6" r="DR17">
        <v>554609</v>
      </c>
      <c s="6" r="DS17">
        <v>1184949</v>
      </c>
      <c s="6" r="DT17">
        <v>1997914</v>
      </c>
      <c s="6" r="DU17">
        <v>1184949</v>
      </c>
      <c s="47" r="DV17">
        <v>1997914</v>
      </c>
    </row>
    <row customHeight="1" r="18" ht="15.0">
      <c t="s" s="58" r="A18">
        <v>83</v>
      </c>
      <c s="6" r="B18">
        <v>2013949</v>
      </c>
      <c s="6" r="C18">
        <v>75532273</v>
      </c>
      <c s="6" r="D18">
        <v>1696942</v>
      </c>
      <c s="6" r="E18">
        <v>58606993</v>
      </c>
      <c s="6" r="F18">
        <v>977140</v>
      </c>
      <c s="6" r="G18">
        <v>1740337</v>
      </c>
      <c s="6" r="H18">
        <v>78246</v>
      </c>
      <c s="6" r="I18">
        <v>432654</v>
      </c>
      <c s="6" r="J18">
        <v>438337</v>
      </c>
      <c s="6" r="K18">
        <v>1243652</v>
      </c>
      <c s="6" r="L18">
        <v>386682</v>
      </c>
      <c s="6" r="M18">
        <v>676907</v>
      </c>
      <c s="6" r="N18">
        <v>734812</v>
      </c>
      <c s="6" r="O18">
        <v>474174</v>
      </c>
      <c s="6" r="P18">
        <v>14218</v>
      </c>
      <c s="6" r="Q18">
        <v>182005</v>
      </c>
      <c s="6" r="R18">
        <v>362149</v>
      </c>
      <c s="6" r="S18">
        <v>2936892</v>
      </c>
      <c s="6" r="T18">
        <v>322823</v>
      </c>
      <c s="6" r="U18">
        <v>156388</v>
      </c>
      <c s="6" r="V18">
        <v>17400</v>
      </c>
      <c s="6" r="W18">
        <v>-43649</v>
      </c>
      <c s="6" r="X18">
        <v>176975</v>
      </c>
      <c s="6" r="Y18">
        <v>1895889</v>
      </c>
      <c s="6" r="Z18">
        <v>434102</v>
      </c>
      <c s="6" r="AA18">
        <v>7184625</v>
      </c>
      <c s="6" r="AB18">
        <v>97617</v>
      </c>
      <c s="6" r="AC18">
        <v>733079</v>
      </c>
      <c s="6" r="AD18">
        <v>131115</v>
      </c>
      <c s="6" r="AE18">
        <v>1436902</v>
      </c>
      <c s="53" r="AF18">
        <v>2529</v>
      </c>
      <c s="53" r="AG18">
        <v>38094</v>
      </c>
      <c s="6" r="AH18">
        <v>120139</v>
      </c>
      <c s="6" r="AI18">
        <v>161274</v>
      </c>
      <c s="6" r="AJ18">
        <v>8668</v>
      </c>
      <c s="6" r="AK18">
        <v>38022</v>
      </c>
      <c s="6" r="AL18">
        <v>27601</v>
      </c>
      <c s="6" r="AM18">
        <v>-275612</v>
      </c>
      <c s="6" r="AN18">
        <v>152065</v>
      </c>
      <c s="6" r="AO18">
        <v>736613</v>
      </c>
      <c s="6" r="AP18">
        <v>366131</v>
      </c>
      <c s="6" r="AQ18">
        <v>2365473</v>
      </c>
      <c s="6" r="AR18">
        <v>3112</v>
      </c>
      <c s="6" r="AS18">
        <v>232080</v>
      </c>
      <c s="6" r="AT18">
        <v>98014</v>
      </c>
      <c s="6" r="AU18">
        <v>318009</v>
      </c>
      <c s="6" r="AV18">
        <v>575855</v>
      </c>
      <c s="6" r="AW18">
        <v>1495580</v>
      </c>
      <c s="6" r="AX18">
        <v>32441379</v>
      </c>
      <c s="6" r="AY18">
        <v>0</v>
      </c>
      <c s="6" r="AZ18">
        <v>0</v>
      </c>
      <c s="6" r="BA18">
        <v>623622</v>
      </c>
      <c s="6" r="BB18">
        <v>3879402</v>
      </c>
      <c s="6" r="BC18">
        <v>623622</v>
      </c>
      <c s="6" r="BD18">
        <v>5631353</v>
      </c>
      <c s="6" r="BE18">
        <v>623622</v>
      </c>
      <c s="6" r="BF18">
        <v>1751950</v>
      </c>
      <c s="6" r="BG18">
        <v>2000223</v>
      </c>
      <c s="6" r="BH18">
        <v>7571204</v>
      </c>
      <c s="6" r="BI18">
        <v>1931885</v>
      </c>
      <c s="6" r="BJ18">
        <v>3128696</v>
      </c>
      <c s="6" r="BK18">
        <v>1359665</v>
      </c>
      <c s="6" r="BL18">
        <v>2509685</v>
      </c>
      <c s="6" r="BM18">
        <v>572220</v>
      </c>
      <c s="6" r="BN18">
        <v>619011</v>
      </c>
      <c s="6" r="BO18">
        <v>1578306</v>
      </c>
      <c s="6" r="BP18">
        <v>4072883</v>
      </c>
      <c s="6" r="BQ18">
        <v>821083</v>
      </c>
      <c s="6" r="BR18">
        <v>320193</v>
      </c>
      <c s="6" r="BS18">
        <v>102199</v>
      </c>
      <c s="6" r="BT18">
        <v>49432</v>
      </c>
      <c s="6" r="BU18">
        <v>1523828</v>
      </c>
      <c s="6" r="BV18">
        <v>13659678</v>
      </c>
      <c s="6" r="BW18">
        <v>1511004</v>
      </c>
      <c s="6" r="BX18">
        <v>13383346</v>
      </c>
      <c s="6" r="BY18">
        <v>1492018</v>
      </c>
      <c s="6" r="BZ18">
        <v>13216590</v>
      </c>
      <c s="6" r="CA18">
        <v>30033</v>
      </c>
      <c s="6" r="CB18">
        <v>166756</v>
      </c>
      <c s="6" r="CC18">
        <v>71700</v>
      </c>
      <c s="6" r="CD18">
        <v>52402</v>
      </c>
      <c s="6" r="CE18">
        <v>170126</v>
      </c>
      <c s="6" r="CF18">
        <v>201295</v>
      </c>
      <c s="6" r="CG18">
        <v>27919</v>
      </c>
      <c s="6" r="CH18">
        <v>22635</v>
      </c>
      <c s="6" r="CI18">
        <v>1460473</v>
      </c>
      <c s="6" r="CJ18">
        <v>3120398</v>
      </c>
      <c s="6" r="CK18">
        <v>1303250</v>
      </c>
      <c s="6" r="CL18">
        <v>2621974</v>
      </c>
      <c s="6" r="CM18">
        <v>801868</v>
      </c>
      <c s="6" r="CN18">
        <v>527927</v>
      </c>
      <c s="6" r="CO18">
        <v>16742</v>
      </c>
      <c s="6" r="CP18">
        <v>270329</v>
      </c>
      <c s="6" r="CQ18">
        <v>11825</v>
      </c>
      <c s="6" r="CR18">
        <v>187459</v>
      </c>
      <c s="6" r="CS18">
        <v>633188</v>
      </c>
      <c s="6" r="CT18">
        <v>3708740</v>
      </c>
      <c s="6" r="CU18">
        <v>681446</v>
      </c>
      <c s="6" r="CV18">
        <v>3589777</v>
      </c>
      <c s="6" r="CW18">
        <v>910772</v>
      </c>
      <c s="6" r="CX18">
        <v>193785</v>
      </c>
      <c s="6" r="CY18">
        <v>386482</v>
      </c>
      <c s="6" r="CZ18">
        <v>540270</v>
      </c>
      <c s="6" r="DA18">
        <v>1201900</v>
      </c>
      <c s="6" r="DB18">
        <v>4323832</v>
      </c>
      <c s="6" r="DC18">
        <v>36070</v>
      </c>
      <c s="6" r="DD18">
        <v>240166</v>
      </c>
      <c s="6" r="DE18">
        <v>22589</v>
      </c>
      <c s="6" r="DF18">
        <v>73064</v>
      </c>
      <c s="6" r="DG18">
        <v>59681</v>
      </c>
      <c s="6" r="DH18">
        <v>314498</v>
      </c>
      <c s="6" r="DI18">
        <v>3799310</v>
      </c>
      <c s="6" r="DJ18">
        <v>13283306</v>
      </c>
      <c s="6" r="DK18">
        <v>1843455</v>
      </c>
      <c s="6" r="DL18">
        <v>31604460</v>
      </c>
      <c s="53" r="DM18">
        <v>847</v>
      </c>
      <c s="53" r="DN18">
        <v>4893</v>
      </c>
      <c s="6" r="DO18">
        <v>1820297</v>
      </c>
      <c s="6" r="DP18">
        <v>3856583</v>
      </c>
      <c s="6" r="DQ18">
        <v>880576</v>
      </c>
      <c s="6" r="DR18">
        <v>754848</v>
      </c>
      <c s="6" r="DS18">
        <v>1457445</v>
      </c>
      <c s="6" r="DT18">
        <v>3101735</v>
      </c>
      <c s="6" r="DU18">
        <v>1457640</v>
      </c>
      <c s="47" r="DV18">
        <v>3101744</v>
      </c>
    </row>
    <row customHeight="1" r="19" ht="15.0">
      <c t="s" s="58" r="A19">
        <v>84</v>
      </c>
      <c s="6" r="B19">
        <v>2032257</v>
      </c>
      <c s="6" r="C19">
        <v>86369764</v>
      </c>
      <c s="6" r="D19">
        <v>1746875</v>
      </c>
      <c s="6" r="E19">
        <v>68389132</v>
      </c>
      <c s="6" r="F19">
        <v>1019709</v>
      </c>
      <c s="6" r="G19">
        <v>1657008</v>
      </c>
      <c s="6" r="H19">
        <v>96162</v>
      </c>
      <c s="6" r="I19">
        <v>685015</v>
      </c>
      <c s="6" r="J19">
        <v>471908</v>
      </c>
      <c s="6" r="K19">
        <v>1501437</v>
      </c>
      <c s="6" r="L19">
        <v>391272</v>
      </c>
      <c s="6" r="M19">
        <v>880584</v>
      </c>
      <c s="6" r="N19">
        <v>779668</v>
      </c>
      <c s="6" r="O19">
        <v>497491</v>
      </c>
      <c s="6" r="P19">
        <v>13153</v>
      </c>
      <c s="6" r="Q19">
        <v>185373</v>
      </c>
      <c s="6" r="R19">
        <v>364949</v>
      </c>
      <c s="6" r="S19">
        <v>2866552</v>
      </c>
      <c s="6" r="T19">
        <v>349234</v>
      </c>
      <c s="6" r="U19">
        <v>253122</v>
      </c>
      <c s="6" r="V19">
        <v>30106</v>
      </c>
      <c s="6" r="W19">
        <v>-70889</v>
      </c>
      <c s="6" r="X19">
        <v>211202</v>
      </c>
      <c s="6" r="Y19">
        <v>2201826</v>
      </c>
      <c s="6" r="Z19">
        <v>446512</v>
      </c>
      <c s="6" r="AA19">
        <v>7515609</v>
      </c>
      <c s="6" r="AB19">
        <v>91868</v>
      </c>
      <c s="6" r="AC19">
        <v>775134</v>
      </c>
      <c s="6" r="AD19">
        <v>123850</v>
      </c>
      <c s="6" r="AE19">
        <v>1494098</v>
      </c>
      <c s="6" r="AF19">
        <v>10028</v>
      </c>
      <c s="6" r="AG19">
        <v>30951</v>
      </c>
      <c s="6" r="AH19">
        <v>120948</v>
      </c>
      <c s="6" r="AI19">
        <v>-155887</v>
      </c>
      <c s="6" r="AJ19">
        <v>7678</v>
      </c>
      <c s="6" r="AK19">
        <v>90960</v>
      </c>
      <c s="6" r="AL19">
        <v>26228</v>
      </c>
      <c s="6" r="AM19">
        <v>-357172</v>
      </c>
      <c s="6" r="AN19">
        <v>151699</v>
      </c>
      <c s="6" r="AO19">
        <v>823095</v>
      </c>
      <c s="6" r="AP19">
        <v>323042</v>
      </c>
      <c s="6" r="AQ19">
        <v>2806824</v>
      </c>
      <c s="6" r="AR19">
        <v>2334</v>
      </c>
      <c s="6" r="AS19">
        <v>193996</v>
      </c>
      <c s="6" r="AT19">
        <v>122779</v>
      </c>
      <c s="6" r="AU19">
        <v>342820</v>
      </c>
      <c s="6" r="AV19">
        <v>571179</v>
      </c>
      <c s="6" r="AW19">
        <v>1492680</v>
      </c>
      <c s="6" r="AX19">
        <v>33847146</v>
      </c>
      <c s="6" r="AY19">
        <v>0</v>
      </c>
      <c s="6" r="AZ19">
        <v>0</v>
      </c>
      <c s="6" r="BA19">
        <v>581447</v>
      </c>
      <c s="6" r="BB19">
        <v>3801838</v>
      </c>
      <c s="6" r="BC19">
        <v>581447</v>
      </c>
      <c s="6" r="BD19">
        <v>5653036</v>
      </c>
      <c s="6" r="BE19">
        <v>581447</v>
      </c>
      <c s="6" r="BF19">
        <v>1851198</v>
      </c>
      <c s="6" r="BG19">
        <v>2016319</v>
      </c>
      <c s="6" r="BH19">
        <v>7841097</v>
      </c>
      <c s="6" r="BI19">
        <v>1936789</v>
      </c>
      <c s="6" r="BJ19">
        <v>3389385</v>
      </c>
      <c s="6" r="BK19">
        <v>1403318</v>
      </c>
      <c s="6" r="BL19">
        <v>2812478</v>
      </c>
      <c s="6" r="BM19">
        <v>533470</v>
      </c>
      <c s="6" r="BN19">
        <v>576907</v>
      </c>
      <c s="6" r="BO19">
        <v>1621441</v>
      </c>
      <c s="6" r="BP19">
        <v>4110820</v>
      </c>
      <c s="6" r="BQ19">
        <v>848258</v>
      </c>
      <c s="6" r="BR19">
        <v>279263</v>
      </c>
      <c s="6" r="BS19">
        <v>108917</v>
      </c>
      <c s="6" r="BT19">
        <v>61629</v>
      </c>
      <c s="6" r="BU19">
        <v>1573945</v>
      </c>
      <c s="6" r="BV19">
        <v>14595453</v>
      </c>
      <c s="6" r="BW19">
        <v>1563443</v>
      </c>
      <c s="6" r="BX19">
        <v>14288659</v>
      </c>
      <c s="6" r="BY19">
        <v>1542766</v>
      </c>
      <c s="6" r="BZ19">
        <v>14030567</v>
      </c>
      <c s="6" r="CA19">
        <v>37308</v>
      </c>
      <c s="6" r="CB19">
        <v>258092</v>
      </c>
      <c s="6" r="CC19">
        <v>81216</v>
      </c>
      <c s="6" r="CD19">
        <v>49491</v>
      </c>
      <c s="6" r="CE19">
        <v>186974</v>
      </c>
      <c s="6" r="CF19">
        <v>215551</v>
      </c>
      <c s="6" r="CG19">
        <v>30045</v>
      </c>
      <c s="6" r="CH19">
        <v>41753</v>
      </c>
      <c s="6" r="CI19">
        <v>1525136</v>
      </c>
      <c s="6" r="CJ19">
        <v>3422544</v>
      </c>
      <c s="6" r="CK19">
        <v>1366366</v>
      </c>
      <c s="6" r="CL19">
        <v>2822602</v>
      </c>
      <c s="6" r="CM19">
        <v>821026</v>
      </c>
      <c s="6" r="CN19">
        <v>595108</v>
      </c>
      <c s="6" r="CO19">
        <v>24811</v>
      </c>
      <c s="6" r="CP19">
        <v>63594</v>
      </c>
      <c s="6" r="CQ19">
        <v>13029</v>
      </c>
      <c s="6" r="CR19">
        <v>205288</v>
      </c>
      <c s="6" r="CS19">
        <v>582096</v>
      </c>
      <c s="6" r="CT19">
        <v>3632672</v>
      </c>
      <c s="6" r="CU19">
        <v>672304</v>
      </c>
      <c s="6" r="CV19">
        <v>3543368</v>
      </c>
      <c s="6" r="CW19">
        <v>906390</v>
      </c>
      <c s="6" r="CX19">
        <v>172714</v>
      </c>
      <c s="6" r="CY19">
        <v>345204</v>
      </c>
      <c s="6" r="CZ19">
        <v>560586</v>
      </c>
      <c s="6" r="DA19">
        <v>1207766</v>
      </c>
      <c s="6" r="DB19">
        <v>4276668</v>
      </c>
      <c s="6" r="DC19">
        <v>33869</v>
      </c>
      <c s="6" r="DD19">
        <v>188594</v>
      </c>
      <c s="6" r="DE19">
        <v>32724</v>
      </c>
      <c s="6" r="DF19">
        <v>132462</v>
      </c>
      <c s="6" r="DG19">
        <v>66261</v>
      </c>
      <c s="6" r="DH19">
        <v>348253</v>
      </c>
      <c s="6" r="DI19">
        <v>3932503</v>
      </c>
      <c s="6" r="DJ19">
        <v>13750643</v>
      </c>
      <c s="6" r="DK19">
        <v>1917004</v>
      </c>
      <c s="6" r="DL19">
        <v>40073685</v>
      </c>
      <c s="6" r="DM19">
        <v>746</v>
      </c>
      <c s="6" r="DN19">
        <v>10043</v>
      </c>
      <c s="6" r="DO19">
        <v>1895159</v>
      </c>
      <c s="6" r="DP19">
        <v>4997363</v>
      </c>
      <c s="6" r="DQ19">
        <v>892973</v>
      </c>
      <c s="6" r="DR19">
        <v>921925</v>
      </c>
      <c s="6" r="DS19">
        <v>1557600</v>
      </c>
      <c s="6" r="DT19">
        <v>4075439</v>
      </c>
      <c s="6" r="DU19">
        <v>1557600</v>
      </c>
      <c s="47" r="DV19">
        <v>4075439</v>
      </c>
    </row>
    <row customHeight="1" r="20" ht="15.0">
      <c t="s" s="58" r="A20">
        <v>85</v>
      </c>
      <c s="6" r="B20">
        <v>2166712</v>
      </c>
      <c s="6" r="C20">
        <v>102865718</v>
      </c>
      <c s="6" r="D20">
        <v>1876955</v>
      </c>
      <c s="6" r="E20">
        <v>81732290</v>
      </c>
      <c s="6" r="F20">
        <v>1155673</v>
      </c>
      <c s="6" r="G20">
        <v>2040488</v>
      </c>
      <c s="6" r="H20">
        <v>91531</v>
      </c>
      <c s="6" r="I20">
        <v>909635</v>
      </c>
      <c s="6" r="J20">
        <v>509817</v>
      </c>
      <c s="6" r="K20">
        <v>1591288</v>
      </c>
      <c s="6" r="L20">
        <v>428917</v>
      </c>
      <c s="6" r="M20">
        <v>994401</v>
      </c>
      <c s="6" r="N20">
        <v>904084</v>
      </c>
      <c s="6" r="O20">
        <v>606430</v>
      </c>
      <c s="6" r="P20">
        <v>15291</v>
      </c>
      <c s="6" r="Q20">
        <v>232201</v>
      </c>
      <c s="6" r="R20">
        <v>392374</v>
      </c>
      <c s="6" r="S20">
        <v>2898211</v>
      </c>
      <c s="6" r="T20">
        <v>393881</v>
      </c>
      <c s="6" r="U20">
        <v>291590</v>
      </c>
      <c s="6" r="V20">
        <v>21708</v>
      </c>
      <c s="6" r="W20">
        <v>-29447</v>
      </c>
      <c s="6" r="X20">
        <v>216711</v>
      </c>
      <c s="6" r="Y20">
        <v>2576884</v>
      </c>
      <c s="6" r="Z20">
        <v>452736</v>
      </c>
      <c s="6" r="AA20">
        <v>8549920</v>
      </c>
      <c s="6" r="AB20">
        <v>86963</v>
      </c>
      <c s="6" r="AC20">
        <v>814511</v>
      </c>
      <c s="6" r="AD20">
        <v>148608</v>
      </c>
      <c s="6" r="AE20">
        <v>1673567</v>
      </c>
      <c s="6" r="AF20">
        <v>11817</v>
      </c>
      <c s="6" r="AG20">
        <v>75942</v>
      </c>
      <c s="6" r="AH20">
        <v>110576</v>
      </c>
      <c s="6" r="AI20">
        <v>12456</v>
      </c>
      <c s="6" r="AJ20">
        <v>13311</v>
      </c>
      <c s="6" r="AK20">
        <v>65969</v>
      </c>
      <c s="6" r="AL20">
        <v>28158</v>
      </c>
      <c s="6" r="AM20">
        <v>-132951</v>
      </c>
      <c s="6" r="AN20">
        <v>146382</v>
      </c>
      <c s="6" r="AO20">
        <v>771149</v>
      </c>
      <c s="6" r="AP20">
        <v>339451</v>
      </c>
      <c s="6" r="AQ20">
        <v>3510778</v>
      </c>
      <c s="6" r="AR20">
        <v>2550</v>
      </c>
      <c s="6" r="AS20">
        <v>197607</v>
      </c>
      <c s="6" r="AT20">
        <v>117898</v>
      </c>
      <c s="6" r="AU20">
        <v>422190</v>
      </c>
      <c s="6" r="AV20">
        <v>632019</v>
      </c>
      <c s="6" r="AW20">
        <v>1559033</v>
      </c>
      <c s="6" r="AX20">
        <v>37488953</v>
      </c>
      <c s="6" r="AY20">
        <v>0</v>
      </c>
      <c s="6" r="AZ20">
        <v>0</v>
      </c>
      <c s="6" r="BA20">
        <v>591457</v>
      </c>
      <c s="6" r="BB20">
        <v>3983429</v>
      </c>
      <c s="6" r="BC20">
        <v>591457</v>
      </c>
      <c s="6" r="BD20">
        <v>6087196</v>
      </c>
      <c s="6" r="BE20">
        <v>591457</v>
      </c>
      <c s="6" r="BF20">
        <v>2103766</v>
      </c>
      <c s="6" r="BG20">
        <v>2146291</v>
      </c>
      <c s="6" r="BH20">
        <v>9113715</v>
      </c>
      <c s="6" r="BI20">
        <v>2070243</v>
      </c>
      <c s="6" r="BJ20">
        <v>4019403</v>
      </c>
      <c s="6" r="BK20">
        <v>1536665</v>
      </c>
      <c s="6" r="BL20">
        <v>3383745</v>
      </c>
      <c s="6" r="BM20">
        <v>533578</v>
      </c>
      <c s="6" r="BN20">
        <v>635658</v>
      </c>
      <c s="6" r="BO20">
        <v>1751367</v>
      </c>
      <c s="6" r="BP20">
        <v>4742495</v>
      </c>
      <c s="6" r="BQ20">
        <v>906237</v>
      </c>
      <c s="6" r="BR20">
        <v>308858</v>
      </c>
      <c s="6" r="BS20">
        <v>103521</v>
      </c>
      <c s="6" r="BT20">
        <v>42959</v>
      </c>
      <c s="6" r="BU20">
        <v>1673780</v>
      </c>
      <c s="6" r="BV20">
        <v>15756548</v>
      </c>
      <c s="6" r="BW20">
        <v>1659224</v>
      </c>
      <c s="6" r="BX20">
        <v>15421314</v>
      </c>
      <c s="6" r="BY20">
        <v>1641567</v>
      </c>
      <c s="6" r="BZ20">
        <v>15188780</v>
      </c>
      <c s="6" r="CA20">
        <v>41754</v>
      </c>
      <c s="6" r="CB20">
        <v>232533</v>
      </c>
      <c s="6" r="CC20">
        <v>91632</v>
      </c>
      <c s="6" r="CD20">
        <v>66477</v>
      </c>
      <c s="6" r="CE20">
        <v>195476</v>
      </c>
      <c s="6" r="CF20">
        <v>230515</v>
      </c>
      <c s="6" r="CG20">
        <v>25805</v>
      </c>
      <c s="6" r="CH20">
        <v>38243</v>
      </c>
      <c s="6" r="CI20">
        <v>1630249</v>
      </c>
      <c s="6" r="CJ20">
        <v>3742047</v>
      </c>
      <c s="6" r="CK20">
        <v>1487974</v>
      </c>
      <c s="6" r="CL20">
        <v>3070941</v>
      </c>
      <c s="6" r="CM20">
        <v>927051</v>
      </c>
      <c s="6" r="CN20">
        <v>639874</v>
      </c>
      <c s="6" r="CO20">
        <v>8778</v>
      </c>
      <c s="6" r="CP20">
        <v>86615</v>
      </c>
      <c s="6" r="CQ20">
        <v>16253</v>
      </c>
      <c s="6" r="CR20">
        <v>118686</v>
      </c>
      <c s="6" r="CS20">
        <v>678123</v>
      </c>
      <c s="6" r="CT20">
        <v>4362176</v>
      </c>
      <c s="6" r="CU20">
        <v>832015</v>
      </c>
      <c s="6" r="CV20">
        <v>4387109</v>
      </c>
      <c s="6" r="CW20">
        <v>1046128</v>
      </c>
      <c s="6" r="CX20">
        <v>208633</v>
      </c>
      <c s="6" r="CY20">
        <v>406578</v>
      </c>
      <c s="6" r="CZ20">
        <v>619223</v>
      </c>
      <c s="6" r="DA20">
        <v>1381500</v>
      </c>
      <c s="6" r="DB20">
        <v>5214965</v>
      </c>
      <c s="6" r="DC20">
        <v>48161</v>
      </c>
      <c s="6" r="DD20">
        <v>303267</v>
      </c>
      <c s="6" r="DE20">
        <v>34171</v>
      </c>
      <c s="6" r="DF20">
        <v>97342</v>
      </c>
      <c s="6" r="DG20">
        <v>80704</v>
      </c>
      <c s="6" r="DH20">
        <v>412352</v>
      </c>
      <c s="6" r="DI20">
        <v>4332277</v>
      </c>
      <c s="6" r="DJ20">
        <v>15149199</v>
      </c>
      <c s="6" r="DK20">
        <v>2078995</v>
      </c>
      <c s="6" r="DL20">
        <v>51300609</v>
      </c>
      <c s="53" r="DM20">
        <v>2080</v>
      </c>
      <c s="53" r="DN20">
        <v>5377</v>
      </c>
      <c s="6" r="DO20">
        <v>2066111</v>
      </c>
      <c s="6" r="DP20">
        <v>6596911</v>
      </c>
      <c s="6" r="DQ20">
        <v>1003832</v>
      </c>
      <c s="6" r="DR20">
        <v>1161968</v>
      </c>
      <c s="6" r="DS20">
        <v>1737890</v>
      </c>
      <c s="6" r="DT20">
        <v>5434943</v>
      </c>
      <c s="6" r="DU20">
        <v>1737890</v>
      </c>
      <c s="47" r="DV20">
        <v>5434943</v>
      </c>
    </row>
    <row customHeight="1" r="21" ht="15.0">
      <c t="s" s="58" r="A21">
        <v>86</v>
      </c>
      <c s="6" r="B21">
        <v>2067942</v>
      </c>
      <c s="6" r="C21">
        <v>108585633</v>
      </c>
      <c s="6" r="D21">
        <v>1813959</v>
      </c>
      <c s="6" r="E21">
        <v>86672861</v>
      </c>
      <c s="6" r="F21">
        <v>1168253</v>
      </c>
      <c s="6" r="G21">
        <v>2011283</v>
      </c>
      <c s="6" r="H21">
        <v>88746</v>
      </c>
      <c s="6" r="I21">
        <v>456435</v>
      </c>
      <c s="6" r="J21">
        <v>501921</v>
      </c>
      <c s="6" r="K21">
        <v>1747889</v>
      </c>
      <c s="6" r="L21">
        <v>416579</v>
      </c>
      <c s="6" r="M21">
        <v>1064526</v>
      </c>
      <c s="6" r="N21">
        <v>912362</v>
      </c>
      <c s="6" r="O21">
        <v>638088</v>
      </c>
      <c s="6" r="P21">
        <v>17577</v>
      </c>
      <c s="6" r="Q21">
        <v>343022</v>
      </c>
      <c s="6" r="R21">
        <v>375398</v>
      </c>
      <c s="6" r="S21">
        <v>3209422</v>
      </c>
      <c s="6" r="T21">
        <v>388305</v>
      </c>
      <c s="6" r="U21">
        <v>366962</v>
      </c>
      <c s="6" r="V21">
        <v>27071</v>
      </c>
      <c s="6" r="W21">
        <v>-41112</v>
      </c>
      <c s="6" r="X21">
        <v>197026</v>
      </c>
      <c s="6" r="Y21">
        <v>2311851</v>
      </c>
      <c s="6" r="Z21">
        <v>440340</v>
      </c>
      <c s="6" r="AA21">
        <v>8288731</v>
      </c>
      <c s="6" r="AB21">
        <v>99744</v>
      </c>
      <c s="6" r="AC21">
        <v>775265</v>
      </c>
      <c s="6" r="AD21">
        <v>148412</v>
      </c>
      <c s="6" r="AE21">
        <v>1737462</v>
      </c>
      <c s="6" r="AF21">
        <v>10350</v>
      </c>
      <c s="6" r="AG21">
        <v>101594</v>
      </c>
      <c s="6" r="AH21">
        <v>135630</v>
      </c>
      <c s="6" r="AI21">
        <v>839365</v>
      </c>
      <c s="6" r="AJ21">
        <v>6562</v>
      </c>
      <c s="6" r="AK21">
        <v>12380</v>
      </c>
      <c s="6" r="AL21">
        <v>31486</v>
      </c>
      <c s="6" r="AM21">
        <v>-352185</v>
      </c>
      <c s="6" r="AN21">
        <v>170358</v>
      </c>
      <c s="6" r="AO21">
        <v>868501</v>
      </c>
      <c s="6" r="AP21">
        <v>328122</v>
      </c>
      <c s="6" r="AQ21">
        <v>3866655</v>
      </c>
      <c s="6" r="AR21">
        <v>2628</v>
      </c>
      <c s="6" r="AS21">
        <v>112533</v>
      </c>
      <c s="6" r="AT21">
        <v>119510</v>
      </c>
      <c s="6" r="AU21">
        <v>138183</v>
      </c>
      <c s="6" r="AV21">
        <v>646054</v>
      </c>
      <c s="6" r="AW21">
        <v>1730480</v>
      </c>
      <c s="6" r="AX21">
        <v>37294487</v>
      </c>
      <c s="6" r="AY21">
        <v>0</v>
      </c>
      <c s="6" r="AZ21">
        <v>0</v>
      </c>
      <c s="6" r="BA21">
        <v>519866</v>
      </c>
      <c s="6" r="BB21">
        <v>3768388</v>
      </c>
      <c s="6" r="BC21">
        <v>519866</v>
      </c>
      <c s="6" r="BD21">
        <v>5816614</v>
      </c>
      <c s="6" r="BE21">
        <v>519866</v>
      </c>
      <c s="6" r="BF21">
        <v>2048226</v>
      </c>
      <c s="6" r="BG21">
        <v>2055119</v>
      </c>
      <c s="6" r="BH21">
        <v>9456887</v>
      </c>
      <c s="6" r="BI21">
        <v>1996165</v>
      </c>
      <c s="6" r="BJ21">
        <v>4401584</v>
      </c>
      <c s="6" r="BK21">
        <v>1537251</v>
      </c>
      <c s="6" r="BL21">
        <v>3840573</v>
      </c>
      <c s="6" r="BM21">
        <v>458914</v>
      </c>
      <c s="6" r="BN21">
        <v>561011</v>
      </c>
      <c s="6" r="BO21">
        <v>1703235</v>
      </c>
      <c s="6" r="BP21">
        <v>4679292</v>
      </c>
      <c s="6" r="BQ21">
        <v>900560</v>
      </c>
      <c s="6" r="BR21">
        <v>322692</v>
      </c>
      <c s="6" r="BS21">
        <v>110459</v>
      </c>
      <c s="6" r="BT21">
        <v>53319</v>
      </c>
      <c s="6" r="BU21">
        <v>1638342</v>
      </c>
      <c s="6" r="BV21">
        <v>15945106</v>
      </c>
      <c s="6" r="BW21">
        <v>1626499</v>
      </c>
      <c s="6" r="BX21">
        <v>15609103</v>
      </c>
      <c s="6" r="BY21">
        <v>1603793</v>
      </c>
      <c s="6" r="BZ21">
        <v>15303204</v>
      </c>
      <c s="6" r="CA21">
        <v>41226</v>
      </c>
      <c s="6" r="CB21">
        <v>305898</v>
      </c>
      <c s="6" r="CC21">
        <v>90457</v>
      </c>
      <c s="6" r="CD21">
        <v>71654</v>
      </c>
      <c s="6" r="CE21">
        <v>180726</v>
      </c>
      <c s="6" r="CF21">
        <v>229357</v>
      </c>
      <c s="6" r="CG21">
        <v>20472</v>
      </c>
      <c s="6" r="CH21">
        <v>34993</v>
      </c>
      <c s="6" r="CI21">
        <v>1598584</v>
      </c>
      <c s="6" r="CJ21">
        <v>3754021</v>
      </c>
      <c s="6" r="CK21">
        <v>1437657</v>
      </c>
      <c s="6" r="CL21">
        <v>3032421</v>
      </c>
      <c s="6" r="CM21">
        <v>922976</v>
      </c>
      <c s="6" r="CN21">
        <v>688144</v>
      </c>
      <c s="6" r="CO21">
        <v>20241</v>
      </c>
      <c s="6" r="CP21">
        <v>119172</v>
      </c>
      <c s="6" r="CQ21">
        <v>13967</v>
      </c>
      <c s="6" r="CR21">
        <v>116310</v>
      </c>
      <c s="6" r="CS21">
        <v>643634</v>
      </c>
      <c s="6" r="CT21">
        <v>3972124</v>
      </c>
      <c s="6" r="CU21">
        <v>760061</v>
      </c>
      <c s="6" r="CV21">
        <v>4059991</v>
      </c>
      <c s="6" r="CW21">
        <v>1006904</v>
      </c>
      <c s="6" r="CX21">
        <v>211335</v>
      </c>
      <c s="6" r="CY21">
        <v>411052</v>
      </c>
      <c s="6" r="CZ21">
        <v>571086</v>
      </c>
      <c s="6" r="DA21">
        <v>1298283</v>
      </c>
      <c s="6" r="DB21">
        <v>4842412</v>
      </c>
      <c s="6" r="DC21">
        <v>43057</v>
      </c>
      <c s="6" r="DD21">
        <v>236563</v>
      </c>
      <c s="6" r="DE21">
        <v>14561</v>
      </c>
      <c s="6" r="DF21">
        <v>45087</v>
      </c>
      <c s="6" r="DG21">
        <v>56615</v>
      </c>
      <c s="6" r="DH21">
        <v>281651</v>
      </c>
      <c s="6" r="DI21">
        <v>4305526</v>
      </c>
      <c s="6" r="DJ21">
        <v>15056372</v>
      </c>
      <c s="6" r="DK21">
        <v>2012156</v>
      </c>
      <c s="6" r="DL21">
        <v>57254084</v>
      </c>
      <c s="6" r="DM21">
        <v>9397</v>
      </c>
      <c s="6" r="DN21">
        <v>8683</v>
      </c>
      <c s="6" r="DO21">
        <v>1998809</v>
      </c>
      <c s="6" r="DP21">
        <v>7683797</v>
      </c>
      <c s="6" r="DQ21">
        <v>952755</v>
      </c>
      <c s="6" r="DR21">
        <v>1219768</v>
      </c>
      <c s="6" r="DS21">
        <v>1726100</v>
      </c>
      <c s="6" r="DT21">
        <v>6464029</v>
      </c>
      <c s="6" r="DU21">
        <v>1726100</v>
      </c>
      <c s="47" r="DV21">
        <v>6464029</v>
      </c>
    </row>
    <row customHeight="1" r="22" ht="15.0">
      <c t="s" s="58" r="A22">
        <v>87</v>
      </c>
      <c s="6" r="B22">
        <v>1988078</v>
      </c>
      <c s="6" r="C22">
        <v>114379302</v>
      </c>
      <c s="6" r="D22">
        <v>1750639</v>
      </c>
      <c s="6" r="E22">
        <v>90690758</v>
      </c>
      <c s="6" r="F22">
        <v>1161935</v>
      </c>
      <c s="6" r="G22">
        <v>1739447</v>
      </c>
      <c s="6" r="H22">
        <v>106714</v>
      </c>
      <c s="6" r="I22">
        <v>946745</v>
      </c>
      <c s="6" r="J22">
        <v>537952</v>
      </c>
      <c s="6" r="K22">
        <v>1805170</v>
      </c>
      <c s="6" r="L22">
        <v>453516</v>
      </c>
      <c s="6" r="M22">
        <v>1116569</v>
      </c>
      <c s="6" r="N22">
        <v>901816</v>
      </c>
      <c s="6" r="O22">
        <v>643554</v>
      </c>
      <c s="6" r="P22">
        <v>11928</v>
      </c>
      <c s="6" r="Q22">
        <v>360076</v>
      </c>
      <c s="6" r="R22">
        <v>371593</v>
      </c>
      <c s="6" r="S22">
        <v>3107892</v>
      </c>
      <c s="6" r="T22">
        <v>418433</v>
      </c>
      <c s="6" r="U22">
        <v>386040</v>
      </c>
      <c s="6" r="V22">
        <v>11361</v>
      </c>
      <c s="6" r="W22">
        <v>-13830</v>
      </c>
      <c s="6" r="X22">
        <v>198984</v>
      </c>
      <c s="6" r="Y22">
        <v>2458006</v>
      </c>
      <c s="6" r="Z22">
        <v>467444</v>
      </c>
      <c s="6" r="AA22">
        <v>9623854</v>
      </c>
      <c s="6" r="AB22">
        <v>98551</v>
      </c>
      <c s="6" r="AC22">
        <v>927573</v>
      </c>
      <c s="6" r="AD22">
        <v>144968</v>
      </c>
      <c s="6" r="AE22">
        <v>1584227</v>
      </c>
      <c s="6" r="AF22">
        <v>10357</v>
      </c>
      <c s="6" r="AG22">
        <v>30409</v>
      </c>
      <c s="6" r="AH22">
        <v>131901</v>
      </c>
      <c s="6" r="AI22">
        <v>522858</v>
      </c>
      <c s="6" r="AJ22">
        <v>8144</v>
      </c>
      <c s="6" r="AK22">
        <v>60453</v>
      </c>
      <c s="6" r="AL22">
        <v>26542</v>
      </c>
      <c s="6" r="AM22">
        <v>-329634</v>
      </c>
      <c s="6" r="AN22">
        <v>137028</v>
      </c>
      <c s="6" r="AO22">
        <v>669238</v>
      </c>
      <c s="6" r="AP22">
        <v>340073</v>
      </c>
      <c s="6" r="AQ22">
        <v>4394335</v>
      </c>
      <c s="6" r="AR22">
        <v>1288</v>
      </c>
      <c s="6" r="AS22">
        <v>104616</v>
      </c>
      <c s="6" r="AT22">
        <v>130945</v>
      </c>
      <c s="6" r="AU22">
        <v>411644</v>
      </c>
      <c s="6" r="AV22">
        <v>657807</v>
      </c>
      <c s="6" r="AW22">
        <v>1673575</v>
      </c>
      <c s="6" r="AX22">
        <v>37290518</v>
      </c>
      <c s="6" r="AY22">
        <v>0</v>
      </c>
      <c s="6" r="AZ22">
        <v>0</v>
      </c>
      <c s="6" r="BA22">
        <v>506070</v>
      </c>
      <c s="6" r="BB22">
        <v>3561816</v>
      </c>
      <c s="6" r="BC22">
        <v>506070</v>
      </c>
      <c s="6" r="BD22">
        <v>5748107</v>
      </c>
      <c s="6" r="BE22">
        <v>506070</v>
      </c>
      <c s="6" r="BF22">
        <v>2186291</v>
      </c>
      <c s="6" r="BG22">
        <v>1977825</v>
      </c>
      <c s="6" r="BH22">
        <v>9749623</v>
      </c>
      <c s="6" r="BI22">
        <v>1922422</v>
      </c>
      <c s="6" r="BJ22">
        <v>4665372</v>
      </c>
      <c s="6" r="BK22">
        <v>1481470</v>
      </c>
      <c s="6" r="BL22">
        <v>4039865</v>
      </c>
      <c s="6" r="BM22">
        <v>440952</v>
      </c>
      <c s="6" r="BN22">
        <v>625507</v>
      </c>
      <c s="6" r="BO22">
        <v>1696752</v>
      </c>
      <c s="6" r="BP22">
        <v>4718982</v>
      </c>
      <c s="6" r="BQ22">
        <v>903742</v>
      </c>
      <c s="6" r="BR22">
        <v>313635</v>
      </c>
      <c s="6" r="BS22">
        <v>106566</v>
      </c>
      <c s="6" r="BT22">
        <v>51633</v>
      </c>
      <c s="6" r="BU22">
        <v>1632976</v>
      </c>
      <c s="6" r="BV22">
        <v>15949033</v>
      </c>
      <c s="6" r="BW22">
        <v>1622893</v>
      </c>
      <c s="6" r="BX22">
        <v>15633182</v>
      </c>
      <c s="6" r="BY22">
        <v>1607613</v>
      </c>
      <c s="6" r="BZ22">
        <v>15418001</v>
      </c>
      <c s="6" r="CA22">
        <v>39441</v>
      </c>
      <c s="6" r="CB22">
        <v>215181</v>
      </c>
      <c s="6" r="CC22">
        <v>83559</v>
      </c>
      <c s="6" r="CD22">
        <v>47503</v>
      </c>
      <c s="6" r="CE22">
        <v>193048</v>
      </c>
      <c s="6" r="CF22">
        <v>221081</v>
      </c>
      <c s="6" r="CG22">
        <v>27024</v>
      </c>
      <c s="6" r="CH22">
        <v>47268</v>
      </c>
      <c s="6" r="CI22">
        <v>1581115</v>
      </c>
      <c s="6" r="CJ22">
        <v>3979522</v>
      </c>
      <c s="6" r="CK22">
        <v>1453901</v>
      </c>
      <c s="6" r="CL22">
        <v>3216562</v>
      </c>
      <c s="6" r="CM22">
        <v>934503</v>
      </c>
      <c s="6" r="CN22">
        <v>659466</v>
      </c>
      <c s="6" r="CO22">
        <v>15970</v>
      </c>
      <c s="6" r="CP22">
        <v>639217</v>
      </c>
      <c s="6" r="CQ22">
        <v>9446</v>
      </c>
      <c s="6" r="CR22">
        <v>29264</v>
      </c>
      <c s="6" r="CS22">
        <v>585773</v>
      </c>
      <c s="6" r="CT22">
        <v>3691710</v>
      </c>
      <c s="6" r="CU22">
        <v>755606</v>
      </c>
      <c s="6" r="CV22">
        <v>3879283</v>
      </c>
      <c s="6" r="CW22">
        <v>969319</v>
      </c>
      <c s="6" r="CX22">
        <v>191677</v>
      </c>
      <c s="6" r="CY22">
        <v>357709</v>
      </c>
      <c s="6" r="CZ22">
        <v>518276</v>
      </c>
      <c s="6" r="DA22">
        <v>1265084</v>
      </c>
      <c s="6" r="DB22">
        <v>4589236</v>
      </c>
      <c s="6" r="DC22">
        <v>36870</v>
      </c>
      <c s="6" r="DD22">
        <v>260517</v>
      </c>
      <c s="6" r="DE22">
        <v>15470</v>
      </c>
      <c s="6" r="DF22">
        <v>50065</v>
      </c>
      <c s="6" r="DG22">
        <v>51982</v>
      </c>
      <c s="6" r="DH22">
        <v>329550</v>
      </c>
      <c s="6" r="DI22">
        <v>4349959</v>
      </c>
      <c s="6" r="DJ22">
        <v>15214149</v>
      </c>
      <c s="6" r="DK22">
        <v>1952696</v>
      </c>
      <c s="6" r="DL22">
        <v>62452598</v>
      </c>
      <c s="6" r="DM22">
        <v>10313</v>
      </c>
      <c s="6" r="DN22">
        <v>10627</v>
      </c>
      <c s="6" r="DO22">
        <v>1943200</v>
      </c>
      <c s="6" r="DP22">
        <v>8648190</v>
      </c>
      <c s="6" r="DQ22">
        <v>888543</v>
      </c>
      <c s="6" r="DR22">
        <v>1291458</v>
      </c>
      <c s="6" r="DS22">
        <v>1728125</v>
      </c>
      <c s="6" r="DT22">
        <v>7356731</v>
      </c>
      <c s="6" r="DU22">
        <v>1728125</v>
      </c>
      <c s="47" r="DV22">
        <v>7356731</v>
      </c>
    </row>
    <row customHeight="1" r="23" ht="15.0">
      <c t="s" s="58" r="A23">
        <v>88</v>
      </c>
      <c s="6" r="B23">
        <v>5840646</v>
      </c>
      <c s="6" r="C23">
        <v>393685208</v>
      </c>
      <c s="6" r="D23">
        <v>5235028</v>
      </c>
      <c s="6" r="E23">
        <v>316716302</v>
      </c>
      <c s="6" r="F23">
        <v>3676995</v>
      </c>
      <c s="6" r="G23">
        <v>6964938</v>
      </c>
      <c s="6" r="H23">
        <v>351161</v>
      </c>
      <c s="6" r="I23">
        <v>2242608</v>
      </c>
      <c s="6" r="J23">
        <v>1732600</v>
      </c>
      <c s="6" r="K23">
        <v>5981335</v>
      </c>
      <c s="6" r="L23">
        <v>1461215</v>
      </c>
      <c s="6" r="M23">
        <v>3873455</v>
      </c>
      <c s="6" r="N23">
        <v>2826625</v>
      </c>
      <c s="6" r="O23">
        <v>2278996</v>
      </c>
      <c s="6" r="P23">
        <v>26486</v>
      </c>
      <c s="6" r="Q23">
        <v>727795</v>
      </c>
      <c s="6" r="R23">
        <v>1088039</v>
      </c>
      <c s="6" r="S23">
        <v>10186066</v>
      </c>
      <c s="6" r="T23">
        <v>1268413</v>
      </c>
      <c s="6" r="U23">
        <v>1646009</v>
      </c>
      <c s="6" r="V23">
        <v>75803</v>
      </c>
      <c s="6" r="W23">
        <v>-36317</v>
      </c>
      <c s="6" r="X23">
        <v>591247</v>
      </c>
      <c s="6" r="Y23">
        <v>8081735</v>
      </c>
      <c s="6" r="Z23">
        <v>1273715</v>
      </c>
      <c s="6" r="AA23">
        <v>29312949</v>
      </c>
      <c s="6" r="AB23">
        <v>313389</v>
      </c>
      <c s="6" r="AC23">
        <v>2710308</v>
      </c>
      <c s="6" r="AD23">
        <v>434514</v>
      </c>
      <c s="6" r="AE23">
        <v>4908123</v>
      </c>
      <c s="6" r="AF23">
        <v>21772</v>
      </c>
      <c s="6" r="AG23">
        <v>157110</v>
      </c>
      <c s="6" r="AH23">
        <v>419761</v>
      </c>
      <c s="6" r="AI23">
        <v>2896522</v>
      </c>
      <c s="6" r="AJ23">
        <v>23298</v>
      </c>
      <c s="6" r="AK23">
        <v>217401</v>
      </c>
      <c s="6" r="AL23">
        <v>88117</v>
      </c>
      <c s="6" r="AM23">
        <v>-744573</v>
      </c>
      <c s="6" r="AN23">
        <v>434406</v>
      </c>
      <c s="6" r="AO23">
        <v>2098346</v>
      </c>
      <c s="6" r="AP23">
        <v>916961</v>
      </c>
      <c s="6" r="AQ23">
        <v>13181766</v>
      </c>
      <c s="6" r="AR23">
        <v>3956</v>
      </c>
      <c s="6" r="AS23">
        <v>259122</v>
      </c>
      <c s="6" r="AT23">
        <v>372296</v>
      </c>
      <c s="6" r="AU23">
        <v>906204</v>
      </c>
      <c s="6" r="AV23">
        <v>1899653</v>
      </c>
      <c s="6" r="AW23">
        <v>5101272</v>
      </c>
      <c s="6" r="AX23">
        <v>116328624</v>
      </c>
      <c s="6" r="AY23">
        <v>0</v>
      </c>
      <c s="6" r="AZ23">
        <v>0</v>
      </c>
      <c s="6" r="BA23">
        <v>1225060</v>
      </c>
      <c s="6" r="BB23">
        <v>7944760</v>
      </c>
      <c s="6" r="BC23">
        <v>1225060</v>
      </c>
      <c s="6" r="BD23">
        <v>14122324</v>
      </c>
      <c s="6" r="BE23">
        <v>1225060</v>
      </c>
      <c s="6" r="BF23">
        <v>6177564</v>
      </c>
      <c s="6" r="BG23">
        <v>5817128</v>
      </c>
      <c s="6" r="BH23">
        <v>32986443</v>
      </c>
      <c s="6" r="BI23">
        <v>5663704</v>
      </c>
      <c s="6" r="BJ23">
        <v>16510085</v>
      </c>
      <c s="6" r="BK23">
        <v>4548013</v>
      </c>
      <c s="6" r="BL23">
        <v>14899265</v>
      </c>
      <c s="6" r="BM23">
        <v>1115691</v>
      </c>
      <c s="6" r="BN23">
        <v>1610820</v>
      </c>
      <c s="6" r="BO23">
        <v>5108571</v>
      </c>
      <c s="6" r="BP23">
        <v>15384155</v>
      </c>
      <c s="6" r="BQ23">
        <v>2619822</v>
      </c>
      <c s="6" r="BR23">
        <v>941173</v>
      </c>
      <c s="6" r="BS23">
        <v>319877</v>
      </c>
      <c s="6" r="BT23">
        <v>151030</v>
      </c>
      <c s="6" r="BU23">
        <v>4869303</v>
      </c>
      <c s="6" r="BV23">
        <v>50777844</v>
      </c>
      <c s="6" r="BW23">
        <v>4839786</v>
      </c>
      <c s="6" r="BX23">
        <v>49702776</v>
      </c>
      <c s="6" r="BY23">
        <v>4780654</v>
      </c>
      <c s="6" r="BZ23">
        <v>49080708</v>
      </c>
      <c s="6" r="CA23">
        <v>130149</v>
      </c>
      <c s="6" r="CB23">
        <v>622068</v>
      </c>
      <c s="6" r="CC23">
        <v>268529</v>
      </c>
      <c s="6" r="CD23">
        <v>200447</v>
      </c>
      <c s="6" r="CE23">
        <v>493049</v>
      </c>
      <c s="6" r="CF23">
        <v>670897</v>
      </c>
      <c s="6" r="CG23">
        <v>104196</v>
      </c>
      <c s="6" r="CH23">
        <v>203724</v>
      </c>
      <c s="6" r="CI23">
        <v>4738720</v>
      </c>
      <c s="6" r="CJ23">
        <v>12171732</v>
      </c>
      <c s="6" r="CK23">
        <v>4312476</v>
      </c>
      <c s="6" r="CL23">
        <v>10140845</v>
      </c>
      <c s="6" r="CM23">
        <v>2758563</v>
      </c>
      <c s="6" r="CN23">
        <v>2064086</v>
      </c>
      <c s="6" r="CO23">
        <v>36646</v>
      </c>
      <c s="6" r="CP23">
        <v>959690</v>
      </c>
      <c s="6" r="CQ23">
        <v>42820</v>
      </c>
      <c s="6" r="CR23">
        <v>325136</v>
      </c>
      <c s="6" r="CS23">
        <v>1695781</v>
      </c>
      <c s="6" r="CT23">
        <v>10543471</v>
      </c>
      <c s="6" r="CU23">
        <v>2239851</v>
      </c>
      <c s="6" r="CV23">
        <v>11170175</v>
      </c>
      <c s="6" r="CW23">
        <v>2915091</v>
      </c>
      <c s="6" r="CX23">
        <v>650307</v>
      </c>
      <c s="6" r="CY23">
        <v>1106538</v>
      </c>
      <c s="6" r="CZ23">
        <v>1798418</v>
      </c>
      <c s="6" r="DA23">
        <v>3740579</v>
      </c>
      <c s="6" r="DB23">
        <v>13618900</v>
      </c>
      <c s="6" r="DC23">
        <v>110052</v>
      </c>
      <c s="6" r="DD23">
        <v>787814</v>
      </c>
      <c s="6" r="DE23">
        <v>48971</v>
      </c>
      <c s="6" r="DF23">
        <v>194962</v>
      </c>
      <c s="6" r="DG23">
        <v>158387</v>
      </c>
      <c s="6" r="DH23">
        <v>1579239</v>
      </c>
      <c s="6" r="DI23">
        <v>13767067</v>
      </c>
      <c s="6" r="DJ23">
        <v>48152656</v>
      </c>
      <c s="6" r="DK23">
        <v>5779414</v>
      </c>
      <c s="6" r="DL23">
        <v>231555359</v>
      </c>
      <c s="6" r="DM23">
        <v>43442</v>
      </c>
      <c s="6" r="DN23">
        <v>60189</v>
      </c>
      <c s="6" r="DO23">
        <v>5759376</v>
      </c>
      <c s="6" r="DP23">
        <v>33606079</v>
      </c>
      <c s="6" r="DQ23">
        <v>3032475</v>
      </c>
      <c s="6" r="DR23">
        <v>4892547</v>
      </c>
      <c s="6" r="DS23">
        <v>5372310</v>
      </c>
      <c s="6" r="DT23">
        <v>28713532</v>
      </c>
      <c s="6" r="DU23">
        <v>5372310</v>
      </c>
      <c s="47" r="DV23">
        <v>28713532</v>
      </c>
    </row>
    <row customHeight="1" r="24" ht="15.0">
      <c t="s" s="58" r="A24">
        <v>89</v>
      </c>
      <c s="6" r="B24">
        <v>8045685</v>
      </c>
      <c s="6" r="C24">
        <v>699509534</v>
      </c>
      <c s="6" r="D24">
        <v>7333445</v>
      </c>
      <c s="6" r="E24">
        <v>565091637</v>
      </c>
      <c s="6" r="F24">
        <v>5621696</v>
      </c>
      <c s="6" r="G24">
        <v>10611078</v>
      </c>
      <c s="6" r="H24">
        <v>526367</v>
      </c>
      <c s="6" r="I24">
        <v>3986909</v>
      </c>
      <c s="6" r="J24">
        <v>2727532</v>
      </c>
      <c s="6" r="K24">
        <v>10072880</v>
      </c>
      <c s="6" r="L24">
        <v>2309094</v>
      </c>
      <c s="6" r="M24">
        <v>6510243</v>
      </c>
      <c s="6" r="N24">
        <v>4112525</v>
      </c>
      <c s="6" r="O24">
        <v>3710318</v>
      </c>
      <c s="6" r="P24">
        <v>29158</v>
      </c>
      <c s="6" r="Q24">
        <v>916598</v>
      </c>
      <c s="6" r="R24">
        <v>1532774</v>
      </c>
      <c s="6" r="S24">
        <v>16304435</v>
      </c>
      <c s="6" r="T24">
        <v>2062718</v>
      </c>
      <c s="6" r="U24">
        <v>4094800</v>
      </c>
      <c s="6" r="V24">
        <v>116365</v>
      </c>
      <c s="6" r="W24">
        <v>42315</v>
      </c>
      <c s="6" r="X24">
        <v>884153</v>
      </c>
      <c s="6" r="Y24">
        <v>15409226</v>
      </c>
      <c s="6" r="Z24">
        <v>1937613</v>
      </c>
      <c s="6" r="AA24">
        <v>49818272</v>
      </c>
      <c s="6" r="AB24">
        <v>481206</v>
      </c>
      <c s="6" r="AC24">
        <v>4969372</v>
      </c>
      <c s="6" r="AD24">
        <v>586015</v>
      </c>
      <c s="6" r="AE24">
        <v>6336182</v>
      </c>
      <c s="6" r="AF24">
        <v>43447</v>
      </c>
      <c s="6" r="AG24">
        <v>283536</v>
      </c>
      <c s="6" r="AH24">
        <v>649914</v>
      </c>
      <c s="6" r="AI24">
        <v>6444412</v>
      </c>
      <c s="6" r="AJ24">
        <v>52420</v>
      </c>
      <c s="6" r="AK24">
        <v>750638</v>
      </c>
      <c s="6" r="AL24">
        <v>140714</v>
      </c>
      <c s="6" r="AM24">
        <v>-1078936</v>
      </c>
      <c s="6" r="AN24">
        <v>574285</v>
      </c>
      <c s="6" r="AO24">
        <v>2825269</v>
      </c>
      <c s="6" r="AP24">
        <v>1230362</v>
      </c>
      <c s="6" r="AQ24">
        <v>20715837</v>
      </c>
      <c s="6" r="AR24">
        <v>5980</v>
      </c>
      <c s="6" r="AS24">
        <v>394225</v>
      </c>
      <c s="6" r="AT24">
        <v>593759</v>
      </c>
      <c s="6" r="AU24">
        <v>1783805</v>
      </c>
      <c s="6" r="AV24">
        <v>2778298</v>
      </c>
      <c s="6" r="AW24">
        <v>7878729</v>
      </c>
      <c s="6" r="AX24">
        <v>180082629</v>
      </c>
      <c s="6" r="AY24">
        <v>97805</v>
      </c>
      <c s="6" r="AZ24">
        <v>10405</v>
      </c>
      <c s="6" r="BA24">
        <v>1202061</v>
      </c>
      <c s="6" r="BB24">
        <v>9549738</v>
      </c>
      <c s="6" r="BC24">
        <v>1202061</v>
      </c>
      <c s="6" r="BD24">
        <v>17330360</v>
      </c>
      <c s="6" r="BE24">
        <v>1202061</v>
      </c>
      <c s="6" r="BF24">
        <v>7780622</v>
      </c>
      <c s="6" r="BG24">
        <v>8024008</v>
      </c>
      <c s="6" r="BH24">
        <v>56113916</v>
      </c>
      <c s="6" r="BI24">
        <v>7862519</v>
      </c>
      <c s="6" r="BJ24">
        <v>29577468</v>
      </c>
      <c s="6" r="BK24">
        <v>6361155</v>
      </c>
      <c s="6" r="BL24">
        <v>26953268</v>
      </c>
      <c s="6" r="BM24">
        <v>1501364</v>
      </c>
      <c s="6" r="BN24">
        <v>2624201</v>
      </c>
      <c s="6" r="BO24">
        <v>7310198</v>
      </c>
      <c s="6" r="BP24">
        <v>24870397</v>
      </c>
      <c s="6" r="BQ24">
        <v>3753475</v>
      </c>
      <c s="6" r="BR24">
        <v>1450032</v>
      </c>
      <c s="6" r="BS24">
        <v>502718</v>
      </c>
      <c s="6" r="BT24">
        <v>216019</v>
      </c>
      <c s="6" r="BU24">
        <v>6941540</v>
      </c>
      <c s="6" r="BV24">
        <v>79061682</v>
      </c>
      <c s="6" r="BW24">
        <v>6883752</v>
      </c>
      <c s="6" r="BX24">
        <v>77607378</v>
      </c>
      <c s="6" r="BY24">
        <v>6821471</v>
      </c>
      <c s="6" r="BZ24">
        <v>76565553</v>
      </c>
      <c s="6" r="CA24">
        <v>195380</v>
      </c>
      <c s="6" r="CB24">
        <v>1041825</v>
      </c>
      <c s="6" r="CC24">
        <v>427042</v>
      </c>
      <c s="6" r="CD24">
        <v>216401</v>
      </c>
      <c s="6" r="CE24">
        <v>599178</v>
      </c>
      <c s="6" r="CF24">
        <v>868824</v>
      </c>
      <c s="6" r="CG24">
        <v>165969</v>
      </c>
      <c s="6" r="CH24">
        <v>369078</v>
      </c>
      <c s="6" r="CI24">
        <v>6837149</v>
      </c>
      <c s="6" r="CJ24">
        <v>19887014</v>
      </c>
      <c s="6" r="CK24">
        <v>6213202</v>
      </c>
      <c s="6" r="CL24">
        <v>16307261</v>
      </c>
      <c s="6" r="CM24">
        <v>4188293</v>
      </c>
      <c s="6" r="CN24">
        <v>3556956</v>
      </c>
      <c s="6" r="CO24">
        <v>37472</v>
      </c>
      <c s="6" r="CP24">
        <v>1385054</v>
      </c>
      <c s="6" r="CQ24">
        <v>55490</v>
      </c>
      <c s="6" r="CR24">
        <v>385257</v>
      </c>
      <c s="6" r="CS24">
        <v>1985110</v>
      </c>
      <c s="6" r="CT24">
        <v>13334815</v>
      </c>
      <c s="6" r="CU24">
        <v>2959610</v>
      </c>
      <c s="6" r="CV24">
        <v>14364517</v>
      </c>
      <c s="6" r="CW24">
        <v>4001419</v>
      </c>
      <c s="6" r="CX24">
        <v>859308</v>
      </c>
      <c s="6" r="CY24">
        <v>1458205</v>
      </c>
      <c s="6" r="CZ24">
        <v>2932005</v>
      </c>
      <c s="6" r="DA24">
        <v>5131909</v>
      </c>
      <c s="6" r="DB24">
        <v>18155830</v>
      </c>
      <c s="6" r="DC24">
        <v>175287</v>
      </c>
      <c s="6" r="DD24">
        <v>1407363</v>
      </c>
      <c s="6" r="DE24">
        <v>61106</v>
      </c>
      <c s="6" r="DF24">
        <v>194534</v>
      </c>
      <c s="6" r="DG24">
        <v>234821</v>
      </c>
      <c s="6" r="DH24">
        <v>1760612</v>
      </c>
      <c s="6" r="DI24">
        <v>21127621</v>
      </c>
      <c s="6" r="DJ24">
        <v>73907335</v>
      </c>
      <c s="6" r="DK24">
        <v>7988761</v>
      </c>
      <c s="6" r="DL24">
        <v>447021007</v>
      </c>
      <c s="6" r="DM24">
        <v>105818</v>
      </c>
      <c s="6" r="DN24">
        <v>230942</v>
      </c>
      <c s="6" r="DO24">
        <v>7966436</v>
      </c>
      <c s="6" r="DP24">
        <v>67101047</v>
      </c>
      <c s="6" r="DQ24">
        <v>4479830</v>
      </c>
      <c s="6" r="DR24">
        <v>8010843</v>
      </c>
      <c s="6" r="DS24">
        <v>7781647</v>
      </c>
      <c s="6" r="DT24">
        <v>59090204</v>
      </c>
      <c s="6" r="DU24">
        <v>7781647</v>
      </c>
      <c s="47" r="DV24">
        <v>59090204</v>
      </c>
    </row>
    <row customHeight="1" r="25" ht="15.0">
      <c t="s" s="58" r="A25">
        <v>90</v>
      </c>
      <c s="6" r="B25">
        <v>11901882</v>
      </c>
      <c s="6" r="C25">
        <v>1602470543</v>
      </c>
      <c s="6" r="D25">
        <v>10971375</v>
      </c>
      <c s="6" r="E25">
        <v>1276052027</v>
      </c>
      <c s="6" r="F25">
        <v>9749394</v>
      </c>
      <c s="6" r="G25">
        <v>27103966</v>
      </c>
      <c s="6" r="H25">
        <v>1353263</v>
      </c>
      <c s="6" r="I25">
        <v>11245402</v>
      </c>
      <c s="6" r="J25">
        <v>5788865</v>
      </c>
      <c s="6" r="K25">
        <v>29739085</v>
      </c>
      <c s="6" r="L25">
        <v>5047065</v>
      </c>
      <c s="6" r="M25">
        <v>21449988</v>
      </c>
      <c s="6" r="N25">
        <v>6007571</v>
      </c>
      <c s="6" r="O25">
        <v>7075414</v>
      </c>
      <c s="6" r="P25">
        <v>31890</v>
      </c>
      <c s="6" r="Q25">
        <v>1531119</v>
      </c>
      <c s="6" r="R25">
        <v>2536312</v>
      </c>
      <c s="6" r="S25">
        <v>51321742</v>
      </c>
      <c s="6" r="T25">
        <v>4501200</v>
      </c>
      <c s="6" r="U25">
        <v>18721403</v>
      </c>
      <c s="6" r="V25">
        <v>262898</v>
      </c>
      <c s="6" r="W25">
        <v>-366237</v>
      </c>
      <c s="6" r="X25">
        <v>1332350</v>
      </c>
      <c s="6" r="Y25">
        <v>35053839</v>
      </c>
      <c s="6" r="Z25">
        <v>2793838</v>
      </c>
      <c s="6" r="AA25">
        <v>94177602</v>
      </c>
      <c s="6" r="AB25">
        <v>1015114</v>
      </c>
      <c s="6" r="AC25">
        <v>15153487</v>
      </c>
      <c s="6" r="AD25">
        <v>929157</v>
      </c>
      <c s="6" r="AE25">
        <v>9251417</v>
      </c>
      <c s="6" r="AF25">
        <v>73451</v>
      </c>
      <c s="6" r="AG25">
        <v>766403</v>
      </c>
      <c s="6" r="AH25">
        <v>1615796</v>
      </c>
      <c s="6" r="AI25">
        <v>37160668</v>
      </c>
      <c s="6" r="AJ25">
        <v>128123</v>
      </c>
      <c s="6" r="AK25">
        <v>2237156</v>
      </c>
      <c s="6" r="AL25">
        <v>170991</v>
      </c>
      <c s="6" r="AM25">
        <v>-1402913</v>
      </c>
      <c s="6" r="AN25">
        <v>617061</v>
      </c>
      <c s="6" r="AO25">
        <v>3241564</v>
      </c>
      <c s="6" r="AP25">
        <v>1562504</v>
      </c>
      <c s="6" r="AQ25">
        <v>29197697</v>
      </c>
      <c s="6" r="AR25">
        <v>18966</v>
      </c>
      <c s="6" r="AS25">
        <v>1243101</v>
      </c>
      <c s="6" r="AT25">
        <v>1088609</v>
      </c>
      <c s="6" r="AU25">
        <v>5406425</v>
      </c>
      <c s="6" r="AV25">
        <v>5028822</v>
      </c>
      <c s="6" r="AW25">
        <v>23133267</v>
      </c>
      <c s="6" r="AX25">
        <v>348022985</v>
      </c>
      <c s="6" r="AY25">
        <v>2512143</v>
      </c>
      <c s="6" r="AZ25">
        <v>498352</v>
      </c>
      <c s="6" r="BA25">
        <v>991242</v>
      </c>
      <c s="6" r="BB25">
        <v>9223915</v>
      </c>
      <c s="6" r="BC25">
        <v>991242</v>
      </c>
      <c s="6" r="BD25">
        <v>18742494</v>
      </c>
      <c s="6" r="BE25">
        <v>991242</v>
      </c>
      <c s="6" r="BF25">
        <v>9518579</v>
      </c>
      <c s="6" r="BG25">
        <v>11889763</v>
      </c>
      <c s="6" r="BH25">
        <v>128777887</v>
      </c>
      <c s="6" r="BI25">
        <v>11732063</v>
      </c>
      <c s="6" r="BJ25">
        <v>74647156</v>
      </c>
      <c s="6" r="BK25">
        <v>9780599</v>
      </c>
      <c s="6" r="BL25">
        <v>69884185</v>
      </c>
      <c s="6" r="BM25">
        <v>1951464</v>
      </c>
      <c s="6" r="BN25">
        <v>4762971</v>
      </c>
      <c s="6" r="BO25">
        <v>11060644</v>
      </c>
      <c s="6" r="BP25">
        <v>50974540</v>
      </c>
      <c s="6" r="BQ25">
        <v>5647517</v>
      </c>
      <c s="6" r="BR25">
        <v>2582983</v>
      </c>
      <c s="6" r="BS25">
        <v>757003</v>
      </c>
      <c s="6" r="BT25">
        <v>573208</v>
      </c>
      <c s="6" r="BU25">
        <v>10419613</v>
      </c>
      <c s="6" r="BV25">
        <v>144896549</v>
      </c>
      <c s="6" r="BW25">
        <v>10303300</v>
      </c>
      <c s="6" r="BX25">
        <v>142679352</v>
      </c>
      <c s="6" r="BY25">
        <v>10224238</v>
      </c>
      <c s="6" r="BZ25">
        <v>140970080</v>
      </c>
      <c s="6" r="CA25">
        <v>298418</v>
      </c>
      <c s="6" r="CB25">
        <v>1709272</v>
      </c>
      <c s="6" r="CC25">
        <v>805944</v>
      </c>
      <c s="6" r="CD25">
        <v>450876</v>
      </c>
      <c s="6" r="CE25">
        <v>134670</v>
      </c>
      <c s="6" r="CF25">
        <v>135186</v>
      </c>
      <c s="6" r="CG25">
        <v>480578</v>
      </c>
      <c s="6" r="CH25">
        <v>1631136</v>
      </c>
      <c s="6" r="CI25">
        <v>10741655</v>
      </c>
      <c s="6" r="CJ25">
        <v>40606459</v>
      </c>
      <c s="6" r="CK25">
        <v>10118018</v>
      </c>
      <c s="6" r="CL25">
        <v>33696048</v>
      </c>
      <c s="6" r="CM25">
        <v>6872068</v>
      </c>
      <c s="6" r="CN25">
        <v>7362726</v>
      </c>
      <c s="6" r="CO25">
        <v>52886</v>
      </c>
      <c s="6" r="CP25">
        <v>901418</v>
      </c>
      <c s="6" r="CQ25">
        <v>89357</v>
      </c>
      <c s="6" r="CR25">
        <v>921150</v>
      </c>
      <c s="6" r="CS25">
        <v>2746903</v>
      </c>
      <c s="6" r="CT25">
        <v>19804761</v>
      </c>
      <c s="6" r="CU25">
        <v>4246544</v>
      </c>
      <c s="6" r="CV25">
        <v>21902751</v>
      </c>
      <c s="6" r="CW25">
        <v>6083830</v>
      </c>
      <c s="6" r="CX25">
        <v>1725819</v>
      </c>
      <c s="6" r="CY25">
        <v>2435779</v>
      </c>
      <c s="6" r="CZ25">
        <v>6462206</v>
      </c>
      <c s="6" r="DA25">
        <v>7668984</v>
      </c>
      <c s="6" r="DB25">
        <v>30090776</v>
      </c>
      <c s="6" r="DC25">
        <v>294564</v>
      </c>
      <c s="6" r="DD25">
        <v>3485155</v>
      </c>
      <c s="6" r="DE25">
        <v>130353</v>
      </c>
      <c s="6" r="DF25">
        <v>482042</v>
      </c>
      <c s="6" r="DG25">
        <v>423090</v>
      </c>
      <c s="6" r="DH25">
        <v>4290617</v>
      </c>
      <c s="6" r="DI25">
        <v>34144934</v>
      </c>
      <c s="6" r="DJ25">
        <v>119331936</v>
      </c>
      <c s="6" r="DK25">
        <v>11866400</v>
      </c>
      <c s="6" r="DL25">
        <v>1137387747</v>
      </c>
      <c s="6" r="DM25">
        <v>836256</v>
      </c>
      <c s="6" r="DN25">
        <v>1967079</v>
      </c>
      <c s="6" r="DO25">
        <v>11853109</v>
      </c>
      <c s="6" r="DP25">
        <v>205366422</v>
      </c>
      <c s="6" r="DQ25">
        <v>6060392</v>
      </c>
      <c s="6" r="DR25">
        <v>8303129</v>
      </c>
      <c s="6" r="DS25">
        <v>11799637</v>
      </c>
      <c s="6" r="DT25">
        <v>197063293</v>
      </c>
      <c s="6" r="DU25">
        <v>11799637</v>
      </c>
      <c s="47" r="DV25">
        <v>197063293</v>
      </c>
    </row>
    <row customHeight="1" r="26" ht="15.0">
      <c t="s" s="58" r="A26">
        <v>91</v>
      </c>
      <c s="6" r="B26">
        <v>3311619</v>
      </c>
      <c s="6" r="C26">
        <v>947942264</v>
      </c>
      <c s="6" r="D26">
        <v>2967171</v>
      </c>
      <c s="6" r="E26">
        <v>644454049</v>
      </c>
      <c s="6" r="F26">
        <v>3076107</v>
      </c>
      <c s="6" r="G26">
        <v>25585491</v>
      </c>
      <c s="6" r="H26">
        <v>914594</v>
      </c>
      <c s="6" r="I26">
        <v>14108484</v>
      </c>
      <c s="6" r="J26">
        <v>2393271</v>
      </c>
      <c s="6" r="K26">
        <v>31372843</v>
      </c>
      <c s="6" r="L26">
        <v>2184140</v>
      </c>
      <c s="6" r="M26">
        <v>23750850</v>
      </c>
      <c s="6" r="N26">
        <v>1139117</v>
      </c>
      <c s="6" r="O26">
        <v>2759318</v>
      </c>
      <c s="6" r="P26">
        <v>6272</v>
      </c>
      <c s="6" r="Q26">
        <v>712148</v>
      </c>
      <c s="6" r="R26">
        <v>848903</v>
      </c>
      <c s="6" r="S26">
        <v>50773869</v>
      </c>
      <c s="6" r="T26">
        <v>2155188</v>
      </c>
      <c s="6" r="U26">
        <v>40049964</v>
      </c>
      <c s="6" r="V26">
        <v>209856</v>
      </c>
      <c s="6" r="W26">
        <v>37831</v>
      </c>
      <c s="6" r="X26">
        <v>391695</v>
      </c>
      <c s="6" r="Y26">
        <v>19404799</v>
      </c>
      <c s="6" r="Z26">
        <v>683966</v>
      </c>
      <c s="6" r="AA26">
        <v>31914745</v>
      </c>
      <c s="6" r="AB26">
        <v>515641</v>
      </c>
      <c s="6" r="AC26">
        <v>16168218</v>
      </c>
      <c s="6" r="AD26">
        <v>271746</v>
      </c>
      <c s="6" r="AE26">
        <v>4838111</v>
      </c>
      <c s="6" r="AF26">
        <v>26472</v>
      </c>
      <c s="6" r="AG26">
        <v>673744</v>
      </c>
      <c s="6" r="AH26">
        <v>1133811</v>
      </c>
      <c s="6" r="AI26">
        <v>87111083</v>
      </c>
      <c s="6" r="AJ26">
        <v>76280</v>
      </c>
      <c s="6" r="AK26">
        <v>2845225</v>
      </c>
      <c s="6" r="AL26">
        <v>71094</v>
      </c>
      <c s="6" r="AM26">
        <v>-709477</v>
      </c>
      <c s="6" r="AN26">
        <v>95269</v>
      </c>
      <c s="6" r="AO26">
        <v>517160</v>
      </c>
      <c s="6" r="AP26">
        <v>474358</v>
      </c>
      <c s="6" r="AQ26">
        <v>9760748</v>
      </c>
      <c s="6" r="AR26">
        <v>16477</v>
      </c>
      <c s="6" r="AS26">
        <v>1234577</v>
      </c>
      <c s="6" r="AT26">
        <v>434075</v>
      </c>
      <c s="6" r="AU26">
        <v>5247923</v>
      </c>
      <c s="6" r="AV26">
        <v>1310377</v>
      </c>
      <c s="6" r="AW26">
        <v>18656515</v>
      </c>
      <c s="6" r="AX26">
        <v>173424131</v>
      </c>
      <c s="6" r="AY26">
        <v>3311259</v>
      </c>
      <c s="6" r="AZ26">
        <v>4354695</v>
      </c>
      <c s="6" r="BA26">
        <v>95937</v>
      </c>
      <c s="6" r="BB26">
        <v>2694946</v>
      </c>
      <c s="6" r="BC26">
        <v>95937</v>
      </c>
      <c s="6" r="BD26">
        <v>4583391</v>
      </c>
      <c s="6" r="BE26">
        <v>95937</v>
      </c>
      <c s="6" r="BF26">
        <v>1888445</v>
      </c>
      <c s="6" r="BG26">
        <v>3308687</v>
      </c>
      <c s="6" r="BH26">
        <v>78165812</v>
      </c>
      <c s="6" r="BI26">
        <v>3274636</v>
      </c>
      <c s="6" r="BJ26">
        <v>52595620</v>
      </c>
      <c s="6" r="BK26">
        <v>2738413</v>
      </c>
      <c s="6" r="BL26">
        <v>50532729</v>
      </c>
      <c s="6" r="BM26">
        <v>536223</v>
      </c>
      <c s="6" r="BN26">
        <v>2062890</v>
      </c>
      <c s="6" r="BO26">
        <v>3105054</v>
      </c>
      <c s="6" r="BP26">
        <v>24450761</v>
      </c>
      <c s="6" r="BQ26">
        <v>1420093</v>
      </c>
      <c s="6" r="BR26">
        <v>775447</v>
      </c>
      <c s="6" r="BS26">
        <v>268912</v>
      </c>
      <c s="6" r="BT26">
        <v>343983</v>
      </c>
      <c s="6" r="BU26">
        <v>2810871</v>
      </c>
      <c s="6" r="BV26">
        <v>60363009</v>
      </c>
      <c s="6" r="BW26">
        <v>2725787</v>
      </c>
      <c s="6" r="BX26">
        <v>57191453</v>
      </c>
      <c s="6" r="BY26">
        <v>2701000</v>
      </c>
      <c s="6" r="BZ26">
        <v>56330690</v>
      </c>
      <c s="6" r="CA26">
        <v>92972</v>
      </c>
      <c s="6" r="CB26">
        <v>860762</v>
      </c>
      <c s="6" r="CC26">
        <v>265760</v>
      </c>
      <c s="6" r="CD26">
        <v>158554</v>
      </c>
      <c s="53" r="CE26">
        <v>330</v>
      </c>
      <c s="53" r="CF26">
        <v>342</v>
      </c>
      <c s="6" r="CG26">
        <v>413235</v>
      </c>
      <c s="6" r="CH26">
        <v>3012660</v>
      </c>
      <c s="6" r="CI26">
        <v>3093905</v>
      </c>
      <c s="6" r="CJ26">
        <v>23663870</v>
      </c>
      <c s="6" r="CK26">
        <v>3002365</v>
      </c>
      <c s="6" r="CL26">
        <v>19603430</v>
      </c>
      <c s="6" r="CM26">
        <v>1870548</v>
      </c>
      <c s="6" r="CN26">
        <v>4249077</v>
      </c>
      <c s="6" r="CO26">
        <v>24870</v>
      </c>
      <c s="6" r="CP26">
        <v>4662345</v>
      </c>
      <c s="6" r="CQ26">
        <v>24953</v>
      </c>
      <c s="6" r="CR26">
        <v>822412</v>
      </c>
      <c s="6" r="CS26">
        <v>522186</v>
      </c>
      <c s="6" r="CT26">
        <v>6664264</v>
      </c>
      <c s="6" r="CU26">
        <v>739677</v>
      </c>
      <c s="6" r="CV26">
        <v>4926650</v>
      </c>
      <c s="6" r="CW26">
        <v>1489016</v>
      </c>
      <c s="6" r="CX26">
        <v>965593</v>
      </c>
      <c s="6" r="CY26">
        <v>889361</v>
      </c>
      <c s="6" r="CZ26">
        <v>5325203</v>
      </c>
      <c s="6" r="DA26">
        <v>1967804</v>
      </c>
      <c s="6" r="DB26">
        <v>11217446</v>
      </c>
      <c s="6" r="DC26">
        <v>83796</v>
      </c>
      <c s="6" r="DD26">
        <v>3405481</v>
      </c>
      <c s="6" r="DE26">
        <v>72412</v>
      </c>
      <c s="6" r="DF26">
        <v>890208</v>
      </c>
      <c s="6" r="DG26">
        <v>157157</v>
      </c>
      <c s="6" r="DH26">
        <v>5404513</v>
      </c>
      <c s="6" r="DI26">
        <v>9813040</v>
      </c>
      <c s="6" r="DJ26">
        <v>29770868</v>
      </c>
      <c s="6" r="DK26">
        <v>3301044</v>
      </c>
      <c s="6" r="DL26">
        <v>747582768</v>
      </c>
      <c s="6" r="DM26">
        <v>2385778</v>
      </c>
      <c s="6" r="DN26">
        <v>13499165</v>
      </c>
      <c s="6" r="DO26">
        <v>3303802</v>
      </c>
      <c s="6" r="DP26">
        <v>187749993</v>
      </c>
      <c s="6" r="DQ26">
        <v>1380608</v>
      </c>
      <c s="6" r="DR26">
        <v>2944765</v>
      </c>
      <c s="6" r="DS26">
        <v>3297062</v>
      </c>
      <c s="6" r="DT26">
        <v>184805228</v>
      </c>
      <c s="6" r="DU26">
        <v>3297063</v>
      </c>
      <c s="47" r="DV26">
        <v>184805228</v>
      </c>
    </row>
    <row customHeight="1" r="27" ht="15.0">
      <c t="s" s="58" r="A27">
        <v>92</v>
      </c>
      <c s="6" r="B27">
        <v>551398</v>
      </c>
      <c s="6" r="C27">
        <v>375019156</v>
      </c>
      <c s="6" r="D27">
        <v>468233</v>
      </c>
      <c s="6" r="E27">
        <v>202775784</v>
      </c>
      <c s="6" r="F27">
        <v>537628</v>
      </c>
      <c s="6" r="G27">
        <v>13397012</v>
      </c>
      <c s="6" r="H27">
        <v>268697</v>
      </c>
      <c s="6" r="I27">
        <v>8442497</v>
      </c>
      <c s="6" r="J27">
        <v>477560</v>
      </c>
      <c s="6" r="K27">
        <v>17618342</v>
      </c>
      <c s="6" r="L27">
        <v>445503</v>
      </c>
      <c s="6" r="M27">
        <v>13594791</v>
      </c>
      <c s="6" r="N27">
        <v>191377</v>
      </c>
      <c s="6" r="O27">
        <v>1258976</v>
      </c>
      <c s="6" r="P27">
        <v>998</v>
      </c>
      <c s="6" r="Q27">
        <v>286967</v>
      </c>
      <c s="6" r="R27">
        <v>146979</v>
      </c>
      <c s="6" r="S27">
        <v>16309972</v>
      </c>
      <c s="6" r="T27">
        <v>462386</v>
      </c>
      <c s="6" r="U27">
        <v>35121637</v>
      </c>
      <c s="6" r="V27">
        <v>89548</v>
      </c>
      <c s="6" r="W27">
        <v>-173912</v>
      </c>
      <c s="6" r="X27">
        <v>58815</v>
      </c>
      <c s="6" r="Y27">
        <v>3973432</v>
      </c>
      <c s="6" r="Z27">
        <v>89529</v>
      </c>
      <c s="6" r="AA27">
        <v>4510239</v>
      </c>
      <c s="6" r="AB27">
        <v>133360</v>
      </c>
      <c s="6" r="AC27">
        <v>8471861</v>
      </c>
      <c s="6" r="AD27">
        <v>68125</v>
      </c>
      <c s="6" r="AE27">
        <v>1863306</v>
      </c>
      <c s="6" r="AF27">
        <v>4929</v>
      </c>
      <c s="6" r="AG27">
        <v>118968</v>
      </c>
      <c s="6" r="AH27">
        <v>337464</v>
      </c>
      <c s="6" r="AI27">
        <v>73520262</v>
      </c>
      <c s="6" r="AJ27">
        <v>21672</v>
      </c>
      <c s="6" r="AK27">
        <v>1808749</v>
      </c>
      <c s="6" r="AL27">
        <v>17349</v>
      </c>
      <c s="6" r="AM27">
        <v>-454859</v>
      </c>
      <c s="6" r="AN27">
        <v>7702</v>
      </c>
      <c s="6" r="AO27">
        <v>51815</v>
      </c>
      <c s="6" r="AP27">
        <v>83501</v>
      </c>
      <c s="6" r="AQ27">
        <v>1904203</v>
      </c>
      <c s="6" r="AR27">
        <v>5944</v>
      </c>
      <c s="6" r="AS27">
        <v>481345</v>
      </c>
      <c s="6" r="AT27">
        <v>112804</v>
      </c>
      <c s="6" r="AU27">
        <v>2839303</v>
      </c>
      <c s="6" r="AV27">
        <v>287608</v>
      </c>
      <c s="6" r="AW27">
        <v>7663087</v>
      </c>
      <c s="6" r="AX27">
        <v>57836633</v>
      </c>
      <c s="6" r="AY27">
        <v>551293</v>
      </c>
      <c s="6" r="AZ27">
        <v>2957774</v>
      </c>
      <c s="6" r="BA27">
        <v>5633</v>
      </c>
      <c s="6" r="BB27">
        <v>366024</v>
      </c>
      <c s="6" r="BC27">
        <v>5633</v>
      </c>
      <c s="6" r="BD27">
        <v>637924</v>
      </c>
      <c s="6" r="BE27">
        <v>5633</v>
      </c>
      <c s="6" r="BF27">
        <v>271900</v>
      </c>
      <c s="6" r="BG27">
        <v>550075</v>
      </c>
      <c s="6" r="BH27">
        <v>30076850</v>
      </c>
      <c s="6" r="BI27">
        <v>545244</v>
      </c>
      <c s="6" r="BJ27">
        <v>23031073</v>
      </c>
      <c s="6" r="BK27">
        <v>454245</v>
      </c>
      <c s="6" r="BL27">
        <v>22495702</v>
      </c>
      <c s="6" r="BM27">
        <v>90999</v>
      </c>
      <c s="6" r="BN27">
        <v>535370</v>
      </c>
      <c s="6" r="BO27">
        <v>518840</v>
      </c>
      <c s="6" r="BP27">
        <v>6766765</v>
      </c>
      <c s="6" r="BQ27">
        <v>206746</v>
      </c>
      <c s="6" r="BR27">
        <v>160833</v>
      </c>
      <c s="6" r="BS27">
        <v>50500</v>
      </c>
      <c s="6" r="BT27">
        <v>118180</v>
      </c>
      <c s="6" r="BU27">
        <v>455853</v>
      </c>
      <c s="6" r="BV27">
        <v>14642473</v>
      </c>
      <c s="6" r="BW27">
        <v>419356</v>
      </c>
      <c s="6" r="BX27">
        <v>12097757</v>
      </c>
      <c s="6" r="BY27">
        <v>412196</v>
      </c>
      <c s="6" r="BZ27">
        <v>11804418</v>
      </c>
      <c s="6" r="CA27">
        <v>19112</v>
      </c>
      <c s="6" r="CB27">
        <v>293339</v>
      </c>
      <c s="6" r="CC27">
        <v>43433</v>
      </c>
      <c s="6" r="CD27">
        <v>35299</v>
      </c>
      <c s="53" r="CE27">
        <v>41</v>
      </c>
      <c s="53" r="CF27">
        <v>437</v>
      </c>
      <c s="6" r="CG27">
        <v>146836</v>
      </c>
      <c s="6" r="CH27">
        <v>2508979</v>
      </c>
      <c s="6" r="CI27">
        <v>519888</v>
      </c>
      <c s="6" r="CJ27">
        <v>9539392</v>
      </c>
      <c s="6" r="CK27">
        <v>512445</v>
      </c>
      <c s="6" r="CL27">
        <v>7960455</v>
      </c>
      <c s="6" r="CM27">
        <v>267709</v>
      </c>
      <c s="6" r="CN27">
        <v>2200699</v>
      </c>
      <c s="6" r="CO27">
        <v>5419</v>
      </c>
      <c s="6" r="CP27">
        <v>1997697</v>
      </c>
      <c s="6" r="CQ27">
        <v>4946</v>
      </c>
      <c s="6" r="CR27">
        <v>410006</v>
      </c>
      <c s="6" r="CS27">
        <v>71530</v>
      </c>
      <c s="6" r="CT27">
        <v>2499190</v>
      </c>
      <c s="6" r="CU27">
        <v>69659</v>
      </c>
      <c s="6" r="CV27">
        <v>680765</v>
      </c>
      <c s="6" r="CW27">
        <v>232568</v>
      </c>
      <c s="6" r="CX27">
        <v>345203</v>
      </c>
      <c s="6" r="CY27">
        <v>229981</v>
      </c>
      <c s="6" r="CZ27">
        <v>3190464</v>
      </c>
      <c s="6" r="DA27">
        <v>342783</v>
      </c>
      <c s="6" r="DB27">
        <v>4216432</v>
      </c>
      <c s="6" r="DC27">
        <v>13493</v>
      </c>
      <c s="6" r="DD27">
        <v>1818459</v>
      </c>
      <c s="6" r="DE27">
        <v>34273</v>
      </c>
      <c s="6" r="DF27">
        <v>525078</v>
      </c>
      <c s="6" r="DG27">
        <v>48183</v>
      </c>
      <c s="6" r="DH27">
        <v>3260471</v>
      </c>
      <c s="6" r="DI27">
        <v>1662121</v>
      </c>
      <c s="6" r="DJ27">
        <v>3801632</v>
      </c>
      <c s="6" r="DK27">
        <v>548419</v>
      </c>
      <c s="6" r="DL27">
        <v>315486718</v>
      </c>
      <c s="6" r="DM27">
        <v>317218</v>
      </c>
      <c s="6" r="DN27">
        <v>4157221</v>
      </c>
      <c s="6" r="DO27">
        <v>550055</v>
      </c>
      <c s="6" r="DP27">
        <v>92108450</v>
      </c>
      <c s="6" r="DQ27">
        <v>325861</v>
      </c>
      <c s="6" r="DR27">
        <v>2026688</v>
      </c>
      <c s="6" r="DS27">
        <v>548745</v>
      </c>
      <c s="6" r="DT27">
        <v>90081762</v>
      </c>
      <c s="6" r="DU27">
        <v>548745</v>
      </c>
      <c s="47" r="DV27">
        <v>90081827</v>
      </c>
    </row>
    <row customHeight="1" r="28" ht="15.0">
      <c t="s" s="58" r="A28">
        <v>93</v>
      </c>
      <c s="6" r="B28">
        <v>135285</v>
      </c>
      <c s="6" r="C28">
        <v>163424520</v>
      </c>
      <c s="6" r="D28">
        <v>112368</v>
      </c>
      <c s="6" r="E28">
        <v>73684726</v>
      </c>
      <c s="6" r="F28">
        <v>133680</v>
      </c>
      <c s="6" r="G28">
        <v>6596821</v>
      </c>
      <c s="6" r="H28">
        <v>79758</v>
      </c>
      <c s="6" r="I28">
        <v>3987410</v>
      </c>
      <c s="6" r="J28">
        <v>121449</v>
      </c>
      <c s="6" r="K28">
        <v>8519443</v>
      </c>
      <c s="6" r="L28">
        <v>115449</v>
      </c>
      <c s="6" r="M28">
        <v>6530190</v>
      </c>
      <c s="6" r="N28">
        <v>59049</v>
      </c>
      <c s="6" r="O28">
        <v>722268</v>
      </c>
      <c s="6" r="P28">
        <v>113</v>
      </c>
      <c s="6" r="Q28">
        <v>23197</v>
      </c>
      <c s="6" r="R28">
        <v>32710</v>
      </c>
      <c s="6" r="S28">
        <v>5655902</v>
      </c>
      <c s="6" r="T28">
        <v>122112</v>
      </c>
      <c s="6" r="U28">
        <v>23500955</v>
      </c>
      <c s="6" r="V28">
        <v>32517</v>
      </c>
      <c s="6" r="W28">
        <v>34848</v>
      </c>
      <c s="6" r="X28">
        <v>13917</v>
      </c>
      <c s="6" r="Y28">
        <v>1067813</v>
      </c>
      <c s="6" r="Z28">
        <v>22513</v>
      </c>
      <c s="6" r="AA28">
        <v>1217642</v>
      </c>
      <c s="6" r="AB28">
        <v>42194</v>
      </c>
      <c s="6" r="AC28">
        <v>3769085</v>
      </c>
      <c s="6" r="AD28">
        <v>19969</v>
      </c>
      <c s="6" r="AE28">
        <v>677731</v>
      </c>
      <c s="6" r="AF28">
        <v>1651</v>
      </c>
      <c s="6" r="AG28">
        <v>62122</v>
      </c>
      <c s="6" r="AH28">
        <v>96181</v>
      </c>
      <c s="6" r="AI28">
        <v>38359280</v>
      </c>
      <c s="6" r="AJ28">
        <v>7152</v>
      </c>
      <c s="6" r="AK28">
        <v>1151660</v>
      </c>
      <c s="6" r="AL28">
        <v>4365</v>
      </c>
      <c s="6" r="AM28">
        <v>-118588</v>
      </c>
      <c s="6" r="AN28">
        <v>1625</v>
      </c>
      <c s="6" r="AO28">
        <v>10267</v>
      </c>
      <c s="6" r="AP28">
        <v>22104</v>
      </c>
      <c s="6" r="AQ28">
        <v>503105</v>
      </c>
      <c s="6" r="AR28">
        <v>1871</v>
      </c>
      <c s="6" r="AS28">
        <v>149020</v>
      </c>
      <c s="6" r="AT28">
        <v>32285</v>
      </c>
      <c s="6" r="AU28">
        <v>1279415</v>
      </c>
      <c s="6" r="AV28">
        <v>76467</v>
      </c>
      <c s="6" r="AW28">
        <v>2736748</v>
      </c>
      <c s="6" r="AX28">
        <v>23249955</v>
      </c>
      <c s="6" r="AY28">
        <v>135272</v>
      </c>
      <c s="6" r="AZ28">
        <v>1443506</v>
      </c>
      <c s="6" r="BA28">
        <v>757</v>
      </c>
      <c s="6" r="BB28">
        <v>64739</v>
      </c>
      <c s="6" r="BC28">
        <v>757</v>
      </c>
      <c s="6" r="BD28">
        <v>131183</v>
      </c>
      <c s="6" r="BE28">
        <v>757</v>
      </c>
      <c s="6" r="BF28">
        <v>66444</v>
      </c>
      <c s="6" r="BG28">
        <v>134985</v>
      </c>
      <c s="6" r="BH28">
        <v>12856408</v>
      </c>
      <c s="6" r="BI28">
        <v>133808</v>
      </c>
      <c s="6" r="BJ28">
        <v>10582143</v>
      </c>
      <c s="6" r="BK28">
        <v>110786</v>
      </c>
      <c s="6" r="BL28">
        <v>10390575</v>
      </c>
      <c s="6" r="BM28">
        <v>23023</v>
      </c>
      <c s="6" r="BN28">
        <v>191568</v>
      </c>
      <c s="6" r="BO28">
        <v>126668</v>
      </c>
      <c s="6" r="BP28">
        <v>2184175</v>
      </c>
      <c s="6" r="BQ28">
        <v>46642</v>
      </c>
      <c s="6" r="BR28">
        <v>43660</v>
      </c>
      <c s="6" r="BS28">
        <v>13500</v>
      </c>
      <c s="6" r="BT28">
        <v>46429</v>
      </c>
      <c s="6" r="BU28">
        <v>111720</v>
      </c>
      <c s="6" r="BV28">
        <v>4536828</v>
      </c>
      <c s="6" r="BW28">
        <v>97190</v>
      </c>
      <c s="6" r="BX28">
        <v>3120684</v>
      </c>
      <c s="6" r="BY28">
        <v>95098</v>
      </c>
      <c s="6" r="BZ28">
        <v>3016587</v>
      </c>
      <c s="6" r="CA28">
        <v>4989</v>
      </c>
      <c s="6" r="CB28">
        <v>104097</v>
      </c>
      <c s="6" r="CC28">
        <v>10280</v>
      </c>
      <c s="6" r="CD28">
        <v>8207</v>
      </c>
      <c s="53" r="CE28">
        <v>40</v>
      </c>
      <c s="53" r="CF28">
        <v>17</v>
      </c>
      <c s="6" r="CG28">
        <v>49910</v>
      </c>
      <c s="6" r="CH28">
        <v>1407920</v>
      </c>
      <c s="6" r="CI28">
        <v>129171</v>
      </c>
      <c s="6" r="CJ28">
        <v>4198700</v>
      </c>
      <c s="6" r="CK28">
        <v>128111</v>
      </c>
      <c s="6" r="CL28">
        <v>3466992</v>
      </c>
      <c s="6" r="CM28">
        <v>61125</v>
      </c>
      <c s="6" r="CN28">
        <v>1279062</v>
      </c>
      <c s="6" r="CO28">
        <v>2024</v>
      </c>
      <c s="6" r="CP28">
        <v>1200576</v>
      </c>
      <c s="6" r="CQ28">
        <v>1176</v>
      </c>
      <c s="6" r="CR28">
        <v>138427</v>
      </c>
      <c s="6" r="CS28">
        <v>17412</v>
      </c>
      <c s="6" r="CT28">
        <v>1159897</v>
      </c>
      <c s="6" r="CU28">
        <v>11739</v>
      </c>
      <c s="6" r="CV28">
        <v>154284</v>
      </c>
      <c s="6" r="CW28">
        <v>51859</v>
      </c>
      <c s="6" r="CX28">
        <v>128924</v>
      </c>
      <c s="6" r="CY28">
        <v>69235</v>
      </c>
      <c s="6" r="CZ28">
        <v>1655104</v>
      </c>
      <c s="6" r="DA28">
        <v>88407</v>
      </c>
      <c s="6" r="DB28">
        <v>1938312</v>
      </c>
      <c s="6" r="DC28">
        <v>4199</v>
      </c>
      <c s="6" r="DD28">
        <v>979541</v>
      </c>
      <c s="6" r="DE28">
        <v>13464</v>
      </c>
      <c s="6" r="DF28">
        <v>217663</v>
      </c>
      <c s="6" r="DG28">
        <v>17744</v>
      </c>
      <c s="6" r="DH28">
        <v>1738462</v>
      </c>
      <c s="6" r="DI28">
        <v>405754</v>
      </c>
      <c s="6" r="DJ28">
        <v>922848</v>
      </c>
      <c s="6" r="DK28">
        <v>134299</v>
      </c>
      <c s="6" r="DL28">
        <v>140344933</v>
      </c>
      <c s="6" r="DM28">
        <v>37645</v>
      </c>
      <c s="6" r="DN28">
        <v>1053097</v>
      </c>
      <c s="6" r="DO28">
        <v>134926</v>
      </c>
      <c s="6" r="DP28">
        <v>41654123</v>
      </c>
      <c s="6" r="DQ28">
        <v>88377</v>
      </c>
      <c s="6" r="DR28">
        <v>1222551</v>
      </c>
      <c s="6" r="DS28">
        <v>134578</v>
      </c>
      <c s="6" r="DT28">
        <v>40431572</v>
      </c>
      <c s="6" r="DU28">
        <v>134578</v>
      </c>
      <c s="47" r="DV28">
        <v>40431572</v>
      </c>
    </row>
    <row customHeight="1" r="29" ht="15.0">
      <c t="s" s="58" r="A29">
        <v>94</v>
      </c>
      <c s="6" r="B29">
        <v>57336</v>
      </c>
      <c s="6" r="C29">
        <v>98743152</v>
      </c>
      <c s="6" r="D29">
        <v>46732</v>
      </c>
      <c s="6" r="E29">
        <v>39677332</v>
      </c>
      <c s="6" r="F29">
        <v>56793</v>
      </c>
      <c s="6" r="G29">
        <v>4368973</v>
      </c>
      <c s="6" r="H29">
        <v>37452</v>
      </c>
      <c s="6" r="I29">
        <v>2496108</v>
      </c>
      <c s="6" r="J29">
        <v>52756</v>
      </c>
      <c s="6" r="K29">
        <v>5651775</v>
      </c>
      <c s="6" r="L29">
        <v>50031</v>
      </c>
      <c s="6" r="M29">
        <v>4461315</v>
      </c>
      <c s="6" r="N29">
        <v>27291</v>
      </c>
      <c s="6" r="O29">
        <v>507675</v>
      </c>
      <c s="6" r="P29">
        <v>85</v>
      </c>
      <c s="6" r="Q29">
        <v>16652</v>
      </c>
      <c s="6" r="R29">
        <v>14485</v>
      </c>
      <c s="6" r="S29">
        <v>2955559</v>
      </c>
      <c s="6" r="T29">
        <v>52714</v>
      </c>
      <c s="6" r="U29">
        <v>16998322</v>
      </c>
      <c s="6" r="V29">
        <v>15339</v>
      </c>
      <c s="6" r="W29">
        <v>-28299</v>
      </c>
      <c s="6" r="X29">
        <v>5855</v>
      </c>
      <c s="6" r="Y29">
        <v>495485</v>
      </c>
      <c s="6" r="Z29">
        <v>10006</v>
      </c>
      <c s="6" r="AA29">
        <v>529958</v>
      </c>
      <c s="6" r="AB29">
        <v>20117</v>
      </c>
      <c s="6" r="AC29">
        <v>2337497</v>
      </c>
      <c s="6" r="AD29">
        <v>9304</v>
      </c>
      <c s="6" r="AE29">
        <v>410587</v>
      </c>
      <c s="6" r="AF29">
        <v>687</v>
      </c>
      <c s="6" r="AG29">
        <v>12861</v>
      </c>
      <c s="6" r="AH29">
        <v>43175</v>
      </c>
      <c s="6" r="AI29">
        <v>24712980</v>
      </c>
      <c s="6" r="AJ29">
        <v>3271</v>
      </c>
      <c s="6" r="AK29">
        <v>689082</v>
      </c>
      <c s="6" r="AL29">
        <v>2186</v>
      </c>
      <c s="6" r="AM29">
        <v>-101832</v>
      </c>
      <c s="6" r="AN29">
        <v>391</v>
      </c>
      <c s="6" r="AO29">
        <v>3093</v>
      </c>
      <c s="6" r="AP29">
        <v>10550</v>
      </c>
      <c s="6" r="AQ29">
        <v>243860</v>
      </c>
      <c s="6" r="AR29">
        <v>963</v>
      </c>
      <c s="6" r="AS29">
        <v>73605</v>
      </c>
      <c s="6" r="AT29">
        <v>15565</v>
      </c>
      <c s="6" r="AU29">
        <v>750773</v>
      </c>
      <c s="6" r="AV29">
        <v>33683</v>
      </c>
      <c s="6" r="AW29">
        <v>1406517</v>
      </c>
      <c s="6" r="AX29">
        <v>13783108</v>
      </c>
      <c s="6" r="AY29">
        <v>57324</v>
      </c>
      <c s="6" r="AZ29">
        <v>884377</v>
      </c>
      <c s="6" r="BA29">
        <v>151</v>
      </c>
      <c s="6" r="BB29">
        <v>10595</v>
      </c>
      <c s="6" r="BC29">
        <v>151</v>
      </c>
      <c s="6" r="BD29">
        <v>29959</v>
      </c>
      <c s="6" r="BE29">
        <v>151</v>
      </c>
      <c s="6" r="BF29">
        <v>19364</v>
      </c>
      <c s="6" r="BG29">
        <v>57172</v>
      </c>
      <c s="6" r="BH29">
        <v>7734082</v>
      </c>
      <c s="6" r="BI29">
        <v>56737</v>
      </c>
      <c s="6" r="BJ29">
        <v>6544329</v>
      </c>
      <c s="6" r="BK29">
        <v>46994</v>
      </c>
      <c s="6" r="BL29">
        <v>6441565</v>
      </c>
      <c s="6" r="BM29">
        <v>9743</v>
      </c>
      <c s="6" r="BN29">
        <v>102764</v>
      </c>
      <c s="6" r="BO29">
        <v>53847</v>
      </c>
      <c s="6" r="BP29">
        <v>1140672</v>
      </c>
      <c s="6" r="BQ29">
        <v>19134</v>
      </c>
      <c s="6" r="BR29">
        <v>19974</v>
      </c>
      <c s="6" r="BS29">
        <v>5478</v>
      </c>
      <c s="6" r="BT29">
        <v>29107</v>
      </c>
      <c s="6" r="BU29">
        <v>46173</v>
      </c>
      <c s="6" r="BV29">
        <v>2237298</v>
      </c>
      <c s="6" r="BW29">
        <v>38781</v>
      </c>
      <c s="6" r="BX29">
        <v>1296298</v>
      </c>
      <c s="6" r="BY29">
        <v>37859</v>
      </c>
      <c s="6" r="BZ29">
        <v>1249819</v>
      </c>
      <c s="6" r="CA29">
        <v>1851</v>
      </c>
      <c s="6" r="CB29">
        <v>46479</v>
      </c>
      <c s="6" r="CC29">
        <v>3996</v>
      </c>
      <c s="6" r="CD29">
        <v>2942</v>
      </c>
      <c s="53" r="CE29">
        <v>8</v>
      </c>
      <c s="53" r="CF29">
        <v>1</v>
      </c>
      <c s="6" r="CG29">
        <v>23747</v>
      </c>
      <c s="6" r="CH29">
        <v>938057</v>
      </c>
      <c s="6" r="CI29">
        <v>55094</v>
      </c>
      <c s="6" r="CJ29">
        <v>2661827</v>
      </c>
      <c s="6" r="CK29">
        <v>54632</v>
      </c>
      <c s="6" r="CL29">
        <v>2304893</v>
      </c>
      <c s="6" r="CM29">
        <v>25130</v>
      </c>
      <c s="6" r="CN29">
        <v>803939</v>
      </c>
      <c s="6" r="CO29">
        <v>1034</v>
      </c>
      <c s="6" r="CP29">
        <v>795046</v>
      </c>
      <c s="6" r="CQ29">
        <v>528</v>
      </c>
      <c s="6" r="CR29">
        <v>73249</v>
      </c>
      <c s="6" r="CS29">
        <v>7114</v>
      </c>
      <c s="6" r="CT29">
        <v>723061</v>
      </c>
      <c s="6" r="CU29">
        <v>4272</v>
      </c>
      <c s="6" r="CV29">
        <v>60154</v>
      </c>
      <c s="6" r="CW29">
        <v>22098</v>
      </c>
      <c s="6" r="CX29">
        <v>66410</v>
      </c>
      <c s="6" r="CY29">
        <v>31427</v>
      </c>
      <c s="6" r="CZ29">
        <v>1063677</v>
      </c>
      <c s="6" r="DA29">
        <v>38875</v>
      </c>
      <c s="6" r="DB29">
        <v>1190241</v>
      </c>
      <c s="6" r="DC29">
        <v>1963</v>
      </c>
      <c s="6" r="DD29">
        <v>777195</v>
      </c>
      <c s="6" r="DE29">
        <v>7227</v>
      </c>
      <c s="6" r="DF29">
        <v>107427</v>
      </c>
      <c s="6" r="DG29">
        <v>9319</v>
      </c>
      <c s="6" r="DH29">
        <v>1227374</v>
      </c>
      <c s="6" r="DI29">
        <v>167933</v>
      </c>
      <c s="6" r="DJ29">
        <v>381370</v>
      </c>
      <c s="6" r="DK29">
        <v>56940</v>
      </c>
      <c s="6" r="DL29">
        <v>85371376</v>
      </c>
      <c s="6" r="DM29">
        <v>14267</v>
      </c>
      <c s="6" r="DN29">
        <v>544876</v>
      </c>
      <c s="6" r="DO29">
        <v>57157</v>
      </c>
      <c s="6" r="DP29">
        <v>25301127</v>
      </c>
      <c s="6" r="DQ29">
        <v>39365</v>
      </c>
      <c s="6" r="DR29">
        <v>775735</v>
      </c>
      <c s="6" r="DS29">
        <v>56991</v>
      </c>
      <c s="6" r="DT29">
        <v>24525392</v>
      </c>
      <c s="6" r="DU29">
        <v>56991</v>
      </c>
      <c s="47" r="DV29">
        <v>24525392</v>
      </c>
    </row>
    <row customHeight="1" r="30" ht="15.0">
      <c t="s" s="58" r="A30">
        <v>95</v>
      </c>
      <c s="6" r="B30">
        <v>83943</v>
      </c>
      <c s="6" r="C30">
        <v>250469583</v>
      </c>
      <c s="6" r="D30">
        <v>69024</v>
      </c>
      <c s="6" r="E30">
        <v>90469828</v>
      </c>
      <c s="6" r="F30">
        <v>83406</v>
      </c>
      <c s="6" r="G30">
        <v>11570238</v>
      </c>
      <c s="6" r="H30">
        <v>59765</v>
      </c>
      <c s="6" r="I30">
        <v>6424673</v>
      </c>
      <c s="6" r="J30">
        <v>78774</v>
      </c>
      <c s="6" r="K30">
        <v>16025980</v>
      </c>
      <c s="6" r="L30">
        <v>75001</v>
      </c>
      <c s="6" r="M30">
        <v>12619462</v>
      </c>
      <c s="6" r="N30">
        <v>42149</v>
      </c>
      <c s="6" r="O30">
        <v>1248597</v>
      </c>
      <c s="6" r="P30">
        <v>124</v>
      </c>
      <c s="6" r="Q30">
        <v>53481</v>
      </c>
      <c s="6" r="R30">
        <v>21357</v>
      </c>
      <c s="6" r="S30">
        <v>5060762</v>
      </c>
      <c s="6" r="T30">
        <v>78831</v>
      </c>
      <c s="6" r="U30">
        <v>55594355</v>
      </c>
      <c s="6" r="V30">
        <v>26074</v>
      </c>
      <c s="6" r="W30">
        <v>51366</v>
      </c>
      <c s="6" r="X30">
        <v>7925</v>
      </c>
      <c s="6" r="Y30">
        <v>839681</v>
      </c>
      <c s="6" r="Z30">
        <v>14381</v>
      </c>
      <c s="6" r="AA30">
        <v>1038796</v>
      </c>
      <c s="6" r="AB30">
        <v>33369</v>
      </c>
      <c s="6" r="AC30">
        <v>5332694</v>
      </c>
      <c s="6" r="AD30">
        <v>14805</v>
      </c>
      <c s="6" r="AE30">
        <v>791481</v>
      </c>
      <c s="6" r="AF30">
        <v>1019</v>
      </c>
      <c s="6" r="AG30">
        <v>26653</v>
      </c>
      <c s="6" r="AH30">
        <v>66278</v>
      </c>
      <c s="6" r="AI30">
        <v>61104707</v>
      </c>
      <c s="6" r="AJ30">
        <v>6670</v>
      </c>
      <c s="6" r="AK30">
        <v>2077505</v>
      </c>
      <c s="6" r="AL30">
        <v>3362</v>
      </c>
      <c s="6" r="AM30">
        <v>-286484</v>
      </c>
      <c s="6" r="AN30">
        <v>687</v>
      </c>
      <c s="6" r="AO30">
        <v>4537</v>
      </c>
      <c s="6" r="AP30">
        <v>14816</v>
      </c>
      <c s="6" r="AQ30">
        <v>350619</v>
      </c>
      <c s="6" r="AR30">
        <v>1284</v>
      </c>
      <c s="6" r="AS30">
        <v>102349</v>
      </c>
      <c s="6" r="AT30">
        <v>24662</v>
      </c>
      <c s="6" r="AU30">
        <v>2090440</v>
      </c>
      <c s="6" r="AV30">
        <v>50083</v>
      </c>
      <c s="6" r="AW30">
        <v>2788059</v>
      </c>
      <c s="6" r="AX30">
        <v>33506168</v>
      </c>
      <c s="6" r="AY30">
        <v>83928</v>
      </c>
      <c s="6" r="AZ30">
        <v>2271311</v>
      </c>
      <c s="6" r="BA30">
        <v>179</v>
      </c>
      <c s="6" r="BB30">
        <v>22986</v>
      </c>
      <c s="6" r="BC30">
        <v>179</v>
      </c>
      <c s="6" r="BD30">
        <v>57480</v>
      </c>
      <c s="6" r="BE30">
        <v>179</v>
      </c>
      <c s="6" r="BF30">
        <v>34494</v>
      </c>
      <c s="6" r="BG30">
        <v>83731</v>
      </c>
      <c s="6" r="BH30">
        <v>18334361</v>
      </c>
      <c s="6" r="BI30">
        <v>83198</v>
      </c>
      <c s="6" r="BJ30">
        <v>16151306</v>
      </c>
      <c s="6" r="BK30">
        <v>69243</v>
      </c>
      <c s="6" r="BL30">
        <v>15926151</v>
      </c>
      <c s="6" r="BM30">
        <v>13955</v>
      </c>
      <c s="6" r="BN30">
        <v>225155</v>
      </c>
      <c s="6" r="BO30">
        <v>78707</v>
      </c>
      <c s="6" r="BP30">
        <v>2082232</v>
      </c>
      <c s="6" r="BQ30">
        <v>27115</v>
      </c>
      <c s="6" r="BR30">
        <v>34984</v>
      </c>
      <c s="6" r="BS30">
        <v>8064</v>
      </c>
      <c s="6" r="BT30">
        <v>65839</v>
      </c>
      <c s="6" r="BU30">
        <v>67462</v>
      </c>
      <c s="6" r="BV30">
        <v>4651105</v>
      </c>
      <c s="6" r="BW30">
        <v>54070</v>
      </c>
      <c s="6" r="BX30">
        <v>1927784</v>
      </c>
      <c s="6" r="BY30">
        <v>52661</v>
      </c>
      <c s="6" r="BZ30">
        <v>1856402</v>
      </c>
      <c s="6" r="CA30">
        <v>2708</v>
      </c>
      <c s="6" r="CB30">
        <v>71382</v>
      </c>
      <c s="6" r="CC30">
        <v>5047</v>
      </c>
      <c s="6" r="CD30">
        <v>4947</v>
      </c>
      <c s="50" r="CE30">
        <v>18</v>
      </c>
      <c s="50" r="CF30">
        <v>3486</v>
      </c>
      <c s="6" r="CG30">
        <v>40438</v>
      </c>
      <c s="6" r="CH30">
        <v>2714889</v>
      </c>
      <c s="6" r="CI30">
        <v>80873</v>
      </c>
      <c s="6" r="CJ30">
        <v>7298207</v>
      </c>
      <c s="6" r="CK30">
        <v>80219</v>
      </c>
      <c s="6" r="CL30">
        <v>5562777</v>
      </c>
      <c s="6" r="CM30">
        <v>34987</v>
      </c>
      <c s="6" r="CN30">
        <v>2481777</v>
      </c>
      <c s="6" r="CO30">
        <v>1989</v>
      </c>
      <c s="6" r="CP30">
        <v>2450855</v>
      </c>
      <c s="6" r="CQ30">
        <v>741</v>
      </c>
      <c s="6" r="CR30">
        <v>149947</v>
      </c>
      <c s="6" r="CS30">
        <v>11117</v>
      </c>
      <c s="6" r="CT30">
        <v>1867520</v>
      </c>
      <c s="6" r="CU30">
        <v>5736</v>
      </c>
      <c s="6" r="CV30">
        <v>177751</v>
      </c>
      <c s="6" r="CW30">
        <v>32309</v>
      </c>
      <c s="6" r="CX30">
        <v>145247</v>
      </c>
      <c s="6" r="CY30">
        <v>52147</v>
      </c>
      <c s="6" r="CZ30">
        <v>2828234</v>
      </c>
      <c s="6" r="DA30">
        <v>60589</v>
      </c>
      <c s="6" r="DB30">
        <v>3151232</v>
      </c>
      <c s="6" r="DC30">
        <v>2744</v>
      </c>
      <c s="6" r="DD30">
        <v>1716457</v>
      </c>
      <c s="6" r="DE30">
        <v>14109</v>
      </c>
      <c s="6" r="DF30">
        <v>438553</v>
      </c>
      <c s="6" r="DG30">
        <v>16978</v>
      </c>
      <c s="6" r="DH30">
        <v>3453353</v>
      </c>
      <c s="6" r="DI30">
        <v>243406</v>
      </c>
      <c s="6" r="DJ30">
        <v>549710</v>
      </c>
      <c s="6" r="DK30">
        <v>83286</v>
      </c>
      <c s="6" r="DL30">
        <v>218419769</v>
      </c>
      <c s="6" r="DM30">
        <v>21489</v>
      </c>
      <c s="6" r="DN30">
        <v>1310905</v>
      </c>
      <c s="6" r="DO30">
        <v>83671</v>
      </c>
      <c s="6" r="DP30">
        <v>64052474</v>
      </c>
      <c s="6" r="DQ30">
        <v>60008</v>
      </c>
      <c s="6" r="DR30">
        <v>2234160</v>
      </c>
      <c s="6" r="DS30">
        <v>83437</v>
      </c>
      <c s="6" r="DT30">
        <v>61818315</v>
      </c>
      <c s="6" r="DU30">
        <v>83437</v>
      </c>
      <c s="47" r="DV30">
        <v>61818456</v>
      </c>
    </row>
    <row customHeight="1" r="31" ht="15.0">
      <c t="s" s="58" r="A31">
        <v>96</v>
      </c>
      <c s="6" r="B31">
        <v>20953</v>
      </c>
      <c s="6" r="C31">
        <v>143400921</v>
      </c>
      <c s="6" r="D31">
        <v>17359</v>
      </c>
      <c s="6" r="E31">
        <v>44419810</v>
      </c>
      <c s="6" r="F31">
        <v>20858</v>
      </c>
      <c s="6" r="G31">
        <v>6883078</v>
      </c>
      <c s="6" r="H31">
        <v>16618</v>
      </c>
      <c s="6" r="I31">
        <v>3293718</v>
      </c>
      <c s="6" r="J31">
        <v>20151</v>
      </c>
      <c s="6" r="K31">
        <v>10031589</v>
      </c>
      <c s="6" r="L31">
        <v>19272</v>
      </c>
      <c s="6" r="M31">
        <v>7972019</v>
      </c>
      <c s="6" r="N31">
        <v>11154</v>
      </c>
      <c s="6" r="O31">
        <v>741635</v>
      </c>
      <c s="6" r="P31">
        <v>21</v>
      </c>
      <c s="6" r="Q31">
        <v>7693</v>
      </c>
      <c s="6" r="R31">
        <v>5549</v>
      </c>
      <c s="6" r="S31">
        <v>2200774</v>
      </c>
      <c s="6" r="T31">
        <v>20181</v>
      </c>
      <c s="6" r="U31">
        <v>42852390</v>
      </c>
      <c s="6" r="V31">
        <v>8121</v>
      </c>
      <c s="6" r="W31">
        <v>125024</v>
      </c>
      <c s="6" r="X31">
        <v>1926</v>
      </c>
      <c s="6" r="Y31">
        <v>266215</v>
      </c>
      <c s="6" r="Z31">
        <v>3673</v>
      </c>
      <c s="6" r="AA31">
        <v>367501</v>
      </c>
      <c s="6" r="AB31">
        <v>9615</v>
      </c>
      <c s="6" r="AC31">
        <v>2220867</v>
      </c>
      <c s="6" r="AD31">
        <v>4088</v>
      </c>
      <c s="6" r="AE31">
        <v>289535</v>
      </c>
      <c s="6" r="AF31">
        <v>267</v>
      </c>
      <c s="6" r="AG31">
        <v>13603</v>
      </c>
      <c s="6" r="AH31">
        <v>17700</v>
      </c>
      <c s="6" r="AI31">
        <v>31953358</v>
      </c>
      <c s="6" r="AJ31">
        <v>2084</v>
      </c>
      <c s="6" r="AK31">
        <v>1181710</v>
      </c>
      <c s="6" r="AL31">
        <v>996</v>
      </c>
      <c s="6" r="AM31">
        <v>-172860</v>
      </c>
      <c s="6" r="AN31">
        <v>79</v>
      </c>
      <c s="6" r="AO31">
        <v>494</v>
      </c>
      <c s="6" r="AP31">
        <v>3885</v>
      </c>
      <c s="6" r="AQ31">
        <v>96142</v>
      </c>
      <c s="6" r="AR31">
        <v>382</v>
      </c>
      <c s="6" r="AS31">
        <v>31026</v>
      </c>
      <c s="6" r="AT31">
        <v>7660</v>
      </c>
      <c s="6" r="AU31">
        <v>923601</v>
      </c>
      <c s="6" r="AV31">
        <v>13184</v>
      </c>
      <c s="6" r="AW31">
        <v>1149968</v>
      </c>
      <c s="6" r="AX31">
        <v>18714652</v>
      </c>
      <c s="6" r="AY31">
        <v>20943</v>
      </c>
      <c s="6" r="AZ31">
        <v>1272213</v>
      </c>
      <c s="50" r="BA31">
        <v>15</v>
      </c>
      <c s="50" r="BB31">
        <v>5793</v>
      </c>
      <c s="50" r="BC31">
        <v>15</v>
      </c>
      <c s="50" r="BD31">
        <v>13213</v>
      </c>
      <c s="50" r="BE31">
        <v>15</v>
      </c>
      <c s="50" r="BF31">
        <v>7420</v>
      </c>
      <c s="6" r="BG31">
        <v>20884</v>
      </c>
      <c s="6" r="BH31">
        <v>9729440</v>
      </c>
      <c s="6" r="BI31">
        <v>20705</v>
      </c>
      <c s="6" r="BJ31">
        <v>8942424</v>
      </c>
      <c s="6" r="BK31">
        <v>17230</v>
      </c>
      <c s="6" r="BL31">
        <v>8822305</v>
      </c>
      <c s="6" r="BM31">
        <v>3474</v>
      </c>
      <c s="6" r="BN31">
        <v>120118</v>
      </c>
      <c s="6" r="BO31">
        <v>19692</v>
      </c>
      <c s="6" r="BP31">
        <v>747655</v>
      </c>
      <c s="6" r="BQ31">
        <v>6682</v>
      </c>
      <c s="6" r="BR31">
        <v>10407</v>
      </c>
      <c s="6" r="BS31">
        <v>2101</v>
      </c>
      <c s="6" r="BT31">
        <v>28954</v>
      </c>
      <c s="6" r="BU31">
        <v>17123</v>
      </c>
      <c s="6" r="BV31">
        <v>2162105</v>
      </c>
      <c s="6" r="BW31">
        <v>12185</v>
      </c>
      <c s="6" r="BX31">
        <v>450861</v>
      </c>
      <c s="6" r="BY31">
        <v>11753</v>
      </c>
      <c s="6" r="BZ31">
        <v>429936</v>
      </c>
      <c s="6" r="CA31">
        <v>695</v>
      </c>
      <c s="6" r="CB31">
        <v>20925</v>
      </c>
      <c s="6" r="CC31">
        <v>1040</v>
      </c>
      <c s="6" r="CD31">
        <v>1147</v>
      </c>
      <c s="50" r="CE31">
        <v>0</v>
      </c>
      <c s="50" r="CF31">
        <v>0</v>
      </c>
      <c s="6" r="CG31">
        <v>12284</v>
      </c>
      <c s="6" r="CH31">
        <v>1710097</v>
      </c>
      <c s="6" r="CI31">
        <v>20263</v>
      </c>
      <c s="6" r="CJ31">
        <v>4688144</v>
      </c>
      <c s="6" r="CK31">
        <v>20178</v>
      </c>
      <c s="6" r="CL31">
        <v>3256486</v>
      </c>
      <c s="6" r="CM31">
        <v>8527</v>
      </c>
      <c s="6" r="CN31">
        <v>1849708</v>
      </c>
      <c s="6" r="CO31">
        <v>723</v>
      </c>
      <c s="6" r="CP31">
        <v>2388399</v>
      </c>
      <c s="6" r="CQ31">
        <v>174</v>
      </c>
      <c s="6" r="CR31">
        <v>50492</v>
      </c>
      <c s="6" r="CS31">
        <v>2959</v>
      </c>
      <c s="6" r="CT31">
        <v>1114103</v>
      </c>
      <c s="6" r="CU31">
        <v>1285</v>
      </c>
      <c s="6" r="CV31">
        <v>112782</v>
      </c>
      <c s="6" r="CW31">
        <v>7757</v>
      </c>
      <c s="6" r="CX31">
        <v>55495</v>
      </c>
      <c s="6" r="CY31">
        <v>15079</v>
      </c>
      <c s="6" r="CZ31">
        <v>1723141</v>
      </c>
      <c s="6" r="DA31">
        <v>16431</v>
      </c>
      <c s="6" r="DB31">
        <v>1891419</v>
      </c>
      <c s="6" r="DC31">
        <v>619</v>
      </c>
      <c s="6" r="DD31">
        <v>732902</v>
      </c>
      <c s="6" r="DE31">
        <v>4990</v>
      </c>
      <c s="6" r="DF31">
        <v>416460</v>
      </c>
      <c s="6" r="DG31">
        <v>5606</v>
      </c>
      <c s="6" r="DH31">
        <v>2236942</v>
      </c>
      <c s="6" r="DI31">
        <v>59862</v>
      </c>
      <c s="6" r="DJ31">
        <v>133760</v>
      </c>
      <c s="6" r="DK31">
        <v>20800</v>
      </c>
      <c s="6" r="DL31">
        <v>126129523</v>
      </c>
      <c s="6" r="DM31">
        <v>5520</v>
      </c>
      <c s="6" r="DN31">
        <v>670830</v>
      </c>
      <c s="6" r="DO31">
        <v>20884</v>
      </c>
      <c s="6" r="DP31">
        <v>35531903</v>
      </c>
      <c s="6" r="DQ31">
        <v>16078</v>
      </c>
      <c s="6" r="DR31">
        <v>1356598</v>
      </c>
      <c s="6" r="DS31">
        <v>20816</v>
      </c>
      <c s="6" r="DT31">
        <v>34175305</v>
      </c>
      <c s="6" r="DU31">
        <v>20816</v>
      </c>
      <c s="47" r="DV31">
        <v>34175306</v>
      </c>
    </row>
    <row customHeight="1" r="32" ht="15.0">
      <c t="s" s="58" r="A32">
        <v>97</v>
      </c>
      <c s="6" r="B32">
        <v>13312</v>
      </c>
      <c s="6" r="C32">
        <v>395632437</v>
      </c>
      <c s="6" r="D32">
        <v>11008</v>
      </c>
      <c s="6" r="E32">
        <v>74357036</v>
      </c>
      <c s="6" r="F32">
        <v>13283</v>
      </c>
      <c s="6" r="G32">
        <v>22428473</v>
      </c>
      <c s="6" r="H32">
        <v>11483</v>
      </c>
      <c s="6" r="I32">
        <v>5635145</v>
      </c>
      <c s="6" r="J32">
        <v>13023</v>
      </c>
      <c s="6" r="K32">
        <v>32640747</v>
      </c>
      <c s="6" r="L32">
        <v>12576</v>
      </c>
      <c s="6" r="M32">
        <v>26391263</v>
      </c>
      <c s="6" r="N32">
        <v>7591</v>
      </c>
      <c s="6" r="O32">
        <v>1544950</v>
      </c>
      <c s="6" r="P32">
        <v>19</v>
      </c>
      <c s="6" r="Q32">
        <v>89305</v>
      </c>
      <c s="6" r="R32">
        <v>3687</v>
      </c>
      <c s="6" r="S32">
        <v>2768367</v>
      </c>
      <c s="6" r="T32">
        <v>13078</v>
      </c>
      <c s="6" r="U32">
        <v>179318605</v>
      </c>
      <c s="6" r="V32">
        <v>6217</v>
      </c>
      <c s="6" r="W32">
        <v>1776289</v>
      </c>
      <c s="6" r="X32">
        <v>1148</v>
      </c>
      <c s="6" r="Y32">
        <v>254250</v>
      </c>
      <c s="6" r="Z32">
        <v>2432</v>
      </c>
      <c s="6" r="AA32">
        <v>309773</v>
      </c>
      <c s="6" r="AB32">
        <v>7327</v>
      </c>
      <c s="6" r="AC32">
        <v>3279033</v>
      </c>
      <c s="6" r="AD32">
        <v>2936</v>
      </c>
      <c s="6" r="AE32">
        <v>376959</v>
      </c>
      <c s="6" r="AF32">
        <v>171</v>
      </c>
      <c s="6" r="AG32">
        <v>5842</v>
      </c>
      <c s="6" r="AH32">
        <v>11936</v>
      </c>
      <c s="6" r="AI32">
        <v>71517044</v>
      </c>
      <c s="6" r="AJ32">
        <v>1838</v>
      </c>
      <c s="6" r="AK32">
        <v>4158410</v>
      </c>
      <c s="6" r="AL32">
        <v>674</v>
      </c>
      <c s="6" r="AM32">
        <v>-202749</v>
      </c>
      <c s="6" r="AN32">
        <v>17</v>
      </c>
      <c s="6" r="AO32">
        <v>98</v>
      </c>
      <c s="6" r="AP32">
        <v>2480</v>
      </c>
      <c s="6" r="AQ32">
        <v>63703</v>
      </c>
      <c s="6" r="AR32">
        <v>255</v>
      </c>
      <c s="6" r="AS32">
        <v>21607</v>
      </c>
      <c s="6" r="AT32">
        <v>5641</v>
      </c>
      <c s="6" r="AU32">
        <v>1941079</v>
      </c>
      <c s="6" r="AV32">
        <v>8756</v>
      </c>
      <c s="6" r="AW32">
        <v>2071670</v>
      </c>
      <c s="6" r="AX32">
        <v>53358739</v>
      </c>
      <c s="6" r="AY32">
        <v>13308</v>
      </c>
      <c s="6" r="AZ32">
        <v>3384632</v>
      </c>
      <c s="50" r="BA32">
        <v>0</v>
      </c>
      <c s="50" r="BB32">
        <v>0</v>
      </c>
      <c s="50" r="BC32">
        <v>0</v>
      </c>
      <c s="50" r="BD32">
        <v>0</v>
      </c>
      <c s="50" r="BE32">
        <v>0</v>
      </c>
      <c s="50" r="BF32">
        <v>0</v>
      </c>
      <c s="6" r="BG32">
        <v>13258</v>
      </c>
      <c s="6" r="BH32">
        <v>23764362</v>
      </c>
      <c s="6" r="BI32">
        <v>13144</v>
      </c>
      <c s="6" r="BJ32">
        <v>22830779</v>
      </c>
      <c s="6" r="BK32">
        <v>11142</v>
      </c>
      <c s="6" r="BL32">
        <v>22664746</v>
      </c>
      <c s="6" r="BM32">
        <v>2002</v>
      </c>
      <c s="6" r="BN32">
        <v>166033</v>
      </c>
      <c s="6" r="BO32">
        <v>12556</v>
      </c>
      <c s="6" r="BP32">
        <v>851312</v>
      </c>
      <c s="6" r="BQ32">
        <v>4253</v>
      </c>
      <c s="6" r="BR32">
        <v>14638</v>
      </c>
      <c s="6" r="BS32">
        <v>1251</v>
      </c>
      <c s="6" r="BT32">
        <v>67633</v>
      </c>
      <c s="6" r="BU32">
        <v>11235</v>
      </c>
      <c s="6" r="BV32">
        <v>7631879</v>
      </c>
      <c s="6" r="BW32">
        <v>6890</v>
      </c>
      <c s="6" r="BX32">
        <v>269723</v>
      </c>
      <c s="6" r="BY32">
        <v>6605</v>
      </c>
      <c s="6" r="BZ32">
        <v>255217</v>
      </c>
      <c s="6" r="CA32">
        <v>414</v>
      </c>
      <c s="6" r="CB32">
        <v>14506</v>
      </c>
      <c s="6" r="CC32">
        <v>517</v>
      </c>
      <c s="6" r="CD32">
        <v>583</v>
      </c>
      <c s="6" r="CE32">
        <v>0</v>
      </c>
      <c s="6" r="CF32">
        <v>0</v>
      </c>
      <c s="6" r="CG32">
        <v>9303</v>
      </c>
      <c s="6" r="CH32">
        <v>7361573</v>
      </c>
      <c s="6" r="CI32">
        <v>13031</v>
      </c>
      <c s="6" r="CJ32">
        <v>20286500</v>
      </c>
      <c s="6" r="CK32">
        <v>12986</v>
      </c>
      <c s="6" r="CL32">
        <v>13682526</v>
      </c>
      <c s="6" r="CM32">
        <v>5909</v>
      </c>
      <c s="6" r="CN32">
        <v>9599291</v>
      </c>
      <c s="6" r="CO32">
        <v>584</v>
      </c>
      <c s="6" r="CP32">
        <v>7068647</v>
      </c>
      <c s="6" r="CQ32">
        <v>90</v>
      </c>
      <c s="6" r="CR32">
        <v>32415</v>
      </c>
      <c s="6" r="CS32">
        <v>1890</v>
      </c>
      <c s="6" r="CT32">
        <v>2246668</v>
      </c>
      <c s="6" r="CU32">
        <v>648</v>
      </c>
      <c s="6" r="CV32">
        <v>103309</v>
      </c>
      <c s="6" r="CW32">
        <v>5026</v>
      </c>
      <c s="6" r="CX32">
        <v>75601</v>
      </c>
      <c s="6" r="CY32">
        <v>10793</v>
      </c>
      <c s="6" r="CZ32">
        <v>4254998</v>
      </c>
      <c s="6" r="DA32">
        <v>11339</v>
      </c>
      <c s="6" r="DB32">
        <v>4433908</v>
      </c>
      <c s="6" r="DC32">
        <v>366</v>
      </c>
      <c s="6" r="DD32">
        <v>1215307</v>
      </c>
      <c s="6" r="DE32">
        <v>4490</v>
      </c>
      <c s="6" r="DF32">
        <v>329349</v>
      </c>
      <c s="6" r="DG32">
        <v>4863</v>
      </c>
      <c s="6" r="DH32">
        <v>2781393</v>
      </c>
      <c s="6" r="DI32">
        <v>38295</v>
      </c>
      <c s="6" r="DJ32">
        <v>85131</v>
      </c>
      <c s="6" r="DK32">
        <v>13234</v>
      </c>
      <c s="6" r="DL32">
        <v>343905095</v>
      </c>
      <c s="6" r="DM32">
        <v>3902</v>
      </c>
      <c s="6" r="DN32">
        <v>1717608</v>
      </c>
      <c s="6" r="DO32">
        <v>13270</v>
      </c>
      <c s="6" r="DP32">
        <v>86943062</v>
      </c>
      <c s="6" r="DQ32">
        <v>10975</v>
      </c>
      <c s="6" r="DR32">
        <v>4123433</v>
      </c>
      <c s="6" r="DS32">
        <v>13212</v>
      </c>
      <c s="6" r="DT32">
        <v>82819629</v>
      </c>
      <c s="6" r="DU32">
        <v>13212</v>
      </c>
      <c s="47" r="DV32">
        <v>82819629</v>
      </c>
    </row>
    <row customHeight="1" r="33" ht="15.0">
      <c t="s" s="37" r="A33">
        <v>98</v>
      </c>
      <c s="10" r="B33">
        <v>40644136</v>
      </c>
      <c s="10" r="C33">
        <v>5472511665</v>
      </c>
      <c s="10" r="D33">
        <v>36018335</v>
      </c>
      <c s="10" r="E33">
        <v>3645886660</v>
      </c>
      <c s="10" r="F33">
        <v>28455950</v>
      </c>
      <c s="10" r="G33">
        <v>139260725</v>
      </c>
      <c s="10" r="H33">
        <v>3974133</v>
      </c>
      <c s="10" r="I33">
        <v>60249191</v>
      </c>
      <c s="10" r="J33">
        <v>15826763</v>
      </c>
      <c s="10" r="K33">
        <v>165569219</v>
      </c>
      <c s="10" r="L33">
        <v>13721256</v>
      </c>
      <c s="10" r="M33">
        <v>124185594</v>
      </c>
      <c s="10" r="N33">
        <v>18523182</v>
      </c>
      <c s="10" r="O33">
        <v>23742309</v>
      </c>
      <c s="10" r="P33">
        <v>185703</v>
      </c>
      <c s="10" r="Q33">
        <v>5719918</v>
      </c>
      <c s="10" r="R33">
        <v>7754960</v>
      </c>
      <c s="10" r="S33">
        <v>172312525</v>
      </c>
      <c s="10" r="T33">
        <v>12410350</v>
      </c>
      <c s="10" r="U33">
        <v>409731879</v>
      </c>
      <c s="10" r="V33">
        <v>888484</v>
      </c>
      <c s="10" r="W33">
        <v>1654223</v>
      </c>
      <c s="10" r="X33">
        <v>4533446</v>
      </c>
      <c s="10" r="Y33">
        <v>96793864</v>
      </c>
      <c s="10" r="Z33">
        <v>9595060</v>
      </c>
      <c s="10" r="AA33">
        <v>261027370</v>
      </c>
      <c s="10" r="AB33">
        <v>3016181</v>
      </c>
      <c s="10" r="AC33">
        <v>66634812</v>
      </c>
      <c s="10" r="AD33">
        <v>2891544</v>
      </c>
      <c s="10" r="AE33">
        <v>33450248</v>
      </c>
      <c s="10" r="AF33">
        <v>225436</v>
      </c>
      <c s="10" r="AG33">
        <v>2445300</v>
      </c>
      <c s="10" r="AH33">
        <v>4737671</v>
      </c>
      <c s="10" r="AI33">
        <v>440490116</v>
      </c>
      <c s="10" r="AJ33">
        <v>359635</v>
      </c>
      <c s="10" r="AK33">
        <v>17340264</v>
      </c>
      <c s="10" r="AL33">
        <v>631090</v>
      </c>
      <c s="10" r="AM33">
        <v>-6136940</v>
      </c>
      <c s="10" r="AN33">
        <v>2495752</v>
      </c>
      <c s="10" r="AO33">
        <v>12666921</v>
      </c>
      <c s="10" r="AP33">
        <v>6454563</v>
      </c>
      <c s="10" r="AQ33">
        <v>91446451</v>
      </c>
      <c s="10" r="AR33">
        <v>62384</v>
      </c>
      <c s="10" r="AS33">
        <v>4413618</v>
      </c>
      <c s="10" r="AT33">
        <v>3203120</v>
      </c>
      <c s="10" r="AU33">
        <v>24088302</v>
      </c>
      <c s="10" r="AV33">
        <v>14088105</v>
      </c>
      <c s="10" r="AW33">
        <v>77772644</v>
      </c>
      <c s="10" r="AX33">
        <v>1125710942</v>
      </c>
      <c s="10" r="AY33">
        <v>6751225</v>
      </c>
      <c s="10" r="AZ33">
        <v>16992693</v>
      </c>
      <c s="10" r="BA33">
        <v>6813375</v>
      </c>
      <c s="10" r="BB33">
        <v>42186330</v>
      </c>
      <c s="10" r="BC33">
        <v>6813375</v>
      </c>
      <c s="10" r="BD33">
        <v>76758351</v>
      </c>
      <c s="10" r="BE33">
        <v>6813375</v>
      </c>
      <c s="10" r="BF33">
        <v>34572021</v>
      </c>
      <c s="10" r="BG33">
        <v>40482554</v>
      </c>
      <c s="10" r="BH33">
        <v>429282969</v>
      </c>
      <c s="10" r="BI33">
        <v>39572038</v>
      </c>
      <c s="10" r="BJ33">
        <v>274357292</v>
      </c>
      <c s="10" r="BK33">
        <v>31460218</v>
      </c>
      <c s="10" r="BL33">
        <v>259369110</v>
      </c>
      <c s="10" r="BM33">
        <v>8111820</v>
      </c>
      <c s="10" r="BN33">
        <v>14988183</v>
      </c>
      <c s="10" r="BO33">
        <v>35620919</v>
      </c>
      <c s="10" r="BP33">
        <v>145762933</v>
      </c>
      <c s="10" r="BQ33">
        <v>18097531</v>
      </c>
      <c s="10" r="BR33">
        <v>7350179</v>
      </c>
      <c s="10" r="BS33">
        <v>2470814</v>
      </c>
      <c s="10" r="BT33">
        <v>1812565</v>
      </c>
      <c s="10" r="BU33">
        <v>33366035</v>
      </c>
      <c s="10" r="BV33">
        <v>417467964</v>
      </c>
      <c s="10" r="BW33">
        <v>32949823</v>
      </c>
      <c s="10" r="BX33">
        <v>394386592</v>
      </c>
      <c s="10" r="BY33">
        <v>32614096</v>
      </c>
      <c s="10" r="BZ33">
        <v>388870386</v>
      </c>
      <c s="10" r="CA33">
        <v>925623</v>
      </c>
      <c s="10" r="CB33">
        <v>5516207</v>
      </c>
      <c s="10" r="CC33">
        <v>2148015</v>
      </c>
      <c s="10" r="CD33">
        <v>1176060</v>
      </c>
      <c s="10" r="CE33">
        <v>1987299</v>
      </c>
      <c s="10" r="CF33">
        <v>2364244</v>
      </c>
      <c s="10" r="CG33">
        <v>1484566</v>
      </c>
      <c s="10" r="CH33">
        <v>19541067</v>
      </c>
      <c s="10" r="CI33">
        <v>34132440</v>
      </c>
      <c s="10" r="CJ33">
        <v>158271141</v>
      </c>
      <c s="10" r="CK33">
        <v>31573843</v>
      </c>
      <c s="10" r="CL33">
        <v>126566793</v>
      </c>
      <c s="10" r="CM33">
        <v>20506035</v>
      </c>
      <c s="10" r="CN33">
        <v>37344771</v>
      </c>
      <c s="10" r="CO33">
        <v>234784</v>
      </c>
      <c s="10" r="CP33">
        <v>20519068</v>
      </c>
      <c s="10" r="CQ33">
        <v>271102</v>
      </c>
      <c s="10" r="CR33">
        <v>2361982</v>
      </c>
      <c s="10" r="CS33">
        <v>10131634</v>
      </c>
      <c s="10" r="CT33">
        <v>74185825</v>
      </c>
      <c s="10" r="CU33">
        <v>13872677</v>
      </c>
      <c s="10" r="CV33">
        <v>70660617</v>
      </c>
      <c s="10" r="CW33">
        <v>19762211</v>
      </c>
      <c s="10" r="CX33">
        <v>5747879</v>
      </c>
      <c s="10" r="CY33">
        <v>8155712</v>
      </c>
      <c s="10" r="CZ33">
        <v>30752041</v>
      </c>
      <c s="10" r="DA33">
        <v>25507120</v>
      </c>
      <c s="10" r="DB33">
        <v>107160537</v>
      </c>
      <c s="10" r="DC33">
        <v>890267</v>
      </c>
      <c s="10" r="DD33">
        <v>15389012</v>
      </c>
      <c s="10" r="DE33">
        <v>485953</v>
      </c>
      <c s="10" r="DF33">
        <v>2528010</v>
      </c>
      <c s="10" r="DG33">
        <v>1371823</v>
      </c>
      <c s="10" r="DH33">
        <v>18947425</v>
      </c>
      <c s="10" r="DI33">
        <v>95308881</v>
      </c>
      <c s="10" r="DJ33">
        <v>325603291</v>
      </c>
      <c s="10" r="DK33">
        <v>40616788</v>
      </c>
      <c s="10" r="DL33">
        <v>4025805318</v>
      </c>
      <c s="10" r="DM33">
        <v>3787704</v>
      </c>
      <c s="10" r="DN33">
        <v>25206229</v>
      </c>
      <c s="10" r="DO33">
        <v>40643941</v>
      </c>
      <c s="10" r="DP33">
        <v>869800142</v>
      </c>
      <c s="10" r="DQ33">
        <v>19086523</v>
      </c>
      <c s="10" r="DR33">
        <v>36065956</v>
      </c>
      <c s="10" r="DS33">
        <v>40643940</v>
      </c>
      <c s="10" r="DT33">
        <v>833734186</v>
      </c>
      <c s="10" r="DU33">
        <v>40644136</v>
      </c>
      <c s="15" r="DV33">
        <v>833734401</v>
      </c>
    </row>
    <row customHeight="1" r="34" ht="15.0">
      <c t="s" s="65" r="A34">
        <v>99</v>
      </c>
      <c s="17" r="B34">
        <v>7523088</v>
      </c>
      <c s="17" r="C34">
        <v>259255499</v>
      </c>
      <c s="17" r="D34">
        <v>5183618</v>
      </c>
      <c s="17" r="E34">
        <v>186356269</v>
      </c>
      <c s="17" r="F34">
        <v>4183535</v>
      </c>
      <c s="17" r="G34">
        <v>13795333</v>
      </c>
      <c s="17" r="H34">
        <v>477964</v>
      </c>
      <c s="17" r="I34">
        <v>7559691</v>
      </c>
      <c s="17" r="J34">
        <v>2125051</v>
      </c>
      <c s="17" r="K34">
        <v>16600366</v>
      </c>
      <c s="17" r="L34">
        <v>1836052</v>
      </c>
      <c s="17" r="M34">
        <v>11389218</v>
      </c>
      <c s="17" r="N34">
        <v>1858897</v>
      </c>
      <c s="17" r="O34">
        <v>2050297</v>
      </c>
      <c s="17" r="P34">
        <v>48900</v>
      </c>
      <c s="17" r="Q34">
        <v>674595</v>
      </c>
      <c s="17" r="R34">
        <v>2303450</v>
      </c>
      <c s="17" r="S34">
        <v>19048144</v>
      </c>
      <c s="17" r="T34">
        <v>1874182</v>
      </c>
      <c s="17" r="U34">
        <v>10330279</v>
      </c>
      <c s="17" r="V34">
        <v>182325</v>
      </c>
      <c s="17" r="W34">
        <v>-1005018</v>
      </c>
      <c s="17" r="X34">
        <v>806094</v>
      </c>
      <c s="17" r="Y34">
        <v>8107033</v>
      </c>
      <c s="17" r="Z34">
        <v>1558545</v>
      </c>
      <c s="17" r="AA34">
        <v>16882080</v>
      </c>
      <c s="17" r="AB34">
        <v>577320</v>
      </c>
      <c s="17" r="AC34">
        <v>5837798</v>
      </c>
      <c s="17" r="AD34">
        <v>791501</v>
      </c>
      <c s="17" r="AE34">
        <v>12056474</v>
      </c>
      <c s="17" r="AF34">
        <v>38629</v>
      </c>
      <c s="17" r="AG34">
        <v>150946</v>
      </c>
      <c s="17" r="AH34">
        <v>868202</v>
      </c>
      <c s="17" r="AI34">
        <v>-7006877</v>
      </c>
      <c s="17" r="AJ34">
        <v>46791</v>
      </c>
      <c s="17" r="AK34">
        <v>224755</v>
      </c>
      <c s="17" r="AL34">
        <v>133388</v>
      </c>
      <c s="17" r="AM34">
        <v>-1836983</v>
      </c>
      <c s="17" r="AN34">
        <v>571223</v>
      </c>
      <c s="17" r="AO34">
        <v>3092822</v>
      </c>
      <c s="17" r="AP34">
        <v>849539</v>
      </c>
      <c s="17" r="AQ34">
        <v>5413235</v>
      </c>
      <c s="17" r="AR34">
        <v>16571</v>
      </c>
      <c s="17" r="AS34">
        <v>1243327</v>
      </c>
      <c s="17" r="AT34">
        <v>507648</v>
      </c>
      <c s="17" r="AU34">
        <v>1698162</v>
      </c>
      <c s="17" r="AV34">
        <v>2770126</v>
      </c>
      <c s="17" r="AW34">
        <v>8734996</v>
      </c>
      <c s="17" r="AX34">
        <v>196565438</v>
      </c>
      <c s="17" r="AY34">
        <v>32050</v>
      </c>
      <c s="17" r="AZ34">
        <v>84573</v>
      </c>
      <c s="17" r="BA34">
        <v>3341930</v>
      </c>
      <c s="17" r="BB34">
        <v>34200238</v>
      </c>
      <c s="17" r="BC34">
        <v>3341930</v>
      </c>
      <c s="17" r="BD34">
        <v>41000704</v>
      </c>
      <c s="17" r="BE34">
        <v>3338958</v>
      </c>
      <c s="17" r="BF34">
        <v>6800466</v>
      </c>
      <c s="17" r="BG34">
        <v>7353911</v>
      </c>
      <c s="17" r="BH34">
        <v>37928545</v>
      </c>
      <c s="17" r="BI34">
        <v>6875788</v>
      </c>
      <c s="17" r="BJ34">
        <v>14286620</v>
      </c>
      <c s="17" r="BK34">
        <v>3942756</v>
      </c>
      <c s="17" r="BL34">
        <v>11589033</v>
      </c>
      <c s="17" r="BM34">
        <v>2933033</v>
      </c>
      <c s="17" r="BN34">
        <v>2697587</v>
      </c>
      <c s="17" r="BO34">
        <v>6022578</v>
      </c>
      <c s="17" r="BP34">
        <v>22141780</v>
      </c>
      <c s="17" r="BQ34">
        <v>2854157</v>
      </c>
      <c s="17" r="BR34">
        <v>1197988</v>
      </c>
      <c s="17" r="BS34">
        <v>358507</v>
      </c>
      <c s="17" r="BT34">
        <v>302157</v>
      </c>
      <c s="17" r="BU34">
        <v>5833725</v>
      </c>
      <c s="17" r="BV34">
        <v>80149845</v>
      </c>
      <c s="17" r="BW34">
        <v>5734177</v>
      </c>
      <c s="17" r="BX34">
        <v>76021237</v>
      </c>
      <c s="17" r="BY34">
        <v>5658064</v>
      </c>
      <c s="17" r="BZ34">
        <v>74802960</v>
      </c>
      <c s="17" r="CA34">
        <v>144662</v>
      </c>
      <c s="17" r="CB34">
        <v>1218277</v>
      </c>
      <c s="17" r="CC34">
        <v>346458</v>
      </c>
      <c s="17" r="CD34">
        <v>308299</v>
      </c>
      <c s="17" r="CE34">
        <v>677383</v>
      </c>
      <c s="17" r="CF34">
        <v>1041194</v>
      </c>
      <c s="17" r="CG34">
        <v>246970</v>
      </c>
      <c s="17" r="CH34">
        <v>2779115</v>
      </c>
      <c s="17" r="CI34">
        <v>5117929</v>
      </c>
      <c s="17" r="CJ34">
        <v>14664861</v>
      </c>
      <c s="17" r="CK34">
        <v>4644127</v>
      </c>
      <c s="17" r="CL34">
        <v>12592861</v>
      </c>
      <c s="17" r="CM34">
        <v>2521430</v>
      </c>
      <c s="17" r="CN34">
        <v>3076640</v>
      </c>
      <c s="17" r="CO34">
        <v>204449</v>
      </c>
      <c s="17" r="CP34">
        <v>5847438</v>
      </c>
      <c s="17" r="CQ34">
        <v>65645</v>
      </c>
      <c s="17" r="CR34">
        <v>1986293</v>
      </c>
      <c s="17" r="CS34">
        <v>2305002</v>
      </c>
      <c s="17" r="CT34">
        <v>15738601</v>
      </c>
      <c s="17" r="CU34">
        <v>1918230</v>
      </c>
      <c s="17" r="CV34">
        <v>11564990</v>
      </c>
      <c s="17" r="CW34">
        <v>3060246</v>
      </c>
      <c s="17" r="CX34">
        <v>944411</v>
      </c>
      <c s="17" r="CY34">
        <v>1459518</v>
      </c>
      <c s="17" r="CZ34">
        <v>5414881</v>
      </c>
      <c s="17" r="DA34">
        <v>4085573</v>
      </c>
      <c s="17" r="DB34">
        <v>17924281</v>
      </c>
      <c s="17" r="DC34">
        <v>143530</v>
      </c>
      <c s="17" r="DD34">
        <v>3072583</v>
      </c>
      <c s="17" r="DE34">
        <v>124322</v>
      </c>
      <c s="17" r="DF34">
        <v>1913753</v>
      </c>
      <c s="17" r="DG34">
        <v>269713</v>
      </c>
      <c s="17" r="DH34">
        <v>11981626</v>
      </c>
      <c s="17" r="DI34">
        <v>20538266</v>
      </c>
      <c s="17" r="DJ34">
        <v>71760425</v>
      </c>
      <c s="17" r="DK34">
        <v>3412265</v>
      </c>
      <c s="17" r="DL34">
        <v>53042895</v>
      </c>
      <c s="17" r="DM34">
        <v>12883</v>
      </c>
      <c s="17" r="DN34">
        <v>57078</v>
      </c>
      <c s="17" r="DO34">
        <v>3117265</v>
      </c>
      <c s="17" r="DP34">
        <v>6245249</v>
      </c>
      <c s="17" r="DQ34">
        <v>3117265</v>
      </c>
      <c s="17" r="DR34">
        <v>6245249</v>
      </c>
      <c s="17" r="DS34">
        <v>0</v>
      </c>
      <c s="17" r="DT34">
        <v>0</v>
      </c>
      <c s="17" r="DU34">
        <v>0</v>
      </c>
      <c s="32" r="DV34">
        <v>0</v>
      </c>
    </row>
    <row r="35">
      <c t="s" s="68" r="A35">
        <v>100</v>
      </c>
      <c s="2" r="B35"/>
      <c s="2" r="C35"/>
      <c s="2" r="D35"/>
      <c s="2" r="E35"/>
      <c s="2" r="F35"/>
      <c s="2" r="G35"/>
      <c s="2" r="H35"/>
      <c s="2" r="I35"/>
      <c s="2" r="J35"/>
      <c s="2" r="K35"/>
      <c s="2" r="L35"/>
      <c s="2" r="M35"/>
      <c s="2" r="N35"/>
      <c s="2" r="O35"/>
      <c s="2" r="P35"/>
      <c s="2" r="Q35"/>
      <c s="2" r="R35"/>
      <c s="2" r="S35"/>
      <c s="2" r="T35"/>
      <c s="2" r="U35"/>
      <c s="2" r="V35"/>
      <c s="2" r="W35"/>
      <c s="2" r="X35"/>
      <c s="2" r="Y35"/>
      <c s="2" r="Z35"/>
      <c s="2" r="AA35"/>
      <c s="2" r="AB35"/>
      <c s="2" r="AC35"/>
      <c s="2" r="AD35"/>
      <c s="2" r="AE35"/>
      <c s="2" r="AF35"/>
      <c s="2" r="AG35"/>
      <c s="2" r="AH35"/>
      <c s="2" r="AI35"/>
      <c s="2" r="AJ35"/>
      <c s="2" r="AK35"/>
      <c s="2" r="AL35"/>
      <c s="2" r="AM35"/>
      <c s="2" r="AN35"/>
      <c s="2" r="AO35"/>
      <c s="2" r="AP35"/>
      <c s="2" r="AQ35"/>
      <c s="2" r="AR35"/>
      <c s="2" r="AS35"/>
      <c s="2" r="AT35"/>
      <c s="2" r="AU35"/>
      <c s="2" r="AV35"/>
      <c s="2" r="AW35"/>
      <c s="2" r="AX35"/>
      <c s="2" r="AY35"/>
      <c s="2" r="AZ35"/>
      <c s="2" r="BA35"/>
      <c s="2" r="BB35"/>
      <c s="2" r="BC35"/>
      <c s="2" r="BD35"/>
      <c s="2" r="BE35"/>
      <c s="2" r="BF35"/>
      <c s="2" r="BG35"/>
      <c s="2" r="BH35"/>
      <c s="2" r="BI35"/>
      <c s="2" r="BJ35"/>
      <c s="2" r="BK35"/>
      <c s="2" r="BL35"/>
      <c s="2" r="BM35"/>
      <c s="2" r="BN35"/>
      <c s="2" r="BO35"/>
      <c s="2" r="BP35"/>
      <c s="2" r="BQ35"/>
      <c s="2" r="BR35"/>
      <c s="2" r="BS35"/>
      <c s="2" r="BT35"/>
      <c s="2" r="BU35"/>
      <c s="2" r="BV35"/>
      <c s="2" r="BW35"/>
      <c s="2" r="BX35"/>
      <c s="2" r="BY35"/>
      <c s="2" r="BZ35"/>
      <c s="2" r="CA35"/>
      <c s="2" r="CB35"/>
      <c s="2" r="CC35"/>
      <c s="2" r="CD35"/>
      <c s="2" r="CE35"/>
      <c s="2" r="CF35"/>
      <c s="2" r="CG35"/>
      <c s="2" r="CH35"/>
      <c s="2" r="CI35"/>
      <c s="2" r="CJ35"/>
      <c s="2" r="CK35"/>
      <c s="2" r="CL35"/>
      <c s="2" r="CM35"/>
      <c s="2" r="CN35"/>
      <c s="2" r="CO35"/>
      <c s="2" r="CP35"/>
      <c s="2" r="CQ35"/>
      <c s="2" r="CR35"/>
      <c s="2" r="CS35"/>
      <c s="2" r="CT35"/>
      <c s="2" r="CU35"/>
      <c s="2" r="CV35"/>
      <c s="2" r="CW35"/>
      <c s="2" r="CX35"/>
      <c s="2" r="CY35"/>
      <c s="2" r="CZ35"/>
      <c s="2" r="DA35"/>
      <c s="2" r="DB35"/>
      <c s="2" r="DC35"/>
      <c s="2" r="DD35"/>
      <c s="2" r="DE35"/>
      <c s="2" r="DF35"/>
      <c s="2" r="DG35"/>
      <c s="2" r="DH35"/>
      <c s="2" r="DI35"/>
      <c s="2" r="DJ35"/>
      <c s="2" r="DK35"/>
      <c s="2" r="DL35"/>
      <c s="2" r="DM35"/>
      <c s="2" r="DN35"/>
      <c s="2" r="DO35"/>
      <c s="2" r="DP35"/>
      <c s="2" r="DQ35"/>
      <c s="2" r="DR35"/>
      <c s="2" r="DS35"/>
      <c s="2" r="DT35"/>
      <c s="2" r="DU35"/>
      <c s="2" r="DV35"/>
    </row>
    <row r="36">
      <c t="s" s="63" r="A36">
        <v>101</v>
      </c>
    </row>
    <row r="37">
      <c t="s" s="63" r="A37">
        <v>103</v>
      </c>
    </row>
    <row r="38">
      <c t="s" s="63" r="A38">
        <v>165</v>
      </c>
    </row>
    <row r="40">
      <c t="s" s="39" r="I40">
        <v>105</v>
      </c>
    </row>
    <row r="41">
      <c t="s" s="39" r="C41">
        <v>106</v>
      </c>
      <c t="s" s="39" r="D41">
        <v>107</v>
      </c>
      <c t="s" s="39" r="E41">
        <v>108</v>
      </c>
      <c t="s" s="12" r="F41">
        <v>166</v>
      </c>
      <c t="s" s="39" r="G41">
        <v>109</v>
      </c>
      <c t="s" s="39" r="H41">
        <v>110</v>
      </c>
      <c t="s" s="39" r="I41">
        <v>111</v>
      </c>
      <c t="s" s="39" r="J41">
        <v>112</v>
      </c>
      <c t="s" s="39" r="K41">
        <v>113</v>
      </c>
      <c t="s" s="67" r="L41">
        <v>114</v>
      </c>
      <c t="s" s="67" r="M41">
        <v>115</v>
      </c>
      <c t="s" s="67" r="N41">
        <v>116</v>
      </c>
      <c t="s" s="67" r="O41">
        <v>117</v>
      </c>
      <c t="s" s="39" r="P41">
        <v>118</v>
      </c>
      <c t="s" s="67" r="Q41">
        <v>119</v>
      </c>
      <c t="s" s="67" r="R41">
        <v>120</v>
      </c>
      <c t="s" s="67" r="S41">
        <v>121</v>
      </c>
      <c t="s" s="67" r="T41">
        <v>122</v>
      </c>
      <c t="s" s="67" r="U41">
        <v>123</v>
      </c>
      <c t="s" s="67" r="V41">
        <v>124</v>
      </c>
      <c t="s" s="67" r="W41">
        <v>125</v>
      </c>
      <c t="s" s="67" r="X41">
        <v>126</v>
      </c>
      <c t="s" s="67" r="Y41">
        <v>127</v>
      </c>
      <c t="s" s="67" r="Z41">
        <v>128</v>
      </c>
      <c t="s" s="67" r="AA41">
        <v>129</v>
      </c>
      <c t="s" s="67" r="AB41">
        <v>130</v>
      </c>
      <c t="s" s="67" r="AC41">
        <v>131</v>
      </c>
      <c t="s" s="67" r="AD41">
        <v>132</v>
      </c>
      <c t="s" s="67" r="AE41">
        <v>31</v>
      </c>
      <c t="s" s="67" r="AG41">
        <v>133</v>
      </c>
      <c t="s" s="67" r="AH41">
        <v>134</v>
      </c>
      <c t="s" s="67" r="AI41">
        <v>135</v>
      </c>
      <c t="s" s="67" r="AJ41">
        <v>136</v>
      </c>
      <c t="s" s="67" r="AK41">
        <v>137</v>
      </c>
      <c t="s" s="67" r="AL41">
        <v>138</v>
      </c>
      <c t="s" s="67" r="AM41">
        <v>139</v>
      </c>
    </row>
    <row r="42">
      <c t="str" s="38" r="B42">
        <f>A10</f>
        <v>All returns, total</v>
      </c>
      <c s="3" r="C42">
        <f>(C10/B10)*1000</f>
        <v>118997.251803368</v>
      </c>
      <c s="3" r="D42">
        <f>SUM(G42:H42,J42,L42:AC42)</f>
        <v>118851.147698509</v>
      </c>
      <c s="3" r="E42">
        <f>D42-C42</f>
        <v>-146.104104859856</v>
      </c>
      <c s="55" r="F42">
        <f>E42/C42</f>
        <v>-0.001227793941841</v>
      </c>
      <c s="3" r="G42">
        <f>(E10/B10)*1000</f>
        <v>79561.2179884234</v>
      </c>
      <c s="3" r="H42">
        <f>(G10/B10)*1000</f>
        <v>3177.5977203419</v>
      </c>
      <c s="3" r="I42">
        <f>(I10/B10)*1000</f>
        <v>1407.78059802202</v>
      </c>
      <c s="3" r="J42">
        <f>(K10/B10)*1000</f>
        <v>3782.02380486</v>
      </c>
      <c s="3" r="K42">
        <f>(M10/B10)*1000</f>
        <v>2814.66946931942</v>
      </c>
      <c s="49" r="L42">
        <f>(O10/B10)*1000</f>
        <v>535.480444866004</v>
      </c>
      <c s="49" r="M42">
        <f>(Q10/B10)*1000</f>
        <v>132.756522002524</v>
      </c>
      <c s="49" r="N42">
        <f>(S10/B10)*1000</f>
        <v>3972.83997460265</v>
      </c>
      <c s="49" r="O42">
        <f>(U10/B10)*1000</f>
        <v>8720.91293284647</v>
      </c>
      <c s="3" r="P42">
        <f>(W10/B10)*1000</f>
        <v>13.4781488233191</v>
      </c>
      <c s="49" r="Q42">
        <f>(Y10/B10)*1000</f>
        <v>2177.84813959484</v>
      </c>
      <c s="49" r="R42">
        <f>(AA10/B10)*1000</f>
        <v>5769.67972598296</v>
      </c>
      <c s="49" r="S42">
        <f>(AC10/B10)*1000</f>
        <v>1504.60428245988</v>
      </c>
      <c s="49" r="T42">
        <f>(-AE10/B10)*1000</f>
        <v>-944.765323091182</v>
      </c>
      <c s="49" r="U42">
        <f>(AG10/B10)*1000</f>
        <v>53.9006784759005</v>
      </c>
      <c s="49" r="V42">
        <f>(AI10/B10)*1000</f>
        <v>8999.54807442397</v>
      </c>
      <c s="49" r="W42">
        <f>(AK10/B10)*1000</f>
        <v>364.667462768198</v>
      </c>
      <c s="49" r="X42">
        <f>(AM10/B10)*1000</f>
        <v>-165.546662301873</v>
      </c>
      <c s="49" r="Y42">
        <f>(AO10/B10)*1000</f>
        <v>327.188117114412</v>
      </c>
      <c s="49" r="Z42">
        <f>(AQ10/B10)*1000</f>
        <v>2010.90451072922</v>
      </c>
      <c s="49" r="AA42">
        <f>(AS10/B10)*1000</f>
        <v>117.443868416496</v>
      </c>
      <c s="49" r="AB42">
        <f>(AU10/B10)*1000</f>
        <v>535.352930767879</v>
      </c>
      <c s="49" r="AC42">
        <f>(-AW10/B10)*1000</f>
        <v>-1795.98564359834</v>
      </c>
      <c s="49" r="AD42">
        <f>(AX10/B10)*1000</f>
        <v>27451.7877021891</v>
      </c>
      <c s="49" r="AE42">
        <f>(DJ10/B10)*1000</f>
        <v>8249.67042422188</v>
      </c>
      <c s="49" r="AG42">
        <f>(DL10/B10)*1000</f>
        <v>84680.9917192029</v>
      </c>
      <c s="49" r="AH42">
        <f>(DN10/B10)*1000</f>
        <v>524.491665213915</v>
      </c>
      <c s="49" r="AI42">
        <f>(DP10/B10)*1000</f>
        <v>18187.5835150388</v>
      </c>
      <c s="49" r="AJ42">
        <f>(DR10/B10)*1000</f>
        <v>878.423155098644</v>
      </c>
      <c s="49" r="AK42">
        <f>(DT10/B10)*1000</f>
        <v>17309.1603391792</v>
      </c>
      <c s="49" r="AL42">
        <f>(DV10/B10)*1000</f>
        <v>17309.1648027955</v>
      </c>
      <c s="48" r="AM42">
        <f>AL42/C42</f>
        <v>0.145458525642232</v>
      </c>
    </row>
    <row r="43">
      <c t="str" s="38" r="B43">
        <f>A11</f>
        <v>    Under $5,000</v>
      </c>
      <c s="3" r="C43">
        <f>(C11/B11)*1000</f>
        <v>2447.34058554668</v>
      </c>
      <c s="3" r="D43">
        <f>SUM(G43:H43,J43,L43:AC43)</f>
        <v>3673.24525225864</v>
      </c>
      <c s="3" r="E43">
        <f>D43-C43</f>
        <v>1225.90466671195</v>
      </c>
      <c s="55" r="F43">
        <f>E43/C43</f>
        <v>0.50091298038034</v>
      </c>
      <c s="3" r="G43">
        <f>(E11/B11)*1000</f>
        <v>2770.5169385438</v>
      </c>
      <c s="3" r="H43">
        <f>(G11/B11)*1000</f>
        <v>923.71590214364</v>
      </c>
      <c s="3" r="I43">
        <f>(I11/B11)*1000</f>
        <v>283.173538801929</v>
      </c>
      <c s="3" r="J43">
        <f>(K11/B11)*1000</f>
        <v>967.53243602558</v>
      </c>
      <c s="3" r="K43">
        <f>(M11/B11)*1000</f>
        <v>522.321905113102</v>
      </c>
      <c s="49" r="L43">
        <f>(O11/B11)*1000</f>
        <v>76.7086531649992</v>
      </c>
      <c s="49" r="M43">
        <f>(Q11/B11)*1000</f>
        <v>0.611359644440994</v>
      </c>
      <c s="49" r="N43">
        <f>(S11/B11)*1000</f>
        <v>418.546031499578</v>
      </c>
      <c s="49" r="O43">
        <f>(U11/B11)*1000</f>
        <v>-200.397383768887</v>
      </c>
      <c s="3" r="P43">
        <f>(W11/B11)*1000</f>
        <v>-78.8120214655164</v>
      </c>
      <c s="49" r="Q43">
        <f>(Y11/B11)*1000</f>
        <v>518.559132063387</v>
      </c>
      <c s="49" r="R43">
        <f>(AA11/B11)*1000</f>
        <v>785.184717949713</v>
      </c>
      <c s="49" r="S43">
        <f>(AC11/B11)*1000</f>
        <v>468.616871585362</v>
      </c>
      <c s="49" r="T43">
        <f>(-AE11/B11)*1000</f>
        <v>-1136.62432435055</v>
      </c>
      <c s="49" r="U43">
        <f>(AG11/B11)*1000</f>
        <v>5.15774049238712</v>
      </c>
      <c s="49" r="V43">
        <f>(AI11/B11)*1000</f>
        <v>-1397.99755456142</v>
      </c>
      <c s="49" r="W43">
        <f>(AK11/B11)*1000</f>
        <v>5.27418994847112</v>
      </c>
      <c s="49" r="X43">
        <f>(AM11/B11)*1000</f>
        <v>-107.786101757416</v>
      </c>
      <c s="49" r="Y43">
        <f>(AO11/B11)*1000</f>
        <v>68.5305049054333</v>
      </c>
      <c s="49" r="Z43">
        <f>(AQ11/B11)*1000</f>
        <v>17.3630991081912</v>
      </c>
      <c s="49" r="AA43">
        <f>(AS11/B11)*1000</f>
        <v>286.591815544062</v>
      </c>
      <c s="49" r="AB43">
        <f>(AU11/B11)*1000</f>
        <v>172.483478733418</v>
      </c>
      <c s="49" r="AC43">
        <f>(-AW11/B11)*1000</f>
        <v>-890.530233190036</v>
      </c>
      <c s="49" r="AD43">
        <f>(AX11/B11)*1000</f>
        <v>16541.4948228513</v>
      </c>
      <c s="49" r="AE43">
        <f>(DJ11/B11)*1000</f>
        <v>5023.55918058399</v>
      </c>
      <c s="49" r="AG43">
        <f>(DL11/B11)*1000</f>
        <v>41.1260662403323</v>
      </c>
      <c s="49" r="AH43">
        <f>(DN11/B11)*1000</f>
        <v>1.09899174179274</v>
      </c>
      <c s="49" r="AI43">
        <f>(DP11/B11)*1000</f>
        <v>5.67448495375986</v>
      </c>
      <c s="49" r="AJ43">
        <f>(DR11/B11)*1000</f>
        <v>2.02330929945948</v>
      </c>
      <c s="49" r="AK43">
        <f>(DT11/B11)*1000</f>
        <v>3.65117565430038</v>
      </c>
      <c s="49" r="AL43">
        <f>(DV11/B11)*1000</f>
        <v>3.65117565430038</v>
      </c>
      <c s="48" r="AM43">
        <f>AL43/C43</f>
        <v>0.001491895192628</v>
      </c>
    </row>
    <row r="44">
      <c t="str" s="38" r="B44">
        <f>A12</f>
        <v>    $5,000 under $10,000</v>
      </c>
      <c s="3" r="C44">
        <f>(C12/B12)*1000</f>
        <v>7645.66134775155</v>
      </c>
      <c s="3" r="D44">
        <f>SUM(G44:H44,J44,L44:AC44)</f>
        <v>8115.17868917315</v>
      </c>
      <c s="3" r="E44">
        <f>D44-C44</f>
        <v>469.5173414216</v>
      </c>
      <c s="55" r="F44">
        <f>E44/C44</f>
        <v>0.06140964398844</v>
      </c>
      <c s="3" r="G44">
        <f>(E12/B12)*1000</f>
        <v>4633.12013714889</v>
      </c>
      <c s="3" r="H44">
        <f>(G12/B12)*1000</f>
        <v>1403.76335223526</v>
      </c>
      <c s="3" r="I44">
        <f>(I12/B12)*1000</f>
        <v>271.259725702229</v>
      </c>
      <c s="3" r="J44">
        <f>(K12/B12)*1000</f>
        <v>1015.35012528023</v>
      </c>
      <c s="3" r="K44">
        <f>(M12/B12)*1000</f>
        <v>522.334498219702</v>
      </c>
      <c s="49" r="L44">
        <f>(O12/B12)*1000</f>
        <v>120.236054332059</v>
      </c>
      <c s="49" r="M44">
        <f>(Q12/B12)*1000</f>
        <v>32.6387973097719</v>
      </c>
      <c s="49" r="N44">
        <f>(S12/B12)*1000</f>
        <v>1225.39891863379</v>
      </c>
      <c s="49" r="O44">
        <f>(U12/B12)*1000</f>
        <v>-6.55083739944613</v>
      </c>
      <c s="3" r="P44">
        <f>(W12/B12)*1000</f>
        <v>-94.716800738494</v>
      </c>
      <c s="49" r="Q44">
        <f>(Y12/B12)*1000</f>
        <v>867.801331926678</v>
      </c>
      <c s="49" r="R44">
        <f>(AA12/B12)*1000</f>
        <v>1761.05268363445</v>
      </c>
      <c s="49" r="S44">
        <f>(AC12/B12)*1000</f>
        <v>520.384412501648</v>
      </c>
      <c s="49" r="T44">
        <f>(-AE12/B12)*1000</f>
        <v>-1389.11875247264</v>
      </c>
      <c s="49" r="U44">
        <f>(AG12/B12)*1000</f>
        <v>11.4005011209284</v>
      </c>
      <c s="49" r="V44">
        <f>(AI12/B12)*1000</f>
        <v>-1514.30007912436</v>
      </c>
      <c s="49" r="W44">
        <f>(AK12/B12)*1000</f>
        <v>19.2832651984703</v>
      </c>
      <c s="49" r="X44">
        <f>(AM12/B12)*1000</f>
        <v>-212.490109455361</v>
      </c>
      <c s="49" r="Y44">
        <f>(AO12/B12)*1000</f>
        <v>237.626928656205</v>
      </c>
      <c s="49" r="Z44">
        <f>(AQ12/B12)*1000</f>
        <v>121.045430568377</v>
      </c>
      <c s="49" r="AA44">
        <f>(AS12/B12)*1000</f>
        <v>52.3902149545035</v>
      </c>
      <c s="49" r="AB44">
        <f>(AU12/B12)*1000</f>
        <v>126.725900039562</v>
      </c>
      <c s="49" r="AC44">
        <f>(-AW12/B12)*1000</f>
        <v>-815.86278517737</v>
      </c>
      <c s="49" r="AD44">
        <f>(AX12/B12)*1000</f>
        <v>15577.1149281287</v>
      </c>
      <c s="49" r="AE44">
        <f>(DJ12/B12)*1000</f>
        <v>5072.89825926414</v>
      </c>
      <c s="49" r="AG44">
        <f>(DL12/B12)*1000</f>
        <v>159.852630884874</v>
      </c>
      <c s="49" r="AH44">
        <f>(DN12/B12)*1000</f>
        <v>0.88520374521957</v>
      </c>
      <c s="49" r="AI44">
        <f>(DP12/B12)*1000</f>
        <v>21.314123697745</v>
      </c>
      <c s="49" r="AJ44">
        <f>(DR12/B12)*1000</f>
        <v>2.41823816431492</v>
      </c>
      <c s="49" r="AK44">
        <f>(DT12/B12)*1000</f>
        <v>18.89588553343</v>
      </c>
      <c s="49" r="AL44">
        <f>(DV12/B12)*1000</f>
        <v>18.89588553343</v>
      </c>
      <c s="48" r="AM44">
        <f>AL44/C44</f>
        <v>0.002471452065947</v>
      </c>
    </row>
    <row r="45">
      <c t="str" s="38" r="B45">
        <f>A13</f>
        <v>    $10,000 under $15,000</v>
      </c>
      <c s="3" r="C45">
        <f>(C13/B13)*1000</f>
        <v>12621.8372903434</v>
      </c>
      <c s="3" r="D45">
        <f>SUM(G45:H45,J45,L45:AC45)</f>
        <v>13228.5458569362</v>
      </c>
      <c s="3" r="E45">
        <f>D45-C45</f>
        <v>606.708566592748</v>
      </c>
      <c s="55" r="F45">
        <f>E45/C45</f>
        <v>0.048068165722349</v>
      </c>
      <c s="3" r="G45">
        <f>(E13/B13)*1000</f>
        <v>6043.66926381224</v>
      </c>
      <c s="3" r="H45">
        <f>(G13/B13)*1000</f>
        <v>1363.62659589316</v>
      </c>
      <c s="3" r="I45">
        <f>(I13/B13)*1000</f>
        <v>334.871165481078</v>
      </c>
      <c s="3" r="J45">
        <f>(K13/B13)*1000</f>
        <v>1021.55217294021</v>
      </c>
      <c s="3" r="K45">
        <f>(M13/B13)*1000</f>
        <v>554.934391982153</v>
      </c>
      <c s="49" r="L45">
        <f>(O13/B13)*1000</f>
        <v>102.19254618481</v>
      </c>
      <c s="49" r="M45">
        <f>(Q13/B13)*1000</f>
        <v>64.8016251913521</v>
      </c>
      <c s="49" r="N45">
        <f>(S13/B13)*1000</f>
        <v>1817.85938195763</v>
      </c>
      <c s="49" r="O45">
        <f>(U13/B13)*1000</f>
        <v>17.6453777528672</v>
      </c>
      <c s="3" r="P45">
        <f>(W13/B13)*1000</f>
        <v>-105.603099737922</v>
      </c>
      <c s="49" r="Q45">
        <f>(Y13/B13)*1000</f>
        <v>1300.93178228284</v>
      </c>
      <c s="49" r="R45">
        <f>(AA13/B13)*1000</f>
        <v>3347.60840332039</v>
      </c>
      <c s="49" r="S45">
        <f>(AC13/B13)*1000</f>
        <v>526.321852576358</v>
      </c>
      <c s="49" r="T45">
        <f>(-AE13/B13)*1000</f>
        <v>-1279.02515103247</v>
      </c>
      <c s="49" r="U45">
        <f>(AG13/B13)*1000</f>
        <v>22.4671184533212</v>
      </c>
      <c s="49" r="V45">
        <f>(AI13/B13)*1000</f>
        <v>-654.517238858378</v>
      </c>
      <c s="49" r="W45">
        <f>(AK13/B13)*1000</f>
        <v>-17.0450139900264</v>
      </c>
      <c s="49" r="X45">
        <f>(AM13/B13)*1000</f>
        <v>-95.9983872146888</v>
      </c>
      <c s="49" r="Y45">
        <f>(AO13/B13)*1000</f>
        <v>314.355783098098</v>
      </c>
      <c s="49" r="Z45">
        <f>(AQ13/B13)*1000</f>
        <v>74.9169792176662</v>
      </c>
      <c s="49" r="AA45">
        <f>(AS13/B13)*1000</f>
        <v>94.8796281732326</v>
      </c>
      <c s="49" r="AB45">
        <f>(AU13/B13)*1000</f>
        <v>84.7000285782012</v>
      </c>
      <c s="49" r="AC45">
        <f>(-AW13/B13)*1000</f>
        <v>-816.793791662698</v>
      </c>
      <c s="49" r="AD45">
        <f>(AX13/B13)*1000</f>
        <v>15782.6915791782</v>
      </c>
      <c s="49" r="AE45">
        <f>(DJ13/B13)*1000</f>
        <v>5421.2172098371</v>
      </c>
      <c s="49" r="AG45">
        <f>(DL13/B13)*1000</f>
        <v>550.447171311917</v>
      </c>
      <c s="49" r="AH45">
        <f>(DN13/B13)*1000</f>
        <v>0.60811753837565</v>
      </c>
      <c s="49" r="AI45">
        <f>(DP13/B13)*1000</f>
        <v>57.5086454597214</v>
      </c>
      <c s="49" r="AJ45">
        <f>(DR13/B13)*1000</f>
        <v>12.6696692239357</v>
      </c>
      <c s="49" r="AK45">
        <f>(DT13/B13)*1000</f>
        <v>44.8389762357857</v>
      </c>
      <c s="49" r="AL45">
        <f>(DV13/B13)*1000</f>
        <v>44.8389762357857</v>
      </c>
      <c s="48" r="AM45">
        <f>AL45/C45</f>
        <v>0.00355249201874</v>
      </c>
    </row>
    <row r="46">
      <c t="str" s="38" r="B46">
        <f>A14</f>
        <v>    $15,000 under $20,000</v>
      </c>
      <c s="3" r="C46">
        <f>(C14/B14)*1000</f>
        <v>17587.1534300873</v>
      </c>
      <c s="3" r="D46">
        <f>SUM(G46:H46,J46,L46:AC46)</f>
        <v>17824.1637248223</v>
      </c>
      <c s="3" r="E46">
        <f>D46-C46</f>
        <v>237.010294734951</v>
      </c>
      <c s="55" r="F46">
        <f>E46/C46</f>
        <v>0.013476330645384</v>
      </c>
      <c s="3" r="G46">
        <f>(E14/B14)*1000</f>
        <v>9677.6357893433</v>
      </c>
      <c s="3" r="H46">
        <f>(G14/B14)*1000</f>
        <v>1048.20495881418</v>
      </c>
      <c s="3" r="I46">
        <f>(I14/B14)*1000</f>
        <v>266.433899681386</v>
      </c>
      <c s="3" r="J46">
        <f>(K14/B14)*1000</f>
        <v>892.800739073887</v>
      </c>
      <c s="3" r="K46">
        <f>(M14/B14)*1000</f>
        <v>504.138366467791</v>
      </c>
      <c s="49" r="L46">
        <f>(O14/B14)*1000</f>
        <v>113.857979451819</v>
      </c>
      <c s="49" r="M46">
        <f>(Q14/B14)*1000</f>
        <v>95.9841243626004</v>
      </c>
      <c s="49" r="N46">
        <f>(S14/B14)*1000</f>
        <v>1824.23253989554</v>
      </c>
      <c s="49" r="O46">
        <f>(U14/B14)*1000</f>
        <v>263.533344343745</v>
      </c>
      <c s="3" r="P46">
        <f>(W14/B14)*1000</f>
        <v>-164.607375599551</v>
      </c>
      <c s="49" r="Q46">
        <f>(Y14/B14)*1000</f>
        <v>1167.52169395184</v>
      </c>
      <c s="49" r="R46">
        <f>(AA14/B14)*1000</f>
        <v>3531.83987420605</v>
      </c>
      <c s="49" r="S46">
        <f>(AC14/B14)*1000</f>
        <v>559.269562404949</v>
      </c>
      <c s="49" r="T46">
        <f>(-AE14/B14)*1000</f>
        <v>-1111.96212418368</v>
      </c>
      <c s="49" r="U46">
        <f>(AG14/B14)*1000</f>
        <v>65.5239923752899</v>
      </c>
      <c s="49" r="V46">
        <f>(AI14/B14)*1000</f>
        <v>-288.915784113352</v>
      </c>
      <c s="49" r="W46">
        <f>(AK14/B14)*1000</f>
        <v>28.4971820227503</v>
      </c>
      <c s="49" r="X46">
        <f>(AM14/B14)*1000</f>
        <v>-136.156643751247</v>
      </c>
      <c s="49" r="Y46">
        <f>(AO14/B14)*1000</f>
        <v>472.027532910809</v>
      </c>
      <c s="49" r="Z46">
        <f>(AQ14/B14)*1000</f>
        <v>199.693600886338</v>
      </c>
      <c s="49" r="AA46">
        <f>(AS14/B14)*1000</f>
        <v>107.93300164468</v>
      </c>
      <c s="49" r="AB46">
        <f>(AU14/B14)*1000</f>
        <v>157.393835545738</v>
      </c>
      <c s="49" r="AC46">
        <f>(-AW14/B14)*1000</f>
        <v>-680.144098763393</v>
      </c>
      <c s="49" r="AD46">
        <f>(AX14/B14)*1000</f>
        <v>16034.2010914071</v>
      </c>
      <c s="49" r="AE46">
        <f>(DJ14/B14)*1000</f>
        <v>5857.70419152611</v>
      </c>
      <c s="49" r="AG46">
        <f>(DL14/B14)*1000</f>
        <v>2070.52254725875</v>
      </c>
      <c s="49" r="AH46">
        <f>(DN14/B14)*1000</f>
        <v>2.28638080885237</v>
      </c>
      <c s="49" r="AI46">
        <f>(DP14/B14)*1000</f>
        <v>202.490933614099</v>
      </c>
      <c s="49" r="AJ46">
        <f>(DR14/B14)*1000</f>
        <v>54.3535856093919</v>
      </c>
      <c s="49" r="AK46">
        <f>(DT14/B14)*1000</f>
        <v>148.137348004707</v>
      </c>
      <c s="49" r="AL46">
        <f>(DV14/B14)*1000</f>
        <v>148.137348004707</v>
      </c>
      <c s="48" r="AM46">
        <f>AL46/C46</f>
        <v>0.008423042909905</v>
      </c>
    </row>
    <row r="47">
      <c t="str" s="38" r="B47">
        <f>A15</f>
        <v>    $20,000 under $25,000</v>
      </c>
      <c s="3" r="C47">
        <f>(C15/B15)*1000</f>
        <v>22553.3726130725</v>
      </c>
      <c s="3" r="D47">
        <f>SUM(G47:H47,J47,L47:AC47)</f>
        <v>22689.7025511258</v>
      </c>
      <c s="3" r="E47">
        <f>D47-C47</f>
        <v>136.329938053223</v>
      </c>
      <c s="55" r="F47">
        <f>E47/C47</f>
        <v>0.006044769462737</v>
      </c>
      <c s="3" r="G47">
        <f>(E15/B15)*1000</f>
        <v>13734.8749859479</v>
      </c>
      <c s="3" r="H47">
        <f>(G15/B15)*1000</f>
        <v>1191.02840764228</v>
      </c>
      <c s="3" r="I47">
        <f>(I15/B15)*1000</f>
        <v>235.1119428482</v>
      </c>
      <c s="3" r="J47">
        <f>(K15/B15)*1000</f>
        <v>872.170385604189</v>
      </c>
      <c s="3" r="K47">
        <f>(M15/B15)*1000</f>
        <v>496.176727966866</v>
      </c>
      <c s="49" r="L47">
        <f>(O15/B15)*1000</f>
        <v>123.342495666811</v>
      </c>
      <c s="49" r="M47">
        <f>(Q15/B15)*1000</f>
        <v>88.2699354228156</v>
      </c>
      <c s="49" r="N47">
        <f>(S15/B15)*1000</f>
        <v>2223.00693530599</v>
      </c>
      <c s="49" r="O47">
        <f>(U15/B15)*1000</f>
        <v>58.1084447030765</v>
      </c>
      <c s="3" r="P47">
        <f>(W15/B15)*1000</f>
        <v>-45.2172545769419</v>
      </c>
      <c s="49" r="Q47">
        <f>(Y15/B15)*1000</f>
        <v>1211.23991279986</v>
      </c>
      <c s="49" r="R47">
        <f>(AA15/B15)*1000</f>
        <v>3208.018768456</v>
      </c>
      <c s="49" r="S47">
        <f>(AC15/B15)*1000</f>
        <v>556.335860138853</v>
      </c>
      <c s="49" r="T47">
        <f>(-AE15/B15)*1000</f>
        <v>-826.68862099901</v>
      </c>
      <c s="49" r="U47">
        <f>(AG15/B15)*1000</f>
        <v>13.1659866554691</v>
      </c>
      <c s="49" r="V47">
        <f>(AI15/B15)*1000</f>
        <v>-26.6853880986652</v>
      </c>
      <c s="49" r="W47">
        <f>(AK15/B15)*1000</f>
        <v>33.6096728378326</v>
      </c>
      <c s="49" r="X47">
        <f>(AM15/B15)*1000</f>
        <v>-173.441429764873</v>
      </c>
      <c s="49" r="Y47">
        <f>(AO15/B15)*1000</f>
        <v>490.196597078487</v>
      </c>
      <c s="49" r="Z47">
        <f>(AQ15/B15)*1000</f>
        <v>500.70425795018</v>
      </c>
      <c s="49" r="AA47">
        <f>(AS15/B15)*1000</f>
        <v>98.7592275425475</v>
      </c>
      <c s="49" r="AB47">
        <f>(AU15/B15)*1000</f>
        <v>172.6398174293</v>
      </c>
      <c s="49" r="AC47">
        <f>(-AW15/B15)*1000</f>
        <v>-813.736446616366</v>
      </c>
      <c s="49" r="AD47">
        <f>(AX15/B15)*1000</f>
        <v>15593.5972408665</v>
      </c>
      <c s="49" r="AE47">
        <f>(DJ15/B15)*1000</f>
        <v>6119.02363470577</v>
      </c>
      <c s="49" r="AG47">
        <f>(DL15/B15)*1000</f>
        <v>4457.93078213411</v>
      </c>
      <c s="49" r="AH47">
        <f>(DN15/B15)*1000</f>
        <v>1.04040611106335</v>
      </c>
      <c s="49" r="AI47">
        <f>(DP15/B15)*1000</f>
        <v>465.989520994381</v>
      </c>
      <c s="49" r="AJ47">
        <f>(DR15/B15)*1000</f>
        <v>106.38519860662</v>
      </c>
      <c s="49" r="AK47">
        <f>(DT15/B15)*1000</f>
        <v>359.604322387761</v>
      </c>
      <c s="49" r="AL47">
        <f>(DV15/B15)*1000</f>
        <v>359.604322387761</v>
      </c>
      <c s="48" r="AM47">
        <f>AL47/C47</f>
        <v>0.015944591904597</v>
      </c>
    </row>
    <row r="48">
      <c t="str" s="38" r="B48">
        <f>A16</f>
        <v>    $25,000 under $30,000</v>
      </c>
      <c s="3" r="C48">
        <f>(C16/B16)*1000</f>
        <v>27554.6662679803</v>
      </c>
      <c s="3" r="D48">
        <f>SUM(G48:H48,J48,L48:AC48)</f>
        <v>27849.2273494748</v>
      </c>
      <c s="3" r="E48">
        <f>D48-C48</f>
        <v>294.561081494507</v>
      </c>
      <c s="55" r="F48">
        <f>E48/C48</f>
        <v>0.010690061662507</v>
      </c>
      <c s="3" r="G48">
        <f>(E16/B16)*1000</f>
        <v>19797.705988142</v>
      </c>
      <c s="3" r="H48">
        <f>(G16/B16)*1000</f>
        <v>957.468234311454</v>
      </c>
      <c s="3" r="I48">
        <f>(I16/B16)*1000</f>
        <v>392.652143855771</v>
      </c>
      <c s="3" r="J48">
        <f>(K16/B16)*1000</f>
        <v>805.594665674893</v>
      </c>
      <c s="3" r="K48">
        <f>(M16/B16)*1000</f>
        <v>456.340441936454</v>
      </c>
      <c s="49" r="L48">
        <f>(O16/B16)*1000</f>
        <v>154.195257897172</v>
      </c>
      <c s="49" r="M48">
        <f>(Q16/B16)*1000</f>
        <v>127.12391630304</v>
      </c>
      <c s="49" r="N48">
        <f>(S16/B16)*1000</f>
        <v>1579.61670504229</v>
      </c>
      <c s="49" r="O48">
        <f>(U16/B16)*1000</f>
        <v>161.458722675515</v>
      </c>
      <c s="3" r="P48">
        <f>(W16/B16)*1000</f>
        <v>-104.01513855073</v>
      </c>
      <c s="49" r="Q48">
        <f>(Y16/B16)*1000</f>
        <v>1100.28363159647</v>
      </c>
      <c s="49" r="R48">
        <f>(AA16/B16)*1000</f>
        <v>3244.5706264916</v>
      </c>
      <c s="49" r="S48">
        <f>(AC16/B16)*1000</f>
        <v>463.855350974794</v>
      </c>
      <c s="49" r="T48">
        <f>(-AE16/B16)*1000</f>
        <v>-860.078991801187</v>
      </c>
      <c s="49" r="U48">
        <f>(AG16/B16)*1000</f>
        <v>24.4802918977493</v>
      </c>
      <c s="49" r="V48">
        <f>(AI16/B16)*1000</f>
        <v>-132.606266089807</v>
      </c>
      <c s="49" r="W48">
        <f>(AK16/B16)*1000</f>
        <v>11.7147077593722</v>
      </c>
      <c s="49" r="X48">
        <f>(AM16/B16)*1000</f>
        <v>-163.30532437854</v>
      </c>
      <c s="49" r="Y48">
        <f>(AO16/B16)*1000</f>
        <v>405.027896721278</v>
      </c>
      <c s="49" r="Z48">
        <f>(AQ16/B16)*1000</f>
        <v>731.354975661802</v>
      </c>
      <c s="49" r="AA48">
        <f>(AS16/B16)*1000</f>
        <v>202.756125633167</v>
      </c>
      <c s="49" r="AB48">
        <f>(AU16/B16)*1000</f>
        <v>79.2512768364235</v>
      </c>
      <c s="49" r="AC48">
        <f>(-AW16/B16)*1000</f>
        <v>-737.225303323945</v>
      </c>
      <c s="49" r="AD48">
        <f>(AX16/B16)*1000</f>
        <v>15975.8786494169</v>
      </c>
      <c s="49" r="AE48">
        <f>(DJ16/B16)*1000</f>
        <v>6331.50300034164</v>
      </c>
      <c s="49" r="AG48">
        <f>(DL16/B16)*1000</f>
        <v>7518.09997102522</v>
      </c>
      <c s="49" r="AH48">
        <f>(DN16/B16)*1000</f>
        <v>3.67899402526428</v>
      </c>
      <c s="49" r="AI48">
        <f>(DP16/B16)*1000</f>
        <v>839.303641493616</v>
      </c>
      <c s="49" r="AJ48">
        <f>(DR16/B16)*1000</f>
        <v>181.917759810805</v>
      </c>
      <c s="49" r="AK48">
        <f>(DT16/B16)*1000</f>
        <v>657.385881682811</v>
      </c>
      <c s="49" r="AL48">
        <f>(DV16/B16)*1000</f>
        <v>657.385881682811</v>
      </c>
      <c s="48" r="AM48">
        <f>AL48/C48</f>
        <v>0.023857515648692</v>
      </c>
    </row>
    <row r="49">
      <c t="str" s="38" r="B49">
        <f>A17</f>
        <v>    $30,000 under $35,000</v>
      </c>
      <c s="3" r="C49">
        <f>(C17/B17)*1000</f>
        <v>32553.231340111</v>
      </c>
      <c s="3" r="D49">
        <f>SUM(G49:H49,J49,L49:AC49)</f>
        <v>32454.5014665576</v>
      </c>
      <c s="3" r="E49">
        <f>D49-C49</f>
        <v>-98.7298735534896</v>
      </c>
      <c s="55" r="F49">
        <f>E49/C49</f>
        <v>-0.003032874755872</v>
      </c>
      <c s="3" r="G49">
        <f>(E17/B17)*1000</f>
        <v>25130.2565888277</v>
      </c>
      <c s="3" r="H49">
        <f>(G17/B17)*1000</f>
        <v>803.589701411869</v>
      </c>
      <c s="3" r="I49">
        <f>(I17/B17)*1000</f>
        <v>355.986289342303</v>
      </c>
      <c s="3" r="J49">
        <f>(K17/B17)*1000</f>
        <v>619.629654157312</v>
      </c>
      <c s="3" r="K49">
        <f>(M17/B17)*1000</f>
        <v>349.848751236373</v>
      </c>
      <c s="49" r="L49">
        <f>(O17/B17)*1000</f>
        <v>180.560154495912</v>
      </c>
      <c s="49" r="M49">
        <f>(Q17/B17)*1000</f>
        <v>112.600752398511</v>
      </c>
      <c s="49" r="N49">
        <f>(S17/B17)*1000</f>
        <v>1358.73194574698</v>
      </c>
      <c s="49" r="O49">
        <f>(U17/B17)*1000</f>
        <v>71.2797183525848</v>
      </c>
      <c s="3" r="P49">
        <f>(W17/B17)*1000</f>
        <v>-4.39486608716458</v>
      </c>
      <c s="49" r="Q49">
        <f>(Y17/B17)*1000</f>
        <v>1019.29863726573</v>
      </c>
      <c s="49" r="R49">
        <f>(AA17/B17)*1000</f>
        <v>2889.98201250579</v>
      </c>
      <c s="49" r="S49">
        <f>(AC17/B17)*1000</f>
        <v>476.634415929827</v>
      </c>
      <c s="49" r="T49">
        <f>(-AE17/B17)*1000</f>
        <v>-833.763082056727</v>
      </c>
      <c s="49" r="U49">
        <f>(AG17/B17)*1000</f>
        <v>18.8906074090531</v>
      </c>
      <c s="49" r="V49">
        <f>(AI17/B17)*1000</f>
        <v>-2.42040747442336</v>
      </c>
      <c s="49" r="W49">
        <f>(AK17/B17)*1000</f>
        <v>44.5302636385582</v>
      </c>
      <c s="49" r="X49">
        <f>(AM17/B17)*1000</f>
        <v>-178.60492242092</v>
      </c>
      <c s="49" r="Y49">
        <f>(AO17/B17)*1000</f>
        <v>433.022753539285</v>
      </c>
      <c s="49" r="Z49">
        <f>(AQ17/B17)*1000</f>
        <v>882.443073426148</v>
      </c>
      <c s="49" r="AA49">
        <f>(AS17/B17)*1000</f>
        <v>1.32663110469277</v>
      </c>
      <c s="49" r="AB49">
        <f>(AU17/B17)*1000</f>
        <v>114.284676663042</v>
      </c>
      <c s="49" r="AC49">
        <f>(-AW17/B17)*1000</f>
        <v>-683.376842276166</v>
      </c>
      <c s="49" r="AD49">
        <f>(AX17/B17)*1000</f>
        <v>15684.1389608697</v>
      </c>
      <c s="49" r="AE49">
        <f>(DJ17/B17)*1000</f>
        <v>6646.06934798538</v>
      </c>
      <c s="49" r="AG49">
        <f>(DL17/B17)*1000</f>
        <v>11591.5316714484</v>
      </c>
      <c s="49" r="AH49">
        <f>(DN17/B17)*1000</f>
        <v>0.108950380578633</v>
      </c>
      <c s="49" r="AI49">
        <f>(DP17/B17)*1000</f>
        <v>1363.22721708684</v>
      </c>
      <c s="49" r="AJ49">
        <f>(DR17/B17)*1000</f>
        <v>296.200302070271</v>
      </c>
      <c s="49" r="AK49">
        <f>(DT17/B17)*1000</f>
        <v>1067.02691501657</v>
      </c>
      <c s="49" r="AL49">
        <f>(DV17/B17)*1000</f>
        <v>1067.02691501657</v>
      </c>
      <c s="48" r="AM49">
        <f>AL49/C49</f>
        <v>0.032777910858324</v>
      </c>
    </row>
    <row r="50">
      <c t="str" s="38" r="B50">
        <f>A18</f>
        <v>    $35,000 under $40,000</v>
      </c>
      <c s="3" r="C50">
        <f>(C18/B18)*1000</f>
        <v>37504.5609397259</v>
      </c>
      <c s="3" r="D50">
        <f>SUM(G50:H50,J50,L50:AC50)</f>
        <v>37633.4534787127</v>
      </c>
      <c s="3" r="E50">
        <f>D50-C50</f>
        <v>128.892538986831</v>
      </c>
      <c s="55" r="F50">
        <f>E50/C50</f>
        <v>0.003436716382148</v>
      </c>
      <c s="3" r="G50">
        <f>(E18/B18)*1000</f>
        <v>29100.5348198986</v>
      </c>
      <c s="3" r="H50">
        <f>(G18/B18)*1000</f>
        <v>864.141544795822</v>
      </c>
      <c s="3" r="I50">
        <f>(I18/B18)*1000</f>
        <v>214.828677389547</v>
      </c>
      <c s="3" r="J50">
        <f>(K18/B18)*1000</f>
        <v>617.519112946753</v>
      </c>
      <c s="3" r="K50">
        <f>(M18/B18)*1000</f>
        <v>336.10930564776</v>
      </c>
      <c s="49" r="L50">
        <f>(O18/B18)*1000</f>
        <v>235.444889617364</v>
      </c>
      <c s="49" r="M50">
        <f>(Q18/B18)*1000</f>
        <v>90.3721990973952</v>
      </c>
      <c s="49" r="N50">
        <f>(S18/B18)*1000</f>
        <v>1458.27525920468</v>
      </c>
      <c s="49" r="O50">
        <f>(U18/B18)*1000</f>
        <v>77.6524132438309</v>
      </c>
      <c s="3" r="P50">
        <f>(W18/B18)*1000</f>
        <v>-21.6733392950864</v>
      </c>
      <c s="49" r="Q50">
        <f>(Y18/B18)*1000</f>
        <v>941.378853188437</v>
      </c>
      <c s="49" r="R50">
        <f>(AA18/B18)*1000</f>
        <v>3567.43144935646</v>
      </c>
      <c s="49" r="S50">
        <f>(AC18/B18)*1000</f>
        <v>364.000776583717</v>
      </c>
      <c s="49" r="T50">
        <f>(-AE18/B18)*1000</f>
        <v>-713.474869522515</v>
      </c>
      <c s="49" r="U50">
        <f>(AG18/B18)*1000</f>
        <v>18.9150767968802</v>
      </c>
      <c s="49" r="V50">
        <f>(AI18/B18)*1000</f>
        <v>80.0784925536843</v>
      </c>
      <c s="49" r="W50">
        <f>(AK18/B18)*1000</f>
        <v>18.8793261398377</v>
      </c>
      <c s="49" r="X50">
        <f>(AM18/B18)*1000</f>
        <v>-136.851529010913</v>
      </c>
      <c s="49" r="Y50">
        <f>(AO18/B18)*1000</f>
        <v>365.755538000218</v>
      </c>
      <c s="49" r="Z50">
        <f>(AQ18/B18)*1000</f>
        <v>1174.54463841934</v>
      </c>
      <c s="49" r="AA50">
        <f>(AS18/B18)*1000</f>
        <v>115.236284533521</v>
      </c>
      <c s="49" r="AB50">
        <f>(AU18/B18)*1000</f>
        <v>157.903204102984</v>
      </c>
      <c s="49" r="AC50">
        <f>(-AW18/B18)*1000</f>
        <v>-742.610661938311</v>
      </c>
      <c s="49" r="AD50">
        <f>(AX18/B18)*1000</f>
        <v>16108.3418696303</v>
      </c>
      <c s="49" r="AE50">
        <f>(DJ18/B18)*1000</f>
        <v>6595.65162772245</v>
      </c>
      <c s="49" r="AG50">
        <f>(DL18/B18)*1000</f>
        <v>15692.7807010009</v>
      </c>
      <c s="49" r="AH50">
        <f>(DN18/B18)*1000</f>
        <v>2.429555068177</v>
      </c>
      <c s="49" r="AI50">
        <f>(DP18/B18)*1000</f>
        <v>1914.9357803996</v>
      </c>
      <c s="49" r="AJ50">
        <f>(DR18/B18)*1000</f>
        <v>374.809888433123</v>
      </c>
      <c s="49" r="AK50">
        <f>(DT18/B18)*1000</f>
        <v>1540.12589196648</v>
      </c>
      <c s="49" r="AL50">
        <f>(DV18/B18)*1000</f>
        <v>1540.13036079861</v>
      </c>
      <c s="48" r="AM50">
        <f>AL50/C50</f>
        <v>0.041065148403518</v>
      </c>
    </row>
    <row r="51">
      <c t="str" s="38" r="B51">
        <f>A19</f>
        <v>    $40,000 under $45,000</v>
      </c>
      <c s="3" r="C51">
        <f>(C19/B19)*1000</f>
        <v>42499.4299441458</v>
      </c>
      <c s="3" r="D51">
        <f>SUM(G51:H51,J51,L51:AC51)</f>
        <v>42593.3353901598</v>
      </c>
      <c s="3" r="E51">
        <f>D51-C51</f>
        <v>93.9054460139669</v>
      </c>
      <c s="55" r="F51">
        <f>E51/C51</f>
        <v>0.002209569543342</v>
      </c>
      <c s="3" r="G51">
        <f>(E19/B19)*1000</f>
        <v>33651.8127382511</v>
      </c>
      <c s="3" r="H51">
        <f>(G19/B19)*1000</f>
        <v>815.353569947108</v>
      </c>
      <c s="3" r="I51">
        <f>(I19/B19)*1000</f>
        <v>337.071049576899</v>
      </c>
      <c s="3" r="J51">
        <f>(K19/B19)*1000</f>
        <v>738.802720325234</v>
      </c>
      <c s="3" r="K51">
        <f>(M19/B19)*1000</f>
        <v>433.30346506372</v>
      </c>
      <c s="49" r="L51">
        <f>(O19/B19)*1000</f>
        <v>244.797286957309</v>
      </c>
      <c s="49" r="M51">
        <f>(Q19/B19)*1000</f>
        <v>91.2153334937461</v>
      </c>
      <c s="49" r="N51">
        <f>(S19/B19)*1000</f>
        <v>1410.52632614871</v>
      </c>
      <c s="49" r="O51">
        <f>(U19/B19)*1000</f>
        <v>124.552160479703</v>
      </c>
      <c s="3" r="P51">
        <f>(W19/B19)*1000</f>
        <v>-34.8819071603641</v>
      </c>
      <c s="49" r="Q51">
        <f>(Y19/B19)*1000</f>
        <v>1083.43875799173</v>
      </c>
      <c s="49" r="R51">
        <f>(AA19/B19)*1000</f>
        <v>3698.15874665458</v>
      </c>
      <c s="49" r="S51">
        <f>(AC19/B19)*1000</f>
        <v>381.415342646132</v>
      </c>
      <c s="49" r="T51">
        <f>(-AE19/B19)*1000</f>
        <v>-735.19146446537</v>
      </c>
      <c s="49" r="U51">
        <f>(AG19/B19)*1000</f>
        <v>15.2298651204055</v>
      </c>
      <c s="49" r="V51">
        <f>(AI19/B19)*1000</f>
        <v>-76.706341766814</v>
      </c>
      <c s="49" r="W51">
        <f>(AK19/B19)*1000</f>
        <v>44.7581186828241</v>
      </c>
      <c s="49" r="X51">
        <f>(AM19/B19)*1000</f>
        <v>-175.751393647555</v>
      </c>
      <c s="49" r="Y51">
        <f>(AO19/B19)*1000</f>
        <v>405.015212150825</v>
      </c>
      <c s="49" r="Z51">
        <f>(AQ19/B19)*1000</f>
        <v>1381.13634249999</v>
      </c>
      <c s="49" r="AA51">
        <f>(AS19/B19)*1000</f>
        <v>95.4583992083678</v>
      </c>
      <c s="49" r="AB51">
        <f>(AU19/B19)*1000</f>
        <v>168.689294710265</v>
      </c>
      <c s="49" r="AC51">
        <f>(-AW19/B19)*1000</f>
        <v>-734.493718068138</v>
      </c>
      <c s="49" r="AD51">
        <f>(AX19/B19)*1000</f>
        <v>16654.9535811662</v>
      </c>
      <c s="49" r="AE51">
        <f>(DJ19/B19)*1000</f>
        <v>6766.19295689472</v>
      </c>
      <c s="49" r="AG51">
        <f>(DL19/B19)*1000</f>
        <v>19718.8077098517</v>
      </c>
      <c s="49" r="AH51">
        <f>(DN19/B19)*1000</f>
        <v>4.94179623935359</v>
      </c>
      <c s="49" r="AI51">
        <f>(DP19/B19)*1000</f>
        <v>2459.0211769476</v>
      </c>
      <c s="49" r="AJ51">
        <f>(DR19/B19)*1000</f>
        <v>453.645872544663</v>
      </c>
      <c s="49" r="AK51">
        <f>(DT19/B19)*1000</f>
        <v>2005.37579646669</v>
      </c>
      <c s="49" r="AL51">
        <f>(DV19/B19)*1000</f>
        <v>2005.37579646669</v>
      </c>
      <c s="48" r="AM51">
        <f>AL51/C51</f>
        <v>0.047185945766854</v>
      </c>
    </row>
    <row r="52">
      <c t="str" s="38" r="B52">
        <f>A20</f>
        <v>    $45,000 under $50,000</v>
      </c>
      <c s="3" r="C52">
        <f>(C20/B20)*1000</f>
        <v>47475.4918974003</v>
      </c>
      <c s="3" r="D52">
        <f>SUM(G52:H52,J52,L52:AC52)</f>
        <v>47535.1158806523</v>
      </c>
      <c s="3" r="E52">
        <f>D52-C52</f>
        <v>59.6239832520441</v>
      </c>
      <c s="55" r="F52">
        <f>E52/C52</f>
        <v>0.001255889741614</v>
      </c>
      <c s="3" r="G52">
        <f>(E20/B20)*1000</f>
        <v>37721.8061283641</v>
      </c>
      <c s="3" r="H52">
        <f>(G20/B20)*1000</f>
        <v>941.743988125787</v>
      </c>
      <c s="3" r="I52">
        <f>(I20/B20)*1000</f>
        <v>419.822754477752</v>
      </c>
      <c s="3" r="J52">
        <f>(K20/B20)*1000</f>
        <v>734.425248948637</v>
      </c>
      <c s="3" r="K52">
        <f>(M20/B20)*1000</f>
        <v>458.944705156938</v>
      </c>
      <c s="49" r="L52">
        <f>(O20/B20)*1000</f>
        <v>279.884913177201</v>
      </c>
      <c s="49" r="M52">
        <f>(Q20/B20)*1000</f>
        <v>107.167450034892</v>
      </c>
      <c s="49" r="N52">
        <f>(S20/B20)*1000</f>
        <v>1337.60785928171</v>
      </c>
      <c s="49" r="O52">
        <f>(U20/B20)*1000</f>
        <v>134.577184231222</v>
      </c>
      <c s="3" r="P52">
        <f>(W20/B20)*1000</f>
        <v>-13.5906387189437</v>
      </c>
      <c s="49" r="Q52">
        <f>(Y20/B20)*1000</f>
        <v>1189.30619297812</v>
      </c>
      <c s="49" r="R52">
        <f>(AA20/B20)*1000</f>
        <v>3946.03435989647</v>
      </c>
      <c s="49" r="S52">
        <f>(AC20/B20)*1000</f>
        <v>375.920288437042</v>
      </c>
      <c s="49" r="T52">
        <f>(-AE20/B20)*1000</f>
        <v>-772.399377489948</v>
      </c>
      <c s="49" r="U52">
        <f>(AG20/B20)*1000</f>
        <v>35.0494205044325</v>
      </c>
      <c s="49" r="V52">
        <f>(AI20/B20)*1000</f>
        <v>5.74880279428</v>
      </c>
      <c s="49" r="W52">
        <f>(AK20/B20)*1000</f>
        <v>30.446593732808</v>
      </c>
      <c s="49" r="X52">
        <f>(AM20/B20)*1000</f>
        <v>-61.360716145016</v>
      </c>
      <c s="49" r="Y52">
        <f>(AO20/B20)*1000</f>
        <v>355.907476397417</v>
      </c>
      <c s="49" r="Z52">
        <f>(AQ20/B20)*1000</f>
        <v>1620.32517473481</v>
      </c>
      <c s="49" r="AA52">
        <f>(AS20/B20)*1000</f>
        <v>91.2013225569434</v>
      </c>
      <c s="49" r="AB52">
        <f>(AU20/B20)*1000</f>
        <v>194.852846155834</v>
      </c>
      <c s="49" r="AC52">
        <f>(-AW20/B20)*1000</f>
        <v>-719.538637345434</v>
      </c>
      <c s="49" r="AD52">
        <f>(AX20/B20)*1000</f>
        <v>17302.2316763834</v>
      </c>
      <c s="49" r="AE52">
        <f>(DJ20/B20)*1000</f>
        <v>6991.79171020422</v>
      </c>
      <c s="49" r="AG52">
        <f>(DL20/B20)*1000</f>
        <v>23676.7087642474</v>
      </c>
      <c s="49" r="AH52">
        <f>(DN20/B20)*1000</f>
        <v>2.48164038413965</v>
      </c>
      <c s="49" r="AI52">
        <f>(DP20/B20)*1000</f>
        <v>3044.66445009766</v>
      </c>
      <c s="49" r="AJ52">
        <f>(DR20/B20)*1000</f>
        <v>536.281702413611</v>
      </c>
      <c s="49" r="AK52">
        <f>(DT20/B20)*1000</f>
        <v>2508.38274768405</v>
      </c>
      <c s="49" r="AL52">
        <f>(DV20/B20)*1000</f>
        <v>2508.38274768405</v>
      </c>
      <c s="48" r="AM52">
        <f>AL52/C52</f>
        <v>0.052835318759939</v>
      </c>
    </row>
    <row r="53">
      <c t="str" s="38" r="B53">
        <f>A21</f>
        <v>    $50,000 under $55,000</v>
      </c>
      <c s="3" r="C53">
        <f>(C21/B21)*1000</f>
        <v>52509.0321682136</v>
      </c>
      <c s="3" r="D53">
        <f>SUM(G53:H53,J53,L53:AC53)</f>
        <v>52440.2260798417</v>
      </c>
      <c s="3" r="E53">
        <f>D53-C53</f>
        <v>-68.80608837193</v>
      </c>
      <c s="55" r="F53">
        <f>E53/C53</f>
        <v>-0.001310366722272</v>
      </c>
      <c s="3" r="G53">
        <f>(E21/B21)*1000</f>
        <v>41912.6169882908</v>
      </c>
      <c s="3" r="H53">
        <f>(G21/B21)*1000</f>
        <v>972.601262511231</v>
      </c>
      <c s="3" r="I53">
        <f>(I21/B21)*1000</f>
        <v>220.719439906922</v>
      </c>
      <c s="3" r="J53">
        <f>(K21/B21)*1000</f>
        <v>845.231152517817</v>
      </c>
      <c s="3" r="K53">
        <f>(M21/B21)*1000</f>
        <v>514.775559469269</v>
      </c>
      <c s="49" r="L53">
        <f>(O21/B21)*1000</f>
        <v>308.561845544991</v>
      </c>
      <c s="49" r="M53">
        <f>(Q21/B21)*1000</f>
        <v>165.8760255365</v>
      </c>
      <c s="49" r="N53">
        <f>(S21/B21)*1000</f>
        <v>1551.9884019958</v>
      </c>
      <c s="49" r="O53">
        <f>(U21/B21)*1000</f>
        <v>177.45275254335</v>
      </c>
      <c s="3" r="P53">
        <f>(W21/B21)*1000</f>
        <v>-19.8806349501098</v>
      </c>
      <c s="49" r="Q53">
        <f>(Y21/B21)*1000</f>
        <v>1117.94769872656</v>
      </c>
      <c s="49" r="R53">
        <f>(AA21/B21)*1000</f>
        <v>4008.20284127891</v>
      </c>
      <c s="49" r="S53">
        <f>(AC21/B21)*1000</f>
        <v>374.896878152289</v>
      </c>
      <c s="49" r="T53">
        <f>(-AE21/B21)*1000</f>
        <v>-840.188941469345</v>
      </c>
      <c s="49" r="U53">
        <f>(AG21/B21)*1000</f>
        <v>49.1280703230555</v>
      </c>
      <c s="49" r="V53">
        <f>(AI21/B21)*1000</f>
        <v>405.893879035292</v>
      </c>
      <c s="49" r="W53">
        <f>(AK21/B21)*1000</f>
        <v>5.98662825166276</v>
      </c>
      <c s="49" r="X53">
        <f>(AM21/B21)*1000</f>
        <v>-170.307000873332</v>
      </c>
      <c s="49" r="Y53">
        <f>(AO21/B21)*1000</f>
        <v>419.983249046637</v>
      </c>
      <c s="49" r="Z53">
        <f>(AQ21/B21)*1000</f>
        <v>1869.80824413838</v>
      </c>
      <c s="49" r="AA53">
        <f>(AS21/B21)*1000</f>
        <v>54.4178705205465</v>
      </c>
      <c s="49" r="AB53">
        <f>(AU21/B21)*1000</f>
        <v>66.8215065993147</v>
      </c>
      <c s="49" r="AC53">
        <f>(-AW21/B21)*1000</f>
        <v>-836.812637878625</v>
      </c>
      <c s="49" r="AD53">
        <f>(AX21/B21)*1000</f>
        <v>18034.5904285517</v>
      </c>
      <c s="49" r="AE53">
        <f>(DJ21/B21)*1000</f>
        <v>7280.84830232182</v>
      </c>
      <c s="49" r="AG53">
        <f>(DL21/B21)*1000</f>
        <v>27686.5037800867</v>
      </c>
      <c s="49" r="AH53">
        <f>(DN21/B21)*1000</f>
        <v>4.19886050962745</v>
      </c>
      <c s="49" r="AI53">
        <f>(DP21/B21)*1000</f>
        <v>3715.673360278</v>
      </c>
      <c s="49" r="AJ53">
        <f>(DR21/B21)*1000</f>
        <v>589.846330312939</v>
      </c>
      <c s="49" r="AK53">
        <f>(DT21/B21)*1000</f>
        <v>3125.82702996506</v>
      </c>
      <c s="49" r="AL53">
        <f>(DV21/B21)*1000</f>
        <v>3125.82702996506</v>
      </c>
      <c s="48" r="AM53">
        <f>AL53/C53</f>
        <v>0.059529320973798</v>
      </c>
    </row>
    <row r="54">
      <c t="str" s="38" r="B54">
        <f>A22</f>
        <v>    $55,000 under $60,000</v>
      </c>
      <c s="3" r="C54">
        <f>(C22/B22)*1000</f>
        <v>57532.6028455624</v>
      </c>
      <c s="3" r="D54">
        <f>SUM(G54:H54,J54,L54:AC54)</f>
        <v>57510.1464831863</v>
      </c>
      <c s="3" r="E54">
        <f>D54-C54</f>
        <v>-22.4563623761351</v>
      </c>
      <c s="55" r="F54">
        <f>E54/C54</f>
        <v>-0.000390324116509</v>
      </c>
      <c s="3" r="G54">
        <f>(E22/B22)*1000</f>
        <v>45617.3037476397</v>
      </c>
      <c s="3" r="H54">
        <f>(G22/B22)*1000</f>
        <v>874.939011447237</v>
      </c>
      <c s="3" r="I54">
        <f>(I22/B22)*1000</f>
        <v>476.211194932996</v>
      </c>
      <c s="3" r="J54">
        <f>(K22/B22)*1000</f>
        <v>907.997573535847</v>
      </c>
      <c s="3" r="K54">
        <f>(M22/B22)*1000</f>
        <v>561.632390680849</v>
      </c>
      <c s="49" r="L54">
        <f>(O22/B22)*1000</f>
        <v>323.706615132807</v>
      </c>
      <c s="49" r="M54">
        <f>(Q22/B22)*1000</f>
        <v>181.117642265545</v>
      </c>
      <c s="49" r="N54">
        <f>(S22/B22)*1000</f>
        <v>1563.26462040222</v>
      </c>
      <c s="49" r="O54">
        <f>(U22/B22)*1000</f>
        <v>194.177492029991</v>
      </c>
      <c s="3" r="P54">
        <f>(W22/B22)*1000</f>
        <v>-6.9564675027841</v>
      </c>
      <c s="49" r="Q54">
        <f>(Y22/B22)*1000</f>
        <v>1236.37301956965</v>
      </c>
      <c s="49" r="R54">
        <f>(AA22/B22)*1000</f>
        <v>4840.78290690808</v>
      </c>
      <c s="49" r="S54">
        <f>(AC22/B22)*1000</f>
        <v>466.567710120026</v>
      </c>
      <c s="49" r="T54">
        <f>(-AE22/B22)*1000</f>
        <v>-796.863603943105</v>
      </c>
      <c s="49" r="U54">
        <f>(AG22/B22)*1000</f>
        <v>15.2956775337789</v>
      </c>
      <c s="49" r="V54">
        <f>(AI22/B22)*1000</f>
        <v>262.996723468596</v>
      </c>
      <c s="49" r="W54">
        <f>(AK22/B22)*1000</f>
        <v>30.407760661302</v>
      </c>
      <c s="49" r="X54">
        <f>(AM22/B22)*1000</f>
        <v>-165.805365785447</v>
      </c>
      <c s="49" r="Y54">
        <f>(AO22/B22)*1000</f>
        <v>336.625625352728</v>
      </c>
      <c s="49" r="Z54">
        <f>(AQ22/B22)*1000</f>
        <v>2210.34335674958</v>
      </c>
      <c s="49" r="AA54">
        <f>(AS22/B22)*1000</f>
        <v>52.6216778214939</v>
      </c>
      <c s="49" r="AB54">
        <f>(AU22/B22)*1000</f>
        <v>207.056262380047</v>
      </c>
      <c s="49" r="AC54">
        <f>(-AW22/B22)*1000</f>
        <v>-841.805502601005</v>
      </c>
      <c s="49" r="AD54">
        <f>(AX22/B22)*1000</f>
        <v>18757.069893636</v>
      </c>
      <c s="49" r="AE54">
        <f>(DJ22/B22)*1000</f>
        <v>7652.69219819343</v>
      </c>
      <c s="49" r="AG54">
        <f>(DL22/B22)*1000</f>
        <v>31413.5552025625</v>
      </c>
      <c s="49" r="AH54">
        <f>(DN22/B22)*1000</f>
        <v>5.34536371309375</v>
      </c>
      <c s="49" r="AI54">
        <f>(DP22/B22)*1000</f>
        <v>4350.02550201753</v>
      </c>
      <c s="49" r="AJ54">
        <f>(DR22/B22)*1000</f>
        <v>649.601273189482</v>
      </c>
      <c s="49" r="AK54">
        <f>(DT22/B22)*1000</f>
        <v>3700.42372582967</v>
      </c>
      <c s="49" r="AL54">
        <f>(DV22/B22)*1000</f>
        <v>3700.42372582967</v>
      </c>
      <c s="48" r="AM54">
        <f>AL54/C54</f>
        <v>0.064318726127565</v>
      </c>
    </row>
    <row r="55">
      <c t="str" s="38" r="B55">
        <f>A23</f>
        <v>    $60,000 under $75,000</v>
      </c>
      <c s="3" r="C55">
        <f>(C23/B23)*1000</f>
        <v>67404.3946508657</v>
      </c>
      <c s="3" r="D55">
        <f>SUM(G55:H55,J55,L55:AC55)</f>
        <v>67378.2692873357</v>
      </c>
      <c s="3" r="E55">
        <f>D55-C55</f>
        <v>-26.1253635300091</v>
      </c>
      <c s="55" r="F55">
        <f>E55/C55</f>
        <v>-0.000387591397643</v>
      </c>
      <c s="3" r="G55">
        <f>(E23/B23)*1000</f>
        <v>54226.2451790436</v>
      </c>
      <c s="3" r="H55">
        <f>(G23/B23)*1000</f>
        <v>1192.49446037305</v>
      </c>
      <c s="3" r="I55">
        <f>(I23/B23)*1000</f>
        <v>383.965746254781</v>
      </c>
      <c s="3" r="J55">
        <f>(K23/B23)*1000</f>
        <v>1024.08791767212</v>
      </c>
      <c s="3" r="K55">
        <f>(M23/B23)*1000</f>
        <v>663.18948280721</v>
      </c>
      <c s="49" r="L55">
        <f>(O23/B23)*1000</f>
        <v>390.195879017492</v>
      </c>
      <c s="49" r="M55">
        <f>(Q23/B23)*1000</f>
        <v>124.608647742048</v>
      </c>
      <c s="49" r="N55">
        <f>(S23/B23)*1000</f>
        <v>1743.99646888375</v>
      </c>
      <c s="49" r="O55">
        <f>(U23/B23)*1000</f>
        <v>281.819682274872</v>
      </c>
      <c s="3" r="P55">
        <f>(W23/B23)*1000</f>
        <v>-6.21797657313934</v>
      </c>
      <c s="49" r="Q55">
        <f>(Y23/B23)*1000</f>
        <v>1383.70567228351</v>
      </c>
      <c s="49" r="R55">
        <f>(AA23/B23)*1000</f>
        <v>5018.78542202352</v>
      </c>
      <c s="49" r="S55">
        <f>(AC23/B23)*1000</f>
        <v>464.042504887302</v>
      </c>
      <c s="49" r="T55">
        <f>(-AE23/B23)*1000</f>
        <v>-840.339065233538</v>
      </c>
      <c s="49" r="U55">
        <f>(AG23/B23)*1000</f>
        <v>26.899421742047</v>
      </c>
      <c s="49" r="V55">
        <f>(AI23/B23)*1000</f>
        <v>495.924937070317</v>
      </c>
      <c s="49" r="W55">
        <f>(AK23/B23)*1000</f>
        <v>37.2220812560802</v>
      </c>
      <c s="49" r="X55">
        <f>(AM23/B23)*1000</f>
        <v>-127.48127518771</v>
      </c>
      <c s="49" r="Y55">
        <f>(AO23/B23)*1000</f>
        <v>359.266081183486</v>
      </c>
      <c s="49" r="Z55">
        <f>(AQ23/B23)*1000</f>
        <v>2256.90206186097</v>
      </c>
      <c s="49" r="AA55">
        <f>(AS23/B23)*1000</f>
        <v>44.3652979482064</v>
      </c>
      <c s="49" r="AB55">
        <f>(AU23/B23)*1000</f>
        <v>155.154755141811</v>
      </c>
      <c s="49" r="AC55">
        <f>(-AW23/B23)*1000</f>
        <v>-873.408866074061</v>
      </c>
      <c s="49" r="AD55">
        <f>(AX23/B23)*1000</f>
        <v>19917.0817748585</v>
      </c>
      <c s="49" r="AE55">
        <f>(DJ23/B23)*1000</f>
        <v>8244.40584140864</v>
      </c>
      <c s="49" r="AG55">
        <f>(DL23/B23)*1000</f>
        <v>39645.5047951887</v>
      </c>
      <c s="49" r="AH55">
        <f>(DN23/B23)*1000</f>
        <v>10.3051956923943</v>
      </c>
      <c s="49" r="AI55">
        <f>(DP23/B23)*1000</f>
        <v>5753.82911410827</v>
      </c>
      <c s="49" r="AJ55">
        <f>(DR23/B23)*1000</f>
        <v>837.672236940914</v>
      </c>
      <c s="49" r="AK55">
        <f>(DT23/B23)*1000</f>
        <v>4916.15687716735</v>
      </c>
      <c s="49" r="AL55">
        <f>(DV23/B23)*1000</f>
        <v>4916.15687716735</v>
      </c>
      <c s="48" r="AM55">
        <f>AL55/C55</f>
        <v>0.072935257450669</v>
      </c>
    </row>
    <row r="56">
      <c t="str" s="38" r="B56">
        <f>A24</f>
        <v>    $75,000 under $100,000</v>
      </c>
      <c s="3" r="C56">
        <f>(C24/B24)*1000</f>
        <v>86942.1974636094</v>
      </c>
      <c s="3" r="D56">
        <f>SUM(G56:H56,J56,L56:AC56)</f>
        <v>86872.0072933504</v>
      </c>
      <c s="3" r="E56">
        <f>D56-C56</f>
        <v>-70.1901702589821</v>
      </c>
      <c s="55" r="F56">
        <f>E56/C56</f>
        <v>-0.000807319947122</v>
      </c>
      <c s="3" r="G56">
        <f>(E24/B24)*1000</f>
        <v>70235.3667835616</v>
      </c>
      <c s="3" r="H56">
        <f>(G24/B24)*1000</f>
        <v>1318.85327352488</v>
      </c>
      <c s="3" r="I56">
        <f>(I24/B24)*1000</f>
        <v>495.53381719518</v>
      </c>
      <c s="3" r="J56">
        <f>(K24/B24)*1000</f>
        <v>1251.96052293869</v>
      </c>
      <c s="3" r="K56">
        <f>(M24/B24)*1000</f>
        <v>809.159568141184</v>
      </c>
      <c s="49" r="L56">
        <f>(O24/B24)*1000</f>
        <v>461.156259535391</v>
      </c>
      <c s="49" r="M56">
        <f>(Q24/B24)*1000</f>
        <v>113.924171776549</v>
      </c>
      <c s="49" r="N56">
        <f>(S24/B24)*1000</f>
        <v>2026.48189681798</v>
      </c>
      <c s="49" r="O56">
        <f>(U24/B24)*1000</f>
        <v>508.943613875015</v>
      </c>
      <c s="3" r="P56">
        <f>(W24/B24)*1000</f>
        <v>5.2593408765071</v>
      </c>
      <c s="49" r="Q56">
        <f>(Y24/B24)*1000</f>
        <v>1915.21616866681</v>
      </c>
      <c s="49" r="R56">
        <f>(AA24/B24)*1000</f>
        <v>6191.92424262198</v>
      </c>
      <c s="49" r="S56">
        <f>(AC24/B24)*1000</f>
        <v>617.64436465012</v>
      </c>
      <c s="49" r="T56">
        <f>(-AE24/B24)*1000</f>
        <v>-787.525487264291</v>
      </c>
      <c s="49" r="U56">
        <f>(AG24/B24)*1000</f>
        <v>35.2407532733384</v>
      </c>
      <c s="49" r="V56">
        <f>(AI24/B24)*1000</f>
        <v>800.977418330447</v>
      </c>
      <c s="49" r="W56">
        <f>(AK24/B24)*1000</f>
        <v>93.2969660134594</v>
      </c>
      <c s="49" r="X56">
        <f>(AM24/B24)*1000</f>
        <v>-134.101198344206</v>
      </c>
      <c s="49" r="Y56">
        <f>(AO24/B24)*1000</f>
        <v>351.153320071566</v>
      </c>
      <c s="49" r="Z56">
        <f>(AQ24/B24)*1000</f>
        <v>2574.77604455059</v>
      </c>
      <c s="49" r="AA56">
        <f>(AS24/B24)*1000</f>
        <v>48.9983140030961</v>
      </c>
      <c s="49" r="AB56">
        <f>(AU24/B24)*1000</f>
        <v>221.709525043548</v>
      </c>
      <c s="49" r="AC56">
        <f>(-AW24/B24)*1000</f>
        <v>-979.249001172678</v>
      </c>
      <c s="49" r="AD56">
        <f>(AX24/B24)*1000</f>
        <v>22382.5105009704</v>
      </c>
      <c s="49" r="AE56">
        <f>(DJ24/B24)*1000</f>
        <v>9185.95930613739</v>
      </c>
      <c s="49" r="AG56">
        <f>(DL24/B24)*1000</f>
        <v>55560.3415992548</v>
      </c>
      <c s="49" r="AH56">
        <f>(DN24/B24)*1000</f>
        <v>28.7038331726882</v>
      </c>
      <c s="49" r="AI56">
        <f>(DP24/B24)*1000</f>
        <v>8340.00423829668</v>
      </c>
      <c s="49" r="AJ56">
        <f>(DR24/B24)*1000</f>
        <v>995.669479975913</v>
      </c>
      <c s="49" r="AK56">
        <f>(DT24/B24)*1000</f>
        <v>7344.33475832076</v>
      </c>
      <c s="49" r="AL56">
        <f>(DV24/B24)*1000</f>
        <v>7344.33475832076</v>
      </c>
      <c s="48" r="AM56">
        <f>AL56/C56</f>
        <v>0.084473765013759</v>
      </c>
    </row>
    <row r="57">
      <c t="str" s="38" r="B57">
        <f>A25</f>
        <v>    $100,000 under $200,000</v>
      </c>
      <c s="3" r="C57">
        <f>(C25/B25)*1000</f>
        <v>134640.096667065</v>
      </c>
      <c s="3" r="D57">
        <f>SUM(G57:H57,J57,L57:AC57)</f>
        <v>134518.966328182</v>
      </c>
      <c s="3" r="E57">
        <f>D57-C57</f>
        <v>-121.130338882562</v>
      </c>
      <c s="55" r="F57">
        <f>E57/C57</f>
        <v>-0.000899660219215</v>
      </c>
      <c s="3" r="G57">
        <f>(E25/B25)*1000</f>
        <v>107214.306695361</v>
      </c>
      <c s="3" r="H57">
        <f>(G25/B25)*1000</f>
        <v>2277.28404633822</v>
      </c>
      <c s="3" r="I57">
        <f>(I25/B25)*1000</f>
        <v>944.842336699356</v>
      </c>
      <c s="3" r="J57">
        <f>(K25/B25)*1000</f>
        <v>2498.6876025153</v>
      </c>
      <c s="3" r="K57">
        <f>(M25/B25)*1000</f>
        <v>1802.2349742671</v>
      </c>
      <c s="49" r="L57">
        <f>(O25/B25)*1000</f>
        <v>594.47858750406</v>
      </c>
      <c s="49" r="M57">
        <f>(Q25/B25)*1000</f>
        <v>128.645116797495</v>
      </c>
      <c s="49" r="N57">
        <f>(S25/B25)*1000</f>
        <v>4312.06946934947</v>
      </c>
      <c s="49" r="O57">
        <f>(U25/B25)*1000</f>
        <v>1572.97837434449</v>
      </c>
      <c s="3" r="P57">
        <f>(W25/B25)*1000</f>
        <v>-30.7713519592952</v>
      </c>
      <c s="49" r="Q57">
        <f>(Y25/B25)*1000</f>
        <v>2945.23496368053</v>
      </c>
      <c s="49" r="R57">
        <f>(AA25/B25)*1000</f>
        <v>7912.8327772028</v>
      </c>
      <c s="49" r="S57">
        <f>(AC25/B25)*1000</f>
        <v>1273.20091057868</v>
      </c>
      <c s="49" r="T57">
        <f>(-AE25/B25)*1000</f>
        <v>-777.307067907412</v>
      </c>
      <c s="49" r="U57">
        <f>(AG25/B25)*1000</f>
        <v>64.3934295433277</v>
      </c>
      <c s="49" r="V57">
        <f>(AI25/B25)*1000</f>
        <v>3122.25142208602</v>
      </c>
      <c s="49" r="W57">
        <f>(AK25/B25)*1000</f>
        <v>187.966575370181</v>
      </c>
      <c s="49" r="X57">
        <f>(AM25/B25)*1000</f>
        <v>-117.873206943238</v>
      </c>
      <c s="49" r="Y57">
        <f>(AO25/B25)*1000</f>
        <v>272.357262490084</v>
      </c>
      <c s="49" r="Z57">
        <f>(AQ25/B25)*1000</f>
        <v>2453.20000651998</v>
      </c>
      <c s="49" r="AA57">
        <f>(AS25/B25)*1000</f>
        <v>104.445750680439</v>
      </c>
      <c s="49" r="AB57">
        <f>(AU25/B25)*1000</f>
        <v>454.249588426435</v>
      </c>
      <c s="49" r="AC57">
        <f>(-AW25/B25)*1000</f>
        <v>-1943.66462379647</v>
      </c>
      <c s="49" r="AD57">
        <f>(AX25/B25)*1000</f>
        <v>29241.0044898782</v>
      </c>
      <c s="49" r="AE57">
        <f>(DJ25/B25)*1000</f>
        <v>10026.3081082471</v>
      </c>
      <c s="49" r="AG57">
        <f>(DL25/B25)*1000</f>
        <v>95563.6887510732</v>
      </c>
      <c s="49" r="AH57">
        <f>(DN25/B25)*1000</f>
        <v>165.274617913369</v>
      </c>
      <c s="49" r="AI57">
        <f>(DP25/B25)*1000</f>
        <v>17254.9536283421</v>
      </c>
      <c s="49" r="AJ57">
        <f>(DR25/B25)*1000</f>
        <v>697.631601455971</v>
      </c>
      <c s="49" r="AK57">
        <f>(DT25/B25)*1000</f>
        <v>16557.3220268862</v>
      </c>
      <c s="49" r="AL57">
        <f>(DV25/B25)*1000</f>
        <v>16557.3220268862</v>
      </c>
      <c s="48" r="AM57">
        <f>AL57/C57</f>
        <v>0.122974674237116</v>
      </c>
    </row>
    <row r="58">
      <c t="str" s="38" r="B58">
        <f>A26</f>
        <v>    $200,000 under $500,000</v>
      </c>
      <c s="3" r="C58">
        <f>(C26/B26)*1000</f>
        <v>286247.380510862</v>
      </c>
      <c s="3" r="D58">
        <f>SUM(G58:H58,J58,L58:AC58)</f>
        <v>285787.595734896</v>
      </c>
      <c s="3" r="E58">
        <f>D58-C58</f>
        <v>-459.78477596608</v>
      </c>
      <c s="55" r="F58">
        <f>E58/C58</f>
        <v>-0.001606249724087</v>
      </c>
      <c s="3" r="G58">
        <f>(E26/B26)*1000</f>
        <v>194603.923035832</v>
      </c>
      <c s="3" r="H58">
        <f>(G26/B26)*1000</f>
        <v>7725.97662955793</v>
      </c>
      <c s="3" r="I58">
        <f>(I26/B26)*1000</f>
        <v>4260.29805964998</v>
      </c>
      <c s="3" r="J58">
        <f>(K26/B26)*1000</f>
        <v>9473.56655460667</v>
      </c>
      <c s="3" r="K58">
        <f>(M26/B26)*1000</f>
        <v>7171.97539934395</v>
      </c>
      <c s="49" r="L58">
        <f>(O26/B26)*1000</f>
        <v>833.223266323813</v>
      </c>
      <c s="49" r="M58">
        <f>(Q26/B26)*1000</f>
        <v>215.045269398442</v>
      </c>
      <c s="49" r="N58">
        <f>(S26/B26)*1000</f>
        <v>15332.038196423</v>
      </c>
      <c s="49" r="O58">
        <f>(U26/B26)*1000</f>
        <v>12093.7716567033</v>
      </c>
      <c s="3" r="P58">
        <f>(W26/B26)*1000</f>
        <v>11.4237175230605</v>
      </c>
      <c s="49" r="Q58">
        <f>(Y26/B26)*1000</f>
        <v>5859.61096370084</v>
      </c>
      <c s="49" r="R58">
        <f>(AA26/B26)*1000</f>
        <v>9637.20313236517</v>
      </c>
      <c s="49" r="S58">
        <f>(AC26/B26)*1000</f>
        <v>4882.26997127387</v>
      </c>
      <c s="49" r="T58">
        <f>(-AE26/B26)*1000</f>
        <v>-1460.9503689887</v>
      </c>
      <c s="49" r="U58">
        <f>(AG26/B26)*1000</f>
        <v>203.448524724614</v>
      </c>
      <c s="49" r="V58">
        <f>(AI26/B26)*1000</f>
        <v>26304.6814866082</v>
      </c>
      <c s="49" r="W58">
        <f>(AK26/B26)*1000</f>
        <v>859.164354353565</v>
      </c>
      <c s="49" r="X58">
        <f>(AM26/B26)*1000</f>
        <v>-214.238715262837</v>
      </c>
      <c s="49" r="Y58">
        <f>(AO26/B26)*1000</f>
        <v>156.165307663714</v>
      </c>
      <c s="49" r="Z58">
        <f>(AQ26/B26)*1000</f>
        <v>2947.42480943611</v>
      </c>
      <c s="49" r="AA58">
        <f>(AS26/B26)*1000</f>
        <v>372.801641734753</v>
      </c>
      <c s="49" r="AB58">
        <f>(AU26/B26)*1000</f>
        <v>1584.70011193921</v>
      </c>
      <c s="49" r="AC58">
        <f>(-AW26/B26)*1000</f>
        <v>-5633.65381102114</v>
      </c>
      <c s="49" r="AD58">
        <f>(AX26/B26)*1000</f>
        <v>52368.3826551303</v>
      </c>
      <c s="49" r="AE58">
        <f>(DJ26/B26)*1000</f>
        <v>8989.82280268352</v>
      </c>
      <c s="49" r="AG58">
        <f>(DL26/B26)*1000</f>
        <v>225745.403683214</v>
      </c>
      <c s="49" r="AH58">
        <f>(DN26/B26)*1000</f>
        <v>4076.30376562038</v>
      </c>
      <c s="49" r="AI58">
        <f>(DP26/B26)*1000</f>
        <v>56694.3217199805</v>
      </c>
      <c s="49" r="AJ58">
        <f>(DR26/B26)*1000</f>
        <v>889.222159916343</v>
      </c>
      <c s="49" r="AK58">
        <f>(DT26/B26)*1000</f>
        <v>55805.0995600641</v>
      </c>
      <c s="49" r="AL58">
        <f>(DV26/B26)*1000</f>
        <v>55805.0995600641</v>
      </c>
      <c s="48" r="AM58">
        <f>AL58/C58</f>
        <v>0.194954096909008</v>
      </c>
    </row>
    <row r="59">
      <c t="str" s="38" r="B59">
        <f>A27</f>
        <v>    $500,000 under $1,000,000</v>
      </c>
      <c s="3" r="C59">
        <f>(C27/B27)*1000</f>
        <v>680124.258702425</v>
      </c>
      <c s="3" r="D59">
        <f>SUM(G59:H59,J59,L59:AC59)</f>
        <v>678808.59741965</v>
      </c>
      <c s="3" r="E59">
        <f>D59-C59</f>
        <v>-1315.66128277569</v>
      </c>
      <c s="55" r="F59">
        <f>E59/C59</f>
        <v>-0.001934442516851</v>
      </c>
      <c s="3" r="G59">
        <f>(E27/B27)*1000</f>
        <v>367748.493828414</v>
      </c>
      <c s="3" r="H59">
        <f>(G27/B27)*1000</f>
        <v>24296.4464869296</v>
      </c>
      <c s="3" r="I59">
        <f>(I27/B27)*1000</f>
        <v>15311.076572639</v>
      </c>
      <c s="3" r="J59">
        <f>(K27/B27)*1000</f>
        <v>31952.132579371</v>
      </c>
      <c s="3" r="K59">
        <f>(M27/B27)*1000</f>
        <v>24655.1329529668</v>
      </c>
      <c s="49" r="L59">
        <f>(O27/B27)*1000</f>
        <v>2283.24368242177</v>
      </c>
      <c s="49" r="M59">
        <f>(Q27/B27)*1000</f>
        <v>520.435329834348</v>
      </c>
      <c s="49" r="N59">
        <f>(S27/B27)*1000</f>
        <v>29579.3093192213</v>
      </c>
      <c s="49" r="O59">
        <f>(U27/B27)*1000</f>
        <v>63695.6191353614</v>
      </c>
      <c s="3" r="P59">
        <f>(W27/B27)*1000</f>
        <v>-315.401941972949</v>
      </c>
      <c s="49" r="Q59">
        <f>(Y27/B27)*1000</f>
        <v>7206.10520894164</v>
      </c>
      <c s="49" r="R59">
        <f>(AA27/B27)*1000</f>
        <v>8179.64337919252</v>
      </c>
      <c s="49" r="S59">
        <f>(AC27/B27)*1000</f>
        <v>15364.3303022499</v>
      </c>
      <c s="49" r="T59">
        <f>(-AE27/B27)*1000</f>
        <v>-3379.23967805469</v>
      </c>
      <c s="49" r="U59">
        <f>(AG27/B27)*1000</f>
        <v>215.757039379903</v>
      </c>
      <c s="49" r="V59">
        <f>(AI27/B27)*1000</f>
        <v>133334.292108423</v>
      </c>
      <c s="49" r="W59">
        <f>(AK27/B27)*1000</f>
        <v>3280.29662784413</v>
      </c>
      <c s="49" r="X59">
        <f>(AM27/B27)*1000</f>
        <v>-824.919568079681</v>
      </c>
      <c s="49" r="Y59">
        <f>(AO27/B27)*1000</f>
        <v>93.9702356555519</v>
      </c>
      <c s="49" r="Z59">
        <f>(AQ27/B27)*1000</f>
        <v>3453.40933409262</v>
      </c>
      <c s="49" r="AA59">
        <f>(AS27/B27)*1000</f>
        <v>872.953837337096</v>
      </c>
      <c s="49" r="AB59">
        <f>(AU27/B27)*1000</f>
        <v>5149.28055596865</v>
      </c>
      <c s="49" r="AC59">
        <f>(-AW27/B27)*1000</f>
        <v>-13897.5603828813</v>
      </c>
      <c s="49" r="AD59">
        <f>(AX27/B27)*1000</f>
        <v>104890.900946322</v>
      </c>
      <c s="49" r="AE59">
        <f>(DJ27/B27)*1000</f>
        <v>6894.53353113359</v>
      </c>
      <c s="49" r="AG59">
        <f>(DL27/B27)*1000</f>
        <v>572157.893209624</v>
      </c>
      <c s="49" r="AH59">
        <f>(DN27/B27)*1000</f>
        <v>7539.41980203048</v>
      </c>
      <c s="49" r="AI59">
        <f>(DP27/B27)*1000</f>
        <v>167045.310284042</v>
      </c>
      <c s="49" r="AJ59">
        <f>(DR27/B27)*1000</f>
        <v>3675.54470636455</v>
      </c>
      <c s="49" r="AK59">
        <f>(DT27/B27)*1000</f>
        <v>163369.765577677</v>
      </c>
      <c s="49" r="AL59">
        <f>(DV27/B27)*1000</f>
        <v>163369.88345986</v>
      </c>
      <c s="48" r="AM59">
        <f>AL59/C59</f>
        <v>0.240205934973626</v>
      </c>
    </row>
    <row r="60">
      <c t="str" s="38" r="B60">
        <f>A28</f>
        <v>    $1,000,000 under $1,500,000</v>
      </c>
      <c s="3" r="C60">
        <f>(C28/B28)*1000</f>
        <v>1208001.7740326</v>
      </c>
      <c s="3" r="D60">
        <f>SUM(G60:H60,J60,L60:AC60)</f>
        <v>1203196.96936098</v>
      </c>
      <c s="3" r="E60">
        <f>D60-C60</f>
        <v>-4804.80467161932</v>
      </c>
      <c s="55" r="F60">
        <f>E60/C60</f>
        <v>-0.003977481469733</v>
      </c>
      <c s="3" r="G60">
        <f>(E28/B28)*1000</f>
        <v>544662.941198211</v>
      </c>
      <c s="3" r="H60">
        <f>(G28/B28)*1000</f>
        <v>48762.3979007281</v>
      </c>
      <c s="3" r="I60">
        <f>(I28/B28)*1000</f>
        <v>29474.1471707876</v>
      </c>
      <c s="3" r="J60">
        <f>(K28/B28)*1000</f>
        <v>62974.0399896515</v>
      </c>
      <c s="3" r="K60">
        <f>(M28/B28)*1000</f>
        <v>48269.8747089478</v>
      </c>
      <c s="49" r="L60">
        <f>(O28/B28)*1000</f>
        <v>5338.86240159663</v>
      </c>
      <c s="49" r="M60">
        <f>(Q28/B28)*1000</f>
        <v>171.467642384595</v>
      </c>
      <c s="49" r="N60">
        <f>(S28/B28)*1000</f>
        <v>41807.3104926636</v>
      </c>
      <c s="49" r="O60">
        <f>(U28/B28)*1000</f>
        <v>173714.417710759</v>
      </c>
      <c s="3" r="P60">
        <f>(W28/B28)*1000</f>
        <v>257.589533207673</v>
      </c>
      <c s="49" r="Q60">
        <f>(Y28/B28)*1000</f>
        <v>7893.06279336216</v>
      </c>
      <c s="49" r="R60">
        <f>(AA28/B28)*1000</f>
        <v>9000.56916879181</v>
      </c>
      <c s="49" r="S60">
        <f>(AC28/B28)*1000</f>
        <v>27860.3318919318</v>
      </c>
      <c s="49" r="T60">
        <f>(-AE28/B28)*1000</f>
        <v>-5009.6536940533</v>
      </c>
      <c s="49" r="U60">
        <f>(AG28/B28)*1000</f>
        <v>459.193554348228</v>
      </c>
      <c s="49" r="V60">
        <f>(AI28/B28)*1000</f>
        <v>283544.221458403</v>
      </c>
      <c s="49" r="W60">
        <f>(AK28/B28)*1000</f>
        <v>8512.84325682818</v>
      </c>
      <c s="49" r="X60">
        <f>(AM28/B28)*1000</f>
        <v>-876.579073807148</v>
      </c>
      <c s="49" r="Y60">
        <f>(AO28/B28)*1000</f>
        <v>75.8916361754814</v>
      </c>
      <c s="49" r="Z60">
        <f>(AQ28/B28)*1000</f>
        <v>3718.85279225339</v>
      </c>
      <c s="49" r="AA60">
        <f>(AS28/B28)*1000</f>
        <v>1101.5264072144</v>
      </c>
      <c s="49" r="AB60">
        <f>(AU28/B28)*1000</f>
        <v>9457.18298407067</v>
      </c>
      <c s="49" r="AC60">
        <f>(-AW28/B28)*1000</f>
        <v>-20229.5006837417</v>
      </c>
      <c s="49" r="AD60">
        <f>(AX28/B28)*1000</f>
        <v>171859.075285508</v>
      </c>
      <c s="49" r="AE60">
        <f>(DJ28/B28)*1000</f>
        <v>6821.51014524892</v>
      </c>
      <c s="49" r="AG60">
        <f>(DL28/B28)*1000</f>
        <v>1037402.02535388</v>
      </c>
      <c s="49" r="AH60">
        <f>(DN28/B28)*1000</f>
        <v>7784.28502790406</v>
      </c>
      <c s="49" r="AI60">
        <f>(DP28/B28)*1000</f>
        <v>307899.05015338</v>
      </c>
      <c s="49" r="AJ60">
        <f>(DR28/B28)*1000</f>
        <v>9036.85552722031</v>
      </c>
      <c s="49" r="AK60">
        <f>(DT28/B28)*1000</f>
        <v>298862.19462616</v>
      </c>
      <c s="49" r="AL60">
        <f>(DV28/B28)*1000</f>
        <v>298862.19462616</v>
      </c>
      <c s="48" r="AM60">
        <f>AL60/C60</f>
        <v>0.247402115667832</v>
      </c>
    </row>
    <row r="61">
      <c t="str" s="38" r="B61">
        <f>A29</f>
        <v>    $1,500,000 under $2,000,000</v>
      </c>
      <c s="3" r="C61">
        <f>(C29/B29)*1000</f>
        <v>1722184.17748012</v>
      </c>
      <c s="3" r="D61">
        <f>SUM(G61:H61,J61,L61:AC61)</f>
        <v>1710587.5366262</v>
      </c>
      <c s="3" r="E61">
        <f>D61-C61</f>
        <v>-11596.6408539137</v>
      </c>
      <c s="55" r="F61">
        <f>E61/C61</f>
        <v>-0.006733682149421</v>
      </c>
      <c s="3" r="G61">
        <f>(E29/B29)*1000</f>
        <v>692014.301660388</v>
      </c>
      <c s="3" r="H61">
        <f>(G29/B29)*1000</f>
        <v>76199.4732803126</v>
      </c>
      <c s="3" r="I61">
        <f>(I29/B29)*1000</f>
        <v>43534.742570113</v>
      </c>
      <c s="3" r="J61">
        <f>(K29/B29)*1000</f>
        <v>98572.8861448305</v>
      </c>
      <c s="3" r="K61">
        <f>(M29/B29)*1000</f>
        <v>77810.0146504814</v>
      </c>
      <c s="49" r="L61">
        <f>(O29/B29)*1000</f>
        <v>8854.38467978234</v>
      </c>
      <c s="49" r="M61">
        <f>(Q29/B29)*1000</f>
        <v>290.428352169666</v>
      </c>
      <c s="49" r="N61">
        <f>(S29/B29)*1000</f>
        <v>51548.0500906935</v>
      </c>
      <c s="49" r="O61">
        <f>(U29/B29)*1000</f>
        <v>296468.571229245</v>
      </c>
      <c s="3" r="P61">
        <f>(W29/B29)*1000</f>
        <v>-493.56425282545</v>
      </c>
      <c s="49" r="Q61">
        <f>(Y29/B29)*1000</f>
        <v>8641.77828938189</v>
      </c>
      <c s="49" r="R61">
        <f>(AA29/B29)*1000</f>
        <v>9243.02358029859</v>
      </c>
      <c s="49" r="S61">
        <f>(AC29/B29)*1000</f>
        <v>40768.4003069625</v>
      </c>
      <c s="49" r="T61">
        <f>(-AE29/B29)*1000</f>
        <v>-7161.06808985629</v>
      </c>
      <c s="49" r="U61">
        <f>(AG29/B29)*1000</f>
        <v>224.30933444956</v>
      </c>
      <c s="49" r="V61">
        <f>(AI29/B29)*1000</f>
        <v>431020.301381331</v>
      </c>
      <c s="49" r="W61">
        <f>(AK29/B29)*1000</f>
        <v>12018.3131017162</v>
      </c>
      <c s="49" r="X61">
        <f>(AM29/B29)*1000</f>
        <v>-1776.05692758476</v>
      </c>
      <c s="49" r="Y61">
        <f>(AO29/B29)*1000</f>
        <v>53.9451653411469</v>
      </c>
      <c s="49" r="Z61">
        <f>(AQ29/B29)*1000</f>
        <v>4253.17427096414</v>
      </c>
      <c s="49" r="AA61">
        <f>(AS29/B29)*1000</f>
        <v>1283.74843030557</v>
      </c>
      <c s="49" r="AB61">
        <f>(AU29/B29)*1000</f>
        <v>13094.2688712153</v>
      </c>
      <c s="49" r="AC61">
        <f>(-AW29/B29)*1000</f>
        <v>-24531.1322729175</v>
      </c>
      <c s="49" r="AD61">
        <f>(AX29/B29)*1000</f>
        <v>240391.865494628</v>
      </c>
      <c s="49" r="AE61">
        <f>(DJ29/B29)*1000</f>
        <v>6651.4929538161</v>
      </c>
      <c s="49" r="AG61">
        <f>(DL29/B29)*1000</f>
        <v>1488966.37365704</v>
      </c>
      <c s="49" r="AH61">
        <f>(DN29/B29)*1000</f>
        <v>9503.20915306265</v>
      </c>
      <c s="49" r="AI61">
        <f>(DP29/B29)*1000</f>
        <v>441278.202176643</v>
      </c>
      <c s="49" r="AJ61">
        <f>(DR29/B29)*1000</f>
        <v>13529.6323426817</v>
      </c>
      <c s="49" r="AK61">
        <f>(DT29/B29)*1000</f>
        <v>427748.569833961</v>
      </c>
      <c s="49" r="AL61">
        <f>(DV29/B29)*1000</f>
        <v>427748.569833961</v>
      </c>
      <c s="48" r="AM61">
        <f>AL61/C61</f>
        <v>0.24837562406353</v>
      </c>
    </row>
    <row r="62">
      <c t="str" s="38" r="B62">
        <f>A30</f>
        <v>    $2,000,000 under $5,000,000</v>
      </c>
      <c s="3" r="C62">
        <f>(C30/B30)*1000</f>
        <v>2983805.47514385</v>
      </c>
      <c s="3" r="D62">
        <f>SUM(G62:H62,J62,L62:AC62)</f>
        <v>2968401.93941127</v>
      </c>
      <c s="3" r="E62">
        <f>D62-C62</f>
        <v>-15403.5357325804</v>
      </c>
      <c s="55" r="F62">
        <f>E62/C62</f>
        <v>-0.005162379337694</v>
      </c>
      <c s="3" r="G62">
        <f>(E30/B30)*1000</f>
        <v>1077753.09436165</v>
      </c>
      <c s="3" r="H62">
        <f>(G30/B30)*1000</f>
        <v>137834.459097245</v>
      </c>
      <c s="3" r="I62">
        <f>(I30/B30)*1000</f>
        <v>76536.1376171926</v>
      </c>
      <c s="3" r="J62">
        <f>(K30/B30)*1000</f>
        <v>190915.025672182</v>
      </c>
      <c s="3" r="K62">
        <f>(M30/B30)*1000</f>
        <v>150333.702631548</v>
      </c>
      <c s="49" r="L62">
        <f>(O30/B30)*1000</f>
        <v>14874.3433043851</v>
      </c>
      <c s="49" r="M62">
        <f>(Q30/B30)*1000</f>
        <v>637.11089667989</v>
      </c>
      <c s="49" r="N62">
        <f>(S30/B30)*1000</f>
        <v>60288.0764328175</v>
      </c>
      <c s="49" r="O62">
        <f>(U30/B30)*1000</f>
        <v>662286.968538175</v>
      </c>
      <c s="3" r="P62">
        <f>(W30/B30)*1000</f>
        <v>611.915228190558</v>
      </c>
      <c s="49" r="Q62">
        <f>(Y30/B30)*1000</f>
        <v>10002.990124251</v>
      </c>
      <c s="49" r="R62">
        <f>(AA30/B30)*1000</f>
        <v>12375.0163801627</v>
      </c>
      <c s="49" r="S62">
        <f>(AC30/B30)*1000</f>
        <v>63527.5603683452</v>
      </c>
      <c s="49" r="T62">
        <f>(-AE30/B30)*1000</f>
        <v>-9428.79096529788</v>
      </c>
      <c s="49" r="U62">
        <f>(AG30/B30)*1000</f>
        <v>317.51307434807</v>
      </c>
      <c s="49" r="V62">
        <f>(AI30/B30)*1000</f>
        <v>727930.941233933</v>
      </c>
      <c s="49" r="W62">
        <f>(AK30/B30)*1000</f>
        <v>24748.9963427564</v>
      </c>
      <c s="49" r="X62">
        <f>(AM30/B30)*1000</f>
        <v>-3412.83966501078</v>
      </c>
      <c s="49" r="Y62">
        <f>(AO30/B30)*1000</f>
        <v>54.0485805844442</v>
      </c>
      <c s="49" r="Z62">
        <f>(AQ30/B30)*1000</f>
        <v>4176.87001894142</v>
      </c>
      <c s="49" r="AA62">
        <f>(AS30/B30)*1000</f>
        <v>1219.26783650811</v>
      </c>
      <c s="49" r="AB62">
        <f>(AU30/B30)*1000</f>
        <v>24903.0890008696</v>
      </c>
      <c s="49" r="AC62">
        <f>(-AW30/B30)*1000</f>
        <v>-33213.7164504485</v>
      </c>
      <c s="49" r="AD62">
        <f>(AX30/B30)*1000</f>
        <v>399153.806749818</v>
      </c>
      <c s="49" r="AE62">
        <f>(DJ30/B30)*1000</f>
        <v>6548.61036655826</v>
      </c>
      <c s="49" r="AG62">
        <f>(DL30/B30)*1000</f>
        <v>2602000.98876619</v>
      </c>
      <c s="49" r="AH62">
        <f>(DN30/B30)*1000</f>
        <v>15616.6088893654</v>
      </c>
      <c s="49" r="AI62">
        <f>(DP30/B30)*1000</f>
        <v>763047.234432889</v>
      </c>
      <c s="49" r="AJ62">
        <f>(DR30/B30)*1000</f>
        <v>26615.2031735821</v>
      </c>
      <c s="49" r="AK62">
        <f>(DT30/B30)*1000</f>
        <v>736432.043172152</v>
      </c>
      <c s="49" r="AL62">
        <f>(DV30/B30)*1000</f>
        <v>736433.722883385</v>
      </c>
      <c s="48" r="AM62">
        <f>AL62/C62</f>
        <v>0.246810232442476</v>
      </c>
    </row>
    <row r="63">
      <c t="str" s="38" r="B63">
        <f>A31</f>
        <v>    $5,000,000 under $10,000,000</v>
      </c>
      <c s="3" r="C63">
        <f>(C31/B31)*1000</f>
        <v>6843932.65880781</v>
      </c>
      <c s="3" r="D63">
        <f>SUM(G63:H63,J63,L63:AC63)</f>
        <v>6810678.51858922</v>
      </c>
      <c s="3" r="E63">
        <f>D63-C63</f>
        <v>-33254.1402185848</v>
      </c>
      <c s="55" r="F63">
        <f>E63/C63</f>
        <v>-0.004858922768007</v>
      </c>
      <c s="3" r="G63">
        <f>(E31/B31)*1000</f>
        <v>2119973.75077555</v>
      </c>
      <c s="3" r="H63">
        <f>(G31/B31)*1000</f>
        <v>328500.835202596</v>
      </c>
      <c s="3" r="I63">
        <f>(I31/B31)*1000</f>
        <v>157195.532859256</v>
      </c>
      <c s="3" r="J63">
        <f>(K31/B31)*1000</f>
        <v>478766.238724765</v>
      </c>
      <c s="3" r="K63">
        <f>(M31/B31)*1000</f>
        <v>380471.48379707</v>
      </c>
      <c s="49" r="L63">
        <f>(O31/B31)*1000</f>
        <v>35395.1701427003</v>
      </c>
      <c s="49" r="M63">
        <f>(Q31/B31)*1000</f>
        <v>367.155061327734</v>
      </c>
      <c s="49" r="N63">
        <f>(S31/B31)*1000</f>
        <v>105033.837636615</v>
      </c>
      <c s="49" r="O63">
        <f>(U31/B31)*1000</f>
        <v>2045167.27914857</v>
      </c>
      <c s="3" r="P63">
        <f>(W31/B31)*1000</f>
        <v>5966.87825132439</v>
      </c>
      <c s="49" r="Q63">
        <f>(Y31/B31)*1000</f>
        <v>12705.34052403</v>
      </c>
      <c s="49" r="R63">
        <f>(AA31/B31)*1000</f>
        <v>17539.3022478881</v>
      </c>
      <c s="49" r="S63">
        <f>(AC31/B31)*1000</f>
        <v>105992.793394741</v>
      </c>
      <c s="49" r="T63">
        <f>(-AE31/B31)*1000</f>
        <v>-13818.3076409106</v>
      </c>
      <c s="49" r="U63">
        <f>(AG31/B31)*1000</f>
        <v>649.21490955949</v>
      </c>
      <c s="49" r="V63">
        <f>(AI31/B31)*1000</f>
        <v>1525001.57495347</v>
      </c>
      <c s="49" r="W63">
        <f>(AK31/B31)*1000</f>
        <v>56398.1291461843</v>
      </c>
      <c s="49" r="X63">
        <f>(AM31/B31)*1000</f>
        <v>-8249.89261680905</v>
      </c>
      <c s="49" r="Y63">
        <f>(AO31/B31)*1000</f>
        <v>23.5765761466139</v>
      </c>
      <c s="49" r="Z63">
        <f>(AQ31/B31)*1000</f>
        <v>4588.45988641245</v>
      </c>
      <c s="49" r="AA63">
        <f>(AS31/B31)*1000</f>
        <v>1480.74261442276</v>
      </c>
      <c s="49" r="AB63">
        <f>(AU31/B31)*1000</f>
        <v>44079.6544647544</v>
      </c>
      <c s="49" r="AC63">
        <f>(-AW31/B31)*1000</f>
        <v>-54883.2148141078</v>
      </c>
      <c s="49" r="AD63">
        <f>(AX31/B31)*1000</f>
        <v>893172.910800363</v>
      </c>
      <c s="49" r="AE63">
        <f>(DJ31/B31)*1000</f>
        <v>6383.81138739083</v>
      </c>
      <c s="49" r="AG63">
        <f>(DL31/B31)*1000</f>
        <v>6019640.29017324</v>
      </c>
      <c s="49" r="AH63">
        <f>(DN31/B31)*1000</f>
        <v>32015.9404381234</v>
      </c>
      <c s="49" r="AI63">
        <f>(DP31/B31)*1000</f>
        <v>1695790.7220923</v>
      </c>
      <c s="49" r="AJ63">
        <f>(DR31/B31)*1000</f>
        <v>64744.8098124374</v>
      </c>
      <c s="49" r="AK63">
        <f>(DT31/B31)*1000</f>
        <v>1631045.91227986</v>
      </c>
      <c s="49" r="AL63">
        <f>(DV31/B31)*1000</f>
        <v>1631045.96000573</v>
      </c>
      <c s="48" r="AM63">
        <f>AL63/C63</f>
        <v>0.238319989590583</v>
      </c>
    </row>
    <row r="64">
      <c t="str" s="38" r="B64">
        <f>A32</f>
        <v>    $10,000,000 or more</v>
      </c>
      <c s="3" r="C64">
        <f>(C32/B32)*1000</f>
        <v>29719984.750601</v>
      </c>
      <c s="3" r="D64">
        <f>SUM(G64:H64,J64,L64:AC64)</f>
        <v>29584076.9981971</v>
      </c>
      <c s="3" r="E64">
        <f>D64-C64</f>
        <v>-135907.752403837</v>
      </c>
      <c s="55" r="F64">
        <f>E64/C64</f>
        <v>-0.00457294152552</v>
      </c>
      <c s="3" r="G64">
        <f>(E32/B32)*1000</f>
        <v>5585714.84375</v>
      </c>
      <c s="3" r="H64">
        <f>(G32/B32)*1000</f>
        <v>1684831.20492788</v>
      </c>
      <c s="3" r="I64">
        <f>(I32/B32)*1000</f>
        <v>423313.176081731</v>
      </c>
      <c s="3" r="J64">
        <f>(K32/B32)*1000</f>
        <v>2451979.19170673</v>
      </c>
      <c s="3" r="K64">
        <f>(M32/B32)*1000</f>
        <v>1982516.75180288</v>
      </c>
      <c s="49" r="L64">
        <f>(O32/B32)*1000</f>
        <v>116056.941105769</v>
      </c>
      <c s="49" r="M64">
        <f>(Q32/B32)*1000</f>
        <v>6708.60877403846</v>
      </c>
      <c s="49" r="N64">
        <f>(S32/B32)*1000</f>
        <v>207960.261418269</v>
      </c>
      <c s="49" r="O64">
        <f>(U32/B32)*1000</f>
        <v>13470448.0919471</v>
      </c>
      <c s="3" r="P64">
        <f>(W32/B32)*1000</f>
        <v>133435.171274038</v>
      </c>
      <c s="49" r="Q64">
        <f>(Y32/B32)*1000</f>
        <v>19099.3088942308</v>
      </c>
      <c s="49" r="R64">
        <f>(AA32/B32)*1000</f>
        <v>23270.2073317308</v>
      </c>
      <c s="49" r="S64">
        <f>(AC32/B32)*1000</f>
        <v>246321.589543269</v>
      </c>
      <c s="49" r="T64">
        <f>(-AE32/B32)*1000</f>
        <v>-28317.2325721154</v>
      </c>
      <c s="49" r="U64">
        <f>(AG32/B32)*1000</f>
        <v>438.852163461538</v>
      </c>
      <c s="49" r="V64">
        <f>(AI32/B32)*1000</f>
        <v>5372374.09855769</v>
      </c>
      <c s="49" r="W64">
        <f>(AK32/B32)*1000</f>
        <v>312380.558894231</v>
      </c>
      <c s="49" r="X64">
        <f>(AM32/B32)*1000</f>
        <v>-15230.5438701923</v>
      </c>
      <c s="49" r="Y64">
        <f>(AO32/B32)*1000</f>
        <v>7.36177884615385</v>
      </c>
      <c s="49" r="Z64">
        <f>(AQ32/B32)*1000</f>
        <v>4785.38161057692</v>
      </c>
      <c s="49" r="AA64">
        <f>(AS32/B32)*1000</f>
        <v>1623.12199519231</v>
      </c>
      <c s="49" r="AB64">
        <f>(AU32/B32)*1000</f>
        <v>145814.227764423</v>
      </c>
      <c s="49" r="AC64">
        <f>(-AW32/B32)*1000</f>
        <v>-155624.248798077</v>
      </c>
      <c s="49" r="AD64">
        <f>(AX32/B32)*1000</f>
        <v>4008318.73497596</v>
      </c>
      <c s="49" r="AE64">
        <f>(DJ32/B32)*1000</f>
        <v>6395.05709134615</v>
      </c>
      <c s="49" r="AG64">
        <f>(DL32/B32)*1000</f>
        <v>25834216.8719952</v>
      </c>
      <c s="49" r="AH64">
        <f>(DN32/B32)*1000</f>
        <v>129027.043269231</v>
      </c>
      <c s="49" r="AI64">
        <f>(DP32/B32)*1000</f>
        <v>6531179.53725962</v>
      </c>
      <c s="49" r="AJ64">
        <f>(DR32/B32)*1000</f>
        <v>309753.079927885</v>
      </c>
      <c s="49" r="AK64">
        <f>(DT32/B32)*1000</f>
        <v>6221426.45733173</v>
      </c>
      <c s="49" r="AL64">
        <f>(DV32/B32)*1000</f>
        <v>6221426.45733173</v>
      </c>
      <c s="48" r="AM64">
        <f>AL64/C64</f>
        <v>0.20933477959493</v>
      </c>
    </row>
    <row r="67">
      <c t="s" s="39" r="F67">
        <v>132</v>
      </c>
    </row>
    <row r="69">
      <c t="s" s="39" r="C69">
        <v>106</v>
      </c>
      <c t="s" s="39" r="D69">
        <v>140</v>
      </c>
      <c t="s" s="39" r="E69">
        <v>141</v>
      </c>
      <c t="s" s="39" r="G69">
        <v>142</v>
      </c>
      <c t="s" s="39" r="H69">
        <v>143</v>
      </c>
      <c t="s" s="39" r="I69">
        <v>144</v>
      </c>
      <c t="s" s="39" r="J69">
        <v>145</v>
      </c>
      <c t="s" s="39" r="K69">
        <v>146</v>
      </c>
      <c t="s" s="67" r="L69">
        <v>147</v>
      </c>
      <c t="s" s="67" r="M69">
        <v>148</v>
      </c>
      <c t="s" s="67" r="N69">
        <v>149</v>
      </c>
      <c t="s" s="67" r="O69">
        <v>150</v>
      </c>
      <c t="s" s="39" r="P69">
        <v>151</v>
      </c>
      <c t="s" s="67" r="R69">
        <v>31</v>
      </c>
      <c t="s" s="67" r="S69">
        <v>133</v>
      </c>
      <c t="s" s="67" r="T69">
        <v>167</v>
      </c>
      <c t="s" s="67" r="U69">
        <v>167</v>
      </c>
    </row>
    <row r="70">
      <c t="str" s="38" r="B70">
        <f>A10</f>
        <v>All returns, total</v>
      </c>
      <c s="3" r="C70">
        <f>(C10/B10)*1000</f>
        <v>118997.251803368</v>
      </c>
      <c s="3" r="D70">
        <f>(AX10/B10)*1000</f>
        <v>27451.7877021891</v>
      </c>
      <c s="3" r="E70">
        <f>SUM(G70:P70)</f>
        <v>28281.8256514394</v>
      </c>
      <c s="3" r="F70">
        <f>E70-D70</f>
        <v>830.037949250262</v>
      </c>
      <c s="3" r="G70">
        <f>(BB10/B10)*1000</f>
        <v>1585.86198751794</v>
      </c>
      <c s="3" r="H70">
        <f>(BH10/B10)*1000</f>
        <v>9699.78101083386</v>
      </c>
      <c s="3" r="I70">
        <f>(((BX10+CD10)+CF10)/B10)*1000</f>
        <v>9867.65680886357</v>
      </c>
      <c s="3" r="J70">
        <f>(CH10/B10)*1000</f>
        <v>463.389450539841</v>
      </c>
      <c s="3" r="K70">
        <f>(CJ10/B10)*1000</f>
        <v>3590.3253546504</v>
      </c>
      <c s="49" r="L70">
        <f>(CR10/B10)*1000</f>
        <v>90.2745628495128</v>
      </c>
      <c s="49" r="M70">
        <f>(CT10/B10)*1000</f>
        <v>1866.92153707927</v>
      </c>
      <c s="49" r="N70">
        <f>(DD10/B10)*1000</f>
        <v>383.281282377438</v>
      </c>
      <c s="49" r="O70">
        <f>(DF10/B10)*1000</f>
        <v>92.2154470063595</v>
      </c>
      <c s="3" r="P70">
        <f>(DH10/B10)*1000</f>
        <v>642.118209721162</v>
      </c>
      <c s="49" r="R70">
        <f>(DJ10/B10)*1000</f>
        <v>8249.67042422188</v>
      </c>
      <c s="49" r="S70">
        <f>(DL10/B10)*1000</f>
        <v>84680.9917192029</v>
      </c>
      <c s="49" r="T70">
        <f>(C70-R70)-S70</f>
        <v>26066.5896599437</v>
      </c>
      <c s="49" r="U70">
        <f>D70</f>
        <v>27451.7877021891</v>
      </c>
    </row>
    <row r="71">
      <c t="str" s="38" r="B71">
        <f>A11</f>
        <v>    Under $5,000</v>
      </c>
      <c s="3" r="C71">
        <f>(C11/B11)*1000</f>
        <v>2447.34058554668</v>
      </c>
      <c s="3" r="D71">
        <f>(AX11/B11)*1000</f>
        <v>16541.4948228513</v>
      </c>
      <c s="3" r="E71">
        <f>SUM(G71:P71)</f>
        <v>16583.6398218323</v>
      </c>
      <c s="3" r="F71">
        <f>E71-D71</f>
        <v>42.1449989810644</v>
      </c>
      <c s="3" r="G71">
        <f>(BB11/B11)*1000</f>
        <v>5424.16714378597</v>
      </c>
      <c s="3" r="H71">
        <f>(BH11/B11)*1000</f>
        <v>3167.38881502974</v>
      </c>
      <c s="3" r="I71">
        <f>(((BX11+CD11)+CF11)/B11)*1000</f>
        <v>6631.0129161855</v>
      </c>
      <c s="3" r="J71">
        <f>(CH11/B11)*1000</f>
        <v>87.2982755776378</v>
      </c>
      <c s="3" r="K71">
        <f>(CJ11/B11)*1000</f>
        <v>375.67079738765</v>
      </c>
      <c s="49" r="L71">
        <f>(CR11/B11)*1000</f>
        <v>14.1849993692321</v>
      </c>
      <c s="49" r="M71">
        <f>(CT11/B11)*1000</f>
        <v>636.199769041912</v>
      </c>
      <c s="49" r="N71">
        <f>(DD11/B11)*1000</f>
        <v>26.5892924725131</v>
      </c>
      <c s="49" r="O71">
        <f>(DF11/B11)*1000</f>
        <v>15.5532804782191</v>
      </c>
      <c s="3" r="P71">
        <f>(DH11/B11)*1000</f>
        <v>205.574532503954</v>
      </c>
      <c s="49" r="R71">
        <f>(DJ11/B11)*1000</f>
        <v>5023.55918058399</v>
      </c>
      <c s="49" r="S71">
        <f>(DL11/B11)*1000</f>
        <v>41.1260662403323</v>
      </c>
      <c s="49" r="T71">
        <f>(C71-R71)-S71</f>
        <v>-2617.34466127764</v>
      </c>
      <c s="49" r="U71">
        <f>D71</f>
        <v>16541.4948228513</v>
      </c>
    </row>
    <row r="72">
      <c t="str" s="38" r="B72">
        <f>A12</f>
        <v>    $5,000 under $10,000</v>
      </c>
      <c s="3" r="C72">
        <f>(C12/B12)*1000</f>
        <v>7645.66134775155</v>
      </c>
      <c s="3" r="D72">
        <f>(AX12/B12)*1000</f>
        <v>15577.1149281287</v>
      </c>
      <c s="3" r="E72">
        <f>SUM(G72:P72)</f>
        <v>15689.5654754055</v>
      </c>
      <c s="3" r="F72">
        <f>E72-D72</f>
        <v>112.4505472768</v>
      </c>
      <c s="3" r="G72">
        <f>(BB12/B12)*1000</f>
        <v>5232.05195832784</v>
      </c>
      <c s="3" r="H72">
        <f>(BH12/B12)*1000</f>
        <v>2814.50613213768</v>
      </c>
      <c s="3" r="I72">
        <f>(((BX12+CD12)+CF12)/B12)*1000</f>
        <v>5816.54358433338</v>
      </c>
      <c s="3" r="J72">
        <f>(CH12/B12)*1000</f>
        <v>73.3944349202163</v>
      </c>
      <c s="3" r="K72">
        <f>(CJ12/B12)*1000</f>
        <v>792.377686931294</v>
      </c>
      <c s="49" r="L72">
        <f>(CR12/B12)*1000</f>
        <v>82.4475801134116</v>
      </c>
      <c s="49" r="M72">
        <f>(CT12/B12)*1000</f>
        <v>653.339707239879</v>
      </c>
      <c s="49" r="N72">
        <f>(DD12/B12)*1000</f>
        <v>96.3240142423843</v>
      </c>
      <c s="49" r="O72">
        <f>(DF12/B12)*1000</f>
        <v>16.1281814585256</v>
      </c>
      <c s="3" r="P72">
        <f>(DH12/B12)*1000</f>
        <v>112.45219570091</v>
      </c>
      <c s="49" r="R72">
        <f>(DJ12/B12)*1000</f>
        <v>5072.89825926414</v>
      </c>
      <c s="49" r="S72">
        <f>(DL12/B12)*1000</f>
        <v>159.852630884874</v>
      </c>
      <c s="49" r="T72">
        <f>(C72-R72)-S72</f>
        <v>2412.91045760253</v>
      </c>
      <c s="49" r="U72">
        <f>D72</f>
        <v>15577.1149281287</v>
      </c>
    </row>
    <row r="73">
      <c t="str" s="38" r="B73">
        <f>A13</f>
        <v>    $10,000 under $15,000</v>
      </c>
      <c s="3" r="C73">
        <f>(C13/B13)*1000</f>
        <v>12621.8372903434</v>
      </c>
      <c s="3" r="D73">
        <f>(AX13/B13)*1000</f>
        <v>15782.6915791782</v>
      </c>
      <c s="3" r="E73">
        <f>SUM(G73:P73)</f>
        <v>15914.2997343778</v>
      </c>
      <c s="3" r="F73">
        <f>E73-D73</f>
        <v>131.608155199574</v>
      </c>
      <c s="3" r="G73">
        <f>(BB13/B13)*1000</f>
        <v>5151.14988491182</v>
      </c>
      <c s="3" r="H73">
        <f>(BH13/B13)*1000</f>
        <v>2913.24632858728</v>
      </c>
      <c s="3" r="I73">
        <f>(((BX13+CD13)+CF13)/B13)*1000</f>
        <v>5648.88799782008</v>
      </c>
      <c s="3" r="J73">
        <f>(CH13/B13)*1000</f>
        <v>34.0745204289832</v>
      </c>
      <c s="3" r="K73">
        <f>(CJ13/B13)*1000</f>
        <v>1016.35382028521</v>
      </c>
      <c s="49" r="L73">
        <f>(CR13/B13)*1000</f>
        <v>104.950674910776</v>
      </c>
      <c s="49" r="M73">
        <f>(CT13/B13)*1000</f>
        <v>766.16717583126</v>
      </c>
      <c s="49" r="N73">
        <f>(DD13/B13)*1000</f>
        <v>112.845126087467</v>
      </c>
      <c s="49" r="O73">
        <f>(DF13/B13)*1000</f>
        <v>18.7641367943234</v>
      </c>
      <c s="3" r="P73">
        <f>(DH13/B13)*1000</f>
        <v>147.860068720605</v>
      </c>
      <c s="49" r="R73">
        <f>(DJ13/B13)*1000</f>
        <v>5421.2172098371</v>
      </c>
      <c s="49" r="S73">
        <f>(DL13/B13)*1000</f>
        <v>550.447171311917</v>
      </c>
      <c s="49" r="T73">
        <f>(C73-R73)-S73</f>
        <v>6650.17290919443</v>
      </c>
      <c s="49" r="U73">
        <f>D73</f>
        <v>15782.6915791782</v>
      </c>
    </row>
    <row r="74">
      <c t="str" s="38" r="B74">
        <f>A14</f>
        <v>    $15,000 under $20,000</v>
      </c>
      <c s="3" r="C74">
        <f>(C14/B14)*1000</f>
        <v>17587.1534300873</v>
      </c>
      <c s="3" r="D74">
        <f>(AX14/B14)*1000</f>
        <v>16034.2010914071</v>
      </c>
      <c s="3" r="E74">
        <f>SUM(G74:P74)</f>
        <v>16195.489860099</v>
      </c>
      <c s="3" r="F74">
        <f>E74-D74</f>
        <v>161.288768691893</v>
      </c>
      <c s="3" r="G74">
        <f>(BB14/B14)*1000</f>
        <v>3903.74319590963</v>
      </c>
      <c s="3" r="H74">
        <f>(BH14/B14)*1000</f>
        <v>2868.83933056697</v>
      </c>
      <c s="3" r="I74">
        <f>(((BX14+CD14)+CF14)/B14)*1000</f>
        <v>6335.6971310996</v>
      </c>
      <c s="3" r="J74">
        <f>(CH14/B14)*1000</f>
        <v>47.9021724918626</v>
      </c>
      <c s="3" r="K74">
        <f>(CJ14/B14)*1000</f>
        <v>1288.86675337366</v>
      </c>
      <c s="49" r="L74">
        <f>(CR14/B14)*1000</f>
        <v>27.3995816043546</v>
      </c>
      <c s="49" r="M74">
        <f>(CT14/B14)*1000</f>
        <v>1221.31959784471</v>
      </c>
      <c s="49" r="N74">
        <f>(DD14/B14)*1000</f>
        <v>139.848572431305</v>
      </c>
      <c s="49" r="O74">
        <f>(DF14/B14)*1000</f>
        <v>21.4401962605889</v>
      </c>
      <c s="3" r="P74">
        <f>(DH14/B14)*1000</f>
        <v>340.433328516278</v>
      </c>
      <c s="49" r="R74">
        <f>(DJ14/B14)*1000</f>
        <v>5857.70419152611</v>
      </c>
      <c s="49" r="S74">
        <f>(DL14/B14)*1000</f>
        <v>2070.52254725875</v>
      </c>
      <c s="49" r="T74">
        <f>(C74-R74)-S74</f>
        <v>9658.92669130247</v>
      </c>
      <c s="49" r="U74">
        <f>D74</f>
        <v>16034.2010914071</v>
      </c>
    </row>
    <row r="75">
      <c t="str" s="38" r="B75">
        <f>A15</f>
        <v>    $20,000 under $25,000</v>
      </c>
      <c s="3" r="C75">
        <f>(C15/B15)*1000</f>
        <v>22553.3726130725</v>
      </c>
      <c s="3" r="D75">
        <f>(AX15/B15)*1000</f>
        <v>15593.5972408665</v>
      </c>
      <c s="3" r="E75">
        <f>SUM(G75:P75)</f>
        <v>15763.3392039865</v>
      </c>
      <c s="3" r="F75">
        <f>E75-D75</f>
        <v>169.741963119954</v>
      </c>
      <c s="3" r="G75">
        <f>(BB15/B15)*1000</f>
        <v>3630.41336304663</v>
      </c>
      <c s="3" r="H75">
        <f>(BH15/B15)*1000</f>
        <v>3075.29057528727</v>
      </c>
      <c s="3" r="I75">
        <f>(((BX15+CD15)+CF15)/B15)*1000</f>
        <v>5906.62134728183</v>
      </c>
      <c s="3" r="J75">
        <f>(CH15/B15)*1000</f>
        <v>32.7066649914365</v>
      </c>
      <c s="3" r="K75">
        <f>(CJ15/B15)*1000</f>
        <v>1348.37807593936</v>
      </c>
      <c s="49" r="L75">
        <f>(CR15/B15)*1000</f>
        <v>48.2018093955432</v>
      </c>
      <c s="49" r="M75">
        <f>(CT15/B15)*1000</f>
        <v>1372.0627447177</v>
      </c>
      <c s="49" r="N75">
        <f>(DD15/B15)*1000</f>
        <v>120.159558327033</v>
      </c>
      <c s="49" r="O75">
        <f>(DF15/B15)*1000</f>
        <v>49.5816700428433</v>
      </c>
      <c s="3" r="P75">
        <f>(DH15/B15)*1000</f>
        <v>179.923394956822</v>
      </c>
      <c s="49" r="R75">
        <f>(DJ15/B15)*1000</f>
        <v>6119.02363470577</v>
      </c>
      <c s="49" r="S75">
        <f>(DL15/B15)*1000</f>
        <v>4457.93078213411</v>
      </c>
      <c s="49" r="T75">
        <f>(C75-R75)-S75</f>
        <v>11976.4181962326</v>
      </c>
      <c s="49" r="U75">
        <f>D75</f>
        <v>15593.5972408665</v>
      </c>
    </row>
    <row r="76">
      <c t="str" s="38" r="B76">
        <f>A16</f>
        <v>    $25,000 under $30,000</v>
      </c>
      <c s="3" r="C76">
        <f>(C16/B16)*1000</f>
        <v>27554.6662679803</v>
      </c>
      <c s="3" r="D76">
        <f>(AX16/B16)*1000</f>
        <v>15975.8786494169</v>
      </c>
      <c s="3" r="E76">
        <f>SUM(G76:P76)</f>
        <v>16132.3053978966</v>
      </c>
      <c s="3" r="F76">
        <f>E76-D76</f>
        <v>156.426748479751</v>
      </c>
      <c s="3" r="G76">
        <f>(BB16/B16)*1000</f>
        <v>2469.155450008</v>
      </c>
      <c s="3" r="H76">
        <f>(BH16/B16)*1000</f>
        <v>3352.99994007348</v>
      </c>
      <c s="3" r="I76">
        <f>(((BX16+CD16)+CF16)/B16)*1000</f>
        <v>6867.18368219422</v>
      </c>
      <c s="3" r="J76">
        <f>(CH16/B16)*1000</f>
        <v>23.6530588163339</v>
      </c>
      <c s="3" r="K76">
        <f>(CJ16/B16)*1000</f>
        <v>1413.0704062462</v>
      </c>
      <c s="49" r="L76">
        <f>(CR16/B16)*1000</f>
        <v>46.256476851992</v>
      </c>
      <c s="49" r="M76">
        <f>(CT16/B16)*1000</f>
        <v>1615.41816663156</v>
      </c>
      <c s="49" r="N76">
        <f>(DD16/B16)*1000</f>
        <v>106.732219276693</v>
      </c>
      <c s="49" r="O76">
        <f>(DF16/B16)*1000</f>
        <v>49.6945292030576</v>
      </c>
      <c s="3" r="P76">
        <f>(DH16/B16)*1000</f>
        <v>188.141468595106</v>
      </c>
      <c s="49" r="R76">
        <f>(DJ16/B16)*1000</f>
        <v>6331.50300034164</v>
      </c>
      <c s="49" r="S76">
        <f>(DL16/B16)*1000</f>
        <v>7518.09997102522</v>
      </c>
      <c s="49" r="T76">
        <f>(C76-R76)-S76</f>
        <v>13705.0632966134</v>
      </c>
      <c s="49" r="U76">
        <f>D76</f>
        <v>15975.8786494169</v>
      </c>
    </row>
    <row r="77">
      <c t="str" s="38" r="B77">
        <f>A17</f>
        <v>    $30,000 under $35,000</v>
      </c>
      <c s="3" r="C77">
        <f>(C17/B17)*1000</f>
        <v>32553.231340111</v>
      </c>
      <c s="3" r="D77">
        <f>(AX17/B17)*1000</f>
        <v>15684.1389608697</v>
      </c>
      <c s="3" r="E77">
        <f>SUM(G77:P77)</f>
        <v>15832.6917366477</v>
      </c>
      <c s="3" r="F77">
        <f>E77-D77</f>
        <v>148.55277577798</v>
      </c>
      <c s="3" r="G77">
        <f>(BB17/B17)*1000</f>
        <v>2121.36164476622</v>
      </c>
      <c s="3" r="H77">
        <f>(BH17/B17)*1000</f>
        <v>3390.5256962677</v>
      </c>
      <c s="3" r="I77">
        <f>(((BX17+CD17)+CF17)/B17)*1000</f>
        <v>6725.27627466604</v>
      </c>
      <c s="3" r="J77">
        <f>(CH17/B17)*1000</f>
        <v>14.6447469894446</v>
      </c>
      <c s="3" r="K77">
        <f>(CJ17/B17)*1000</f>
        <v>1464.29631939979</v>
      </c>
      <c s="49" r="L77">
        <f>(CR17/B17)*1000</f>
        <v>31.9593123735588</v>
      </c>
      <c s="49" r="M77">
        <f>(CT17/B17)*1000</f>
        <v>1787.52165655849</v>
      </c>
      <c s="49" r="N77">
        <f>(DD17/B17)*1000</f>
        <v>126.396861374527</v>
      </c>
      <c s="49" r="O77">
        <f>(DF17/B17)*1000</f>
        <v>22.156448473947</v>
      </c>
      <c s="3" r="P77">
        <f>(DH17/B17)*1000</f>
        <v>148.55277577798</v>
      </c>
      <c s="49" r="R77">
        <f>(DJ17/B17)*1000</f>
        <v>6646.06934798538</v>
      </c>
      <c s="49" r="S77">
        <f>(DL17/B17)*1000</f>
        <v>11591.5316714484</v>
      </c>
      <c s="49" r="T77">
        <f>(C77-R77)-S77</f>
        <v>14315.6303206773</v>
      </c>
      <c s="49" r="U77">
        <f>D77</f>
        <v>15684.1389608697</v>
      </c>
    </row>
    <row r="78">
      <c t="str" s="38" r="B78">
        <f>A18</f>
        <v>    $35,000 under $40,000</v>
      </c>
      <c s="3" r="C78">
        <f>(C18/B18)*1000</f>
        <v>37504.5609397259</v>
      </c>
      <c s="3" r="D78">
        <f>(AX18/B18)*1000</f>
        <v>16108.3418696303</v>
      </c>
      <c s="3" r="E78">
        <f>SUM(G78:P78)</f>
        <v>16263.8721238721</v>
      </c>
      <c s="3" r="F78">
        <f>E78-D78</f>
        <v>155.530254241794</v>
      </c>
      <c s="3" r="G78">
        <f>(BB18/B18)*1000</f>
        <v>1926.26625599755</v>
      </c>
      <c s="3" r="H78">
        <f>(BH18/B18)*1000</f>
        <v>3759.38218892335</v>
      </c>
      <c s="3" r="I78">
        <f>(((BX18+CD18)+CF18)/B18)*1000</f>
        <v>6771.29510230895</v>
      </c>
      <c s="3" r="J78">
        <f>(CH18/B18)*1000</f>
        <v>11.2391128077225</v>
      </c>
      <c s="3" r="K78">
        <f>(CJ18/B18)*1000</f>
        <v>1549.39276019403</v>
      </c>
      <c s="49" r="L78">
        <f>(CR18/B18)*1000</f>
        <v>93.0803113683614</v>
      </c>
      <c s="49" r="M78">
        <f>(CT18/B18)*1000</f>
        <v>1841.52627499505</v>
      </c>
      <c s="49" r="N78">
        <f>(DD18/B18)*1000</f>
        <v>119.25128193415</v>
      </c>
      <c s="49" r="O78">
        <f>(DF18/B18)*1000</f>
        <v>36.2789723076404</v>
      </c>
      <c s="3" r="P78">
        <f>(DH18/B18)*1000</f>
        <v>156.159863035261</v>
      </c>
      <c s="49" r="R78">
        <f>(DJ18/B18)*1000</f>
        <v>6595.65162772245</v>
      </c>
      <c s="49" r="S78">
        <f>(DL18/B18)*1000</f>
        <v>15692.7807010009</v>
      </c>
      <c s="49" r="T78">
        <f>(C78-R78)-S78</f>
        <v>15216.1286110026</v>
      </c>
      <c s="49" r="U78">
        <f>D78</f>
        <v>16108.3418696303</v>
      </c>
    </row>
    <row r="79">
      <c t="str" s="38" r="B79">
        <f>A19</f>
        <v>    $40,000 under $45,000</v>
      </c>
      <c s="3" r="C79">
        <f>(C19/B19)*1000</f>
        <v>42499.4299441458</v>
      </c>
      <c s="3" r="D79">
        <f>(AX19/B19)*1000</f>
        <v>16654.9535811662</v>
      </c>
      <c s="3" r="E79">
        <f>SUM(G79:P79)</f>
        <v>16812.9336004255</v>
      </c>
      <c s="3" r="F79">
        <f>E79-D79</f>
        <v>157.980019259372</v>
      </c>
      <c s="3" r="G79">
        <f>(BB19/B19)*1000</f>
        <v>1870.7466624546</v>
      </c>
      <c s="3" r="H79">
        <f>(BH19/B19)*1000</f>
        <v>3858.31959245312</v>
      </c>
      <c s="3" r="I79">
        <f>(((BX19+CD19)+CF19)/B19)*1000</f>
        <v>7161.34868769058</v>
      </c>
      <c s="3" r="J79">
        <f>(CH19/B19)*1000</f>
        <v>20.5451377458658</v>
      </c>
      <c s="3" r="K79">
        <f>(CJ19/B19)*1000</f>
        <v>1684.10983453372</v>
      </c>
      <c s="49" r="L79">
        <f>(CR19/B19)*1000</f>
        <v>101.014783071236</v>
      </c>
      <c s="49" r="M79">
        <f>(CT19/B19)*1000</f>
        <v>1787.50620615404</v>
      </c>
      <c s="49" r="N79">
        <f>(DD19/B19)*1000</f>
        <v>92.8002708318879</v>
      </c>
      <c s="49" r="O79">
        <f>(DF19/B19)*1000</f>
        <v>65.1797484274873</v>
      </c>
      <c s="3" r="P79">
        <f>(DH19/B19)*1000</f>
        <v>171.36267706299</v>
      </c>
      <c s="49" r="R79">
        <f>(DJ19/B19)*1000</f>
        <v>6766.19295689472</v>
      </c>
      <c s="49" r="S79">
        <f>(DL19/B19)*1000</f>
        <v>19718.8077098517</v>
      </c>
      <c s="49" r="T79">
        <f>(C79-R79)-S79</f>
        <v>16014.4292773995</v>
      </c>
      <c s="49" r="U79">
        <f>D79</f>
        <v>16654.9535811662</v>
      </c>
    </row>
    <row r="80">
      <c t="str" s="38" r="B80">
        <f>A20</f>
        <v>    $45,000 under $50,000</v>
      </c>
      <c s="3" r="C80">
        <f>(C20/B20)*1000</f>
        <v>47475.4918974003</v>
      </c>
      <c s="3" r="D80">
        <f>(AX20/B20)*1000</f>
        <v>17302.2316763834</v>
      </c>
      <c s="3" r="E80">
        <f>SUM(G80:P80)</f>
        <v>17487.1247309287</v>
      </c>
      <c s="3" r="F80">
        <f>E80-D80</f>
        <v>184.893054545326</v>
      </c>
      <c s="3" r="G80">
        <f>(BB20/B20)*1000</f>
        <v>1838.4672259165</v>
      </c>
      <c s="3" r="H80">
        <f>(BH20/B20)*1000</f>
        <v>4206.24199247524</v>
      </c>
      <c s="3" r="I80">
        <f>(((BX20+CD20)+CF20)/B20)*1000</f>
        <v>7254.4509837948</v>
      </c>
      <c s="3" r="J80">
        <f>(CH20/B20)*1000</f>
        <v>17.6502460871588</v>
      </c>
      <c s="3" r="K80">
        <f>(CJ20/B20)*1000</f>
        <v>1727.0624799235</v>
      </c>
      <c s="49" r="L80">
        <f>(CR20/B20)*1000</f>
        <v>54.7770077426072</v>
      </c>
      <c s="49" r="M80">
        <f>(CT20/B20)*1000</f>
        <v>2013.26987619951</v>
      </c>
      <c s="49" r="N80">
        <f>(DD20/B20)*1000</f>
        <v>139.966456086457</v>
      </c>
      <c s="49" r="O80">
        <f>(DF20/B20)*1000</f>
        <v>44.9261369300581</v>
      </c>
      <c s="3" r="P80">
        <f>(DH20/B20)*1000</f>
        <v>190.312325772876</v>
      </c>
      <c s="49" r="R80">
        <f>(DJ20/B20)*1000</f>
        <v>6991.79171020422</v>
      </c>
      <c s="49" r="S80">
        <f>(DL20/B20)*1000</f>
        <v>23676.7087642474</v>
      </c>
      <c s="49" r="T80">
        <f>(C80-R80)-S80</f>
        <v>16806.9914229487</v>
      </c>
      <c s="49" r="U80">
        <f>D80</f>
        <v>17302.2316763834</v>
      </c>
    </row>
    <row r="81">
      <c t="str" s="38" r="B81">
        <f>A21</f>
        <v>    $50,000 under $55,000</v>
      </c>
      <c s="3" r="C81">
        <f>(C21/B21)*1000</f>
        <v>52509.0321682136</v>
      </c>
      <c s="3" r="D81">
        <f>(AX21/B21)*1000</f>
        <v>18034.5904285517</v>
      </c>
      <c s="3" r="E81">
        <f>SUM(G81:P81)</f>
        <v>18170.7891227123</v>
      </c>
      <c s="3" r="F81">
        <f>E81-D81</f>
        <v>136.198694160666</v>
      </c>
      <c s="3" r="G81">
        <f>(BB21/B21)*1000</f>
        <v>1822.28901971138</v>
      </c>
      <c s="3" r="H81">
        <f>(BH21/B21)*1000</f>
        <v>4573.09102479663</v>
      </c>
      <c s="3" r="I81">
        <f>(((BX21+CD21)+CF21)/B21)*1000</f>
        <v>7693.69450400446</v>
      </c>
      <c s="3" r="J81">
        <f>(CH21/B21)*1000</f>
        <v>16.9216544758025</v>
      </c>
      <c s="3" r="K81">
        <f>(CJ21/B21)*1000</f>
        <v>1815.3415327896</v>
      </c>
      <c s="49" r="L81">
        <f>(CR21/B21)*1000</f>
        <v>56.244324067116</v>
      </c>
      <c s="49" r="M81">
        <f>(CT21/B21)*1000</f>
        <v>1920.81015811855</v>
      </c>
      <c s="49" r="N81">
        <f>(DD21/B21)*1000</f>
        <v>114.39537472521</v>
      </c>
      <c s="49" r="O81">
        <f>(DF21/B21)*1000</f>
        <v>21.8028358629014</v>
      </c>
      <c s="3" r="P81">
        <f>(DH21/B21)*1000</f>
        <v>136.198694160668</v>
      </c>
      <c s="49" r="R81">
        <f>(DJ21/B21)*1000</f>
        <v>7280.84830232182</v>
      </c>
      <c s="49" r="S81">
        <f>(DL21/B21)*1000</f>
        <v>27686.5037800867</v>
      </c>
      <c s="49" r="T81">
        <f>(C81-R81)-S81</f>
        <v>17541.6800858051</v>
      </c>
      <c s="49" r="U81">
        <f>D81</f>
        <v>18034.5904285517</v>
      </c>
    </row>
    <row r="82">
      <c t="str" s="38" r="B82">
        <f>A22</f>
        <v>    $55,000 under $60,000</v>
      </c>
      <c s="3" r="C82">
        <f>(C22/B22)*1000</f>
        <v>57532.6028455624</v>
      </c>
      <c s="3" r="D82">
        <f>(AX22/B22)*1000</f>
        <v>18757.069893636</v>
      </c>
      <c s="3" r="E82">
        <f>SUM(G82:P82)</f>
        <v>18913.2926374116</v>
      </c>
      <c s="3" r="F82">
        <f>E82-D82</f>
        <v>156.222743775641</v>
      </c>
      <c s="3" r="G82">
        <f>(BB22/B22)*1000</f>
        <v>1791.58765400553</v>
      </c>
      <c s="3" r="H82">
        <f>(BH22/B22)*1000</f>
        <v>4904.04450932006</v>
      </c>
      <c s="3" r="I82">
        <f>(((BX22+CD22)+CF22)/B22)*1000</f>
        <v>7998.5624306491</v>
      </c>
      <c s="3" r="J82">
        <f>(CH22/B22)*1000</f>
        <v>23.7757271092985</v>
      </c>
      <c s="3" r="K82">
        <f>(CJ22/B22)*1000</f>
        <v>2001.69309252454</v>
      </c>
      <c s="49" r="L82">
        <f>(CR22/B22)*1000</f>
        <v>14.7197443963466</v>
      </c>
      <c s="49" r="M82">
        <f>(CT22/B22)*1000</f>
        <v>1856.92412470738</v>
      </c>
      <c s="49" r="N82">
        <f>(DD22/B22)*1000</f>
        <v>131.039627217846</v>
      </c>
      <c s="49" r="O82">
        <f>(DF22/B22)*1000</f>
        <v>25.1826135594278</v>
      </c>
      <c s="3" r="P82">
        <f>(DH22/B22)*1000</f>
        <v>165.76311392209</v>
      </c>
      <c s="49" r="R82">
        <f>(DJ22/B22)*1000</f>
        <v>7652.69219819343</v>
      </c>
      <c s="49" r="S82">
        <f>(DL22/B22)*1000</f>
        <v>31413.5552025625</v>
      </c>
      <c s="49" r="T82">
        <f>(C82-R82)-S82</f>
        <v>18466.3554448065</v>
      </c>
      <c s="49" r="U82">
        <f>D82</f>
        <v>18757.069893636</v>
      </c>
    </row>
    <row r="83">
      <c t="str" s="38" r="B83">
        <f>A23</f>
        <v>    $60,000 under $75,000</v>
      </c>
      <c s="3" r="C83">
        <f>(C23/B23)*1000</f>
        <v>67404.3946508657</v>
      </c>
      <c s="3" r="D83">
        <f>(AX23/B23)*1000</f>
        <v>19917.0817748585</v>
      </c>
      <c s="3" r="E83">
        <f>SUM(G83:P83)</f>
        <v>20085.3468948469</v>
      </c>
      <c s="3" r="F83">
        <f>E83-D83</f>
        <v>168.265119988435</v>
      </c>
      <c s="3" r="G83">
        <f>(BB23/B23)*1000</f>
        <v>1360.25364317577</v>
      </c>
      <c s="3" r="H83">
        <f>(BH23/B23)*1000</f>
        <v>5647.73879464703</v>
      </c>
      <c s="3" r="I83">
        <f>(((BX23+CD23)+CF23)/B23)*1000</f>
        <v>8658.9942276933</v>
      </c>
      <c s="3" r="J83">
        <f>(CH23/B23)*1000</f>
        <v>34.8803882310279</v>
      </c>
      <c s="3" r="K83">
        <f>(CJ23/B23)*1000</f>
        <v>2083.97016357437</v>
      </c>
      <c s="49" r="L83">
        <f>(CR23/B23)*1000</f>
        <v>55.6678148273325</v>
      </c>
      <c s="49" r="M83">
        <f>(CT23/B23)*1000</f>
        <v>1805.18918626467</v>
      </c>
      <c s="49" r="N83">
        <f>(DD23/B23)*1000</f>
        <v>134.884737065044</v>
      </c>
      <c s="49" r="O83">
        <f>(DF23/B23)*1000</f>
        <v>33.3802117094582</v>
      </c>
      <c s="3" r="P83">
        <f>(DH23/B23)*1000</f>
        <v>270.387727658892</v>
      </c>
      <c s="49" r="R83">
        <f>(DJ23/B23)*1000</f>
        <v>8244.40584140864</v>
      </c>
      <c s="49" r="S83">
        <f>(DL23/B23)*1000</f>
        <v>39645.5047951887</v>
      </c>
      <c s="49" r="T83">
        <f>(C83-R83)-S83</f>
        <v>19514.4840142683</v>
      </c>
      <c s="49" r="U83">
        <f>D83</f>
        <v>19917.0817748585</v>
      </c>
    </row>
    <row r="84">
      <c t="str" s="38" r="B84">
        <f>A24</f>
        <v>    $75,000 under $100,000</v>
      </c>
      <c s="3" r="C84">
        <f>(C24/B24)*1000</f>
        <v>86942.1974636094</v>
      </c>
      <c s="3" r="D84">
        <f>(AX24/B24)*1000</f>
        <v>22382.5105009704</v>
      </c>
      <c s="3" r="E84">
        <f>SUM(G84:P84)</f>
        <v>22582.9037552427</v>
      </c>
      <c s="3" r="F84">
        <f>E84-D84</f>
        <v>200.393254272323</v>
      </c>
      <c s="3" r="G84">
        <f>(BB24/B24)*1000</f>
        <v>1186.93908598211</v>
      </c>
      <c s="3" r="H84">
        <f>(BH24/B24)*1000</f>
        <v>6974.41125273982</v>
      </c>
      <c s="3" r="I84">
        <f>(((BX24+CD24)+CF24)/B24)*1000</f>
        <v>9780.72134317961</v>
      </c>
      <c s="3" r="J84">
        <f>(CH24/B24)*1000</f>
        <v>45.872787711674</v>
      </c>
      <c s="3" r="K84">
        <f>(CJ24/B24)*1000</f>
        <v>2471.7614472851</v>
      </c>
      <c s="49" r="L84">
        <f>(CR24/B24)*1000</f>
        <v>47.8836792641024</v>
      </c>
      <c s="49" r="M84">
        <f>(CT24/B24)*1000</f>
        <v>1657.38715845823</v>
      </c>
      <c s="49" r="N84">
        <f>(DD24/B24)*1000</f>
        <v>174.921464113994</v>
      </c>
      <c s="49" r="O84">
        <f>(DF24/B24)*1000</f>
        <v>24.1786746560423</v>
      </c>
      <c s="3" r="P84">
        <f>(DH24/B24)*1000</f>
        <v>218.826861852036</v>
      </c>
      <c s="49" r="R84">
        <f>(DJ24/B24)*1000</f>
        <v>9185.95930613739</v>
      </c>
      <c s="49" r="S84">
        <f>(DL24/B24)*1000</f>
        <v>55560.3415992548</v>
      </c>
      <c s="49" r="T84">
        <f>(C84-R84)-S84</f>
        <v>22195.8965582172</v>
      </c>
      <c s="49" r="U84">
        <f>D84</f>
        <v>22382.5105009704</v>
      </c>
    </row>
    <row r="85">
      <c t="str" s="38" r="B85">
        <f>A25</f>
        <v>    $100,000 under $200,000</v>
      </c>
      <c s="3" r="C85">
        <f>(C25/B25)*1000</f>
        <v>134640.096667065</v>
      </c>
      <c s="3" r="D85">
        <f>(AX25/B25)*1000</f>
        <v>29241.0044898782</v>
      </c>
      <c s="3" r="E85">
        <f>SUM(G85:P85)</f>
        <v>29616.2015385466</v>
      </c>
      <c s="3" r="F85">
        <f>E85-D85</f>
        <v>375.197048668444</v>
      </c>
      <c s="3" r="G85">
        <f>(BB25/B25)*1000</f>
        <v>774.996340914823</v>
      </c>
      <c s="3" r="H85">
        <f>(BH25/B25)*1000</f>
        <v>10819.9599861602</v>
      </c>
      <c s="3" r="I85">
        <f>(((BX25+CD25)+CF25)/B25)*1000</f>
        <v>12037.2067207522</v>
      </c>
      <c s="3" r="J85">
        <f>(CH25/B25)*1000</f>
        <v>137.048577695527</v>
      </c>
      <c s="3" r="K85">
        <f>(CJ25/B25)*1000</f>
        <v>3411.7679035971</v>
      </c>
      <c s="49" r="L85">
        <f>(CR25/B25)*1000</f>
        <v>77.3953228573431</v>
      </c>
      <c s="49" r="M85">
        <f>(CT25/B25)*1000</f>
        <v>1664.00246616459</v>
      </c>
      <c s="49" r="N85">
        <f>(DD25/B25)*1000</f>
        <v>292.823857605041</v>
      </c>
      <c s="49" r="O85">
        <f>(DF25/B25)*1000</f>
        <v>40.5013257567165</v>
      </c>
      <c s="3" r="P85">
        <f>(DH25/B25)*1000</f>
        <v>360.499037043049</v>
      </c>
      <c s="49" r="R85">
        <f>(DJ25/B25)*1000</f>
        <v>10026.3081082471</v>
      </c>
      <c s="49" r="S85">
        <f>(DL25/B25)*1000</f>
        <v>95563.6887510732</v>
      </c>
      <c s="49" r="T85">
        <f>(C85-R85)-S85</f>
        <v>29050.0998077447</v>
      </c>
      <c s="49" r="U85">
        <f>D85</f>
        <v>29241.0044898782</v>
      </c>
    </row>
    <row r="86">
      <c t="str" s="38" r="B86">
        <f>A26</f>
        <v>    $200,000 under $500,000</v>
      </c>
      <c s="3" r="C86">
        <f>(C26/B26)*1000</f>
        <v>286247.380510862</v>
      </c>
      <c s="3" r="D86">
        <f>(AX26/B26)*1000</f>
        <v>52368.3826551303</v>
      </c>
      <c s="3" r="E86">
        <f>SUM(G86:P86)</f>
        <v>54980.514062759</v>
      </c>
      <c s="3" r="F86">
        <f>E86-D86</f>
        <v>2612.13140762872</v>
      </c>
      <c s="3" r="G86">
        <f>(BB26/B26)*1000</f>
        <v>813.785039885325</v>
      </c>
      <c s="3" r="H86">
        <f>(BH26/B26)*1000</f>
        <v>23603.5039054915</v>
      </c>
      <c s="3" r="I86">
        <f>(((BX26+CD26)+CF26)/B26)*1000</f>
        <v>17317.9188185597</v>
      </c>
      <c s="3" r="J86">
        <f>(CH26/B26)*1000</f>
        <v>909.724216463307</v>
      </c>
      <c s="3" r="K86">
        <f>(CJ26/B26)*1000</f>
        <v>7145.71030061127</v>
      </c>
      <c s="49" r="L86">
        <f>(CR26/B26)*1000</f>
        <v>248.341370187814</v>
      </c>
      <c s="49" r="M86">
        <f>(CT26/B26)*1000</f>
        <v>2012.38850242132</v>
      </c>
      <c s="49" r="N86">
        <f>(DD26/B26)*1000</f>
        <v>1028.34323634452</v>
      </c>
      <c s="49" r="O86">
        <f>(DF26/B26)*1000</f>
        <v>268.813531991452</v>
      </c>
      <c s="3" r="P86">
        <f>(DH26/B26)*1000</f>
        <v>1631.98514080273</v>
      </c>
      <c s="49" r="R86">
        <f>(DJ26/B26)*1000</f>
        <v>8989.82280268352</v>
      </c>
      <c s="49" r="S86">
        <f>(DL26/B26)*1000</f>
        <v>225745.403683214</v>
      </c>
      <c s="49" r="T86">
        <f>(C86-R86)-S86</f>
        <v>51512.1540249648</v>
      </c>
      <c s="49" r="U86">
        <f>D86</f>
        <v>52368.3826551303</v>
      </c>
    </row>
    <row r="87">
      <c t="str" s="38" r="B87">
        <f>A27</f>
        <v>    $500,000 under $1,000,000</v>
      </c>
      <c s="3" r="C87">
        <f>(C27/B27)*1000</f>
        <v>680124.258702425</v>
      </c>
      <c s="3" r="D87">
        <f>(AX27/B27)*1000</f>
        <v>104890.900946322</v>
      </c>
      <c s="3" r="E87">
        <f>SUM(G87:P87)</f>
        <v>114505.206765349</v>
      </c>
      <c s="3" r="F87">
        <f>E87-D87</f>
        <v>9614.30581902727</v>
      </c>
      <c s="3" r="G87">
        <f>(BB27/B27)*1000</f>
        <v>663.810895215434</v>
      </c>
      <c s="3" r="H87">
        <f>(BH27/B27)*1000</f>
        <v>54546.5344451739</v>
      </c>
      <c s="3" r="I87">
        <f>(((BX27+CD27)+CF27)/B27)*1000</f>
        <v>22004.9637466948</v>
      </c>
      <c s="3" r="J87">
        <f>(CH27/B27)*1000</f>
        <v>4550.21418285884</v>
      </c>
      <c s="3" r="K87">
        <f>(CJ27/B27)*1000</f>
        <v>17300.3746839851</v>
      </c>
      <c s="49" r="L87">
        <f>(CR27/B27)*1000</f>
        <v>743.575421020751</v>
      </c>
      <c s="49" r="M87">
        <f>(CT27/B27)*1000</f>
        <v>4532.46112608316</v>
      </c>
      <c s="49" r="N87">
        <f>(DD27/B27)*1000</f>
        <v>3297.90641242805</v>
      </c>
      <c s="49" r="O87">
        <f>(DF27/B27)*1000</f>
        <v>952.266783702516</v>
      </c>
      <c s="3" r="P87">
        <f>(DH27/B27)*1000</f>
        <v>5913.09906818668</v>
      </c>
      <c s="49" r="R87">
        <f>(DJ27/B27)*1000</f>
        <v>6894.53353113359</v>
      </c>
      <c s="49" r="S87">
        <f>(DL27/B27)*1000</f>
        <v>572157.893209624</v>
      </c>
      <c s="49" r="T87">
        <f>(C87-R87)-S87</f>
        <v>101071.831961668</v>
      </c>
      <c s="49" r="U87">
        <f>D87</f>
        <v>104890.900946322</v>
      </c>
    </row>
    <row r="88">
      <c t="str" s="38" r="B88">
        <f>A28</f>
        <v>    $1,000,000 under $1,500,000</v>
      </c>
      <c s="3" r="C88">
        <f>(C28/B28)*1000</f>
        <v>1208001.7740326</v>
      </c>
      <c s="3" r="D88">
        <f>(AX28/B28)*1000</f>
        <v>171859.075285508</v>
      </c>
      <c s="3" r="E88">
        <f>SUM(G88:P88)</f>
        <v>191378.682041616</v>
      </c>
      <c s="3" r="F88">
        <f>E88-D88</f>
        <v>19519.6067561075</v>
      </c>
      <c s="3" r="G88">
        <f>(BB28/B28)*1000</f>
        <v>478.537901467273</v>
      </c>
      <c s="3" r="H88">
        <f>(BH28/B28)*1000</f>
        <v>95032.0286801937</v>
      </c>
      <c s="3" r="I88">
        <f>(((BX28+CD28)+CF28)/B28)*1000</f>
        <v>23128.269948627</v>
      </c>
      <c s="3" r="J88">
        <f>(CH28/B28)*1000</f>
        <v>10407.0665631814</v>
      </c>
      <c s="3" r="K88">
        <f>(CJ28/B28)*1000</f>
        <v>31035.9611191189</v>
      </c>
      <c s="49" r="L88">
        <f>(CR28/B28)*1000</f>
        <v>1023.22504342684</v>
      </c>
      <c s="49" r="M88">
        <f>(CT28/B28)*1000</f>
        <v>8573.72953394685</v>
      </c>
      <c s="49" r="N88">
        <f>(DD28/B28)*1000</f>
        <v>7240.5736038733</v>
      </c>
      <c s="49" r="O88">
        <f>(DF28/B28)*1000</f>
        <v>1608.92190560668</v>
      </c>
      <c s="3" r="P88">
        <f>(DH28/B28)*1000</f>
        <v>12850.3677421739</v>
      </c>
      <c s="49" r="R88">
        <f>(DJ28/B28)*1000</f>
        <v>6821.51014524892</v>
      </c>
      <c s="49" r="S88">
        <f>(DL28/B28)*1000</f>
        <v>1037402.02535388</v>
      </c>
      <c s="49" r="T88">
        <f>(C88-R88)-S88</f>
        <v>163778.238533467</v>
      </c>
      <c s="49" r="U88">
        <f>D88</f>
        <v>171859.075285508</v>
      </c>
    </row>
    <row r="89">
      <c t="str" s="38" r="B89">
        <f>A29</f>
        <v>    $1,500,000 under $2,000,000</v>
      </c>
      <c s="3" r="C89">
        <f>(C29/B29)*1000</f>
        <v>1722184.17748012</v>
      </c>
      <c s="3" r="D89">
        <f>(AX29/B29)*1000</f>
        <v>240391.865494628</v>
      </c>
      <c s="3" r="E89">
        <f>SUM(G89:P89)</f>
        <v>271245.08162411</v>
      </c>
      <c s="3" r="F89">
        <f>E89-D89</f>
        <v>30853.2161294823</v>
      </c>
      <c s="3" r="G89">
        <f>(BB29/B29)*1000</f>
        <v>184.787916841077</v>
      </c>
      <c s="3" r="H89">
        <f>(BH29/B29)*1000</f>
        <v>134890.505092786</v>
      </c>
      <c s="3" r="I89">
        <f>(((BX29+CD29)+CF29)/B29)*1000</f>
        <v>22660.1262731966</v>
      </c>
      <c s="3" r="J89">
        <f>(CH29/B29)*1000</f>
        <v>16360.6983396121</v>
      </c>
      <c s="3" r="K89">
        <f>(CJ29/B29)*1000</f>
        <v>46425.0558113576</v>
      </c>
      <c s="49" r="L89">
        <f>(CR29/B29)*1000</f>
        <v>1277.53941677131</v>
      </c>
      <c s="49" r="M89">
        <f>(CT29/B29)*1000</f>
        <v>12610.9425143017</v>
      </c>
      <c s="49" r="N89">
        <f>(DD29/B29)*1000</f>
        <v>13555.0962745919</v>
      </c>
      <c s="49" r="O89">
        <f>(DF29/B29)*1000</f>
        <v>1873.63959815823</v>
      </c>
      <c s="3" r="P89">
        <f>(DH29/B29)*1000</f>
        <v>21406.6903864936</v>
      </c>
      <c s="49" r="R89">
        <f>(DJ29/B29)*1000</f>
        <v>6651.4929538161</v>
      </c>
      <c s="49" r="S89">
        <f>(DL29/B29)*1000</f>
        <v>1488966.37365704</v>
      </c>
      <c s="49" r="T89">
        <f>(C89-R89)-S89</f>
        <v>226566.310869262</v>
      </c>
      <c s="49" r="U89">
        <f>D89</f>
        <v>240391.865494628</v>
      </c>
    </row>
    <row r="90">
      <c t="str" s="38" r="B90">
        <f>A30</f>
        <v>    $2,000,000 under $5,000,000</v>
      </c>
      <c s="3" r="C90">
        <f>(C30/B30)*1000</f>
        <v>2983805.47514385</v>
      </c>
      <c s="3" r="D90">
        <f>(AX30/B30)*1000</f>
        <v>399153.806749818</v>
      </c>
      <c s="3" r="E90">
        <f>SUM(G90:P90)</f>
        <v>451883.897406574</v>
      </c>
      <c s="3" r="F90">
        <f>E90-D90</f>
        <v>52730.0906567552</v>
      </c>
      <c s="3" r="G90">
        <f>(BB30/B30)*1000</f>
        <v>273.828669454273</v>
      </c>
      <c s="3" r="H90">
        <f>(BH30/B30)*1000</f>
        <v>218414.412160633</v>
      </c>
      <c s="3" r="I90">
        <f>(((BX30+CD30)+CF30)/B30)*1000</f>
        <v>23065.8542105953</v>
      </c>
      <c s="3" r="J90">
        <f>(CH30/B30)*1000</f>
        <v>32342.0535363282</v>
      </c>
      <c s="3" r="K90">
        <f>(CJ30/B30)*1000</f>
        <v>86942.413304266</v>
      </c>
      <c s="49" r="L90">
        <f>(CR30/B30)*1000</f>
        <v>1786.2954623971</v>
      </c>
      <c s="49" r="M90">
        <f>(CT30/B30)*1000</f>
        <v>22247.4774549397</v>
      </c>
      <c s="49" r="N90">
        <f>(DD30/B30)*1000</f>
        <v>20447.887256829</v>
      </c>
      <c s="49" r="O90">
        <f>(DF30/B30)*1000</f>
        <v>5224.41418581657</v>
      </c>
      <c s="3" r="P90">
        <f>(DH30/B30)*1000</f>
        <v>41139.2611653146</v>
      </c>
      <c s="49" r="R90">
        <f>(DJ30/B30)*1000</f>
        <v>6548.61036655826</v>
      </c>
      <c s="49" r="S90">
        <f>(DL30/B30)*1000</f>
        <v>2602000.98876619</v>
      </c>
      <c s="49" r="T90">
        <f>(C90-R90)-S90</f>
        <v>375255.876011102</v>
      </c>
      <c s="49" r="U90">
        <f>D90</f>
        <v>399153.806749818</v>
      </c>
    </row>
    <row r="91">
      <c t="str" s="38" r="B91">
        <f>A31</f>
        <v>    $5,000,000 under $10,000,000</v>
      </c>
      <c s="3" r="C91">
        <f>(C31/B31)*1000</f>
        <v>6843932.65880781</v>
      </c>
      <c s="3" r="D91">
        <f>(AX31/B31)*1000</f>
        <v>893172.910800363</v>
      </c>
      <c s="3" r="E91">
        <f>SUM(G91:P91)</f>
        <v>1008752.0164177</v>
      </c>
      <c s="3" r="F91">
        <f>E91-D91</f>
        <v>115579.105617334</v>
      </c>
      <c s="3" r="G91">
        <f>(BB31/B31)*1000</f>
        <v>276.475922302296</v>
      </c>
      <c s="3" r="H91">
        <f>(BH31/B31)*1000</f>
        <v>464345.917052451</v>
      </c>
      <c s="3" r="I91">
        <f>(((BX31+CD31)+CF31)/B31)*1000</f>
        <v>21572.4717224264</v>
      </c>
      <c s="3" r="J91">
        <f>(CH31/B31)*1000</f>
        <v>81615.8545315707</v>
      </c>
      <c s="3" r="K91">
        <f>(CJ31/B31)*1000</f>
        <v>223745.716603828</v>
      </c>
      <c s="49" r="L91">
        <f>(CR31/B31)*1000</f>
        <v>2409.77425666969</v>
      </c>
      <c s="49" r="M91">
        <f>(CT31/B31)*1000</f>
        <v>53171.526750346</v>
      </c>
      <c s="49" r="N91">
        <f>(DD31/B31)*1000</f>
        <v>34978.3801842218</v>
      </c>
      <c s="49" r="O91">
        <f>(DF31/B31)*1000</f>
        <v>19875.9127571231</v>
      </c>
      <c s="3" r="P91">
        <f>(DH31/B31)*1000</f>
        <v>106759.986636758</v>
      </c>
      <c s="49" r="R91">
        <f>(DJ31/B31)*1000</f>
        <v>6383.81138739083</v>
      </c>
      <c s="49" r="S91">
        <f>(DL31/B31)*1000</f>
        <v>6019640.29017324</v>
      </c>
      <c s="49" r="T91">
        <f>(C91-R91)-S91</f>
        <v>817908.557247173</v>
      </c>
      <c s="49" r="U91">
        <f>D91</f>
        <v>893172.910800363</v>
      </c>
    </row>
    <row r="92">
      <c t="str" s="38" r="B92">
        <f>A32</f>
        <v>    $10,000,000 or more</v>
      </c>
      <c s="3" r="C92">
        <f>(C32/B32)*1000</f>
        <v>29719984.750601</v>
      </c>
      <c s="3" r="D92">
        <f>(AX32/B32)*1000</f>
        <v>4008318.73497596</v>
      </c>
      <c s="3" r="E92">
        <f>SUM(G92:P92)</f>
        <v>4378596.22896635</v>
      </c>
      <c s="3" r="F92">
        <f>E92-D92</f>
        <v>370277.493990384</v>
      </c>
      <c s="3" r="G92">
        <f>(BB32/B32)*1000</f>
        <v>0</v>
      </c>
      <c s="3" r="H92">
        <f>(BH32/B32)*1000</f>
        <v>1785183.44350962</v>
      </c>
      <c s="3" r="I92">
        <f>(((BX32+CD32)+CF32)/B32)*1000</f>
        <v>20305.4387019231</v>
      </c>
      <c s="3" r="J92">
        <f>(CH32/B32)*1000</f>
        <v>553002.779447115</v>
      </c>
      <c s="3" r="K92">
        <f>(CJ32/B32)*1000</f>
        <v>1523925.78125</v>
      </c>
      <c s="49" r="L92">
        <f>(CR32/B32)*1000</f>
        <v>2435.02103365385</v>
      </c>
      <c s="49" r="M92">
        <f>(CT32/B32)*1000</f>
        <v>168770.132211538</v>
      </c>
      <c s="49" r="N92">
        <f>(DD32/B32)*1000</f>
        <v>91294.0955528846</v>
      </c>
      <c s="49" r="O92">
        <f>(DF32/B32)*1000</f>
        <v>24740.7602163462</v>
      </c>
      <c s="3" r="P92">
        <f>(DH32/B32)*1000</f>
        <v>208938.777043269</v>
      </c>
      <c s="49" r="R92">
        <f>(DJ32/B32)*1000</f>
        <v>6395.05709134615</v>
      </c>
      <c s="49" r="S92">
        <f>(DL32/B32)*1000</f>
        <v>25834216.8719952</v>
      </c>
      <c s="49" r="T92">
        <f>(C92-R92)-S92</f>
        <v>3879372.82151442</v>
      </c>
      <c s="49" r="U92">
        <f>D92</f>
        <v>4008318.73497596</v>
      </c>
    </row>
    <row r="94">
      <c t="s" s="39" r="C94">
        <v>106</v>
      </c>
      <c t="s" s="39" r="D94">
        <v>140</v>
      </c>
      <c t="s" s="39" r="E94">
        <v>141</v>
      </c>
      <c t="s" s="39" r="F94">
        <v>142</v>
      </c>
      <c t="s" s="39" r="G94">
        <v>143</v>
      </c>
      <c t="s" s="39" r="H94">
        <v>144</v>
      </c>
      <c t="s" s="39" r="I94">
        <v>145</v>
      </c>
      <c t="s" s="67" r="J94">
        <v>146</v>
      </c>
      <c t="s" s="67" r="K94">
        <v>147</v>
      </c>
      <c t="s" s="67" r="L94">
        <v>148</v>
      </c>
      <c t="s" s="67" r="M94">
        <v>149</v>
      </c>
      <c t="s" s="39" r="N94">
        <v>150</v>
      </c>
      <c t="s" s="67" r="O94">
        <v>151</v>
      </c>
    </row>
    <row r="95">
      <c t="s" s="39" r="B95">
        <v>75</v>
      </c>
      <c s="3" r="C95">
        <v>118997.251803368</v>
      </c>
      <c s="3" r="D95">
        <v>27451.7877021891</v>
      </c>
      <c s="3" r="E95">
        <v>28281.8256514394</v>
      </c>
      <c s="42" r="F95">
        <f>G70/$C70</f>
        <v>0.013326879095817</v>
      </c>
      <c s="42" r="G95">
        <f>H70/$C70</f>
        <v>0.081512647257281</v>
      </c>
      <c s="42" r="H95">
        <f>I70/$C70</f>
        <v>0.082923400829197</v>
      </c>
      <c s="42" r="I95">
        <f>J70/$C70</f>
        <v>0.003894118927264</v>
      </c>
      <c s="42" r="J95">
        <f>K70/$C70</f>
        <v>0.030171498082856</v>
      </c>
      <c s="42" r="K95">
        <f>L70/$C70</f>
        <v>0.000758627291651</v>
      </c>
      <c s="42" r="L95">
        <f>M70/$C70</f>
        <v>0.015688778596032</v>
      </c>
      <c s="42" r="M95">
        <f>N70/$C70</f>
        <v>0.003220925496757</v>
      </c>
      <c s="42" r="N95">
        <f>O70/$C70</f>
        <v>0.000774937619221</v>
      </c>
      <c s="42" r="O95">
        <f>P70/$C70</f>
        <v>0.005396075959655</v>
      </c>
    </row>
    <row r="96">
      <c t="s" s="39" r="B96">
        <v>76</v>
      </c>
      <c s="3" r="C96">
        <v>2447.34058554668</v>
      </c>
      <c s="3" r="D96">
        <v>16541.4948228513</v>
      </c>
      <c s="3" r="E96">
        <v>16583.6398218323</v>
      </c>
      <c s="42" r="F96">
        <f>G71/$C71</f>
        <v>2.2163515678282</v>
      </c>
      <c s="42" r="G96">
        <f>H71/$C71</f>
        <v>1.29421660137353</v>
      </c>
      <c s="42" r="H96">
        <f>I71/$C71</f>
        <v>2.70947695443227</v>
      </c>
      <c s="42" r="I96">
        <f>J71/$C71</f>
        <v>0.035670668844867</v>
      </c>
      <c s="42" r="J96">
        <f>K71/$C71</f>
        <v>0.153501641580358</v>
      </c>
      <c s="42" r="K96">
        <f>L71/$C71</f>
        <v>0.005796087170296</v>
      </c>
      <c s="42" r="L96">
        <f>M71/$C71</f>
        <v>0.259955550444892</v>
      </c>
      <c s="42" r="M96">
        <f>N71/$C71</f>
        <v>0.010864565655284</v>
      </c>
      <c s="42" r="N96">
        <f>O71/$C71</f>
        <v>0.006355176132849</v>
      </c>
      <c s="42" r="O96">
        <f>P71/$C71</f>
        <v>0.083999151453631</v>
      </c>
    </row>
    <row r="97">
      <c t="s" s="39" r="B97">
        <v>77</v>
      </c>
      <c s="3" r="C97">
        <v>7645.66134775155</v>
      </c>
      <c s="3" r="D97">
        <v>15577.1149281287</v>
      </c>
      <c s="3" r="E97">
        <v>15689.5654754055</v>
      </c>
      <c s="42" r="F97">
        <f>G72/$C72</f>
        <v>0.684316466601871</v>
      </c>
      <c s="42" r="G97">
        <f>H72/$C72</f>
        <v>0.368118074306989</v>
      </c>
      <c s="42" r="H97">
        <f>I72/$C72</f>
        <v>0.760763957462479</v>
      </c>
      <c s="42" r="I97">
        <f>J72/$C72</f>
        <v>0.009599488073298</v>
      </c>
      <c s="42" r="J97">
        <f>K72/$C72</f>
        <v>0.103637560034531</v>
      </c>
      <c s="42" r="K97">
        <f>L72/$C72</f>
        <v>0.010783577294809</v>
      </c>
      <c s="42" r="L97">
        <f>M72/$C72</f>
        <v>0.085452347092513</v>
      </c>
      <c s="42" r="M97">
        <f>N72/$C72</f>
        <v>0.01259851958663</v>
      </c>
      <c s="42" r="N97">
        <f>O72/$C72</f>
        <v>0.002109455379327</v>
      </c>
      <c s="42" r="O97">
        <f>P72/$C72</f>
        <v>0.014707974965956</v>
      </c>
    </row>
    <row r="98">
      <c t="s" s="39" r="B98">
        <v>78</v>
      </c>
      <c s="3" r="C98">
        <v>12621.8372903434</v>
      </c>
      <c s="3" r="D98">
        <v>15782.6915791782</v>
      </c>
      <c s="3" r="E98">
        <v>15914.2997343778</v>
      </c>
      <c s="42" r="F98">
        <f>G73/$C73</f>
        <v>0.408114109413595</v>
      </c>
      <c s="42" r="G98">
        <f>H73/$C73</f>
        <v>0.230810005039133</v>
      </c>
      <c s="42" r="H98">
        <f>I73/$C73</f>
        <v>0.447548789282988</v>
      </c>
      <c s="42" r="I98">
        <f>J73/$C73</f>
        <v>0.00269964820851</v>
      </c>
      <c s="42" r="J98">
        <f>K73/$C73</f>
        <v>0.080523444955417</v>
      </c>
      <c s="42" r="K98">
        <f>L73/$C73</f>
        <v>0.008315007751769</v>
      </c>
      <c s="42" r="L98">
        <f>M73/$C73</f>
        <v>0.060701715463994</v>
      </c>
      <c s="42" r="M98">
        <f>N73/$C73</f>
        <v>0.008940467500227</v>
      </c>
      <c s="42" r="N98">
        <f>O73/$C73</f>
        <v>0.001486640681756</v>
      </c>
      <c s="42" r="O98">
        <f>P73/$C73</f>
        <v>0.011714623261205</v>
      </c>
    </row>
    <row r="99">
      <c t="s" s="39" r="B99">
        <v>79</v>
      </c>
      <c s="3" r="C99">
        <v>17587.1534300873</v>
      </c>
      <c s="3" r="D99">
        <v>16034.2010914071</v>
      </c>
      <c s="3" r="E99">
        <v>16195.489860099</v>
      </c>
      <c s="42" r="F99">
        <f>G74/$C74</f>
        <v>0.221965607534377</v>
      </c>
      <c s="42" r="G99">
        <f>H74/$C74</f>
        <v>0.16312129998588</v>
      </c>
      <c s="42" r="H99">
        <f>I74/$C74</f>
        <v>0.360245741659407</v>
      </c>
      <c s="42" r="I99">
        <f>J74/$C74</f>
        <v>0.002723702427586</v>
      </c>
      <c s="42" r="J99">
        <f>K74/$C74</f>
        <v>0.073284557304693</v>
      </c>
      <c s="42" r="K99">
        <f>L74/$C74</f>
        <v>0.001557931572797</v>
      </c>
      <c s="42" r="L99">
        <f>M74/$C74</f>
        <v>0.069443847334346</v>
      </c>
      <c s="42" r="M99">
        <f>N74/$C74</f>
        <v>0.007951745743689</v>
      </c>
      <c s="42" r="N99">
        <f>O74/$C74</f>
        <v>0.00121908280074</v>
      </c>
      <c s="42" r="O99">
        <f>P74/$C74</f>
        <v>0.019356931743933</v>
      </c>
    </row>
    <row r="100">
      <c t="s" s="39" r="B100">
        <v>80</v>
      </c>
      <c s="3" r="C100">
        <v>22553.3726130725</v>
      </c>
      <c s="3" r="D100">
        <v>15593.5972408665</v>
      </c>
      <c s="3" r="E100">
        <v>15763.3392039865</v>
      </c>
      <c s="42" r="F100">
        <f>G75/$C75</f>
        <v>0.160969865808112</v>
      </c>
      <c s="42" r="G100">
        <f>H75/$C75</f>
        <v>0.136356128551024</v>
      </c>
      <c s="42" r="H100">
        <f>I75/$C75</f>
        <v>0.261895258355205</v>
      </c>
      <c s="42" r="I100">
        <f>J75/$C75</f>
        <v>0.001450189537173</v>
      </c>
      <c s="42" r="J100">
        <f>K75/$C75</f>
        <v>0.059786094925679</v>
      </c>
      <c s="42" r="K100">
        <f>L75/$C75</f>
        <v>0.002137232875211</v>
      </c>
      <c s="42" r="L100">
        <f>M75/$C75</f>
        <v>0.060836255767903</v>
      </c>
      <c s="42" r="M100">
        <f>N75/$C75</f>
        <v>0.005327786685765</v>
      </c>
      <c s="42" r="N100">
        <f>O75/$C75</f>
        <v>0.00219841488426</v>
      </c>
      <c s="42" r="O100">
        <f>P75/$C75</f>
        <v>0.007977671368429</v>
      </c>
    </row>
    <row r="101">
      <c t="s" s="39" r="B101">
        <v>81</v>
      </c>
      <c s="3" r="C101">
        <v>27554.6662679803</v>
      </c>
      <c s="3" r="D101">
        <v>15975.8786494169</v>
      </c>
      <c s="3" r="E101">
        <v>16132.3053978966</v>
      </c>
      <c s="42" r="F101">
        <f>G76/$C76</f>
        <v>0.089609339702919</v>
      </c>
      <c s="42" r="G101">
        <f>H76/$C76</f>
        <v>0.121685376533477</v>
      </c>
      <c s="42" r="H101">
        <f>I76/$C76</f>
        <v>0.249220354019464</v>
      </c>
      <c s="42" r="I101">
        <f>J76/$C76</f>
        <v>0.000858404837362</v>
      </c>
      <c s="42" r="J101">
        <f>K76/$C76</f>
        <v>0.051282435885941</v>
      </c>
      <c s="42" r="K101">
        <f>L76/$C76</f>
        <v>0.001678716642841</v>
      </c>
      <c s="42" r="L101">
        <f>M76/$C76</f>
        <v>0.058625938377223</v>
      </c>
      <c s="42" r="M101">
        <f>N76/$C76</f>
        <v>0.003873471674042</v>
      </c>
      <c s="42" r="N101">
        <f>O76/$C76</f>
        <v>0.001803488698421</v>
      </c>
      <c s="42" r="O101">
        <f>P76/$C76</f>
        <v>0.006827934940868</v>
      </c>
    </row>
    <row r="102">
      <c t="s" s="39" r="B102">
        <v>82</v>
      </c>
      <c s="3" r="C102">
        <v>32553.231340111</v>
      </c>
      <c s="3" r="D102">
        <v>15684.1389608697</v>
      </c>
      <c s="3" r="E102">
        <v>15832.6917366477</v>
      </c>
      <c s="42" r="F102">
        <f>G77/$C77</f>
        <v>0.065165931535415</v>
      </c>
      <c s="42" r="G102">
        <f>H77/$C77</f>
        <v>0.104153276239892</v>
      </c>
      <c s="42" r="H102">
        <f>I77/$C77</f>
        <v>0.206593201283197</v>
      </c>
      <c s="42" r="I102">
        <f>J77/$C77</f>
        <v>0.000449870762028</v>
      </c>
      <c s="42" r="J102">
        <f>K77/$C77</f>
        <v>0.044981596576421</v>
      </c>
      <c s="42" r="K102">
        <f>L77/$C77</f>
        <v>0.000981755452774</v>
      </c>
      <c s="42" r="L102">
        <f>M77/$C77</f>
        <v>0.054910728765533</v>
      </c>
      <c s="42" r="M102">
        <f>N77/$C77</f>
        <v>0.003882774648512</v>
      </c>
      <c s="42" r="N102">
        <f>O77/$C77</f>
        <v>0.000680622093778</v>
      </c>
      <c s="42" r="O102">
        <f>P77/$C77</f>
        <v>0.004563380336223</v>
      </c>
    </row>
    <row r="103">
      <c t="s" s="39" r="B103">
        <v>83</v>
      </c>
      <c s="3" r="C103">
        <v>37504.5609397259</v>
      </c>
      <c s="3" r="D103">
        <v>16108.3418696303</v>
      </c>
      <c s="3" r="E103">
        <v>16263.8721238721</v>
      </c>
      <c s="42" r="F103">
        <f>G78/$C78</f>
        <v>0.051360853393092</v>
      </c>
      <c s="42" r="G103">
        <f>H78/$C78</f>
        <v>0.100238000251892</v>
      </c>
      <c s="42" r="H103">
        <f>I78/$C78</f>
        <v>0.180545910487826</v>
      </c>
      <c s="42" r="I103">
        <f>J78/$C78</f>
        <v>0.000299673227099</v>
      </c>
      <c s="42" r="J103">
        <f>K78/$C78</f>
        <v>0.041312115683319</v>
      </c>
      <c s="42" r="K103">
        <f>L78/$C78</f>
        <v>0.002481839782579</v>
      </c>
      <c s="42" r="L103">
        <f>M78/$C78</f>
        <v>0.049101395373074</v>
      </c>
      <c s="42" r="M103">
        <f>N78/$C78</f>
        <v>0.0031796474601</v>
      </c>
      <c s="42" r="N103">
        <f>O78/$C78</f>
        <v>0.000967321610989</v>
      </c>
      <c s="42" r="O103">
        <f>P78/$C78</f>
        <v>0.00416375659713</v>
      </c>
    </row>
    <row r="104">
      <c t="s" s="39" r="B104">
        <v>84</v>
      </c>
      <c s="3" r="C104">
        <v>42499.4299441458</v>
      </c>
      <c s="3" r="D104">
        <v>16654.9535811662</v>
      </c>
      <c s="3" r="E104">
        <v>16812.9336004255</v>
      </c>
      <c s="42" r="F104">
        <f>G79/$C79</f>
        <v>0.044018158947384</v>
      </c>
      <c s="42" r="G104">
        <f>H79/$C79</f>
        <v>0.090785208119823</v>
      </c>
      <c s="42" r="H104">
        <f>I79/$C79</f>
        <v>0.168504582228568</v>
      </c>
      <c s="42" r="I104">
        <f>J79/$C79</f>
        <v>0.000483421489956</v>
      </c>
      <c s="42" r="J104">
        <f>K79/$C79</f>
        <v>0.039626645269055</v>
      </c>
      <c s="42" r="K104">
        <f>L79/$C79</f>
        <v>0.002376850306086</v>
      </c>
      <c s="42" r="L104">
        <f>M79/$C79</f>
        <v>0.042059533704411</v>
      </c>
      <c s="42" r="M104">
        <f>N79/$C79</f>
        <v>0.00218356507261</v>
      </c>
      <c s="42" r="N104">
        <f>O79/$C79</f>
        <v>0.001533661710596</v>
      </c>
      <c s="42" r="O104">
        <f>P79/$C79</f>
        <v>0.004032117072822</v>
      </c>
    </row>
    <row r="105">
      <c t="s" s="39" r="B105">
        <v>85</v>
      </c>
      <c s="3" r="C105">
        <v>47475.4918974003</v>
      </c>
      <c s="3" r="D105">
        <v>17302.2316763834</v>
      </c>
      <c s="3" r="E105">
        <v>17487.1247309287</v>
      </c>
      <c s="42" r="F105">
        <f>G80/$C80</f>
        <v>0.038724553499933</v>
      </c>
      <c s="42" r="G105">
        <f>H80/$C80</f>
        <v>0.088598176119278</v>
      </c>
      <c s="42" r="H105">
        <f>I80/$C80</f>
        <v>0.152804124693904</v>
      </c>
      <c s="42" r="I105">
        <f>J80/$C80</f>
        <v>0.00037177594969</v>
      </c>
      <c s="42" r="J105">
        <f>K80/$C80</f>
        <v>0.036377979688043</v>
      </c>
      <c s="42" r="K105">
        <f>L80/$C80</f>
        <v>0.001153795475379</v>
      </c>
      <c s="42" r="L105">
        <f>M80/$C80</f>
        <v>0.042406509037345</v>
      </c>
      <c s="42" r="M105">
        <f>N80/$C80</f>
        <v>0.002948183378256</v>
      </c>
      <c s="42" r="N105">
        <f>O80/$C80</f>
        <v>0.000946301662912</v>
      </c>
      <c s="42" r="O105">
        <f>P80/$C80</f>
        <v>0.00400864357939</v>
      </c>
    </row>
    <row r="106">
      <c t="s" s="39" r="B106">
        <v>86</v>
      </c>
      <c s="3" r="C106">
        <v>52509.0321682136</v>
      </c>
      <c s="3" r="D106">
        <v>18034.5904285517</v>
      </c>
      <c s="3" r="E106">
        <v>18170.7891227123</v>
      </c>
      <c s="42" r="F106">
        <f>G81/$C81</f>
        <v>0.034704296469865</v>
      </c>
      <c s="42" r="G106">
        <f>H81/$C81</f>
        <v>0.087091512373465</v>
      </c>
      <c s="42" r="H106">
        <f>I81/$C81</f>
        <v>0.146521354256875</v>
      </c>
      <c s="42" r="I106">
        <f>J81/$C81</f>
        <v>0.000322261785774</v>
      </c>
      <c s="42" r="J106">
        <f>K81/$C81</f>
        <v>0.034571986148481</v>
      </c>
      <c s="42" r="K106">
        <f>L81/$C81</f>
        <v>0.001071136178761</v>
      </c>
      <c s="42" r="L106">
        <f>M81/$C81</f>
        <v>0.0365805667864</v>
      </c>
      <c s="42" r="M106">
        <f>N81/$C81</f>
        <v>0.002178584712031</v>
      </c>
      <c s="42" r="N106">
        <f>O81/$C81</f>
        <v>0.00041522067657</v>
      </c>
      <c s="42" r="O106">
        <f>P81/$C81</f>
        <v>0.002593814597922</v>
      </c>
    </row>
    <row r="107">
      <c t="s" s="39" r="B107">
        <v>87</v>
      </c>
      <c s="3" r="C107">
        <v>57532.6028455624</v>
      </c>
      <c s="3" r="D107">
        <v>18757.069893636</v>
      </c>
      <c s="3" r="E107">
        <v>18913.2926374116</v>
      </c>
      <c s="42" r="F107">
        <f>G82/$C82</f>
        <v>0.031140389368699</v>
      </c>
      <c s="42" r="G107">
        <f>H82/$C82</f>
        <v>0.085239399345172</v>
      </c>
      <c s="42" r="H107">
        <f>I82/$C82</f>
        <v>0.139026604656147</v>
      </c>
      <c s="42" r="I107">
        <f>J82/$C82</f>
        <v>0.00041325658728</v>
      </c>
      <c s="42" r="J107">
        <f>K82/$C82</f>
        <v>0.034792326324915</v>
      </c>
      <c s="42" r="K107">
        <f>L82/$C82</f>
        <v>0.000255850485956</v>
      </c>
      <c s="42" r="L107">
        <f>M82/$C82</f>
        <v>0.032276031899548</v>
      </c>
      <c s="42" r="M107">
        <f>N82/$C82</f>
        <v>0.002277658592461</v>
      </c>
      <c s="42" r="N107">
        <f>O82/$C82</f>
        <v>0.000437710312308</v>
      </c>
      <c s="42" r="O107">
        <f>P82/$C82</f>
        <v>0.002881203104387</v>
      </c>
    </row>
    <row r="108">
      <c t="s" s="39" r="B108">
        <v>88</v>
      </c>
      <c s="3" r="C108">
        <v>67404.3946508657</v>
      </c>
      <c s="3" r="D108">
        <v>19917.0817748585</v>
      </c>
      <c s="3" r="E108">
        <v>20085.3468948469</v>
      </c>
      <c s="42" r="F108">
        <f>G83/$C83</f>
        <v>0.020180488975852</v>
      </c>
      <c s="42" r="G108">
        <f>H83/$C83</f>
        <v>0.083788880886782</v>
      </c>
      <c s="42" r="H108">
        <f>I83/$C83</f>
        <v>0.128463348310511</v>
      </c>
      <c s="42" r="I108">
        <f>J83/$C83</f>
        <v>0.000517479437531</v>
      </c>
      <c s="42" r="J108">
        <f>K83/$C83</f>
        <v>0.030917422734359</v>
      </c>
      <c s="42" r="K108">
        <f>L83/$C83</f>
        <v>0.000825878121385</v>
      </c>
      <c s="42" r="L108">
        <f>M83/$C83</f>
        <v>0.026781476128003</v>
      </c>
      <c s="42" r="M108">
        <f>N83/$C83</f>
        <v>0.002001126747947</v>
      </c>
      <c s="42" r="N108">
        <f>O83/$C83</f>
        <v>0.000495223076809</v>
      </c>
      <c s="42" r="O108">
        <f>P83/$C83</f>
        <v>0.004011425798858</v>
      </c>
    </row>
    <row r="109">
      <c t="s" s="39" r="B109">
        <v>89</v>
      </c>
      <c s="3" r="C109">
        <v>86942.1974636094</v>
      </c>
      <c s="3" r="D109">
        <v>22382.5105009704</v>
      </c>
      <c s="3" r="E109">
        <v>22582.9037552427</v>
      </c>
      <c s="42" r="F109">
        <f>G84/$C84</f>
        <v>0.013652048379372</v>
      </c>
      <c s="42" r="G109">
        <f>H84/$C84</f>
        <v>0.080218943806418</v>
      </c>
      <c s="42" r="H109">
        <f>I84/$C84</f>
        <v>0.112496826955328</v>
      </c>
      <c s="42" r="I109">
        <f>J84/$C84</f>
        <v>0.000527623973743</v>
      </c>
      <c s="42" r="J109">
        <f>K84/$C84</f>
        <v>0.028429939884136</v>
      </c>
      <c s="42" r="K109">
        <f>L84/$C84</f>
        <v>0.000550753036627</v>
      </c>
      <c s="42" r="L109">
        <f>M84/$C84</f>
        <v>0.019063092569658</v>
      </c>
      <c s="42" r="M109">
        <f>N84/$C84</f>
        <v>0.00201192826058</v>
      </c>
      <c s="42" r="N109">
        <f>O84/$C84</f>
        <v>0.00027810056982</v>
      </c>
      <c s="42" r="O109">
        <f>P84/$C84</f>
        <v>0.002516923522017</v>
      </c>
    </row>
    <row r="110">
      <c t="s" s="39" r="B110">
        <v>90</v>
      </c>
      <c s="3" r="C110">
        <v>134640.096667065</v>
      </c>
      <c s="3" r="D110">
        <v>29241.0044898782</v>
      </c>
      <c s="3" r="E110">
        <v>29616.2015385466</v>
      </c>
      <c s="42" r="F110">
        <f>G85/$C85</f>
        <v>0.005756059005448</v>
      </c>
      <c s="42" r="G110">
        <f>H85/$C85</f>
        <v>0.080362093120859</v>
      </c>
      <c s="42" r="H110">
        <f>I85/$C85</f>
        <v>0.089402837778092</v>
      </c>
      <c s="42" r="I110">
        <f>J85/$C85</f>
        <v>0.001017888289507</v>
      </c>
      <c s="42" r="J110">
        <f>K85/$C85</f>
        <v>0.02533990978953</v>
      </c>
      <c s="42" r="K110">
        <f>L85/$C85</f>
        <v>0.000574831159314</v>
      </c>
      <c s="42" r="L110">
        <f>M85/$C85</f>
        <v>0.012358892390573</v>
      </c>
      <c s="42" r="M110">
        <f>N85/$C85</f>
        <v>0.002174863691083</v>
      </c>
      <c s="42" r="N110">
        <f>O85/$C85</f>
        <v>0.000300811769742</v>
      </c>
      <c s="42" r="O110">
        <f>P85/$C85</f>
        <v>0.002677501323655</v>
      </c>
    </row>
    <row r="111">
      <c t="s" s="39" r="B111">
        <v>91</v>
      </c>
      <c s="3" r="C111">
        <v>286247.380510862</v>
      </c>
      <c s="3" r="D111">
        <v>52368.3826551303</v>
      </c>
      <c s="3" r="E111">
        <v>54980.514062759</v>
      </c>
      <c s="42" r="F111">
        <f>G86/$C86</f>
        <v>0.002842943185831</v>
      </c>
      <c s="42" r="G111">
        <f>H86/$C86</f>
        <v>0.08245841014638</v>
      </c>
      <c s="42" r="H111">
        <f>I86/$C86</f>
        <v>0.06049983335272</v>
      </c>
      <c s="42" r="I111">
        <f>J86/$C86</f>
        <v>0.003178104948383</v>
      </c>
      <c s="42" r="J111">
        <f>K86/$C86</f>
        <v>0.024963408530965</v>
      </c>
      <c s="42" r="K111">
        <f>L86/$C86</f>
        <v>0.000867576044695</v>
      </c>
      <c s="42" r="L111">
        <f>M86/$C86</f>
        <v>0.007030242508525</v>
      </c>
      <c s="42" r="M111">
        <f>N86/$C86</f>
        <v>0.003592498329624</v>
      </c>
      <c s="42" r="N111">
        <f>O86/$C86</f>
        <v>0.000939095168353</v>
      </c>
      <c s="42" r="O111">
        <f>P86/$C86</f>
        <v>0.005701310306806</v>
      </c>
    </row>
    <row r="112">
      <c t="s" s="39" r="B112">
        <v>92</v>
      </c>
      <c s="3" r="C112">
        <v>680124.258702425</v>
      </c>
      <c s="3" r="D112">
        <v>104890.900946322</v>
      </c>
      <c s="3" r="E112">
        <v>114505.206765349</v>
      </c>
      <c s="42" r="F112">
        <f>G87/$C87</f>
        <v>0.000976014142595</v>
      </c>
      <c s="42" r="G112">
        <f>H87/$C87</f>
        <v>0.080200836460738</v>
      </c>
      <c s="42" r="H112">
        <f>I87/$C87</f>
        <v>0.032354328587951</v>
      </c>
      <c s="42" r="I112">
        <f>J87/$C87</f>
        <v>0.00669026890989</v>
      </c>
      <c s="42" r="J112">
        <f>K87/$C87</f>
        <v>0.025437079272825</v>
      </c>
      <c s="42" r="K112">
        <f>L87/$C87</f>
        <v>0.001093293484987</v>
      </c>
      <c s="42" r="L112">
        <f>M87/$C87</f>
        <v>0.006664166243284</v>
      </c>
      <c s="42" r="M112">
        <f>N87/$C87</f>
        <v>0.00484897630136</v>
      </c>
      <c s="42" r="N112">
        <f>O87/$C87</f>
        <v>0.001400136477295</v>
      </c>
      <c s="42" r="O112">
        <f>P87/$C87</f>
        <v>0.008694145213211</v>
      </c>
    </row>
    <row r="113">
      <c t="s" s="39" r="B113">
        <v>93</v>
      </c>
      <c s="3" r="C113">
        <v>1208001.7740326</v>
      </c>
      <c s="3" r="D113">
        <v>171859.075285508</v>
      </c>
      <c s="3" r="E113">
        <v>191378.682041616</v>
      </c>
      <c s="42" r="F113">
        <f>G88/$C88</f>
        <v>0.000396140065151</v>
      </c>
      <c s="42" r="G113">
        <f>H88/$C88</f>
        <v>0.078668782383451</v>
      </c>
      <c s="42" r="H113">
        <f>I88/$C88</f>
        <v>0.019145890714564</v>
      </c>
      <c s="42" r="I113">
        <f>J88/$C88</f>
        <v>0.008615108675247</v>
      </c>
      <c s="42" r="J113">
        <f>K88/$C88</f>
        <v>0.025691983063496</v>
      </c>
      <c s="42" r="K113">
        <f>L88/$C88</f>
        <v>0.000847039354927</v>
      </c>
      <c s="42" r="L113">
        <f>M88/$C88</f>
        <v>0.007097447800367</v>
      </c>
      <c s="42" r="M113">
        <f>N88/$C88</f>
        <v>0.005993843518708</v>
      </c>
      <c s="42" r="N113">
        <f>O88/$C88</f>
        <v>0.001331887038738</v>
      </c>
      <c s="42" r="O113">
        <f>P88/$C88</f>
        <v>0.010637706018656</v>
      </c>
    </row>
    <row r="114">
      <c t="s" s="39" r="B114">
        <v>94</v>
      </c>
      <c s="3" r="C114">
        <v>1722184.17748012</v>
      </c>
      <c s="3" r="D114">
        <v>240391.865494628</v>
      </c>
      <c s="3" r="E114">
        <v>271245.08162411</v>
      </c>
      <c s="42" r="F114">
        <f>G89/$C89</f>
        <v>0.000107298580057</v>
      </c>
      <c s="42" r="G114">
        <f>H89/$C89</f>
        <v>0.078325249329695</v>
      </c>
      <c s="42" r="H114">
        <f>I89/$C89</f>
        <v>0.013157783336712</v>
      </c>
      <c s="42" r="I114">
        <f>J89/$C89</f>
        <v>0.009499970185274</v>
      </c>
      <c s="42" r="J114">
        <f>K89/$C89</f>
        <v>0.026957079514739</v>
      </c>
      <c s="42" r="K114">
        <f>L89/$C89</f>
        <v>0.000741813467733</v>
      </c>
      <c s="42" r="L114">
        <f>M89/$C89</f>
        <v>0.007322644511085</v>
      </c>
      <c s="42" r="M114">
        <f>N89/$C89</f>
        <v>0.007870874934193</v>
      </c>
      <c s="42" r="N114">
        <f>O89/$C89</f>
        <v>0.00108794379989</v>
      </c>
      <c s="42" r="O114">
        <f>P89/$C89</f>
        <v>0.01242996577626</v>
      </c>
    </row>
    <row r="115">
      <c t="s" s="39" r="B115">
        <v>95</v>
      </c>
      <c s="3" r="C115">
        <v>2983805.47514385</v>
      </c>
      <c s="3" r="D115">
        <v>399153.806749818</v>
      </c>
      <c s="3" r="E115">
        <v>451883.897406574</v>
      </c>
      <c s="42" r="F115">
        <f>G90/$C90</f>
        <v>0.000091771622425</v>
      </c>
      <c s="42" r="G115">
        <f>H90/$C90</f>
        <v>0.073199950191158</v>
      </c>
      <c s="42" r="H115">
        <f>I90/$C90</f>
        <v>0.00773034784028</v>
      </c>
      <c s="42" r="I115">
        <f>J90/$C90</f>
        <v>0.010839196390565</v>
      </c>
      <c s="42" r="J115">
        <f>K90/$C90</f>
        <v>0.029138096980023</v>
      </c>
      <c s="42" r="K115">
        <f>L90/$C90</f>
        <v>0.00059866351117</v>
      </c>
      <c s="42" r="L115">
        <f>M90/$C90</f>
        <v>0.007456075015704</v>
      </c>
      <c s="42" r="M115">
        <f>N90/$C90</f>
        <v>0.006852955873688</v>
      </c>
      <c s="42" r="N115">
        <f>O90/$C90</f>
        <v>0.001750923184952</v>
      </c>
      <c s="42" r="O115">
        <f>P90/$C90</f>
        <v>0.01378751447037</v>
      </c>
    </row>
    <row r="116">
      <c t="s" s="39" r="B116">
        <v>96</v>
      </c>
      <c s="3" r="C116">
        <v>6843932.65880781</v>
      </c>
      <c s="3" r="D116">
        <v>893172.910800363</v>
      </c>
      <c s="3" r="E116">
        <v>1008752.0164177</v>
      </c>
      <c s="42" r="F116">
        <f>G91/$C91</f>
        <v>0.000040397230085</v>
      </c>
      <c s="42" r="G116">
        <f>H91/$C91</f>
        <v>0.067847820865809</v>
      </c>
      <c s="42" r="H116">
        <f>I91/$C91</f>
        <v>0.003152057858819</v>
      </c>
      <c s="42" r="I116">
        <f>J91/$C91</f>
        <v>0.011925286030764</v>
      </c>
      <c s="42" r="J116">
        <f>K91/$C91</f>
        <v>0.032692565482198</v>
      </c>
      <c s="42" r="K116">
        <f>L91/$C91</f>
        <v>0.000352103735791</v>
      </c>
      <c s="42" r="L116">
        <f>M91/$C91</f>
        <v>0.007769148149334</v>
      </c>
      <c s="42" r="M116">
        <f>N91/$C91</f>
        <v>0.005110859783111</v>
      </c>
      <c s="42" r="N116">
        <f>O91/$C91</f>
        <v>0.002904165448142</v>
      </c>
      <c s="42" r="O116">
        <f>P91/$C91</f>
        <v>0.015599216409496</v>
      </c>
    </row>
    <row r="117">
      <c t="s" s="39" r="B117">
        <v>97</v>
      </c>
      <c s="3" r="C117">
        <v>29719984.750601</v>
      </c>
      <c s="3" r="D117">
        <v>4008318.73497596</v>
      </c>
      <c s="3" r="E117">
        <v>4378596.22896635</v>
      </c>
      <c s="42" r="F117">
        <f>G92/$C92</f>
        <v>0</v>
      </c>
      <c s="42" r="G117">
        <f>H92/$C92</f>
        <v>0.060066768488955</v>
      </c>
      <c s="42" r="H117">
        <f>I92/$C92</f>
        <v>0.000683225071356</v>
      </c>
      <c s="42" r="I117">
        <f>J92/$C92</f>
        <v>0.018607101722552</v>
      </c>
      <c s="42" r="J117">
        <f>K92/$C92</f>
        <v>0.051276129312926</v>
      </c>
      <c s="42" r="K117">
        <f>L92/$C92</f>
        <v>0.000081932109121</v>
      </c>
      <c s="42" r="L117">
        <f>M92/$C92</f>
        <v>0.005678674926242</v>
      </c>
      <c s="42" r="M117">
        <f>N92/$C92</f>
        <v>0.003071808290583</v>
      </c>
      <c s="42" r="N117">
        <f>O92/$C92</f>
        <v>0.00083246207641</v>
      </c>
      <c s="42" r="O117">
        <f>P92/$C92</f>
        <v>0.007030245095905</v>
      </c>
    </row>
  </sheetData>
  <mergeCells count="74">
    <mergeCell ref="A1:DV1"/>
    <mergeCell ref="A2:DV2"/>
    <mergeCell ref="D3:E3"/>
    <mergeCell ref="F3:G3"/>
    <mergeCell ref="H3:I3"/>
    <mergeCell ref="J3:K3"/>
    <mergeCell ref="L3:M3"/>
    <mergeCell ref="N3:O3"/>
    <mergeCell ref="P3:Q3"/>
    <mergeCell ref="R3:S3"/>
    <mergeCell ref="T3:U3"/>
    <mergeCell ref="V3:W3"/>
    <mergeCell ref="X3:Y3"/>
    <mergeCell ref="Z3:AA3"/>
    <mergeCell ref="AB3:AC3"/>
    <mergeCell ref="AD3:AE3"/>
    <mergeCell ref="AF3:AG3"/>
    <mergeCell ref="AH3:AI3"/>
    <mergeCell ref="AJ3:AK3"/>
    <mergeCell ref="AL3:AM3"/>
    <mergeCell ref="AN3:AO3"/>
    <mergeCell ref="AP3:AQ3"/>
    <mergeCell ref="AR3:AS3"/>
    <mergeCell ref="AT3:AU3"/>
    <mergeCell ref="AV3:AW3"/>
    <mergeCell ref="AX3:DH3"/>
    <mergeCell ref="DI3:DJ3"/>
    <mergeCell ref="DK3:DL3"/>
    <mergeCell ref="DM3:DN3"/>
    <mergeCell ref="DO3:DP3"/>
    <mergeCell ref="DQ3:DR3"/>
    <mergeCell ref="DS3:DT3"/>
    <mergeCell ref="DU3:DV3"/>
    <mergeCell ref="AY4:AZ4"/>
    <mergeCell ref="BA4:BB4"/>
    <mergeCell ref="BC4:BD4"/>
    <mergeCell ref="BE4:BF4"/>
    <mergeCell ref="BG4:BT4"/>
    <mergeCell ref="BU4:CH4"/>
    <mergeCell ref="CI4:CP4"/>
    <mergeCell ref="CQ4:CR4"/>
    <mergeCell ref="CS4:DB4"/>
    <mergeCell ref="DC4:DD4"/>
    <mergeCell ref="DE4:DF4"/>
    <mergeCell ref="DG4:DH4"/>
    <mergeCell ref="BG5:BH5"/>
    <mergeCell ref="BI5:BN5"/>
    <mergeCell ref="BO5:BP5"/>
    <mergeCell ref="BQ5:BR5"/>
    <mergeCell ref="BS5:BT5"/>
    <mergeCell ref="BU5:BV5"/>
    <mergeCell ref="BW5:CB5"/>
    <mergeCell ref="CC5:CD5"/>
    <mergeCell ref="CE5:CF5"/>
    <mergeCell ref="CG5:CH5"/>
    <mergeCell ref="CI5:CJ5"/>
    <mergeCell ref="CK5:CL5"/>
    <mergeCell ref="CM5:CN5"/>
    <mergeCell ref="CO5:CP5"/>
    <mergeCell ref="CS5:CT5"/>
    <mergeCell ref="CU5:CV5"/>
    <mergeCell ref="CW5:CX5"/>
    <mergeCell ref="CY5:CZ5"/>
    <mergeCell ref="DA5:DB5"/>
    <mergeCell ref="BI6:BJ6"/>
    <mergeCell ref="BK6:BL6"/>
    <mergeCell ref="BM6:BN6"/>
    <mergeCell ref="BW6:BX6"/>
    <mergeCell ref="BY6:BZ6"/>
    <mergeCell ref="CA6:CB6"/>
    <mergeCell ref="A35:DV35"/>
    <mergeCell ref="A36:DV36"/>
    <mergeCell ref="A37:DV37"/>
    <mergeCell ref="A38:DV3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0"/>
  <cols>
    <col min="1" customWidth="1" max="1" width="61.71"/>
    <col min="2" customWidth="1" max="126" width="16.0"/>
  </cols>
  <sheetData>
    <row customHeight="1" r="1" ht="39.75">
      <c t="s" s="1" r="A1">
        <v>168</v>
      </c>
    </row>
    <row customHeight="1" r="2" ht="15.0">
      <c t="s" s="13" r="A2">
        <v>2</v>
      </c>
      <c s="41" r="B2"/>
      <c s="41" r="C2"/>
      <c s="41" r="D2"/>
      <c s="41" r="E2"/>
      <c s="41" r="F2"/>
      <c s="41" r="G2"/>
      <c s="41" r="H2"/>
      <c s="41" r="I2"/>
      <c s="41" r="J2"/>
      <c s="41" r="K2"/>
      <c s="41" r="L2"/>
      <c s="41" r="M2"/>
      <c s="41" r="N2"/>
      <c s="41" r="O2"/>
      <c s="41" r="P2"/>
      <c s="41" r="Q2"/>
      <c s="41" r="R2"/>
      <c s="41" r="S2"/>
      <c s="41" r="T2"/>
      <c s="41" r="U2"/>
      <c s="41" r="V2"/>
      <c s="41" r="W2"/>
      <c s="41" r="X2"/>
      <c s="41" r="Y2"/>
      <c s="41" r="Z2"/>
      <c s="41" r="AA2"/>
      <c s="41" r="AB2"/>
      <c s="41" r="AC2"/>
      <c s="41" r="AD2"/>
      <c s="41" r="AE2"/>
      <c s="41" r="AF2"/>
      <c s="41" r="AG2"/>
      <c s="41" r="AH2"/>
      <c s="41" r="AI2"/>
      <c s="41" r="AJ2"/>
      <c s="41" r="AK2"/>
      <c s="41" r="AL2"/>
      <c s="41" r="AM2"/>
      <c s="41" r="AN2"/>
      <c s="41" r="AO2"/>
      <c s="41" r="AP2"/>
      <c s="41" r="AQ2"/>
      <c s="41" r="AR2"/>
      <c s="41" r="AS2"/>
      <c s="41" r="AT2"/>
      <c s="41" r="AU2"/>
      <c s="41" r="AV2"/>
      <c s="41" r="AW2"/>
      <c s="41" r="AX2"/>
      <c s="41" r="AY2"/>
      <c s="41" r="AZ2"/>
      <c s="41" r="BA2"/>
      <c s="41" r="BB2"/>
      <c s="41" r="BC2"/>
      <c s="41" r="BD2"/>
      <c s="41" r="BE2"/>
      <c s="41" r="BF2"/>
      <c s="41" r="BG2"/>
      <c s="41" r="BH2"/>
      <c s="41" r="BI2"/>
      <c s="41" r="BJ2"/>
      <c s="41" r="BK2"/>
      <c s="41" r="BL2"/>
      <c s="41" r="BM2"/>
      <c s="41" r="BN2"/>
      <c s="41" r="BO2"/>
      <c s="41" r="BP2"/>
      <c s="41" r="BQ2"/>
      <c s="41" r="BR2"/>
      <c s="41" r="BS2"/>
      <c s="41" r="BT2"/>
      <c s="41" r="BU2"/>
      <c s="41" r="BV2"/>
      <c s="41" r="BW2"/>
      <c s="41" r="BX2"/>
      <c s="41" r="BY2"/>
      <c s="41" r="BZ2"/>
      <c s="41" r="CA2"/>
      <c s="41" r="CB2"/>
      <c s="41" r="CC2"/>
      <c s="41" r="CD2"/>
      <c s="41" r="CE2"/>
      <c s="41" r="CF2"/>
      <c s="41" r="CG2"/>
      <c s="41" r="CH2"/>
      <c s="41" r="CI2"/>
      <c s="41" r="CJ2"/>
      <c s="41" r="CK2"/>
      <c s="41" r="CL2"/>
      <c s="41" r="CM2"/>
      <c s="41" r="CN2"/>
      <c s="41" r="CO2"/>
      <c s="41" r="CP2"/>
      <c s="41" r="CQ2"/>
      <c s="41" r="CR2"/>
      <c s="41" r="CS2"/>
      <c s="41" r="CT2"/>
      <c s="41" r="CU2"/>
      <c s="41" r="CV2"/>
      <c s="41" r="CW2"/>
      <c s="41" r="CX2"/>
      <c s="41" r="CY2"/>
      <c s="41" r="CZ2"/>
      <c s="41" r="DA2"/>
      <c s="41" r="DB2"/>
      <c s="41" r="DC2"/>
      <c s="41" r="DD2"/>
      <c s="41" r="DE2"/>
      <c s="41" r="DF2"/>
      <c s="41" r="DG2"/>
      <c s="41" r="DH2"/>
      <c s="41" r="DI2"/>
      <c s="41" r="DJ2"/>
      <c s="41" r="DK2"/>
      <c s="41" r="DL2"/>
      <c s="41" r="DM2"/>
      <c s="41" r="DN2"/>
      <c s="41" r="DO2"/>
      <c s="41" r="DP2"/>
      <c s="41" r="DQ2"/>
      <c s="41" r="DR2"/>
      <c s="41" r="DS2"/>
      <c s="41" r="DT2"/>
      <c s="41" r="DU2"/>
      <c s="41" r="DV2"/>
    </row>
    <row customHeight="1" r="3" ht="15.0">
      <c t="s" s="46" r="A3">
        <v>3</v>
      </c>
      <c t="s" s="5" r="B3">
        <v>169</v>
      </c>
      <c t="s" s="5" r="C3">
        <v>5</v>
      </c>
      <c t="s" s="33" r="D3">
        <v>7</v>
      </c>
      <c s="21" r="E3"/>
      <c t="s" s="33" r="F3">
        <v>8</v>
      </c>
      <c s="21" r="G3"/>
      <c t="s" s="33" r="H3">
        <v>153</v>
      </c>
      <c s="21" r="I3"/>
      <c t="s" s="33" r="J3">
        <v>10</v>
      </c>
      <c s="21" r="K3"/>
      <c t="s" s="33" r="L3">
        <v>154</v>
      </c>
      <c s="21" r="M3"/>
      <c t="s" s="33" r="N3">
        <v>12</v>
      </c>
      <c s="21" r="O3"/>
      <c t="s" s="33" r="P3">
        <v>13</v>
      </c>
      <c s="21" r="Q3"/>
      <c t="s" s="51" r="R3">
        <v>14</v>
      </c>
      <c s="21" r="S3"/>
      <c t="s" s="51" r="T3">
        <v>15</v>
      </c>
      <c s="21" r="U3"/>
      <c t="s" s="51" r="V3">
        <v>16</v>
      </c>
      <c s="21" r="W3"/>
      <c t="s" s="51" r="X3">
        <v>17</v>
      </c>
      <c s="21" r="Y3"/>
      <c t="s" s="51" r="Z3">
        <v>18</v>
      </c>
      <c s="21" r="AA3"/>
      <c t="s" s="64" r="AB3">
        <v>19</v>
      </c>
      <c s="21" r="AC3"/>
      <c t="s" s="64" r="AD3">
        <v>20</v>
      </c>
      <c s="21" r="AE3"/>
      <c t="s" s="64" r="AF3">
        <v>21</v>
      </c>
      <c s="21" r="AG3"/>
      <c t="s" s="64" r="AH3">
        <v>155</v>
      </c>
      <c s="21" r="AI3"/>
      <c t="s" s="64" r="AJ3">
        <v>23</v>
      </c>
      <c s="21" r="AK3"/>
      <c t="s" s="64" r="AL3">
        <v>24</v>
      </c>
      <c s="21" r="AM3"/>
      <c t="s" s="64" r="AN3">
        <v>25</v>
      </c>
      <c s="21" r="AO3"/>
      <c t="s" s="64" r="AP3">
        <v>26</v>
      </c>
      <c s="21" r="AQ3"/>
      <c t="s" s="64" r="AR3">
        <v>170</v>
      </c>
      <c s="21" r="AS3"/>
      <c t="s" s="64" r="AT3">
        <v>28</v>
      </c>
      <c s="21" r="AU3"/>
      <c t="s" s="64" r="AV3">
        <v>29</v>
      </c>
      <c s="21" r="AW3"/>
      <c t="s" s="4" r="AX3">
        <v>156</v>
      </c>
      <c s="11" r="AY3"/>
      <c s="11" r="AZ3"/>
      <c s="11" r="BA3"/>
      <c s="11" r="BB3"/>
      <c s="11" r="BC3"/>
      <c s="11" r="BD3"/>
      <c s="11" r="BE3"/>
      <c s="11" r="BF3"/>
      <c s="11" r="BG3"/>
      <c s="11" r="BH3"/>
      <c s="11" r="BI3"/>
      <c s="11" r="BJ3"/>
      <c s="11" r="BK3"/>
      <c s="11" r="BL3"/>
      <c s="11" r="BM3"/>
      <c s="11" r="BN3"/>
      <c s="11" r="BO3"/>
      <c s="11" r="BP3"/>
      <c s="11" r="BQ3"/>
      <c s="11" r="BR3"/>
      <c s="11" r="BS3"/>
      <c s="11" r="BT3"/>
      <c s="11" r="BU3"/>
      <c s="11" r="BV3"/>
      <c s="11" r="BW3"/>
      <c s="11" r="BX3"/>
      <c s="11" r="BY3"/>
      <c s="11" r="BZ3"/>
      <c s="11" r="CA3"/>
      <c s="11" r="CB3"/>
      <c s="11" r="CC3"/>
      <c s="11" r="CD3"/>
      <c s="11" r="CE3"/>
      <c s="11" r="CF3"/>
      <c s="11" r="CG3"/>
      <c s="11" r="CH3"/>
      <c s="11" r="CI3"/>
      <c s="11" r="CJ3"/>
      <c s="11" r="CK3"/>
      <c s="11" r="CL3"/>
      <c s="11" r="CM3"/>
      <c s="11" r="CN3"/>
      <c s="11" r="CO3"/>
      <c s="11" r="CP3"/>
      <c s="11" r="CQ3"/>
      <c s="11" r="CR3"/>
      <c s="11" r="CS3"/>
      <c s="11" r="CT3"/>
      <c s="11" r="CU3"/>
      <c s="11" r="CV3"/>
      <c s="11" r="CW3"/>
      <c s="11" r="CX3"/>
      <c s="11" r="CY3"/>
      <c s="11" r="CZ3"/>
      <c s="11" r="DA3"/>
      <c s="11" r="DB3"/>
      <c s="11" r="DC3"/>
      <c s="11" r="DD3"/>
      <c s="11" r="DE3"/>
      <c s="11" r="DF3"/>
      <c s="11" r="DG3"/>
      <c s="54" r="DH3"/>
      <c t="s" s="33" r="DI3">
        <v>31</v>
      </c>
      <c s="21" r="DJ3"/>
      <c t="s" s="64" r="DK3">
        <v>32</v>
      </c>
      <c s="21" r="DL3"/>
      <c t="s" s="51" r="DM3">
        <v>33</v>
      </c>
      <c s="21" r="DN3"/>
      <c t="s" s="51" r="DO3">
        <v>34</v>
      </c>
      <c s="21" r="DP3"/>
      <c t="s" s="51" r="DQ3">
        <v>35</v>
      </c>
      <c s="21" r="DR3"/>
      <c t="s" s="51" r="DS3">
        <v>36</v>
      </c>
      <c s="21" r="DT3"/>
      <c t="s" s="51" r="DU3">
        <v>37</v>
      </c>
      <c s="2" r="DV3"/>
    </row>
    <row customHeight="1" r="4" ht="15.0">
      <c s="7" r="AW4"/>
      <c t="s" s="5" r="AX4">
        <v>157</v>
      </c>
      <c t="s" s="64" r="AY4">
        <v>158</v>
      </c>
      <c s="21" r="AZ4"/>
      <c t="s" s="64" r="BA4">
        <v>159</v>
      </c>
      <c s="21" r="BB4"/>
      <c t="s" s="64" r="BC4">
        <v>160</v>
      </c>
      <c s="21" r="BD4"/>
      <c t="s" s="64" r="BE4">
        <v>161</v>
      </c>
      <c s="21" r="BF4"/>
      <c t="s" s="9" r="BG4">
        <v>41</v>
      </c>
      <c s="11" r="BH4"/>
      <c s="11" r="BI4"/>
      <c s="11" r="BJ4"/>
      <c s="11" r="BK4"/>
      <c s="11" r="BL4"/>
      <c s="11" r="BM4"/>
      <c s="11" r="BN4"/>
      <c s="11" r="BO4"/>
      <c s="11" r="BP4"/>
      <c s="11" r="BQ4"/>
      <c s="11" r="BR4"/>
      <c s="11" r="BS4"/>
      <c s="54" r="BT4"/>
      <c t="s" s="9" r="BU4">
        <v>42</v>
      </c>
      <c s="11" r="BV4"/>
      <c s="11" r="BW4"/>
      <c s="11" r="BX4"/>
      <c s="11" r="BY4"/>
      <c s="11" r="BZ4"/>
      <c s="11" r="CA4"/>
      <c s="11" r="CB4"/>
      <c s="11" r="CC4"/>
      <c s="11" r="CD4"/>
      <c s="11" r="CE4"/>
      <c s="11" r="CF4"/>
      <c s="11" r="CG4"/>
      <c s="54" r="CH4"/>
      <c t="s" s="4" r="CI4">
        <v>43</v>
      </c>
      <c s="11" r="CJ4"/>
      <c s="11" r="CK4"/>
      <c s="11" r="CL4"/>
      <c s="11" r="CM4"/>
      <c s="11" r="CN4"/>
      <c s="11" r="CO4"/>
      <c s="54" r="CP4"/>
      <c t="s" s="34" r="CQ4">
        <v>44</v>
      </c>
      <c s="21" r="CR4"/>
      <c t="s" s="9" r="CS4">
        <v>45</v>
      </c>
      <c s="11" r="CT4"/>
      <c s="11" r="CU4"/>
      <c s="11" r="CV4"/>
      <c s="11" r="CW4"/>
      <c s="11" r="CX4"/>
      <c s="11" r="CY4"/>
      <c s="11" r="CZ4"/>
      <c s="11" r="DA4"/>
      <c s="54" r="DB4"/>
      <c t="s" s="51" r="DC4">
        <v>162</v>
      </c>
      <c s="21" r="DD4"/>
      <c t="s" s="51" r="DE4">
        <v>163</v>
      </c>
      <c s="21" r="DF4"/>
      <c t="s" s="51" r="DG4">
        <v>164</v>
      </c>
      <c s="2" r="DH4"/>
    </row>
    <row customHeight="1" r="5" ht="15.0">
      <c s="7" r="BF5"/>
      <c t="s" s="34" r="BG5">
        <v>38</v>
      </c>
      <c s="21" r="BH5"/>
      <c t="s" s="9" r="BI5">
        <v>49</v>
      </c>
      <c s="11" r="BJ5"/>
      <c s="11" r="BK5"/>
      <c s="11" r="BL5"/>
      <c s="11" r="BM5"/>
      <c s="54" r="BN5"/>
      <c t="s" s="51" r="BO5">
        <v>50</v>
      </c>
      <c s="21" r="BP5"/>
      <c t="s" s="51" r="BQ5">
        <v>52</v>
      </c>
      <c s="21" r="BR5"/>
      <c t="s" s="51" r="BS5">
        <v>53</v>
      </c>
      <c s="21" r="BT5"/>
      <c t="s" s="34" r="BU5">
        <v>38</v>
      </c>
      <c s="21" r="BV5"/>
      <c t="s" s="9" r="BW5">
        <v>54</v>
      </c>
      <c s="11" r="BX5"/>
      <c s="11" r="BY5"/>
      <c s="11" r="BZ5"/>
      <c s="11" r="CA5"/>
      <c s="54" r="CB5"/>
      <c t="s" s="33" r="CC5">
        <v>55</v>
      </c>
      <c s="21" r="CD5"/>
      <c t="s" s="64" r="CE5">
        <v>56</v>
      </c>
      <c s="21" r="CF5"/>
      <c t="s" s="64" r="CG5">
        <v>57</v>
      </c>
      <c s="21" r="CH5"/>
      <c t="s" s="34" r="CI5">
        <v>38</v>
      </c>
      <c s="21" r="CJ5"/>
      <c t="s" s="64" r="CK5">
        <v>58</v>
      </c>
      <c s="21" r="CL5"/>
      <c t="s" s="51" r="CM5">
        <v>59</v>
      </c>
      <c s="21" r="CN5"/>
      <c t="s" s="51" r="CO5">
        <v>60</v>
      </c>
      <c s="2" r="CP5"/>
      <c s="7" r="CR5"/>
      <c t="s" s="51" r="CS5">
        <v>61</v>
      </c>
      <c s="21" r="CT5"/>
      <c t="s" s="51" r="CU5">
        <v>62</v>
      </c>
      <c s="21" r="CV5"/>
      <c t="s" s="51" r="CW5">
        <v>63</v>
      </c>
      <c s="21" r="CX5"/>
      <c t="s" s="51" r="CY5">
        <v>64</v>
      </c>
      <c s="21" r="CZ5"/>
      <c t="s" s="51" r="DA5">
        <v>65</v>
      </c>
      <c s="2" r="DB5"/>
    </row>
    <row customHeight="1" r="6" ht="15.0">
      <c s="41" r="D6"/>
      <c s="41" r="E6"/>
      <c s="41" r="F6"/>
      <c s="41" r="G6"/>
      <c s="41" r="H6"/>
      <c s="41" r="I6"/>
      <c s="41" r="J6"/>
      <c s="41" r="K6"/>
      <c s="41" r="L6"/>
      <c s="41" r="M6"/>
      <c s="41" r="N6"/>
      <c s="41" r="O6"/>
      <c s="41" r="P6"/>
      <c s="41" r="Q6"/>
      <c s="41" r="R6"/>
      <c s="41" r="S6"/>
      <c s="41" r="T6"/>
      <c s="41" r="U6"/>
      <c s="41" r="V6"/>
      <c s="41" r="W6"/>
      <c s="41" r="X6"/>
      <c s="41" r="Y6"/>
      <c s="41" r="Z6"/>
      <c s="41" r="AA6"/>
      <c s="41" r="AB6"/>
      <c s="41" r="AC6"/>
      <c s="41" r="AD6"/>
      <c s="41" r="AE6"/>
      <c s="41" r="AF6"/>
      <c s="41" r="AG6"/>
      <c s="41" r="AH6"/>
      <c s="41" r="AI6"/>
      <c s="41" r="AJ6"/>
      <c s="41" r="AK6"/>
      <c s="41" r="AL6"/>
      <c s="41" r="AM6"/>
      <c s="41" r="AN6"/>
      <c s="41" r="AO6"/>
      <c s="41" r="AP6"/>
      <c s="41" r="AQ6"/>
      <c s="41" r="AR6"/>
      <c s="41" r="AS6"/>
      <c s="41" r="AT6"/>
      <c s="41" r="AU6"/>
      <c s="41" r="AV6"/>
      <c s="41" r="AW6"/>
      <c s="41" r="AY6"/>
      <c s="41" r="AZ6"/>
      <c s="41" r="BA6"/>
      <c s="41" r="BB6"/>
      <c s="41" r="BC6"/>
      <c s="41" r="BD6"/>
      <c s="41" r="BE6"/>
      <c s="41" r="BF6"/>
      <c s="41" r="BG6"/>
      <c s="62" r="BH6"/>
      <c t="s" s="9" r="BI6">
        <v>38</v>
      </c>
      <c s="54" r="BJ6"/>
      <c t="s" s="9" r="BK6">
        <v>68</v>
      </c>
      <c s="54" r="BL6"/>
      <c t="s" s="9" r="BM6">
        <v>69</v>
      </c>
      <c s="11" r="BN6"/>
      <c s="41" r="BO6"/>
      <c s="41" r="BP6"/>
      <c s="41" r="BQ6"/>
      <c s="41" r="BR6"/>
      <c s="41" r="BS6"/>
      <c s="41" r="BT6"/>
      <c s="41" r="BU6"/>
      <c s="62" r="BV6"/>
      <c t="s" s="9" r="BW6">
        <v>38</v>
      </c>
      <c s="54" r="BX6"/>
      <c t="s" s="4" r="BY6">
        <v>70</v>
      </c>
      <c s="54" r="BZ6"/>
      <c t="s" s="4" r="CA6">
        <v>71</v>
      </c>
      <c s="66" r="CB6"/>
      <c s="52" r="CC6"/>
      <c s="41" r="CD6"/>
      <c s="41" r="CE6"/>
      <c s="41" r="CF6"/>
      <c s="41" r="CG6"/>
      <c s="62" r="CH6"/>
      <c s="61" r="CI6"/>
      <c s="27" r="CJ6"/>
      <c s="52" r="CK6"/>
      <c s="41" r="CL6"/>
      <c s="41" r="CM6"/>
      <c s="41" r="CN6"/>
      <c s="41" r="CO6"/>
      <c s="41" r="CP6"/>
      <c s="41" r="CQ6"/>
      <c s="41" r="CR6"/>
      <c s="41" r="CS6"/>
      <c s="41" r="CT6"/>
      <c s="41" r="CU6"/>
      <c s="41" r="CV6"/>
      <c s="41" r="CW6"/>
      <c s="41" r="CX6"/>
      <c s="41" r="CY6"/>
      <c s="41" r="CZ6"/>
      <c s="41" r="DA6"/>
      <c s="41" r="DB6"/>
      <c s="41" r="DC6"/>
      <c s="41" r="DD6"/>
      <c s="41" r="DE6"/>
      <c s="41" r="DF6"/>
      <c s="41" r="DG6"/>
      <c s="41" r="DH6"/>
      <c s="41" r="DI6"/>
      <c s="41" r="DJ6"/>
      <c s="41" r="DK6"/>
      <c s="41" r="DL6"/>
      <c s="41" r="DM6"/>
      <c s="41" r="DN6"/>
      <c s="41" r="DO6"/>
      <c s="41" r="DP6"/>
      <c s="41" r="DQ6"/>
      <c s="41" r="DR6"/>
      <c s="41" r="DS6"/>
      <c s="41" r="DT6"/>
      <c s="41" r="DU6"/>
      <c s="41" r="DV6"/>
    </row>
    <row customHeight="1" r="7" ht="15.0">
      <c s="7" r="C7"/>
      <c t="s" s="5" r="D7">
        <v>72</v>
      </c>
      <c t="s" s="57" r="E7">
        <v>73</v>
      </c>
      <c t="s" s="5" r="F7">
        <v>72</v>
      </c>
      <c t="s" s="57" r="G7">
        <v>73</v>
      </c>
      <c t="s" s="5" r="H7">
        <v>72</v>
      </c>
      <c t="s" s="57" r="I7">
        <v>73</v>
      </c>
      <c t="s" s="5" r="J7">
        <v>72</v>
      </c>
      <c t="s" s="57" r="K7">
        <v>73</v>
      </c>
      <c t="s" s="5" r="L7">
        <v>72</v>
      </c>
      <c t="s" s="57" r="M7">
        <v>73</v>
      </c>
      <c t="s" s="5" r="N7">
        <v>72</v>
      </c>
      <c t="s" s="57" r="O7">
        <v>73</v>
      </c>
      <c t="s" s="5" r="P7">
        <v>72</v>
      </c>
      <c t="s" s="57" r="Q7">
        <v>73</v>
      </c>
      <c t="s" s="5" r="R7">
        <v>72</v>
      </c>
      <c t="s" s="57" r="S7">
        <v>73</v>
      </c>
      <c t="s" s="5" r="T7">
        <v>72</v>
      </c>
      <c t="s" s="57" r="U7">
        <v>73</v>
      </c>
      <c t="s" s="5" r="V7">
        <v>72</v>
      </c>
      <c t="s" s="57" r="W7">
        <v>73</v>
      </c>
      <c t="s" s="5" r="X7">
        <v>72</v>
      </c>
      <c t="s" s="57" r="Y7">
        <v>73</v>
      </c>
      <c t="s" s="5" r="Z7">
        <v>72</v>
      </c>
      <c t="s" s="57" r="AA7">
        <v>73</v>
      </c>
      <c t="s" s="5" r="AB7">
        <v>72</v>
      </c>
      <c t="s" s="57" r="AC7">
        <v>73</v>
      </c>
      <c t="s" s="5" r="AD7">
        <v>72</v>
      </c>
      <c t="s" s="57" r="AE7">
        <v>73</v>
      </c>
      <c t="s" s="5" r="AF7">
        <v>72</v>
      </c>
      <c t="s" s="57" r="AG7">
        <v>73</v>
      </c>
      <c t="s" s="5" r="AH7">
        <v>72</v>
      </c>
      <c t="s" s="57" r="AI7">
        <v>73</v>
      </c>
      <c t="s" s="5" r="AJ7">
        <v>72</v>
      </c>
      <c t="s" s="57" r="AK7">
        <v>73</v>
      </c>
      <c t="s" s="5" r="AL7">
        <v>72</v>
      </c>
      <c t="s" s="57" r="AM7">
        <v>73</v>
      </c>
      <c t="s" s="5" r="AN7">
        <v>72</v>
      </c>
      <c t="s" s="57" r="AO7">
        <v>73</v>
      </c>
      <c t="s" s="5" r="AP7">
        <v>72</v>
      </c>
      <c t="s" s="57" r="AQ7">
        <v>73</v>
      </c>
      <c t="s" s="5" r="AR7">
        <v>72</v>
      </c>
      <c t="s" s="57" r="AS7">
        <v>73</v>
      </c>
      <c t="s" s="5" r="AT7">
        <v>72</v>
      </c>
      <c t="s" s="57" r="AU7">
        <v>73</v>
      </c>
      <c t="s" s="5" r="AV7">
        <v>72</v>
      </c>
      <c t="s" s="57" r="AW7">
        <v>73</v>
      </c>
      <c s="35" r="AX7"/>
      <c t="s" s="5" r="AY7">
        <v>72</v>
      </c>
      <c t="s" s="57" r="AZ7">
        <v>73</v>
      </c>
      <c t="s" s="5" r="BA7">
        <v>72</v>
      </c>
      <c t="s" s="57" r="BB7">
        <v>73</v>
      </c>
      <c t="s" s="5" r="BC7">
        <v>72</v>
      </c>
      <c t="s" s="57" r="BD7">
        <v>73</v>
      </c>
      <c t="s" s="5" r="BE7">
        <v>72</v>
      </c>
      <c t="s" s="57" r="BF7">
        <v>73</v>
      </c>
      <c t="s" s="5" r="BG7">
        <v>72</v>
      </c>
      <c t="s" s="57" r="BH7">
        <v>73</v>
      </c>
      <c t="s" s="5" r="BI7">
        <v>72</v>
      </c>
      <c t="s" s="57" r="BJ7">
        <v>73</v>
      </c>
      <c t="s" s="5" r="BK7">
        <v>72</v>
      </c>
      <c t="s" s="57" r="BL7">
        <v>73</v>
      </c>
      <c t="s" s="5" r="BM7">
        <v>72</v>
      </c>
      <c t="s" s="57" r="BN7">
        <v>73</v>
      </c>
      <c t="s" s="5" r="BO7">
        <v>72</v>
      </c>
      <c t="s" s="57" r="BP7">
        <v>73</v>
      </c>
      <c t="s" s="5" r="BQ7">
        <v>72</v>
      </c>
      <c t="s" s="57" r="BR7">
        <v>73</v>
      </c>
      <c t="s" s="5" r="BS7">
        <v>72</v>
      </c>
      <c t="s" s="57" r="BT7">
        <v>73</v>
      </c>
      <c t="s" s="5" r="BU7">
        <v>72</v>
      </c>
      <c t="s" s="57" r="BV7">
        <v>73</v>
      </c>
      <c t="s" s="5" r="BW7">
        <v>72</v>
      </c>
      <c t="s" s="57" r="BX7">
        <v>73</v>
      </c>
      <c t="s" s="5" r="BY7">
        <v>72</v>
      </c>
      <c t="s" s="57" r="BZ7">
        <v>73</v>
      </c>
      <c t="s" s="5" r="CA7">
        <v>72</v>
      </c>
      <c t="s" s="57" r="CB7">
        <v>73</v>
      </c>
      <c t="s" s="5" r="CC7">
        <v>72</v>
      </c>
      <c t="s" s="57" r="CD7">
        <v>73</v>
      </c>
      <c t="s" s="5" r="CE7">
        <v>72</v>
      </c>
      <c t="s" s="57" r="CF7">
        <v>73</v>
      </c>
      <c t="s" s="5" r="CG7">
        <v>72</v>
      </c>
      <c t="s" s="57" r="CH7">
        <v>73</v>
      </c>
      <c t="s" s="5" r="CI7">
        <v>72</v>
      </c>
      <c t="s" s="57" r="CJ7">
        <v>73</v>
      </c>
      <c t="s" s="5" r="CK7">
        <v>72</v>
      </c>
      <c t="s" s="57" r="CL7">
        <v>73</v>
      </c>
      <c t="s" s="5" r="CM7">
        <v>72</v>
      </c>
      <c t="s" s="57" r="CN7">
        <v>73</v>
      </c>
      <c t="s" s="5" r="CO7">
        <v>72</v>
      </c>
      <c t="s" s="57" r="CP7">
        <v>73</v>
      </c>
      <c t="s" s="5" r="CQ7">
        <v>72</v>
      </c>
      <c t="s" s="57" r="CR7">
        <v>73</v>
      </c>
      <c t="s" s="5" r="CS7">
        <v>72</v>
      </c>
      <c t="s" s="57" r="CT7">
        <v>73</v>
      </c>
      <c t="s" s="5" r="CU7">
        <v>72</v>
      </c>
      <c t="s" s="57" r="CV7">
        <v>73</v>
      </c>
      <c t="s" s="5" r="CW7">
        <v>72</v>
      </c>
      <c t="s" s="57" r="CX7">
        <v>73</v>
      </c>
      <c t="s" s="5" r="CY7">
        <v>72</v>
      </c>
      <c t="s" s="57" r="CZ7">
        <v>73</v>
      </c>
      <c t="s" s="5" r="DA7">
        <v>72</v>
      </c>
      <c t="s" s="57" r="DB7">
        <v>73</v>
      </c>
      <c t="s" s="5" r="DC7">
        <v>72</v>
      </c>
      <c t="s" s="57" r="DD7">
        <v>73</v>
      </c>
      <c t="s" s="5" r="DE7">
        <v>72</v>
      </c>
      <c t="s" s="57" r="DF7">
        <v>73</v>
      </c>
      <c t="s" s="5" r="DG7">
        <v>72</v>
      </c>
      <c t="s" s="57" r="DH7">
        <v>73</v>
      </c>
      <c t="s" s="5" r="DI7">
        <v>72</v>
      </c>
      <c t="s" s="57" r="DJ7">
        <v>73</v>
      </c>
      <c t="s" s="5" r="DK7">
        <v>72</v>
      </c>
      <c t="s" s="57" r="DL7">
        <v>73</v>
      </c>
      <c t="s" s="5" r="DM7">
        <v>72</v>
      </c>
      <c t="s" s="57" r="DN7">
        <v>73</v>
      </c>
      <c t="s" s="5" r="DO7">
        <v>72</v>
      </c>
      <c t="s" s="57" r="DP7">
        <v>73</v>
      </c>
      <c t="s" s="5" r="DQ7">
        <v>72</v>
      </c>
      <c t="s" s="57" r="DR7">
        <v>73</v>
      </c>
      <c t="s" s="5" r="DS7">
        <v>72</v>
      </c>
      <c t="s" s="57" r="DT7">
        <v>73</v>
      </c>
      <c t="s" s="5" r="DU7">
        <v>72</v>
      </c>
      <c t="s" s="34" r="DV7">
        <v>73</v>
      </c>
    </row>
    <row customHeight="1" r="8" ht="15.0">
      <c s="41" r="B8"/>
      <c s="62" r="C8"/>
      <c s="26" r="D8"/>
      <c s="23" r="E8"/>
      <c s="26" r="F8"/>
      <c s="23" r="G8"/>
      <c s="26" r="H8"/>
      <c s="23" r="I8"/>
      <c s="26" r="J8"/>
      <c s="23" r="K8"/>
      <c s="26" r="L8"/>
      <c s="23" r="M8"/>
      <c s="26" r="N8"/>
      <c s="23" r="O8"/>
      <c s="26" r="P8"/>
      <c s="23" r="Q8"/>
      <c s="26" r="R8"/>
      <c s="23" r="S8"/>
      <c s="26" r="T8"/>
      <c s="23" r="U8"/>
      <c s="26" r="V8"/>
      <c s="23" r="W8"/>
      <c s="26" r="X8"/>
      <c s="23" r="Y8"/>
      <c s="26" r="Z8"/>
      <c s="23" r="AA8"/>
      <c s="26" r="AB8"/>
      <c s="23" r="AC8"/>
      <c s="26" r="AD8"/>
      <c s="23" r="AE8"/>
      <c s="26" r="AF8"/>
      <c s="23" r="AG8"/>
      <c s="26" r="AH8"/>
      <c s="23" r="AI8"/>
      <c s="26" r="AJ8"/>
      <c s="23" r="AK8"/>
      <c s="26" r="AL8"/>
      <c s="23" r="AM8"/>
      <c s="26" r="AN8"/>
      <c s="23" r="AO8"/>
      <c s="26" r="AP8"/>
      <c s="23" r="AQ8"/>
      <c s="26" r="AR8"/>
      <c s="23" r="AS8"/>
      <c s="26" r="AT8"/>
      <c s="23" r="AU8"/>
      <c s="26" r="AV8"/>
      <c s="23" r="AW8"/>
      <c s="14" r="AX8"/>
      <c s="26" r="AY8"/>
      <c s="23" r="AZ8"/>
      <c s="26" r="BA8"/>
      <c s="23" r="BB8"/>
      <c s="26" r="BC8"/>
      <c s="23" r="BD8"/>
      <c s="26" r="BE8"/>
      <c s="23" r="BF8"/>
      <c s="26" r="BG8"/>
      <c s="23" r="BH8"/>
      <c s="26" r="BI8"/>
      <c s="23" r="BJ8"/>
      <c s="26" r="BK8"/>
      <c s="23" r="BL8"/>
      <c s="26" r="BM8"/>
      <c s="23" r="BN8"/>
      <c s="26" r="BO8"/>
      <c s="23" r="BP8"/>
      <c s="26" r="BQ8"/>
      <c s="23" r="BR8"/>
      <c s="26" r="BS8"/>
      <c s="23" r="BT8"/>
      <c s="26" r="BU8"/>
      <c s="23" r="BV8"/>
      <c s="26" r="BW8"/>
      <c s="23" r="BX8"/>
      <c s="26" r="BY8"/>
      <c s="23" r="BZ8"/>
      <c s="26" r="CA8"/>
      <c s="23" r="CB8"/>
      <c s="26" r="CC8"/>
      <c s="23" r="CD8"/>
      <c s="26" r="CE8"/>
      <c s="23" r="CF8"/>
      <c s="26" r="CG8"/>
      <c s="23" r="CH8"/>
      <c s="26" r="CI8"/>
      <c s="23" r="CJ8"/>
      <c s="26" r="CK8"/>
      <c s="23" r="CL8"/>
      <c s="26" r="CM8"/>
      <c s="23" r="CN8"/>
      <c s="26" r="CO8"/>
      <c s="23" r="CP8"/>
      <c s="26" r="CQ8"/>
      <c s="23" r="CR8"/>
      <c s="26" r="CS8"/>
      <c s="23" r="CT8"/>
      <c s="26" r="CU8"/>
      <c s="23" r="CV8"/>
      <c s="26" r="CW8"/>
      <c s="23" r="CX8"/>
      <c s="26" r="CY8"/>
      <c s="23" r="CZ8"/>
      <c s="26" r="DA8"/>
      <c s="23" r="DB8"/>
      <c s="26" r="DC8"/>
      <c s="23" r="DD8"/>
      <c s="26" r="DE8"/>
      <c s="23" r="DF8"/>
      <c s="26" r="DG8"/>
      <c s="23" r="DH8"/>
      <c s="26" r="DI8"/>
      <c s="23" r="DJ8"/>
      <c s="26" r="DK8"/>
      <c s="23" r="DL8"/>
      <c s="26" r="DM8"/>
      <c s="23" r="DN8"/>
      <c s="26" r="DO8"/>
      <c s="23" r="DP8"/>
      <c s="26" r="DQ8"/>
      <c s="23" r="DR8"/>
      <c s="26" r="DS8"/>
      <c s="23" r="DT8"/>
      <c s="26" r="DU8"/>
      <c s="61" r="DV8"/>
    </row>
    <row customHeight="1" r="9" ht="15.0">
      <c s="22" r="A9"/>
      <c s="36" r="B9">
        <v>1</v>
      </c>
      <c s="36" r="C9">
        <v>2</v>
      </c>
      <c s="36" r="D9">
        <v>3</v>
      </c>
      <c s="36" r="E9">
        <v>4</v>
      </c>
      <c s="36" r="F9">
        <v>5</v>
      </c>
      <c s="36" r="G9">
        <v>6</v>
      </c>
      <c s="36" r="H9">
        <v>7</v>
      </c>
      <c s="36" r="I9">
        <v>8</v>
      </c>
      <c s="36" r="J9">
        <v>9</v>
      </c>
      <c s="36" r="K9">
        <v>10</v>
      </c>
      <c s="36" r="L9">
        <v>11</v>
      </c>
      <c s="36" r="M9">
        <v>12</v>
      </c>
      <c s="36" r="N9">
        <v>13</v>
      </c>
      <c s="36" r="O9">
        <v>14</v>
      </c>
      <c s="36" r="P9">
        <v>15</v>
      </c>
      <c s="36" r="Q9">
        <v>16</v>
      </c>
      <c s="36" r="R9">
        <v>17</v>
      </c>
      <c s="36" r="S9">
        <v>18</v>
      </c>
      <c s="36" r="T9">
        <v>19</v>
      </c>
      <c s="36" r="U9">
        <v>20</v>
      </c>
      <c s="36" r="V9">
        <v>21</v>
      </c>
      <c s="36" r="W9">
        <v>22</v>
      </c>
      <c s="36" r="X9">
        <v>23</v>
      </c>
      <c s="36" r="Y9">
        <v>24</v>
      </c>
      <c s="36" r="Z9">
        <v>25</v>
      </c>
      <c s="36" r="AA9">
        <v>26</v>
      </c>
      <c s="36" r="AB9">
        <v>27</v>
      </c>
      <c s="36" r="AC9">
        <v>28</v>
      </c>
      <c s="36" r="AD9">
        <v>29</v>
      </c>
      <c s="36" r="AE9">
        <v>30</v>
      </c>
      <c s="36" r="AF9">
        <v>31</v>
      </c>
      <c s="36" r="AG9">
        <v>32</v>
      </c>
      <c s="36" r="AH9">
        <v>33</v>
      </c>
      <c s="36" r="AI9">
        <v>34</v>
      </c>
      <c s="36" r="AJ9">
        <v>35</v>
      </c>
      <c s="36" r="AK9">
        <v>36</v>
      </c>
      <c s="36" r="AL9">
        <v>37</v>
      </c>
      <c s="36" r="AM9">
        <v>38</v>
      </c>
      <c s="36" r="AN9">
        <v>39</v>
      </c>
      <c s="36" r="AO9">
        <v>40</v>
      </c>
      <c s="36" r="AP9">
        <v>41</v>
      </c>
      <c s="36" r="AQ9">
        <v>42</v>
      </c>
      <c s="36" r="AR9">
        <v>43</v>
      </c>
      <c s="36" r="AS9">
        <v>44</v>
      </c>
      <c s="36" r="AT9">
        <v>45</v>
      </c>
      <c s="36" r="AU9">
        <v>46</v>
      </c>
      <c s="36" r="AV9">
        <v>47</v>
      </c>
      <c s="36" r="AW9">
        <v>48</v>
      </c>
      <c s="36" r="AX9">
        <v>49</v>
      </c>
      <c s="36" r="AY9">
        <v>50</v>
      </c>
      <c s="36" r="AZ9">
        <v>51</v>
      </c>
      <c s="36" r="BA9">
        <v>52</v>
      </c>
      <c s="36" r="BB9">
        <v>53</v>
      </c>
      <c s="36" r="BC9">
        <v>54</v>
      </c>
      <c s="36" r="BD9">
        <v>55</v>
      </c>
      <c s="36" r="BE9">
        <v>56</v>
      </c>
      <c s="36" r="BF9">
        <v>57</v>
      </c>
      <c s="36" r="BG9">
        <v>58</v>
      </c>
      <c s="36" r="BH9">
        <v>59</v>
      </c>
      <c s="36" r="BI9">
        <v>60</v>
      </c>
      <c s="36" r="BJ9">
        <v>61</v>
      </c>
      <c s="36" r="BK9">
        <v>62</v>
      </c>
      <c s="36" r="BL9">
        <v>63</v>
      </c>
      <c s="36" r="BM9">
        <v>64</v>
      </c>
      <c s="36" r="BN9">
        <v>65</v>
      </c>
      <c s="36" r="BO9">
        <v>66</v>
      </c>
      <c s="36" r="BP9">
        <v>67</v>
      </c>
      <c s="36" r="BQ9">
        <v>68</v>
      </c>
      <c s="36" r="BR9">
        <v>69</v>
      </c>
      <c s="36" r="BS9">
        <v>70</v>
      </c>
      <c s="36" r="BT9">
        <v>71</v>
      </c>
      <c s="36" r="BU9">
        <v>72</v>
      </c>
      <c s="36" r="BV9">
        <v>73</v>
      </c>
      <c s="36" r="BW9">
        <v>74</v>
      </c>
      <c s="36" r="BX9">
        <v>75</v>
      </c>
      <c s="36" r="BY9">
        <v>76</v>
      </c>
      <c s="36" r="BZ9">
        <v>77</v>
      </c>
      <c s="36" r="CA9">
        <v>78</v>
      </c>
      <c s="36" r="CB9">
        <v>79</v>
      </c>
      <c s="36" r="CC9">
        <v>80</v>
      </c>
      <c s="36" r="CD9">
        <v>81</v>
      </c>
      <c s="36" r="CE9">
        <v>82</v>
      </c>
      <c s="36" r="CF9">
        <v>83</v>
      </c>
      <c s="36" r="CG9">
        <v>84</v>
      </c>
      <c s="36" r="CH9">
        <v>85</v>
      </c>
      <c s="36" r="CI9">
        <v>86</v>
      </c>
      <c s="36" r="CJ9">
        <v>87</v>
      </c>
      <c s="36" r="CK9">
        <v>88</v>
      </c>
      <c s="36" r="CL9">
        <v>89</v>
      </c>
      <c s="36" r="CM9">
        <v>90</v>
      </c>
      <c s="36" r="CN9">
        <v>91</v>
      </c>
      <c s="36" r="CO9">
        <v>92</v>
      </c>
      <c s="36" r="CP9">
        <v>93</v>
      </c>
      <c s="36" r="CQ9">
        <v>94</v>
      </c>
      <c s="36" r="CR9">
        <v>95</v>
      </c>
      <c s="36" r="CS9">
        <v>96</v>
      </c>
      <c s="36" r="CT9">
        <v>97</v>
      </c>
      <c s="36" r="CU9">
        <v>98</v>
      </c>
      <c s="36" r="CV9">
        <v>99</v>
      </c>
      <c s="36" r="CW9">
        <v>100</v>
      </c>
      <c s="36" r="CX9">
        <v>101</v>
      </c>
      <c s="36" r="CY9">
        <v>102</v>
      </c>
      <c s="36" r="CZ9">
        <v>103</v>
      </c>
      <c s="36" r="DA9">
        <v>104</v>
      </c>
      <c s="36" r="DB9">
        <v>105</v>
      </c>
      <c s="36" r="DC9">
        <v>106</v>
      </c>
      <c s="36" r="DD9">
        <v>107</v>
      </c>
      <c s="36" r="DE9">
        <v>108</v>
      </c>
      <c s="36" r="DF9">
        <v>109</v>
      </c>
      <c s="36" r="DG9">
        <v>110</v>
      </c>
      <c s="36" r="DH9">
        <v>111</v>
      </c>
      <c s="36" r="DI9">
        <v>112</v>
      </c>
      <c s="36" r="DJ9">
        <v>113</v>
      </c>
      <c s="36" r="DK9">
        <v>114</v>
      </c>
      <c s="36" r="DL9">
        <v>115</v>
      </c>
      <c s="36" r="DM9">
        <v>116</v>
      </c>
      <c s="36" r="DN9">
        <v>117</v>
      </c>
      <c s="36" r="DO9">
        <v>118</v>
      </c>
      <c s="36" r="DP9">
        <v>119</v>
      </c>
      <c s="36" r="DQ9">
        <v>120</v>
      </c>
      <c s="36" r="DR9">
        <v>121</v>
      </c>
      <c s="36" r="DS9">
        <v>122</v>
      </c>
      <c s="36" r="DT9">
        <v>123</v>
      </c>
      <c s="36" r="DU9">
        <v>124</v>
      </c>
      <c s="59" r="DV9">
        <v>125</v>
      </c>
    </row>
    <row customHeight="1" r="10" ht="15.0">
      <c t="s" s="37" r="A10">
        <v>75</v>
      </c>
      <c s="28" r="B10">
        <v>50544470</v>
      </c>
      <c s="28" r="C10">
        <v>6187835911</v>
      </c>
      <c s="28" r="D10">
        <v>43324327</v>
      </c>
      <c s="28" r="E10">
        <v>3845624561</v>
      </c>
      <c s="28" r="F10">
        <v>34974994</v>
      </c>
      <c s="28" r="G10">
        <v>192155644</v>
      </c>
      <c s="28" r="H10">
        <v>4400511</v>
      </c>
      <c s="28" r="I10">
        <v>68991965</v>
      </c>
      <c s="28" r="J10">
        <v>18924081</v>
      </c>
      <c s="28" r="K10">
        <v>197168726</v>
      </c>
      <c s="28" r="L10">
        <v>16315747</v>
      </c>
      <c s="28" r="M10">
        <v>133069706</v>
      </c>
      <c s="28" r="N10">
        <v>21522095</v>
      </c>
      <c s="28" r="O10">
        <v>25655500</v>
      </c>
      <c s="28" r="P10">
        <v>259780</v>
      </c>
      <c s="28" r="Q10">
        <v>6758766</v>
      </c>
      <c s="28" r="R10">
        <v>10676395</v>
      </c>
      <c s="28" r="S10">
        <v>202530896</v>
      </c>
      <c s="28" r="T10">
        <v>16383152</v>
      </c>
      <c s="28" r="U10">
        <v>810594234</v>
      </c>
      <c s="28" r="V10">
        <v>1118798</v>
      </c>
      <c s="28" r="W10">
        <v>5445080</v>
      </c>
      <c s="28" r="X10">
        <v>5313694</v>
      </c>
      <c s="28" r="Y10">
        <v>98945030</v>
      </c>
      <c s="28" r="Z10">
        <v>11662054</v>
      </c>
      <c s="28" r="AA10">
        <v>277536214</v>
      </c>
      <c s="28" r="AB10">
        <v>3602505</v>
      </c>
      <c s="28" r="AC10">
        <v>64027958</v>
      </c>
      <c s="28" r="AD10">
        <v>3792153</v>
      </c>
      <c s="28" r="AE10">
        <v>46443196</v>
      </c>
      <c s="28" r="AF10">
        <v>268628</v>
      </c>
      <c s="28" r="AG10">
        <v>2000477</v>
      </c>
      <c s="28" r="AH10">
        <v>5797114</v>
      </c>
      <c s="28" r="AI10">
        <v>435188895</v>
      </c>
      <c s="28" r="AJ10">
        <v>406638</v>
      </c>
      <c s="28" r="AK10">
        <v>16537793</v>
      </c>
      <c s="28" r="AL10">
        <v>783430</v>
      </c>
      <c s="28" r="AM10">
        <v>-7964876</v>
      </c>
      <c s="28" r="AN10">
        <v>2656205</v>
      </c>
      <c s="28" r="AO10">
        <v>11617594</v>
      </c>
      <c s="28" r="AP10">
        <v>7541145</v>
      </c>
      <c s="28" r="AQ10">
        <v>98481692</v>
      </c>
      <c s="28" r="AR10">
        <v>77701</v>
      </c>
      <c s="28" r="AS10">
        <v>5172655</v>
      </c>
      <c s="28" r="AT10">
        <v>3789276</v>
      </c>
      <c s="28" r="AU10">
        <v>27628453</v>
      </c>
      <c s="28" r="AV10">
        <v>17666849</v>
      </c>
      <c s="28" r="AW10">
        <v>89395905</v>
      </c>
      <c s="28" r="AX10">
        <v>1333036542</v>
      </c>
      <c s="28" r="AY10">
        <v>7131365</v>
      </c>
      <c s="28" r="AZ10">
        <v>39101872</v>
      </c>
      <c s="28" r="BA10">
        <v>10520269</v>
      </c>
      <c s="28" r="BB10">
        <v>76347462</v>
      </c>
      <c s="28" r="BC10">
        <v>10520269</v>
      </c>
      <c s="28" r="BD10">
        <v>119153650</v>
      </c>
      <c s="28" r="BE10">
        <v>10520232</v>
      </c>
      <c s="28" r="BF10">
        <v>42806188</v>
      </c>
      <c s="28" r="BG10">
        <v>50118657</v>
      </c>
      <c s="28" r="BH10">
        <v>465880541</v>
      </c>
      <c s="28" r="BI10">
        <v>48619346</v>
      </c>
      <c s="28" r="BJ10">
        <v>287873621</v>
      </c>
      <c s="28" r="BK10">
        <v>36683269</v>
      </c>
      <c s="28" r="BL10">
        <v>269351140</v>
      </c>
      <c s="28" r="BM10">
        <v>11936077</v>
      </c>
      <c s="28" r="BN10">
        <v>18522480</v>
      </c>
      <c s="28" r="BO10">
        <v>43604421</v>
      </c>
      <c s="28" r="BP10">
        <v>166884976</v>
      </c>
      <c s="28" r="BQ10">
        <v>22063125</v>
      </c>
      <c s="28" r="BR10">
        <v>9207161</v>
      </c>
      <c s="28" r="BS10">
        <v>2874143</v>
      </c>
      <c s="28" r="BT10">
        <v>1914783</v>
      </c>
      <c s="28" r="BU10">
        <v>41282875</v>
      </c>
      <c s="28" r="BV10">
        <v>524790200</v>
      </c>
      <c s="28" r="BW10">
        <v>40776656</v>
      </c>
      <c s="28" r="BX10">
        <v>491432301</v>
      </c>
      <c s="28" r="BY10">
        <v>40368551</v>
      </c>
      <c s="28" r="BZ10">
        <v>484500709</v>
      </c>
      <c s="28" r="CA10">
        <v>1153837</v>
      </c>
      <c s="28" r="CB10">
        <v>6931592</v>
      </c>
      <c s="28" r="CC10">
        <v>2801145</v>
      </c>
      <c s="28" r="CD10">
        <v>2057338</v>
      </c>
      <c s="28" r="CE10">
        <v>1685664</v>
      </c>
      <c s="28" r="CF10">
        <v>1846093</v>
      </c>
      <c s="28" r="CG10">
        <v>1898537</v>
      </c>
      <c s="28" r="CH10">
        <v>29454467</v>
      </c>
      <c s="28" r="CI10">
        <v>41119033</v>
      </c>
      <c s="28" r="CJ10">
        <v>193603968</v>
      </c>
      <c s="28" r="CK10">
        <v>38056579</v>
      </c>
      <c s="28" r="CL10">
        <v>143826766</v>
      </c>
      <c s="28" r="CM10">
        <v>23854106</v>
      </c>
      <c s="28" r="CN10">
        <v>58747438</v>
      </c>
      <c s="28" r="CO10">
        <v>538922</v>
      </c>
      <c s="28" r="CP10">
        <v>25522568</v>
      </c>
      <c s="28" r="CQ10">
        <v>107474</v>
      </c>
      <c s="28" r="CR10">
        <v>2337018</v>
      </c>
      <c s="28" r="CS10">
        <v>12734403</v>
      </c>
      <c s="28" r="CT10">
        <v>85217982</v>
      </c>
      <c s="28" r="CU10">
        <v>16479370</v>
      </c>
      <c s="28" r="CV10">
        <v>82105794</v>
      </c>
      <c s="28" r="CW10">
        <v>23493036</v>
      </c>
      <c s="28" r="CX10">
        <v>6485717</v>
      </c>
      <c s="28" r="CY10">
        <v>10035981</v>
      </c>
      <c s="28" r="CZ10">
        <v>34643576</v>
      </c>
      <c s="28" r="DA10">
        <v>30594297</v>
      </c>
      <c s="28" r="DB10">
        <v>123235088</v>
      </c>
      <c s="28" r="DC10">
        <v>1101240</v>
      </c>
      <c s="28" r="DD10">
        <v>21113627</v>
      </c>
      <c s="28" r="DE10">
        <v>608159</v>
      </c>
      <c s="28" r="DF10">
        <v>2544908</v>
      </c>
      <c s="28" r="DG10">
        <v>1691527</v>
      </c>
      <c s="28" r="DH10">
        <v>23961243</v>
      </c>
      <c s="28" r="DI10">
        <v>122040515</v>
      </c>
      <c s="28" r="DJ10">
        <v>398926150</v>
      </c>
      <c s="28" r="DK10">
        <v>46414283</v>
      </c>
      <c s="28" r="DL10">
        <v>4508688692</v>
      </c>
      <c s="28" r="DM10">
        <v>3934736</v>
      </c>
      <c s="28" r="DN10">
        <v>23470785</v>
      </c>
      <c s="28" r="DO10">
        <v>46433497</v>
      </c>
      <c s="28" r="DP10">
        <v>949790942</v>
      </c>
      <c s="28" r="DQ10">
        <v>22313102</v>
      </c>
      <c s="28" r="DR10">
        <v>37800132</v>
      </c>
      <c s="28" r="DS10">
        <v>43553893</v>
      </c>
      <c s="28" r="DT10">
        <v>911990810</v>
      </c>
      <c s="28" r="DU10">
        <v>43553894</v>
      </c>
      <c s="25" r="DV10">
        <v>911991390</v>
      </c>
    </row>
    <row customHeight="1" r="11" ht="15.0">
      <c t="s" s="58" r="A11">
        <v>76</v>
      </c>
      <c s="6" r="B11">
        <v>344143</v>
      </c>
      <c s="6" r="C11">
        <v>899431</v>
      </c>
      <c s="6" r="D11">
        <v>132772</v>
      </c>
      <c s="6" r="E11">
        <v>1474058</v>
      </c>
      <c s="6" r="F11">
        <v>210078</v>
      </c>
      <c s="6" r="G11">
        <v>257019</v>
      </c>
      <c s="6" r="H11">
        <v>14644</v>
      </c>
      <c s="6" r="I11">
        <v>89540</v>
      </c>
      <c s="6" r="J11">
        <v>110595</v>
      </c>
      <c s="6" r="K11">
        <v>167691</v>
      </c>
      <c s="6" r="L11">
        <v>91586</v>
      </c>
      <c s="6" r="M11">
        <v>69855</v>
      </c>
      <c s="6" r="N11">
        <v>40620</v>
      </c>
      <c s="6" r="O11">
        <v>29052</v>
      </c>
      <c s="6" r="P11">
        <v>0</v>
      </c>
      <c s="6" r="Q11">
        <v>0</v>
      </c>
      <c s="6" r="R11">
        <v>141505</v>
      </c>
      <c s="6" r="S11">
        <v>459505</v>
      </c>
      <c s="6" r="T11">
        <v>97679</v>
      </c>
      <c s="6" r="U11">
        <v>39635</v>
      </c>
      <c s="6" r="V11">
        <v>5899</v>
      </c>
      <c s="6" r="W11">
        <v>-21110</v>
      </c>
      <c s="6" r="X11">
        <v>21416</v>
      </c>
      <c s="6" r="Y11">
        <v>185117</v>
      </c>
      <c s="6" r="Z11">
        <v>50396</v>
      </c>
      <c s="6" r="AA11">
        <v>210196</v>
      </c>
      <c s="6" r="AB11">
        <v>24283</v>
      </c>
      <c s="6" r="AC11">
        <v>106347</v>
      </c>
      <c s="6" r="AD11">
        <v>38772</v>
      </c>
      <c s="6" r="AE11">
        <v>584330</v>
      </c>
      <c s="53" r="AF11">
        <v>2591</v>
      </c>
      <c s="53" r="AG11">
        <v>20849</v>
      </c>
      <c s="6" r="AH11">
        <v>35665</v>
      </c>
      <c s="6" r="AI11">
        <v>-559039</v>
      </c>
      <c s="53" r="AJ11">
        <v>1404</v>
      </c>
      <c s="53" r="AK11">
        <v>374</v>
      </c>
      <c s="6" r="AL11">
        <v>8273</v>
      </c>
      <c s="6" r="AM11">
        <v>-54344</v>
      </c>
      <c s="6" r="AN11">
        <v>12853</v>
      </c>
      <c s="6" r="AO11">
        <v>41531</v>
      </c>
      <c s="6" r="AP11">
        <v>4069</v>
      </c>
      <c s="6" r="AQ11">
        <v>10619</v>
      </c>
      <c s="53" r="AR11">
        <v>1844</v>
      </c>
      <c s="53" r="AS11">
        <v>154291</v>
      </c>
      <c s="6" r="AT11">
        <v>16564</v>
      </c>
      <c s="6" r="AU11">
        <v>49989</v>
      </c>
      <c s="6" r="AV11">
        <v>131846</v>
      </c>
      <c s="6" r="AW11">
        <v>369544</v>
      </c>
      <c s="6" r="AX11">
        <v>5745355</v>
      </c>
      <c s="6" r="AY11">
        <v>0</v>
      </c>
      <c s="6" r="AZ11">
        <v>0</v>
      </c>
      <c s="6" r="BA11">
        <v>207342</v>
      </c>
      <c s="6" r="BB11">
        <v>1560750</v>
      </c>
      <c s="6" r="BC11">
        <v>207342</v>
      </c>
      <c s="6" r="BD11">
        <v>1601115</v>
      </c>
      <c s="6" r="BE11">
        <v>207305</v>
      </c>
      <c s="6" r="BF11">
        <v>40365</v>
      </c>
      <c s="6" r="BG11">
        <v>322924</v>
      </c>
      <c s="6" r="BH11">
        <v>989828</v>
      </c>
      <c s="6" r="BI11">
        <v>272507</v>
      </c>
      <c s="6" r="BJ11">
        <v>220674</v>
      </c>
      <c s="6" r="BK11">
        <v>94951</v>
      </c>
      <c s="6" r="BL11">
        <v>121514</v>
      </c>
      <c s="6" r="BM11">
        <v>177556</v>
      </c>
      <c s="6" r="BN11">
        <v>99160</v>
      </c>
      <c s="6" r="BO11">
        <v>237386</v>
      </c>
      <c s="6" r="BP11">
        <v>733351</v>
      </c>
      <c s="6" r="BQ11">
        <v>103606</v>
      </c>
      <c s="6" r="BR11">
        <v>27769</v>
      </c>
      <c s="6" r="BS11">
        <v>15844</v>
      </c>
      <c s="6" r="BT11">
        <v>8033</v>
      </c>
      <c s="6" r="BU11">
        <v>234577</v>
      </c>
      <c s="6" r="BV11">
        <v>2766246</v>
      </c>
      <c s="6" r="BW11">
        <v>229350</v>
      </c>
      <c s="6" r="BX11">
        <v>2712419</v>
      </c>
      <c s="6" r="BY11">
        <v>223426</v>
      </c>
      <c s="6" r="BZ11">
        <v>2663411</v>
      </c>
      <c s="6" r="CA11">
        <v>6272</v>
      </c>
      <c s="6" r="CB11">
        <v>49009</v>
      </c>
      <c s="6" r="CC11">
        <v>11495</v>
      </c>
      <c s="6" r="CD11">
        <v>24216</v>
      </c>
      <c s="6" r="CE11">
        <v>9058</v>
      </c>
      <c s="6" r="CF11">
        <v>11705</v>
      </c>
      <c s="6" r="CG11">
        <v>10311</v>
      </c>
      <c s="6" r="CH11">
        <v>17905</v>
      </c>
      <c s="6" r="CI11">
        <v>179892</v>
      </c>
      <c s="6" r="CJ11">
        <v>131261</v>
      </c>
      <c s="6" r="CK11">
        <v>155572</v>
      </c>
      <c s="6" r="CL11">
        <v>208825</v>
      </c>
      <c s="6" r="CM11">
        <v>71442</v>
      </c>
      <c s="6" r="CN11">
        <v>49938</v>
      </c>
      <c s="6" r="CO11">
        <v>30237</v>
      </c>
      <c s="6" r="CP11">
        <v>135098</v>
      </c>
      <c s="53" r="CQ11">
        <v>1293</v>
      </c>
      <c s="53" r="CR11">
        <v>42775</v>
      </c>
      <c s="6" r="CS11">
        <v>113940</v>
      </c>
      <c s="6" r="CT11">
        <v>232871</v>
      </c>
      <c s="6" r="CU11">
        <v>30112</v>
      </c>
      <c s="6" r="CV11">
        <v>156153</v>
      </c>
      <c s="6" r="CW11">
        <v>90516</v>
      </c>
      <c s="6" r="CX11">
        <v>24726</v>
      </c>
      <c s="6" r="CY11">
        <v>56673</v>
      </c>
      <c s="6" r="CZ11">
        <v>57803</v>
      </c>
      <c s="6" r="DA11">
        <v>126726</v>
      </c>
      <c s="6" r="DB11">
        <v>238681</v>
      </c>
      <c s="6" r="DC11">
        <v>3473</v>
      </c>
      <c s="6" r="DD11">
        <v>7967</v>
      </c>
      <c s="6" r="DE11">
        <v>3791</v>
      </c>
      <c s="6" r="DF11">
        <v>13657</v>
      </c>
      <c s="6" r="DG11">
        <v>7264</v>
      </c>
      <c s="6" r="DH11">
        <v>21624</v>
      </c>
      <c s="6" r="DI11">
        <v>565898</v>
      </c>
      <c s="6" r="DJ11">
        <v>1918880</v>
      </c>
      <c s="6" r="DK11">
        <v>11629</v>
      </c>
      <c s="6" r="DL11">
        <v>18836</v>
      </c>
      <c s="53" r="DM11">
        <v>15</v>
      </c>
      <c s="53" r="DN11">
        <v>960</v>
      </c>
      <c s="6" r="DO11">
        <v>13189</v>
      </c>
      <c s="6" r="DP11">
        <v>3377</v>
      </c>
      <c s="53" r="DQ11">
        <v>4411</v>
      </c>
      <c s="53" r="DR11">
        <v>537</v>
      </c>
      <c s="6" r="DS11">
        <v>10424</v>
      </c>
      <c s="6" r="DT11">
        <v>2841</v>
      </c>
      <c s="6" r="DU11">
        <v>10424</v>
      </c>
      <c s="47" r="DV11">
        <v>2841</v>
      </c>
    </row>
    <row customHeight="1" r="12" ht="15.0">
      <c t="s" s="58" r="A12">
        <v>77</v>
      </c>
      <c s="6" r="B12">
        <v>560836</v>
      </c>
      <c s="6" r="C12">
        <v>4333631</v>
      </c>
      <c s="6" r="D12">
        <v>231786</v>
      </c>
      <c s="6" r="E12">
        <v>2696026</v>
      </c>
      <c s="6" r="F12">
        <v>344604</v>
      </c>
      <c s="6" r="G12">
        <v>648898</v>
      </c>
      <c s="6" r="H12">
        <v>25238</v>
      </c>
      <c s="6" r="I12">
        <v>62237</v>
      </c>
      <c s="6" r="J12">
        <v>157692</v>
      </c>
      <c s="6" r="K12">
        <v>302078</v>
      </c>
      <c s="6" r="L12">
        <v>123405</v>
      </c>
      <c s="6" r="M12">
        <v>138813</v>
      </c>
      <c s="6" r="N12">
        <v>71958</v>
      </c>
      <c s="6" r="O12">
        <v>33433</v>
      </c>
      <c s="53" r="P12">
        <v>1932</v>
      </c>
      <c s="53" r="Q12">
        <v>12644</v>
      </c>
      <c s="6" r="R12">
        <v>213908</v>
      </c>
      <c s="6" r="S12">
        <v>993509</v>
      </c>
      <c s="6" r="T12">
        <v>150233</v>
      </c>
      <c s="6" r="U12">
        <v>219253</v>
      </c>
      <c s="6" r="V12">
        <v>11653</v>
      </c>
      <c s="6" r="W12">
        <v>-67368</v>
      </c>
      <c s="6" r="X12">
        <v>63640</v>
      </c>
      <c s="6" r="Y12">
        <v>335748</v>
      </c>
      <c s="6" r="Z12">
        <v>156683</v>
      </c>
      <c s="6" r="AA12">
        <v>1093307</v>
      </c>
      <c s="6" r="AB12">
        <v>38926</v>
      </c>
      <c s="6" r="AC12">
        <v>252895</v>
      </c>
      <c s="6" r="AD12">
        <v>61141</v>
      </c>
      <c s="6" r="AE12">
        <v>796112</v>
      </c>
      <c s="53" r="AF12">
        <v>3781</v>
      </c>
      <c s="53" r="AG12">
        <v>20228</v>
      </c>
      <c s="6" r="AH12">
        <v>44399</v>
      </c>
      <c s="6" r="AI12">
        <v>-375859</v>
      </c>
      <c s="53" r="AJ12">
        <v>2784</v>
      </c>
      <c s="53" r="AK12">
        <v>9152</v>
      </c>
      <c s="6" r="AL12">
        <v>15789</v>
      </c>
      <c s="6" r="AM12">
        <v>-165527</v>
      </c>
      <c s="6" r="AN12">
        <v>23254</v>
      </c>
      <c s="6" r="AO12">
        <v>78376</v>
      </c>
      <c s="6" r="AP12">
        <v>8220</v>
      </c>
      <c s="6" r="AQ12">
        <v>43446</v>
      </c>
      <c s="53" r="AR12">
        <v>3046</v>
      </c>
      <c s="53" r="AS12">
        <v>167390</v>
      </c>
      <c s="6" r="AT12">
        <v>25540</v>
      </c>
      <c s="6" r="AU12">
        <v>74867</v>
      </c>
      <c s="6" r="AV12">
        <v>210505</v>
      </c>
      <c s="6" r="AW12">
        <v>506304</v>
      </c>
      <c s="6" r="AX12">
        <v>8685213</v>
      </c>
      <c s="6" r="AY12">
        <v>0</v>
      </c>
      <c s="6" r="AZ12">
        <v>0</v>
      </c>
      <c s="6" r="BA12">
        <v>347723</v>
      </c>
      <c s="6" r="BB12">
        <v>2558370</v>
      </c>
      <c s="6" r="BC12">
        <v>347723</v>
      </c>
      <c s="6" r="BD12">
        <v>2760873</v>
      </c>
      <c s="6" r="BE12">
        <v>347723</v>
      </c>
      <c s="6" r="BF12">
        <v>202503</v>
      </c>
      <c s="6" r="BG12">
        <v>528586</v>
      </c>
      <c s="6" r="BH12">
        <v>1505435</v>
      </c>
      <c s="6" r="BI12">
        <v>466043</v>
      </c>
      <c s="6" r="BJ12">
        <v>395931</v>
      </c>
      <c s="6" r="BK12">
        <v>161736</v>
      </c>
      <c s="6" r="BL12">
        <v>255795</v>
      </c>
      <c s="6" r="BM12">
        <v>304307</v>
      </c>
      <c s="6" r="BN12">
        <v>140136</v>
      </c>
      <c s="6" r="BO12">
        <v>405026</v>
      </c>
      <c s="6" r="BP12">
        <v>1063170</v>
      </c>
      <c s="6" r="BQ12">
        <v>152228</v>
      </c>
      <c s="6" r="BR12">
        <v>40391</v>
      </c>
      <c s="6" r="BS12">
        <v>18509</v>
      </c>
      <c s="6" r="BT12">
        <v>5943</v>
      </c>
      <c s="6" r="BU12">
        <v>380889</v>
      </c>
      <c s="6" r="BV12">
        <v>3850164</v>
      </c>
      <c s="6" r="BW12">
        <v>376835</v>
      </c>
      <c s="6" r="BX12">
        <v>3796496</v>
      </c>
      <c s="6" r="BY12">
        <v>375085</v>
      </c>
      <c s="6" r="BZ12">
        <v>3740438</v>
      </c>
      <c s="6" r="CA12">
        <v>9785</v>
      </c>
      <c s="6" r="CB12">
        <v>56058</v>
      </c>
      <c s="6" r="CC12">
        <v>18441</v>
      </c>
      <c s="6" r="CD12">
        <v>5979</v>
      </c>
      <c s="6" r="CE12">
        <v>17314</v>
      </c>
      <c s="6" r="CF12">
        <v>20515</v>
      </c>
      <c s="6" r="CG12">
        <v>8636</v>
      </c>
      <c s="6" r="CH12">
        <v>27174</v>
      </c>
      <c s="6" r="CI12">
        <v>328091</v>
      </c>
      <c s="6" r="CJ12">
        <v>431270</v>
      </c>
      <c s="6" r="CK12">
        <v>292706</v>
      </c>
      <c s="6" r="CL12">
        <v>413096</v>
      </c>
      <c s="6" r="CM12">
        <v>107904</v>
      </c>
      <c s="6" r="CN12">
        <v>58447</v>
      </c>
      <c s="6" r="CO12">
        <v>38697</v>
      </c>
      <c s="6" r="CP12">
        <v>186516</v>
      </c>
      <c s="53" r="CQ12">
        <v>2935</v>
      </c>
      <c s="53" r="CR12">
        <v>35721</v>
      </c>
      <c s="6" r="CS12">
        <v>139046</v>
      </c>
      <c s="6" r="CT12">
        <v>266992</v>
      </c>
      <c s="6" r="CU12">
        <v>55562</v>
      </c>
      <c s="6" r="CV12">
        <v>188741</v>
      </c>
      <c s="6" r="CW12">
        <v>168585</v>
      </c>
      <c s="6" r="CX12">
        <v>35384</v>
      </c>
      <c s="6" r="CY12">
        <v>79923</v>
      </c>
      <c s="6" r="CZ12">
        <v>71412</v>
      </c>
      <c s="6" r="DA12">
        <v>222223</v>
      </c>
      <c s="6" r="DB12">
        <v>295538</v>
      </c>
      <c s="6" r="DC12">
        <v>5705</v>
      </c>
      <c s="6" r="DD12">
        <v>28987</v>
      </c>
      <c s="6" r="DE12">
        <v>2853</v>
      </c>
      <c s="6" r="DF12">
        <v>8273</v>
      </c>
      <c s="6" r="DG12">
        <v>8559</v>
      </c>
      <c s="6" r="DH12">
        <v>37261</v>
      </c>
      <c s="6" r="DI12">
        <v>875504</v>
      </c>
      <c s="6" r="DJ12">
        <v>2969359</v>
      </c>
      <c s="6" r="DK12">
        <v>26617</v>
      </c>
      <c s="6" r="DL12">
        <v>87288</v>
      </c>
      <c s="53" r="DM12">
        <v>141</v>
      </c>
      <c s="53" r="DN12">
        <v>275</v>
      </c>
      <c s="6" r="DO12">
        <v>26758</v>
      </c>
      <c s="6" r="DP12">
        <v>10426</v>
      </c>
      <c s="6" r="DQ12">
        <v>10307</v>
      </c>
      <c s="6" r="DR12">
        <v>687</v>
      </c>
      <c s="6" r="DS12">
        <v>24800</v>
      </c>
      <c s="6" r="DT12">
        <v>9739</v>
      </c>
      <c s="6" r="DU12">
        <v>24800</v>
      </c>
      <c s="47" r="DV12">
        <v>9739</v>
      </c>
    </row>
    <row customHeight="1" r="13" ht="15.0">
      <c t="s" s="58" r="A13">
        <v>78</v>
      </c>
      <c s="6" r="B13">
        <v>1015734</v>
      </c>
      <c s="6" r="C13">
        <v>12819965</v>
      </c>
      <c s="6" r="D13">
        <v>468087</v>
      </c>
      <c s="6" r="E13">
        <v>6442449</v>
      </c>
      <c s="6" r="F13">
        <v>595894</v>
      </c>
      <c s="6" r="G13">
        <v>1263145</v>
      </c>
      <c s="6" r="H13">
        <v>34771</v>
      </c>
      <c s="6" r="I13">
        <v>140133</v>
      </c>
      <c s="6" r="J13">
        <v>277545</v>
      </c>
      <c s="6" r="K13">
        <v>651709</v>
      </c>
      <c s="6" r="L13">
        <v>230714</v>
      </c>
      <c s="6" r="M13">
        <v>307689</v>
      </c>
      <c s="6" r="N13">
        <v>151083</v>
      </c>
      <c s="6" r="O13">
        <v>82657</v>
      </c>
      <c s="6" r="P13">
        <v>5835</v>
      </c>
      <c s="6" r="Q13">
        <v>45000</v>
      </c>
      <c s="6" r="R13">
        <v>289968</v>
      </c>
      <c s="6" r="S13">
        <v>1815122</v>
      </c>
      <c s="6" r="T13">
        <v>250585</v>
      </c>
      <c s="6" r="U13">
        <v>394613</v>
      </c>
      <c s="6" r="V13">
        <v>19825</v>
      </c>
      <c s="6" r="W13">
        <v>-107783</v>
      </c>
      <c s="6" r="X13">
        <v>143306</v>
      </c>
      <c s="6" r="Y13">
        <v>778144</v>
      </c>
      <c s="6" r="Z13">
        <v>376369</v>
      </c>
      <c s="6" r="AA13">
        <v>3333986</v>
      </c>
      <c s="6" r="AB13">
        <v>73051</v>
      </c>
      <c s="6" r="AC13">
        <v>447432</v>
      </c>
      <c s="6" r="AD13">
        <v>89200</v>
      </c>
      <c s="6" r="AE13">
        <v>972772</v>
      </c>
      <c s="6" r="AF13">
        <v>6127</v>
      </c>
      <c s="6" r="AG13">
        <v>9701</v>
      </c>
      <c s="6" r="AH13">
        <v>61073</v>
      </c>
      <c s="6" r="AI13">
        <v>-521499</v>
      </c>
      <c s="6" r="AJ13">
        <v>5214</v>
      </c>
      <c s="6" r="AK13">
        <v>7190</v>
      </c>
      <c s="6" r="AL13">
        <v>17108</v>
      </c>
      <c s="6" r="AM13">
        <v>-218994</v>
      </c>
      <c s="6" r="AN13">
        <v>45022</v>
      </c>
      <c s="6" r="AO13">
        <v>182080</v>
      </c>
      <c s="6" r="AP13">
        <v>19699</v>
      </c>
      <c s="6" r="AQ13">
        <v>57507</v>
      </c>
      <c s="53" r="AR13">
        <v>753</v>
      </c>
      <c s="53" r="AS13">
        <v>43240</v>
      </c>
      <c s="6" r="AT13">
        <v>52779</v>
      </c>
      <c s="6" r="AU13">
        <v>133450</v>
      </c>
      <c s="6" r="AV13">
        <v>312984</v>
      </c>
      <c s="6" r="AW13">
        <v>719871</v>
      </c>
      <c s="6" r="AX13">
        <v>15368011</v>
      </c>
      <c s="6" r="AY13">
        <v>0</v>
      </c>
      <c s="6" r="AZ13">
        <v>0</v>
      </c>
      <c s="6" r="BA13">
        <v>631680</v>
      </c>
      <c s="6" r="BB13">
        <v>4533498</v>
      </c>
      <c s="6" r="BC13">
        <v>631680</v>
      </c>
      <c s="6" r="BD13">
        <v>5130819</v>
      </c>
      <c s="6" r="BE13">
        <v>631680</v>
      </c>
      <c s="6" r="BF13">
        <v>597321</v>
      </c>
      <c s="6" r="BG13">
        <v>980794</v>
      </c>
      <c s="6" r="BH13">
        <v>2625755</v>
      </c>
      <c s="6" r="BI13">
        <v>876430</v>
      </c>
      <c s="6" r="BJ13">
        <v>624092</v>
      </c>
      <c s="6" r="BK13">
        <v>349160</v>
      </c>
      <c s="6" r="BL13">
        <v>357244</v>
      </c>
      <c s="6" r="BM13">
        <v>527270</v>
      </c>
      <c s="6" r="BN13">
        <v>266848</v>
      </c>
      <c s="6" r="BO13">
        <v>732653</v>
      </c>
      <c s="6" r="BP13">
        <v>1887408</v>
      </c>
      <c s="6" r="BQ13">
        <v>331032</v>
      </c>
      <c s="6" r="BR13">
        <v>103435</v>
      </c>
      <c s="6" r="BS13">
        <v>32350</v>
      </c>
      <c s="6" r="BT13">
        <v>10820</v>
      </c>
      <c s="6" r="BU13">
        <v>650030</v>
      </c>
      <c s="6" r="BV13">
        <v>6152602</v>
      </c>
      <c s="6" r="BW13">
        <v>636951</v>
      </c>
      <c s="6" r="BX13">
        <v>6059687</v>
      </c>
      <c s="6" r="BY13">
        <v>629224</v>
      </c>
      <c s="6" r="BZ13">
        <v>5970450</v>
      </c>
      <c s="6" r="CA13">
        <v>14183</v>
      </c>
      <c s="6" r="CB13">
        <v>89237</v>
      </c>
      <c s="6" r="CC13">
        <v>26900</v>
      </c>
      <c s="6" r="CD13">
        <v>11055</v>
      </c>
      <c s="6" r="CE13">
        <v>29763</v>
      </c>
      <c s="6" r="CF13">
        <v>44639</v>
      </c>
      <c s="6" r="CG13">
        <v>20893</v>
      </c>
      <c s="6" r="CH13">
        <v>37221</v>
      </c>
      <c s="6" r="CI13">
        <v>617376</v>
      </c>
      <c s="6" r="CJ13">
        <v>999462</v>
      </c>
      <c s="6" r="CK13">
        <v>571146</v>
      </c>
      <c s="6" r="CL13">
        <v>899284</v>
      </c>
      <c s="6" r="CM13">
        <v>252241</v>
      </c>
      <c s="6" r="CN13">
        <v>133568</v>
      </c>
      <c s="6" r="CO13">
        <v>31608</v>
      </c>
      <c s="6" r="CP13">
        <v>332520</v>
      </c>
      <c s="53" r="CQ13">
        <v>1644</v>
      </c>
      <c s="53" r="CR13">
        <v>154187</v>
      </c>
      <c s="6" r="CS13">
        <v>243445</v>
      </c>
      <c s="6" r="CT13">
        <v>795235</v>
      </c>
      <c s="6" r="CU13">
        <v>137202</v>
      </c>
      <c s="6" r="CV13">
        <v>641959</v>
      </c>
      <c s="6" r="CW13">
        <v>361652</v>
      </c>
      <c s="6" r="CX13">
        <v>77100</v>
      </c>
      <c s="6" r="CY13">
        <v>152342</v>
      </c>
      <c s="6" r="CZ13">
        <v>168050</v>
      </c>
      <c s="6" r="DA13">
        <v>468912</v>
      </c>
      <c s="6" r="DB13">
        <v>887109</v>
      </c>
      <c s="6" r="DC13">
        <v>16346</v>
      </c>
      <c s="6" r="DD13">
        <v>66299</v>
      </c>
      <c s="6" r="DE13">
        <v>10570</v>
      </c>
      <c s="6" r="DF13">
        <v>40749</v>
      </c>
      <c s="6" r="DG13">
        <v>27554</v>
      </c>
      <c s="6" r="DH13">
        <v>107271</v>
      </c>
      <c s="6" r="DI13">
        <v>1572137</v>
      </c>
      <c s="6" r="DJ13">
        <v>5334720</v>
      </c>
      <c s="6" r="DK13">
        <v>249661</v>
      </c>
      <c s="6" r="DL13">
        <v>614303</v>
      </c>
      <c s="53" r="DM13">
        <v>254</v>
      </c>
      <c s="53" r="DN13">
        <v>640</v>
      </c>
      <c s="6" r="DO13">
        <v>250852</v>
      </c>
      <c s="6" r="DP13">
        <v>61916</v>
      </c>
      <c s="6" r="DQ13">
        <v>60348</v>
      </c>
      <c s="6" r="DR13">
        <v>8831</v>
      </c>
      <c s="6" r="DS13">
        <v>219275</v>
      </c>
      <c s="6" r="DT13">
        <v>53085</v>
      </c>
      <c s="6" r="DU13">
        <v>219275</v>
      </c>
      <c s="47" r="DV13">
        <v>53085</v>
      </c>
    </row>
    <row customHeight="1" r="14" ht="15.0">
      <c t="s" s="58" r="A14">
        <v>79</v>
      </c>
      <c s="6" r="B14">
        <v>1251029</v>
      </c>
      <c s="6" r="C14">
        <v>22092433</v>
      </c>
      <c s="6" r="D14">
        <v>718801</v>
      </c>
      <c s="6" r="E14">
        <v>12256244</v>
      </c>
      <c s="6" r="F14">
        <v>716135</v>
      </c>
      <c s="6" r="G14">
        <v>1732584</v>
      </c>
      <c s="6" r="H14">
        <v>44365</v>
      </c>
      <c s="6" r="I14">
        <v>244787</v>
      </c>
      <c s="6" r="J14">
        <v>387974</v>
      </c>
      <c s="6" r="K14">
        <v>978725</v>
      </c>
      <c s="6" r="L14">
        <v>311730</v>
      </c>
      <c s="6" r="M14">
        <v>499973</v>
      </c>
      <c s="6" r="N14">
        <v>211452</v>
      </c>
      <c s="6" r="O14">
        <v>119560</v>
      </c>
      <c s="6" r="P14">
        <v>12856</v>
      </c>
      <c s="6" r="Q14">
        <v>134215</v>
      </c>
      <c s="6" r="R14">
        <v>344509</v>
      </c>
      <c s="6" r="S14">
        <v>2266049</v>
      </c>
      <c s="6" r="T14">
        <v>311107</v>
      </c>
      <c s="6" r="U14">
        <v>754528</v>
      </c>
      <c s="6" r="V14">
        <v>14661</v>
      </c>
      <c s="6" r="W14">
        <v>61686</v>
      </c>
      <c s="6" r="X14">
        <v>168796</v>
      </c>
      <c s="6" r="Y14">
        <v>1130597</v>
      </c>
      <c s="6" r="Z14">
        <v>402447</v>
      </c>
      <c s="6" r="AA14">
        <v>4367885</v>
      </c>
      <c s="6" r="AB14">
        <v>98216</v>
      </c>
      <c s="6" r="AC14">
        <v>715355</v>
      </c>
      <c s="6" r="AD14">
        <v>103727</v>
      </c>
      <c s="6" r="AE14">
        <v>1287531</v>
      </c>
      <c s="6" r="AF14">
        <v>7351</v>
      </c>
      <c s="6" r="AG14">
        <v>30547</v>
      </c>
      <c s="6" r="AH14">
        <v>78096</v>
      </c>
      <c s="6" r="AI14">
        <v>-333499</v>
      </c>
      <c s="6" r="AJ14">
        <v>2963</v>
      </c>
      <c s="6" r="AK14">
        <v>3909</v>
      </c>
      <c s="6" r="AL14">
        <v>22832</v>
      </c>
      <c s="6" r="AM14">
        <v>-216926</v>
      </c>
      <c s="6" r="AN14">
        <v>69462</v>
      </c>
      <c s="6" r="AO14">
        <v>301336</v>
      </c>
      <c s="6" r="AP14">
        <v>161171</v>
      </c>
      <c s="6" r="AQ14">
        <v>187873</v>
      </c>
      <c s="53" r="AR14">
        <v>2614</v>
      </c>
      <c s="53" r="AS14">
        <v>145868</v>
      </c>
      <c s="6" r="AT14">
        <v>72129</v>
      </c>
      <c s="6" r="AU14">
        <v>77652</v>
      </c>
      <c s="6" r="AV14">
        <v>365490</v>
      </c>
      <c s="6" r="AW14">
        <v>888638</v>
      </c>
      <c s="6" r="AX14">
        <v>19163804</v>
      </c>
      <c s="6" r="AY14">
        <v>0</v>
      </c>
      <c s="6" r="AZ14">
        <v>0</v>
      </c>
      <c s="6" r="BA14">
        <v>682644</v>
      </c>
      <c s="6" r="BB14">
        <v>5299028</v>
      </c>
      <c s="6" r="BC14">
        <v>682644</v>
      </c>
      <c s="6" r="BD14">
        <v>6199965</v>
      </c>
      <c s="6" r="BE14">
        <v>682644</v>
      </c>
      <c s="6" r="BF14">
        <v>900937</v>
      </c>
      <c s="6" r="BG14">
        <v>1209085</v>
      </c>
      <c s="6" r="BH14">
        <v>3426470</v>
      </c>
      <c s="6" r="BI14">
        <v>1108297</v>
      </c>
      <c s="6" r="BJ14">
        <v>868605</v>
      </c>
      <c s="6" r="BK14">
        <v>558486</v>
      </c>
      <c s="6" r="BL14">
        <v>534857</v>
      </c>
      <c s="6" r="BM14">
        <v>549811</v>
      </c>
      <c s="6" r="BN14">
        <v>333748</v>
      </c>
      <c s="6" r="BO14">
        <v>907369</v>
      </c>
      <c s="6" r="BP14">
        <v>2372541</v>
      </c>
      <c s="6" r="BQ14">
        <v>439879</v>
      </c>
      <c s="6" r="BR14">
        <v>155662</v>
      </c>
      <c s="6" r="BS14">
        <v>35425</v>
      </c>
      <c s="6" r="BT14">
        <v>29663</v>
      </c>
      <c s="6" r="BU14">
        <v>804436</v>
      </c>
      <c s="6" r="BV14">
        <v>7518565</v>
      </c>
      <c s="6" r="BW14">
        <v>794036</v>
      </c>
      <c s="6" r="BX14">
        <v>7412061</v>
      </c>
      <c s="6" r="BY14">
        <v>785742</v>
      </c>
      <c s="6" r="BZ14">
        <v>7326691</v>
      </c>
      <c s="6" r="CA14">
        <v>16632</v>
      </c>
      <c s="6" r="CB14">
        <v>85370</v>
      </c>
      <c s="6" r="CC14">
        <v>36946</v>
      </c>
      <c s="6" r="CD14">
        <v>21107</v>
      </c>
      <c s="6" r="CE14">
        <v>40581</v>
      </c>
      <c s="6" r="CF14">
        <v>46896</v>
      </c>
      <c s="6" r="CG14">
        <v>20381</v>
      </c>
      <c s="6" r="CH14">
        <v>38502</v>
      </c>
      <c s="6" r="CI14">
        <v>799202</v>
      </c>
      <c s="6" r="CJ14">
        <v>1457377</v>
      </c>
      <c s="6" r="CK14">
        <v>721878</v>
      </c>
      <c s="6" r="CL14">
        <v>1168307</v>
      </c>
      <c s="6" r="CM14">
        <v>386231</v>
      </c>
      <c s="6" r="CN14">
        <v>288793</v>
      </c>
      <c s="6" r="CO14">
        <v>36605</v>
      </c>
      <c s="6" r="CP14">
        <v>240010</v>
      </c>
      <c s="53" r="CQ14">
        <v>4580</v>
      </c>
      <c s="53" r="CR14">
        <v>24674</v>
      </c>
      <c s="6" r="CS14">
        <v>287197</v>
      </c>
      <c s="6" r="CT14">
        <v>1300639</v>
      </c>
      <c s="6" r="CU14">
        <v>226111</v>
      </c>
      <c s="6" r="CV14">
        <v>1150259</v>
      </c>
      <c s="6" r="CW14">
        <v>466414</v>
      </c>
      <c s="6" r="CX14">
        <v>93840</v>
      </c>
      <c s="6" r="CY14">
        <v>183128</v>
      </c>
      <c s="6" r="CZ14">
        <v>205425</v>
      </c>
      <c s="6" r="DA14">
        <v>592532</v>
      </c>
      <c s="6" r="DB14">
        <v>1449524</v>
      </c>
      <c s="6" r="DC14">
        <v>21640</v>
      </c>
      <c s="6" r="DD14">
        <v>97421</v>
      </c>
      <c s="6" r="DE14">
        <v>14033</v>
      </c>
      <c s="6" r="DF14">
        <v>39629</v>
      </c>
      <c s="6" r="DG14">
        <v>35673</v>
      </c>
      <c s="6" r="DH14">
        <v>137050</v>
      </c>
      <c s="6" r="DI14">
        <v>2050384</v>
      </c>
      <c s="6" r="DJ14">
        <v>6956417</v>
      </c>
      <c s="6" r="DK14">
        <v>593743</v>
      </c>
      <c s="6" r="DL14">
        <v>2969884</v>
      </c>
      <c s="53" r="DM14">
        <v>792</v>
      </c>
      <c s="53" r="DN14">
        <v>1086</v>
      </c>
      <c s="6" r="DO14">
        <v>595231</v>
      </c>
      <c s="6" r="DP14">
        <v>292916</v>
      </c>
      <c s="6" r="DQ14">
        <v>173932</v>
      </c>
      <c s="6" r="DR14">
        <v>35025</v>
      </c>
      <c s="6" r="DS14">
        <v>522775</v>
      </c>
      <c s="6" r="DT14">
        <v>257890</v>
      </c>
      <c s="6" r="DU14">
        <v>522775</v>
      </c>
      <c s="47" r="DV14">
        <v>257890</v>
      </c>
    </row>
    <row customHeight="1" r="15" ht="15.0">
      <c t="s" s="58" r="A15">
        <v>80</v>
      </c>
      <c s="6" r="B15">
        <v>1461861</v>
      </c>
      <c s="6" r="C15">
        <v>32976028</v>
      </c>
      <c s="6" r="D15">
        <v>1004211</v>
      </c>
      <c s="6" r="E15">
        <v>21353019</v>
      </c>
      <c s="6" r="F15">
        <v>725278</v>
      </c>
      <c s="6" r="G15">
        <v>1541733</v>
      </c>
      <c s="6" r="H15">
        <v>45819</v>
      </c>
      <c s="6" r="I15">
        <v>304931</v>
      </c>
      <c s="6" r="J15">
        <v>325955</v>
      </c>
      <c s="6" r="K15">
        <v>937014</v>
      </c>
      <c s="6" r="L15">
        <v>269269</v>
      </c>
      <c s="6" r="M15">
        <v>504606</v>
      </c>
      <c s="6" r="N15">
        <v>335137</v>
      </c>
      <c s="6" r="O15">
        <v>176664</v>
      </c>
      <c s="6" r="P15">
        <v>15483</v>
      </c>
      <c s="6" r="Q15">
        <v>158556</v>
      </c>
      <c s="6" r="R15">
        <v>342267</v>
      </c>
      <c s="6" r="S15">
        <v>3080992</v>
      </c>
      <c s="6" r="T15">
        <v>274085</v>
      </c>
      <c s="6" r="U15">
        <v>806105</v>
      </c>
      <c s="6" r="V15">
        <v>19289</v>
      </c>
      <c s="6" r="W15">
        <v>-67967</v>
      </c>
      <c s="6" r="X15">
        <v>167126</v>
      </c>
      <c s="6" r="Y15">
        <v>1416208</v>
      </c>
      <c s="6" r="Z15">
        <v>388757</v>
      </c>
      <c s="6" r="AA15">
        <v>4861222</v>
      </c>
      <c s="6" r="AB15">
        <v>84658</v>
      </c>
      <c s="6" r="AC15">
        <v>589606</v>
      </c>
      <c s="6" r="AD15">
        <v>107334</v>
      </c>
      <c s="6" r="AE15">
        <v>1224008</v>
      </c>
      <c s="6" r="AF15">
        <v>8816</v>
      </c>
      <c s="6" r="AG15">
        <v>29465</v>
      </c>
      <c s="6" r="AH15">
        <v>103825</v>
      </c>
      <c s="6" r="AI15">
        <v>-341172</v>
      </c>
      <c s="6" r="AJ15">
        <v>5892</v>
      </c>
      <c s="6" r="AK15">
        <v>27171</v>
      </c>
      <c s="6" r="AL15">
        <v>20097</v>
      </c>
      <c s="6" r="AM15">
        <v>-244544</v>
      </c>
      <c s="6" r="AN15">
        <v>103774</v>
      </c>
      <c s="6" r="AO15">
        <v>527412</v>
      </c>
      <c s="6" r="AP15">
        <v>320336</v>
      </c>
      <c s="6" r="AQ15">
        <v>578789</v>
      </c>
      <c s="6" r="AR15">
        <v>3939</v>
      </c>
      <c s="6" r="AS15">
        <v>275048</v>
      </c>
      <c s="6" r="AT15">
        <v>74789</v>
      </c>
      <c s="6" r="AU15">
        <v>142974</v>
      </c>
      <c s="6" r="AV15">
        <v>408262</v>
      </c>
      <c s="6" r="AW15">
        <v>1118314</v>
      </c>
      <c s="6" r="AX15">
        <v>22361623</v>
      </c>
      <c s="6" r="AY15">
        <v>0</v>
      </c>
      <c s="6" r="AZ15">
        <v>0</v>
      </c>
      <c s="6" r="BA15">
        <v>652621</v>
      </c>
      <c s="6" r="BB15">
        <v>4417466</v>
      </c>
      <c s="6" r="BC15">
        <v>652621</v>
      </c>
      <c s="6" r="BD15">
        <v>5520569</v>
      </c>
      <c s="6" r="BE15">
        <v>652621</v>
      </c>
      <c s="6" r="BF15">
        <v>1103103</v>
      </c>
      <c s="6" r="BG15">
        <v>1421262</v>
      </c>
      <c s="6" r="BH15">
        <v>4244504</v>
      </c>
      <c s="6" r="BI15">
        <v>1332384</v>
      </c>
      <c s="6" r="BJ15">
        <v>1232633</v>
      </c>
      <c s="6" r="BK15">
        <v>719457</v>
      </c>
      <c s="6" r="BL15">
        <v>782745</v>
      </c>
      <c s="6" r="BM15">
        <v>612927</v>
      </c>
      <c s="6" r="BN15">
        <v>449888</v>
      </c>
      <c s="6" r="BO15">
        <v>1055094</v>
      </c>
      <c s="6" r="BP15">
        <v>2677838</v>
      </c>
      <c s="6" r="BQ15">
        <v>542877</v>
      </c>
      <c s="6" r="BR15">
        <v>316811</v>
      </c>
      <c s="6" r="BS15">
        <v>48053</v>
      </c>
      <c s="6" r="BT15">
        <v>17222</v>
      </c>
      <c s="6" r="BU15">
        <v>984959</v>
      </c>
      <c s="6" r="BV15">
        <v>9283858</v>
      </c>
      <c s="6" r="BW15">
        <v>973444</v>
      </c>
      <c s="6" r="BX15">
        <v>9096591</v>
      </c>
      <c s="6" r="BY15">
        <v>955226</v>
      </c>
      <c s="6" r="BZ15">
        <v>8957549</v>
      </c>
      <c s="6" r="CA15">
        <v>28943</v>
      </c>
      <c s="6" r="CB15">
        <v>139042</v>
      </c>
      <c s="6" r="CC15">
        <v>49963</v>
      </c>
      <c s="6" r="CD15">
        <v>38259</v>
      </c>
      <c s="6" r="CE15">
        <v>53725</v>
      </c>
      <c s="6" r="CF15">
        <v>69743</v>
      </c>
      <c s="6" r="CG15">
        <v>26951</v>
      </c>
      <c s="6" r="CH15">
        <v>79265</v>
      </c>
      <c s="6" r="CI15">
        <v>1003491</v>
      </c>
      <c s="6" r="CJ15">
        <v>1896118</v>
      </c>
      <c s="6" r="CK15">
        <v>922040</v>
      </c>
      <c s="6" r="CL15">
        <v>1583465</v>
      </c>
      <c s="6" r="CM15">
        <v>489525</v>
      </c>
      <c s="6" r="CN15">
        <v>282559</v>
      </c>
      <c s="6" r="CO15">
        <v>28921</v>
      </c>
      <c s="6" r="CP15">
        <v>189541</v>
      </c>
      <c s="6" r="CQ15">
        <v>9498</v>
      </c>
      <c s="6" r="CR15">
        <v>141913</v>
      </c>
      <c s="6" r="CS15">
        <v>414297</v>
      </c>
      <c s="6" r="CT15">
        <v>2165102</v>
      </c>
      <c s="6" r="CU15">
        <v>378055</v>
      </c>
      <c s="6" r="CV15">
        <v>1984272</v>
      </c>
      <c s="6" r="CW15">
        <v>580084</v>
      </c>
      <c s="6" r="CX15">
        <v>112852</v>
      </c>
      <c s="6" r="CY15">
        <v>249008</v>
      </c>
      <c s="6" r="CZ15">
        <v>319207</v>
      </c>
      <c s="6" r="DA15">
        <v>784240</v>
      </c>
      <c s="6" r="DB15">
        <v>2416332</v>
      </c>
      <c s="6" r="DC15">
        <v>22788</v>
      </c>
      <c s="6" r="DD15">
        <v>145742</v>
      </c>
      <c s="6" r="DE15">
        <v>21558</v>
      </c>
      <c s="6" r="DF15">
        <v>66920</v>
      </c>
      <c s="6" r="DG15">
        <v>44345</v>
      </c>
      <c s="6" r="DH15">
        <v>212662</v>
      </c>
      <c s="6" r="DI15">
        <v>2591486</v>
      </c>
      <c s="6" r="DJ15">
        <v>8798575</v>
      </c>
      <c s="6" r="DK15">
        <v>935782</v>
      </c>
      <c s="6" r="DL15">
        <v>6891320</v>
      </c>
      <c s="53" r="DM15">
        <v>95</v>
      </c>
      <c s="53" r="DN15">
        <v>735</v>
      </c>
      <c s="6" r="DO15">
        <v>936382</v>
      </c>
      <c s="6" r="DP15">
        <v>735473</v>
      </c>
      <c s="6" r="DQ15">
        <v>342635</v>
      </c>
      <c s="6" r="DR15">
        <v>114065</v>
      </c>
      <c s="6" r="DS15">
        <v>757396</v>
      </c>
      <c s="6" r="DT15">
        <v>621408</v>
      </c>
      <c s="6" r="DU15">
        <v>757396</v>
      </c>
      <c s="47" r="DV15">
        <v>621408</v>
      </c>
    </row>
    <row customHeight="1" r="16" ht="15.0">
      <c t="s" s="58" r="A16">
        <v>81</v>
      </c>
      <c s="6" r="B16">
        <v>1791895</v>
      </c>
      <c s="6" r="C16">
        <v>49450938</v>
      </c>
      <c s="6" r="D16">
        <v>1393148</v>
      </c>
      <c s="6" r="E16">
        <v>35720871</v>
      </c>
      <c s="6" r="F16">
        <v>855050</v>
      </c>
      <c s="6" r="G16">
        <v>1524580</v>
      </c>
      <c s="6" r="H16">
        <v>65401</v>
      </c>
      <c s="6" r="I16">
        <v>224843</v>
      </c>
      <c s="6" r="J16">
        <v>371422</v>
      </c>
      <c s="6" r="K16">
        <v>1017687</v>
      </c>
      <c s="6" r="L16">
        <v>315256</v>
      </c>
      <c s="6" r="M16">
        <v>564618</v>
      </c>
      <c s="6" r="N16">
        <v>470515</v>
      </c>
      <c s="6" r="O16">
        <v>257545</v>
      </c>
      <c s="6" r="P16">
        <v>16435</v>
      </c>
      <c s="6" r="Q16">
        <v>235975</v>
      </c>
      <c s="6" r="R16">
        <v>382910</v>
      </c>
      <c s="6" r="S16">
        <v>2867713</v>
      </c>
      <c s="6" r="T16">
        <v>307830</v>
      </c>
      <c s="6" r="U16">
        <v>706585</v>
      </c>
      <c s="6" r="V16">
        <v>20396</v>
      </c>
      <c s="6" r="W16">
        <v>-18935</v>
      </c>
      <c s="6" r="X16">
        <v>186419</v>
      </c>
      <c s="6" r="Y16">
        <v>1370687</v>
      </c>
      <c s="6" r="Z16">
        <v>412431</v>
      </c>
      <c s="6" r="AA16">
        <v>5878574</v>
      </c>
      <c s="6" r="AB16">
        <v>79695</v>
      </c>
      <c s="6" r="AC16">
        <v>574346</v>
      </c>
      <c s="6" r="AD16">
        <v>122385</v>
      </c>
      <c s="6" r="AE16">
        <v>1293063</v>
      </c>
      <c s="6" r="AF16">
        <v>6103</v>
      </c>
      <c s="6" r="AG16">
        <v>17734</v>
      </c>
      <c s="6" r="AH16">
        <v>102691</v>
      </c>
      <c s="6" r="AI16">
        <v>148374</v>
      </c>
      <c s="6" r="AJ16">
        <v>9693</v>
      </c>
      <c s="6" r="AK16">
        <v>92107</v>
      </c>
      <c s="6" r="AL16">
        <v>17090</v>
      </c>
      <c s="6" r="AM16">
        <v>-163213</v>
      </c>
      <c s="6" r="AN16">
        <v>113422</v>
      </c>
      <c s="6" r="AO16">
        <v>463350</v>
      </c>
      <c s="6" r="AP16">
        <v>366368</v>
      </c>
      <c s="6" r="AQ16">
        <v>1100201</v>
      </c>
      <c s="53" r="AR16">
        <v>1950</v>
      </c>
      <c s="53" r="AS16">
        <v>108772</v>
      </c>
      <c s="6" r="AT16">
        <v>91941</v>
      </c>
      <c s="6" r="AU16">
        <v>154213</v>
      </c>
      <c s="6" r="AV16">
        <v>504192</v>
      </c>
      <c s="6" r="AW16">
        <v>1161760</v>
      </c>
      <c s="6" r="AX16">
        <v>27312503</v>
      </c>
      <c s="6" r="AY16">
        <v>0</v>
      </c>
      <c s="6" r="AZ16">
        <v>0</v>
      </c>
      <c s="6" r="BA16">
        <v>673638</v>
      </c>
      <c s="6" r="BB16">
        <v>4522571</v>
      </c>
      <c s="6" r="BC16">
        <v>673638</v>
      </c>
      <c s="6" r="BD16">
        <v>5912969</v>
      </c>
      <c s="6" r="BE16">
        <v>673638</v>
      </c>
      <c s="6" r="BF16">
        <v>1390398</v>
      </c>
      <c s="6" r="BG16">
        <v>1756878</v>
      </c>
      <c s="6" r="BH16">
        <v>5469218</v>
      </c>
      <c s="6" r="BI16">
        <v>1665225</v>
      </c>
      <c s="6" r="BJ16">
        <v>2050018</v>
      </c>
      <c s="6" r="BK16">
        <v>1027953</v>
      </c>
      <c s="6" r="BL16">
        <v>1509090</v>
      </c>
      <c s="6" r="BM16">
        <v>637272</v>
      </c>
      <c s="6" r="BN16">
        <v>540928</v>
      </c>
      <c s="6" r="BO16">
        <v>1303169</v>
      </c>
      <c s="6" r="BP16">
        <v>3115322</v>
      </c>
      <c s="6" r="BQ16">
        <v>714934</v>
      </c>
      <c s="6" r="BR16">
        <v>282462</v>
      </c>
      <c s="6" r="BS16">
        <v>72527</v>
      </c>
      <c s="6" r="BT16">
        <v>21417</v>
      </c>
      <c s="6" r="BU16">
        <v>1276906</v>
      </c>
      <c s="6" r="BV16">
        <v>11620297</v>
      </c>
      <c s="6" r="BW16">
        <v>1262417</v>
      </c>
      <c s="6" r="BX16">
        <v>11406881</v>
      </c>
      <c s="6" r="BY16">
        <v>1248638</v>
      </c>
      <c s="6" r="BZ16">
        <v>11268104</v>
      </c>
      <c s="6" r="CA16">
        <v>23287</v>
      </c>
      <c s="6" r="CB16">
        <v>138778</v>
      </c>
      <c s="6" r="CC16">
        <v>55675</v>
      </c>
      <c s="6" r="CD16">
        <v>47024</v>
      </c>
      <c s="6" r="CE16">
        <v>95359</v>
      </c>
      <c s="6" r="CF16">
        <v>113595</v>
      </c>
      <c s="6" r="CG16">
        <v>30443</v>
      </c>
      <c s="6" r="CH16">
        <v>52796</v>
      </c>
      <c s="6" r="CI16">
        <v>1201424</v>
      </c>
      <c s="6" r="CJ16">
        <v>2479952</v>
      </c>
      <c s="6" r="CK16">
        <v>1083145</v>
      </c>
      <c s="6" r="CL16">
        <v>2046000</v>
      </c>
      <c s="6" r="CM16">
        <v>650858</v>
      </c>
      <c s="6" r="CN16">
        <v>419877</v>
      </c>
      <c s="6" r="CO16">
        <v>24842</v>
      </c>
      <c s="6" r="CP16">
        <v>93511</v>
      </c>
      <c s="53" r="CQ16">
        <v>8530</v>
      </c>
      <c s="53" r="CR16">
        <v>76855</v>
      </c>
      <c s="6" r="CS16">
        <v>529937</v>
      </c>
      <c s="6" r="CT16">
        <v>2875879</v>
      </c>
      <c s="6" r="CU16">
        <v>540940</v>
      </c>
      <c s="6" r="CV16">
        <v>2800474</v>
      </c>
      <c s="6" r="CW16">
        <v>744442</v>
      </c>
      <c s="6" r="CX16">
        <v>140546</v>
      </c>
      <c s="6" r="CY16">
        <v>306112</v>
      </c>
      <c s="6" r="CZ16">
        <v>318486</v>
      </c>
      <c s="6" r="DA16">
        <v>989640</v>
      </c>
      <c s="6" r="DB16">
        <v>3259507</v>
      </c>
      <c s="6" r="DC16">
        <v>32161</v>
      </c>
      <c s="6" r="DD16">
        <v>153811</v>
      </c>
      <c s="6" r="DE16">
        <v>23402</v>
      </c>
      <c s="6" r="DF16">
        <v>113920</v>
      </c>
      <c s="6" r="DG16">
        <v>54280</v>
      </c>
      <c s="6" r="DH16">
        <v>267730</v>
      </c>
      <c s="6" r="DI16">
        <v>3327594</v>
      </c>
      <c s="6" r="DJ16">
        <v>11295652</v>
      </c>
      <c s="6" r="DK16">
        <v>1412004</v>
      </c>
      <c s="6" r="DL16">
        <v>14862383</v>
      </c>
      <c s="53" r="DM16">
        <v>68</v>
      </c>
      <c s="53" r="DN16">
        <v>410</v>
      </c>
      <c s="6" r="DO16">
        <v>1410919</v>
      </c>
      <c s="6" r="DP16">
        <v>1711041</v>
      </c>
      <c s="6" r="DQ16">
        <v>575569</v>
      </c>
      <c s="6" r="DR16">
        <v>315412</v>
      </c>
      <c s="6" r="DS16">
        <v>1064658</v>
      </c>
      <c s="6" r="DT16">
        <v>1395629</v>
      </c>
      <c s="6" r="DU16">
        <v>1064658</v>
      </c>
      <c s="47" r="DV16">
        <v>1395629</v>
      </c>
    </row>
    <row customHeight="1" r="17" ht="15.0">
      <c t="s" s="58" r="A17">
        <v>82</v>
      </c>
      <c s="6" r="B17">
        <v>2088158</v>
      </c>
      <c s="6" r="C17">
        <v>68115300</v>
      </c>
      <c s="6" r="D17">
        <v>1734113</v>
      </c>
      <c s="6" r="E17">
        <v>52000580</v>
      </c>
      <c s="6" r="F17">
        <v>971912</v>
      </c>
      <c s="6" r="G17">
        <v>2004470</v>
      </c>
      <c s="6" r="H17">
        <v>63131</v>
      </c>
      <c s="6" r="I17">
        <v>387854</v>
      </c>
      <c s="6" r="J17">
        <v>416321</v>
      </c>
      <c s="6" r="K17">
        <v>991751</v>
      </c>
      <c s="6" r="L17">
        <v>342991</v>
      </c>
      <c s="6" r="M17">
        <v>482500</v>
      </c>
      <c s="6" r="N17">
        <v>654719</v>
      </c>
      <c s="6" r="O17">
        <v>346434</v>
      </c>
      <c s="6" r="P17">
        <v>20350</v>
      </c>
      <c s="6" r="Q17">
        <v>247658</v>
      </c>
      <c s="6" r="R17">
        <v>415838</v>
      </c>
      <c s="6" r="S17">
        <v>3093153</v>
      </c>
      <c s="6" r="T17">
        <v>337502</v>
      </c>
      <c s="6" r="U17">
        <v>1029990</v>
      </c>
      <c s="6" r="V17">
        <v>24220</v>
      </c>
      <c s="6" r="W17">
        <v>-6677</v>
      </c>
      <c s="6" r="X17">
        <v>194308</v>
      </c>
      <c s="6" r="Y17">
        <v>1491529</v>
      </c>
      <c s="6" r="Z17">
        <v>427007</v>
      </c>
      <c s="6" r="AA17">
        <v>6080894</v>
      </c>
      <c s="6" r="AB17">
        <v>100758</v>
      </c>
      <c s="6" r="AC17">
        <v>647753</v>
      </c>
      <c s="6" r="AD17">
        <v>138249</v>
      </c>
      <c s="6" r="AE17">
        <v>1434263</v>
      </c>
      <c s="6" r="AF17">
        <v>5825</v>
      </c>
      <c s="6" r="AG17">
        <v>46452</v>
      </c>
      <c s="6" r="AH17">
        <v>132007</v>
      </c>
      <c s="6" r="AI17">
        <v>327674</v>
      </c>
      <c s="6" r="AJ17">
        <v>6826</v>
      </c>
      <c s="6" r="AK17">
        <v>53380</v>
      </c>
      <c s="6" r="AL17">
        <v>21773</v>
      </c>
      <c s="6" r="AM17">
        <v>-128377</v>
      </c>
      <c s="6" r="AN17">
        <v>140762</v>
      </c>
      <c s="6" r="AO17">
        <v>672498</v>
      </c>
      <c s="6" r="AP17">
        <v>390390</v>
      </c>
      <c s="6" r="AQ17">
        <v>1863866</v>
      </c>
      <c s="6" r="AR17">
        <v>643</v>
      </c>
      <c s="6" r="AS17">
        <v>28125</v>
      </c>
      <c s="6" r="AT17">
        <v>93032</v>
      </c>
      <c s="6" r="AU17">
        <v>188302</v>
      </c>
      <c s="6" r="AV17">
        <v>556313</v>
      </c>
      <c s="6" r="AW17">
        <v>1356278</v>
      </c>
      <c s="6" r="AX17">
        <v>32187517</v>
      </c>
      <c s="6" r="AY17">
        <v>0</v>
      </c>
      <c s="6" r="AZ17">
        <v>0</v>
      </c>
      <c s="6" r="BA17">
        <v>749315</v>
      </c>
      <c s="6" r="BB17">
        <v>4451454</v>
      </c>
      <c s="6" r="BC17">
        <v>749315</v>
      </c>
      <c s="6" r="BD17">
        <v>6279490</v>
      </c>
      <c s="6" r="BE17">
        <v>749315</v>
      </c>
      <c s="6" r="BF17">
        <v>1828036</v>
      </c>
      <c s="6" r="BG17">
        <v>2060939</v>
      </c>
      <c s="6" r="BH17">
        <v>6756049</v>
      </c>
      <c s="6" r="BI17">
        <v>1966703</v>
      </c>
      <c s="6" r="BJ17">
        <v>2633958</v>
      </c>
      <c s="6" r="BK17">
        <v>1292793</v>
      </c>
      <c s="6" r="BL17">
        <v>2024617</v>
      </c>
      <c s="6" r="BM17">
        <v>673910</v>
      </c>
      <c s="6" r="BN17">
        <v>609341</v>
      </c>
      <c s="6" r="BO17">
        <v>1597010</v>
      </c>
      <c s="6" r="BP17">
        <v>3822245</v>
      </c>
      <c s="6" r="BQ17">
        <v>804910</v>
      </c>
      <c s="6" r="BR17">
        <v>256334</v>
      </c>
      <c s="6" r="BS17">
        <v>90094</v>
      </c>
      <c s="6" r="BT17">
        <v>43512</v>
      </c>
      <c s="6" r="BU17">
        <v>1522376</v>
      </c>
      <c s="6" r="BV17">
        <v>14045638</v>
      </c>
      <c s="6" r="BW17">
        <v>1515137</v>
      </c>
      <c s="6" r="BX17">
        <v>13839976</v>
      </c>
      <c s="6" r="BY17">
        <v>1500184</v>
      </c>
      <c s="6" r="BZ17">
        <v>13684230</v>
      </c>
      <c s="6" r="CA17">
        <v>35746</v>
      </c>
      <c s="6" r="CB17">
        <v>155746</v>
      </c>
      <c s="6" r="CC17">
        <v>68610</v>
      </c>
      <c s="6" r="CD17">
        <v>72742</v>
      </c>
      <c s="6" r="CE17">
        <v>99112</v>
      </c>
      <c s="6" r="CF17">
        <v>94724</v>
      </c>
      <c s="6" r="CG17">
        <v>27139</v>
      </c>
      <c s="6" r="CH17">
        <v>38196</v>
      </c>
      <c s="6" r="CI17">
        <v>1441317</v>
      </c>
      <c s="6" r="CJ17">
        <v>2995432</v>
      </c>
      <c s="6" r="CK17">
        <v>1297409</v>
      </c>
      <c s="6" r="CL17">
        <v>2425236</v>
      </c>
      <c s="6" r="CM17">
        <v>798806</v>
      </c>
      <c s="6" r="CN17">
        <v>505293</v>
      </c>
      <c s="6" r="CO17">
        <v>24777</v>
      </c>
      <c s="6" r="CP17">
        <v>136382</v>
      </c>
      <c s="6" r="CQ17">
        <v>7641</v>
      </c>
      <c s="6" r="CR17">
        <v>44418</v>
      </c>
      <c s="6" r="CS17">
        <v>623162</v>
      </c>
      <c s="6" r="CT17">
        <v>3639761</v>
      </c>
      <c s="6" r="CU17">
        <v>672981</v>
      </c>
      <c s="6" r="CV17">
        <v>3516356</v>
      </c>
      <c s="6" r="CW17">
        <v>875770</v>
      </c>
      <c s="6" r="CX17">
        <v>166520</v>
      </c>
      <c s="6" r="CY17">
        <v>384702</v>
      </c>
      <c s="6" r="CZ17">
        <v>493300</v>
      </c>
      <c s="6" r="DA17">
        <v>1188996</v>
      </c>
      <c s="6" r="DB17">
        <v>4176176</v>
      </c>
      <c s="6" r="DC17">
        <v>39132</v>
      </c>
      <c s="6" r="DD17">
        <v>181190</v>
      </c>
      <c s="6" r="DE17">
        <v>31306</v>
      </c>
      <c s="6" r="DF17">
        <v>71343</v>
      </c>
      <c s="6" r="DG17">
        <v>69544</v>
      </c>
      <c s="6" r="DH17">
        <v>254765</v>
      </c>
      <c s="6" r="DI17">
        <v>3962112</v>
      </c>
      <c s="6" r="DJ17">
        <v>13452451</v>
      </c>
      <c s="6" r="DK17">
        <v>1806739</v>
      </c>
      <c s="6" r="DL17">
        <v>25383699</v>
      </c>
      <c s="53" r="DM17">
        <v>726</v>
      </c>
      <c s="53" r="DN17">
        <v>2344</v>
      </c>
      <c s="6" r="DO17">
        <v>1807599</v>
      </c>
      <c s="6" r="DP17">
        <v>3041728</v>
      </c>
      <c s="6" r="DQ17">
        <v>734267</v>
      </c>
      <c s="6" r="DR17">
        <v>484429</v>
      </c>
      <c s="6" r="DS17">
        <v>1415391</v>
      </c>
      <c s="6" r="DT17">
        <v>2557299</v>
      </c>
      <c s="6" r="DU17">
        <v>1415391</v>
      </c>
      <c s="47" r="DV17">
        <v>2557299</v>
      </c>
    </row>
    <row customHeight="1" r="18" ht="15.0">
      <c t="s" s="58" r="A18">
        <v>83</v>
      </c>
      <c s="6" r="B18">
        <v>2219633</v>
      </c>
      <c s="6" r="C18">
        <v>83268529</v>
      </c>
      <c s="6" r="D18">
        <v>1902652</v>
      </c>
      <c s="6" r="E18">
        <v>65718820</v>
      </c>
      <c s="6" r="F18">
        <v>1132443</v>
      </c>
      <c s="6" r="G18">
        <v>1816935</v>
      </c>
      <c s="6" r="H18">
        <v>69809</v>
      </c>
      <c s="6" r="I18">
        <v>343255</v>
      </c>
      <c s="6" r="J18">
        <v>445052</v>
      </c>
      <c s="6" r="K18">
        <v>1143340</v>
      </c>
      <c s="6" r="L18">
        <v>371213</v>
      </c>
      <c s="6" r="M18">
        <v>564220</v>
      </c>
      <c s="6" r="N18">
        <v>782514</v>
      </c>
      <c s="6" r="O18">
        <v>446967</v>
      </c>
      <c s="6" r="P18">
        <v>20996</v>
      </c>
      <c s="6" r="Q18">
        <v>246823</v>
      </c>
      <c s="6" r="R18">
        <v>368190</v>
      </c>
      <c s="6" r="S18">
        <v>3308932</v>
      </c>
      <c s="6" r="T18">
        <v>363419</v>
      </c>
      <c s="6" r="U18">
        <v>860632</v>
      </c>
      <c s="6" r="V18">
        <v>25603</v>
      </c>
      <c s="6" r="W18">
        <v>-57970</v>
      </c>
      <c s="6" r="X18">
        <v>183208</v>
      </c>
      <c s="6" r="Y18">
        <v>1601321</v>
      </c>
      <c s="6" r="Z18">
        <v>433931</v>
      </c>
      <c s="6" r="AA18">
        <v>7076896</v>
      </c>
      <c s="6" r="AB18">
        <v>100245</v>
      </c>
      <c s="6" r="AC18">
        <v>652414</v>
      </c>
      <c s="6" r="AD18">
        <v>140513</v>
      </c>
      <c s="6" r="AE18">
        <v>1538958</v>
      </c>
      <c s="6" r="AF18">
        <v>6455</v>
      </c>
      <c s="6" r="AG18">
        <v>34804</v>
      </c>
      <c s="6" r="AH18">
        <v>122059</v>
      </c>
      <c s="6" r="AI18">
        <v>483238</v>
      </c>
      <c s="6" r="AJ18">
        <v>6071</v>
      </c>
      <c s="6" r="AK18">
        <v>43534</v>
      </c>
      <c s="6" r="AL18">
        <v>23799</v>
      </c>
      <c s="6" r="AM18">
        <v>-161012</v>
      </c>
      <c s="6" r="AN18">
        <v>138330</v>
      </c>
      <c s="6" r="AO18">
        <v>647314</v>
      </c>
      <c s="6" r="AP18">
        <v>355114</v>
      </c>
      <c s="6" r="AQ18">
        <v>2226513</v>
      </c>
      <c s="6" r="AR18">
        <v>2049</v>
      </c>
      <c s="6" r="AS18">
        <v>95007</v>
      </c>
      <c s="6" r="AT18">
        <v>100513</v>
      </c>
      <c s="6" r="AU18">
        <v>244259</v>
      </c>
      <c s="6" r="AV18">
        <v>580821</v>
      </c>
      <c s="6" r="AW18">
        <v>1548566</v>
      </c>
      <c s="6" r="AX18">
        <v>35172677</v>
      </c>
      <c s="6" r="AY18">
        <v>0</v>
      </c>
      <c s="6" r="AZ18">
        <v>0</v>
      </c>
      <c s="6" r="BA18">
        <v>698471</v>
      </c>
      <c s="6" r="BB18">
        <v>4032250</v>
      </c>
      <c s="6" r="BC18">
        <v>698471</v>
      </c>
      <c s="6" r="BD18">
        <v>5995757</v>
      </c>
      <c s="6" r="BE18">
        <v>698471</v>
      </c>
      <c s="6" r="BF18">
        <v>1963507</v>
      </c>
      <c s="6" r="BG18">
        <v>2184873</v>
      </c>
      <c s="6" r="BH18">
        <v>7672521</v>
      </c>
      <c s="6" r="BI18">
        <v>2097243</v>
      </c>
      <c s="6" r="BJ18">
        <v>3118957</v>
      </c>
      <c s="6" r="BK18">
        <v>1450014</v>
      </c>
      <c s="6" r="BL18">
        <v>2468666</v>
      </c>
      <c s="6" r="BM18">
        <v>647229</v>
      </c>
      <c s="6" r="BN18">
        <v>650291</v>
      </c>
      <c s="6" r="BO18">
        <v>1768236</v>
      </c>
      <c s="6" r="BP18">
        <v>4222870</v>
      </c>
      <c s="6" r="BQ18">
        <v>872665</v>
      </c>
      <c s="6" r="BR18">
        <v>291764</v>
      </c>
      <c s="6" r="BS18">
        <v>98373</v>
      </c>
      <c s="6" r="BT18">
        <v>38931</v>
      </c>
      <c s="6" r="BU18">
        <v>1712560</v>
      </c>
      <c s="6" r="BV18">
        <v>15532332</v>
      </c>
      <c s="6" r="BW18">
        <v>1698964</v>
      </c>
      <c s="6" r="BX18">
        <v>15299925</v>
      </c>
      <c s="6" r="BY18">
        <v>1679111</v>
      </c>
      <c s="6" r="BZ18">
        <v>15077204</v>
      </c>
      <c s="6" r="CA18">
        <v>36738</v>
      </c>
      <c s="6" r="CB18">
        <v>222721</v>
      </c>
      <c s="6" r="CC18">
        <v>90672</v>
      </c>
      <c s="6" r="CD18">
        <v>59088</v>
      </c>
      <c s="6" r="CE18">
        <v>131409</v>
      </c>
      <c s="6" r="CF18">
        <v>125305</v>
      </c>
      <c s="6" r="CG18">
        <v>28390</v>
      </c>
      <c s="6" r="CH18">
        <v>48014</v>
      </c>
      <c s="6" r="CI18">
        <v>1638001</v>
      </c>
      <c s="6" r="CJ18">
        <v>3457103</v>
      </c>
      <c s="6" r="CK18">
        <v>1462802</v>
      </c>
      <c s="6" r="CL18">
        <v>2817183</v>
      </c>
      <c s="6" r="CM18">
        <v>891575</v>
      </c>
      <c s="6" r="CN18">
        <v>601763</v>
      </c>
      <c s="6" r="CO18">
        <v>26999</v>
      </c>
      <c s="6" r="CP18">
        <v>129219</v>
      </c>
      <c s="6" r="CQ18">
        <v>10183</v>
      </c>
      <c s="6" r="CR18">
        <v>139686</v>
      </c>
      <c s="6" r="CS18">
        <v>645942</v>
      </c>
      <c s="6" r="CT18">
        <v>4012875</v>
      </c>
      <c s="6" r="CU18">
        <v>754758</v>
      </c>
      <c s="6" r="CV18">
        <v>3988964</v>
      </c>
      <c s="6" r="CW18">
        <v>987018</v>
      </c>
      <c s="6" r="CX18">
        <v>195163</v>
      </c>
      <c s="6" r="CY18">
        <v>384056</v>
      </c>
      <c s="6" r="CZ18">
        <v>465260</v>
      </c>
      <c s="6" r="DA18">
        <v>1298543</v>
      </c>
      <c s="6" r="DB18">
        <v>4649388</v>
      </c>
      <c s="6" r="DC18">
        <v>45403</v>
      </c>
      <c s="6" r="DD18">
        <v>255295</v>
      </c>
      <c s="6" r="DE18">
        <v>21802</v>
      </c>
      <c s="6" r="DF18">
        <v>70614</v>
      </c>
      <c s="6" r="DG18">
        <v>66201</v>
      </c>
      <c s="6" r="DH18">
        <v>325909</v>
      </c>
      <c s="6" r="DI18">
        <v>4216479</v>
      </c>
      <c s="6" r="DJ18">
        <v>14318870</v>
      </c>
      <c s="6" r="DK18">
        <v>2029869</v>
      </c>
      <c s="6" r="DL18">
        <v>35480322</v>
      </c>
      <c s="53" r="DM18">
        <v>1987</v>
      </c>
      <c s="53" r="DN18">
        <v>746</v>
      </c>
      <c s="6" r="DO18">
        <v>2028927</v>
      </c>
      <c s="6" r="DP18">
        <v>4366835</v>
      </c>
      <c s="6" r="DQ18">
        <v>819341</v>
      </c>
      <c s="6" r="DR18">
        <v>660290</v>
      </c>
      <c s="6" r="DS18">
        <v>1699613</v>
      </c>
      <c s="6" r="DT18">
        <v>3706545</v>
      </c>
      <c s="6" r="DU18">
        <v>1699613</v>
      </c>
      <c s="47" r="DV18">
        <v>3706545</v>
      </c>
    </row>
    <row customHeight="1" r="19" ht="15.0">
      <c t="s" s="58" r="A19">
        <v>84</v>
      </c>
      <c s="6" r="B19">
        <v>2245164</v>
      </c>
      <c s="6" r="C19">
        <v>95403972</v>
      </c>
      <c s="6" r="D19">
        <v>1983835</v>
      </c>
      <c s="6" r="E19">
        <v>77463883</v>
      </c>
      <c s="6" r="F19">
        <v>1167594</v>
      </c>
      <c s="6" r="G19">
        <v>1752201</v>
      </c>
      <c s="6" r="H19">
        <v>67892</v>
      </c>
      <c s="6" r="I19">
        <v>227275</v>
      </c>
      <c s="6" r="J19">
        <v>459644</v>
      </c>
      <c s="6" r="K19">
        <v>1065328</v>
      </c>
      <c s="6" r="L19">
        <v>379053</v>
      </c>
      <c s="6" r="M19">
        <v>574024</v>
      </c>
      <c s="6" r="N19">
        <v>858638</v>
      </c>
      <c s="6" r="O19">
        <v>539970</v>
      </c>
      <c s="6" r="P19">
        <v>16260</v>
      </c>
      <c s="6" r="Q19">
        <v>260959</v>
      </c>
      <c s="6" r="R19">
        <v>409675</v>
      </c>
      <c s="6" r="S19">
        <v>3248986</v>
      </c>
      <c s="6" r="T19">
        <v>406959</v>
      </c>
      <c s="6" r="U19">
        <v>950287</v>
      </c>
      <c s="6" r="V19">
        <v>19793</v>
      </c>
      <c s="6" r="W19">
        <v>38403</v>
      </c>
      <c s="6" r="X19">
        <v>182444</v>
      </c>
      <c s="6" r="Y19">
        <v>1866495</v>
      </c>
      <c s="6" r="Z19">
        <v>427380</v>
      </c>
      <c s="6" r="AA19">
        <v>6660800</v>
      </c>
      <c s="6" r="AB19">
        <v>108197</v>
      </c>
      <c s="6" r="AC19">
        <v>953625</v>
      </c>
      <c s="6" r="AD19">
        <v>140214</v>
      </c>
      <c s="6" r="AE19">
        <v>1579598</v>
      </c>
      <c s="6" r="AF19">
        <v>10324</v>
      </c>
      <c s="6" r="AG19">
        <v>59113</v>
      </c>
      <c s="6" r="AH19">
        <v>136512</v>
      </c>
      <c s="6" r="AI19">
        <v>563573</v>
      </c>
      <c s="6" r="AJ19">
        <v>11061</v>
      </c>
      <c s="6" r="AK19">
        <v>64501</v>
      </c>
      <c s="6" r="AL19">
        <v>25790</v>
      </c>
      <c s="6" r="AM19">
        <v>-251265</v>
      </c>
      <c s="6" r="AN19">
        <v>153318</v>
      </c>
      <c s="6" r="AO19">
        <v>658575</v>
      </c>
      <c s="6" r="AP19">
        <v>317702</v>
      </c>
      <c s="6" r="AQ19">
        <v>2529155</v>
      </c>
      <c s="6" r="AR19">
        <v>1826</v>
      </c>
      <c s="6" r="AS19">
        <v>109328</v>
      </c>
      <c s="6" r="AT19">
        <v>114794</v>
      </c>
      <c s="6" r="AU19">
        <v>281041</v>
      </c>
      <c s="6" r="AV19">
        <v>630423</v>
      </c>
      <c s="6" r="AW19">
        <v>1786458</v>
      </c>
      <c s="6" r="AX19">
        <v>36456622</v>
      </c>
      <c s="6" r="AY19">
        <v>0</v>
      </c>
      <c s="6" r="AZ19">
        <v>0</v>
      </c>
      <c s="6" r="BA19">
        <v>622141</v>
      </c>
      <c s="6" r="BB19">
        <v>4089365</v>
      </c>
      <c s="6" r="BC19">
        <v>622141</v>
      </c>
      <c s="6" r="BD19">
        <v>6070741</v>
      </c>
      <c s="6" r="BE19">
        <v>622141</v>
      </c>
      <c s="6" r="BF19">
        <v>1981376</v>
      </c>
      <c s="6" r="BG19">
        <v>2219957</v>
      </c>
      <c s="6" r="BH19">
        <v>8291999</v>
      </c>
      <c s="6" r="BI19">
        <v>2136076</v>
      </c>
      <c s="6" r="BJ19">
        <v>3661710</v>
      </c>
      <c s="6" r="BK19">
        <v>1543397</v>
      </c>
      <c s="6" r="BL19">
        <v>3015807</v>
      </c>
      <c s="6" r="BM19">
        <v>592679</v>
      </c>
      <c s="6" r="BN19">
        <v>645903</v>
      </c>
      <c s="6" r="BO19">
        <v>1774340</v>
      </c>
      <c s="6" r="BP19">
        <v>4264410</v>
      </c>
      <c s="6" r="BQ19">
        <v>947792</v>
      </c>
      <c s="6" r="BR19">
        <v>326904</v>
      </c>
      <c s="6" r="BS19">
        <v>102814</v>
      </c>
      <c s="6" r="BT19">
        <v>38975</v>
      </c>
      <c s="6" r="BU19">
        <v>1745581</v>
      </c>
      <c s="6" r="BV19">
        <v>16134661</v>
      </c>
      <c s="6" r="BW19">
        <v>1736013</v>
      </c>
      <c s="6" r="BX19">
        <v>15868035</v>
      </c>
      <c s="6" r="BY19">
        <v>1710446</v>
      </c>
      <c s="6" r="BZ19">
        <v>15574154</v>
      </c>
      <c s="6" r="CA19">
        <v>52217</v>
      </c>
      <c s="6" r="CB19">
        <v>293881</v>
      </c>
      <c s="6" r="CC19">
        <v>113430</v>
      </c>
      <c s="6" r="CD19">
        <v>88879</v>
      </c>
      <c s="6" r="CE19">
        <v>121869</v>
      </c>
      <c s="6" r="CF19">
        <v>127256</v>
      </c>
      <c s="6" r="CG19">
        <v>32954</v>
      </c>
      <c s="6" r="CH19">
        <v>50491</v>
      </c>
      <c s="6" r="CI19">
        <v>1662298</v>
      </c>
      <c s="6" r="CJ19">
        <v>3389633</v>
      </c>
      <c s="6" r="CK19">
        <v>1494670</v>
      </c>
      <c s="6" r="CL19">
        <v>2737580</v>
      </c>
      <c s="6" r="CM19">
        <v>920828</v>
      </c>
      <c s="6" r="CN19">
        <v>600764</v>
      </c>
      <c s="6" r="CO19">
        <v>22491</v>
      </c>
      <c s="6" r="CP19">
        <v>184763</v>
      </c>
      <c s="53" r="CQ19">
        <v>6409</v>
      </c>
      <c s="53" r="CR19">
        <v>70173</v>
      </c>
      <c s="6" r="CS19">
        <v>684395</v>
      </c>
      <c s="6" r="CT19">
        <v>4138290</v>
      </c>
      <c s="6" r="CU19">
        <v>792000</v>
      </c>
      <c s="6" r="CV19">
        <v>4237999</v>
      </c>
      <c s="6" r="CW19">
        <v>1029485</v>
      </c>
      <c s="6" r="CX19">
        <v>181271</v>
      </c>
      <c s="6" r="CY19">
        <v>409892</v>
      </c>
      <c s="6" r="CZ19">
        <v>461927</v>
      </c>
      <c s="6" r="DA19">
        <v>1344342</v>
      </c>
      <c s="6" r="DB19">
        <v>4881197</v>
      </c>
      <c s="6" r="DC19">
        <v>39979</v>
      </c>
      <c s="6" r="DD19">
        <v>248831</v>
      </c>
      <c s="6" r="DE19">
        <v>25122</v>
      </c>
      <c s="6" r="DF19">
        <v>77147</v>
      </c>
      <c s="6" r="DG19">
        <v>64100</v>
      </c>
      <c s="6" r="DH19">
        <v>342500</v>
      </c>
      <c s="6" r="DI19">
        <v>4371923</v>
      </c>
      <c s="6" r="DJ19">
        <v>14847150</v>
      </c>
      <c s="6" r="DK19">
        <v>2130655</v>
      </c>
      <c s="6" r="DL19">
        <v>45364460</v>
      </c>
      <c s="6" r="DM19">
        <v>1554</v>
      </c>
      <c s="6" r="DN19">
        <v>2388</v>
      </c>
      <c s="6" r="DO19">
        <v>2130796</v>
      </c>
      <c s="6" r="DP19">
        <v>5700274</v>
      </c>
      <c s="6" r="DQ19">
        <v>936108</v>
      </c>
      <c s="6" r="DR19">
        <v>861025</v>
      </c>
      <c s="6" r="DS19">
        <v>1804658</v>
      </c>
      <c s="6" r="DT19">
        <v>4839249</v>
      </c>
      <c s="6" r="DU19">
        <v>1804658</v>
      </c>
      <c s="47" r="DV19">
        <v>4839249</v>
      </c>
    </row>
    <row customHeight="1" r="20" ht="15.0">
      <c t="s" s="58" r="A20">
        <v>85</v>
      </c>
      <c s="6" r="B20">
        <v>2284082</v>
      </c>
      <c s="6" r="C20">
        <v>108506239</v>
      </c>
      <c s="6" r="D20">
        <v>2025305</v>
      </c>
      <c s="6" r="E20">
        <v>87023730</v>
      </c>
      <c s="6" r="F20">
        <v>1247160</v>
      </c>
      <c s="6" r="G20">
        <v>2018575</v>
      </c>
      <c s="6" r="H20">
        <v>78871</v>
      </c>
      <c s="6" r="I20">
        <v>501120</v>
      </c>
      <c s="6" r="J20">
        <v>523931</v>
      </c>
      <c s="6" r="K20">
        <v>1340212</v>
      </c>
      <c s="6" r="L20">
        <v>427760</v>
      </c>
      <c s="6" r="M20">
        <v>700899</v>
      </c>
      <c s="6" r="N20">
        <v>970035</v>
      </c>
      <c s="6" r="O20">
        <v>623535</v>
      </c>
      <c s="6" r="P20">
        <v>17381</v>
      </c>
      <c s="6" r="Q20">
        <v>320597</v>
      </c>
      <c s="6" r="R20">
        <v>413982</v>
      </c>
      <c s="6" r="S20">
        <v>3555107</v>
      </c>
      <c s="6" r="T20">
        <v>427974</v>
      </c>
      <c s="6" r="U20">
        <v>1378027</v>
      </c>
      <c s="6" r="V20">
        <v>25621</v>
      </c>
      <c s="6" r="W20">
        <v>54156</v>
      </c>
      <c s="6" r="X20">
        <v>190538</v>
      </c>
      <c s="6" r="Y20">
        <v>2142719</v>
      </c>
      <c s="6" r="Z20">
        <v>460265</v>
      </c>
      <c s="6" r="AA20">
        <v>8220646</v>
      </c>
      <c s="6" r="AB20">
        <v>91415</v>
      </c>
      <c s="6" r="AC20">
        <v>806243</v>
      </c>
      <c s="6" r="AD20">
        <v>150119</v>
      </c>
      <c s="6" r="AE20">
        <v>1456016</v>
      </c>
      <c s="6" r="AF20">
        <v>11369</v>
      </c>
      <c s="6" r="AG20">
        <v>-10582</v>
      </c>
      <c s="6" r="AH20">
        <v>119543</v>
      </c>
      <c s="6" r="AI20">
        <v>399422</v>
      </c>
      <c s="6" r="AJ20">
        <v>6550</v>
      </c>
      <c s="6" r="AK20">
        <v>20703</v>
      </c>
      <c s="6" r="AL20">
        <v>31426</v>
      </c>
      <c s="6" r="AM20">
        <v>-254823</v>
      </c>
      <c s="6" r="AN20">
        <v>146450</v>
      </c>
      <c s="6" r="AO20">
        <v>667469</v>
      </c>
      <c s="6" r="AP20">
        <v>333797</v>
      </c>
      <c s="6" r="AQ20">
        <v>3311033</v>
      </c>
      <c s="6" r="AR20">
        <v>1498</v>
      </c>
      <c s="6" r="AS20">
        <v>113168</v>
      </c>
      <c s="6" r="AT20">
        <v>121605</v>
      </c>
      <c s="6" r="AU20">
        <v>166300</v>
      </c>
      <c s="6" r="AV20">
        <v>707936</v>
      </c>
      <c s="6" r="AW20">
        <v>1821548</v>
      </c>
      <c s="6" r="AX20">
        <v>38508629</v>
      </c>
      <c s="6" r="AY20">
        <v>0</v>
      </c>
      <c s="6" r="AZ20">
        <v>0</v>
      </c>
      <c s="6" r="BA20">
        <v>583368</v>
      </c>
      <c s="6" r="BB20">
        <v>3569302</v>
      </c>
      <c s="6" r="BC20">
        <v>583368</v>
      </c>
      <c s="6" r="BD20">
        <v>5651508</v>
      </c>
      <c s="6" r="BE20">
        <v>583368</v>
      </c>
      <c s="6" r="BF20">
        <v>2082206</v>
      </c>
      <c s="6" r="BG20">
        <v>2262265</v>
      </c>
      <c s="6" r="BH20">
        <v>9158780</v>
      </c>
      <c s="6" r="BI20">
        <v>2165960</v>
      </c>
      <c s="6" r="BJ20">
        <v>4132941</v>
      </c>
      <c s="6" r="BK20">
        <v>1614936</v>
      </c>
      <c s="6" r="BL20">
        <v>3476207</v>
      </c>
      <c s="6" r="BM20">
        <v>551024</v>
      </c>
      <c s="6" r="BN20">
        <v>656734</v>
      </c>
      <c s="6" r="BO20">
        <v>1856693</v>
      </c>
      <c s="6" r="BP20">
        <v>4627610</v>
      </c>
      <c s="6" r="BQ20">
        <v>1000469</v>
      </c>
      <c s="6" r="BR20">
        <v>363682</v>
      </c>
      <c s="6" r="BS20">
        <v>94835</v>
      </c>
      <c s="6" r="BT20">
        <v>34547</v>
      </c>
      <c s="6" r="BU20">
        <v>1813696</v>
      </c>
      <c s="6" r="BV20">
        <v>17683517</v>
      </c>
      <c s="6" r="BW20">
        <v>1803085</v>
      </c>
      <c s="6" r="BX20">
        <v>17401984</v>
      </c>
      <c s="6" r="BY20">
        <v>1787412</v>
      </c>
      <c s="6" r="BZ20">
        <v>17232273</v>
      </c>
      <c s="6" r="CA20">
        <v>41173</v>
      </c>
      <c s="6" r="CB20">
        <v>169711</v>
      </c>
      <c s="6" r="CC20">
        <v>95462</v>
      </c>
      <c s="6" r="CD20">
        <v>71566</v>
      </c>
      <c s="6" r="CE20">
        <v>123969</v>
      </c>
      <c s="6" r="CF20">
        <v>136050</v>
      </c>
      <c s="6" r="CG20">
        <v>28717</v>
      </c>
      <c s="6" r="CH20">
        <v>73916</v>
      </c>
      <c s="6" r="CI20">
        <v>1706053</v>
      </c>
      <c s="6" r="CJ20">
        <v>3901589</v>
      </c>
      <c s="6" r="CK20">
        <v>1543656</v>
      </c>
      <c s="6" r="CL20">
        <v>3180204</v>
      </c>
      <c s="6" r="CM20">
        <v>953161</v>
      </c>
      <c s="6" r="CN20">
        <v>654632</v>
      </c>
      <c s="6" r="CO20">
        <v>28846</v>
      </c>
      <c s="6" r="CP20">
        <v>155381</v>
      </c>
      <c s="53" r="CQ20">
        <v>3281</v>
      </c>
      <c s="53" r="CR20">
        <v>23033</v>
      </c>
      <c s="6" r="CS20">
        <v>656213</v>
      </c>
      <c s="6" r="CT20">
        <v>3912696</v>
      </c>
      <c s="6" r="CU20">
        <v>799065</v>
      </c>
      <c s="6" r="CV20">
        <v>4020690</v>
      </c>
      <c s="6" r="CW20">
        <v>1060244</v>
      </c>
      <c s="6" r="CX20">
        <v>195801</v>
      </c>
      <c s="6" r="CY20">
        <v>403849</v>
      </c>
      <c s="6" r="CZ20">
        <v>526082</v>
      </c>
      <c s="6" r="DA20">
        <v>1403322</v>
      </c>
      <c s="6" r="DB20">
        <v>4742573</v>
      </c>
      <c s="6" r="DC20">
        <v>44871</v>
      </c>
      <c s="6" r="DD20">
        <v>221886</v>
      </c>
      <c s="6" r="DE20">
        <v>18324</v>
      </c>
      <c s="6" r="DF20">
        <v>37825</v>
      </c>
      <c s="6" r="DG20">
        <v>62895</v>
      </c>
      <c s="6" r="DH20">
        <v>259711</v>
      </c>
      <c s="6" r="DI20">
        <v>4667187</v>
      </c>
      <c s="6" r="DJ20">
        <v>15852983</v>
      </c>
      <c s="6" r="DK20">
        <v>2199298</v>
      </c>
      <c s="6" r="DL20">
        <v>55179187</v>
      </c>
      <c s="6" r="DM20">
        <v>3653</v>
      </c>
      <c s="6" r="DN20">
        <v>6996</v>
      </c>
      <c s="6" r="DO20">
        <v>2200347</v>
      </c>
      <c s="6" r="DP20">
        <v>7194286</v>
      </c>
      <c s="6" r="DQ20">
        <v>987074</v>
      </c>
      <c s="6" r="DR20">
        <v>1025556</v>
      </c>
      <c s="6" r="DS20">
        <v>1922907</v>
      </c>
      <c s="6" r="DT20">
        <v>6168730</v>
      </c>
      <c s="6" r="DU20">
        <v>1922907</v>
      </c>
      <c s="47" r="DV20">
        <v>6168730</v>
      </c>
    </row>
    <row customHeight="1" r="21" ht="15.0">
      <c t="s" s="58" r="A21">
        <v>86</v>
      </c>
      <c s="6" r="B21">
        <v>2287845</v>
      </c>
      <c s="6" r="C21">
        <v>119992907</v>
      </c>
      <c s="6" r="D21">
        <v>2044049</v>
      </c>
      <c s="6" r="E21">
        <v>97233588</v>
      </c>
      <c s="6" r="F21">
        <v>1359943</v>
      </c>
      <c s="6" r="G21">
        <v>2066834</v>
      </c>
      <c s="6" r="H21">
        <v>77715</v>
      </c>
      <c s="6" r="I21">
        <v>297295</v>
      </c>
      <c s="6" r="J21">
        <v>559815</v>
      </c>
      <c s="6" r="K21">
        <v>1447727</v>
      </c>
      <c s="6" r="L21">
        <v>463056</v>
      </c>
      <c s="6" r="M21">
        <v>761832</v>
      </c>
      <c s="6" r="N21">
        <v>1029184</v>
      </c>
      <c s="6" r="O21">
        <v>693299</v>
      </c>
      <c s="6" r="P21">
        <v>18446</v>
      </c>
      <c s="6" r="Q21">
        <v>391377</v>
      </c>
      <c s="6" r="R21">
        <v>428998</v>
      </c>
      <c s="6" r="S21">
        <v>3373878</v>
      </c>
      <c s="6" r="T21">
        <v>467288</v>
      </c>
      <c s="6" r="U21">
        <v>1692579</v>
      </c>
      <c s="6" r="V21">
        <v>26190</v>
      </c>
      <c s="6" r="W21">
        <v>70436</v>
      </c>
      <c s="6" r="X21">
        <v>198871</v>
      </c>
      <c s="6" r="Y21">
        <v>2171193</v>
      </c>
      <c s="6" r="Z21">
        <v>447539</v>
      </c>
      <c s="6" r="AA21">
        <v>8346824</v>
      </c>
      <c s="6" r="AB21">
        <v>93110</v>
      </c>
      <c s="6" r="AC21">
        <v>750447</v>
      </c>
      <c s="6" r="AD21">
        <v>147626</v>
      </c>
      <c s="6" r="AE21">
        <v>1808300</v>
      </c>
      <c s="6" r="AF21">
        <v>8061</v>
      </c>
      <c s="6" r="AG21">
        <v>11094</v>
      </c>
      <c s="6" r="AH21">
        <v>145626</v>
      </c>
      <c s="6" r="AI21">
        <v>738926</v>
      </c>
      <c s="6" r="AJ21">
        <v>6639</v>
      </c>
      <c s="6" r="AK21">
        <v>56002</v>
      </c>
      <c s="6" r="AL21">
        <v>27526</v>
      </c>
      <c s="6" r="AM21">
        <v>-248073</v>
      </c>
      <c s="6" r="AN21">
        <v>139061</v>
      </c>
      <c s="6" r="AO21">
        <v>593411</v>
      </c>
      <c s="6" r="AP21">
        <v>316929</v>
      </c>
      <c s="6" r="AQ21">
        <v>3537732</v>
      </c>
      <c s="6" r="AR21">
        <v>1026</v>
      </c>
      <c s="6" r="AS21">
        <v>25271</v>
      </c>
      <c s="6" r="AT21">
        <v>124904</v>
      </c>
      <c s="6" r="AU21">
        <v>294302</v>
      </c>
      <c s="6" r="AV21">
        <v>726804</v>
      </c>
      <c s="6" r="AW21">
        <v>1832600</v>
      </c>
      <c s="6" r="AX21">
        <v>40082366</v>
      </c>
      <c s="6" r="AY21">
        <v>0</v>
      </c>
      <c s="6" r="AZ21">
        <v>0</v>
      </c>
      <c s="6" r="BA21">
        <v>551325</v>
      </c>
      <c s="6" r="BB21">
        <v>3238410</v>
      </c>
      <c s="6" r="BC21">
        <v>551325</v>
      </c>
      <c s="6" r="BD21">
        <v>5403678</v>
      </c>
      <c s="6" r="BE21">
        <v>551325</v>
      </c>
      <c s="6" r="BF21">
        <v>2165267</v>
      </c>
      <c s="6" r="BG21">
        <v>2264023</v>
      </c>
      <c s="6" r="BH21">
        <v>10038184</v>
      </c>
      <c s="6" r="BI21">
        <v>2195462</v>
      </c>
      <c s="6" r="BJ21">
        <v>4680208</v>
      </c>
      <c s="6" r="BK21">
        <v>1650077</v>
      </c>
      <c s="6" r="BL21">
        <v>3939082</v>
      </c>
      <c s="6" r="BM21">
        <v>545385</v>
      </c>
      <c s="6" r="BN21">
        <v>741126</v>
      </c>
      <c s="6" r="BO21">
        <v>1896576</v>
      </c>
      <c s="6" r="BP21">
        <v>4912714</v>
      </c>
      <c s="6" r="BQ21">
        <v>995680</v>
      </c>
      <c s="6" r="BR21">
        <v>379277</v>
      </c>
      <c s="6" r="BS21">
        <v>112402</v>
      </c>
      <c s="6" r="BT21">
        <v>65984</v>
      </c>
      <c s="6" r="BU21">
        <v>1849724</v>
      </c>
      <c s="6" r="BV21">
        <v>18183619</v>
      </c>
      <c s="6" r="BW21">
        <v>1834405</v>
      </c>
      <c s="6" r="BX21">
        <v>17828620</v>
      </c>
      <c s="6" r="BY21">
        <v>1812566</v>
      </c>
      <c s="6" r="BZ21">
        <v>17629614</v>
      </c>
      <c s="6" r="CA21">
        <v>52735</v>
      </c>
      <c s="6" r="CB21">
        <v>199006</v>
      </c>
      <c s="6" r="CC21">
        <v>112460</v>
      </c>
      <c s="6" r="CD21">
        <v>89957</v>
      </c>
      <c s="6" r="CE21">
        <v>113462</v>
      </c>
      <c s="6" r="CF21">
        <v>132934</v>
      </c>
      <c s="6" r="CG21">
        <v>43614</v>
      </c>
      <c s="6" r="CH21">
        <v>132108</v>
      </c>
      <c s="6" r="CI21">
        <v>1781389</v>
      </c>
      <c s="6" r="CJ21">
        <v>4093138</v>
      </c>
      <c s="6" r="CK21">
        <v>1599209</v>
      </c>
      <c s="6" r="CL21">
        <v>3292119</v>
      </c>
      <c s="6" r="CM21">
        <v>1021989</v>
      </c>
      <c s="6" r="CN21">
        <v>788933</v>
      </c>
      <c s="6" r="CO21">
        <v>14740</v>
      </c>
      <c s="6" r="CP21">
        <v>47679</v>
      </c>
      <c s="53" r="CQ21">
        <v>2641</v>
      </c>
      <c s="53" r="CR21">
        <v>21716</v>
      </c>
      <c s="6" r="CS21">
        <v>715643</v>
      </c>
      <c s="6" r="CT21">
        <v>4098354</v>
      </c>
      <c s="6" r="CU21">
        <v>883241</v>
      </c>
      <c s="6" r="CV21">
        <v>4340087</v>
      </c>
      <c s="6" r="CW21">
        <v>1085998</v>
      </c>
      <c s="6" r="CX21">
        <v>202571</v>
      </c>
      <c s="6" r="CY21">
        <v>426875</v>
      </c>
      <c s="6" r="CZ21">
        <v>518621</v>
      </c>
      <c s="6" r="DA21">
        <v>1413855</v>
      </c>
      <c s="6" r="DB21">
        <v>5061279</v>
      </c>
      <c s="6" r="DC21">
        <v>57027</v>
      </c>
      <c s="6" r="DD21">
        <v>307941</v>
      </c>
      <c s="6" r="DE21">
        <v>30635</v>
      </c>
      <c s="6" r="DF21">
        <v>101004</v>
      </c>
      <c s="6" r="DG21">
        <v>85033</v>
      </c>
      <c s="6" r="DH21">
        <v>408945</v>
      </c>
      <c s="6" r="DI21">
        <v>4985889</v>
      </c>
      <c s="6" r="DJ21">
        <v>16930484</v>
      </c>
      <c s="6" r="DK21">
        <v>2233081</v>
      </c>
      <c s="6" r="DL21">
        <v>63415747</v>
      </c>
      <c s="6" r="DM21">
        <v>9672</v>
      </c>
      <c s="6" r="DN21">
        <v>6321</v>
      </c>
      <c s="6" r="DO21">
        <v>2233976</v>
      </c>
      <c s="6" r="DP21">
        <v>8556050</v>
      </c>
      <c s="6" r="DQ21">
        <v>1015997</v>
      </c>
      <c s="6" r="DR21">
        <v>1200025</v>
      </c>
      <c s="6" r="DS21">
        <v>1984867</v>
      </c>
      <c s="6" r="DT21">
        <v>7356025</v>
      </c>
      <c s="6" r="DU21">
        <v>1984867</v>
      </c>
      <c s="47" r="DV21">
        <v>7356025</v>
      </c>
    </row>
    <row customHeight="1" r="22" ht="15.0">
      <c t="s" s="58" r="A22">
        <v>87</v>
      </c>
      <c s="6" r="B22">
        <v>2203197</v>
      </c>
      <c s="6" r="C22">
        <v>126503372</v>
      </c>
      <c s="6" r="D22">
        <v>1943851</v>
      </c>
      <c s="6" r="E22">
        <v>100135368</v>
      </c>
      <c s="6" r="F22">
        <v>1337975</v>
      </c>
      <c s="6" r="G22">
        <v>2487341</v>
      </c>
      <c s="6" r="H22">
        <v>79634</v>
      </c>
      <c s="6" r="I22">
        <v>400084</v>
      </c>
      <c s="6" r="J22">
        <v>596015</v>
      </c>
      <c s="6" r="K22">
        <v>1700488</v>
      </c>
      <c s="6" r="L22">
        <v>472409</v>
      </c>
      <c s="6" r="M22">
        <v>978158</v>
      </c>
      <c s="6" r="N22">
        <v>986255</v>
      </c>
      <c s="6" r="O22">
        <v>699984</v>
      </c>
      <c s="6" r="P22">
        <v>15706</v>
      </c>
      <c s="6" r="Q22">
        <v>345312</v>
      </c>
      <c s="6" r="R22">
        <v>427048</v>
      </c>
      <c s="6" r="S22">
        <v>3680276</v>
      </c>
      <c s="6" r="T22">
        <v>474358</v>
      </c>
      <c s="6" r="U22">
        <v>1767993</v>
      </c>
      <c s="6" r="V22">
        <v>26028</v>
      </c>
      <c s="6" r="W22">
        <v>3012</v>
      </c>
      <c s="6" r="X22">
        <v>210021</v>
      </c>
      <c s="6" r="Y22">
        <v>2469832</v>
      </c>
      <c s="6" r="Z22">
        <v>487520</v>
      </c>
      <c s="6" r="AA22">
        <v>9792272</v>
      </c>
      <c s="6" r="AB22">
        <v>103722</v>
      </c>
      <c s="6" r="AC22">
        <v>1009630</v>
      </c>
      <c s="6" r="AD22">
        <v>173376</v>
      </c>
      <c s="6" r="AE22">
        <v>1989428</v>
      </c>
      <c s="6" r="AF22">
        <v>11669</v>
      </c>
      <c s="6" r="AG22">
        <v>31458</v>
      </c>
      <c s="6" r="AH22">
        <v>124725</v>
      </c>
      <c s="6" r="AI22">
        <v>689105</v>
      </c>
      <c s="6" r="AJ22">
        <v>12231</v>
      </c>
      <c s="6" r="AK22">
        <v>112199</v>
      </c>
      <c s="6" r="AL22">
        <v>23472</v>
      </c>
      <c s="6" r="AM22">
        <v>-331821</v>
      </c>
      <c s="6" r="AN22">
        <v>173285</v>
      </c>
      <c s="6" r="AO22">
        <v>726993</v>
      </c>
      <c s="6" r="AP22">
        <v>350751</v>
      </c>
      <c s="6" r="AQ22">
        <v>4356375</v>
      </c>
      <c s="6" r="AR22">
        <v>328</v>
      </c>
      <c s="6" r="AS22">
        <v>28950</v>
      </c>
      <c s="6" r="AT22">
        <v>149930</v>
      </c>
      <c s="6" r="AU22">
        <v>428602</v>
      </c>
      <c s="6" r="AV22">
        <v>735775</v>
      </c>
      <c s="6" r="AW22">
        <v>1903376</v>
      </c>
      <c s="6" r="AX22">
        <v>40560807</v>
      </c>
      <c s="6" r="AY22">
        <v>0</v>
      </c>
      <c s="6" r="AZ22">
        <v>0</v>
      </c>
      <c s="6" r="BA22">
        <v>500426</v>
      </c>
      <c s="6" r="BB22">
        <v>3201026</v>
      </c>
      <c s="6" r="BC22">
        <v>500426</v>
      </c>
      <c s="6" r="BD22">
        <v>5353606</v>
      </c>
      <c s="6" r="BE22">
        <v>500426</v>
      </c>
      <c s="6" r="BF22">
        <v>2152581</v>
      </c>
      <c s="6" r="BG22">
        <v>2192338</v>
      </c>
      <c s="6" r="BH22">
        <v>10529050</v>
      </c>
      <c s="6" r="BI22">
        <v>2125536</v>
      </c>
      <c s="6" r="BJ22">
        <v>4974789</v>
      </c>
      <c s="6" r="BK22">
        <v>1610139</v>
      </c>
      <c s="6" r="BL22">
        <v>4276249</v>
      </c>
      <c s="6" r="BM22">
        <v>515397</v>
      </c>
      <c s="6" r="BN22">
        <v>698540</v>
      </c>
      <c s="6" r="BO22">
        <v>1882959</v>
      </c>
      <c s="6" r="BP22">
        <v>5130084</v>
      </c>
      <c s="6" r="BQ22">
        <v>989404</v>
      </c>
      <c s="6" r="BR22">
        <v>357246</v>
      </c>
      <c s="6" r="BS22">
        <v>103860</v>
      </c>
      <c s="6" r="BT22">
        <v>66932</v>
      </c>
      <c s="6" r="BU22">
        <v>1836807</v>
      </c>
      <c s="6" r="BV22">
        <v>18352332</v>
      </c>
      <c s="6" r="BW22">
        <v>1824366</v>
      </c>
      <c s="6" r="BX22">
        <v>18058976</v>
      </c>
      <c s="6" r="BY22">
        <v>1802578</v>
      </c>
      <c s="6" r="BZ22">
        <v>17799074</v>
      </c>
      <c s="6" r="CA22">
        <v>40663</v>
      </c>
      <c s="6" r="CB22">
        <v>259902</v>
      </c>
      <c s="6" r="CC22">
        <v>112390</v>
      </c>
      <c s="6" r="CD22">
        <v>80328</v>
      </c>
      <c s="6" r="CE22">
        <v>115347</v>
      </c>
      <c s="6" r="CF22">
        <v>136704</v>
      </c>
      <c s="6" r="CG22">
        <v>33173</v>
      </c>
      <c s="6" r="CH22">
        <v>76324</v>
      </c>
      <c s="6" r="CI22">
        <v>1741904</v>
      </c>
      <c s="6" r="CJ22">
        <v>4201875</v>
      </c>
      <c s="6" r="CK22">
        <v>1576457</v>
      </c>
      <c s="6" r="CL22">
        <v>3406826</v>
      </c>
      <c s="6" r="CM22">
        <v>1004269</v>
      </c>
      <c s="6" r="CN22">
        <v>737236</v>
      </c>
      <c s="6" r="CO22">
        <v>16342</v>
      </c>
      <c s="6" r="CP22">
        <v>127398</v>
      </c>
      <c s="53" r="CQ22">
        <v>3937</v>
      </c>
      <c s="53" r="CR22">
        <v>16225</v>
      </c>
      <c s="6" r="CS22">
        <v>642390</v>
      </c>
      <c s="6" r="CT22">
        <v>3893916</v>
      </c>
      <c s="6" r="CU22">
        <v>839490</v>
      </c>
      <c s="6" r="CV22">
        <v>4115473</v>
      </c>
      <c s="6" r="CW22">
        <v>1072165</v>
      </c>
      <c s="6" r="CX22">
        <v>211077</v>
      </c>
      <c s="6" r="CY22">
        <v>391574</v>
      </c>
      <c s="6" r="CZ22">
        <v>544405</v>
      </c>
      <c s="6" r="DA22">
        <v>1405646</v>
      </c>
      <c s="6" r="DB22">
        <v>4870956</v>
      </c>
      <c s="6" r="DC22">
        <v>55526</v>
      </c>
      <c s="6" r="DD22">
        <v>303404</v>
      </c>
      <c s="6" r="DE22">
        <v>21089</v>
      </c>
      <c s="6" r="DF22">
        <v>62978</v>
      </c>
      <c s="6" r="DG22">
        <v>75977</v>
      </c>
      <c s="6" r="DH22">
        <v>366382</v>
      </c>
      <c s="6" r="DI22">
        <v>4963672</v>
      </c>
      <c s="6" r="DJ22">
        <v>16858349</v>
      </c>
      <c s="6" r="DK22">
        <v>2152987</v>
      </c>
      <c s="6" r="DL22">
        <v>69622301</v>
      </c>
      <c s="6" r="DM22">
        <v>7047</v>
      </c>
      <c s="6" r="DN22">
        <v>6531</v>
      </c>
      <c s="6" r="DO22">
        <v>2153641</v>
      </c>
      <c s="6" r="DP22">
        <v>9678548</v>
      </c>
      <c s="6" r="DQ22">
        <v>954013</v>
      </c>
      <c s="6" r="DR22">
        <v>1264557</v>
      </c>
      <c s="6" r="DS22">
        <v>1974154</v>
      </c>
      <c s="6" r="DT22">
        <v>8413991</v>
      </c>
      <c s="6" r="DU22">
        <v>1974154</v>
      </c>
      <c s="47" r="DV22">
        <v>8413991</v>
      </c>
    </row>
    <row customHeight="1" r="23" ht="15.0">
      <c t="s" s="58" r="A23">
        <v>88</v>
      </c>
      <c s="6" r="B23">
        <v>6288565</v>
      </c>
      <c s="6" r="C23">
        <v>423425780</v>
      </c>
      <c s="6" r="D23">
        <v>5633168</v>
      </c>
      <c s="6" r="E23">
        <v>337437352</v>
      </c>
      <c s="6" r="F23">
        <v>4123518</v>
      </c>
      <c s="6" r="G23">
        <v>7521813</v>
      </c>
      <c s="6" r="H23">
        <v>318921</v>
      </c>
      <c s="6" r="I23">
        <v>1973338</v>
      </c>
      <c s="6" r="J23">
        <v>1860875</v>
      </c>
      <c s="6" r="K23">
        <v>5595638</v>
      </c>
      <c s="6" r="L23">
        <v>1567158</v>
      </c>
      <c s="6" r="M23">
        <v>3131474</v>
      </c>
      <c s="6" r="N23">
        <v>3081686</v>
      </c>
      <c s="6" r="O23">
        <v>2421838</v>
      </c>
      <c s="6" r="P23">
        <v>37260</v>
      </c>
      <c s="6" r="Q23">
        <v>1001428</v>
      </c>
      <c s="6" r="R23">
        <v>1206593</v>
      </c>
      <c s="6" r="S23">
        <v>11941575</v>
      </c>
      <c s="6" r="T23">
        <v>1502183</v>
      </c>
      <c s="6" r="U23">
        <v>6201388</v>
      </c>
      <c s="6" r="V23">
        <v>71156</v>
      </c>
      <c s="6" r="W23">
        <v>174771</v>
      </c>
      <c s="6" r="X23">
        <v>627580</v>
      </c>
      <c s="6" r="Y23">
        <v>8327453</v>
      </c>
      <c s="6" r="Z23">
        <v>1427809</v>
      </c>
      <c s="6" r="AA23">
        <v>30335067</v>
      </c>
      <c s="6" r="AB23">
        <v>299378</v>
      </c>
      <c s="6" r="AC23">
        <v>2691914</v>
      </c>
      <c s="6" r="AD23">
        <v>427893</v>
      </c>
      <c s="6" r="AE23">
        <v>4318909</v>
      </c>
      <c s="6" r="AF23">
        <v>18437</v>
      </c>
      <c s="6" r="AG23">
        <v>142732</v>
      </c>
      <c s="6" r="AH23">
        <v>457703</v>
      </c>
      <c s="6" r="AI23">
        <v>3063244</v>
      </c>
      <c s="6" r="AJ23">
        <v>24743</v>
      </c>
      <c s="6" r="AK23">
        <v>248027</v>
      </c>
      <c s="6" r="AL23">
        <v>92268</v>
      </c>
      <c s="6" r="AM23">
        <v>-881741</v>
      </c>
      <c s="6" r="AN23">
        <v>373310</v>
      </c>
      <c s="6" r="AO23">
        <v>1684584</v>
      </c>
      <c s="6" r="AP23">
        <v>1007038</v>
      </c>
      <c s="6" r="AQ23">
        <v>13901247</v>
      </c>
      <c s="6" r="AR23">
        <v>6119</v>
      </c>
      <c s="6" r="AS23">
        <v>397729</v>
      </c>
      <c s="6" r="AT23">
        <v>380277</v>
      </c>
      <c s="6" r="AU23">
        <v>992659</v>
      </c>
      <c s="6" r="AV23">
        <v>2104333</v>
      </c>
      <c s="6" r="AW23">
        <v>5345607</v>
      </c>
      <c s="6" r="AX23">
        <v>121515755</v>
      </c>
      <c s="6" r="AY23">
        <v>0</v>
      </c>
      <c s="6" r="AZ23">
        <v>0</v>
      </c>
      <c s="6" r="BA23">
        <v>1287860</v>
      </c>
      <c s="6" r="BB23">
        <v>8735522</v>
      </c>
      <c s="6" r="BC23">
        <v>1287860</v>
      </c>
      <c s="6" r="BD23">
        <v>15212992</v>
      </c>
      <c s="6" r="BE23">
        <v>1287860</v>
      </c>
      <c s="6" r="BF23">
        <v>6477470</v>
      </c>
      <c s="6" r="BG23">
        <v>6259574</v>
      </c>
      <c s="6" r="BH23">
        <v>34060057</v>
      </c>
      <c s="6" r="BI23">
        <v>6112217</v>
      </c>
      <c s="6" r="BJ23">
        <v>17128645</v>
      </c>
      <c s="6" r="BK23">
        <v>4819794</v>
      </c>
      <c s="6" r="BL23">
        <v>15167005</v>
      </c>
      <c s="6" r="BM23">
        <v>1292423</v>
      </c>
      <c s="6" r="BN23">
        <v>1961639</v>
      </c>
      <c s="6" r="BO23">
        <v>5480105</v>
      </c>
      <c s="6" r="BP23">
        <v>15736899</v>
      </c>
      <c s="6" r="BQ23">
        <v>2834086</v>
      </c>
      <c s="6" r="BR23">
        <v>1070464</v>
      </c>
      <c s="6" r="BS23">
        <v>344790</v>
      </c>
      <c s="6" r="BT23">
        <v>124049</v>
      </c>
      <c s="6" r="BU23">
        <v>5271330</v>
      </c>
      <c s="6" r="BV23">
        <v>54725016</v>
      </c>
      <c s="6" r="BW23">
        <v>5237233</v>
      </c>
      <c s="6" r="BX23">
        <v>53885839</v>
      </c>
      <c s="6" r="BY23">
        <v>5175810</v>
      </c>
      <c s="6" r="BZ23">
        <v>53092923</v>
      </c>
      <c s="6" r="CA23">
        <v>147693</v>
      </c>
      <c s="6" r="CB23">
        <v>792916</v>
      </c>
      <c s="6" r="CC23">
        <v>319034</v>
      </c>
      <c s="6" r="CD23">
        <v>273092</v>
      </c>
      <c s="6" r="CE23">
        <v>281335</v>
      </c>
      <c s="6" r="CF23">
        <v>346648</v>
      </c>
      <c s="6" r="CG23">
        <v>110613</v>
      </c>
      <c s="6" r="CH23">
        <v>219437</v>
      </c>
      <c s="6" r="CI23">
        <v>5136895</v>
      </c>
      <c s="6" r="CJ23">
        <v>12810049</v>
      </c>
      <c s="6" r="CK23">
        <v>4685321</v>
      </c>
      <c s="6" r="CL23">
        <v>10693383</v>
      </c>
      <c s="6" r="CM23">
        <v>2944665</v>
      </c>
      <c s="6" r="CN23">
        <v>2121550</v>
      </c>
      <c s="6" r="CO23">
        <v>43039</v>
      </c>
      <c s="6" r="CP23">
        <v>898985</v>
      </c>
      <c s="6" r="CQ23">
        <v>13293</v>
      </c>
      <c s="6" r="CR23">
        <v>437296</v>
      </c>
      <c s="6" r="CS23">
        <v>1698489</v>
      </c>
      <c s="6" r="CT23">
        <v>9721726</v>
      </c>
      <c s="6" r="CU23">
        <v>2332094</v>
      </c>
      <c s="6" r="CV23">
        <v>10848999</v>
      </c>
      <c s="6" r="CW23">
        <v>3034606</v>
      </c>
      <c s="6" r="CX23">
        <v>600720</v>
      </c>
      <c s="6" r="CY23">
        <v>1143115</v>
      </c>
      <c s="6" r="CZ23">
        <v>1382427</v>
      </c>
      <c s="6" r="DA23">
        <v>3948758</v>
      </c>
      <c s="6" r="DB23">
        <v>12832147</v>
      </c>
      <c s="6" r="DC23">
        <v>131430</v>
      </c>
      <c s="6" r="DD23">
        <v>871842</v>
      </c>
      <c s="6" r="DE23">
        <v>60303</v>
      </c>
      <c s="6" r="DF23">
        <v>146459</v>
      </c>
      <c s="6" r="DG23">
        <v>190366</v>
      </c>
      <c s="6" r="DH23">
        <v>1026089</v>
      </c>
      <c s="6" r="DI23">
        <v>15095171</v>
      </c>
      <c s="6" r="DJ23">
        <v>51273729</v>
      </c>
      <c s="6" r="DK23">
        <v>6217697</v>
      </c>
      <c s="6" r="DL23">
        <v>252087939</v>
      </c>
      <c s="6" r="DM23">
        <v>50289</v>
      </c>
      <c s="6" r="DN23">
        <v>64348</v>
      </c>
      <c s="6" r="DO23">
        <v>6218151</v>
      </c>
      <c s="6" r="DP23">
        <v>36636682</v>
      </c>
      <c s="6" r="DQ23">
        <v>3034016</v>
      </c>
      <c s="6" r="DR23">
        <v>4562102</v>
      </c>
      <c s="6" r="DS23">
        <v>5908849</v>
      </c>
      <c s="6" r="DT23">
        <v>32074580</v>
      </c>
      <c s="6" r="DU23">
        <v>5908849</v>
      </c>
      <c s="47" r="DV23">
        <v>32074580</v>
      </c>
    </row>
    <row customHeight="1" r="24" ht="15.0">
      <c t="s" s="58" r="A24">
        <v>89</v>
      </c>
      <c s="6" r="B24">
        <v>8525889</v>
      </c>
      <c s="6" r="C24">
        <v>740625274</v>
      </c>
      <c s="6" r="D24">
        <v>7780346</v>
      </c>
      <c s="6" r="E24">
        <v>593847487</v>
      </c>
      <c s="6" r="F24">
        <v>6211591</v>
      </c>
      <c s="6" r="G24">
        <v>12989693</v>
      </c>
      <c s="6" r="H24">
        <v>518038</v>
      </c>
      <c s="6" r="I24">
        <v>2844297</v>
      </c>
      <c s="6" r="J24">
        <v>3025663</v>
      </c>
      <c s="6" r="K24">
        <v>10170146</v>
      </c>
      <c s="6" r="L24">
        <v>2561784</v>
      </c>
      <c s="6" r="M24">
        <v>5891360</v>
      </c>
      <c s="6" r="N24">
        <v>4391417</v>
      </c>
      <c s="6" r="O24">
        <v>3838330</v>
      </c>
      <c s="6" r="P24">
        <v>23554</v>
      </c>
      <c s="6" r="Q24">
        <v>563791</v>
      </c>
      <c s="6" r="R24">
        <v>1656397</v>
      </c>
      <c s="6" r="S24">
        <v>20065227</v>
      </c>
      <c s="6" r="T24">
        <v>2490782</v>
      </c>
      <c s="6" r="U24">
        <v>13623598</v>
      </c>
      <c s="6" r="V24">
        <v>124866</v>
      </c>
      <c s="6" r="W24">
        <v>123081</v>
      </c>
      <c s="6" r="X24">
        <v>914457</v>
      </c>
      <c s="6" r="Y24">
        <v>14922833</v>
      </c>
      <c s="6" r="Z24">
        <v>2025030</v>
      </c>
      <c s="6" r="AA24">
        <v>48213654</v>
      </c>
      <c s="6" r="AB24">
        <v>507201</v>
      </c>
      <c s="6" r="AC24">
        <v>4570296</v>
      </c>
      <c s="6" r="AD24">
        <v>593064</v>
      </c>
      <c s="6" r="AE24">
        <v>6294848</v>
      </c>
      <c s="6" r="AF24">
        <v>53891</v>
      </c>
      <c s="6" r="AG24">
        <v>370054</v>
      </c>
      <c s="6" r="AH24">
        <v>722212</v>
      </c>
      <c s="6" r="AI24">
        <v>8398490</v>
      </c>
      <c s="6" r="AJ24">
        <v>39913</v>
      </c>
      <c s="6" r="AK24">
        <v>376832</v>
      </c>
      <c s="6" r="AL24">
        <v>147212</v>
      </c>
      <c s="6" r="AM24">
        <v>-1123646</v>
      </c>
      <c s="6" r="AN24">
        <v>455537</v>
      </c>
      <c s="6" r="AO24">
        <v>1870127</v>
      </c>
      <c s="6" r="AP24">
        <v>1240396</v>
      </c>
      <c s="6" r="AQ24">
        <v>20086790</v>
      </c>
      <c s="6" r="AR24">
        <v>7921</v>
      </c>
      <c s="6" r="AS24">
        <v>470548</v>
      </c>
      <c s="6" r="AT24">
        <v>615436</v>
      </c>
      <c s="6" r="AU24">
        <v>1871650</v>
      </c>
      <c s="6" r="AV24">
        <v>3016538</v>
      </c>
      <c s="6" r="AW24">
        <v>8874806</v>
      </c>
      <c s="6" r="AX24">
        <v>185113573</v>
      </c>
      <c s="6" r="AY24">
        <v>122230</v>
      </c>
      <c s="6" r="AZ24">
        <v>22929</v>
      </c>
      <c s="6" r="BA24">
        <v>1248508</v>
      </c>
      <c s="6" r="BB24">
        <v>9075584</v>
      </c>
      <c s="6" r="BC24">
        <v>1248508</v>
      </c>
      <c s="6" r="BD24">
        <v>17127521</v>
      </c>
      <c s="6" r="BE24">
        <v>1248508</v>
      </c>
      <c s="6" r="BF24">
        <v>8051937</v>
      </c>
      <c s="6" r="BG24">
        <v>8502072</v>
      </c>
      <c s="6" r="BH24">
        <v>57618031</v>
      </c>
      <c s="6" r="BI24">
        <v>8340065</v>
      </c>
      <c s="6" r="BJ24">
        <v>30724627</v>
      </c>
      <c s="6" r="BK24">
        <v>6735744</v>
      </c>
      <c s="6" r="BL24">
        <v>27717744</v>
      </c>
      <c s="6" r="BM24">
        <v>1604321</v>
      </c>
      <c s="6" r="BN24">
        <v>3006883</v>
      </c>
      <c s="6" r="BO24">
        <v>7754539</v>
      </c>
      <c s="6" r="BP24">
        <v>25136504</v>
      </c>
      <c s="6" r="BQ24">
        <v>3952317</v>
      </c>
      <c s="6" r="BR24">
        <v>1560202</v>
      </c>
      <c s="6" r="BS24">
        <v>532955</v>
      </c>
      <c s="6" r="BT24">
        <v>196698</v>
      </c>
      <c s="6" r="BU24">
        <v>7423347</v>
      </c>
      <c s="6" r="BV24">
        <v>83376572</v>
      </c>
      <c s="6" r="BW24">
        <v>7382036</v>
      </c>
      <c s="6" r="BX24">
        <v>82153588</v>
      </c>
      <c s="6" r="BY24">
        <v>7328829</v>
      </c>
      <c s="6" r="BZ24">
        <v>81122319</v>
      </c>
      <c s="6" r="CA24">
        <v>209501</v>
      </c>
      <c s="6" r="CB24">
        <v>1031269</v>
      </c>
      <c s="6" r="CC24">
        <v>493175</v>
      </c>
      <c s="6" r="CD24">
        <v>401653</v>
      </c>
      <c s="6" r="CE24">
        <v>366559</v>
      </c>
      <c s="6" r="CF24">
        <v>381792</v>
      </c>
      <c s="6" r="CG24">
        <v>186599</v>
      </c>
      <c s="6" r="CH24">
        <v>439539</v>
      </c>
      <c s="6" r="CI24">
        <v>7250205</v>
      </c>
      <c s="6" r="CJ24">
        <v>20669286</v>
      </c>
      <c s="6" r="CK24">
        <v>6716447</v>
      </c>
      <c s="6" r="CL24">
        <v>17186785</v>
      </c>
      <c s="6" r="CM24">
        <v>4345968</v>
      </c>
      <c s="6" r="CN24">
        <v>3853744</v>
      </c>
      <c s="6" r="CO24">
        <v>51630</v>
      </c>
      <c s="6" r="CP24">
        <v>690128</v>
      </c>
      <c s="6" r="CQ24">
        <v>16581</v>
      </c>
      <c s="6" r="CR24">
        <v>353814</v>
      </c>
      <c s="6" r="CS24">
        <v>2106756</v>
      </c>
      <c s="6" r="CT24">
        <v>12374873</v>
      </c>
      <c s="6" r="CU24">
        <v>3187465</v>
      </c>
      <c s="6" r="CV24">
        <v>14315499</v>
      </c>
      <c s="6" r="CW24">
        <v>4218201</v>
      </c>
      <c s="6" r="CX24">
        <v>871170</v>
      </c>
      <c s="6" r="CY24">
        <v>1584570</v>
      </c>
      <c s="6" r="CZ24">
        <v>2297906</v>
      </c>
      <c s="6" r="DA24">
        <v>5411359</v>
      </c>
      <c s="6" r="DB24">
        <v>17484576</v>
      </c>
      <c s="6" r="DC24">
        <v>182735</v>
      </c>
      <c s="6" r="DD24">
        <v>1469623</v>
      </c>
      <c s="6" r="DE24">
        <v>64192</v>
      </c>
      <c s="6" r="DF24">
        <v>184884</v>
      </c>
      <c s="6" r="DG24">
        <v>244345</v>
      </c>
      <c s="6" r="DH24">
        <v>1668343</v>
      </c>
      <c s="6" r="DI24">
        <v>22918817</v>
      </c>
      <c s="6" r="DJ24">
        <v>77871429</v>
      </c>
      <c s="6" r="DK24">
        <v>8476565</v>
      </c>
      <c s="6" r="DL24">
        <v>478848241</v>
      </c>
      <c s="6" r="DM24">
        <v>128756</v>
      </c>
      <c s="6" r="DN24">
        <v>182426</v>
      </c>
      <c s="6" r="DO24">
        <v>8481778</v>
      </c>
      <c s="6" r="DP24">
        <v>71617637</v>
      </c>
      <c s="6" r="DQ24">
        <v>4713908</v>
      </c>
      <c s="6" r="DR24">
        <v>7803302</v>
      </c>
      <c s="6" r="DS24">
        <v>8346211</v>
      </c>
      <c s="6" r="DT24">
        <v>63814336</v>
      </c>
      <c s="6" r="DU24">
        <v>8346211</v>
      </c>
      <c s="47" r="DV24">
        <v>63814345</v>
      </c>
    </row>
    <row customHeight="1" r="25" ht="15.0">
      <c t="s" s="58" r="A25">
        <v>90</v>
      </c>
      <c s="6" r="B25">
        <v>11693315</v>
      </c>
      <c s="6" r="C25">
        <v>1572398566</v>
      </c>
      <c s="6" r="D25">
        <v>10647878</v>
      </c>
      <c s="6" r="E25">
        <v>1205258755</v>
      </c>
      <c s="6" r="F25">
        <v>9901081</v>
      </c>
      <c s="6" r="G25">
        <v>31321015</v>
      </c>
      <c s="6" r="H25">
        <v>1385372</v>
      </c>
      <c s="6" r="I25">
        <v>10172142</v>
      </c>
      <c s="6" r="J25">
        <v>6059290</v>
      </c>
      <c s="6" r="K25">
        <v>32256497</v>
      </c>
      <c s="6" r="L25">
        <v>5278923</v>
      </c>
      <c s="6" r="M25">
        <v>20284751</v>
      </c>
      <c s="6" r="N25">
        <v>5927673</v>
      </c>
      <c s="6" r="O25">
        <v>6772523</v>
      </c>
      <c s="6" r="P25">
        <v>26660</v>
      </c>
      <c s="6" r="Q25">
        <v>1465692</v>
      </c>
      <c s="6" r="R25">
        <v>2526086</v>
      </c>
      <c s="6" r="S25">
        <v>53308154</v>
      </c>
      <c s="6" r="T25">
        <v>5236559</v>
      </c>
      <c s="6" r="U25">
        <v>57189625</v>
      </c>
      <c s="6" r="V25">
        <v>264754</v>
      </c>
      <c s="6" r="W25">
        <v>471040</v>
      </c>
      <c s="6" r="X25">
        <v>1354100</v>
      </c>
      <c s="6" r="Y25">
        <v>34815803</v>
      </c>
      <c s="6" r="Z25">
        <v>2845411</v>
      </c>
      <c s="6" r="AA25">
        <v>91872525</v>
      </c>
      <c s="6" r="AB25">
        <v>999457</v>
      </c>
      <c s="6" r="AC25">
        <v>13463548</v>
      </c>
      <c s="6" r="AD25">
        <v>928052</v>
      </c>
      <c s="6" r="AE25">
        <v>9518404</v>
      </c>
      <c s="6" r="AF25">
        <v>70561</v>
      </c>
      <c s="6" r="AG25">
        <v>566494</v>
      </c>
      <c s="6" r="AH25">
        <v>1596142</v>
      </c>
      <c s="6" r="AI25">
        <v>36219463</v>
      </c>
      <c s="6" r="AJ25">
        <v>129388</v>
      </c>
      <c s="6" r="AK25">
        <v>2296438</v>
      </c>
      <c s="6" r="AL25">
        <v>187321</v>
      </c>
      <c s="6" r="AM25">
        <v>-1375734</v>
      </c>
      <c s="6" r="AN25">
        <v>492880</v>
      </c>
      <c s="6" r="AO25">
        <v>2122355</v>
      </c>
      <c s="6" r="AP25">
        <v>1630658</v>
      </c>
      <c s="6" r="AQ25">
        <v>29773623</v>
      </c>
      <c s="6" r="AR25">
        <v>17795</v>
      </c>
      <c s="6" r="AS25">
        <v>1170063</v>
      </c>
      <c s="6" r="AT25">
        <v>1098451</v>
      </c>
      <c s="6" r="AU25">
        <v>4678626</v>
      </c>
      <c s="6" r="AV25">
        <v>4856019</v>
      </c>
      <c s="6" r="AW25">
        <v>23202379</v>
      </c>
      <c s="6" r="AX25">
        <v>334451497</v>
      </c>
      <c s="6" r="AY25">
        <v>2726697</v>
      </c>
      <c s="6" r="AZ25">
        <v>1120385</v>
      </c>
      <c s="6" r="BA25">
        <v>976869</v>
      </c>
      <c s="6" r="BB25">
        <v>9997398</v>
      </c>
      <c s="6" r="BC25">
        <v>976869</v>
      </c>
      <c s="6" r="BD25">
        <v>19440610</v>
      </c>
      <c s="6" r="BE25">
        <v>976869</v>
      </c>
      <c s="6" r="BF25">
        <v>9443212</v>
      </c>
      <c s="6" r="BG25">
        <v>11675761</v>
      </c>
      <c s="6" r="BH25">
        <v>121027544</v>
      </c>
      <c s="6" r="BI25">
        <v>11517980</v>
      </c>
      <c s="6" r="BJ25">
        <v>69151696</v>
      </c>
      <c s="6" r="BK25">
        <v>9511970</v>
      </c>
      <c s="6" r="BL25">
        <v>64410296</v>
      </c>
      <c s="6" r="BM25">
        <v>2006010</v>
      </c>
      <c s="6" r="BN25">
        <v>4741399</v>
      </c>
      <c s="6" r="BO25">
        <v>10936366</v>
      </c>
      <c s="6" r="BP25">
        <v>48807507</v>
      </c>
      <c s="6" r="BQ25">
        <v>5586619</v>
      </c>
      <c s="6" r="BR25">
        <v>2553176</v>
      </c>
      <c s="6" r="BS25">
        <v>807939</v>
      </c>
      <c s="6" r="BT25">
        <v>515165</v>
      </c>
      <c s="6" r="BU25">
        <v>10216096</v>
      </c>
      <c s="6" r="BV25">
        <v>142406620</v>
      </c>
      <c s="6" r="BW25">
        <v>10104653</v>
      </c>
      <c s="6" r="BX25">
        <v>140106583</v>
      </c>
      <c s="6" r="BY25">
        <v>10024249</v>
      </c>
      <c s="6" r="BZ25">
        <v>138346391</v>
      </c>
      <c s="6" r="CA25">
        <v>310674</v>
      </c>
      <c s="6" r="CB25">
        <v>1760192</v>
      </c>
      <c s="6" r="CC25">
        <v>842223</v>
      </c>
      <c s="6" r="CD25">
        <v>545186</v>
      </c>
      <c s="6" r="CE25">
        <v>86162</v>
      </c>
      <c s="6" r="CF25">
        <v>52843</v>
      </c>
      <c s="6" r="CG25">
        <v>499242</v>
      </c>
      <c s="6" r="CH25">
        <v>1702008</v>
      </c>
      <c s="6" r="CI25">
        <v>10607094</v>
      </c>
      <c s="6" r="CJ25">
        <v>40470031</v>
      </c>
      <c s="6" r="CK25">
        <v>10001950</v>
      </c>
      <c s="6" r="CL25">
        <v>33372001</v>
      </c>
      <c s="6" r="CM25">
        <v>6680428</v>
      </c>
      <c s="6" r="CN25">
        <v>7723665</v>
      </c>
      <c s="6" r="CO25">
        <v>76761</v>
      </c>
      <c s="6" r="CP25">
        <v>1620306</v>
      </c>
      <c s="6" r="CQ25">
        <v>11584</v>
      </c>
      <c s="6" r="CR25">
        <v>317783</v>
      </c>
      <c s="6" r="CS25">
        <v>2551101</v>
      </c>
      <c s="6" r="CT25">
        <v>17103115</v>
      </c>
      <c s="6" r="CU25">
        <v>4029815</v>
      </c>
      <c s="6" r="CV25">
        <v>19666722</v>
      </c>
      <c s="6" r="CW25">
        <v>5847770</v>
      </c>
      <c s="6" r="CX25">
        <v>1568954</v>
      </c>
      <c s="6" r="CY25">
        <v>2467857</v>
      </c>
      <c s="6" r="CZ25">
        <v>5625546</v>
      </c>
      <c s="6" r="DA25">
        <v>7406548</v>
      </c>
      <c s="6" r="DB25">
        <v>26861222</v>
      </c>
      <c s="6" r="DC25">
        <v>287078</v>
      </c>
      <c s="6" r="DD25">
        <v>3825678</v>
      </c>
      <c s="6" r="DE25">
        <v>102210</v>
      </c>
      <c s="6" r="DF25">
        <v>336225</v>
      </c>
      <c s="6" r="DG25">
        <v>384429</v>
      </c>
      <c s="6" r="DH25">
        <v>4249391</v>
      </c>
      <c s="6" r="DI25">
        <v>33473910</v>
      </c>
      <c s="6" r="DJ25">
        <v>113538989</v>
      </c>
      <c s="6" r="DK25">
        <v>11663133</v>
      </c>
      <c s="6" r="DL25">
        <v>1125497306</v>
      </c>
      <c s="6" r="DM25">
        <v>934580</v>
      </c>
      <c s="6" r="DN25">
        <v>1894697</v>
      </c>
      <c s="6" r="DO25">
        <v>11666244</v>
      </c>
      <c s="6" r="DP25">
        <v>202462371</v>
      </c>
      <c s="6" r="DQ25">
        <v>5755786</v>
      </c>
      <c s="6" r="DR25">
        <v>6492816</v>
      </c>
      <c s="6" r="DS25">
        <v>11623810</v>
      </c>
      <c s="6" r="DT25">
        <v>195969555</v>
      </c>
      <c s="6" r="DU25">
        <v>11623810</v>
      </c>
      <c s="47" r="DV25">
        <v>195969555</v>
      </c>
    </row>
    <row customHeight="1" r="26" ht="15.0">
      <c t="s" s="58" r="A26">
        <v>91</v>
      </c>
      <c s="6" r="B26">
        <v>3296436</v>
      </c>
      <c s="6" r="C26">
        <v>949474986</v>
      </c>
      <c s="6" r="D26">
        <v>2868934</v>
      </c>
      <c s="6" r="E26">
        <v>589127297</v>
      </c>
      <c s="6" r="F26">
        <v>3101239</v>
      </c>
      <c s="6" r="G26">
        <v>30127938</v>
      </c>
      <c s="6" r="H26">
        <v>961540</v>
      </c>
      <c s="6" r="I26">
        <v>13726242</v>
      </c>
      <c s="6" r="J26">
        <v>2461603</v>
      </c>
      <c s="6" r="K26">
        <v>35101757</v>
      </c>
      <c s="6" r="L26">
        <v>2271627</v>
      </c>
      <c s="6" r="M26">
        <v>23400234</v>
      </c>
      <c s="6" r="N26">
        <v>1187183</v>
      </c>
      <c s="6" r="O26">
        <v>2588573</v>
      </c>
      <c s="6" r="P26">
        <v>8756</v>
      </c>
      <c s="6" r="Q26">
        <v>937080</v>
      </c>
      <c s="6" r="R26">
        <v>855362</v>
      </c>
      <c s="6" r="S26">
        <v>51898988</v>
      </c>
      <c s="6" r="T26">
        <v>2393946</v>
      </c>
      <c s="6" r="U26">
        <v>90676293</v>
      </c>
      <c s="6" r="V26">
        <v>226543</v>
      </c>
      <c s="6" r="W26">
        <v>607753</v>
      </c>
      <c s="6" r="X26">
        <v>401157</v>
      </c>
      <c s="6" r="Y26">
        <v>16612104</v>
      </c>
      <c s="6" r="Z26">
        <v>719197</v>
      </c>
      <c s="6" r="AA26">
        <v>32295198</v>
      </c>
      <c s="6" r="AB26">
        <v>528081</v>
      </c>
      <c s="6" r="AC26">
        <v>14989644</v>
      </c>
      <c s="6" r="AD26">
        <v>289719</v>
      </c>
      <c s="6" r="AE26">
        <v>5151698</v>
      </c>
      <c s="6" r="AF26">
        <v>26148</v>
      </c>
      <c s="6" r="AG26">
        <v>495336</v>
      </c>
      <c s="6" r="AH26">
        <v>1163579</v>
      </c>
      <c s="6" r="AI26">
        <v>84952758</v>
      </c>
      <c s="6" r="AJ26">
        <v>83253</v>
      </c>
      <c s="6" r="AK26">
        <v>2748366</v>
      </c>
      <c s="6" r="AL26">
        <v>71752</v>
      </c>
      <c s="6" r="AM26">
        <v>-755582</v>
      </c>
      <c s="6" r="AN26">
        <v>66409</v>
      </c>
      <c s="6" r="AO26">
        <v>330652</v>
      </c>
      <c s="6" r="AP26">
        <v>540361</v>
      </c>
      <c s="6" r="AQ26">
        <v>11011220</v>
      </c>
      <c s="6" r="AR26">
        <v>15684</v>
      </c>
      <c s="6" r="AS26">
        <v>1163418</v>
      </c>
      <c s="6" r="AT26">
        <v>428077</v>
      </c>
      <c s="6" r="AU26">
        <v>6018009</v>
      </c>
      <c s="6" r="AV26">
        <v>1295703</v>
      </c>
      <c s="6" r="AW26">
        <v>18886088</v>
      </c>
      <c s="6" r="AX26">
        <v>159050386</v>
      </c>
      <c s="6" r="AY26">
        <v>3295919</v>
      </c>
      <c s="6" r="AZ26">
        <v>8735543</v>
      </c>
      <c s="6" r="BA26">
        <v>98787</v>
      </c>
      <c s="6" r="BB26">
        <v>2548100</v>
      </c>
      <c s="6" r="BC26">
        <v>98787</v>
      </c>
      <c s="6" r="BD26">
        <v>4520059</v>
      </c>
      <c s="6" r="BE26">
        <v>98787</v>
      </c>
      <c s="6" r="BF26">
        <v>1971959</v>
      </c>
      <c s="6" r="BG26">
        <v>3292789</v>
      </c>
      <c s="6" r="BH26">
        <v>72318629</v>
      </c>
      <c s="6" r="BI26">
        <v>3262468</v>
      </c>
      <c s="6" r="BJ26">
        <v>47821048</v>
      </c>
      <c s="6" r="BK26">
        <v>2717360</v>
      </c>
      <c s="6" r="BL26">
        <v>45931583</v>
      </c>
      <c s="6" r="BM26">
        <v>545108</v>
      </c>
      <c s="6" r="BN26">
        <v>1889465</v>
      </c>
      <c s="6" r="BO26">
        <v>3087466</v>
      </c>
      <c s="6" r="BP26">
        <v>23424791</v>
      </c>
      <c s="6" r="BQ26">
        <v>1425111</v>
      </c>
      <c s="6" r="BR26">
        <v>807577</v>
      </c>
      <c s="6" r="BS26">
        <v>268274</v>
      </c>
      <c s="6" r="BT26">
        <v>265214</v>
      </c>
      <c s="6" r="BU26">
        <v>2750766</v>
      </c>
      <c s="6" r="BV26">
        <v>58433134</v>
      </c>
      <c s="6" r="BW26">
        <v>2659081</v>
      </c>
      <c s="6" r="BX26">
        <v>54807919</v>
      </c>
      <c s="6" r="BY26">
        <v>2634744</v>
      </c>
      <c s="6" r="BZ26">
        <v>53928914</v>
      </c>
      <c s="6" r="CA26">
        <v>94168</v>
      </c>
      <c s="6" r="CB26">
        <v>879005</v>
      </c>
      <c s="6" r="CC26">
        <v>279950</v>
      </c>
      <c s="6" r="CD26">
        <v>173458</v>
      </c>
      <c s="53" r="CE26">
        <v>578</v>
      </c>
      <c s="53" r="CF26">
        <v>4420</v>
      </c>
      <c s="6" r="CG26">
        <v>446183</v>
      </c>
      <c s="6" r="CH26">
        <v>3447337</v>
      </c>
      <c s="6" r="CI26">
        <v>3080913</v>
      </c>
      <c s="6" r="CJ26">
        <v>23789879</v>
      </c>
      <c s="6" r="CK26">
        <v>2998740</v>
      </c>
      <c s="6" r="CL26">
        <v>19248745</v>
      </c>
      <c s="6" r="CM26">
        <v>1847389</v>
      </c>
      <c s="6" r="CN26">
        <v>7005611</v>
      </c>
      <c s="6" r="CO26">
        <v>23673</v>
      </c>
      <c s="6" r="CP26">
        <v>2499991</v>
      </c>
      <c s="6" r="CQ26">
        <v>2977</v>
      </c>
      <c s="6" r="CR26">
        <v>266110</v>
      </c>
      <c s="6" r="CS26">
        <v>540605</v>
      </c>
      <c s="6" r="CT26">
        <v>5809902</v>
      </c>
      <c s="6" r="CU26">
        <v>713246</v>
      </c>
      <c s="6" r="CV26">
        <v>4679668</v>
      </c>
      <c s="6" r="CW26">
        <v>1463886</v>
      </c>
      <c s="6" r="CX26">
        <v>899807</v>
      </c>
      <c s="6" r="CY26">
        <v>933765</v>
      </c>
      <c s="6" r="CZ26">
        <v>4862730</v>
      </c>
      <c s="6" r="DA26">
        <v>1944128</v>
      </c>
      <c s="6" r="DB26">
        <v>10442205</v>
      </c>
      <c s="6" r="DC26">
        <v>88193</v>
      </c>
      <c s="6" r="DD26">
        <v>4206941</v>
      </c>
      <c s="6" r="DE26">
        <v>66772</v>
      </c>
      <c s="6" r="DF26">
        <v>358454</v>
      </c>
      <c s="6" r="DG26">
        <v>154031</v>
      </c>
      <c s="6" r="DH26">
        <v>4620173</v>
      </c>
      <c s="6" r="DI26">
        <v>9543755</v>
      </c>
      <c s="6" r="DJ26">
        <v>23484078</v>
      </c>
      <c s="6" r="DK26">
        <v>3290438</v>
      </c>
      <c s="6" r="DL26">
        <v>767792976</v>
      </c>
      <c s="6" r="DM26">
        <v>2369920</v>
      </c>
      <c s="6" r="DN26">
        <v>11936793</v>
      </c>
      <c s="6" r="DO26">
        <v>3292942</v>
      </c>
      <c s="6" r="DP26">
        <v>187817293</v>
      </c>
      <c s="6" r="DQ26">
        <v>1537953</v>
      </c>
      <c s="6" r="DR26">
        <v>2129061</v>
      </c>
      <c s="6" r="DS26">
        <v>3289378</v>
      </c>
      <c s="6" r="DT26">
        <v>185688232</v>
      </c>
      <c s="6" r="DU26">
        <v>3289378</v>
      </c>
      <c s="47" r="DV26">
        <v>185688232</v>
      </c>
    </row>
    <row customHeight="1" r="27" ht="15.0">
      <c t="s" s="58" r="A27">
        <v>92</v>
      </c>
      <c s="6" r="B27">
        <v>611121</v>
      </c>
      <c s="6" r="C27">
        <v>414431890</v>
      </c>
      <c s="6" r="D27">
        <v>507699</v>
      </c>
      <c s="6" r="E27">
        <v>202487128</v>
      </c>
      <c s="6" r="F27">
        <v>600623</v>
      </c>
      <c s="6" r="G27">
        <v>15712558</v>
      </c>
      <c s="6" r="H27">
        <v>299555</v>
      </c>
      <c s="6" r="I27">
        <v>8574256</v>
      </c>
      <c s="6" r="J27">
        <v>535990</v>
      </c>
      <c s="6" r="K27">
        <v>20187420</v>
      </c>
      <c s="6" r="L27">
        <v>504751</v>
      </c>
      <c s="6" r="M27">
        <v>14081538</v>
      </c>
      <c s="6" r="N27">
        <v>203291</v>
      </c>
      <c s="6" r="O27">
        <v>1219655</v>
      </c>
      <c s="6" r="P27">
        <v>1395</v>
      </c>
      <c s="6" r="Q27">
        <v>264246</v>
      </c>
      <c s="6" r="R27">
        <v>160785</v>
      </c>
      <c s="6" r="S27">
        <v>16056779</v>
      </c>
      <c s="6" r="T27">
        <v>536821</v>
      </c>
      <c s="6" r="U27">
        <v>72031669</v>
      </c>
      <c s="6" r="V27">
        <v>94790</v>
      </c>
      <c s="6" r="W27">
        <v>414550</v>
      </c>
      <c s="6" r="X27">
        <v>68556</v>
      </c>
      <c s="6" r="Y27">
        <v>4164671</v>
      </c>
      <c s="6" r="Z27">
        <v>107292</v>
      </c>
      <c s="6" r="AA27">
        <v>4804249</v>
      </c>
      <c s="6" r="AB27">
        <v>145740</v>
      </c>
      <c s="6" r="AC27">
        <v>7289976</v>
      </c>
      <c s="6" r="AD27">
        <v>80654</v>
      </c>
      <c s="6" r="AE27">
        <v>2156805</v>
      </c>
      <c s="6" r="AF27">
        <v>6713</v>
      </c>
      <c s="6" r="AG27">
        <v>43576</v>
      </c>
      <c s="6" r="AH27">
        <v>367050</v>
      </c>
      <c s="6" r="AI27">
        <v>71516334</v>
      </c>
      <c s="6" r="AJ27">
        <v>25426</v>
      </c>
      <c s="6" r="AK27">
        <v>1708445</v>
      </c>
      <c s="6" r="AL27">
        <v>16886</v>
      </c>
      <c s="6" r="AM27">
        <v>-477779</v>
      </c>
      <c s="6" r="AN27">
        <v>6596</v>
      </c>
      <c s="6" r="AO27">
        <v>34870</v>
      </c>
      <c s="6" r="AP27">
        <v>106291</v>
      </c>
      <c s="6" r="AQ27">
        <v>2289864</v>
      </c>
      <c s="6" r="AR27">
        <v>4433</v>
      </c>
      <c s="6" r="AS27">
        <v>334145</v>
      </c>
      <c s="6" r="AT27">
        <v>123108</v>
      </c>
      <c s="6" r="AU27">
        <v>3127910</v>
      </c>
      <c s="6" r="AV27">
        <v>310692</v>
      </c>
      <c s="6" r="AW27">
        <v>7728374</v>
      </c>
      <c s="6" r="AX27">
        <v>55931192</v>
      </c>
      <c s="6" r="AY27">
        <v>611017</v>
      </c>
      <c s="6" r="AZ27">
        <v>6342456</v>
      </c>
      <c s="6" r="BA27">
        <v>6379</v>
      </c>
      <c s="6" r="BB27">
        <v>402523</v>
      </c>
      <c s="6" r="BC27">
        <v>6379</v>
      </c>
      <c s="6" r="BD27">
        <v>717248</v>
      </c>
      <c s="6" r="BE27">
        <v>6379</v>
      </c>
      <c s="6" r="BF27">
        <v>314725</v>
      </c>
      <c s="6" r="BG27">
        <v>609832</v>
      </c>
      <c s="6" r="BH27">
        <v>30077176</v>
      </c>
      <c s="6" r="BI27">
        <v>606496</v>
      </c>
      <c s="6" r="BJ27">
        <v>22806788</v>
      </c>
      <c s="6" r="BK27">
        <v>509805</v>
      </c>
      <c s="6" r="BL27">
        <v>22366398</v>
      </c>
      <c s="6" r="BM27">
        <v>96691</v>
      </c>
      <c s="6" r="BN27">
        <v>440390</v>
      </c>
      <c s="6" r="BO27">
        <v>574710</v>
      </c>
      <c s="6" r="BP27">
        <v>6959057</v>
      </c>
      <c s="6" r="BQ27">
        <v>235986</v>
      </c>
      <c s="6" r="BR27">
        <v>166532</v>
      </c>
      <c s="6" r="BS27">
        <v>57987</v>
      </c>
      <c s="6" r="BT27">
        <v>144798</v>
      </c>
      <c s="6" r="BU27">
        <v>500238</v>
      </c>
      <c s="6" r="BV27">
        <v>16282014</v>
      </c>
      <c s="6" r="BW27">
        <v>457160</v>
      </c>
      <c s="6" r="BX27">
        <v>13056088</v>
      </c>
      <c s="6" r="BY27">
        <v>449559</v>
      </c>
      <c s="6" r="BZ27">
        <v>12748783</v>
      </c>
      <c s="6" r="CA27">
        <v>20455</v>
      </c>
      <c s="6" r="CB27">
        <v>307305</v>
      </c>
      <c s="6" r="CC27">
        <v>48109</v>
      </c>
      <c s="6" r="CD27">
        <v>30968</v>
      </c>
      <c s="53" r="CE27">
        <v>40</v>
      </c>
      <c s="53" r="CF27">
        <v>2</v>
      </c>
      <c s="6" r="CG27">
        <v>170523</v>
      </c>
      <c s="6" r="CH27">
        <v>3194956</v>
      </c>
      <c s="6" r="CI27">
        <v>582172</v>
      </c>
      <c s="6" r="CJ27">
        <v>10939244</v>
      </c>
      <c s="6" r="CK27">
        <v>575200</v>
      </c>
      <c s="6" r="CL27">
        <v>8283317</v>
      </c>
      <c s="6" r="CM27">
        <v>312716</v>
      </c>
      <c s="6" r="CN27">
        <v>3368984</v>
      </c>
      <c s="6" r="CO27">
        <v>9609</v>
      </c>
      <c s="6" r="CP27">
        <v>2615134</v>
      </c>
      <c s="6" r="CQ27">
        <v>283</v>
      </c>
      <c s="6" r="CR27">
        <v>79688</v>
      </c>
      <c s="6" r="CS27">
        <v>86179</v>
      </c>
      <c s="6" r="CT27">
        <v>2088298</v>
      </c>
      <c s="6" r="CU27">
        <v>77031</v>
      </c>
      <c s="6" r="CV27">
        <v>773480</v>
      </c>
      <c s="6" r="CW27">
        <v>258739</v>
      </c>
      <c s="6" r="CX27">
        <v>348896</v>
      </c>
      <c s="6" r="CY27">
        <v>259970</v>
      </c>
      <c s="6" r="CZ27">
        <v>2989581</v>
      </c>
      <c s="6" r="DA27">
        <v>382811</v>
      </c>
      <c s="6" r="DB27">
        <v>4111958</v>
      </c>
      <c s="6" r="DC27">
        <v>16961</v>
      </c>
      <c s="6" r="DD27">
        <v>2169823</v>
      </c>
      <c s="6" r="DE27">
        <v>36163</v>
      </c>
      <c s="6" r="DF27">
        <v>224466</v>
      </c>
      <c s="6" r="DG27">
        <v>52773</v>
      </c>
      <c s="6" r="DH27">
        <v>2404706</v>
      </c>
      <c s="6" r="DI27">
        <v>1785340</v>
      </c>
      <c s="6" r="DJ27">
        <v>2012029</v>
      </c>
      <c s="6" r="DK27">
        <v>609627</v>
      </c>
      <c s="6" r="DL27">
        <v>357006886</v>
      </c>
      <c s="6" r="DM27">
        <v>319704</v>
      </c>
      <c s="6" r="DN27">
        <v>3843125</v>
      </c>
      <c s="6" r="DO27">
        <v>610560</v>
      </c>
      <c s="6" r="DP27">
        <v>98908676</v>
      </c>
      <c s="6" r="DQ27">
        <v>385189</v>
      </c>
      <c s="6" r="DR27">
        <v>1582914</v>
      </c>
      <c s="6" r="DS27">
        <v>609927</v>
      </c>
      <c s="6" r="DT27">
        <v>97325762</v>
      </c>
      <c s="6" r="DU27">
        <v>609927</v>
      </c>
      <c s="47" r="DV27">
        <v>97325762</v>
      </c>
    </row>
    <row customHeight="1" r="28" ht="15.0">
      <c t="s" s="58" r="A28">
        <v>93</v>
      </c>
      <c s="6" r="B28">
        <v>157556</v>
      </c>
      <c s="6" r="C28">
        <v>190231620</v>
      </c>
      <c s="6" r="D28">
        <v>128693</v>
      </c>
      <c s="6" r="E28">
        <v>76053449</v>
      </c>
      <c s="6" r="F28">
        <v>155931</v>
      </c>
      <c s="6" r="G28">
        <v>8511420</v>
      </c>
      <c s="6" r="H28">
        <v>92112</v>
      </c>
      <c s="6" r="I28">
        <v>4396228</v>
      </c>
      <c s="6" r="J28">
        <v>142687</v>
      </c>
      <c s="6" r="K28">
        <v>10085007</v>
      </c>
      <c s="6" r="L28">
        <v>135741</v>
      </c>
      <c s="6" r="M28">
        <v>7292707</v>
      </c>
      <c s="6" r="N28">
        <v>64746</v>
      </c>
      <c s="6" r="O28">
        <v>700710</v>
      </c>
      <c s="53" r="P28">
        <v>132</v>
      </c>
      <c s="53" r="Q28">
        <v>15535</v>
      </c>
      <c s="6" r="R28">
        <v>38400</v>
      </c>
      <c s="6" r="S28">
        <v>5774841</v>
      </c>
      <c s="6" r="T28">
        <v>145013</v>
      </c>
      <c s="6" r="U28">
        <v>42957362</v>
      </c>
      <c s="6" r="V28">
        <v>33340</v>
      </c>
      <c s="6" r="W28">
        <v>167909</v>
      </c>
      <c s="6" r="X28">
        <v>16242</v>
      </c>
      <c s="6" r="Y28">
        <v>1217370</v>
      </c>
      <c s="6" r="Z28">
        <v>27528</v>
      </c>
      <c s="6" r="AA28">
        <v>1389691</v>
      </c>
      <c s="6" r="AB28">
        <v>44317</v>
      </c>
      <c s="6" r="AC28">
        <v>3083592</v>
      </c>
      <c s="6" r="AD28">
        <v>23629</v>
      </c>
      <c s="6" r="AE28">
        <v>835160</v>
      </c>
      <c s="6" r="AF28">
        <v>1836</v>
      </c>
      <c s="6" r="AG28">
        <v>42800</v>
      </c>
      <c s="6" r="AH28">
        <v>111469</v>
      </c>
      <c s="6" r="AI28">
        <v>40071423</v>
      </c>
      <c s="6" r="AJ28">
        <v>8050</v>
      </c>
      <c s="6" r="AK28">
        <v>1026505</v>
      </c>
      <c s="6" r="AL28">
        <v>4827</v>
      </c>
      <c s="6" r="AM28">
        <v>-181147</v>
      </c>
      <c s="6" r="AN28">
        <v>1474</v>
      </c>
      <c s="6" r="AO28">
        <v>8176</v>
      </c>
      <c s="6" r="AP28">
        <v>28754</v>
      </c>
      <c s="6" r="AQ28">
        <v>629300</v>
      </c>
      <c s="6" r="AR28">
        <v>1600</v>
      </c>
      <c s="6" r="AS28">
        <v>129749</v>
      </c>
      <c s="6" r="AT28">
        <v>37487</v>
      </c>
      <c s="6" r="AU28">
        <v>1290099</v>
      </c>
      <c s="6" r="AV28">
        <v>85586</v>
      </c>
      <c s="6" r="AW28">
        <v>2714486</v>
      </c>
      <c s="6" r="AX28">
        <v>22510912</v>
      </c>
      <c s="6" r="AY28">
        <v>157552</v>
      </c>
      <c s="6" r="AZ28">
        <v>3236710</v>
      </c>
      <c s="6" r="BA28">
        <v>792</v>
      </c>
      <c s="6" r="BB28">
        <v>73427</v>
      </c>
      <c s="6" r="BC28">
        <v>792</v>
      </c>
      <c s="6" r="BD28">
        <v>147035</v>
      </c>
      <c s="6" r="BE28">
        <v>792</v>
      </c>
      <c s="6" r="BF28">
        <v>73609</v>
      </c>
      <c s="6" r="BG28">
        <v>157245</v>
      </c>
      <c s="6" r="BH28">
        <v>13153538</v>
      </c>
      <c s="6" r="BI28">
        <v>156095</v>
      </c>
      <c s="6" r="BJ28">
        <v>10698168</v>
      </c>
      <c s="6" r="BK28">
        <v>131547</v>
      </c>
      <c s="6" r="BL28">
        <v>10531670</v>
      </c>
      <c s="6" r="BM28">
        <v>24549</v>
      </c>
      <c s="6" r="BN28">
        <v>166498</v>
      </c>
      <c s="6" r="BO28">
        <v>148410</v>
      </c>
      <c s="6" r="BP28">
        <v>2357025</v>
      </c>
      <c s="6" r="BQ28">
        <v>56724</v>
      </c>
      <c s="6" r="BR28">
        <v>49982</v>
      </c>
      <c s="6" r="BS28">
        <v>15484</v>
      </c>
      <c s="6" r="BT28">
        <v>48363</v>
      </c>
      <c s="6" r="BU28">
        <v>128871</v>
      </c>
      <c s="6" r="BV28">
        <v>5414956</v>
      </c>
      <c s="6" r="BW28">
        <v>111993</v>
      </c>
      <c s="6" r="BX28">
        <v>3582896</v>
      </c>
      <c s="6" r="BY28">
        <v>109592</v>
      </c>
      <c s="6" r="BZ28">
        <v>3456714</v>
      </c>
      <c s="6" r="CA28">
        <v>6088</v>
      </c>
      <c s="6" r="CB28">
        <v>126182</v>
      </c>
      <c s="6" r="CC28">
        <v>12407</v>
      </c>
      <c s="6" r="CD28">
        <v>8149</v>
      </c>
      <c s="53" r="CE28">
        <v>8</v>
      </c>
      <c s="53" r="CF28">
        <v>1</v>
      </c>
      <c s="6" r="CG28">
        <v>59835</v>
      </c>
      <c s="6" r="CH28">
        <v>1823910</v>
      </c>
      <c s="6" r="CI28">
        <v>150754</v>
      </c>
      <c s="6" r="CJ28">
        <v>5130206</v>
      </c>
      <c s="6" r="CK28">
        <v>149134</v>
      </c>
      <c s="6" r="CL28">
        <v>3779852</v>
      </c>
      <c s="6" r="CM28">
        <v>74266</v>
      </c>
      <c s="6" r="CN28">
        <v>2345318</v>
      </c>
      <c s="6" r="CO28">
        <v>2942</v>
      </c>
      <c s="6" r="CP28">
        <v>2277795</v>
      </c>
      <c s="6" r="CQ28">
        <v>93</v>
      </c>
      <c s="6" r="CR28">
        <v>39943</v>
      </c>
      <c s="6" r="CS28">
        <v>22512</v>
      </c>
      <c s="6" r="CT28">
        <v>915924</v>
      </c>
      <c s="6" r="CU28">
        <v>14556</v>
      </c>
      <c s="6" r="CV28">
        <v>204057</v>
      </c>
      <c s="6" r="CW28">
        <v>61187</v>
      </c>
      <c s="6" r="CX28">
        <v>128628</v>
      </c>
      <c s="6" r="CY28">
        <v>79273</v>
      </c>
      <c s="6" r="CZ28">
        <v>1531322</v>
      </c>
      <c s="6" r="DA28">
        <v>101380</v>
      </c>
      <c s="6" r="DB28">
        <v>1864007</v>
      </c>
      <c s="6" r="DC28">
        <v>4290</v>
      </c>
      <c s="6" r="DD28">
        <v>948743</v>
      </c>
      <c s="6" r="DE28">
        <v>14260</v>
      </c>
      <c s="6" r="DF28">
        <v>66015</v>
      </c>
      <c s="6" r="DG28">
        <v>18405</v>
      </c>
      <c s="6" r="DH28">
        <v>1019628</v>
      </c>
      <c s="6" r="DI28">
        <v>452549</v>
      </c>
      <c s="6" r="DJ28">
        <v>511338</v>
      </c>
      <c s="6" r="DK28">
        <v>157222</v>
      </c>
      <c s="6" r="DL28">
        <v>167379194</v>
      </c>
      <c s="6" r="DM28">
        <v>46233</v>
      </c>
      <c s="6" r="DN28">
        <v>1029182</v>
      </c>
      <c s="6" r="DO28">
        <v>157404</v>
      </c>
      <c s="6" r="DP28">
        <v>47011567</v>
      </c>
      <c s="6" r="DQ28">
        <v>107689</v>
      </c>
      <c s="6" r="DR28">
        <v>1024063</v>
      </c>
      <c s="6" r="DS28">
        <v>157255</v>
      </c>
      <c s="6" r="DT28">
        <v>45987504</v>
      </c>
      <c s="6" r="DU28">
        <v>157256</v>
      </c>
      <c s="47" r="DV28">
        <v>45987565</v>
      </c>
    </row>
    <row customHeight="1" r="29" ht="15.0">
      <c t="s" s="58" r="A29">
        <v>94</v>
      </c>
      <c s="6" r="B29">
        <v>67514</v>
      </c>
      <c s="6" r="C29">
        <v>116209427</v>
      </c>
      <c s="6" r="D29">
        <v>53901</v>
      </c>
      <c s="6" r="E29">
        <v>41618253</v>
      </c>
      <c s="6" r="F29">
        <v>67085</v>
      </c>
      <c s="6" r="G29">
        <v>5369720</v>
      </c>
      <c s="6" r="H29">
        <v>44298</v>
      </c>
      <c s="6" r="I29">
        <v>2920757</v>
      </c>
      <c s="6" r="J29">
        <v>62857</v>
      </c>
      <c s="6" r="K29">
        <v>6183938</v>
      </c>
      <c s="6" r="L29">
        <v>59915</v>
      </c>
      <c s="6" r="M29">
        <v>4389301</v>
      </c>
      <c s="6" r="N29">
        <v>30062</v>
      </c>
      <c s="6" r="O29">
        <v>455964</v>
      </c>
      <c s="6" r="P29">
        <v>119</v>
      </c>
      <c s="6" r="Q29">
        <v>37623</v>
      </c>
      <c s="6" r="R29">
        <v>16136</v>
      </c>
      <c s="6" r="S29">
        <v>2728921</v>
      </c>
      <c s="6" r="T29">
        <v>63782</v>
      </c>
      <c s="6" r="U29">
        <v>30784353</v>
      </c>
      <c s="6" r="V29">
        <v>16702</v>
      </c>
      <c s="6" r="W29">
        <v>102986</v>
      </c>
      <c s="6" r="X29">
        <v>6871</v>
      </c>
      <c s="6" r="Y29">
        <v>511503</v>
      </c>
      <c s="6" r="Z29">
        <v>11961</v>
      </c>
      <c s="6" r="AA29">
        <v>628929</v>
      </c>
      <c s="6" r="AB29">
        <v>21656</v>
      </c>
      <c s="6" r="AC29">
        <v>1741284</v>
      </c>
      <c s="6" r="AD29">
        <v>10629</v>
      </c>
      <c s="6" r="AE29">
        <v>450439</v>
      </c>
      <c s="6" r="AF29">
        <v>782</v>
      </c>
      <c s="6" r="AG29">
        <v>7981</v>
      </c>
      <c s="6" r="AH29">
        <v>50488</v>
      </c>
      <c s="6" r="AI29">
        <v>25741996</v>
      </c>
      <c s="6" r="AJ29">
        <v>4320</v>
      </c>
      <c s="6" r="AK29">
        <v>663338</v>
      </c>
      <c s="6" r="AL29">
        <v>2441</v>
      </c>
      <c s="6" r="AM29">
        <v>-98236</v>
      </c>
      <c s="6" r="AN29">
        <v>474</v>
      </c>
      <c s="6" r="AO29">
        <v>3365</v>
      </c>
      <c s="6" r="AP29">
        <v>13003</v>
      </c>
      <c s="6" r="AQ29">
        <v>288364</v>
      </c>
      <c s="6" r="AR29">
        <v>799</v>
      </c>
      <c s="6" r="AS29">
        <v>67124</v>
      </c>
      <c s="6" r="AT29">
        <v>17984</v>
      </c>
      <c s="6" r="AU29">
        <v>772718</v>
      </c>
      <c s="6" r="AV29">
        <v>37947</v>
      </c>
      <c s="6" r="AW29">
        <v>1475381</v>
      </c>
      <c s="6" r="AX29">
        <v>13318367</v>
      </c>
      <c s="6" r="AY29">
        <v>67510</v>
      </c>
      <c s="6" r="AZ29">
        <v>2016645</v>
      </c>
      <c s="6" r="BA29">
        <v>228</v>
      </c>
      <c s="6" r="BB29">
        <v>18849</v>
      </c>
      <c s="6" r="BC29">
        <v>228</v>
      </c>
      <c s="6" r="BD29">
        <v>48917</v>
      </c>
      <c s="6" r="BE29">
        <v>228</v>
      </c>
      <c s="6" r="BF29">
        <v>30068</v>
      </c>
      <c s="6" r="BG29">
        <v>67350</v>
      </c>
      <c s="6" r="BH29">
        <v>7876336</v>
      </c>
      <c s="6" r="BI29">
        <v>66954</v>
      </c>
      <c s="6" r="BJ29">
        <v>6633996</v>
      </c>
      <c s="6" r="BK29">
        <v>56777</v>
      </c>
      <c s="6" r="BL29">
        <v>6547072</v>
      </c>
      <c s="6" r="BM29">
        <v>10177</v>
      </c>
      <c s="6" r="BN29">
        <v>86924</v>
      </c>
      <c s="6" r="BO29">
        <v>63863</v>
      </c>
      <c s="6" r="BP29">
        <v>1179109</v>
      </c>
      <c s="6" r="BQ29">
        <v>24781</v>
      </c>
      <c s="6" r="BR29">
        <v>24422</v>
      </c>
      <c s="6" r="BS29">
        <v>6755</v>
      </c>
      <c s="6" r="BT29">
        <v>38809</v>
      </c>
      <c s="6" r="BU29">
        <v>54786</v>
      </c>
      <c s="6" r="BV29">
        <v>2793450</v>
      </c>
      <c s="6" r="BW29">
        <v>45782</v>
      </c>
      <c s="6" r="BX29">
        <v>1558560</v>
      </c>
      <c s="6" r="BY29">
        <v>44913</v>
      </c>
      <c s="6" r="BZ29">
        <v>1510516</v>
      </c>
      <c s="6" r="CA29">
        <v>2153</v>
      </c>
      <c s="6" r="CB29">
        <v>48044</v>
      </c>
      <c s="6" r="CC29">
        <v>4853</v>
      </c>
      <c s="6" r="CD29">
        <v>4147</v>
      </c>
      <c s="6" r="CE29">
        <v>0</v>
      </c>
      <c s="6" r="CF29">
        <v>0</v>
      </c>
      <c s="6" r="CG29">
        <v>28938</v>
      </c>
      <c s="6" r="CH29">
        <v>1230743</v>
      </c>
      <c s="6" r="CI29">
        <v>64910</v>
      </c>
      <c s="6" r="CJ29">
        <v>3212189</v>
      </c>
      <c s="6" r="CK29">
        <v>64450</v>
      </c>
      <c s="6" r="CL29">
        <v>2330535</v>
      </c>
      <c s="6" r="CM29">
        <v>30957</v>
      </c>
      <c s="6" r="CN29">
        <v>1027095</v>
      </c>
      <c s="6" r="CO29">
        <v>1425</v>
      </c>
      <c s="6" r="CP29">
        <v>918255</v>
      </c>
      <c s="53" r="CQ29">
        <v>43</v>
      </c>
      <c s="53" r="CR29">
        <v>19737</v>
      </c>
      <c s="6" r="CS29">
        <v>9898</v>
      </c>
      <c s="6" r="CT29">
        <v>592486</v>
      </c>
      <c s="6" r="CU29">
        <v>5482</v>
      </c>
      <c s="6" r="CV29">
        <v>76177</v>
      </c>
      <c s="6" r="CW29">
        <v>27198</v>
      </c>
      <c s="6" r="CX29">
        <v>81708</v>
      </c>
      <c s="6" r="CY29">
        <v>38040</v>
      </c>
      <c s="6" r="CZ29">
        <v>1051023</v>
      </c>
      <c s="6" r="DA29">
        <v>46623</v>
      </c>
      <c s="6" r="DB29">
        <v>1208908</v>
      </c>
      <c s="6" r="DC29">
        <v>2093</v>
      </c>
      <c s="6" r="DD29">
        <v>766253</v>
      </c>
      <c s="6" r="DE29">
        <v>7988</v>
      </c>
      <c s="6" r="DF29">
        <v>47655</v>
      </c>
      <c s="6" r="DG29">
        <v>9966</v>
      </c>
      <c s="6" r="DH29">
        <v>821965</v>
      </c>
      <c s="6" r="DI29">
        <v>192501</v>
      </c>
      <c s="6" r="DJ29">
        <v>217256</v>
      </c>
      <c s="6" r="DK29">
        <v>67387</v>
      </c>
      <c s="6" r="DL29">
        <v>102773985</v>
      </c>
      <c s="6" r="DM29">
        <v>18451</v>
      </c>
      <c s="6" r="DN29">
        <v>550733</v>
      </c>
      <c s="6" r="DO29">
        <v>67446</v>
      </c>
      <c s="6" r="DP29">
        <v>28772919</v>
      </c>
      <c s="6" r="DQ29">
        <v>48576</v>
      </c>
      <c s="6" r="DR29">
        <v>655932</v>
      </c>
      <c s="6" r="DS29">
        <v>67376</v>
      </c>
      <c s="6" r="DT29">
        <v>28116987</v>
      </c>
      <c s="6" r="DU29">
        <v>67376</v>
      </c>
      <c s="47" r="DV29">
        <v>28116987</v>
      </c>
    </row>
    <row customHeight="1" r="30" ht="15.0">
      <c t="s" s="58" r="A30">
        <v>95</v>
      </c>
      <c s="6" r="B30">
        <v>104883</v>
      </c>
      <c s="6" r="C30">
        <v>313523801</v>
      </c>
      <c s="6" r="D30">
        <v>84435</v>
      </c>
      <c s="6" r="E30">
        <v>100616616</v>
      </c>
      <c s="6" r="F30">
        <v>104357</v>
      </c>
      <c s="6" r="G30">
        <v>15320355</v>
      </c>
      <c s="6" r="H30">
        <v>75521</v>
      </c>
      <c s="6" r="I30">
        <v>7529721</v>
      </c>
      <c s="6" r="J30">
        <v>98892</v>
      </c>
      <c s="6" r="K30">
        <v>17705923</v>
      </c>
      <c s="6" r="L30">
        <v>94697</v>
      </c>
      <c s="6" r="M30">
        <v>12821580</v>
      </c>
      <c s="6" r="N30">
        <v>49879</v>
      </c>
      <c s="6" r="O30">
        <v>1237241</v>
      </c>
      <c s="6" r="P30">
        <v>168</v>
      </c>
      <c s="6" r="Q30">
        <v>43690</v>
      </c>
      <c s="6" r="R30">
        <v>25913</v>
      </c>
      <c s="6" r="S30">
        <v>4962602</v>
      </c>
      <c s="6" r="T30">
        <v>100355</v>
      </c>
      <c s="6" r="U30">
        <v>99649251</v>
      </c>
      <c s="6" r="V30">
        <v>30000</v>
      </c>
      <c s="6" r="W30">
        <v>528070</v>
      </c>
      <c s="6" r="X30">
        <v>10327</v>
      </c>
      <c s="6" r="Y30">
        <v>815604</v>
      </c>
      <c s="6" r="Z30">
        <v>18603</v>
      </c>
      <c s="6" r="AA30">
        <v>1170164</v>
      </c>
      <c s="6" r="AB30">
        <v>38472</v>
      </c>
      <c s="6" r="AC30">
        <v>4281501</v>
      </c>
      <c s="6" r="AD30">
        <v>17112</v>
      </c>
      <c s="6" r="AE30">
        <v>872121</v>
      </c>
      <c s="6" r="AF30">
        <v>1295</v>
      </c>
      <c s="6" r="AG30">
        <v>20139</v>
      </c>
      <c s="6" r="AH30">
        <v>82494</v>
      </c>
      <c s="6" r="AI30">
        <v>65193983</v>
      </c>
      <c s="6" r="AJ30">
        <v>8290</v>
      </c>
      <c s="6" r="AK30">
        <v>1911302</v>
      </c>
      <c s="6" r="AL30">
        <v>3852</v>
      </c>
      <c s="6" r="AM30">
        <v>-268083</v>
      </c>
      <c s="6" r="AN30">
        <v>438</v>
      </c>
      <c s="6" r="AO30">
        <v>2582</v>
      </c>
      <c s="6" r="AP30">
        <v>20679</v>
      </c>
      <c s="6" r="AQ30">
        <v>471309</v>
      </c>
      <c s="6" r="AR30">
        <v>1275</v>
      </c>
      <c s="6" r="AS30">
        <v>101712</v>
      </c>
      <c s="6" r="AT30">
        <v>31956</v>
      </c>
      <c s="6" r="AU30">
        <v>2525756</v>
      </c>
      <c s="6" r="AV30">
        <v>60396</v>
      </c>
      <c s="6" r="AW30">
        <v>2983267</v>
      </c>
      <c s="6" r="AX30">
        <v>33942828</v>
      </c>
      <c s="6" r="AY30">
        <v>104837</v>
      </c>
      <c s="6" r="AZ30">
        <v>5446031</v>
      </c>
      <c s="6" r="BA30">
        <v>146</v>
      </c>
      <c s="6" r="BB30">
        <v>21219</v>
      </c>
      <c s="6" r="BC30">
        <v>146</v>
      </c>
      <c s="6" r="BD30">
        <v>52238</v>
      </c>
      <c s="6" r="BE30">
        <v>146</v>
      </c>
      <c s="6" r="BF30">
        <v>31019</v>
      </c>
      <c s="6" r="BG30">
        <v>104622</v>
      </c>
      <c s="6" r="BH30">
        <v>20122007</v>
      </c>
      <c s="6" r="BI30">
        <v>103951</v>
      </c>
      <c s="6" r="BJ30">
        <v>17615662</v>
      </c>
      <c s="6" r="BK30">
        <v>88017</v>
      </c>
      <c s="6" r="BL30">
        <v>17432549</v>
      </c>
      <c s="6" r="BM30">
        <v>15934</v>
      </c>
      <c s="6" r="BN30">
        <v>183113</v>
      </c>
      <c s="6" r="BO30">
        <v>99210</v>
      </c>
      <c s="6" r="BP30">
        <v>2396946</v>
      </c>
      <c s="6" r="BQ30">
        <v>36323</v>
      </c>
      <c s="6" r="BR30">
        <v>40709</v>
      </c>
      <c s="6" r="BS30">
        <v>10420</v>
      </c>
      <c s="6" r="BT30">
        <v>68689</v>
      </c>
      <c s="6" r="BU30">
        <v>85921</v>
      </c>
      <c s="6" r="BV30">
        <v>6152196</v>
      </c>
      <c s="6" r="BW30">
        <v>67934</v>
      </c>
      <c s="6" r="BX30">
        <v>2467861</v>
      </c>
      <c s="6" r="BY30">
        <v>66232</v>
      </c>
      <c s="6" r="BZ30">
        <v>2379931</v>
      </c>
      <c s="6" r="CA30">
        <v>3391</v>
      </c>
      <c s="6" r="CB30">
        <v>87930</v>
      </c>
      <c s="6" r="CC30">
        <v>6592</v>
      </c>
      <c s="6" r="CD30">
        <v>6755</v>
      </c>
      <c s="53" r="CE30">
        <v>9</v>
      </c>
      <c s="53" r="CF30">
        <v>145</v>
      </c>
      <c s="6" r="CG30">
        <v>54014</v>
      </c>
      <c s="6" r="CH30">
        <v>3677436</v>
      </c>
      <c s="6" r="CI30">
        <v>101175</v>
      </c>
      <c s="6" r="CJ30">
        <v>9473630</v>
      </c>
      <c s="6" r="CK30">
        <v>100401</v>
      </c>
      <c s="6" r="CL30">
        <v>5939222</v>
      </c>
      <c s="6" r="CM30">
        <v>47373</v>
      </c>
      <c s="6" r="CN30">
        <v>4707181</v>
      </c>
      <c s="6" r="CO30">
        <v>2909</v>
      </c>
      <c s="6" r="CP30">
        <v>2228422</v>
      </c>
      <c s="53" r="CQ30">
        <v>34</v>
      </c>
      <c s="53" r="CR30">
        <v>9500</v>
      </c>
      <c s="6" r="CS30">
        <v>15831</v>
      </c>
      <c s="6" r="CT30">
        <v>1680641</v>
      </c>
      <c s="6" r="CU30">
        <v>7786</v>
      </c>
      <c s="6" r="CV30">
        <v>200429</v>
      </c>
      <c s="6" r="CW30">
        <v>41371</v>
      </c>
      <c s="6" r="CX30">
        <v>170072</v>
      </c>
      <c s="6" r="CY30">
        <v>66220</v>
      </c>
      <c s="6" r="CZ30">
        <v>3054541</v>
      </c>
      <c s="6" r="DA30">
        <v>76261</v>
      </c>
      <c s="6" r="DB30">
        <v>3425043</v>
      </c>
      <c s="6" r="DC30">
        <v>3155</v>
      </c>
      <c s="6" r="DD30">
        <v>1744379</v>
      </c>
      <c s="6" r="DE30">
        <v>18299</v>
      </c>
      <c s="6" r="DF30">
        <v>164256</v>
      </c>
      <c s="6" r="DG30">
        <v>21222</v>
      </c>
      <c s="6" r="DH30">
        <v>1929666</v>
      </c>
      <c s="6" r="DI30">
        <v>299021</v>
      </c>
      <c s="6" r="DJ30">
        <v>337513</v>
      </c>
      <c s="6" r="DK30">
        <v>104625</v>
      </c>
      <c s="6" r="DL30">
        <v>279520393</v>
      </c>
      <c s="6" r="DM30">
        <v>27657</v>
      </c>
      <c s="6" r="DN30">
        <v>1390197</v>
      </c>
      <c s="6" r="DO30">
        <v>104785</v>
      </c>
      <c s="6" r="DP30">
        <v>77043003</v>
      </c>
      <c s="6" r="DQ30">
        <v>78611</v>
      </c>
      <c s="6" r="DR30">
        <v>2049378</v>
      </c>
      <c s="6" r="DS30">
        <v>104656</v>
      </c>
      <c s="6" r="DT30">
        <v>74993625</v>
      </c>
      <c s="6" r="DU30">
        <v>104656</v>
      </c>
      <c s="47" r="DV30">
        <v>74993996</v>
      </c>
    </row>
    <row customHeight="1" r="31" ht="15.0">
      <c t="s" s="58" r="A31">
        <v>96</v>
      </c>
      <c s="6" r="B31">
        <v>27479</v>
      </c>
      <c s="6" r="C31">
        <v>188113974</v>
      </c>
      <c s="6" r="D31">
        <v>22193</v>
      </c>
      <c s="6" r="E31">
        <v>50822830</v>
      </c>
      <c s="6" r="F31">
        <v>27404</v>
      </c>
      <c s="6" r="G31">
        <v>9974367</v>
      </c>
      <c s="6" r="H31">
        <v>22093</v>
      </c>
      <c s="6" r="I31">
        <v>4529850</v>
      </c>
      <c s="6" r="J31">
        <v>26475</v>
      </c>
      <c s="6" r="K31">
        <v>11333719</v>
      </c>
      <c s="6" r="L31">
        <v>25473</v>
      </c>
      <c s="6" r="M31">
        <v>8257710</v>
      </c>
      <c s="6" r="N31">
        <v>14088</v>
      </c>
      <c s="6" r="O31">
        <v>698619</v>
      </c>
      <c s="6" r="P31">
        <v>38</v>
      </c>
      <c s="6" r="Q31">
        <v>12413</v>
      </c>
      <c s="6" r="R31">
        <v>7144</v>
      </c>
      <c s="6" r="S31">
        <v>1865939</v>
      </c>
      <c s="6" r="T31">
        <v>26766</v>
      </c>
      <c s="6" r="U31">
        <v>75936031</v>
      </c>
      <c s="6" r="V31">
        <v>9648</v>
      </c>
      <c s="6" r="W31">
        <v>288703</v>
      </c>
      <c s="6" r="X31">
        <v>2678</v>
      </c>
      <c s="6" r="Y31">
        <v>314299</v>
      </c>
      <c s="6" r="Z31">
        <v>5056</v>
      </c>
      <c s="6" r="AA31">
        <v>422787</v>
      </c>
      <c s="6" r="AB31">
        <v>12349</v>
      </c>
      <c s="6" r="AC31">
        <v>1739073</v>
      </c>
      <c s="6" r="AD31">
        <v>5023</v>
      </c>
      <c s="6" r="AE31">
        <v>365378</v>
      </c>
      <c s="6" r="AF31">
        <v>311</v>
      </c>
      <c s="6" r="AG31">
        <v>6688</v>
      </c>
      <c s="6" r="AH31">
        <v>23296</v>
      </c>
      <c s="6" r="AI31">
        <v>33147091</v>
      </c>
      <c s="6" r="AJ31">
        <v>3017</v>
      </c>
      <c s="6" r="AK31">
        <v>1369710</v>
      </c>
      <c s="6" r="AL31">
        <v>1080</v>
      </c>
      <c s="6" r="AM31">
        <v>-157613</v>
      </c>
      <c s="6" r="AN31">
        <v>72</v>
      </c>
      <c s="6" r="AO31">
        <v>402</v>
      </c>
      <c s="6" r="AP31">
        <v>5663</v>
      </c>
      <c s="6" r="AQ31">
        <v>133913</v>
      </c>
      <c s="6" r="AR31">
        <v>322</v>
      </c>
      <c s="6" r="AS31">
        <v>24954</v>
      </c>
      <c s="6" r="AT31">
        <v>10059</v>
      </c>
      <c s="6" r="AU31">
        <v>1107173</v>
      </c>
      <c s="6" r="AV31">
        <v>16558</v>
      </c>
      <c s="6" r="AW31">
        <v>1219668</v>
      </c>
      <c s="6" r="AX31">
        <v>20035862</v>
      </c>
      <c s="6" r="AY31">
        <v>27472</v>
      </c>
      <c s="6" r="AZ31">
        <v>3184102</v>
      </c>
      <c s="50" r="BA31">
        <v>6</v>
      </c>
      <c s="50" r="BB31">
        <v>1351</v>
      </c>
      <c s="50" r="BC31">
        <v>6</v>
      </c>
      <c s="50" r="BD31">
        <v>5941</v>
      </c>
      <c s="50" r="BE31">
        <v>6</v>
      </c>
      <c s="50" r="BF31">
        <v>4590</v>
      </c>
      <c s="6" r="BG31">
        <v>27407</v>
      </c>
      <c s="6" r="BH31">
        <v>11124890</v>
      </c>
      <c s="6" r="BI31">
        <v>27272</v>
      </c>
      <c s="6" r="BJ31">
        <v>10131529</v>
      </c>
      <c s="6" r="BK31">
        <v>23387</v>
      </c>
      <c s="6" r="BL31">
        <v>10052353</v>
      </c>
      <c s="6" r="BM31">
        <v>3885</v>
      </c>
      <c s="6" r="BN31">
        <v>79176</v>
      </c>
      <c s="6" r="BO31">
        <v>25999</v>
      </c>
      <c s="6" r="BP31">
        <v>940186</v>
      </c>
      <c s="6" r="BQ31">
        <v>9376</v>
      </c>
      <c s="6" r="BR31">
        <v>14135</v>
      </c>
      <c s="6" r="BS31">
        <v>2635</v>
      </c>
      <c s="6" r="BT31">
        <v>39039</v>
      </c>
      <c s="6" r="BU31">
        <v>23174</v>
      </c>
      <c s="6" r="BV31">
        <v>3284455</v>
      </c>
      <c s="6" r="BW31">
        <v>16256</v>
      </c>
      <c s="6" r="BX31">
        <v>639315</v>
      </c>
      <c s="6" r="BY31">
        <v>15776</v>
      </c>
      <c s="6" r="BZ31">
        <v>614964</v>
      </c>
      <c s="6" r="CA31">
        <v>855</v>
      </c>
      <c s="6" r="CB31">
        <v>24351</v>
      </c>
      <c s="6" r="CC31">
        <v>1564</v>
      </c>
      <c s="6" r="CD31">
        <v>2564</v>
      </c>
      <c s="6" r="CE31">
        <v>0</v>
      </c>
      <c s="6" r="CF31">
        <v>0</v>
      </c>
      <c s="6" r="CG31">
        <v>17480</v>
      </c>
      <c s="6" r="CH31">
        <v>2642575</v>
      </c>
      <c s="6" r="CI31">
        <v>26683</v>
      </c>
      <c s="6" r="CJ31">
        <v>6637191</v>
      </c>
      <c s="6" r="CK31">
        <v>26536</v>
      </c>
      <c s="6" r="CL31">
        <v>3767751</v>
      </c>
      <c s="6" r="CM31">
        <v>12507</v>
      </c>
      <c s="6" r="CN31">
        <v>3699496</v>
      </c>
      <c s="6" r="CO31">
        <v>942</v>
      </c>
      <c s="6" r="CP31">
        <v>1426251</v>
      </c>
      <c s="50" r="CQ31">
        <v>13</v>
      </c>
      <c s="50" r="CR31">
        <v>21769</v>
      </c>
      <c s="6" r="CS31">
        <v>4455</v>
      </c>
      <c s="6" r="CT31">
        <v>1107123</v>
      </c>
      <c s="6" r="CU31">
        <v>1605</v>
      </c>
      <c s="6" r="CV31">
        <v>106711</v>
      </c>
      <c s="6" r="CW31">
        <v>10601</v>
      </c>
      <c s="6" r="CX31">
        <v>76553</v>
      </c>
      <c s="6" r="CY31">
        <v>20020</v>
      </c>
      <c s="6" r="CZ31">
        <v>2048009</v>
      </c>
      <c s="6" r="DA31">
        <v>21756</v>
      </c>
      <c s="6" r="DB31">
        <v>2231273</v>
      </c>
      <c s="6" r="DC31">
        <v>821</v>
      </c>
      <c s="6" r="DD31">
        <v>899156</v>
      </c>
      <c s="6" r="DE31">
        <v>6994</v>
      </c>
      <c s="6" r="DF31">
        <v>94825</v>
      </c>
      <c s="6" r="DG31">
        <v>7726</v>
      </c>
      <c s="6" r="DH31">
        <v>1048479</v>
      </c>
      <c s="6" r="DI31">
        <v>77603</v>
      </c>
      <c s="6" r="DJ31">
        <v>87652</v>
      </c>
      <c s="6" r="DK31">
        <v>27415</v>
      </c>
      <c s="6" r="DL31">
        <v>168189309</v>
      </c>
      <c s="6" r="DM31">
        <v>7756</v>
      </c>
      <c s="6" r="DN31">
        <v>773765</v>
      </c>
      <c s="6" r="DO31">
        <v>27446</v>
      </c>
      <c s="6" r="DP31">
        <v>44283526</v>
      </c>
      <c s="6" r="DQ31">
        <v>21880</v>
      </c>
      <c s="6" r="DR31">
        <v>1248486</v>
      </c>
      <c s="6" r="DS31">
        <v>27409</v>
      </c>
      <c s="6" r="DT31">
        <v>43035040</v>
      </c>
      <c s="6" r="DU31">
        <v>27409</v>
      </c>
      <c s="47" r="DV31">
        <v>43035069</v>
      </c>
    </row>
    <row customHeight="1" r="32" ht="15.0">
      <c t="s" s="58" r="A32">
        <v>97</v>
      </c>
      <c s="6" r="B32">
        <v>18135</v>
      </c>
      <c s="6" r="C32">
        <v>555037847</v>
      </c>
      <c s="6" r="D32">
        <v>14469</v>
      </c>
      <c s="6" r="E32">
        <v>88836758</v>
      </c>
      <c s="6" r="F32">
        <v>18100</v>
      </c>
      <c s="6" r="G32">
        <v>36192450</v>
      </c>
      <c s="6" r="H32">
        <v>15771</v>
      </c>
      <c s="6" r="I32">
        <v>9101780</v>
      </c>
      <c s="6" r="J32">
        <v>17789</v>
      </c>
      <c s="6" r="K32">
        <v>36804932</v>
      </c>
      <c s="6" r="L32">
        <v>17235</v>
      </c>
      <c s="6" r="M32">
        <v>27371862</v>
      </c>
      <c s="6" r="N32">
        <v>9959</v>
      </c>
      <c s="6" r="O32">
        <v>1672948</v>
      </c>
      <c s="6" r="P32">
        <v>17</v>
      </c>
      <c s="6" r="Q32">
        <v>18151</v>
      </c>
      <c s="6" r="R32">
        <v>4783</v>
      </c>
      <c s="6" r="S32">
        <v>2184646</v>
      </c>
      <c s="6" r="T32">
        <v>17925</v>
      </c>
      <c s="6" r="U32">
        <v>310944438</v>
      </c>
      <c s="6" r="V32">
        <v>7821</v>
      </c>
      <c s="6" r="W32">
        <v>2686338</v>
      </c>
      <c s="6" r="X32">
        <v>1632</v>
      </c>
      <c s="6" r="Y32">
        <v>283799</v>
      </c>
      <c s="6" r="Z32">
        <v>3441</v>
      </c>
      <c s="6" r="AA32">
        <v>480448</v>
      </c>
      <c s="6" r="AB32">
        <v>9578</v>
      </c>
      <c s="6" r="AC32">
        <v>2671036</v>
      </c>
      <c s="6" r="AD32">
        <v>3720</v>
      </c>
      <c s="6" r="AE32">
        <v>515053</v>
      </c>
      <c s="6" r="AF32">
        <v>181</v>
      </c>
      <c s="6" r="AG32">
        <v>3814</v>
      </c>
      <c s="6" r="AH32">
        <v>16461</v>
      </c>
      <c s="6" r="AI32">
        <v>65664869</v>
      </c>
      <c s="6" r="AJ32">
        <v>2908</v>
      </c>
      <c s="6" r="AK32">
        <v>3698608</v>
      </c>
      <c s="6" r="AL32">
        <v>817</v>
      </c>
      <c s="6" r="AM32">
        <v>-206394</v>
      </c>
      <c s="6" r="AN32">
        <v>24</v>
      </c>
      <c s="6" r="AO32">
        <v>137</v>
      </c>
      <c s="6" r="AP32">
        <v>3757</v>
      </c>
      <c s="6" r="AQ32">
        <v>92954</v>
      </c>
      <c s="6" r="AR32">
        <v>236</v>
      </c>
      <c s="6" r="AS32">
        <v>18754</v>
      </c>
      <c s="6" r="AT32">
        <v>7921</v>
      </c>
      <c s="6" r="AU32">
        <v>3007902</v>
      </c>
      <c s="6" r="AV32">
        <v>11727</v>
      </c>
      <c s="6" r="AW32">
        <v>1952594</v>
      </c>
      <c s="6" r="AX32">
        <v>65561042</v>
      </c>
      <c s="6" r="AY32">
        <v>18129</v>
      </c>
      <c s="6" r="AZ32">
        <v>8997071</v>
      </c>
      <c s="50" r="BA32">
        <v>0</v>
      </c>
      <c s="50" r="BB32">
        <v>0</v>
      </c>
      <c s="50" r="BC32">
        <v>0</v>
      </c>
      <c s="50" r="BD32">
        <v>0</v>
      </c>
      <c s="50" r="BE32">
        <v>0</v>
      </c>
      <c s="50" r="BF32">
        <v>0</v>
      </c>
      <c s="6" r="BG32">
        <v>18080</v>
      </c>
      <c s="6" r="BH32">
        <v>27794539</v>
      </c>
      <c s="6" r="BI32">
        <v>17983</v>
      </c>
      <c s="6" r="BJ32">
        <v>26566946</v>
      </c>
      <c s="6" r="BK32">
        <v>15770</v>
      </c>
      <c s="6" r="BL32">
        <v>26432597</v>
      </c>
      <c s="6" r="BM32">
        <v>2213</v>
      </c>
      <c s="6" r="BN32">
        <v>134349</v>
      </c>
      <c s="6" r="BO32">
        <v>17244</v>
      </c>
      <c s="6" r="BP32">
        <v>1117388</v>
      </c>
      <c s="6" r="BQ32">
        <v>6325</v>
      </c>
      <c s="6" r="BR32">
        <v>18225</v>
      </c>
      <c s="6" r="BS32">
        <v>1818</v>
      </c>
      <c s="6" r="BT32">
        <v>91981</v>
      </c>
      <c s="6" r="BU32">
        <v>15804</v>
      </c>
      <c s="6" r="BV32">
        <v>10797957</v>
      </c>
      <c s="6" r="BW32">
        <v>9528</v>
      </c>
      <c s="6" r="BX32">
        <v>392001</v>
      </c>
      <c s="6" r="BY32">
        <v>9209</v>
      </c>
      <c s="6" r="BZ32">
        <v>376062</v>
      </c>
      <c s="6" r="CA32">
        <v>486</v>
      </c>
      <c s="6" r="CB32">
        <v>15938</v>
      </c>
      <c s="6" r="CC32">
        <v>795</v>
      </c>
      <c s="6" r="CD32">
        <v>1166</v>
      </c>
      <c s="53" r="CE32">
        <v>3</v>
      </c>
      <c s="53" r="CF32">
        <v>176</v>
      </c>
      <c s="6" r="CG32">
        <v>13510</v>
      </c>
      <c s="6" r="CH32">
        <v>10404614</v>
      </c>
      <c s="6" r="CI32">
        <v>17795</v>
      </c>
      <c s="6" r="CJ32">
        <v>31038050</v>
      </c>
      <c s="6" r="CK32">
        <v>17712</v>
      </c>
      <c s="6" r="CL32">
        <v>15047049</v>
      </c>
      <c s="6" r="CM32">
        <v>9008</v>
      </c>
      <c s="6" r="CN32">
        <v>17772994</v>
      </c>
      <c s="6" r="CO32">
        <v>888</v>
      </c>
      <c s="6" r="CP32">
        <v>8389283</v>
      </c>
      <c s="50" r="CQ32">
        <v>0</v>
      </c>
      <c s="50" r="CR32">
        <v>0</v>
      </c>
      <c s="6" r="CS32">
        <v>2970</v>
      </c>
      <c s="6" r="CT32">
        <v>2491283</v>
      </c>
      <c s="6" r="CU32">
        <v>775</v>
      </c>
      <c s="6" r="CV32">
        <v>92624</v>
      </c>
      <c s="6" r="CW32">
        <v>7105</v>
      </c>
      <c s="6" r="CX32">
        <v>102355</v>
      </c>
      <c s="6" r="CY32">
        <v>15016</v>
      </c>
      <c s="6" r="CZ32">
        <v>5650511</v>
      </c>
      <c s="6" r="DA32">
        <v>15698</v>
      </c>
      <c s="6" r="DB32">
        <v>5845490</v>
      </c>
      <c s="6" r="DC32">
        <v>433</v>
      </c>
      <c s="6" r="DD32">
        <v>2192413</v>
      </c>
      <c s="6" r="DE32">
        <v>6493</v>
      </c>
      <c s="6" r="DF32">
        <v>217609</v>
      </c>
      <c s="6" r="DG32">
        <v>6840</v>
      </c>
      <c s="6" r="DH32">
        <v>2430990</v>
      </c>
      <c s="6" r="DI32">
        <v>51584</v>
      </c>
      <c s="6" r="DJ32">
        <v>58248</v>
      </c>
      <c s="6" r="DK32">
        <v>18111</v>
      </c>
      <c s="6" r="DL32">
        <v>489702733</v>
      </c>
      <c s="6" r="DM32">
        <v>5385</v>
      </c>
      <c s="6" r="DN32">
        <v>1776088</v>
      </c>
      <c s="6" r="DO32">
        <v>18124</v>
      </c>
      <c s="6" r="DP32">
        <v>113884397</v>
      </c>
      <c s="6" r="DQ32">
        <v>15491</v>
      </c>
      <c s="6" r="DR32">
        <v>4281638</v>
      </c>
      <c s="6" r="DS32">
        <v>18105</v>
      </c>
      <c s="6" r="DT32">
        <v>109602759</v>
      </c>
      <c s="6" r="DU32">
        <v>18105</v>
      </c>
      <c s="47" r="DV32">
        <v>109602868</v>
      </c>
    </row>
    <row customHeight="1" r="33" ht="15.0">
      <c t="s" s="37" r="A33">
        <v>98</v>
      </c>
      <c s="10" r="B33">
        <v>43553894</v>
      </c>
      <c s="10" r="C33">
        <v>5962495992</v>
      </c>
      <c s="10" r="D33">
        <v>38293149</v>
      </c>
      <c s="10" r="E33">
        <v>3672210639</v>
      </c>
      <c s="10" r="F33">
        <v>31215828</v>
      </c>
      <c s="10" r="G33">
        <v>181919718</v>
      </c>
      <c s="10" r="H33">
        <v>4158582</v>
      </c>
      <c s="10" r="I33">
        <v>66958615</v>
      </c>
      <c s="10" r="J33">
        <v>17323365</v>
      </c>
      <c s="10" r="K33">
        <v>191414127</v>
      </c>
      <c s="10" r="L33">
        <v>14999906</v>
      </c>
      <c s="10" r="M33">
        <v>129864396</v>
      </c>
      <c s="10" r="N33">
        <v>19690498</v>
      </c>
      <c s="10" r="O33">
        <v>24007436</v>
      </c>
      <c s="10" r="P33">
        <v>212997</v>
      </c>
      <c s="10" r="Q33">
        <v>6175147</v>
      </c>
      <c s="10" r="R33">
        <v>8476649</v>
      </c>
      <c s="10" r="S33">
        <v>184127250</v>
      </c>
      <c s="10" r="T33">
        <v>14902732</v>
      </c>
      <c s="10" r="U33">
        <v>801332369</v>
      </c>
      <c s="10" r="V33">
        <v>988514</v>
      </c>
      <c s="10" r="W33">
        <v>5809571</v>
      </c>
      <c s="10" r="X33">
        <v>4761983</v>
      </c>
      <c s="10" r="Y33">
        <v>94034851</v>
      </c>
      <c s="10" r="Z33">
        <v>10293811</v>
      </c>
      <c s="10" r="AA33">
        <v>262770134</v>
      </c>
      <c s="10" r="AB33">
        <v>3161563</v>
      </c>
      <c s="10" r="AC33">
        <v>59454044</v>
      </c>
      <c s="10" r="AD33">
        <v>3059956</v>
      </c>
      <c s="10" r="AE33">
        <v>35858584</v>
      </c>
      <c s="10" r="AF33">
        <v>247109</v>
      </c>
      <c s="10" r="AG33">
        <v>1932944</v>
      </c>
      <c s="10" r="AH33">
        <v>5096606</v>
      </c>
      <c s="10" r="AI33">
        <v>438624519</v>
      </c>
      <c s="10" r="AJ33">
        <v>380055</v>
      </c>
      <c s="10" r="AK33">
        <v>16450294</v>
      </c>
      <c s="10" r="AL33">
        <v>667887</v>
      </c>
      <c s="10" r="AM33">
        <v>-6649419</v>
      </c>
      <c s="10" r="AN33">
        <v>2212301</v>
      </c>
      <c s="10" r="AO33">
        <v>9694393</v>
      </c>
      <c s="10" r="AP33">
        <v>6962461</v>
      </c>
      <c s="10" r="AQ33">
        <v>95420806</v>
      </c>
      <c s="10" r="AR33">
        <v>59666</v>
      </c>
      <c s="10" r="AS33">
        <v>3887299</v>
      </c>
      <c s="10" r="AT33">
        <v>3393285</v>
      </c>
      <c s="10" r="AU33">
        <v>26386502</v>
      </c>
      <c s="10" r="AV33">
        <v>15051539</v>
      </c>
      <c s="10" r="AW33">
        <v>81993120</v>
      </c>
      <c s="10" r="AX33">
        <v>1161008443</v>
      </c>
      <c s="10" r="AY33">
        <v>7112697</v>
      </c>
      <c s="10" r="AZ33">
        <v>39030094</v>
      </c>
      <c s="10" r="BA33">
        <v>7522310</v>
      </c>
      <c s="10" r="BB33">
        <v>46856284</v>
      </c>
      <c s="10" r="BC33">
        <v>7522310</v>
      </c>
      <c s="10" r="BD33">
        <v>83898109</v>
      </c>
      <c s="10" r="BE33">
        <v>7522310</v>
      </c>
      <c s="10" r="BF33">
        <v>37041824</v>
      </c>
      <c s="10" r="BG33">
        <v>43311141</v>
      </c>
      <c s="10" r="BH33">
        <v>435686274</v>
      </c>
      <c s="10" r="BI33">
        <v>42295203</v>
      </c>
      <c s="10" r="BJ33">
        <v>277852454</v>
      </c>
      <c s="10" r="BK33">
        <v>33218085</v>
      </c>
      <c s="10" r="BL33">
        <v>261833706</v>
      </c>
      <c s="10" r="BM33">
        <v>9077118</v>
      </c>
      <c s="10" r="BN33">
        <v>16018748</v>
      </c>
      <c s="10" r="BO33">
        <v>37997864</v>
      </c>
      <c s="10" r="BP33">
        <v>148184339</v>
      </c>
      <c s="10" r="BQ33">
        <v>19345253</v>
      </c>
      <c s="10" r="BR33">
        <v>7903487</v>
      </c>
      <c s="10" r="BS33">
        <v>2603418</v>
      </c>
      <c s="10" r="BT33">
        <v>1745994</v>
      </c>
      <c s="10" r="BU33">
        <v>35659397</v>
      </c>
      <c s="10" r="BV33">
        <v>440269925</v>
      </c>
      <c s="10" r="BW33">
        <v>35208022</v>
      </c>
      <c s="10" r="BX33">
        <v>411423563</v>
      </c>
      <c s="10" r="BY33">
        <v>34863402</v>
      </c>
      <c s="10" r="BZ33">
        <v>405694851</v>
      </c>
      <c s="10" r="CA33">
        <v>1011734</v>
      </c>
      <c s="10" r="CB33">
        <v>5728711</v>
      </c>
      <c s="10" r="CC33">
        <v>2464840</v>
      </c>
      <c s="10" r="CD33">
        <v>1597873</v>
      </c>
      <c s="10" r="CE33">
        <v>1347727</v>
      </c>
      <c s="10" r="CF33">
        <v>1386855</v>
      </c>
      <c s="10" r="CG33">
        <v>1712727</v>
      </c>
      <c s="10" r="CH33">
        <v>25861635</v>
      </c>
      <c s="10" r="CI33">
        <v>36508984</v>
      </c>
      <c s="10" r="CJ33">
        <v>181990350</v>
      </c>
      <c s="10" r="CK33">
        <v>33879487</v>
      </c>
      <c s="10" r="CL33">
        <v>134250792</v>
      </c>
      <c s="10" r="CM33">
        <v>21496116</v>
      </c>
      <c s="10" r="CN33">
        <v>56216739</v>
      </c>
      <c s="10" r="CO33">
        <v>313197</v>
      </c>
      <c s="10" r="CP33">
        <v>23200956</v>
      </c>
      <c s="10" r="CQ33">
        <v>72632</v>
      </c>
      <c s="10" r="CR33">
        <v>882183</v>
      </c>
      <c s="10" r="CS33">
        <v>10723725</v>
      </c>
      <c s="10" r="CT33">
        <v>73265293</v>
      </c>
      <c s="10" r="CU33">
        <v>14630849</v>
      </c>
      <c s="10" r="CV33">
        <v>71024144</v>
      </c>
      <c s="10" r="CW33">
        <v>20785113</v>
      </c>
      <c s="10" r="CX33">
        <v>5843797</v>
      </c>
      <c s="10" r="CY33">
        <v>8895184</v>
      </c>
      <c s="10" r="CZ33">
        <v>32649852</v>
      </c>
      <c s="10" r="DA33">
        <v>26995886</v>
      </c>
      <c s="10" r="DB33">
        <v>109517793</v>
      </c>
      <c s="10" r="DC33">
        <v>987747</v>
      </c>
      <c s="10" r="DD33">
        <v>18876814</v>
      </c>
      <c s="10" r="DE33">
        <v>513214</v>
      </c>
      <c s="10" r="DF33">
        <v>2089699</v>
      </c>
      <c s="10" r="DG33">
        <v>1482989</v>
      </c>
      <c s="10" r="DH33">
        <v>21088227</v>
      </c>
      <c s="10" r="DI33">
        <v>101904519</v>
      </c>
      <c s="10" r="DJ33">
        <v>330587194</v>
      </c>
      <c s="10" r="DK33">
        <v>43540959</v>
      </c>
      <c s="10" r="DL33">
        <v>4472903903</v>
      </c>
      <c s="10" r="DM33">
        <v>3926424</v>
      </c>
      <c s="10" r="DN33">
        <v>23463271</v>
      </c>
      <c s="10" r="DO33">
        <v>43553894</v>
      </c>
      <c s="10" r="DP33">
        <v>945587724</v>
      </c>
      <c s="10" r="DQ33">
        <v>19433499</v>
      </c>
      <c s="10" r="DR33">
        <v>33596914</v>
      </c>
      <c s="10" r="DS33">
        <v>43553893</v>
      </c>
      <c s="10" r="DT33">
        <v>911990810</v>
      </c>
      <c s="10" r="DU33">
        <v>43553894</v>
      </c>
      <c s="15" r="DV33">
        <v>911991390</v>
      </c>
    </row>
    <row customHeight="1" r="34" ht="15.0">
      <c t="s" s="65" r="A34">
        <v>99</v>
      </c>
      <c s="17" r="B34">
        <v>6990575</v>
      </c>
      <c s="17" r="C34">
        <v>225339918</v>
      </c>
      <c s="17" r="D34">
        <v>5031177</v>
      </c>
      <c s="17" r="E34">
        <v>173413922</v>
      </c>
      <c s="17" r="F34">
        <v>3759165</v>
      </c>
      <c s="17" r="G34">
        <v>10235926</v>
      </c>
      <c s="17" r="H34">
        <v>241929</v>
      </c>
      <c s="17" r="I34">
        <v>2033351</v>
      </c>
      <c s="17" r="J34">
        <v>1600716</v>
      </c>
      <c s="17" r="K34">
        <v>5754599</v>
      </c>
      <c s="17" r="L34">
        <v>1315841</v>
      </c>
      <c s="17" r="M34">
        <v>3205310</v>
      </c>
      <c s="17" r="N34">
        <v>1831597</v>
      </c>
      <c s="17" r="O34">
        <v>1648064</v>
      </c>
      <c s="17" r="P34">
        <v>46782</v>
      </c>
      <c s="17" r="Q34">
        <v>583619</v>
      </c>
      <c s="17" r="R34">
        <v>2199746</v>
      </c>
      <c s="17" r="S34">
        <v>18403645</v>
      </c>
      <c s="17" r="T34">
        <v>1480419</v>
      </c>
      <c s="17" r="U34">
        <v>9261865</v>
      </c>
      <c s="17" r="V34">
        <v>130284</v>
      </c>
      <c s="17" r="W34">
        <v>-364492</v>
      </c>
      <c s="17" r="X34">
        <v>551710</v>
      </c>
      <c s="17" r="Y34">
        <v>4910179</v>
      </c>
      <c s="17" r="Z34">
        <v>1368243</v>
      </c>
      <c s="17" r="AA34">
        <v>14766080</v>
      </c>
      <c s="17" r="AB34">
        <v>440942</v>
      </c>
      <c s="17" r="AC34">
        <v>4573914</v>
      </c>
      <c s="17" r="AD34">
        <v>732196</v>
      </c>
      <c s="17" r="AE34">
        <v>10584611</v>
      </c>
      <c s="17" r="AF34">
        <v>21519</v>
      </c>
      <c s="17" r="AG34">
        <v>67533</v>
      </c>
      <c s="17" r="AH34">
        <v>700508</v>
      </c>
      <c s="17" r="AI34">
        <v>-3435624</v>
      </c>
      <c s="17" r="AJ34">
        <v>26583</v>
      </c>
      <c s="17" r="AK34">
        <v>87499</v>
      </c>
      <c s="17" r="AL34">
        <v>115543</v>
      </c>
      <c s="17" r="AM34">
        <v>-1315457</v>
      </c>
      <c s="17" r="AN34">
        <v>443904</v>
      </c>
      <c s="17" r="AO34">
        <v>1923201</v>
      </c>
      <c s="17" r="AP34">
        <v>578683</v>
      </c>
      <c s="17" r="AQ34">
        <v>3060885</v>
      </c>
      <c s="17" r="AR34">
        <v>18035</v>
      </c>
      <c s="17" r="AS34">
        <v>1285356</v>
      </c>
      <c s="17" r="AT34">
        <v>395990</v>
      </c>
      <c s="17" r="AU34">
        <v>1241952</v>
      </c>
      <c s="17" r="AV34">
        <v>2615310</v>
      </c>
      <c s="17" r="AW34">
        <v>7402785</v>
      </c>
      <c s="17" r="AX34">
        <v>172028099</v>
      </c>
      <c s="17" r="AY34">
        <v>18668</v>
      </c>
      <c s="17" r="AZ34">
        <v>71779</v>
      </c>
      <c s="17" r="BA34">
        <v>2997960</v>
      </c>
      <c s="17" r="BB34">
        <v>29491178</v>
      </c>
      <c s="17" r="BC34">
        <v>2997960</v>
      </c>
      <c s="17" r="BD34">
        <v>35255542</v>
      </c>
      <c s="17" r="BE34">
        <v>2997922</v>
      </c>
      <c s="17" r="BF34">
        <v>5764364</v>
      </c>
      <c s="17" r="BG34">
        <v>6807516</v>
      </c>
      <c s="17" r="BH34">
        <v>30194268</v>
      </c>
      <c s="17" r="BI34">
        <v>6324143</v>
      </c>
      <c s="17" r="BJ34">
        <v>10021167</v>
      </c>
      <c s="17" r="BK34">
        <v>3465184</v>
      </c>
      <c s="17" r="BL34">
        <v>7517435</v>
      </c>
      <c s="17" r="BM34">
        <v>2858959</v>
      </c>
      <c s="17" r="BN34">
        <v>2503732</v>
      </c>
      <c s="17" r="BO34">
        <v>5606558</v>
      </c>
      <c s="17" r="BP34">
        <v>18700636</v>
      </c>
      <c s="17" r="BQ34">
        <v>2717872</v>
      </c>
      <c s="17" r="BR34">
        <v>1303674</v>
      </c>
      <c s="17" r="BS34">
        <v>270725</v>
      </c>
      <c s="17" r="BT34">
        <v>168790</v>
      </c>
      <c s="17" r="BU34">
        <v>5623478</v>
      </c>
      <c s="17" r="BV34">
        <v>84520275</v>
      </c>
      <c s="17" r="BW34">
        <v>5568634</v>
      </c>
      <c s="17" r="BX34">
        <v>80008739</v>
      </c>
      <c s="17" r="BY34">
        <v>5505149</v>
      </c>
      <c s="17" r="BZ34">
        <v>78805858</v>
      </c>
      <c s="17" r="CA34">
        <v>142103</v>
      </c>
      <c s="17" r="CB34">
        <v>1202881</v>
      </c>
      <c s="17" r="CC34">
        <v>336305</v>
      </c>
      <c s="17" r="CD34">
        <v>459465</v>
      </c>
      <c s="17" r="CE34">
        <v>337937</v>
      </c>
      <c s="17" r="CF34">
        <v>459238</v>
      </c>
      <c s="17" r="CG34">
        <v>185810</v>
      </c>
      <c s="17" r="CH34">
        <v>3592832</v>
      </c>
      <c s="17" r="CI34">
        <v>4610049</v>
      </c>
      <c s="17" r="CJ34">
        <v>11613617</v>
      </c>
      <c s="17" r="CK34">
        <v>4177092</v>
      </c>
      <c s="17" r="CL34">
        <v>9575974</v>
      </c>
      <c s="17" r="CM34">
        <v>2357990</v>
      </c>
      <c s="17" r="CN34">
        <v>2530699</v>
      </c>
      <c s="17" r="CO34">
        <v>225725</v>
      </c>
      <c s="17" r="CP34">
        <v>2321612</v>
      </c>
      <c s="17" r="CQ34">
        <v>34843</v>
      </c>
      <c s="17" r="CR34">
        <v>1454835</v>
      </c>
      <c s="17" r="CS34">
        <v>2010677</v>
      </c>
      <c s="17" r="CT34">
        <v>11952689</v>
      </c>
      <c s="17" r="CU34">
        <v>1848520</v>
      </c>
      <c s="17" r="CV34">
        <v>11081650</v>
      </c>
      <c s="17" r="CW34">
        <v>2707923</v>
      </c>
      <c s="17" r="CX34">
        <v>641921</v>
      </c>
      <c s="17" r="CY34">
        <v>1140797</v>
      </c>
      <c s="17" r="CZ34">
        <v>1993724</v>
      </c>
      <c s="17" r="DA34">
        <v>3598411</v>
      </c>
      <c s="17" r="DB34">
        <v>13717295</v>
      </c>
      <c s="17" r="DC34">
        <v>113493</v>
      </c>
      <c s="17" r="DD34">
        <v>2236813</v>
      </c>
      <c s="17" r="DE34">
        <v>94945</v>
      </c>
      <c s="17" r="DF34">
        <v>455209</v>
      </c>
      <c s="17" r="DG34">
        <v>208537</v>
      </c>
      <c s="17" r="DH34">
        <v>2873016</v>
      </c>
      <c s="17" r="DI34">
        <v>20135996</v>
      </c>
      <c s="17" r="DJ34">
        <v>68338956</v>
      </c>
      <c s="17" r="DK34">
        <v>2873324</v>
      </c>
      <c s="17" r="DL34">
        <v>35784790</v>
      </c>
      <c s="17" r="DM34">
        <v>8312</v>
      </c>
      <c s="17" r="DN34">
        <v>7513</v>
      </c>
      <c s="17" r="DO34">
        <v>2879603</v>
      </c>
      <c s="17" r="DP34">
        <v>4203218</v>
      </c>
      <c s="17" r="DQ34">
        <v>2879603</v>
      </c>
      <c s="17" r="DR34">
        <v>4203218</v>
      </c>
      <c s="17" r="DS34">
        <v>0</v>
      </c>
      <c s="17" r="DT34">
        <v>0</v>
      </c>
      <c s="17" r="DU34">
        <v>0</v>
      </c>
      <c s="32" r="DV34">
        <v>0</v>
      </c>
    </row>
    <row r="35">
      <c t="s" s="68" r="A35">
        <v>100</v>
      </c>
      <c s="2" r="B35"/>
      <c s="2" r="C35"/>
      <c s="2" r="D35"/>
      <c s="2" r="E35"/>
      <c s="2" r="F35"/>
      <c s="2" r="G35"/>
      <c s="2" r="H35"/>
      <c s="2" r="I35"/>
      <c s="2" r="J35"/>
      <c s="2" r="K35"/>
      <c s="2" r="L35"/>
      <c s="2" r="M35"/>
      <c s="2" r="N35"/>
      <c s="2" r="O35"/>
      <c s="2" r="P35"/>
      <c s="2" r="Q35"/>
      <c s="2" r="R35"/>
      <c s="2" r="S35"/>
      <c s="2" r="T35"/>
      <c s="2" r="U35"/>
      <c s="2" r="V35"/>
      <c s="2" r="W35"/>
      <c s="2" r="X35"/>
      <c s="2" r="Y35"/>
      <c s="2" r="Z35"/>
      <c s="2" r="AA35"/>
      <c s="2" r="AB35"/>
      <c s="2" r="AC35"/>
      <c s="2" r="AD35"/>
      <c s="2" r="AE35"/>
      <c s="2" r="AF35"/>
      <c s="2" r="AG35"/>
      <c s="2" r="AH35"/>
      <c s="2" r="AI35"/>
      <c s="2" r="AJ35"/>
      <c s="2" r="AK35"/>
      <c s="2" r="AL35"/>
      <c s="2" r="AM35"/>
      <c s="2" r="AN35"/>
      <c s="2" r="AO35"/>
      <c s="2" r="AP35"/>
      <c s="2" r="AQ35"/>
      <c s="2" r="AR35"/>
      <c s="2" r="AS35"/>
      <c s="2" r="AT35"/>
      <c s="2" r="AU35"/>
      <c s="2" r="AV35"/>
      <c s="2" r="AW35"/>
      <c s="2" r="AX35"/>
      <c s="2" r="AY35"/>
      <c s="2" r="AZ35"/>
      <c s="2" r="BA35"/>
      <c s="2" r="BB35"/>
      <c s="2" r="BC35"/>
      <c s="2" r="BD35"/>
      <c s="2" r="BE35"/>
      <c s="2" r="BF35"/>
      <c s="2" r="BG35"/>
      <c s="2" r="BH35"/>
      <c s="2" r="BI35"/>
      <c s="2" r="BJ35"/>
      <c s="2" r="BK35"/>
      <c s="2" r="BL35"/>
      <c s="2" r="BM35"/>
      <c s="2" r="BN35"/>
      <c s="2" r="BO35"/>
      <c s="2" r="BP35"/>
      <c s="2" r="BQ35"/>
      <c s="2" r="BR35"/>
      <c s="2" r="BS35"/>
      <c s="2" r="BT35"/>
      <c s="2" r="BU35"/>
      <c s="2" r="BV35"/>
      <c s="2" r="BW35"/>
      <c s="2" r="BX35"/>
      <c s="2" r="BY35"/>
      <c s="2" r="BZ35"/>
      <c s="2" r="CA35"/>
      <c s="2" r="CB35"/>
      <c s="2" r="CC35"/>
      <c s="2" r="CD35"/>
      <c s="2" r="CE35"/>
      <c s="2" r="CF35"/>
      <c s="2" r="CG35"/>
      <c s="2" r="CH35"/>
      <c s="2" r="CI35"/>
      <c s="2" r="CJ35"/>
      <c s="2" r="CK35"/>
      <c s="2" r="CL35"/>
      <c s="2" r="CM35"/>
      <c s="2" r="CN35"/>
      <c s="2" r="CO35"/>
      <c s="2" r="CP35"/>
      <c s="2" r="CQ35"/>
      <c s="2" r="CR35"/>
      <c s="2" r="CS35"/>
      <c s="2" r="CT35"/>
      <c s="2" r="CU35"/>
      <c s="2" r="CV35"/>
      <c s="2" r="CW35"/>
      <c s="2" r="CX35"/>
      <c s="2" r="CY35"/>
      <c s="2" r="CZ35"/>
      <c s="2" r="DA35"/>
      <c s="2" r="DB35"/>
      <c s="2" r="DC35"/>
      <c s="2" r="DD35"/>
      <c s="2" r="DE35"/>
      <c s="2" r="DF35"/>
      <c s="2" r="DG35"/>
      <c s="2" r="DH35"/>
      <c s="2" r="DI35"/>
      <c s="2" r="DJ35"/>
      <c s="2" r="DK35"/>
      <c s="2" r="DL35"/>
      <c s="2" r="DM35"/>
      <c s="2" r="DN35"/>
      <c s="2" r="DO35"/>
      <c s="2" r="DP35"/>
      <c s="2" r="DQ35"/>
      <c s="2" r="DR35"/>
      <c s="2" r="DS35"/>
      <c s="2" r="DT35"/>
      <c s="2" r="DU35"/>
      <c s="2" r="DV35"/>
    </row>
    <row r="36">
      <c t="s" s="63" r="A36">
        <v>101</v>
      </c>
    </row>
    <row customHeight="1" r="37" ht="20.25">
      <c t="s" s="63" r="A37">
        <v>171</v>
      </c>
    </row>
    <row r="38">
      <c t="s" s="63" r="A38">
        <v>103</v>
      </c>
    </row>
    <row r="39">
      <c t="s" s="63" r="A39">
        <v>172</v>
      </c>
    </row>
    <row r="40">
      <c t="s" s="39" r="I40">
        <v>105</v>
      </c>
    </row>
    <row r="41">
      <c t="s" s="39" r="C41">
        <v>106</v>
      </c>
      <c t="s" s="39" r="D41">
        <v>107</v>
      </c>
      <c t="s" s="39" r="E41">
        <v>108</v>
      </c>
      <c t="s" s="12" r="F41">
        <v>166</v>
      </c>
      <c t="s" s="39" r="G41">
        <v>109</v>
      </c>
      <c t="s" s="39" r="H41">
        <v>110</v>
      </c>
      <c t="s" s="39" r="I41">
        <v>111</v>
      </c>
      <c t="s" s="39" r="J41">
        <v>112</v>
      </c>
      <c t="s" s="39" r="K41">
        <v>113</v>
      </c>
      <c t="s" s="67" r="L41">
        <v>114</v>
      </c>
      <c t="s" s="67" r="M41">
        <v>115</v>
      </c>
      <c t="s" s="67" r="N41">
        <v>116</v>
      </c>
      <c t="s" s="67" r="O41">
        <v>117</v>
      </c>
      <c t="s" s="39" r="P41">
        <v>118</v>
      </c>
      <c t="s" s="67" r="Q41">
        <v>119</v>
      </c>
      <c t="s" s="67" r="R41">
        <v>120</v>
      </c>
      <c t="s" s="67" r="S41">
        <v>121</v>
      </c>
      <c t="s" s="67" r="T41">
        <v>122</v>
      </c>
      <c t="s" s="67" r="U41">
        <v>123</v>
      </c>
      <c t="s" s="67" r="V41">
        <v>124</v>
      </c>
      <c t="s" s="67" r="W41">
        <v>125</v>
      </c>
      <c t="s" s="67" r="X41">
        <v>126</v>
      </c>
      <c t="s" s="67" r="Y41">
        <v>127</v>
      </c>
      <c t="s" s="67" r="Z41">
        <v>128</v>
      </c>
      <c t="s" s="67" r="AA41">
        <v>129</v>
      </c>
      <c t="s" s="67" r="AB41">
        <v>130</v>
      </c>
      <c t="s" s="67" r="AC41">
        <v>131</v>
      </c>
      <c t="s" s="67" r="AD41">
        <v>132</v>
      </c>
      <c t="s" s="67" r="AE41">
        <v>31</v>
      </c>
      <c t="s" s="67" r="AG41">
        <v>133</v>
      </c>
      <c t="s" s="67" r="AH41">
        <v>134</v>
      </c>
      <c t="s" s="67" r="AI41">
        <v>135</v>
      </c>
      <c t="s" s="67" r="AJ41">
        <v>136</v>
      </c>
      <c t="s" s="67" r="AK41">
        <v>137</v>
      </c>
      <c t="s" s="67" r="AL41">
        <v>138</v>
      </c>
      <c t="s" s="67" r="AM41">
        <v>139</v>
      </c>
    </row>
    <row r="42">
      <c t="str" s="38" r="B42">
        <f>A10</f>
        <v>All returns, total</v>
      </c>
      <c s="3" r="C42">
        <f>(C10/B10)*1000</f>
        <v>122423.598684485</v>
      </c>
      <c s="3" r="D42">
        <f>SUM(G42:H42,J42,L42:AC42)</f>
        <v>122254.050561812</v>
      </c>
      <c s="3" r="E42">
        <f>D42-C42</f>
        <v>-169.548122672975</v>
      </c>
      <c s="55" r="F42">
        <f>E42/C42</f>
        <v>-0.001384930066547</v>
      </c>
      <c s="3" r="G42">
        <f>(E10/B10)*1000</f>
        <v>76083.9823031085</v>
      </c>
      <c s="3" r="H42">
        <f>(G10/B10)*1000</f>
        <v>3801.71449023009</v>
      </c>
      <c s="3" r="I42">
        <f>(I10/B10)*1000</f>
        <v>1364.97553540476</v>
      </c>
      <c s="3" r="J42">
        <f>(K10/B10)*1000</f>
        <v>3900.89610198702</v>
      </c>
      <c s="3" r="K42">
        <f>(M10/B10)*1000</f>
        <v>2632.72532089069</v>
      </c>
      <c s="49" r="L42">
        <f>(O10/B10)*1000</f>
        <v>507.582728634804</v>
      </c>
      <c s="49" r="M42">
        <f>(Q10/B10)*1000</f>
        <v>133.719198163518</v>
      </c>
      <c s="49" r="N42">
        <f>(S10/B10)*1000</f>
        <v>4006.98426553884</v>
      </c>
      <c s="49" r="O42">
        <f>(U10/B10)*1000</f>
        <v>16037.248664394</v>
      </c>
      <c s="3" r="P42">
        <f>(W10/B10)*1000</f>
        <v>107.728501258397</v>
      </c>
      <c s="49" r="Q42">
        <f>(Y10/B10)*1000</f>
        <v>1957.58368818587</v>
      </c>
      <c s="49" r="R42">
        <f>(AA10/B10)*1000</f>
        <v>5490.93133234951</v>
      </c>
      <c s="49" r="S42">
        <f>(AC10/B10)*1000</f>
        <v>1266.76485083334</v>
      </c>
      <c s="49" r="T42">
        <f>(-AE10/B10)*1000</f>
        <v>-918.858106534701</v>
      </c>
      <c s="49" r="U42">
        <f>(AG10/B10)*1000</f>
        <v>39.5785533016767</v>
      </c>
      <c s="49" r="V42">
        <f>(AI10/B10)*1000</f>
        <v>8610.01994876987</v>
      </c>
      <c s="49" r="W42">
        <f>(AK10/B10)*1000</f>
        <v>327.1929253586</v>
      </c>
      <c s="49" r="X42">
        <f>(AM10/B10)*1000</f>
        <v>-157.581551453601</v>
      </c>
      <c s="49" r="Y42">
        <f>(AO10/B10)*1000</f>
        <v>229.848962705515</v>
      </c>
      <c s="49" r="Z42">
        <f>(AQ10/B10)*1000</f>
        <v>1948.41675063563</v>
      </c>
      <c s="49" r="AA42">
        <f>(AS10/B10)*1000</f>
        <v>102.338693036053</v>
      </c>
      <c s="49" r="AB42">
        <f>(AU10/B10)*1000</f>
        <v>546.61673176116</v>
      </c>
      <c s="49" r="AC42">
        <f>(-AW10/B10)*1000</f>
        <v>-1768.65847045186</v>
      </c>
      <c s="49" r="AD42">
        <f>(AX10/B10)*1000</f>
        <v>26373.5388263048</v>
      </c>
      <c s="49" r="AE42">
        <f>(DJ10/B10)*1000</f>
        <v>7892.57756585438</v>
      </c>
      <c s="49" r="AG42">
        <f>(DL10/B10)*1000</f>
        <v>89202.4130829743</v>
      </c>
      <c s="49" r="AH42">
        <f>(DN10/B10)*1000</f>
        <v>464.359107930106</v>
      </c>
      <c s="49" r="AI42">
        <f>(DP10/B10)*1000</f>
        <v>18791.1940119265</v>
      </c>
      <c s="49" r="AJ42">
        <f>(DR10/B10)*1000</f>
        <v>747.858905237309</v>
      </c>
      <c s="49" r="AK42">
        <f>(DT10/B10)*1000</f>
        <v>18043.3351066892</v>
      </c>
      <c s="49" r="AL42">
        <f>(DV10/B10)*1000</f>
        <v>18043.3465817329</v>
      </c>
      <c s="48" r="AM42">
        <f>AL42/C42</f>
        <v>0.147384546571245</v>
      </c>
    </row>
    <row r="43">
      <c t="str" s="38" r="B43">
        <f>A11</f>
        <v>    Under $5,000</v>
      </c>
      <c s="3" r="C43">
        <f>(C11/B11)*1000</f>
        <v>2613.53855809939</v>
      </c>
      <c s="3" r="D43">
        <f>SUM(G43:H43,J43,L43:AC43)</f>
        <v>4701.26081309223</v>
      </c>
      <c s="3" r="E43">
        <f>D43-C43</f>
        <v>2087.72225499284</v>
      </c>
      <c s="55" r="F43">
        <f>E43/C43</f>
        <v>0.798810581356436</v>
      </c>
      <c s="3" r="G43">
        <f>(E11/B11)*1000</f>
        <v>4283.27177946377</v>
      </c>
      <c s="3" r="H43">
        <f>(G11/B11)*1000</f>
        <v>746.83779707854</v>
      </c>
      <c s="3" r="I43">
        <f>(I11/B11)*1000</f>
        <v>260.182540397451</v>
      </c>
      <c s="3" r="J43">
        <f>(K11/B11)*1000</f>
        <v>487.271279671532</v>
      </c>
      <c s="3" r="K43">
        <f>(M11/B11)*1000</f>
        <v>202.982481119767</v>
      </c>
      <c s="49" r="L43">
        <f>(O11/B11)*1000</f>
        <v>84.4183958412637</v>
      </c>
      <c s="49" r="M43">
        <f>(Q11/B11)*1000</f>
        <v>0</v>
      </c>
      <c s="49" r="N43">
        <f>(S11/B11)*1000</f>
        <v>1335.21530294093</v>
      </c>
      <c s="49" r="O43">
        <f>(U11/B11)*1000</f>
        <v>115.170147293422</v>
      </c>
      <c s="3" r="P43">
        <f>(W11/B11)*1000</f>
        <v>-61.3407798502367</v>
      </c>
      <c s="49" r="Q43">
        <f>(Y11/B11)*1000</f>
        <v>537.907207178411</v>
      </c>
      <c s="49" r="R43">
        <f>(AA11/B11)*1000</f>
        <v>610.780983486516</v>
      </c>
      <c s="49" r="S43">
        <f>(AC11/B11)*1000</f>
        <v>309.01979700299</v>
      </c>
      <c s="49" r="T43">
        <f>(-AE11/B11)*1000</f>
        <v>-1697.92789625243</v>
      </c>
      <c s="49" r="U43">
        <f>(AG11/B11)*1000</f>
        <v>60.5823741874744</v>
      </c>
      <c s="49" r="V43">
        <f>(AI11/B11)*1000</f>
        <v>-1624.43809695388</v>
      </c>
      <c s="49" r="W43">
        <f>(AK11/B11)*1000</f>
        <v>1.08675753974365</v>
      </c>
      <c s="49" r="X43">
        <f>(AM11/B11)*1000</f>
        <v>-157.911100908634</v>
      </c>
      <c s="49" r="Y43">
        <f>(AO11/B11)*1000</f>
        <v>120.679484981534</v>
      </c>
      <c s="49" r="Z43">
        <f>(AQ11/B11)*1000</f>
        <v>30.8563591297804</v>
      </c>
      <c s="49" r="AA43">
        <f>(AS11/B11)*1000</f>
        <v>448.333977445422</v>
      </c>
      <c s="49" r="AB43">
        <f>(AU11/B11)*1000</f>
        <v>145.256477685148</v>
      </c>
      <c s="49" r="AC43">
        <f>(-AW11/B11)*1000</f>
        <v>-1073.80943386906</v>
      </c>
      <c s="49" r="AD43">
        <f>(AX11/B11)*1000</f>
        <v>16694.6734351708</v>
      </c>
      <c s="49" r="AE43">
        <f>(DJ11/B11)*1000</f>
        <v>5575.82167877888</v>
      </c>
      <c s="49" r="AG43">
        <f>(DL11/B11)*1000</f>
        <v>54.7330615470894</v>
      </c>
      <c s="49" r="AH43">
        <f>(DN11/B11)*1000</f>
        <v>2.78953806993023</v>
      </c>
      <c s="49" r="AI43">
        <f>(DP11/B11)*1000</f>
        <v>9.81278131474416</v>
      </c>
      <c s="49" r="AJ43">
        <f>(DR11/B11)*1000</f>
        <v>1.56039785786722</v>
      </c>
      <c s="49" r="AK43">
        <f>(DT11/B11)*1000</f>
        <v>8.25528922569978</v>
      </c>
      <c s="49" r="AL43">
        <f>(DV11/B11)*1000</f>
        <v>8.25528922569978</v>
      </c>
      <c s="48" r="AM43">
        <f>AL43/C43</f>
        <v>0.003158663644015</v>
      </c>
    </row>
    <row r="44">
      <c t="str" s="38" r="B44">
        <f>A12</f>
        <v>    $5,000 under $10,000</v>
      </c>
      <c s="3" r="C44">
        <f>(C12/B12)*1000</f>
        <v>7727.09134221056</v>
      </c>
      <c s="3" r="D44">
        <f>SUM(G44:H44,J44,L44:AC44)</f>
        <v>9040.21853090743</v>
      </c>
      <c s="3" r="E44">
        <f>D44-C44</f>
        <v>1313.12718869687</v>
      </c>
      <c s="55" r="F44">
        <f>E44/C44</f>
        <v>0.169938095790805</v>
      </c>
      <c s="3" r="G44">
        <f>(E12/B12)*1000</f>
        <v>4807.1557460648</v>
      </c>
      <c s="3" r="H44">
        <f>(G12/B12)*1000</f>
        <v>1157.01916424766</v>
      </c>
      <c s="3" r="I44">
        <f>(I12/B12)*1000</f>
        <v>110.971834903608</v>
      </c>
      <c s="3" r="J44">
        <f>(K12/B12)*1000</f>
        <v>538.620915918379</v>
      </c>
      <c s="3" r="K44">
        <f>(M12/B12)*1000</f>
        <v>247.510858789379</v>
      </c>
      <c s="49" r="L44">
        <f>(O12/B12)*1000</f>
        <v>59.612792331448</v>
      </c>
      <c s="49" r="M44">
        <f>(Q12/B12)*1000</f>
        <v>22.5449150910427</v>
      </c>
      <c s="49" r="N44">
        <f>(S12/B12)*1000</f>
        <v>1771.47864973005</v>
      </c>
      <c s="49" r="O44">
        <f>(U12/B12)*1000</f>
        <v>390.939597315436</v>
      </c>
      <c s="3" r="P44">
        <f>(W12/B12)*1000</f>
        <v>-120.120676989352</v>
      </c>
      <c s="49" r="Q44">
        <f>(Y12/B12)*1000</f>
        <v>598.656291678851</v>
      </c>
      <c s="49" r="R44">
        <f>(AA12/B12)*1000</f>
        <v>1949.42371745038</v>
      </c>
      <c s="49" r="S44">
        <f>(AC12/B12)*1000</f>
        <v>450.9250476075</v>
      </c>
      <c s="49" r="T44">
        <f>(-AE12/B12)*1000</f>
        <v>-1419.50944661184</v>
      </c>
      <c s="49" r="U44">
        <f>(AG12/B12)*1000</f>
        <v>36.0675848198047</v>
      </c>
      <c s="49" r="V44">
        <f>(AI12/B12)*1000</f>
        <v>-670.176308225578</v>
      </c>
      <c s="49" r="W44">
        <f>(AK12/B12)*1000</f>
        <v>16.3184959596032</v>
      </c>
      <c s="49" r="X44">
        <f>(AM12/B12)*1000</f>
        <v>-295.14332175538</v>
      </c>
      <c s="49" r="Y44">
        <f>(AO12/B12)*1000</f>
        <v>139.74851828342</v>
      </c>
      <c s="49" r="Z44">
        <f>(AQ12/B12)*1000</f>
        <v>77.4664964445934</v>
      </c>
      <c s="49" r="AA44">
        <f>(AS12/B12)*1000</f>
        <v>298.465148456946</v>
      </c>
      <c s="49" r="AB44">
        <f>(AU12/B12)*1000</f>
        <v>133.491787260447</v>
      </c>
      <c s="49" r="AC44">
        <f>(-AW12/B12)*1000</f>
        <v>-902.766584170774</v>
      </c>
      <c s="49" r="AD44">
        <f>(AX12/B12)*1000</f>
        <v>15486.1902588279</v>
      </c>
      <c s="49" r="AE44">
        <f>(DJ12/B12)*1000</f>
        <v>5294.52281950517</v>
      </c>
      <c s="49" r="AG44">
        <f>(DL12/B12)*1000</f>
        <v>155.63908165667</v>
      </c>
      <c s="49" r="AH44">
        <f>(DN12/B12)*1000</f>
        <v>0.490339421863076</v>
      </c>
      <c s="49" r="AI44">
        <f>(DP12/B12)*1000</f>
        <v>18.5901047721616</v>
      </c>
      <c s="49" r="AJ44">
        <f>(DR12/B12)*1000</f>
        <v>1.22495702843612</v>
      </c>
      <c s="49" r="AK44">
        <f>(DT12/B12)*1000</f>
        <v>17.3651477437254</v>
      </c>
      <c s="49" r="AL44">
        <f>(DV12/B12)*1000</f>
        <v>17.3651477437254</v>
      </c>
      <c s="48" r="AM44">
        <f>AL44/C44</f>
        <v>0.002247307165746</v>
      </c>
    </row>
    <row r="45">
      <c t="str" s="38" r="B45">
        <f>A13</f>
        <v>    $10,000 under $15,000</v>
      </c>
      <c s="3" r="C45">
        <f>(C13/B13)*1000</f>
        <v>12621.3802038723</v>
      </c>
      <c s="3" r="D45">
        <f>SUM(G45:H45,J45,L45:AC45)</f>
        <v>12942.8629936578</v>
      </c>
      <c s="3" r="E45">
        <f>D45-C45</f>
        <v>321.482789785518</v>
      </c>
      <c s="55" r="F45">
        <f>E45/C45</f>
        <v>0.025471286388068</v>
      </c>
      <c s="3" r="G45">
        <f>(E13/B13)*1000</f>
        <v>6342.65368689047</v>
      </c>
      <c s="3" r="H45">
        <f>(G13/B13)*1000</f>
        <v>1243.57853532519</v>
      </c>
      <c s="3" r="I45">
        <f>(I13/B13)*1000</f>
        <v>137.962301153648</v>
      </c>
      <c s="3" r="J45">
        <f>(K13/B13)*1000</f>
        <v>641.613847719974</v>
      </c>
      <c s="3" r="K45">
        <f>(M13/B13)*1000</f>
        <v>302.922812468619</v>
      </c>
      <c s="49" r="L45">
        <f>(O13/B13)*1000</f>
        <v>81.3766202568783</v>
      </c>
      <c s="49" r="M45">
        <f>(Q13/B13)*1000</f>
        <v>44.3029375801145</v>
      </c>
      <c s="49" r="N45">
        <f>(S13/B13)*1000</f>
        <v>1787.00525925095</v>
      </c>
      <c s="49" r="O45">
        <f>(U13/B13)*1000</f>
        <v>388.500335717816</v>
      </c>
      <c s="3" r="P45">
        <f>(W13/B13)*1000</f>
        <v>-106.113411582166</v>
      </c>
      <c s="49" r="Q45">
        <f>(Y13/B13)*1000</f>
        <v>766.090334674236</v>
      </c>
      <c s="49" r="R45">
        <f>(AA13/B13)*1000</f>
        <v>3282.34163668835</v>
      </c>
      <c s="49" r="S45">
        <f>(AC13/B13)*1000</f>
        <v>440.501154829906</v>
      </c>
      <c s="49" r="T45">
        <f>(-AE13/B13)*1000</f>
        <v>-957.703493237403</v>
      </c>
      <c s="49" r="U45">
        <f>(AG13/B13)*1000</f>
        <v>9.55072883254868</v>
      </c>
      <c s="49" r="V45">
        <f>(AI13/B13)*1000</f>
        <v>-513.420836557603</v>
      </c>
      <c s="49" r="W45">
        <f>(AK13/B13)*1000</f>
        <v>7.07862491557829</v>
      </c>
      <c s="49" r="X45">
        <f>(AM13/B13)*1000</f>
        <v>-215.601722498213</v>
      </c>
      <c s="49" r="Y45">
        <f>(AO13/B13)*1000</f>
        <v>179.259530546383</v>
      </c>
      <c s="49" r="Z45">
        <f>(AQ13/B13)*1000</f>
        <v>56.6162006982143</v>
      </c>
      <c s="49" r="AA45">
        <f>(AS13/B13)*1000</f>
        <v>42.57020046587</v>
      </c>
      <c s="49" r="AB45">
        <f>(AU13/B13)*1000</f>
        <v>131.38282266814</v>
      </c>
      <c s="49" r="AC45">
        <f>(-AW13/B13)*1000</f>
        <v>-708.719999527435</v>
      </c>
      <c s="49" r="AD45">
        <f>(AX13/B13)*1000</f>
        <v>15129.9562680781</v>
      </c>
      <c s="49" r="AE45">
        <f>(DJ13/B13)*1000</f>
        <v>5252.08371483085</v>
      </c>
      <c s="49" r="AG45">
        <f>(DL13/B13)*1000</f>
        <v>604.787276983935</v>
      </c>
      <c s="49" r="AH45">
        <f>(DN13/B13)*1000</f>
        <v>0.630086223361628</v>
      </c>
      <c s="49" r="AI45">
        <f>(DP13/B13)*1000</f>
        <v>60.9569040713415</v>
      </c>
      <c s="49" r="AJ45">
        <f>(DR13/B13)*1000</f>
        <v>8.69420537266646</v>
      </c>
      <c s="49" r="AK45">
        <f>(DT13/B13)*1000</f>
        <v>52.262698698675</v>
      </c>
      <c s="49" r="AL45">
        <f>(DV13/B13)*1000</f>
        <v>52.262698698675</v>
      </c>
      <c s="48" r="AM45">
        <f>AL45/C45</f>
        <v>0.00414080693668</v>
      </c>
    </row>
    <row r="46">
      <c t="str" s="38" r="B46">
        <f>A14</f>
        <v>    $15,000 under $20,000</v>
      </c>
      <c s="3" r="C46">
        <f>(C14/B14)*1000</f>
        <v>17659.4091743677</v>
      </c>
      <c s="3" r="D46">
        <f>SUM(G46:H46,J46,L46:AC46)</f>
        <v>18015.5847706168</v>
      </c>
      <c s="3" r="E46">
        <f>D46-C46</f>
        <v>356.175596249162</v>
      </c>
      <c s="55" r="F46">
        <f>E46/C46</f>
        <v>0.02016916833017</v>
      </c>
      <c s="3" r="G46">
        <f>(E14/B14)*1000</f>
        <v>9796.93036692195</v>
      </c>
      <c s="3" r="H46">
        <f>(G14/B14)*1000</f>
        <v>1384.92712798824</v>
      </c>
      <c s="3" r="I46">
        <f>(I14/B14)*1000</f>
        <v>195.668525669669</v>
      </c>
      <c s="3" r="J46">
        <f>(K14/B14)*1000</f>
        <v>782.335981020424</v>
      </c>
      <c s="3" r="K46">
        <f>(M14/B14)*1000</f>
        <v>399.649408606835</v>
      </c>
      <c s="49" r="L46">
        <f>(O14/B14)*1000</f>
        <v>95.5693273297422</v>
      </c>
      <c s="49" r="M46">
        <f>(Q14/B14)*1000</f>
        <v>107.283684071273</v>
      </c>
      <c s="49" r="N46">
        <f>(S14/B14)*1000</f>
        <v>1811.34809824552</v>
      </c>
      <c s="49" r="O46">
        <f>(U14/B14)*1000</f>
        <v>603.12590675356</v>
      </c>
      <c s="3" r="P46">
        <f>(W14/B14)*1000</f>
        <v>49.3082094819545</v>
      </c>
      <c s="49" r="Q46">
        <f>(Y14/B14)*1000</f>
        <v>903.733646462232</v>
      </c>
      <c s="49" r="R46">
        <f>(AA14/B14)*1000</f>
        <v>3491.43385165332</v>
      </c>
      <c s="49" r="S46">
        <f>(AC14/B14)*1000</f>
        <v>571.813283305183</v>
      </c>
      <c s="49" r="T46">
        <f>(-AE14/B14)*1000</f>
        <v>-1029.17758101531</v>
      </c>
      <c s="49" r="U46">
        <f>(AG14/B14)*1000</f>
        <v>24.4174995143997</v>
      </c>
      <c s="49" r="V46">
        <f>(AI14/B14)*1000</f>
        <v>-266.579751548525</v>
      </c>
      <c s="49" r="W46">
        <f>(AK14/B14)*1000</f>
        <v>3.12462780638978</v>
      </c>
      <c s="49" r="X46">
        <f>(AM14/B14)*1000</f>
        <v>-173.398058718063</v>
      </c>
      <c s="49" r="Y46">
        <f>(AO14/B14)*1000</f>
        <v>240.87051539173</v>
      </c>
      <c s="49" r="Z46">
        <f>(AQ14/B14)*1000</f>
        <v>150.174776124294</v>
      </c>
      <c s="49" r="AA46">
        <f>(AS14/B14)*1000</f>
        <v>116.598416183798</v>
      </c>
      <c s="49" r="AB46">
        <f>(AU14/B14)*1000</f>
        <v>62.0705035614682</v>
      </c>
      <c s="49" r="AC46">
        <f>(-AW14/B14)*1000</f>
        <v>-710.325659916756</v>
      </c>
      <c s="49" r="AD46">
        <f>(AX14/B14)*1000</f>
        <v>15318.4330659002</v>
      </c>
      <c s="49" r="AE46">
        <f>(DJ14/B14)*1000</f>
        <v>5560.55615017717</v>
      </c>
      <c s="49" r="AG46">
        <f>(DL14/B14)*1000</f>
        <v>2373.95296192175</v>
      </c>
      <c s="49" r="AH46">
        <f>(DN14/B14)*1000</f>
        <v>0.868085392105219</v>
      </c>
      <c s="49" r="AI46">
        <f>(DP14/B14)*1000</f>
        <v>234.140055905978</v>
      </c>
      <c s="49" r="AJ46">
        <f>(DR14/B14)*1000</f>
        <v>27.9969529083658</v>
      </c>
      <c s="49" r="AK46">
        <f>(DT14/B14)*1000</f>
        <v>206.142303655631</v>
      </c>
      <c s="49" r="AL46">
        <f>(DV14/B14)*1000</f>
        <v>206.142303655631</v>
      </c>
      <c s="48" r="AM46">
        <f>AL46/C46</f>
        <v>0.011673227661254</v>
      </c>
    </row>
    <row r="47">
      <c t="str" s="38" r="B47">
        <f>A15</f>
        <v>    $20,000 under $25,000</v>
      </c>
      <c s="3" r="C47">
        <f>(C15/B15)*1000</f>
        <v>22557.5673747367</v>
      </c>
      <c s="3" r="D47">
        <f>SUM(G47:H47,J47,L47:AC47)</f>
        <v>22920.0813210011</v>
      </c>
      <c s="3" r="E47">
        <f>D47-C47</f>
        <v>362.513946264378</v>
      </c>
      <c s="55" r="F47">
        <f>E47/C47</f>
        <v>0.01607061347716</v>
      </c>
      <c s="3" r="G47">
        <f>(E15/B15)*1000</f>
        <v>14606.7368922216</v>
      </c>
      <c s="3" r="H47">
        <f>(G15/B15)*1000</f>
        <v>1054.63720558931</v>
      </c>
      <c s="3" r="I47">
        <f>(I15/B15)*1000</f>
        <v>208.590967267066</v>
      </c>
      <c s="3" r="J47">
        <f>(K15/B15)*1000</f>
        <v>640.973389398855</v>
      </c>
      <c s="3" r="K47">
        <f>(M15/B15)*1000</f>
        <v>345.180560942525</v>
      </c>
      <c s="49" r="L47">
        <f>(O15/B15)*1000</f>
        <v>120.848699021316</v>
      </c>
      <c s="49" r="M47">
        <f>(Q15/B15)*1000</f>
        <v>108.461748415205</v>
      </c>
      <c s="49" r="N47">
        <f>(S15/B15)*1000</f>
        <v>2107.5820478144</v>
      </c>
      <c s="49" r="O47">
        <f>(U15/B15)*1000</f>
        <v>551.423835781925</v>
      </c>
      <c s="3" r="P47">
        <f>(W15/B15)*1000</f>
        <v>-46.4934764659568</v>
      </c>
      <c s="49" r="Q47">
        <f>(Y15/B15)*1000</f>
        <v>968.770628671262</v>
      </c>
      <c s="49" r="R47">
        <f>(AA15/B15)*1000</f>
        <v>3325.36540751822</v>
      </c>
      <c s="49" r="S47">
        <f>(AC15/B15)*1000</f>
        <v>403.325623982034</v>
      </c>
      <c s="49" r="T47">
        <f>(-AE15/B15)*1000</f>
        <v>-837.294380245454</v>
      </c>
      <c s="49" r="U47">
        <f>(AG15/B15)*1000</f>
        <v>20.1558150877546</v>
      </c>
      <c s="49" r="V47">
        <f>(AI15/B15)*1000</f>
        <v>-233.381969968417</v>
      </c>
      <c s="49" r="W47">
        <f>(AK15/B15)*1000</f>
        <v>18.586582445253</v>
      </c>
      <c s="49" r="X47">
        <f>(AM15/B15)*1000</f>
        <v>-167.282662305103</v>
      </c>
      <c s="49" r="Y47">
        <f>(AO15/B15)*1000</f>
        <v>360.781223385808</v>
      </c>
      <c s="49" r="Z47">
        <f>(AQ15/B15)*1000</f>
        <v>395.926151665582</v>
      </c>
      <c s="49" r="AA47">
        <f>(AS15/B15)*1000</f>
        <v>188.14921528107</v>
      </c>
      <c s="49" r="AB47">
        <f>(AU15/B15)*1000</f>
        <v>97.8027322707152</v>
      </c>
      <c s="49" r="AC47">
        <f>(-AW15/B15)*1000</f>
        <v>-764.993388564303</v>
      </c>
      <c s="49" r="AD47">
        <f>(AX15/B15)*1000</f>
        <v>15296.6821058911</v>
      </c>
      <c s="49" r="AE47">
        <f>(DJ15/B15)*1000</f>
        <v>6018.74938862176</v>
      </c>
      <c s="49" r="AG47">
        <f>(DL15/B15)*1000</f>
        <v>4714.07336265213</v>
      </c>
      <c s="49" r="AH47">
        <f>(DN15/B15)*1000</f>
        <v>0.502783780400462</v>
      </c>
      <c s="49" r="AI47">
        <f>(DP15/B15)*1000</f>
        <v>503.107340574788</v>
      </c>
      <c s="49" r="AJ47">
        <f>(DR15/B15)*1000</f>
        <v>78.0272543011955</v>
      </c>
      <c s="49" r="AK47">
        <f>(DT15/B15)*1000</f>
        <v>425.080086273592</v>
      </c>
      <c s="49" r="AL47">
        <f>(DV15/B15)*1000</f>
        <v>425.080086273592</v>
      </c>
      <c s="48" r="AM47">
        <f>AL47/C47</f>
        <v>0.018844234363217</v>
      </c>
    </row>
    <row r="48">
      <c t="str" s="38" r="B48">
        <f>A16</f>
        <v>    $25,000 under $30,000</v>
      </c>
      <c s="3" r="C48">
        <f>(C16/B16)*1000</f>
        <v>27597.0065210294</v>
      </c>
      <c s="3" r="D48">
        <f>SUM(G48:H48,J48,L48:AC48)</f>
        <v>27681.5008691916</v>
      </c>
      <c s="3" r="E48">
        <f>D48-C48</f>
        <v>84.4943481621449</v>
      </c>
      <c s="55" r="F48">
        <f>E48/C48</f>
        <v>0.003061721498589</v>
      </c>
      <c s="3" r="G48">
        <f>(E16/B16)*1000</f>
        <v>19934.689811624</v>
      </c>
      <c s="3" r="H48">
        <f>(G16/B16)*1000</f>
        <v>850.819942016692</v>
      </c>
      <c s="3" r="I48">
        <f>(I16/B16)*1000</f>
        <v>125.477776320599</v>
      </c>
      <c s="3" r="J48">
        <f>(K16/B16)*1000</f>
        <v>567.938969638288</v>
      </c>
      <c s="3" r="K48">
        <f>(M16/B16)*1000</f>
        <v>315.095471553858</v>
      </c>
      <c s="49" r="L48">
        <f>(O16/B16)*1000</f>
        <v>143.72772958237</v>
      </c>
      <c s="49" r="M48">
        <f>(Q16/B16)*1000</f>
        <v>131.69019390087</v>
      </c>
      <c s="49" r="N48">
        <f>(S16/B16)*1000</f>
        <v>1600.38004458967</v>
      </c>
      <c s="49" r="O48">
        <f>(U16/B16)*1000</f>
        <v>394.322770028378</v>
      </c>
      <c s="3" r="P48">
        <f>(W16/B16)*1000</f>
        <v>-10.5670254116452</v>
      </c>
      <c s="49" r="Q48">
        <f>(Y16/B16)*1000</f>
        <v>764.937119641497</v>
      </c>
      <c s="49" r="R48">
        <f>(AA16/B16)*1000</f>
        <v>3280.64646645032</v>
      </c>
      <c s="49" r="S48">
        <f>(AC16/B16)*1000</f>
        <v>320.524361081425</v>
      </c>
      <c s="49" r="T48">
        <f>(-AE16/B16)*1000</f>
        <v>-721.617617103681</v>
      </c>
      <c s="49" r="U48">
        <f>(AG16/B16)*1000</f>
        <v>9.89678524690342</v>
      </c>
      <c s="49" r="V48">
        <f>(AI16/B16)*1000</f>
        <v>82.8028428004989</v>
      </c>
      <c s="49" r="W48">
        <f>(AK16/B16)*1000</f>
        <v>51.4020073720837</v>
      </c>
      <c s="49" r="X48">
        <f>(AM16/B16)*1000</f>
        <v>-91.0840199900106</v>
      </c>
      <c s="49" r="Y48">
        <f>(AO16/B16)*1000</f>
        <v>258.580999444722</v>
      </c>
      <c s="49" r="Z48">
        <f>(AQ16/B16)*1000</f>
        <v>613.987426718642</v>
      </c>
      <c s="49" r="AA48">
        <f>(AS16/B16)*1000</f>
        <v>60.7022174848415</v>
      </c>
      <c s="49" r="AB48">
        <f>(AU16/B16)*1000</f>
        <v>86.0614042675492</v>
      </c>
      <c s="49" r="AC48">
        <f>(-AW16/B16)*1000</f>
        <v>-648.341560191864</v>
      </c>
      <c s="49" r="AD48">
        <f>(AX16/B16)*1000</f>
        <v>15242.2452208416</v>
      </c>
      <c s="49" r="AE48">
        <f>(DJ16/B16)*1000</f>
        <v>6303.74659229475</v>
      </c>
      <c s="49" r="AG48">
        <f>(DL16/B16)*1000</f>
        <v>8294.22650322703</v>
      </c>
      <c s="49" r="AH48">
        <f>(DN16/B16)*1000</f>
        <v>0.228808049578798</v>
      </c>
      <c s="49" r="AI48">
        <f>(DP16/B16)*1000</f>
        <v>954.877936486234</v>
      </c>
      <c s="49" r="AJ48">
        <f>(DR16/B16)*1000</f>
        <v>176.021474472556</v>
      </c>
      <c s="49" r="AK48">
        <f>(DT16/B16)*1000</f>
        <v>778.856462013678</v>
      </c>
      <c s="49" r="AL48">
        <f>(DV16/B16)*1000</f>
        <v>778.856462013678</v>
      </c>
      <c s="48" r="AM48">
        <f>AL48/C48</f>
        <v>0.028222498024203</v>
      </c>
    </row>
    <row r="49">
      <c t="str" s="38" r="B49">
        <f>A17</f>
        <v>    $30,000 under $35,000</v>
      </c>
      <c s="3" r="C49">
        <f>(C17/B17)*1000</f>
        <v>32619.8017582961</v>
      </c>
      <c s="3" r="D49">
        <f>SUM(G49:H49,J49,L49:AC49)</f>
        <v>32655.0548378044</v>
      </c>
      <c s="3" r="E49">
        <f>D49-C49</f>
        <v>35.2530795083476</v>
      </c>
      <c s="55" r="F49">
        <f>E49/C49</f>
        <v>0.001080726356633</v>
      </c>
      <c s="3" r="G49">
        <f>(E17/B17)*1000</f>
        <v>24902.607944418</v>
      </c>
      <c s="3" r="H49">
        <f>(G17/B17)*1000</f>
        <v>959.922572908755</v>
      </c>
      <c s="3" r="I49">
        <f>(I17/B17)*1000</f>
        <v>185.739776396231</v>
      </c>
      <c s="3" r="J49">
        <f>(K17/B17)*1000</f>
        <v>474.940593575774</v>
      </c>
      <c s="3" r="K49">
        <f>(M17/B17)*1000</f>
        <v>231.064890683559</v>
      </c>
      <c s="49" r="L49">
        <f>(O17/B17)*1000</f>
        <v>165.90411261983</v>
      </c>
      <c s="49" r="M49">
        <f>(Q17/B17)*1000</f>
        <v>118.601178646443</v>
      </c>
      <c s="49" r="N49">
        <f>(S17/B17)*1000</f>
        <v>1481.28302551818</v>
      </c>
      <c s="49" r="O49">
        <f>(U17/B17)*1000</f>
        <v>493.25290519204</v>
      </c>
      <c s="3" r="P49">
        <f>(W17/B17)*1000</f>
        <v>-3.19755497428834</v>
      </c>
      <c s="49" r="Q49">
        <f>(Y17/B17)*1000</f>
        <v>714.279762355148</v>
      </c>
      <c s="49" r="R49">
        <f>(AA17/B17)*1000</f>
        <v>2912.08519661826</v>
      </c>
      <c s="49" r="S49">
        <f>(AC17/B17)*1000</f>
        <v>310.203059347042</v>
      </c>
      <c s="49" r="T49">
        <f>(-AE17/B17)*1000</f>
        <v>-686.855592345024</v>
      </c>
      <c s="49" r="U49">
        <f>(AG17/B17)*1000</f>
        <v>22.2454431130211</v>
      </c>
      <c s="49" r="V49">
        <f>(AI17/B17)*1000</f>
        <v>156.920118113668</v>
      </c>
      <c s="49" r="W49">
        <f>(AK17/B17)*1000</f>
        <v>25.5631997195614</v>
      </c>
      <c s="49" r="X49">
        <f>(AM17/B17)*1000</f>
        <v>-61.4785854327115</v>
      </c>
      <c s="49" r="Y49">
        <f>(AO17/B17)*1000</f>
        <v>322.053216279611</v>
      </c>
      <c s="49" r="Z49">
        <f>(AQ17/B17)*1000</f>
        <v>892.588587645188</v>
      </c>
      <c s="49" r="AA49">
        <f>(AS17/B17)*1000</f>
        <v>13.4688083947671</v>
      </c>
      <c s="49" r="AB49">
        <f>(AU17/B17)*1000</f>
        <v>90.1761265191618</v>
      </c>
      <c s="49" r="AC49">
        <f>(-AW17/B17)*1000</f>
        <v>-649.509280428014</v>
      </c>
      <c s="49" r="AD49">
        <f>(AX17/B17)*1000</f>
        <v>15414.3110818243</v>
      </c>
      <c s="49" r="AE49">
        <f>(DJ17/B17)*1000</f>
        <v>6442.2572429864</v>
      </c>
      <c s="49" r="AG49">
        <f>(DL17/B17)*1000</f>
        <v>12156.0241131179</v>
      </c>
      <c s="49" r="AH49">
        <f>(DN17/B17)*1000</f>
        <v>1.12252042230521</v>
      </c>
      <c s="49" r="AI49">
        <f>(DP17/B17)*1000</f>
        <v>1456.65605763549</v>
      </c>
      <c s="49" r="AJ49">
        <f>(DR17/B17)*1000</f>
        <v>231.988671355328</v>
      </c>
      <c s="49" r="AK49">
        <f>(DT17/B17)*1000</f>
        <v>1224.66738628016</v>
      </c>
      <c s="49" r="AL49">
        <f>(DV17/B17)*1000</f>
        <v>1224.66738628016</v>
      </c>
      <c s="48" r="AM49">
        <f>AL49/C49</f>
        <v>0.037543679613831</v>
      </c>
    </row>
    <row r="50">
      <c t="str" s="38" r="B50">
        <f>A18</f>
        <v>    $35,000 under $40,000</v>
      </c>
      <c s="3" r="C50">
        <f>(C18/B18)*1000</f>
        <v>37514.5481257487</v>
      </c>
      <c s="3" r="D50">
        <f>SUM(G50:H50,J50,L50:AC50)</f>
        <v>37547.3075954448</v>
      </c>
      <c s="3" r="E50">
        <f>D50-C50</f>
        <v>32.7594696961096</v>
      </c>
      <c s="55" r="F50">
        <f>E50/C50</f>
        <v>0.00087324708234</v>
      </c>
      <c s="3" r="G50">
        <f>(E18/B18)*1000</f>
        <v>29607.9667224266</v>
      </c>
      <c s="3" r="H50">
        <f>(G18/B18)*1000</f>
        <v>818.574512092765</v>
      </c>
      <c s="3" r="I50">
        <f>(I18/B18)*1000</f>
        <v>154.644934545486</v>
      </c>
      <c s="3" r="J50">
        <f>(K18/B18)*1000</f>
        <v>515.103172461393</v>
      </c>
      <c s="3" r="K50">
        <f>(M18/B18)*1000</f>
        <v>254.195175508744</v>
      </c>
      <c s="49" r="L50">
        <f>(O18/B18)*1000</f>
        <v>201.3697759945</v>
      </c>
      <c s="49" r="M50">
        <f>(Q18/B18)*1000</f>
        <v>111.199914580473</v>
      </c>
      <c s="49" r="N50">
        <f>(S18/B18)*1000</f>
        <v>1490.75635476676</v>
      </c>
      <c s="49" r="O50">
        <f>(U18/B18)*1000</f>
        <v>387.736170799407</v>
      </c>
      <c s="3" r="P50">
        <f>(W18/B18)*1000</f>
        <v>-26.116930141154</v>
      </c>
      <c s="49" r="Q50">
        <f>(Y18/B18)*1000</f>
        <v>721.435030025234</v>
      </c>
      <c s="49" r="R50">
        <f>(AA18/B18)*1000</f>
        <v>3188.31806879786</v>
      </c>
      <c s="49" r="S50">
        <f>(AC18/B18)*1000</f>
        <v>293.928771107656</v>
      </c>
      <c s="49" r="T50">
        <f>(-AE18/B18)*1000</f>
        <v>-693.338943870451</v>
      </c>
      <c s="49" r="U50">
        <f>(AG18/B18)*1000</f>
        <v>15.680069633133</v>
      </c>
      <c s="49" r="V50">
        <f>(AI18/B18)*1000</f>
        <v>217.710765698654</v>
      </c>
      <c s="49" r="W50">
        <f>(AK18/B18)*1000</f>
        <v>19.6131522643608</v>
      </c>
      <c s="49" r="X50">
        <f>(AM18/B18)*1000</f>
        <v>-72.5399198876571</v>
      </c>
      <c s="49" r="Y50">
        <f>(AO18/B18)*1000</f>
        <v>291.631093969138</v>
      </c>
      <c s="49" r="Z50">
        <f>(AQ18/B18)*1000</f>
        <v>1003.09961151235</v>
      </c>
      <c s="49" r="AA50">
        <f>(AS18/B18)*1000</f>
        <v>42.8030219410146</v>
      </c>
      <c s="49" r="AB50">
        <f>(AU18/B18)*1000</f>
        <v>110.044768662207</v>
      </c>
      <c s="49" r="AC50">
        <f>(-AW18/B18)*1000</f>
        <v>-697.667587389447</v>
      </c>
      <c s="49" r="AD50">
        <f>(AX18/B18)*1000</f>
        <v>15846.1678124266</v>
      </c>
      <c s="49" r="AE50">
        <f>(DJ18/B18)*1000</f>
        <v>6451.00789184518</v>
      </c>
      <c s="49" r="AG50">
        <f>(DL18/B18)*1000</f>
        <v>15984.7695542461</v>
      </c>
      <c s="49" r="AH50">
        <f>(DN18/B18)*1000</f>
        <v>0.336091597124389</v>
      </c>
      <c s="49" r="AI50">
        <f>(DP18/B18)*1000</f>
        <v>1967.36802885882</v>
      </c>
      <c s="49" r="AJ50">
        <f>(DR18/B18)*1000</f>
        <v>297.477105449414</v>
      </c>
      <c s="49" r="AK50">
        <f>(DT18/B18)*1000</f>
        <v>1669.89092340941</v>
      </c>
      <c s="49" r="AL50">
        <f>(DV18/B18)*1000</f>
        <v>1669.89092340941</v>
      </c>
      <c s="48" r="AM50">
        <f>AL50/C50</f>
        <v>0.044513155744591</v>
      </c>
    </row>
    <row r="51">
      <c t="str" s="38" r="B51">
        <f>A19</f>
        <v>    $40,000 under $45,000</v>
      </c>
      <c s="3" r="C51">
        <f>(C19/B19)*1000</f>
        <v>42493.0971635034</v>
      </c>
      <c s="3" r="D51">
        <f>SUM(G51:H51,J51,L51:AC51)</f>
        <v>42513.1090646385</v>
      </c>
      <c s="3" r="E51">
        <f>D51-C51</f>
        <v>20.0119011350689</v>
      </c>
      <c s="55" r="F51">
        <f>E51/C51</f>
        <v>0.000470944752699</v>
      </c>
      <c s="3" r="G51">
        <f>(E19/B19)*1000</f>
        <v>34502.5499250834</v>
      </c>
      <c s="3" r="H51">
        <f>(G19/B19)*1000</f>
        <v>780.433411545883</v>
      </c>
      <c s="3" r="I51">
        <f>(I19/B19)*1000</f>
        <v>101.228685298713</v>
      </c>
      <c s="3" r="J51">
        <f>(K19/B19)*1000</f>
        <v>474.498967558717</v>
      </c>
      <c s="3" r="K51">
        <f>(M19/B19)*1000</f>
        <v>255.671300626591</v>
      </c>
      <c s="49" r="L51">
        <f>(O19/B19)*1000</f>
        <v>240.503589047393</v>
      </c>
      <c s="49" r="M51">
        <f>(Q19/B19)*1000</f>
        <v>116.231598226232</v>
      </c>
      <c s="49" r="N51">
        <f>(S19/B19)*1000</f>
        <v>1447.1040868284</v>
      </c>
      <c s="49" r="O51">
        <f>(U19/B19)*1000</f>
        <v>423.259503537381</v>
      </c>
      <c s="3" r="P51">
        <f>(W19/B19)*1000</f>
        <v>17.1047638390781</v>
      </c>
      <c s="49" r="Q51">
        <f>(Y19/B19)*1000</f>
        <v>831.34016045153</v>
      </c>
      <c s="49" r="R51">
        <f>(AA19/B19)*1000</f>
        <v>2966.73205164522</v>
      </c>
      <c s="49" r="S51">
        <f>(AC19/B19)*1000</f>
        <v>424.746254616589</v>
      </c>
      <c s="49" r="T51">
        <f>(-AE19/B19)*1000</f>
        <v>-703.555731340784</v>
      </c>
      <c s="49" r="U51">
        <f>(AG19/B19)*1000</f>
        <v>26.3290343155333</v>
      </c>
      <c s="49" r="V51">
        <f>(AI19/B19)*1000</f>
        <v>251.016406819279</v>
      </c>
      <c s="49" r="W51">
        <f>(AK19/B19)*1000</f>
        <v>28.7288590054</v>
      </c>
      <c s="49" r="X51">
        <f>(AM19/B19)*1000</f>
        <v>-111.913873552222</v>
      </c>
      <c s="49" r="Y51">
        <f>(AO19/B19)*1000</f>
        <v>293.330464945991</v>
      </c>
      <c s="49" r="Z51">
        <f>(AQ19/B19)*1000</f>
        <v>1126.49009159242</v>
      </c>
      <c s="49" r="AA51">
        <f>(AS19/B19)*1000</f>
        <v>48.6948837590483</v>
      </c>
      <c s="49" r="AB51">
        <f>(AU19/B19)*1000</f>
        <v>125.176156396593</v>
      </c>
      <c s="49" r="AC51">
        <f>(-AW19/B19)*1000</f>
        <v>-795.691539682624</v>
      </c>
      <c s="49" r="AD51">
        <f>(AX19/B19)*1000</f>
        <v>16237.8436497289</v>
      </c>
      <c s="49" r="AE51">
        <f>(DJ19/B19)*1000</f>
        <v>6612.94676023667</v>
      </c>
      <c s="49" r="AG51">
        <f>(DL19/B19)*1000</f>
        <v>20205.4103842748</v>
      </c>
      <c s="49" r="AH51">
        <f>(DN19/B19)*1000</f>
        <v>1.06361940597658</v>
      </c>
      <c s="49" r="AI51">
        <f>(DP19/B19)*1000</f>
        <v>2538.91207947393</v>
      </c>
      <c s="49" r="AJ51">
        <f>(DR19/B19)*1000</f>
        <v>383.502051520512</v>
      </c>
      <c s="49" r="AK51">
        <f>(DT19/B19)*1000</f>
        <v>2155.41002795341</v>
      </c>
      <c s="49" r="AL51">
        <f>(DV19/B19)*1000</f>
        <v>2155.41002795341</v>
      </c>
      <c s="48" r="AM51">
        <f>AL51/C51</f>
        <v>0.050723768607873</v>
      </c>
    </row>
    <row r="52">
      <c t="str" s="38" r="B52">
        <f>A20</f>
        <v>    $45,000 under $50,000</v>
      </c>
      <c s="3" r="C52">
        <f>(C20/B20)*1000</f>
        <v>47505.4043593881</v>
      </c>
      <c s="3" r="D52">
        <f>SUM(G52:H52,J52,L52:AC52)</f>
        <v>47554.6293872111</v>
      </c>
      <c s="3" r="E52">
        <f>D52-C52</f>
        <v>49.2250278229912</v>
      </c>
      <c s="55" r="F52">
        <f>E52/C52</f>
        <v>0.001036198480716</v>
      </c>
      <c s="3" r="G52">
        <f>(E20/B20)*1000</f>
        <v>38100.090101844</v>
      </c>
      <c s="3" r="H52">
        <f>(G20/B20)*1000</f>
        <v>883.757675950338</v>
      </c>
      <c s="3" r="I52">
        <f>(I20/B20)*1000</f>
        <v>219.396676651714</v>
      </c>
      <c s="3" r="J52">
        <f>(K20/B20)*1000</f>
        <v>586.761771249894</v>
      </c>
      <c s="3" r="K52">
        <f>(M20/B20)*1000</f>
        <v>306.862450647569</v>
      </c>
      <c s="49" r="L52">
        <f>(O20/B20)*1000</f>
        <v>272.99151256391</v>
      </c>
      <c s="49" r="M52">
        <f>(Q20/B20)*1000</f>
        <v>140.361423101272</v>
      </c>
      <c s="49" r="N52">
        <f>(S20/B20)*1000</f>
        <v>1556.4708272295</v>
      </c>
      <c s="49" r="O52">
        <f>(U20/B20)*1000</f>
        <v>603.317656721606</v>
      </c>
      <c s="3" r="P52">
        <f>(W20/B20)*1000</f>
        <v>23.7101820337448</v>
      </c>
      <c s="49" r="Q52">
        <f>(Y20/B20)*1000</f>
        <v>938.109489939503</v>
      </c>
      <c s="49" r="R52">
        <f>(AA20/B20)*1000</f>
        <v>3599.10283431155</v>
      </c>
      <c s="49" r="S52">
        <f>(AC20/B20)*1000</f>
        <v>352.983386761071</v>
      </c>
      <c s="49" r="T52">
        <f>(-AE20/B20)*1000</f>
        <v>-637.462227713366</v>
      </c>
      <c s="49" r="U52">
        <f>(AG20/B20)*1000</f>
        <v>-4.63293349363114</v>
      </c>
      <c s="49" r="V52">
        <f>(AI20/B20)*1000</f>
        <v>174.872005470907</v>
      </c>
      <c s="49" r="W52">
        <f>(AK20/B20)*1000</f>
        <v>9.06403535424735</v>
      </c>
      <c s="49" r="X52">
        <f>(AM20/B20)*1000</f>
        <v>-111.564733665429</v>
      </c>
      <c s="49" r="Y52">
        <f>(AO20/B20)*1000</f>
        <v>292.226373659089</v>
      </c>
      <c s="49" r="Z52">
        <f>(AQ20/B20)*1000</f>
        <v>1449.61214177074</v>
      </c>
      <c s="49" r="AA52">
        <f>(AS20/B20)*1000</f>
        <v>49.5463823102673</v>
      </c>
      <c s="49" r="AB52">
        <f>(AU20/B20)*1000</f>
        <v>72.8082441873803</v>
      </c>
      <c s="49" r="AC52">
        <f>(-AW20/B20)*1000</f>
        <v>-797.496762375431</v>
      </c>
      <c s="49" r="AD52">
        <f>(AX20/B20)*1000</f>
        <v>16859.565024373</v>
      </c>
      <c s="49" r="AE52">
        <f>(DJ20/B20)*1000</f>
        <v>6940.63654457239</v>
      </c>
      <c s="49" r="AG52">
        <f>(DL20/B20)*1000</f>
        <v>24158.1462486898</v>
      </c>
      <c s="49" r="AH52">
        <f>(DN20/B20)*1000</f>
        <v>3.06293732011373</v>
      </c>
      <c s="49" r="AI52">
        <f>(DP20/B20)*1000</f>
        <v>3149.74943981871</v>
      </c>
      <c s="49" r="AJ52">
        <f>(DR20/B20)*1000</f>
        <v>449.001393119862</v>
      </c>
      <c s="49" r="AK52">
        <f>(DT20/B20)*1000</f>
        <v>2700.74804669885</v>
      </c>
      <c s="49" r="AL52">
        <f>(DV20/B20)*1000</f>
        <v>2700.74804669885</v>
      </c>
      <c s="48" r="AM52">
        <f>AL52/C52</f>
        <v>0.056851385292232</v>
      </c>
    </row>
    <row r="53">
      <c t="str" s="38" r="B53">
        <f>A21</f>
        <v>    $50,000 under $55,000</v>
      </c>
      <c s="3" r="C53">
        <f>(C21/B21)*1000</f>
        <v>52448.0054374313</v>
      </c>
      <c s="3" r="D53">
        <f>SUM(G53:H53,J53,L53:AC53)</f>
        <v>52278.8681051382</v>
      </c>
      <c s="3" r="E53">
        <f>D53-C53</f>
        <v>-169.137332293038</v>
      </c>
      <c s="55" r="F53">
        <f>E53/C53</f>
        <v>-0.003224857282606</v>
      </c>
      <c s="3" r="G53">
        <f>(E21/B21)*1000</f>
        <v>42500.0767097421</v>
      </c>
      <c s="3" r="H53">
        <f>(G21/B21)*1000</f>
        <v>903.39773892025</v>
      </c>
      <c s="3" r="I53">
        <f>(I21/B21)*1000</f>
        <v>129.945428995408</v>
      </c>
      <c s="3" r="J53">
        <f>(K21/B21)*1000</f>
        <v>632.790682935251</v>
      </c>
      <c s="3" r="K53">
        <f>(M21/B21)*1000</f>
        <v>332.991089868413</v>
      </c>
      <c s="49" r="L53">
        <f>(O21/B21)*1000</f>
        <v>303.03582629068</v>
      </c>
      <c s="49" r="M53">
        <f>(Q21/B21)*1000</f>
        <v>171.067970076644</v>
      </c>
      <c s="49" r="N53">
        <f>(S21/B21)*1000</f>
        <v>1474.69693095468</v>
      </c>
      <c s="49" r="O53">
        <f>(U21/B21)*1000</f>
        <v>739.813667446877</v>
      </c>
      <c s="3" r="P53">
        <f>(W21/B21)*1000</f>
        <v>30.7870506961792</v>
      </c>
      <c s="49" r="Q53">
        <f>(Y21/B21)*1000</f>
        <v>949.01228011513</v>
      </c>
      <c s="49" r="R53">
        <f>(AA21/B21)*1000</f>
        <v>3648.33456811978</v>
      </c>
      <c s="49" r="S53">
        <f>(AC21/B21)*1000</f>
        <v>328.014791211817</v>
      </c>
      <c s="49" r="T53">
        <f>(-AE21/B21)*1000</f>
        <v>-790.394454169754</v>
      </c>
      <c s="49" r="U53">
        <f>(AG21/B21)*1000</f>
        <v>4.84910472518899</v>
      </c>
      <c s="49" r="V53">
        <f>(AI21/B21)*1000</f>
        <v>322.979047968722</v>
      </c>
      <c s="49" r="W53">
        <f>(AK21/B21)*1000</f>
        <v>24.4780568613695</v>
      </c>
      <c s="49" r="X53">
        <f>(AM21/B21)*1000</f>
        <v>-108.430859608059</v>
      </c>
      <c s="49" r="Y53">
        <f>(AO21/B21)*1000</f>
        <v>259.375525876972</v>
      </c>
      <c s="49" r="Z53">
        <f>(AQ21/B21)*1000</f>
        <v>1546.31629328036</v>
      </c>
      <c s="49" r="AA53">
        <f>(AS21/B21)*1000</f>
        <v>11.0457657752164</v>
      </c>
      <c s="49" r="AB53">
        <f>(AU21/B21)*1000</f>
        <v>128.637210999871</v>
      </c>
      <c s="49" r="AC53">
        <f>(-AW21/B21)*1000</f>
        <v>-801.015803081065</v>
      </c>
      <c s="49" r="AD53">
        <f>(AX21/B21)*1000</f>
        <v>17519.7034764156</v>
      </c>
      <c s="49" r="AE53">
        <f>(DJ21/B21)*1000</f>
        <v>7400.1883868881</v>
      </c>
      <c s="49" r="AG53">
        <f>(DL21/B21)*1000</f>
        <v>27718.5504262745</v>
      </c>
      <c s="49" r="AH53">
        <f>(DN21/B21)*1000</f>
        <v>2.76286199458442</v>
      </c>
      <c s="49" r="AI53">
        <f>(DP21/B21)*1000</f>
        <v>3739.78569352382</v>
      </c>
      <c s="49" r="AJ53">
        <f>(DR21/B21)*1000</f>
        <v>524.521984662422</v>
      </c>
      <c s="49" r="AK53">
        <f>(DT21/B21)*1000</f>
        <v>3215.2637088614</v>
      </c>
      <c s="49" r="AL53">
        <f>(DV21/B21)*1000</f>
        <v>3215.2637088614</v>
      </c>
      <c s="48" r="AM53">
        <f>AL53/C53</f>
        <v>0.061303831900664</v>
      </c>
    </row>
    <row r="54">
      <c t="str" s="38" r="B54">
        <f>A22</f>
        <v>    $55,000 under $60,000</v>
      </c>
      <c s="3" r="C54">
        <f>(C22/B22)*1000</f>
        <v>57418.0937973318</v>
      </c>
      <c s="3" r="D54">
        <f>SUM(G54:H54,J54,L54:AC54)</f>
        <v>57298.8094119591</v>
      </c>
      <c s="3" r="E54">
        <f>D54-C54</f>
        <v>-119.284385372717</v>
      </c>
      <c s="55" r="F54">
        <f>E54/C54</f>
        <v>-0.002077470314388</v>
      </c>
      <c s="3" r="G54">
        <f>(E22/B22)*1000</f>
        <v>45450.0292075561</v>
      </c>
      <c s="3" r="H54">
        <f>(G22/B22)*1000</f>
        <v>1128.96894830558</v>
      </c>
      <c s="3" r="I54">
        <f>(I22/B22)*1000</f>
        <v>181.592476750831</v>
      </c>
      <c s="3" r="J54">
        <f>(K22/B22)*1000</f>
        <v>771.827485240766</v>
      </c>
      <c s="3" r="K54">
        <f>(M22/B22)*1000</f>
        <v>443.972100542984</v>
      </c>
      <c s="49" r="L54">
        <f>(O22/B22)*1000</f>
        <v>317.712850916191</v>
      </c>
      <c s="49" r="M54">
        <f>(Q22/B22)*1000</f>
        <v>156.73223955915</v>
      </c>
      <c s="49" r="N54">
        <f>(S22/B22)*1000</f>
        <v>1670.42529560452</v>
      </c>
      <c s="49" r="O54">
        <f>(U22/B22)*1000</f>
        <v>802.467051289558</v>
      </c>
      <c s="3" r="P54">
        <f>(W22/B22)*1000</f>
        <v>1.36710425803957</v>
      </c>
      <c s="49" r="Q54">
        <f>(Y22/B22)*1000</f>
        <v>1121.02186050544</v>
      </c>
      <c s="49" r="R54">
        <f>(AA22/B22)*1000</f>
        <v>4444.57395321435</v>
      </c>
      <c s="49" r="S54">
        <f>(AC22/B22)*1000</f>
        <v>458.256796827519</v>
      </c>
      <c s="49" r="T54">
        <f>(-AE22/B22)*1000</f>
        <v>-902.973270206886</v>
      </c>
      <c s="49" r="U54">
        <f>(AG22/B22)*1000</f>
        <v>14.2783418822738</v>
      </c>
      <c s="49" r="V54">
        <f>(AI22/B22)*1000</f>
        <v>312.775026472894</v>
      </c>
      <c s="49" r="W54">
        <f>(AK22/B22)*1000</f>
        <v>50.9255413837256</v>
      </c>
      <c s="49" r="X54">
        <f>(AM22/B22)*1000</f>
        <v>-150.60886520815</v>
      </c>
      <c s="49" r="Y54">
        <f>(AO22/B22)*1000</f>
        <v>329.971854536839</v>
      </c>
      <c s="49" r="Z54">
        <f>(AQ22/B22)*1000</f>
        <v>1977.2970823762</v>
      </c>
      <c s="49" r="AA54">
        <f>(AS22/B22)*1000</f>
        <v>13.1399961056592</v>
      </c>
      <c s="49" r="AB54">
        <f>(AU22/B22)*1000</f>
        <v>194.536394158126</v>
      </c>
      <c s="49" r="AC54">
        <f>(-AW22/B22)*1000</f>
        <v>-863.915482818831</v>
      </c>
      <c s="49" r="AD54">
        <f>(AX22/B22)*1000</f>
        <v>18409.9774101</v>
      </c>
      <c s="49" r="AE54">
        <f>(DJ22/B22)*1000</f>
        <v>7651.76650113449</v>
      </c>
      <c s="49" r="AG54">
        <f>(DL22/B22)*1000</f>
        <v>31600.5790676004</v>
      </c>
      <c s="49" r="AH54">
        <f>(DN22/B22)*1000</f>
        <v>2.96432865513161</v>
      </c>
      <c s="49" r="AI54">
        <f>(DP22/B22)*1000</f>
        <v>4392.95623586996</v>
      </c>
      <c s="49" r="AJ54">
        <f>(DR22/B22)*1000</f>
        <v>573.964561498586</v>
      </c>
      <c s="49" r="AK54">
        <f>(DT22/B22)*1000</f>
        <v>3818.99167437138</v>
      </c>
      <c s="49" r="AL54">
        <f>(DV22/B22)*1000</f>
        <v>3818.99167437138</v>
      </c>
      <c s="48" r="AM54">
        <f>AL54/C54</f>
        <v>0.066511989893835</v>
      </c>
    </row>
    <row r="55">
      <c t="str" s="38" r="B55">
        <f>A23</f>
        <v>    $60,000 under $75,000</v>
      </c>
      <c s="3" r="C55">
        <f>(C23/B23)*1000</f>
        <v>67332.6553832234</v>
      </c>
      <c s="3" r="D55">
        <f>SUM(G55:H55,J55,L55:AC55)</f>
        <v>67349.8965185221</v>
      </c>
      <c s="3" r="E55">
        <f>D55-C55</f>
        <v>17.2411352987692</v>
      </c>
      <c s="55" r="F55">
        <f>E55/C55</f>
        <v>0.000256059042981</v>
      </c>
      <c s="3" r="G55">
        <f>(E23/B23)*1000</f>
        <v>53658.8795695043</v>
      </c>
      <c s="3" r="H55">
        <f>(G23/B23)*1000</f>
        <v>1196.10960529151</v>
      </c>
      <c s="3" r="I55">
        <f>(I23/B23)*1000</f>
        <v>313.797821919627</v>
      </c>
      <c s="3" r="J55">
        <f>(K23/B23)*1000</f>
        <v>889.811586586129</v>
      </c>
      <c s="3" r="K55">
        <f>(M23/B23)*1000</f>
        <v>497.963207822452</v>
      </c>
      <c s="49" r="L55">
        <f>(O23/B23)*1000</f>
        <v>385.117749438862</v>
      </c>
      <c s="49" r="M55">
        <f>(Q23/B23)*1000</f>
        <v>159.245869288144</v>
      </c>
      <c s="49" r="N55">
        <f>(S23/B23)*1000</f>
        <v>1898.93481263213</v>
      </c>
      <c s="49" r="O55">
        <f>(U23/B23)*1000</f>
        <v>986.137218904472</v>
      </c>
      <c s="3" r="P55">
        <f>(W23/B23)*1000</f>
        <v>27.7918730266762</v>
      </c>
      <c s="49" r="Q55">
        <f>(Y23/B23)*1000</f>
        <v>1324.22150363398</v>
      </c>
      <c s="49" r="R55">
        <f>(AA23/B23)*1000</f>
        <v>4823.84566272274</v>
      </c>
      <c s="49" r="S55">
        <f>(AC23/B23)*1000</f>
        <v>428.064908289888</v>
      </c>
      <c s="49" r="T55">
        <f>(-AE23/B23)*1000</f>
        <v>-686.78768526683</v>
      </c>
      <c s="49" r="U55">
        <f>(AG23/B23)*1000</f>
        <v>22.6970699992765</v>
      </c>
      <c s="49" r="V55">
        <f>(AI23/B23)*1000</f>
        <v>487.113355749682</v>
      </c>
      <c s="49" r="W55">
        <f>(AK23/B23)*1000</f>
        <v>39.4409535402751</v>
      </c>
      <c s="49" r="X55">
        <f>(AM23/B23)*1000</f>
        <v>-140.213387314912</v>
      </c>
      <c s="49" r="Y55">
        <f>(AO23/B23)*1000</f>
        <v>267.880510100476</v>
      </c>
      <c s="49" r="Z55">
        <f>(AQ23/B23)*1000</f>
        <v>2210.5594837614</v>
      </c>
      <c s="49" r="AA55">
        <f>(AS23/B23)*1000</f>
        <v>63.2463845090255</v>
      </c>
      <c s="49" r="AB55">
        <f>(AU23/B23)*1000</f>
        <v>157.851433514641</v>
      </c>
      <c s="49" r="AC55">
        <f>(-AW23/B23)*1000</f>
        <v>-850.051959389781</v>
      </c>
      <c s="49" r="AD55">
        <f>(AX23/B23)*1000</f>
        <v>19323.2883813716</v>
      </c>
      <c s="49" r="AE55">
        <f>(DJ23/B23)*1000</f>
        <v>8153.48636771664</v>
      </c>
      <c s="49" r="AG55">
        <f>(DL23/B23)*1000</f>
        <v>40086.7191481681</v>
      </c>
      <c s="49" r="AH55">
        <f>(DN23/B23)*1000</f>
        <v>10.2325411282224</v>
      </c>
      <c s="49" r="AI55">
        <f>(DP23/B23)*1000</f>
        <v>5825.92085793818</v>
      </c>
      <c s="49" r="AJ55">
        <f>(DR23/B23)*1000</f>
        <v>725.459941974043</v>
      </c>
      <c s="49" r="AK55">
        <f>(DT23/B23)*1000</f>
        <v>5100.46091596414</v>
      </c>
      <c s="49" r="AL55">
        <f>(DV23/B23)*1000</f>
        <v>5100.46091596414</v>
      </c>
      <c s="48" r="AM55">
        <f>AL55/C55</f>
        <v>0.07575018223973</v>
      </c>
    </row>
    <row r="56">
      <c t="str" s="38" r="B56">
        <f>A24</f>
        <v>    $75,000 under $100,000</v>
      </c>
      <c s="3" r="C56">
        <f>(C24/B24)*1000</f>
        <v>86867.8062780315</v>
      </c>
      <c s="3" r="D56">
        <f>SUM(G56:H56,J56,L56:AC56)</f>
        <v>86803.7722517851</v>
      </c>
      <c s="3" r="E56">
        <f>D56-C56</f>
        <v>-64.034026246416</v>
      </c>
      <c s="55" r="F56">
        <f>E56/C56</f>
        <v>-0.00073714335598</v>
      </c>
      <c s="3" r="G56">
        <f>(E24/B24)*1000</f>
        <v>69652.2658223676</v>
      </c>
      <c s="3" r="H56">
        <f>(G24/B24)*1000</f>
        <v>1523.55877492658</v>
      </c>
      <c s="3" r="I56">
        <f>(I24/B24)*1000</f>
        <v>333.607087777005</v>
      </c>
      <c s="3" r="J56">
        <f>(K24/B24)*1000</f>
        <v>1192.85461023478</v>
      </c>
      <c s="3" r="K56">
        <f>(M24/B24)*1000</f>
        <v>690.996563525516</v>
      </c>
      <c s="49" r="L56">
        <f>(O24/B24)*1000</f>
        <v>450.197041035838</v>
      </c>
      <c s="49" r="M56">
        <f>(Q24/B24)*1000</f>
        <v>66.1269458234795</v>
      </c>
      <c s="49" r="N56">
        <f>(S24/B24)*1000</f>
        <v>2353.44689568443</v>
      </c>
      <c s="49" r="O56">
        <f>(U24/B24)*1000</f>
        <v>1597.90937930344</v>
      </c>
      <c s="3" r="P56">
        <f>(W24/B24)*1000</f>
        <v>14.4361485353609</v>
      </c>
      <c s="49" r="Q56">
        <f>(Y24/B24)*1000</f>
        <v>1750.2964207017</v>
      </c>
      <c s="49" r="R56">
        <f>(AA24/B24)*1000</f>
        <v>5654.97087752374</v>
      </c>
      <c s="49" r="S56">
        <f>(AC24/B24)*1000</f>
        <v>536.049202611012</v>
      </c>
      <c s="49" r="T56">
        <f>(-AE24/B24)*1000</f>
        <v>-738.321599073129</v>
      </c>
      <c s="49" r="U56">
        <f>(AG24/B24)*1000</f>
        <v>43.4035676514203</v>
      </c>
      <c s="49" r="V56">
        <f>(AI24/B24)*1000</f>
        <v>985.057394014865</v>
      </c>
      <c s="49" r="W56">
        <f>(AK24/B24)*1000</f>
        <v>44.1985580623909</v>
      </c>
      <c s="49" r="X56">
        <f>(AM24/B24)*1000</f>
        <v>-131.792238909045</v>
      </c>
      <c s="49" r="Y56">
        <f>(AO24/B24)*1000</f>
        <v>219.346862245098</v>
      </c>
      <c s="49" r="Z56">
        <f>(AQ24/B24)*1000</f>
        <v>2355.97601610812</v>
      </c>
      <c s="49" r="AA56">
        <f>(AS24/B24)*1000</f>
        <v>55.1904909857494</v>
      </c>
      <c s="49" r="AB56">
        <f>(AU24/B24)*1000</f>
        <v>219.525494643432</v>
      </c>
      <c s="49" r="AC56">
        <f>(-AW24/B24)*1000</f>
        <v>-1040.92441269174</v>
      </c>
      <c s="49" r="AD56">
        <f>(AX24/B24)*1000</f>
        <v>21711.9379574376</v>
      </c>
      <c s="49" r="AE56">
        <f>(DJ24/B24)*1000</f>
        <v>9133.5260170523</v>
      </c>
      <c s="49" r="AG56">
        <f>(DL24/B24)*1000</f>
        <v>56164.0247720795</v>
      </c>
      <c s="49" r="AH56">
        <f>(DN24/B24)*1000</f>
        <v>21.3967129996649</v>
      </c>
      <c s="49" r="AI56">
        <f>(DP24/B24)*1000</f>
        <v>8400.01986889578</v>
      </c>
      <c s="49" r="AJ56">
        <f>(DR24/B24)*1000</f>
        <v>915.247899661842</v>
      </c>
      <c s="49" r="AK56">
        <f>(DT24/B24)*1000</f>
        <v>7484.77208652376</v>
      </c>
      <c s="49" r="AL56">
        <f>(DV24/B24)*1000</f>
        <v>7484.77314213216</v>
      </c>
      <c s="48" r="AM56">
        <f>AL56/C56</f>
        <v>0.086162796815384</v>
      </c>
    </row>
    <row r="57">
      <c t="str" s="38" r="B57">
        <f>A25</f>
        <v>    $100,000 under $200,000</v>
      </c>
      <c s="3" r="C57">
        <f>(C25/B25)*1000</f>
        <v>134469.871546264</v>
      </c>
      <c s="3" r="D57">
        <f>SUM(G57:H57,J57,L57:AC57)</f>
        <v>134343.915476492</v>
      </c>
      <c s="3" r="E57">
        <f>D57-C57</f>
        <v>-125.956069771491</v>
      </c>
      <c s="55" r="F57">
        <f>E57/C57</f>
        <v>-0.000936686176042</v>
      </c>
      <c s="3" r="G57">
        <f>(E25/B25)*1000</f>
        <v>103072.461060016</v>
      </c>
      <c s="3" r="H57">
        <f>(G25/B25)*1000</f>
        <v>2678.54025996905</v>
      </c>
      <c s="3" r="I57">
        <f>(I25/B25)*1000</f>
        <v>869.910884980008</v>
      </c>
      <c s="3" r="J57">
        <f>(K25/B25)*1000</f>
        <v>2758.54169668738</v>
      </c>
      <c s="3" r="K57">
        <f>(M25/B25)*1000</f>
        <v>1734.73057041566</v>
      </c>
      <c s="49" r="L57">
        <f>(O25/B25)*1000</f>
        <v>579.179043752777</v>
      </c>
      <c s="49" r="M57">
        <f>(Q25/B25)*1000</f>
        <v>125.344438253823</v>
      </c>
      <c s="49" r="N57">
        <f>(S25/B25)*1000</f>
        <v>4558.85726160631</v>
      </c>
      <c s="49" r="O57">
        <f>(U25/B25)*1000</f>
        <v>4890.79657907103</v>
      </c>
      <c s="3" r="P57">
        <f>(W25/B25)*1000</f>
        <v>40.2828453693414</v>
      </c>
      <c s="49" r="Q57">
        <f>(Y25/B25)*1000</f>
        <v>2977.41085397939</v>
      </c>
      <c s="49" r="R57">
        <f>(AA25/B25)*1000</f>
        <v>7856.8417082752</v>
      </c>
      <c s="49" r="S57">
        <f>(AC25/B25)*1000</f>
        <v>1151.38846426356</v>
      </c>
      <c s="49" r="T57">
        <f>(-AE25/B25)*1000</f>
        <v>-814.003898808849</v>
      </c>
      <c s="49" r="U57">
        <f>(AG25/B25)*1000</f>
        <v>48.4459710526912</v>
      </c>
      <c s="49" r="V57">
        <f>(AI25/B25)*1000</f>
        <v>3097.45038083726</v>
      </c>
      <c s="49" r="W57">
        <f>(AK25/B25)*1000</f>
        <v>196.388962411429</v>
      </c>
      <c s="49" r="X57">
        <f>(AM25/B25)*1000</f>
        <v>-117.651324709888</v>
      </c>
      <c s="49" r="Y57">
        <f>(AO25/B25)*1000</f>
        <v>181.501567348523</v>
      </c>
      <c s="49" r="Z57">
        <f>(AQ25/B25)*1000</f>
        <v>2546.20892364569</v>
      </c>
      <c s="49" r="AA57">
        <f>(AS25/B25)*1000</f>
        <v>100.062557110623</v>
      </c>
      <c s="49" r="AB57">
        <f>(AU25/B25)*1000</f>
        <v>400.111174632685</v>
      </c>
      <c s="49" r="AC57">
        <f>(-AW25/B25)*1000</f>
        <v>-1984.2430482716</v>
      </c>
      <c s="49" r="AD57">
        <f>(AX25/B25)*1000</f>
        <v>28601.9402538972</v>
      </c>
      <c s="49" r="AE57">
        <f>(DJ25/B25)*1000</f>
        <v>9709.73492119215</v>
      </c>
      <c s="49" r="AG57">
        <f>(DL25/B25)*1000</f>
        <v>96251.3458330679</v>
      </c>
      <c s="49" r="AH57">
        <f>(DN25/B25)*1000</f>
        <v>162.032494634755</v>
      </c>
      <c s="49" r="AI57">
        <f>(DP25/B25)*1000</f>
        <v>17314.3690219583</v>
      </c>
      <c s="49" r="AJ57">
        <f>(DR25/B25)*1000</f>
        <v>555.258795303128</v>
      </c>
      <c s="49" r="AK57">
        <f>(DT25/B25)*1000</f>
        <v>16759.1102266551</v>
      </c>
      <c s="49" r="AL57">
        <f>(DV25/B25)*1000</f>
        <v>16759.1102266551</v>
      </c>
      <c s="48" r="AM57">
        <f>AL57/C57</f>
        <v>0.124630967769529</v>
      </c>
    </row>
    <row r="58">
      <c t="str" s="38" r="B58">
        <f>A26</f>
        <v>    $200,000 under $500,000</v>
      </c>
      <c s="3" r="C58">
        <f>(C26/B26)*1000</f>
        <v>288030.765954504</v>
      </c>
      <c s="3" r="D58">
        <f>SUM(G58:H58,J58,L58:AC58)</f>
        <v>287246.291449311</v>
      </c>
      <c s="3" r="E58">
        <f>D58-C58</f>
        <v>-784.474505193008</v>
      </c>
      <c s="55" r="F58">
        <f>E58/C58</f>
        <v>-0.002723578860034</v>
      </c>
      <c s="3" r="G58">
        <f>(E26/B26)*1000</f>
        <v>178716.437085386</v>
      </c>
      <c s="3" r="H58">
        <f>(G26/B26)*1000</f>
        <v>9139.54889462438</v>
      </c>
      <c s="3" r="I58">
        <f>(I26/B26)*1000</f>
        <v>4163.96435422984</v>
      </c>
      <c s="3" r="J58">
        <f>(K26/B26)*1000</f>
        <v>10648.396328641</v>
      </c>
      <c s="3" r="K58">
        <f>(M26/B26)*1000</f>
        <v>7098.64653826132</v>
      </c>
      <c s="49" r="L58">
        <f>(O26/B26)*1000</f>
        <v>785.264145883615</v>
      </c>
      <c s="49" r="M58">
        <f>(Q26/B26)*1000</f>
        <v>284.270648664194</v>
      </c>
      <c s="49" r="N58">
        <f>(S26/B26)*1000</f>
        <v>15743.9695477176</v>
      </c>
      <c s="49" r="O58">
        <f>(U26/B26)*1000</f>
        <v>27507.3725077629</v>
      </c>
      <c s="3" r="P58">
        <f>(W26/B26)*1000</f>
        <v>184.366691784703</v>
      </c>
      <c s="49" r="Q58">
        <f>(Y26/B26)*1000</f>
        <v>5039.41347564461</v>
      </c>
      <c s="49" r="R58">
        <f>(AA26/B26)*1000</f>
        <v>9797.00440111684</v>
      </c>
      <c s="49" r="S58">
        <f>(AC26/B26)*1000</f>
        <v>4547.22736919509</v>
      </c>
      <c s="49" r="T58">
        <f>(-AE26/B26)*1000</f>
        <v>-1562.80843917492</v>
      </c>
      <c s="49" r="U58">
        <f>(AG26/B26)*1000</f>
        <v>150.264103413505</v>
      </c>
      <c s="49" r="V58">
        <f>(AI26/B26)*1000</f>
        <v>25771.0927802026</v>
      </c>
      <c s="49" r="W58">
        <f>(AK26/B26)*1000</f>
        <v>833.738619527271</v>
      </c>
      <c s="49" r="X58">
        <f>(AM26/B26)*1000</f>
        <v>-229.211791158694</v>
      </c>
      <c s="49" r="Y58">
        <f>(AO26/B26)*1000</f>
        <v>100.305906136203</v>
      </c>
      <c s="49" r="Z58">
        <f>(AQ26/B26)*1000</f>
        <v>3340.34090150696</v>
      </c>
      <c s="49" r="AA58">
        <f>(AS26/B26)*1000</f>
        <v>352.9320757327</v>
      </c>
      <c s="49" r="AB58">
        <f>(AU26/B26)*1000</f>
        <v>1825.61075051965</v>
      </c>
      <c s="49" r="AC58">
        <f>(-AW26/B26)*1000</f>
        <v>-5729.24455381509</v>
      </c>
      <c s="49" r="AD58">
        <f>(AX26/B26)*1000</f>
        <v>48249.1957981286</v>
      </c>
      <c s="49" r="AE58">
        <f>(DJ26/B26)*1000</f>
        <v>7124.08128051022</v>
      </c>
      <c s="49" r="AG58">
        <f>(DL26/B26)*1000</f>
        <v>232916.087556379</v>
      </c>
      <c s="49" r="AH58">
        <f>(DN26/B26)*1000</f>
        <v>3621.12081047531</v>
      </c>
      <c s="49" r="AI58">
        <f>(DP26/B26)*1000</f>
        <v>56975.8651464794</v>
      </c>
      <c s="49" r="AJ58">
        <f>(DR26/B26)*1000</f>
        <v>645.867536939895</v>
      </c>
      <c s="49" r="AK58">
        <f>(DT26/B26)*1000</f>
        <v>56329.9976095395</v>
      </c>
      <c s="49" r="AL58">
        <f>(DV26/B26)*1000</f>
        <v>56329.9976095395</v>
      </c>
      <c s="48" r="AM58">
        <f>AL58/C58</f>
        <v>0.195569377538083</v>
      </c>
    </row>
    <row r="59">
      <c t="str" s="38" r="B59">
        <f>A27</f>
        <v>    $500,000 under $1,000,000</v>
      </c>
      <c s="3" r="C59">
        <f>(C27/B27)*1000</f>
        <v>678150.300840586</v>
      </c>
      <c s="3" r="D59">
        <f>SUM(G59:H59,J59,L59:AC59)</f>
        <v>676339.197965706</v>
      </c>
      <c s="3" r="E59">
        <f>D59-C59</f>
        <v>-1811.10287488077</v>
      </c>
      <c s="55" r="F59">
        <f>E59/C59</f>
        <v>-0.002670651141253</v>
      </c>
      <c s="3" r="G59">
        <f>(E27/B27)*1000</f>
        <v>331337.211452396</v>
      </c>
      <c s="3" r="H59">
        <f>(G27/B27)*1000</f>
        <v>25711.0424940396</v>
      </c>
      <c s="3" r="I59">
        <f>(I27/B27)*1000</f>
        <v>14030.3736903166</v>
      </c>
      <c s="3" r="J59">
        <f>(K27/B27)*1000</f>
        <v>33033.4254591153</v>
      </c>
      <c s="3" r="K59">
        <f>(M27/B27)*1000</f>
        <v>23042.1438634902</v>
      </c>
      <c s="49" r="L59">
        <f>(O27/B27)*1000</f>
        <v>1995.76679577367</v>
      </c>
      <c s="49" r="M59">
        <f>(Q27/B27)*1000</f>
        <v>432.395548508397</v>
      </c>
      <c s="49" r="N59">
        <f>(S27/B27)*1000</f>
        <v>26274.3041067154</v>
      </c>
      <c s="49" r="O59">
        <f>(U27/B27)*1000</f>
        <v>117868.096498075</v>
      </c>
      <c s="3" r="P59">
        <f>(W27/B27)*1000</f>
        <v>678.343568622253</v>
      </c>
      <c s="49" r="Q59">
        <f>(Y27/B27)*1000</f>
        <v>6814.80590586807</v>
      </c>
      <c s="49" r="R59">
        <f>(AA27/B27)*1000</f>
        <v>7861.37115235772</v>
      </c>
      <c s="49" r="S59">
        <f>(AC27/B27)*1000</f>
        <v>11928.8586057426</v>
      </c>
      <c s="49" r="T59">
        <f>(-AE27/B27)*1000</f>
        <v>-3529.260162881</v>
      </c>
      <c s="49" r="U59">
        <f>(AG27/B27)*1000</f>
        <v>71.3050279731837</v>
      </c>
      <c s="49" r="V59">
        <f>(AI27/B27)*1000</f>
        <v>117024.834689039</v>
      </c>
      <c s="49" r="W59">
        <f>(AK27/B27)*1000</f>
        <v>2795.59203496525</v>
      </c>
      <c s="49" r="X59">
        <f>(AM27/B27)*1000</f>
        <v>-781.807530750866</v>
      </c>
      <c s="49" r="Y59">
        <f>(AO27/B27)*1000</f>
        <v>57.0590766803955</v>
      </c>
      <c s="49" r="Z59">
        <f>(AQ27/B27)*1000</f>
        <v>3746.98954871458</v>
      </c>
      <c s="49" r="AA59">
        <f>(AS27/B27)*1000</f>
        <v>546.773879477223</v>
      </c>
      <c s="49" r="AB59">
        <f>(AU27/B27)*1000</f>
        <v>5118.31535816966</v>
      </c>
      <c s="49" r="AC59">
        <f>(-AW27/B27)*1000</f>
        <v>-12646.2255428958</v>
      </c>
      <c s="49" r="AD59">
        <f>(AX27/B27)*1000</f>
        <v>91522.2877302531</v>
      </c>
      <c s="49" r="AE59">
        <f>(DJ27/B27)*1000</f>
        <v>3292.35781457355</v>
      </c>
      <c s="49" r="AG59">
        <f>(DL27/B27)*1000</f>
        <v>584183.633028484</v>
      </c>
      <c s="49" r="AH59">
        <f>(DN27/B27)*1000</f>
        <v>6288.6482382376</v>
      </c>
      <c s="49" r="AI59">
        <f>(DP27/B27)*1000</f>
        <v>161847.941733306</v>
      </c>
      <c s="49" r="AJ59">
        <f>(DR27/B27)*1000</f>
        <v>2590.18099525299</v>
      </c>
      <c s="49" r="AK59">
        <f>(DT27/B27)*1000</f>
        <v>159257.760738054</v>
      </c>
      <c s="49" r="AL59">
        <f>(DV27/B27)*1000</f>
        <v>159257.760738054</v>
      </c>
      <c s="48" r="AM59">
        <f>AL59/C59</f>
        <v>0.23484139215252</v>
      </c>
    </row>
    <row r="60">
      <c t="str" s="38" r="B60">
        <f>A28</f>
        <v>    $1,000,000 under $1,500,000</v>
      </c>
      <c s="3" r="C60">
        <f>(C28/B28)*1000</f>
        <v>1207390.51511843</v>
      </c>
      <c s="3" r="D60">
        <f>SUM(G60:H60,J60,L60:AC60)</f>
        <v>1202265.51194496</v>
      </c>
      <c s="3" r="E60">
        <f>D60-C60</f>
        <v>-5125.00317347492</v>
      </c>
      <c s="55" r="F60">
        <f>E60/C60</f>
        <v>-0.004244693915764</v>
      </c>
      <c s="3" r="G60">
        <f>(E28/B28)*1000</f>
        <v>482707.411967808</v>
      </c>
      <c s="3" r="H60">
        <f>(G28/B28)*1000</f>
        <v>54021.5542410318</v>
      </c>
      <c s="3" r="I60">
        <f>(I28/B28)*1000</f>
        <v>27902.637792277</v>
      </c>
      <c s="3" r="J60">
        <f>(K28/B28)*1000</f>
        <v>64009.0317093605</v>
      </c>
      <c s="3" r="K60">
        <f>(M28/B28)*1000</f>
        <v>46286.4441849247</v>
      </c>
      <c s="49" r="L60">
        <f>(O28/B28)*1000</f>
        <v>4447.37109345249</v>
      </c>
      <c s="49" r="M60">
        <f>(Q28/B28)*1000</f>
        <v>98.5998629058874</v>
      </c>
      <c s="49" r="N60">
        <f>(S28/B28)*1000</f>
        <v>36652.6250983777</v>
      </c>
      <c s="49" r="O60">
        <f>(U28/B28)*1000</f>
        <v>272648.213968367</v>
      </c>
      <c s="3" r="P60">
        <f>(W28/B28)*1000</f>
        <v>1065.70996978852</v>
      </c>
      <c s="49" r="Q60">
        <f>(Y28/B28)*1000</f>
        <v>7726.58610271903</v>
      </c>
      <c s="49" r="R60">
        <f>(AA28/B28)*1000</f>
        <v>8820.2988143898</v>
      </c>
      <c s="49" r="S60">
        <f>(AC28/B28)*1000</f>
        <v>19571.4031836299</v>
      </c>
      <c s="49" r="T60">
        <f>(-AE28/B28)*1000</f>
        <v>-5300.71847470106</v>
      </c>
      <c s="49" r="U60">
        <f>(AG28/B28)*1000</f>
        <v>271.6494452766</v>
      </c>
      <c s="49" r="V60">
        <f>(AI28/B28)*1000</f>
        <v>254331.304425093</v>
      </c>
      <c s="49" r="W60">
        <f>(AK28/B28)*1000</f>
        <v>6515.17555662748</v>
      </c>
      <c s="49" r="X60">
        <f>(AM28/B28)*1000</f>
        <v>-1149.73088933459</v>
      </c>
      <c s="49" r="Y60">
        <f>(AO28/B28)*1000</f>
        <v>51.8926603874178</v>
      </c>
      <c s="49" r="Z60">
        <f>(AQ28/B28)*1000</f>
        <v>3994.13541851786</v>
      </c>
      <c s="49" r="AA60">
        <f>(AS28/B28)*1000</f>
        <v>823.510370915738</v>
      </c>
      <c s="49" r="AB60">
        <f>(AU28/B28)*1000</f>
        <v>8188.19340424992</v>
      </c>
      <c s="49" r="AC60">
        <f>(-AW28/B28)*1000</f>
        <v>-17228.7059839041</v>
      </c>
      <c s="49" r="AD60">
        <f>(AX28/B28)*1000</f>
        <v>142875.625174541</v>
      </c>
      <c s="49" r="AE60">
        <f>(DJ28/B28)*1000</f>
        <v>3245.43654319734</v>
      </c>
      <c s="49" r="AG60">
        <f>(DL28/B28)*1000</f>
        <v>1062347.31777908</v>
      </c>
      <c s="49" r="AH60">
        <f>(DN28/B28)*1000</f>
        <v>6532.16634085658</v>
      </c>
      <c s="49" r="AI60">
        <f>(DP28/B28)*1000</f>
        <v>298380.048998451</v>
      </c>
      <c s="49" r="AJ60">
        <f>(DR28/B28)*1000</f>
        <v>6499.67630556754</v>
      </c>
      <c s="49" r="AK60">
        <f>(DT28/B28)*1000</f>
        <v>291880.372692884</v>
      </c>
      <c s="49" r="AL60">
        <f>(DV28/B28)*1000</f>
        <v>291880.759856813</v>
      </c>
      <c s="48" r="AM60">
        <f>AL60/C60</f>
        <v>0.241745115769923</v>
      </c>
    </row>
    <row r="61">
      <c t="str" s="38" r="B61">
        <f>A29</f>
        <v>    $1,500,000 under $2,000,000</v>
      </c>
      <c s="3" r="C61">
        <f>(C29/B29)*1000</f>
        <v>1721264.13780845</v>
      </c>
      <c s="3" r="D61">
        <f>SUM(G61:H61,J61,L61:AC61)</f>
        <v>1713486.15102053</v>
      </c>
      <c s="3" r="E61">
        <f>D61-C61</f>
        <v>-7777.98678792547</v>
      </c>
      <c s="55" r="F61">
        <f>E61/C61</f>
        <v>-0.004518764213509</v>
      </c>
      <c s="3" r="G61">
        <f>(E29/B29)*1000</f>
        <v>616438.85712593</v>
      </c>
      <c s="3" r="H61">
        <f>(G29/B29)*1000</f>
        <v>79534.9112776609</v>
      </c>
      <c s="3" r="I61">
        <f>(I29/B29)*1000</f>
        <v>43261.5013182451</v>
      </c>
      <c s="3" r="J61">
        <f>(K29/B29)*1000</f>
        <v>91594.898835797</v>
      </c>
      <c s="3" r="K61">
        <f>(M29/B29)*1000</f>
        <v>65013.19726279</v>
      </c>
      <c s="49" r="L61">
        <f>(O29/B29)*1000</f>
        <v>6753.62147110229</v>
      </c>
      <c s="49" r="M61">
        <f>(Q29/B29)*1000</f>
        <v>557.262197470154</v>
      </c>
      <c s="49" r="N61">
        <f>(S29/B29)*1000</f>
        <v>40420.0758361229</v>
      </c>
      <c s="49" r="O61">
        <f>(U29/B29)*1000</f>
        <v>455969.917350475</v>
      </c>
      <c s="3" r="P61">
        <f>(W29/B29)*1000</f>
        <v>1525.40213881565</v>
      </c>
      <c s="49" r="Q61">
        <f>(Y29/B29)*1000</f>
        <v>7576.25085167521</v>
      </c>
      <c s="49" r="R61">
        <f>(AA29/B29)*1000</f>
        <v>9315.53455579584</v>
      </c>
      <c s="49" r="S61">
        <f>(AC29/B29)*1000</f>
        <v>25791.4506620849</v>
      </c>
      <c s="49" r="T61">
        <f>(-AE29/B29)*1000</f>
        <v>-6671.78659241046</v>
      </c>
      <c s="49" r="U61">
        <f>(AG29/B29)*1000</f>
        <v>118.212518884972</v>
      </c>
      <c s="49" r="V61">
        <f>(AI29/B29)*1000</f>
        <v>381283.822614569</v>
      </c>
      <c s="49" r="W61">
        <f>(AK29/B29)*1000</f>
        <v>9825.19181206861</v>
      </c>
      <c s="49" r="X61">
        <f>(AM29/B29)*1000</f>
        <v>-1455.04636075481</v>
      </c>
      <c s="49" r="Y61">
        <f>(AO29/B29)*1000</f>
        <v>49.8415143525787</v>
      </c>
      <c s="49" r="Z61">
        <f>(AQ29/B29)*1000</f>
        <v>4271.17338626063</v>
      </c>
      <c s="49" r="AA61">
        <f>(AS29/B29)*1000</f>
        <v>994.223420327636</v>
      </c>
      <c s="49" r="AB61">
        <f>(AU29/B29)*1000</f>
        <v>11445.3002340255</v>
      </c>
      <c s="49" r="AC61">
        <f>(-AW29/B29)*1000</f>
        <v>-21852.9638297242</v>
      </c>
      <c s="49" r="AD61">
        <f>(AX29/B29)*1000</f>
        <v>197268.225849453</v>
      </c>
      <c s="49" r="AE61">
        <f>(DJ29/B29)*1000</f>
        <v>3217.93998281838</v>
      </c>
      <c s="49" r="AG61">
        <f>(DL29/B29)*1000</f>
        <v>1522261.82717659</v>
      </c>
      <c s="49" r="AH61">
        <f>(DN29/B29)*1000</f>
        <v>8157.31551974405</v>
      </c>
      <c s="49" r="AI61">
        <f>(DP29/B29)*1000</f>
        <v>426177.074384572</v>
      </c>
      <c s="49" r="AJ61">
        <f>(DR29/B29)*1000</f>
        <v>9715.49604526469</v>
      </c>
      <c s="49" r="AK61">
        <f>(DT29/B29)*1000</f>
        <v>416461.578339307</v>
      </c>
      <c s="49" r="AL61">
        <f>(DV29/B29)*1000</f>
        <v>416461.578339307</v>
      </c>
      <c s="48" r="AM61">
        <f>AL61/C61</f>
        <v>0.241950999379766</v>
      </c>
    </row>
    <row r="62">
      <c t="str" s="38" r="B62">
        <f>A30</f>
        <v>    $2,000,000 under $5,000,000</v>
      </c>
      <c s="3" r="C62">
        <f>(C30/B30)*1000</f>
        <v>2989271.86483987</v>
      </c>
      <c s="3" r="D62">
        <f>SUM(G62:H62,J62,L62:AC62)</f>
        <v>2978884.36638922</v>
      </c>
      <c s="3" r="E62">
        <f>D62-C62</f>
        <v>-10387.4984506536</v>
      </c>
      <c s="55" r="F62">
        <f>E62/C62</f>
        <v>-0.003474925975396</v>
      </c>
      <c s="3" r="G62">
        <f>(E30/B30)*1000</f>
        <v>959322.445010154</v>
      </c>
      <c s="3" r="H62">
        <f>(G30/B30)*1000</f>
        <v>146070.907582735</v>
      </c>
      <c s="3" r="I62">
        <f>(I30/B30)*1000</f>
        <v>71791.6249535196</v>
      </c>
      <c s="3" r="J62">
        <f>(K30/B30)*1000</f>
        <v>168815.947293651</v>
      </c>
      <c s="3" r="K62">
        <f>(M30/B30)*1000</f>
        <v>122246.503246475</v>
      </c>
      <c s="49" r="L62">
        <f>(O30/B30)*1000</f>
        <v>11796.3921703231</v>
      </c>
      <c s="49" r="M62">
        <f>(Q30/B30)*1000</f>
        <v>416.559404288588</v>
      </c>
      <c s="49" r="N62">
        <f>(S30/B30)*1000</f>
        <v>47315.5992868244</v>
      </c>
      <c s="49" r="O62">
        <f>(U30/B30)*1000</f>
        <v>950099.167643946</v>
      </c>
      <c s="3" r="P62">
        <f>(W30/B30)*1000</f>
        <v>5034.84835483348</v>
      </c>
      <c s="49" r="Q62">
        <f>(Y30/B30)*1000</f>
        <v>7776.32218758045</v>
      </c>
      <c s="49" r="R62">
        <f>(AA30/B30)*1000</f>
        <v>11156.8509672683</v>
      </c>
      <c s="49" r="S62">
        <f>(AC30/B30)*1000</f>
        <v>40821.6870226824</v>
      </c>
      <c s="49" r="T62">
        <f>(-AE30/B30)*1000</f>
        <v>-8315.17977174566</v>
      </c>
      <c s="49" r="U62">
        <f>(AG30/B30)*1000</f>
        <v>192.013958410801</v>
      </c>
      <c s="49" r="V62">
        <f>(AI30/B30)*1000</f>
        <v>621587.702487534</v>
      </c>
      <c s="49" r="W62">
        <f>(AK30/B30)*1000</f>
        <v>18223.182021872</v>
      </c>
      <c s="49" r="X62">
        <f>(AM30/B30)*1000</f>
        <v>-2556.01956465776</v>
      </c>
      <c s="49" r="Y62">
        <f>(AO30/B30)*1000</f>
        <v>24.6179075732006</v>
      </c>
      <c s="49" r="Z62">
        <f>(AQ30/B30)*1000</f>
        <v>4493.66436886817</v>
      </c>
      <c s="49" r="AA62">
        <f>(AS30/B30)*1000</f>
        <v>969.766311032293</v>
      </c>
      <c s="49" r="AB62">
        <f>(AU30/B30)*1000</f>
        <v>24081.6528894101</v>
      </c>
      <c s="49" r="AC62">
        <f>(-AW30/B30)*1000</f>
        <v>-28443.7611433693</v>
      </c>
      <c s="49" r="AD62">
        <f>(AX30/B30)*1000</f>
        <v>323625.639998856</v>
      </c>
      <c s="49" r="AE62">
        <f>(DJ30/B30)*1000</f>
        <v>3217.9952899898</v>
      </c>
      <c s="49" r="AG62">
        <f>(DL30/B30)*1000</f>
        <v>2665068.6288531</v>
      </c>
      <c s="49" r="AH62">
        <f>(DN30/B30)*1000</f>
        <v>13254.7409971111</v>
      </c>
      <c s="49" r="AI62">
        <f>(DP30/B30)*1000</f>
        <v>734561.396985212</v>
      </c>
      <c s="49" r="AJ62">
        <f>(DR30/B30)*1000</f>
        <v>19539.6584765882</v>
      </c>
      <c s="49" r="AK62">
        <f>(DT30/B30)*1000</f>
        <v>715021.738508624</v>
      </c>
      <c s="49" r="AL62">
        <f>(DV30/B30)*1000</f>
        <v>715025.275783492</v>
      </c>
      <c s="48" r="AM62">
        <f>AL62/C62</f>
        <v>0.239197138337832</v>
      </c>
    </row>
    <row r="63">
      <c t="str" s="38" r="B63">
        <f>A31</f>
        <v>    $5,000,000 under $10,000,000</v>
      </c>
      <c s="3" r="C63">
        <f>(C31/B31)*1000</f>
        <v>6845735.79824593</v>
      </c>
      <c s="3" r="D63">
        <f>SUM(G63:H63,J63,L63:AC63)</f>
        <v>6821793.07835074</v>
      </c>
      <c s="3" r="E63">
        <f>D63-C63</f>
        <v>-23942.7198951961</v>
      </c>
      <c s="55" r="F63">
        <f>E63/C63</f>
        <v>-0.00349746478696</v>
      </c>
      <c s="3" r="G63">
        <f>(E31/B31)*1000</f>
        <v>1849515.26620328</v>
      </c>
      <c s="3" r="H63">
        <f>(G31/B31)*1000</f>
        <v>362981.440372648</v>
      </c>
      <c s="3" r="I63">
        <f>(I31/B31)*1000</f>
        <v>164847.701881437</v>
      </c>
      <c s="3" r="J63">
        <f>(K31/B31)*1000</f>
        <v>412450.198333273</v>
      </c>
      <c s="3" r="K63">
        <f>(M31/B31)*1000</f>
        <v>300509.843880782</v>
      </c>
      <c s="49" r="L63">
        <f>(O31/B31)*1000</f>
        <v>25423.7417664398</v>
      </c>
      <c s="49" r="M63">
        <f>(Q31/B31)*1000</f>
        <v>451.726773172241</v>
      </c>
      <c s="49" r="N63">
        <f>(S31/B31)*1000</f>
        <v>67904.1813748681</v>
      </c>
      <c s="49" r="O63">
        <f>(U31/B31)*1000</f>
        <v>2763420.46653808</v>
      </c>
      <c s="3" r="P63">
        <f>(W31/B31)*1000</f>
        <v>10506.3139124422</v>
      </c>
      <c s="49" r="Q63">
        <f>(Y31/B31)*1000</f>
        <v>11437.7888569453</v>
      </c>
      <c s="49" r="R63">
        <f>(AA31/B31)*1000</f>
        <v>15385.8219003603</v>
      </c>
      <c s="49" r="S63">
        <f>(AC31/B31)*1000</f>
        <v>63287.3467011172</v>
      </c>
      <c s="49" r="T63">
        <f>(-AE31/B31)*1000</f>
        <v>-13296.6265147931</v>
      </c>
      <c s="49" r="U63">
        <f>(AG31/B31)*1000</f>
        <v>243.385858291786</v>
      </c>
      <c s="49" r="V63">
        <f>(AI31/B31)*1000</f>
        <v>1206269.91520798</v>
      </c>
      <c s="49" r="W63">
        <f>(AK31/B31)*1000</f>
        <v>49845.7003529968</v>
      </c>
      <c s="49" r="X63">
        <f>(AM31/B31)*1000</f>
        <v>-5735.76185450708</v>
      </c>
      <c s="49" r="Y63">
        <f>(AO31/B31)*1000</f>
        <v>14.6293533243568</v>
      </c>
      <c s="49" r="Z63">
        <f>(AQ31/B31)*1000</f>
        <v>4873.28505404127</v>
      </c>
      <c s="49" r="AA63">
        <f>(AS31/B31)*1000</f>
        <v>908.11164889552</v>
      </c>
      <c s="49" r="AB63">
        <f>(AU31/B31)*1000</f>
        <v>40291.6044979803</v>
      </c>
      <c s="49" r="AC63">
        <f>(-AW31/B31)*1000</f>
        <v>-44385.4579860985</v>
      </c>
      <c s="49" r="AD63">
        <f>(AX31/B31)*1000</f>
        <v>729133.592925507</v>
      </c>
      <c s="49" r="AE63">
        <f>(DJ31/B31)*1000</f>
        <v>3189.78128752866</v>
      </c>
      <c s="49" r="AG63">
        <f>(DL31/B31)*1000</f>
        <v>6120648.82273736</v>
      </c>
      <c s="49" r="AH63">
        <f>(DN31/B31)*1000</f>
        <v>28158.4118781615</v>
      </c>
      <c s="49" r="AI63">
        <f>(DP31/B31)*1000</f>
        <v>1611540.66741876</v>
      </c>
      <c s="49" r="AJ63">
        <f>(DR31/B31)*1000</f>
        <v>45434.1861057535</v>
      </c>
      <c s="49" r="AK63">
        <f>(DT31/B31)*1000</f>
        <v>1566106.481313</v>
      </c>
      <c s="49" r="AL63">
        <f>(DV31/B31)*1000</f>
        <v>1566107.53666436</v>
      </c>
      <c s="48" r="AM63">
        <f>AL63/C63</f>
        <v>0.228771250135835</v>
      </c>
    </row>
    <row r="64">
      <c t="str" s="38" r="B64">
        <f>A32</f>
        <v>    $10,000,000 or more</v>
      </c>
      <c s="3" r="C64">
        <f>(C32/B32)*1000</f>
        <v>30605891.7562724</v>
      </c>
      <c s="3" r="D64">
        <f>SUM(G64:H64,J64,L64:AC64)</f>
        <v>30470854.2045768</v>
      </c>
      <c s="3" r="E64">
        <f>D64-C64</f>
        <v>-135037.551695611</v>
      </c>
      <c s="55" r="F64">
        <f>E64/C64</f>
        <v>-0.004412142366933</v>
      </c>
      <c s="3" r="G64">
        <f>(E32/B32)*1000</f>
        <v>4898635.67686794</v>
      </c>
      <c s="3" r="H64">
        <f>(G32/B32)*1000</f>
        <v>1995723.73862696</v>
      </c>
      <c s="3" r="I64">
        <f>(I32/B32)*1000</f>
        <v>501890.267438654</v>
      </c>
      <c s="3" r="J64">
        <f>(K32/B32)*1000</f>
        <v>2029497.21532947</v>
      </c>
      <c s="3" r="K64">
        <f>(M32/B32)*1000</f>
        <v>1509338.95781638</v>
      </c>
      <c s="49" r="L64">
        <f>(O32/B32)*1000</f>
        <v>92249.6829335539</v>
      </c>
      <c s="49" r="M64">
        <f>(Q32/B32)*1000</f>
        <v>1000.88227185001</v>
      </c>
      <c s="49" r="N64">
        <f>(S32/B32)*1000</f>
        <v>120465.729252826</v>
      </c>
      <c s="49" r="O64">
        <f>(U32/B32)*1000</f>
        <v>17146095.2853598</v>
      </c>
      <c s="3" r="P64">
        <f>(W32/B32)*1000</f>
        <v>148130.024813896</v>
      </c>
      <c s="49" r="Q64">
        <f>(Y32/B32)*1000</f>
        <v>15649.2417976289</v>
      </c>
      <c s="49" r="R64">
        <f>(AA32/B32)*1000</f>
        <v>26492.8591122139</v>
      </c>
      <c s="49" r="S64">
        <f>(AC32/B32)*1000</f>
        <v>147286.242073339</v>
      </c>
      <c s="49" r="T64">
        <f>(-AE32/B32)*1000</f>
        <v>-28401.0476978219</v>
      </c>
      <c s="49" r="U64">
        <f>(AG32/B32)*1000</f>
        <v>210.311552247036</v>
      </c>
      <c s="49" r="V64">
        <f>(AI32/B32)*1000</f>
        <v>3620891.59084643</v>
      </c>
      <c s="49" r="W64">
        <f>(AK32/B32)*1000</f>
        <v>203948.607664737</v>
      </c>
      <c s="49" r="X64">
        <f>(AM32/B32)*1000</f>
        <v>-11380.9760132341</v>
      </c>
      <c s="49" r="Y64">
        <f>(AO32/B32)*1000</f>
        <v>7.55445271574304</v>
      </c>
      <c s="49" r="Z64">
        <f>(AQ32/B32)*1000</f>
        <v>5125.66859663634</v>
      </c>
      <c s="49" r="AA64">
        <f>(AS32/B32)*1000</f>
        <v>1034.13289219741</v>
      </c>
      <c s="49" r="AB64">
        <f>(AU32/B32)*1000</f>
        <v>165861.70388751</v>
      </c>
      <c s="49" r="AC64">
        <f>(-AW32/B32)*1000</f>
        <v>-107669.920044114</v>
      </c>
      <c s="49" r="AD64">
        <f>(AX32/B32)*1000</f>
        <v>3615166.36338572</v>
      </c>
      <c s="49" r="AE64">
        <f>(DJ32/B32)*1000</f>
        <v>3211.91066997519</v>
      </c>
      <c s="49" r="AG64">
        <f>(DL32/B32)*1000</f>
        <v>27003183.5125448</v>
      </c>
      <c s="49" r="AH64">
        <f>(DN32/B32)*1000</f>
        <v>97937.0278467052</v>
      </c>
      <c s="49" r="AI64">
        <f>(DP32/B32)*1000</f>
        <v>6279812.3518059</v>
      </c>
      <c s="49" r="AJ64">
        <f>(DR32/B32)*1000</f>
        <v>236098.042459333</v>
      </c>
      <c s="49" r="AK64">
        <f>(DT32/B32)*1000</f>
        <v>6043714.30934657</v>
      </c>
      <c s="49" r="AL64">
        <f>(DV32/B32)*1000</f>
        <v>6043720.31982354</v>
      </c>
      <c s="48" r="AM64">
        <f>AL64/C64</f>
        <v>0.197469179070234</v>
      </c>
    </row>
    <row r="67">
      <c t="s" s="39" r="F67">
        <v>132</v>
      </c>
    </row>
    <row r="69">
      <c t="s" s="39" r="C69">
        <v>106</v>
      </c>
      <c t="s" s="39" r="D69">
        <v>140</v>
      </c>
      <c t="s" s="39" r="E69">
        <v>141</v>
      </c>
      <c t="s" s="39" r="F69">
        <v>173</v>
      </c>
      <c t="s" s="39" r="G69">
        <v>142</v>
      </c>
      <c t="s" s="39" r="H69">
        <v>143</v>
      </c>
      <c t="s" s="39" r="I69">
        <v>144</v>
      </c>
      <c t="s" s="39" r="J69">
        <v>145</v>
      </c>
      <c t="s" s="39" r="K69">
        <v>146</v>
      </c>
      <c t="s" s="67" r="L69">
        <v>147</v>
      </c>
      <c t="s" s="67" r="M69">
        <v>148</v>
      </c>
      <c t="s" s="67" r="N69">
        <v>149</v>
      </c>
      <c t="s" s="67" r="O69">
        <v>150</v>
      </c>
      <c t="s" s="39" r="P69">
        <v>151</v>
      </c>
      <c t="s" s="67" r="R69">
        <v>31</v>
      </c>
      <c t="s" s="67" r="S69">
        <v>133</v>
      </c>
      <c t="s" s="67" r="T69">
        <v>167</v>
      </c>
      <c t="s" s="67" r="U69">
        <v>167</v>
      </c>
    </row>
    <row r="70">
      <c t="str" s="38" r="B70">
        <f>A10</f>
        <v>All returns, total</v>
      </c>
      <c s="3" r="C70">
        <f>(C10/B10)*1000</f>
        <v>122423.598684485</v>
      </c>
      <c s="3" r="D70">
        <f>(AX10/B10)*1000</f>
        <v>26373.5388263048</v>
      </c>
      <c s="3" r="E70">
        <f>SUM(G70:P70)</f>
        <v>27615.2257210334</v>
      </c>
      <c s="3" r="F70">
        <f>E70-D70</f>
        <v>1241.68689472854</v>
      </c>
      <c s="3" r="G70">
        <f>(BB10/B10)*1000</f>
        <v>1510.50079266832</v>
      </c>
      <c s="3" r="H70">
        <f>(BH10/B10)*1000</f>
        <v>9217.24060020809</v>
      </c>
      <c s="3" r="I70">
        <f>(((BX10+CD10)+CF10)/B10)*1000</f>
        <v>9799.99853594271</v>
      </c>
      <c s="3" r="J70">
        <f>(CH10/B10)*1000</f>
        <v>582.743611714595</v>
      </c>
      <c s="3" r="K70">
        <f>(CJ10/B10)*1000</f>
        <v>3830.36894045976</v>
      </c>
      <c s="49" r="L70">
        <f>(CR10/B10)*1000</f>
        <v>46.2368682469121</v>
      </c>
      <c s="49" r="M70">
        <f>(CT10/B10)*1000</f>
        <v>1686.00011039783</v>
      </c>
      <c s="49" r="N70">
        <f>(DD10/B10)*1000</f>
        <v>417.723778684394</v>
      </c>
      <c s="49" r="O70">
        <f>(DF10/B10)*1000</f>
        <v>50.3498800165478</v>
      </c>
      <c s="3" r="P70">
        <f>(DH10/B10)*1000</f>
        <v>474.062602694222</v>
      </c>
      <c s="49" r="R70">
        <f>(DJ10/B10)*1000</f>
        <v>7892.57756585438</v>
      </c>
      <c s="49" r="S70">
        <f>(DL10/B10)*1000</f>
        <v>89202.4130829743</v>
      </c>
      <c s="49" r="T70">
        <f>(C70-R70)-S70</f>
        <v>25328.6080356565</v>
      </c>
      <c s="49" r="U70">
        <f>D70</f>
        <v>26373.5388263048</v>
      </c>
    </row>
    <row r="71">
      <c t="str" s="38" r="B71">
        <f>A11</f>
        <v>    Under $5,000</v>
      </c>
      <c s="3" r="C71">
        <f>(C11/B11)*1000</f>
        <v>2613.53855809939</v>
      </c>
      <c s="3" r="D71">
        <f>(AX11/B11)*1000</f>
        <v>16694.6734351708</v>
      </c>
      <c s="3" r="E71">
        <f>SUM(G71:P71)</f>
        <v>16757.5048744272</v>
      </c>
      <c s="3" r="F71">
        <f>E71-D71</f>
        <v>62.8314392563552</v>
      </c>
      <c s="3" r="G71">
        <f>(BB11/B11)*1000</f>
        <v>4535.17869025376</v>
      </c>
      <c s="3" r="H71">
        <f>(BH11/B11)*1000</f>
        <v>2876.21134237802</v>
      </c>
      <c s="3" r="I71">
        <f>(((BX11+CD11)+CF11)/B11)*1000</f>
        <v>7986.04068657506</v>
      </c>
      <c s="3" r="J71">
        <f>(CH11/B11)*1000</f>
        <v>52.0277907730217</v>
      </c>
      <c s="3" r="K71">
        <f>(CJ11/B11)*1000</f>
        <v>381.414121455325</v>
      </c>
      <c s="49" r="L71">
        <f>(CR11/B11)*1000</f>
        <v>124.294261397152</v>
      </c>
      <c s="49" r="M71">
        <f>(CT11/B11)*1000</f>
        <v>676.669291544503</v>
      </c>
      <c s="49" r="N71">
        <f>(DD11/B11)*1000</f>
        <v>23.1502602115981</v>
      </c>
      <c s="49" r="O71">
        <f>(DF11/B11)*1000</f>
        <v>39.6840848135804</v>
      </c>
      <c s="3" r="P71">
        <f>(DH11/B11)*1000</f>
        <v>62.8343450251785</v>
      </c>
      <c s="49" r="R71">
        <f>(DJ11/B11)*1000</f>
        <v>5575.82167877888</v>
      </c>
      <c s="49" r="S71">
        <f>(DL11/B11)*1000</f>
        <v>54.7330615470894</v>
      </c>
      <c s="49" r="T71">
        <f>(C71-R71)-S71</f>
        <v>-3017.01618222657</v>
      </c>
      <c s="49" r="U71">
        <f>D71</f>
        <v>16694.6734351708</v>
      </c>
    </row>
    <row r="72">
      <c t="str" s="38" r="B72">
        <f>A12</f>
        <v>    $5,000 under $10,000</v>
      </c>
      <c s="3" r="C72">
        <f>(C12/B12)*1000</f>
        <v>7727.09134221056</v>
      </c>
      <c s="3" r="D72">
        <f>(AX12/B12)*1000</f>
        <v>15486.1902588279</v>
      </c>
      <c s="3" r="E72">
        <f>SUM(G72:P72)</f>
        <v>15552.6267928592</v>
      </c>
      <c s="3" r="F72">
        <f>E72-D72</f>
        <v>66.4365340313379</v>
      </c>
      <c s="3" r="G72">
        <f>(BB12/B12)*1000</f>
        <v>4561.70787895214</v>
      </c>
      <c s="3" r="H72">
        <f>(BH12/B12)*1000</f>
        <v>2684.26955473614</v>
      </c>
      <c s="3" r="I72">
        <f>(((BX12+CD12)+CF12)/B12)*1000</f>
        <v>6816.59165959389</v>
      </c>
      <c s="3" r="J72">
        <f>(CH12/B12)*1000</f>
        <v>48.4526670898444</v>
      </c>
      <c s="3" r="K72">
        <f>(CJ12/B12)*1000</f>
        <v>768.977027152323</v>
      </c>
      <c s="49" r="L72">
        <f>(CR12/B12)*1000</f>
        <v>63.6924163213488</v>
      </c>
      <c s="49" r="M72">
        <f>(CT12/B12)*1000</f>
        <v>476.060737898423</v>
      </c>
      <c s="49" r="N72">
        <f>(DD12/B12)*1000</f>
        <v>51.6853411692545</v>
      </c>
      <c s="49" r="O72">
        <f>(DF12/B12)*1000</f>
        <v>14.7511928620845</v>
      </c>
      <c s="3" r="P72">
        <f>(DH12/B12)*1000</f>
        <v>66.4383170837821</v>
      </c>
      <c s="49" r="R72">
        <f>(DJ12/B12)*1000</f>
        <v>5294.52281950517</v>
      </c>
      <c s="49" r="S72">
        <f>(DL12/B12)*1000</f>
        <v>155.63908165667</v>
      </c>
      <c s="49" r="T72">
        <f>(C72-R72)-S72</f>
        <v>2276.92944104872</v>
      </c>
      <c s="49" r="U72">
        <f>D72</f>
        <v>15486.1902588279</v>
      </c>
    </row>
    <row r="73">
      <c t="str" s="38" r="B73">
        <f>A13</f>
        <v>    $10,000 under $15,000</v>
      </c>
      <c s="3" r="C73">
        <f>(C13/B13)*1000</f>
        <v>12621.3802038723</v>
      </c>
      <c s="3" r="D73">
        <f>(AX13/B13)*1000</f>
        <v>15129.9562680781</v>
      </c>
      <c s="3" r="E73">
        <f>SUM(G73:P73)</f>
        <v>15235.3450805034</v>
      </c>
      <c s="3" r="F73">
        <f>E73-D73</f>
        <v>105.388812425299</v>
      </c>
      <c s="3" r="G73">
        <f>(BB13/B13)*1000</f>
        <v>4463.27286474609</v>
      </c>
      <c s="3" r="H73">
        <f>(BH13/B13)*1000</f>
        <v>2585.0813303483</v>
      </c>
      <c s="3" r="I73">
        <f>(((BX13+CD13)+CF13)/B13)*1000</f>
        <v>6020.6520604804</v>
      </c>
      <c s="3" r="J73">
        <f>(CH13/B13)*1000</f>
        <v>36.6444364370987</v>
      </c>
      <c s="3" r="K73">
        <f>(CJ13/B13)*1000</f>
        <v>983.980057771031</v>
      </c>
      <c s="49" r="L73">
        <f>(CR13/B13)*1000</f>
        <v>151.79860081478</v>
      </c>
      <c s="49" r="M73">
        <f>(CT13/B13)*1000</f>
        <v>782.916590367163</v>
      </c>
      <c s="49" r="N73">
        <f>(DD13/B13)*1000</f>
        <v>65.2720101916447</v>
      </c>
      <c s="49" r="O73">
        <f>(DF13/B13)*1000</f>
        <v>40.1177867433797</v>
      </c>
      <c s="3" r="P73">
        <f>(DH13/B13)*1000</f>
        <v>105.609342603477</v>
      </c>
      <c s="49" r="R73">
        <f>(DJ13/B13)*1000</f>
        <v>5252.08371483085</v>
      </c>
      <c s="49" r="S73">
        <f>(DL13/B13)*1000</f>
        <v>604.787276983935</v>
      </c>
      <c s="49" r="T73">
        <f>(C73-R73)-S73</f>
        <v>6764.50921205749</v>
      </c>
      <c s="49" r="U73">
        <f>D73</f>
        <v>15129.9562680781</v>
      </c>
    </row>
    <row r="74">
      <c t="str" s="38" r="B74">
        <f>A14</f>
        <v>    $15,000 under $20,000</v>
      </c>
      <c s="3" r="C74">
        <f>(C14/B14)*1000</f>
        <v>17659.4091743677</v>
      </c>
      <c s="3" r="D74">
        <f>(AX14/B14)*1000</f>
        <v>15318.4330659002</v>
      </c>
      <c s="3" r="E74">
        <f>SUM(G74:P74)</f>
        <v>15427.9828844895</v>
      </c>
      <c s="3" r="F74">
        <f>E74-D74</f>
        <v>109.549818589336</v>
      </c>
      <c s="3" r="G74">
        <f>(BB14/B14)*1000</f>
        <v>4235.73554250141</v>
      </c>
      <c s="3" r="H74">
        <f>(BH14/B14)*1000</f>
        <v>2738.9213199694</v>
      </c>
      <c s="3" r="I74">
        <f>(((BX14+CD14)+CF14)/B14)*1000</f>
        <v>5979.12918085832</v>
      </c>
      <c s="3" r="J74">
        <f>(CH14/B14)*1000</f>
        <v>30.7762649786696</v>
      </c>
      <c s="3" r="K74">
        <f>(CJ14/B14)*1000</f>
        <v>1164.94261923584</v>
      </c>
      <c s="49" r="L74">
        <f>(CR14/B14)*1000</f>
        <v>19.7229640559891</v>
      </c>
      <c s="49" r="M74">
        <f>(CT14/B14)*1000</f>
        <v>1039.65535571118</v>
      </c>
      <c s="49" r="N74">
        <f>(DD14/B14)*1000</f>
        <v>77.8726951973136</v>
      </c>
      <c s="49" r="O74">
        <f>(DF14/B14)*1000</f>
        <v>31.6771233920237</v>
      </c>
      <c s="3" r="P74">
        <f>(DH14/B14)*1000</f>
        <v>109.549818589337</v>
      </c>
      <c s="49" r="R74">
        <f>(DJ14/B14)*1000</f>
        <v>5560.55615017717</v>
      </c>
      <c s="49" r="S74">
        <f>(DL14/B14)*1000</f>
        <v>2373.95296192175</v>
      </c>
      <c s="49" r="T74">
        <f>(C74-R74)-S74</f>
        <v>9724.90006226874</v>
      </c>
      <c s="49" r="U74">
        <f>D74</f>
        <v>15318.4330659002</v>
      </c>
    </row>
    <row r="75">
      <c t="str" s="38" r="B75">
        <f>A15</f>
        <v>    $20,000 under $25,000</v>
      </c>
      <c s="3" r="C75">
        <f>(C15/B15)*1000</f>
        <v>22557.5673747367</v>
      </c>
      <c s="3" r="D75">
        <f>(AX15/B15)*1000</f>
        <v>15296.6821058911</v>
      </c>
      <c s="3" r="E75">
        <f>SUM(G75:P75)</f>
        <v>15442.1555811394</v>
      </c>
      <c s="3" r="F75">
        <f>E75-D75</f>
        <v>145.473475248327</v>
      </c>
      <c s="3" r="G75">
        <f>(BB15/B15)*1000</f>
        <v>3021.80987111634</v>
      </c>
      <c s="3" r="H75">
        <f>(BH15/B15)*1000</f>
        <v>2903.49356060528</v>
      </c>
      <c s="3" r="I75">
        <f>(((BX15+CD15)+CF15)/B15)*1000</f>
        <v>6296.48988515324</v>
      </c>
      <c s="3" r="J75">
        <f>(CH15/B15)*1000</f>
        <v>54.2219814332553</v>
      </c>
      <c s="3" r="K75">
        <f>(CJ15/B15)*1000</f>
        <v>1297.05765459233</v>
      </c>
      <c s="49" r="L75">
        <f>(CR15/B15)*1000</f>
        <v>97.0769450720691</v>
      </c>
      <c s="49" r="M75">
        <f>(CT15/B15)*1000</f>
        <v>1481.05873267021</v>
      </c>
      <c s="49" r="N75">
        <f>(DD15/B15)*1000</f>
        <v>99.6962091471077</v>
      </c>
      <c s="49" r="O75">
        <f>(DF15/B15)*1000</f>
        <v>45.777266101223</v>
      </c>
      <c s="3" r="P75">
        <f>(DH15/B15)*1000</f>
        <v>145.473475248331</v>
      </c>
      <c s="49" r="R75">
        <f>(DJ15/B15)*1000</f>
        <v>6018.74938862176</v>
      </c>
      <c s="49" r="S75">
        <f>(DL15/B15)*1000</f>
        <v>4714.07336265213</v>
      </c>
      <c s="49" r="T75">
        <f>(C75-R75)-S75</f>
        <v>11824.7446234628</v>
      </c>
      <c s="49" r="U75">
        <f>D75</f>
        <v>15296.6821058911</v>
      </c>
    </row>
    <row r="76">
      <c t="str" s="38" r="B76">
        <f>A16</f>
        <v>    $25,000 under $30,000</v>
      </c>
      <c s="3" r="C76">
        <f>(C16/B16)*1000</f>
        <v>27597.0065210294</v>
      </c>
      <c s="3" r="D76">
        <f>(AX16/B16)*1000</f>
        <v>15242.2452208416</v>
      </c>
      <c s="3" r="E76">
        <f>SUM(G76:P76)</f>
        <v>15391.6563191482</v>
      </c>
      <c s="3" r="F76">
        <f>E76-D76</f>
        <v>149.411098306544</v>
      </c>
      <c s="3" r="G76">
        <f>(BB16/B16)*1000</f>
        <v>2523.90402339423</v>
      </c>
      <c s="3" r="H76">
        <f>(BH16/B16)*1000</f>
        <v>3052.19781292989</v>
      </c>
      <c s="3" r="I76">
        <f>(((BX16+CD16)+CF16)/B16)*1000</f>
        <v>6455.45637439694</v>
      </c>
      <c s="3" r="J76">
        <f>(CH16/B16)*1000</f>
        <v>29.4637799647859</v>
      </c>
      <c s="3" r="K76">
        <f>(CJ16/B16)*1000</f>
        <v>1383.98287846107</v>
      </c>
      <c s="49" r="L76">
        <f>(CR16/B16)*1000</f>
        <v>42.8903479277525</v>
      </c>
      <c s="49" r="M76">
        <f>(CT16/B16)*1000</f>
        <v>1604.93723125518</v>
      </c>
      <c s="49" r="N76">
        <f>(DD16/B16)*1000</f>
        <v>85.8370607652792</v>
      </c>
      <c s="49" r="O76">
        <f>(DF16/B16)*1000</f>
        <v>63.5751536780894</v>
      </c>
      <c s="3" r="P76">
        <f>(DH16/B16)*1000</f>
        <v>149.411656374955</v>
      </c>
      <c s="49" r="R76">
        <f>(DJ16/B16)*1000</f>
        <v>6303.74659229475</v>
      </c>
      <c s="49" r="S76">
        <f>(DL16/B16)*1000</f>
        <v>8294.22650322703</v>
      </c>
      <c s="49" r="T76">
        <f>(C76-R76)-S76</f>
        <v>12999.0334255076</v>
      </c>
      <c s="49" r="U76">
        <f>D76</f>
        <v>15242.2452208416</v>
      </c>
    </row>
    <row r="77">
      <c t="str" s="38" r="B77">
        <f>A17</f>
        <v>    $30,000 under $35,000</v>
      </c>
      <c s="3" r="C77">
        <f>(C17/B17)*1000</f>
        <v>32619.8017582961</v>
      </c>
      <c s="3" r="D77">
        <f>(AX17/B17)*1000</f>
        <v>15414.3110818243</v>
      </c>
      <c s="3" r="E77">
        <f>SUM(G77:P77)</f>
        <v>15535.2468539258</v>
      </c>
      <c s="3" r="F77">
        <f>E77-D77</f>
        <v>120.935772101537</v>
      </c>
      <c s="3" r="G77">
        <f>(BB17/B17)*1000</f>
        <v>2131.76110236869</v>
      </c>
      <c s="3" r="H77">
        <f>(BH17/B17)*1000</f>
        <v>3235.41082619227</v>
      </c>
      <c s="3" r="I77">
        <f>(((BX17+CD17)+CF17)/B17)*1000</f>
        <v>6708.03741862445</v>
      </c>
      <c s="3" r="J77">
        <f>(CH17/B17)*1000</f>
        <v>18.2917193047653</v>
      </c>
      <c s="3" r="K77">
        <f>(CJ17/B17)*1000</f>
        <v>1434.48532151303</v>
      </c>
      <c s="49" r="L77">
        <f>(CR17/B17)*1000</f>
        <v>21.2713788899116</v>
      </c>
      <c s="49" r="M77">
        <f>(CT17/B17)*1000</f>
        <v>1743.0486581954</v>
      </c>
      <c s="49" r="N77">
        <f>(DD17/B17)*1000</f>
        <v>86.7702539750345</v>
      </c>
      <c s="49" r="O77">
        <f>(DF17/B17)*1000</f>
        <v>34.1655181265019</v>
      </c>
      <c s="3" r="P77">
        <f>(DH17/B17)*1000</f>
        <v>122.004656735745</v>
      </c>
      <c s="49" r="R77">
        <f>(DJ17/B17)*1000</f>
        <v>6442.2572429864</v>
      </c>
      <c s="49" r="S77">
        <f>(DL17/B17)*1000</f>
        <v>12156.0241131179</v>
      </c>
      <c s="49" r="T77">
        <f>(C77-R77)-S77</f>
        <v>14021.5204021918</v>
      </c>
      <c s="49" r="U77">
        <f>D77</f>
        <v>15414.3110818243</v>
      </c>
    </row>
    <row r="78">
      <c t="str" s="38" r="B78">
        <f>A18</f>
        <v>    $35,000 under $40,000</v>
      </c>
      <c s="3" r="C78">
        <f>(C18/B18)*1000</f>
        <v>37514.5481257487</v>
      </c>
      <c s="3" r="D78">
        <f>(AX18/B18)*1000</f>
        <v>15846.1678124266</v>
      </c>
      <c s="3" r="E78">
        <f>SUM(G78:P78)</f>
        <v>15992.9974910267</v>
      </c>
      <c s="3" r="F78">
        <f>E78-D78</f>
        <v>146.829678600021</v>
      </c>
      <c s="3" r="G78">
        <f>(BB18/B18)*1000</f>
        <v>1816.62914544882</v>
      </c>
      <c s="3" r="H78">
        <f>(BH18/B18)*1000</f>
        <v>3456.66197970565</v>
      </c>
      <c s="3" r="I78">
        <f>(((BX18+CD18)+CF18)/B18)*1000</f>
        <v>6976.07126943959</v>
      </c>
      <c s="3" r="J78">
        <f>(CH18/B18)*1000</f>
        <v>21.6315039468236</v>
      </c>
      <c s="3" r="K78">
        <f>(CJ18/B18)*1000</f>
        <v>1557.51108403957</v>
      </c>
      <c s="49" r="L78">
        <f>(CR18/B18)*1000</f>
        <v>62.9320252492191</v>
      </c>
      <c s="49" r="M78">
        <f>(CT18/B18)*1000</f>
        <v>1807.9002249471</v>
      </c>
      <c s="49" r="N78">
        <f>(DD18/B18)*1000</f>
        <v>115.016761779988</v>
      </c>
      <c s="49" r="O78">
        <f>(DF18/B18)*1000</f>
        <v>31.813367344962</v>
      </c>
      <c s="3" r="P78">
        <f>(DH18/B18)*1000</f>
        <v>146.83012912495</v>
      </c>
      <c s="49" r="R78">
        <f>(DJ18/B18)*1000</f>
        <v>6451.00789184518</v>
      </c>
      <c s="49" r="S78">
        <f>(DL18/B18)*1000</f>
        <v>15984.7695542461</v>
      </c>
      <c s="49" r="T78">
        <f>(C78-R78)-S78</f>
        <v>15078.7706796574</v>
      </c>
      <c s="49" r="U78">
        <f>D78</f>
        <v>15846.1678124266</v>
      </c>
    </row>
    <row r="79">
      <c t="str" s="38" r="B79">
        <f>A19</f>
        <v>    $40,000 under $45,000</v>
      </c>
      <c s="3" r="C79">
        <f>(C19/B19)*1000</f>
        <v>42493.0971635034</v>
      </c>
      <c s="3" r="D79">
        <f>(AX19/B19)*1000</f>
        <v>16237.8436497289</v>
      </c>
      <c s="3" r="E79">
        <f>SUM(G79:P79)</f>
        <v>16383.0343796712</v>
      </c>
      <c s="3" r="F79">
        <f>E79-D79</f>
        <v>145.190729942222</v>
      </c>
      <c s="3" r="G79">
        <f>(BB19/B19)*1000</f>
        <v>1821.41037358518</v>
      </c>
      <c s="3" r="H79">
        <f>(BH19/B19)*1000</f>
        <v>3693.27095927068</v>
      </c>
      <c s="3" r="I79">
        <f>(((BX19+CD19)+CF19)/B19)*1000</f>
        <v>7163.91764699594</v>
      </c>
      <c s="3" r="J79">
        <f>(CH19/B19)*1000</f>
        <v>22.4887803296329</v>
      </c>
      <c s="3" r="K79">
        <f>(CJ19/B19)*1000</f>
        <v>1509.7485083495</v>
      </c>
      <c s="49" r="L79">
        <f>(CR19/B19)*1000</f>
        <v>31.2551777954751</v>
      </c>
      <c s="49" r="M79">
        <f>(CT19/B19)*1000</f>
        <v>1843.20165475662</v>
      </c>
      <c s="49" r="N79">
        <f>(DD19/B19)*1000</f>
        <v>110.829765665225</v>
      </c>
      <c s="49" r="O79">
        <f>(DF19/B19)*1000</f>
        <v>34.3614096787584</v>
      </c>
      <c s="3" r="P79">
        <f>(DH19/B19)*1000</f>
        <v>152.550103244128</v>
      </c>
      <c s="49" r="R79">
        <f>(DJ19/B19)*1000</f>
        <v>6612.94676023667</v>
      </c>
      <c s="49" r="S79">
        <f>(DL19/B19)*1000</f>
        <v>20205.4103842748</v>
      </c>
      <c s="49" r="T79">
        <f>(C79-R79)-S79</f>
        <v>15674.7400189919</v>
      </c>
      <c s="49" r="U79">
        <f>D79</f>
        <v>16237.8436497289</v>
      </c>
    </row>
    <row r="80">
      <c t="str" s="38" r="B80">
        <f>A20</f>
        <v>    $45,000 under $50,000</v>
      </c>
      <c s="3" r="C80">
        <f>(C20/B20)*1000</f>
        <v>47505.4043593881</v>
      </c>
      <c s="3" r="D80">
        <f>(AX20/B20)*1000</f>
        <v>16859.565024373</v>
      </c>
      <c s="3" r="E80">
        <f>SUM(G80:P80)</f>
        <v>16973.2689106608</v>
      </c>
      <c s="3" r="F80">
        <f>E80-D80</f>
        <v>113.703886287796</v>
      </c>
      <c s="3" r="G80">
        <f>(BB20/B20)*1000</f>
        <v>1562.68557783827</v>
      </c>
      <c s="3" r="H80">
        <f>(BH20/B20)*1000</f>
        <v>4009.82976968428</v>
      </c>
      <c s="3" r="I80">
        <f>(((BX20+CD20)+CF20)/B20)*1000</f>
        <v>7709.70569357843</v>
      </c>
      <c s="3" r="J80">
        <f>(CH20/B20)*1000</f>
        <v>32.3613600562502</v>
      </c>
      <c s="3" r="K80">
        <f>(CJ20/B20)*1000</f>
        <v>1708.16503085266</v>
      </c>
      <c s="49" r="L80">
        <f>(CR20/B20)*1000</f>
        <v>10.084138835646</v>
      </c>
      <c s="49" r="M80">
        <f>(CT20/B20)*1000</f>
        <v>1713.02781598909</v>
      </c>
      <c s="49" r="N80">
        <f>(DD20/B20)*1000</f>
        <v>97.1444983148591</v>
      </c>
      <c s="49" r="O80">
        <f>(DF20/B20)*1000</f>
        <v>16.5602635982421</v>
      </c>
      <c s="3" r="P80">
        <f>(DH20/B20)*1000</f>
        <v>113.704761913101</v>
      </c>
      <c s="49" r="R80">
        <f>(DJ20/B20)*1000</f>
        <v>6940.63654457239</v>
      </c>
      <c s="49" r="S80">
        <f>(DL20/B20)*1000</f>
        <v>24158.1462486898</v>
      </c>
      <c s="49" r="T80">
        <f>(C80-R80)-S80</f>
        <v>16406.6215661259</v>
      </c>
      <c s="49" r="U80">
        <f>D80</f>
        <v>16859.565024373</v>
      </c>
    </row>
    <row r="81">
      <c t="str" s="38" r="B81">
        <f>A21</f>
        <v>    $50,000 under $55,000</v>
      </c>
      <c s="3" r="C81">
        <f>(C21/B21)*1000</f>
        <v>52448.0054374313</v>
      </c>
      <c s="3" r="D81">
        <f>(AX21/B21)*1000</f>
        <v>17519.7034764156</v>
      </c>
      <c s="3" r="E81">
        <f>SUM(G81:P81)</f>
        <v>17698.4502883718</v>
      </c>
      <c s="3" r="F81">
        <f>E81-D81</f>
        <v>178.746811956229</v>
      </c>
      <c s="3" r="G81">
        <f>(BB21/B21)*1000</f>
        <v>1415.48487769058</v>
      </c>
      <c s="3" r="H81">
        <f>(BH21/B21)*1000</f>
        <v>4387.6154197509</v>
      </c>
      <c s="3" r="I81">
        <f>(((BX21+CD21)+CF21)/B21)*1000</f>
        <v>7890.18093446016</v>
      </c>
      <c s="3" r="J81">
        <f>(CH21/B21)*1000</f>
        <v>57.7434223035214</v>
      </c>
      <c s="3" r="K81">
        <f>(CJ21/B21)*1000</f>
        <v>1789.08011687855</v>
      </c>
      <c s="49" r="L81">
        <f>(CR21/B21)*1000</f>
        <v>9.49190176782081</v>
      </c>
      <c s="49" r="M81">
        <f>(CT21/B21)*1000</f>
        <v>1791.35999160782</v>
      </c>
      <c s="49" r="N81">
        <f>(DD21/B21)*1000</f>
        <v>134.598716259187</v>
      </c>
      <c s="49" r="O81">
        <f>(DF21/B21)*1000</f>
        <v>44.1480956970424</v>
      </c>
      <c s="3" r="P81">
        <f>(DH21/B21)*1000</f>
        <v>178.74681195623</v>
      </c>
      <c s="49" r="R81">
        <f>(DJ21/B21)*1000</f>
        <v>7400.1883868881</v>
      </c>
      <c s="49" r="S81">
        <f>(DL21/B21)*1000</f>
        <v>27718.5504262745</v>
      </c>
      <c s="49" r="T81">
        <f>(C81-R81)-S81</f>
        <v>17329.2666242687</v>
      </c>
      <c s="49" r="U81">
        <f>D81</f>
        <v>17519.7034764156</v>
      </c>
    </row>
    <row r="82">
      <c t="str" s="38" r="B82">
        <f>A22</f>
        <v>    $55,000 under $60,000</v>
      </c>
      <c s="3" r="C82">
        <f>(C22/B22)*1000</f>
        <v>57418.0937973318</v>
      </c>
      <c s="3" r="D82">
        <f>(AX22/B22)*1000</f>
        <v>18409.9774101</v>
      </c>
      <c s="3" r="E82">
        <f>SUM(G82:P82)</f>
        <v>18576.2725711772</v>
      </c>
      <c s="3" r="F82">
        <f>E82-D82</f>
        <v>166.295161077287</v>
      </c>
      <c s="3" r="G82">
        <f>(BB22/B22)*1000</f>
        <v>1452.90048960669</v>
      </c>
      <c s="3" r="H82">
        <f>(BH22/B22)*1000</f>
        <v>4778.98708104632</v>
      </c>
      <c s="3" r="I82">
        <f>(((BX22+CD22)+CF22)/B22)*1000</f>
        <v>8295.22189799641</v>
      </c>
      <c s="3" r="J82">
        <f>(CH22/B22)*1000</f>
        <v>34.6423855878526</v>
      </c>
      <c s="3" r="K82">
        <f>(CJ22/B22)*1000</f>
        <v>1907.17171455843</v>
      </c>
      <c s="49" r="L82">
        <f>(CR22/B22)*1000</f>
        <v>7.3642983355551</v>
      </c>
      <c s="49" r="M82">
        <f>(CT22/B22)*1000</f>
        <v>1767.39347411965</v>
      </c>
      <c s="49" r="N82">
        <f>(DD22/B22)*1000</f>
        <v>137.710790274315</v>
      </c>
      <c s="49" r="O82">
        <f>(DF22/B22)*1000</f>
        <v>28.5848246888499</v>
      </c>
      <c s="3" r="P82">
        <f>(DH22/B22)*1000</f>
        <v>166.295614963165</v>
      </c>
      <c s="49" r="R82">
        <f>(DJ22/B22)*1000</f>
        <v>7651.76650113449</v>
      </c>
      <c s="49" r="S82">
        <f>(DL22/B22)*1000</f>
        <v>31600.5790676004</v>
      </c>
      <c s="49" r="T82">
        <f>(C82-R82)-S82</f>
        <v>18165.7482285969</v>
      </c>
      <c s="49" r="U82">
        <f>D82</f>
        <v>18409.9774101</v>
      </c>
    </row>
    <row r="83">
      <c t="str" s="38" r="B83">
        <f>A23</f>
        <v>    $60,000 under $75,000</v>
      </c>
      <c s="3" r="C83">
        <f>(C23/B23)*1000</f>
        <v>67332.6553832234</v>
      </c>
      <c s="3" r="D83">
        <f>(AX23/B23)*1000</f>
        <v>19323.2883813716</v>
      </c>
      <c s="3" r="E83">
        <f>SUM(G83:P83)</f>
        <v>19485.2173747111</v>
      </c>
      <c s="3" r="F83">
        <f>E83-D83</f>
        <v>161.928993339498</v>
      </c>
      <c s="3" r="G83">
        <f>(BB23/B23)*1000</f>
        <v>1389.11214243631</v>
      </c>
      <c s="3" r="H83">
        <f>(BH23/B23)*1000</f>
        <v>5416.1890669811</v>
      </c>
      <c s="3" r="I83">
        <f>(((BX23+CD23)+CF23)/B23)*1000</f>
        <v>8667.41124564984</v>
      </c>
      <c s="3" r="J83">
        <f>(CH23/B23)*1000</f>
        <v>34.8946063211559</v>
      </c>
      <c s="3" r="K83">
        <f>(CJ23/B23)*1000</f>
        <v>2037.03849765408</v>
      </c>
      <c s="49" r="L83">
        <f>(CR23/B23)*1000</f>
        <v>69.5382809909733</v>
      </c>
      <c s="49" r="M83">
        <f>(CT23/B23)*1000</f>
        <v>1545.93710965856</v>
      </c>
      <c s="49" r="N83">
        <f>(DD23/B23)*1000</f>
        <v>138.639260308194</v>
      </c>
      <c s="49" r="O83">
        <f>(DF23/B23)*1000</f>
        <v>23.2897330313036</v>
      </c>
      <c s="3" r="P83">
        <f>(DH23/B23)*1000</f>
        <v>163.167431679564</v>
      </c>
      <c s="49" r="R83">
        <f>(DJ23/B23)*1000</f>
        <v>8153.48636771664</v>
      </c>
      <c s="49" r="S83">
        <f>(DL23/B23)*1000</f>
        <v>40086.7191481681</v>
      </c>
      <c s="49" r="T83">
        <f>(C83-R83)-S83</f>
        <v>19092.4498673386</v>
      </c>
      <c s="49" r="U83">
        <f>D83</f>
        <v>19323.2883813716</v>
      </c>
    </row>
    <row r="84">
      <c t="str" s="38" r="B84">
        <f>A24</f>
        <v>    $75,000 under $100,000</v>
      </c>
      <c s="3" r="C84">
        <f>(C24/B24)*1000</f>
        <v>86867.8062780315</v>
      </c>
      <c s="3" r="D84">
        <f>(AX24/B24)*1000</f>
        <v>21711.9379574376</v>
      </c>
      <c s="3" r="E84">
        <f>SUM(G84:P84)</f>
        <v>21908.6842439539</v>
      </c>
      <c s="3" r="F84">
        <f>E84-D84</f>
        <v>196.746286516285</v>
      </c>
      <c s="3" r="G84">
        <f>(BB24/B24)*1000</f>
        <v>1064.47362849786</v>
      </c>
      <c s="3" r="H84">
        <f>(BH24/B24)*1000</f>
        <v>6758.00857834297</v>
      </c>
      <c s="3" r="I84">
        <f>(((BX24+CD24)+CF24)/B24)*1000</f>
        <v>9727.66980663248</v>
      </c>
      <c s="3" r="J84">
        <f>(CH24/B24)*1000</f>
        <v>51.5534509069963</v>
      </c>
      <c s="3" r="K84">
        <f>(CJ24/B24)*1000</f>
        <v>2424.29686804508</v>
      </c>
      <c s="49" r="L84">
        <f>(CR24/B24)*1000</f>
        <v>41.4987809482389</v>
      </c>
      <c s="49" r="M84">
        <f>(CT24/B24)*1000</f>
        <v>1451.44664679542</v>
      </c>
      <c s="49" r="N84">
        <f>(DD24/B24)*1000</f>
        <v>172.371819525213</v>
      </c>
      <c s="49" r="O84">
        <f>(DF24/B24)*1000</f>
        <v>21.6850113812178</v>
      </c>
      <c s="3" r="P84">
        <f>(DH24/B24)*1000</f>
        <v>195.679652878427</v>
      </c>
      <c s="49" r="R84">
        <f>(DJ24/B24)*1000</f>
        <v>9133.5260170523</v>
      </c>
      <c s="49" r="S84">
        <f>(DL24/B24)*1000</f>
        <v>56164.0247720795</v>
      </c>
      <c s="49" r="T84">
        <f>(C84-R84)-S84</f>
        <v>21570.2554888998</v>
      </c>
      <c s="49" r="U84">
        <f>D84</f>
        <v>21711.9379574376</v>
      </c>
    </row>
    <row r="85">
      <c t="str" s="38" r="B85">
        <f>A25</f>
        <v>    $100,000 under $200,000</v>
      </c>
      <c s="3" r="C85">
        <f>(C25/B25)*1000</f>
        <v>134469.871546264</v>
      </c>
      <c s="3" r="D85">
        <f>(AX25/B25)*1000</f>
        <v>28601.9402538972</v>
      </c>
      <c s="3" r="E85">
        <f>SUM(G85:P85)</f>
        <v>29053.67596785</v>
      </c>
      <c s="3" r="F85">
        <f>E85-D85</f>
        <v>451.735713952803</v>
      </c>
      <c s="3" r="G85">
        <f>(BB25/B25)*1000</f>
        <v>854.966961892329</v>
      </c>
      <c s="3" r="H85">
        <f>(BH25/B25)*1000</f>
        <v>10350.1482684765</v>
      </c>
      <c s="3" r="I85">
        <f>(((BX25+CD25)+CF25)/B25)*1000</f>
        <v>12032.9104278812</v>
      </c>
      <c s="3" r="J85">
        <f>(CH25/B25)*1000</f>
        <v>145.553934021276</v>
      </c>
      <c s="3" r="K85">
        <f>(CJ25/B25)*1000</f>
        <v>3460.95448553297</v>
      </c>
      <c s="49" r="L85">
        <f>(CR25/B25)*1000</f>
        <v>27.1764679220563</v>
      </c>
      <c s="49" r="M85">
        <f>(CT25/B25)*1000</f>
        <v>1462.64040607817</v>
      </c>
      <c s="49" r="N85">
        <f>(DD25/B25)*1000</f>
        <v>327.167958786708</v>
      </c>
      <c s="49" r="O85">
        <f>(DF25/B25)*1000</f>
        <v>28.7536083651214</v>
      </c>
      <c s="3" r="P85">
        <f>(DH25/B25)*1000</f>
        <v>363.403448893663</v>
      </c>
      <c s="49" r="R85">
        <f>(DJ25/B25)*1000</f>
        <v>9709.73492119215</v>
      </c>
      <c s="49" r="S85">
        <f>(DL25/B25)*1000</f>
        <v>96251.3458330679</v>
      </c>
      <c s="49" r="T85">
        <f>(C85-R85)-S85</f>
        <v>28508.7907920038</v>
      </c>
      <c s="49" r="U85">
        <f>D85</f>
        <v>28601.9402538972</v>
      </c>
    </row>
    <row r="86">
      <c t="str" s="38" r="B86">
        <f>A26</f>
        <v>    $200,000 under $500,000</v>
      </c>
      <c s="3" r="C86">
        <f>(C26/B26)*1000</f>
        <v>288030.765954504</v>
      </c>
      <c s="3" r="D86">
        <f>(AX26/B26)*1000</f>
        <v>48249.1957981286</v>
      </c>
      <c s="3" r="E86">
        <f>SUM(G86:P86)</f>
        <v>52284.1402047545</v>
      </c>
      <c s="3" r="F86">
        <f>E86-D86</f>
        <v>4034.94440662582</v>
      </c>
      <c s="3" r="G86">
        <f>(BB26/B26)*1000</f>
        <v>772.986340399146</v>
      </c>
      <c s="3" r="H86">
        <f>(BH26/B26)*1000</f>
        <v>21938.4295645358</v>
      </c>
      <c s="3" r="I86">
        <f>(((BX26+CD26)+CF26)/B26)*1000</f>
        <v>16680.3775350105</v>
      </c>
      <c s="3" r="J86">
        <f>(CH26/B26)*1000</f>
        <v>1045.7770149337</v>
      </c>
      <c s="3" r="K86">
        <f>(CJ26/B26)*1000</f>
        <v>7216.84843873808</v>
      </c>
      <c s="49" r="L86">
        <f>(CR26/B26)*1000</f>
        <v>80.7265786443298</v>
      </c>
      <c s="49" r="M86">
        <f>(CT26/B26)*1000</f>
        <v>1762.47984186558</v>
      </c>
      <c s="49" r="N86">
        <f>(DD26/B26)*1000</f>
        <v>1276.20891168523</v>
      </c>
      <c s="49" r="O86">
        <f>(DF26/B26)*1000</f>
        <v>108.739863294783</v>
      </c>
      <c s="3" r="P86">
        <f>(DH26/B26)*1000</f>
        <v>1401.56611564732</v>
      </c>
      <c s="49" r="R86">
        <f>(DJ26/B26)*1000</f>
        <v>7124.08128051022</v>
      </c>
      <c s="49" r="S86">
        <f>(DL26/B26)*1000</f>
        <v>232916.087556379</v>
      </c>
      <c s="49" r="T86">
        <f>(C86-R86)-S86</f>
        <v>47990.5971176143</v>
      </c>
      <c s="49" r="U86">
        <f>D86</f>
        <v>48249.1957981286</v>
      </c>
    </row>
    <row r="87">
      <c t="str" s="38" r="B87">
        <f>A27</f>
        <v>    $500,000 under $1,000,000</v>
      </c>
      <c s="3" r="C87">
        <f>(C27/B27)*1000</f>
        <v>678150.300840586</v>
      </c>
      <c s="3" r="D87">
        <f>(AX27/B27)*1000</f>
        <v>91522.2877302531</v>
      </c>
      <c s="3" r="E87">
        <f>SUM(G87:P87)</f>
        <v>105818.549845284</v>
      </c>
      <c s="3" r="F87">
        <f>E87-D87</f>
        <v>14296.2621150312</v>
      </c>
      <c s="3" r="G87">
        <f>(BB27/B27)*1000</f>
        <v>658.663341629563</v>
      </c>
      <c s="3" r="H87">
        <f>(BH27/B27)*1000</f>
        <v>49216.4006800617</v>
      </c>
      <c s="3" r="I87">
        <f>(((BX27+CD27)+CF27)/B27)*1000</f>
        <v>21414.8392871461</v>
      </c>
      <c s="3" r="J87">
        <f>(CH27/B27)*1000</f>
        <v>5228.02521922827</v>
      </c>
      <c s="3" r="K87">
        <f>(CJ27/B27)*1000</f>
        <v>17900.2914316477</v>
      </c>
      <c s="49" r="L87">
        <f>(CR27/B27)*1000</f>
        <v>130.396435403136</v>
      </c>
      <c s="49" r="M87">
        <f>(CT27/B27)*1000</f>
        <v>3417.15961323535</v>
      </c>
      <c s="49" r="N87">
        <f>(DD27/B27)*1000</f>
        <v>3550.56199999673</v>
      </c>
      <c s="49" r="O87">
        <f>(DF27/B27)*1000</f>
        <v>367.302056384906</v>
      </c>
      <c s="3" r="P87">
        <f>(DH27/B27)*1000</f>
        <v>3934.90978055082</v>
      </c>
      <c s="49" r="R87">
        <f>(DJ27/B27)*1000</f>
        <v>3292.35781457355</v>
      </c>
      <c s="49" r="S87">
        <f>(DL27/B27)*1000</f>
        <v>584183.633028484</v>
      </c>
      <c s="49" r="T87">
        <f>(C87-R87)-S87</f>
        <v>90674.3099975291</v>
      </c>
      <c s="49" r="U87">
        <f>D87</f>
        <v>91522.2877302531</v>
      </c>
    </row>
    <row r="88">
      <c t="str" s="38" r="B88">
        <f>A28</f>
        <v>    $1,000,000 under $1,500,000</v>
      </c>
      <c s="3" r="C88">
        <f>(C28/B28)*1000</f>
        <v>1207390.51511843</v>
      </c>
      <c s="3" r="D88">
        <f>(AX28/B28)*1000</f>
        <v>142875.625174541</v>
      </c>
      <c s="3" r="E88">
        <f>SUM(G88:P88)</f>
        <v>169859.478534616</v>
      </c>
      <c s="3" r="F88">
        <f>E88-D88</f>
        <v>26983.8533600752</v>
      </c>
      <c s="3" r="G88">
        <f>(BB28/B28)*1000</f>
        <v>466.037472390769</v>
      </c>
      <c s="3" r="H88">
        <f>(BH28/B28)*1000</f>
        <v>83484.8434842215</v>
      </c>
      <c s="3" r="I88">
        <f>(((BX28+CD28)+CF28)/B28)*1000</f>
        <v>22792.1881743634</v>
      </c>
      <c s="3" r="J88">
        <f>(CH28/B28)*1000</f>
        <v>11576.2649470664</v>
      </c>
      <c s="3" r="K88">
        <f>(CJ28/B28)*1000</f>
        <v>32561.1592068852</v>
      </c>
      <c s="49" r="L88">
        <f>(CR28/B28)*1000</f>
        <v>253.516210109421</v>
      </c>
      <c s="49" r="M88">
        <f>(CT28/B28)*1000</f>
        <v>5813.32351671786</v>
      </c>
      <c s="49" r="N88">
        <f>(DD28/B28)*1000</f>
        <v>6021.62405747798</v>
      </c>
      <c s="49" r="O88">
        <f>(DF28/B28)*1000</f>
        <v>418.993881540532</v>
      </c>
      <c s="3" r="P88">
        <f>(DH28/B28)*1000</f>
        <v>6471.5275838432</v>
      </c>
      <c s="49" r="R88">
        <f>(DJ28/B28)*1000</f>
        <v>3245.43654319734</v>
      </c>
      <c s="49" r="S88">
        <f>(DL28/B28)*1000</f>
        <v>1062347.31777908</v>
      </c>
      <c s="49" r="T88">
        <f>(C88-R88)-S88</f>
        <v>141797.760796161</v>
      </c>
      <c s="49" r="U88">
        <f>D88</f>
        <v>142875.625174541</v>
      </c>
    </row>
    <row r="89">
      <c t="str" s="38" r="B89">
        <f>A29</f>
        <v>    $1,500,000 under $2,000,000</v>
      </c>
      <c s="3" r="C89">
        <f>(C29/B29)*1000</f>
        <v>1721264.13780845</v>
      </c>
      <c s="3" r="D89">
        <f>(AX29/B29)*1000</f>
        <v>197268.225849453</v>
      </c>
      <c s="3" r="E89">
        <f>SUM(G89:P89)</f>
        <v>239193.648724709</v>
      </c>
      <c s="3" r="F89">
        <f>E89-D89</f>
        <v>41925.4228752555</v>
      </c>
      <c s="3" r="G89">
        <f>(BB29/B29)*1000</f>
        <v>279.186539088189</v>
      </c>
      <c s="3" r="H89">
        <f>(BH29/B29)*1000</f>
        <v>116662.262641822</v>
      </c>
      <c s="3" r="I89">
        <f>(((BX29+CD29)+CF29)/B29)*1000</f>
        <v>23146.4140770803</v>
      </c>
      <c s="3" r="J89">
        <f>(CH29/B29)*1000</f>
        <v>18229.4487069349</v>
      </c>
      <c s="3" r="K89">
        <f>(CJ29/B29)*1000</f>
        <v>47578.1171312617</v>
      </c>
      <c s="49" r="L89">
        <f>(CR29/B29)*1000</f>
        <v>292.33936664988</v>
      </c>
      <c s="49" r="M89">
        <f>(CT29/B29)*1000</f>
        <v>8775.75021477027</v>
      </c>
      <c s="49" r="N89">
        <f>(DD29/B29)*1000</f>
        <v>11349.542317149</v>
      </c>
      <c s="49" r="O89">
        <f>(DF29/B29)*1000</f>
        <v>705.853600734662</v>
      </c>
      <c s="3" r="P89">
        <f>(DH29/B29)*1000</f>
        <v>12174.7341292176</v>
      </c>
      <c s="49" r="R89">
        <f>(DJ29/B29)*1000</f>
        <v>3217.93998281838</v>
      </c>
      <c s="49" r="S89">
        <f>(DL29/B29)*1000</f>
        <v>1522261.82717659</v>
      </c>
      <c s="49" r="T89">
        <f>(C89-R89)-S89</f>
        <v>195784.37064905</v>
      </c>
      <c s="49" r="U89">
        <f>D89</f>
        <v>197268.225849453</v>
      </c>
    </row>
    <row r="90">
      <c t="str" s="38" r="B90">
        <f>A30</f>
        <v>    $2,000,000 under $5,000,000</v>
      </c>
      <c s="3" r="C90">
        <f>(C30/B30)*1000</f>
        <v>2989271.86483987</v>
      </c>
      <c s="3" r="D90">
        <f>(AX30/B30)*1000</f>
        <v>323625.639998856</v>
      </c>
      <c s="3" r="E90">
        <f>SUM(G90:P90)</f>
        <v>393748.224211741</v>
      </c>
      <c s="3" r="F90">
        <f>E90-D90</f>
        <v>70122.5842128848</v>
      </c>
      <c s="3" r="G90">
        <f>(BB30/B30)*1000</f>
        <v>202.31114670633</v>
      </c>
      <c s="3" r="H90">
        <f>(BH30/B30)*1000</f>
        <v>191851.939780517</v>
      </c>
      <c s="3" r="I90">
        <f>(((BX30+CD30)+CF30)/B30)*1000</f>
        <v>23595.4444476226</v>
      </c>
      <c s="3" r="J90">
        <f>(CH30/B30)*1000</f>
        <v>35062.2693858871</v>
      </c>
      <c s="3" r="K90">
        <f>(CJ30/B30)*1000</f>
        <v>90325.6962520142</v>
      </c>
      <c s="49" r="L90">
        <f>(CR30/B30)*1000</f>
        <v>90.57711926623</v>
      </c>
      <c s="49" r="M90">
        <f>(CT30/B30)*1000</f>
        <v>16023.9600316543</v>
      </c>
      <c s="49" r="N90">
        <f>(DD30/B30)*1000</f>
        <v>16631.6657608955</v>
      </c>
      <c s="49" r="O90">
        <f>(DF30/B30)*1000</f>
        <v>1566.08792654672</v>
      </c>
      <c s="3" r="P90">
        <f>(DH30/B30)*1000</f>
        <v>18398.2723606304</v>
      </c>
      <c s="49" r="R90">
        <f>(DJ30/B30)*1000</f>
        <v>3217.9952899898</v>
      </c>
      <c s="49" r="S90">
        <f>(DL30/B30)*1000</f>
        <v>2665068.6288531</v>
      </c>
      <c s="49" r="T90">
        <f>(C90-R90)-S90</f>
        <v>320985.240696777</v>
      </c>
      <c s="49" r="U90">
        <f>D90</f>
        <v>323625.639998856</v>
      </c>
    </row>
    <row r="91">
      <c t="str" s="38" r="B91">
        <f>A31</f>
        <v>    $5,000,000 under $10,000,000</v>
      </c>
      <c s="3" r="C91">
        <f>(C31/B31)*1000</f>
        <v>6845735.79824593</v>
      </c>
      <c s="3" r="D91">
        <f>(AX31/B31)*1000</f>
        <v>729133.592925507</v>
      </c>
      <c s="3" r="E91">
        <f>SUM(G91:P91)</f>
        <v>881372.611812657</v>
      </c>
      <c s="3" r="F91">
        <f>E91-D91</f>
        <v>152239.01888715</v>
      </c>
      <c s="3" r="G91">
        <f>(BB31/B31)*1000</f>
        <v>49.1648167691692</v>
      </c>
      <c s="3" r="H91">
        <f>(BH31/B31)*1000</f>
        <v>404850.613195531</v>
      </c>
      <c s="3" r="I91">
        <f>(((BX31+CD31)+CF31)/B31)*1000</f>
        <v>23358.8922449871</v>
      </c>
      <c s="3" r="J91">
        <f>(CH31/B31)*1000</f>
        <v>96167.0730375924</v>
      </c>
      <c s="3" r="K91">
        <f>(CJ31/B31)*1000</f>
        <v>241536.846319007</v>
      </c>
      <c s="49" r="L91">
        <f>(CR31/B31)*1000</f>
        <v>792.204956512246</v>
      </c>
      <c s="49" r="M91">
        <f>(CT31/B31)*1000</f>
        <v>40289.7849266713</v>
      </c>
      <c s="49" r="N91">
        <f>(DD31/B31)*1000</f>
        <v>32721.5691982969</v>
      </c>
      <c s="49" r="O91">
        <f>(DF31/B31)*1000</f>
        <v>3450.81698751774</v>
      </c>
      <c s="3" r="P91">
        <f>(DH31/B31)*1000</f>
        <v>38155.6461297718</v>
      </c>
      <c s="49" r="R91">
        <f>(DJ31/B31)*1000</f>
        <v>3189.78128752866</v>
      </c>
      <c s="49" r="S91">
        <f>(DL31/B31)*1000</f>
        <v>6120648.82273736</v>
      </c>
      <c s="49" r="T91">
        <f>(C91-R91)-S91</f>
        <v>721897.194221042</v>
      </c>
      <c s="49" r="U91">
        <f>D91</f>
        <v>729133.592925507</v>
      </c>
    </row>
    <row r="92">
      <c t="str" s="38" r="B92">
        <f>A32</f>
        <v>    $10,000,000 or more</v>
      </c>
      <c s="3" r="C92">
        <f>(C32/B32)*1000</f>
        <v>30605891.7562724</v>
      </c>
      <c s="3" r="D92">
        <f>(AX32/B32)*1000</f>
        <v>3615166.36338572</v>
      </c>
      <c s="3" r="E92">
        <f>SUM(G92:P92)</f>
        <v>4243884.25696168</v>
      </c>
      <c s="3" r="F92">
        <f>E92-D92</f>
        <v>628717.893575958</v>
      </c>
      <c s="3" r="G92">
        <f>(BB32/B32)*1000</f>
        <v>0</v>
      </c>
      <c s="3" r="H92">
        <f>(BH32/B32)*1000</f>
        <v>1532646.20898814</v>
      </c>
      <c s="3" r="I92">
        <f>(((BX32+CD32)+CF32)/B32)*1000</f>
        <v>21689.7160187483</v>
      </c>
      <c s="3" r="J92">
        <f>(CH32/B32)*1000</f>
        <v>573731.127653708</v>
      </c>
      <c s="3" r="K92">
        <f>(CJ32/B32)*1000</f>
        <v>1711499.86214502</v>
      </c>
      <c s="49" r="L92">
        <f>(CR32/B32)*1000</f>
        <v>0</v>
      </c>
      <c s="49" r="M92">
        <f>(CT32/B32)*1000</f>
        <v>137374.303832368</v>
      </c>
      <c s="49" r="N92">
        <f>(DD32/B32)*1000</f>
        <v>120894.017094017</v>
      </c>
      <c s="49" r="O92">
        <f>(DF32/B32)*1000</f>
        <v>11999.3934381031</v>
      </c>
      <c s="3" r="P92">
        <f>(DH32/B32)*1000</f>
        <v>134049.627791563</v>
      </c>
      <c s="49" r="R92">
        <f>(DJ32/B32)*1000</f>
        <v>3211.91066997519</v>
      </c>
      <c s="49" r="S92">
        <f>(DL32/B32)*1000</f>
        <v>27003183.5125448</v>
      </c>
      <c s="49" r="T92">
        <f>(C92-R92)-S92</f>
        <v>3599496.33305762</v>
      </c>
      <c s="49" r="U92">
        <f>D92</f>
        <v>3615166.36338572</v>
      </c>
    </row>
    <row r="94">
      <c t="s" s="39" r="C94">
        <v>106</v>
      </c>
      <c t="s" s="39" r="D94">
        <v>140</v>
      </c>
      <c t="s" s="39" r="E94">
        <v>141</v>
      </c>
      <c t="s" s="39" r="F94">
        <v>142</v>
      </c>
      <c t="s" s="39" r="G94">
        <v>143</v>
      </c>
      <c t="s" s="39" r="H94">
        <v>144</v>
      </c>
      <c t="s" s="39" r="I94">
        <v>145</v>
      </c>
      <c t="s" s="67" r="J94">
        <v>146</v>
      </c>
      <c t="s" s="67" r="K94">
        <v>147</v>
      </c>
      <c t="s" s="67" r="L94">
        <v>148</v>
      </c>
      <c t="s" s="67" r="M94">
        <v>149</v>
      </c>
      <c t="s" s="39" r="N94">
        <v>150</v>
      </c>
      <c t="s" s="67" r="O94">
        <v>151</v>
      </c>
    </row>
    <row r="95">
      <c t="s" s="39" r="B95">
        <v>75</v>
      </c>
      <c s="3" r="C95">
        <f>C70</f>
        <v>122423.598684485</v>
      </c>
      <c s="3" r="D95">
        <f>D70</f>
        <v>26373.5388263048</v>
      </c>
      <c s="3" r="E95">
        <f>E70</f>
        <v>27615.2257210334</v>
      </c>
      <c s="42" r="F95">
        <f>G70/$C70</f>
        <v>0.012338313927213</v>
      </c>
      <c s="42" r="G95">
        <f>H70/$C70</f>
        <v>0.075289737430143</v>
      </c>
      <c s="42" r="H95">
        <f>I70/$C70</f>
        <v>0.080049913915696</v>
      </c>
      <c s="42" r="I95">
        <f>J70/$C70</f>
        <v>0.004760059481804</v>
      </c>
      <c s="42" r="J95">
        <f>K70/$C70</f>
        <v>0.031287831607789</v>
      </c>
      <c s="42" r="K95">
        <f>L70/$C70</f>
        <v>0.000377679375086</v>
      </c>
      <c s="42" r="L95">
        <f>M70/$C70</f>
        <v>0.013771855496121</v>
      </c>
      <c s="42" r="M95">
        <f>N70/$C70</f>
        <v>0.003412118114261</v>
      </c>
      <c s="42" r="N95">
        <f>O70/$C70</f>
        <v>0.000411275935012</v>
      </c>
      <c s="42" r="O95">
        <f>P70/$C70</f>
        <v>0.003872313898532</v>
      </c>
    </row>
    <row r="96">
      <c t="s" s="39" r="B96">
        <v>76</v>
      </c>
      <c s="3" r="C96">
        <f>C71</f>
        <v>2613.53855809939</v>
      </c>
      <c s="3" r="D96">
        <f>D71</f>
        <v>16694.6734351708</v>
      </c>
      <c s="3" r="E96">
        <f>E71</f>
        <v>16757.5048744272</v>
      </c>
      <c s="42" r="F96">
        <f>G71/$C71</f>
        <v>1.73526373896386</v>
      </c>
      <c s="42" r="G96">
        <f>H71/$C71</f>
        <v>1.10050465238579</v>
      </c>
      <c s="42" r="H96">
        <f>I71/$C71</f>
        <v>3.05564295649138</v>
      </c>
      <c s="42" r="I96">
        <f>J71/$C71</f>
        <v>0.019907030111259</v>
      </c>
      <c s="42" r="J96">
        <f>K71/$C71</f>
        <v>0.145937820688858</v>
      </c>
      <c s="42" r="K96">
        <f>L71/$C71</f>
        <v>0.047557844904167</v>
      </c>
      <c s="42" r="L96">
        <f>M71/$C71</f>
        <v>0.258909243732982</v>
      </c>
      <c s="42" r="M96">
        <f>N71/$C71</f>
        <v>0.008857822334342</v>
      </c>
      <c s="42" r="N96">
        <f>O71/$C71</f>
        <v>0.01518404413457</v>
      </c>
      <c s="42" r="O96">
        <f>P71/$C71</f>
        <v>0.024041866468912</v>
      </c>
    </row>
    <row r="97">
      <c t="s" s="39" r="B97">
        <v>77</v>
      </c>
      <c s="3" r="C97">
        <f>C72</f>
        <v>7727.09134221056</v>
      </c>
      <c s="3" r="D97">
        <f>D72</f>
        <v>15486.1902588279</v>
      </c>
      <c s="3" r="E97">
        <f>E72</f>
        <v>15552.6267928592</v>
      </c>
      <c s="42" r="F97">
        <f>G72/$C72</f>
        <v>0.590352524245834</v>
      </c>
      <c s="42" r="G97">
        <f>H72/$C72</f>
        <v>0.347384214299741</v>
      </c>
      <c s="42" r="H97">
        <f>I72/$C72</f>
        <v>0.882167863392153</v>
      </c>
      <c s="42" r="I97">
        <f>J72/$C72</f>
        <v>0.006270492342334</v>
      </c>
      <c s="42" r="J97">
        <f>K72/$C72</f>
        <v>0.099517010100768</v>
      </c>
      <c s="42" r="K97">
        <f>L72/$C72</f>
        <v>0.008242741479374</v>
      </c>
      <c s="42" r="L97">
        <f>M72/$C72</f>
        <v>0.061609306376108</v>
      </c>
      <c s="42" r="M97">
        <f>N72/$C72</f>
        <v>0.006688848219888</v>
      </c>
      <c s="42" r="N97">
        <f>O72/$C72</f>
        <v>0.001909022710978</v>
      </c>
      <c s="42" r="O97">
        <f>P72/$C72</f>
        <v>0.008598101684246</v>
      </c>
    </row>
    <row r="98">
      <c t="s" s="39" r="B98">
        <v>78</v>
      </c>
      <c s="3" r="C98">
        <f>C73</f>
        <v>12621.3802038723</v>
      </c>
      <c s="3" r="D98">
        <f>D73</f>
        <v>15129.9562680781</v>
      </c>
      <c s="3" r="E98">
        <f>E73</f>
        <v>15235.3450805034</v>
      </c>
      <c s="42" r="F98">
        <f>G73/$C73</f>
        <v>0.353627954522497</v>
      </c>
      <c s="42" r="G98">
        <f>H73/$C73</f>
        <v>0.204817641857837</v>
      </c>
      <c s="42" r="H98">
        <f>I73/$C73</f>
        <v>0.477020101068919</v>
      </c>
      <c s="42" r="I98">
        <f>J73/$C73</f>
        <v>0.002903362060661</v>
      </c>
      <c s="42" r="J98">
        <f>K73/$C73</f>
        <v>0.077961367289224</v>
      </c>
      <c s="42" r="K98">
        <f>L73/$C73</f>
        <v>0.01202709991798</v>
      </c>
      <c s="42" r="L98">
        <f>M73/$C73</f>
        <v>0.0620309805838</v>
      </c>
      <c s="42" r="M98">
        <f>N73/$C73</f>
        <v>0.005171542980032</v>
      </c>
      <c s="42" r="N98">
        <f>O73/$C73</f>
        <v>0.003178557819776</v>
      </c>
      <c s="42" r="O98">
        <f>P73/$C73</f>
        <v>0.008367495543085</v>
      </c>
    </row>
    <row r="99">
      <c t="s" s="39" r="B99">
        <v>79</v>
      </c>
      <c s="3" r="C99">
        <f>C74</f>
        <v>17659.4091743677</v>
      </c>
      <c s="3" r="D99">
        <f>D74</f>
        <v>15318.4330659002</v>
      </c>
      <c s="3" r="E99">
        <f>E74</f>
        <v>15427.9828844895</v>
      </c>
      <c s="42" r="F99">
        <f>G74/$C74</f>
        <v>0.239857149278217</v>
      </c>
      <c s="42" r="G99">
        <f>H74/$C74</f>
        <v>0.155096996333541</v>
      </c>
      <c s="42" r="H99">
        <f>I74/$C74</f>
        <v>0.338580363692854</v>
      </c>
      <c s="42" r="I99">
        <f>J74/$C74</f>
        <v>0.001742768666538</v>
      </c>
      <c s="42" r="J99">
        <f>K74/$C74</f>
        <v>0.065967247699699</v>
      </c>
      <c s="42" r="K99">
        <f>L74/$C74</f>
        <v>0.00111685299668</v>
      </c>
      <c s="42" r="L99">
        <f>M74/$C74</f>
        <v>0.058872601311046</v>
      </c>
      <c s="42" r="M99">
        <f>N74/$C74</f>
        <v>0.00440969991852</v>
      </c>
      <c s="42" r="N99">
        <f>O74/$C74</f>
        <v>0.001793781608391</v>
      </c>
      <c s="42" r="O99">
        <f>P74/$C74</f>
        <v>0.00620348152691</v>
      </c>
    </row>
    <row r="100">
      <c t="s" s="39" r="B100">
        <v>80</v>
      </c>
      <c s="3" r="C100">
        <f>C75</f>
        <v>22557.5673747367</v>
      </c>
      <c s="3" r="D100">
        <f>D75</f>
        <v>15296.6821058911</v>
      </c>
      <c s="3" r="E100">
        <f>E75</f>
        <v>15442.1555811394</v>
      </c>
      <c s="42" r="F100">
        <f>G75/$C75</f>
        <v>0.133959917792404</v>
      </c>
      <c s="42" r="G100">
        <f>H75/$C75</f>
        <v>0.128714834909771</v>
      </c>
      <c s="42" r="H100">
        <f>I75/$C75</f>
        <v>0.27912982727938</v>
      </c>
      <c s="42" r="I100">
        <f>J75/$C75</f>
        <v>0.002403715814409</v>
      </c>
      <c s="42" r="J100">
        <f>K75/$C75</f>
        <v>0.057499890526536</v>
      </c>
      <c s="42" r="K100">
        <f>L75/$C75</f>
        <v>0.004303520120737</v>
      </c>
      <c s="42" r="L100">
        <f>M75/$C75</f>
        <v>0.065656846239941</v>
      </c>
      <c s="42" r="M100">
        <f>N75/$C75</f>
        <v>0.004419634772265</v>
      </c>
      <c s="42" r="N100">
        <f>O75/$C75</f>
        <v>0.002029352959065</v>
      </c>
      <c s="42" r="O100">
        <f>P75/$C75</f>
        <v>0.00644898773133</v>
      </c>
    </row>
    <row r="101">
      <c t="s" s="39" r="B101">
        <v>81</v>
      </c>
      <c s="3" r="C101">
        <f>C76</f>
        <v>27597.0065210294</v>
      </c>
      <c s="3" r="D101">
        <f>D76</f>
        <v>15242.2452208416</v>
      </c>
      <c s="3" r="E101">
        <f>E76</f>
        <v>15391.6563191482</v>
      </c>
      <c s="42" r="F101">
        <f>G76/$C76</f>
        <v>0.091455717179723</v>
      </c>
      <c s="42" r="G101">
        <f>H76/$C76</f>
        <v>0.110598872765568</v>
      </c>
      <c s="42" r="H101">
        <f>I76/$C76</f>
        <v>0.233918717578219</v>
      </c>
      <c s="42" r="I101">
        <f>J76/$C76</f>
        <v>0.001067644055609</v>
      </c>
      <c s="42" r="J101">
        <f>K76/$C76</f>
        <v>0.05014974640117</v>
      </c>
      <c s="42" r="K101">
        <f>L76/$C76</f>
        <v>0.001554166677283</v>
      </c>
      <c s="42" r="L101">
        <f>M76/$C76</f>
        <v>0.058156207269516</v>
      </c>
      <c s="42" r="M101">
        <f>N76/$C76</f>
        <v>0.003110375782963</v>
      </c>
      <c s="42" r="N101">
        <f>O76/$C76</f>
        <v>0.002303697454637</v>
      </c>
      <c s="42" r="O101">
        <f>P76/$C76</f>
        <v>0.005414053015536</v>
      </c>
    </row>
    <row r="102">
      <c t="s" s="39" r="B102">
        <v>82</v>
      </c>
      <c s="3" r="C102">
        <f>C77</f>
        <v>32619.8017582961</v>
      </c>
      <c s="3" r="D102">
        <f>D77</f>
        <v>15414.3110818243</v>
      </c>
      <c s="3" r="E102">
        <f>E77</f>
        <v>15535.2468539258</v>
      </c>
      <c s="42" r="F102">
        <f>G77/$C77</f>
        <v>0.065351749166487</v>
      </c>
      <c s="42" r="G102">
        <f>H77/$C77</f>
        <v>0.099185484024881</v>
      </c>
      <c s="42" r="H102">
        <f>I77/$C77</f>
        <v>0.205643108082912</v>
      </c>
      <c s="42" r="I102">
        <f>J77/$C77</f>
        <v>0.000560755072649</v>
      </c>
      <c s="42" r="J102">
        <f>K77/$C77</f>
        <v>0.043975905560131</v>
      </c>
      <c s="42" r="K102">
        <f>L77/$C77</f>
        <v>0.000652100188944</v>
      </c>
      <c s="42" r="L102">
        <f>M77/$C77</f>
        <v>0.053435292804994</v>
      </c>
      <c s="42" r="M102">
        <f>N77/$C77</f>
        <v>0.002660048476627</v>
      </c>
      <c s="42" r="N102">
        <f>O77/$C77</f>
        <v>0.001047385829615</v>
      </c>
      <c s="42" r="O102">
        <f>P77/$C77</f>
        <v>0.003740202274672</v>
      </c>
    </row>
    <row r="103">
      <c t="s" s="39" r="B103">
        <v>83</v>
      </c>
      <c s="3" r="C103">
        <f>C78</f>
        <v>37514.5481257487</v>
      </c>
      <c s="3" r="D103">
        <f>D78</f>
        <v>15846.1678124266</v>
      </c>
      <c s="3" r="E103">
        <f>E78</f>
        <v>15992.9974910267</v>
      </c>
      <c s="42" r="F103">
        <f>G78/$C78</f>
        <v>0.048424657531779</v>
      </c>
      <c s="42" r="G103">
        <f>H78/$C78</f>
        <v>0.092141906337747</v>
      </c>
      <c s="42" r="H103">
        <f>I78/$C78</f>
        <v>0.185956425386114</v>
      </c>
      <c s="42" r="I103">
        <f>J78/$C78</f>
        <v>0.000576616406902</v>
      </c>
      <c s="42" r="J103">
        <f>K78/$C78</f>
        <v>0.041517522184162</v>
      </c>
      <c s="42" r="K103">
        <f>L78/$C78</f>
        <v>0.001677536539645</v>
      </c>
      <c s="42" r="L103">
        <f>M78/$C78</f>
        <v>0.048191976586977</v>
      </c>
      <c s="42" r="M103">
        <f>N78/$C78</f>
        <v>0.003065924222103</v>
      </c>
      <c s="42" r="N103">
        <f>O78/$C78</f>
        <v>0.000848027470258</v>
      </c>
      <c s="42" r="O103">
        <f>P78/$C78</f>
        <v>0.003913951692361</v>
      </c>
    </row>
    <row r="104">
      <c t="s" s="39" r="B104">
        <v>84</v>
      </c>
      <c s="3" r="C104">
        <f>C79</f>
        <v>42493.0971635034</v>
      </c>
      <c s="3" r="D104">
        <f>D79</f>
        <v>16237.8436497289</v>
      </c>
      <c s="3" r="E104">
        <f>E79</f>
        <v>16383.0343796712</v>
      </c>
      <c s="42" r="F104">
        <f>G79/$C79</f>
        <v>0.042863676577323</v>
      </c>
      <c s="42" r="G104">
        <f>H79/$C79</f>
        <v>0.086914609802619</v>
      </c>
      <c s="42" r="H104">
        <f>I79/$C79</f>
        <v>0.168590150523293</v>
      </c>
      <c s="42" r="I104">
        <f>J79/$C79</f>
        <v>0.000529233730436</v>
      </c>
      <c s="42" r="J104">
        <f>K79/$C79</f>
        <v>0.035529264966033</v>
      </c>
      <c s="42" r="K104">
        <f>L79/$C79</f>
        <v>0.000735535413557</v>
      </c>
      <c s="42" r="L104">
        <f>M79/$C79</f>
        <v>0.043376495896838</v>
      </c>
      <c s="42" r="M104">
        <f>N79/$C79</f>
        <v>0.002608182812347</v>
      </c>
      <c s="42" r="N104">
        <f>O79/$C79</f>
        <v>0.000808635095403</v>
      </c>
      <c s="42" r="O104">
        <f>P79/$C79</f>
        <v>0.003589997280197</v>
      </c>
    </row>
    <row r="105">
      <c t="s" s="39" r="B105">
        <v>85</v>
      </c>
      <c s="3" r="C105">
        <f>C80</f>
        <v>47505.4043593881</v>
      </c>
      <c s="3" r="D105">
        <f>D80</f>
        <v>16859.565024373</v>
      </c>
      <c s="3" r="E105">
        <f>E80</f>
        <v>16973.2689106608</v>
      </c>
      <c s="42" r="F105">
        <f>G80/$C80</f>
        <v>0.03289490109412</v>
      </c>
      <c s="42" r="G105">
        <f>H80/$C80</f>
        <v>0.084407865247269</v>
      </c>
      <c s="42" r="H105">
        <f>I80/$C80</f>
        <v>0.162291128715649</v>
      </c>
      <c s="42" r="I105">
        <f>J80/$C80</f>
        <v>0.00068121428483</v>
      </c>
      <c s="42" r="J105">
        <f>K80/$C80</f>
        <v>0.035957277995784</v>
      </c>
      <c s="42" r="K105">
        <f>L80/$C80</f>
        <v>0.00021227350807</v>
      </c>
      <c s="42" r="L105">
        <f>M80/$C80</f>
        <v>0.036059640773283</v>
      </c>
      <c s="42" r="M105">
        <f>N80/$C80</f>
        <v>0.002044914670759</v>
      </c>
      <c s="42" r="N105">
        <f>O80/$C80</f>
        <v>0.000348597466363</v>
      </c>
      <c s="42" r="O105">
        <f>P80/$C80</f>
        <v>0.002393512137122</v>
      </c>
    </row>
    <row r="106">
      <c t="s" s="39" r="B106">
        <v>86</v>
      </c>
      <c s="3" r="C106">
        <f>C81</f>
        <v>52448.0054374313</v>
      </c>
      <c s="3" r="D106">
        <f>D81</f>
        <v>17519.7034764156</v>
      </c>
      <c s="3" r="E106">
        <f>E81</f>
        <v>17698.4502883718</v>
      </c>
      <c s="42" r="F106">
        <f>G81/$C81</f>
        <v>0.026988345236106</v>
      </c>
      <c s="42" r="G106">
        <f>H81/$C81</f>
        <v>0.083656478128328</v>
      </c>
      <c s="42" r="H106">
        <f>I81/$C81</f>
        <v>0.150438150481678</v>
      </c>
      <c s="42" r="I106">
        <f>J81/$C81</f>
        <v>0.001100965076211</v>
      </c>
      <c s="42" r="J106">
        <f>K81/$C81</f>
        <v>0.034111499607223</v>
      </c>
      <c s="42" r="K106">
        <f>L81/$C81</f>
        <v>0.000180977363937</v>
      </c>
      <c s="42" r="L106">
        <f>M81/$C81</f>
        <v>0.034154968843283</v>
      </c>
      <c s="42" r="M106">
        <f>N81/$C81</f>
        <v>0.002566326691294</v>
      </c>
      <c s="42" r="N106">
        <f>O81/$C81</f>
        <v>0.000841749754425</v>
      </c>
      <c s="42" r="O106">
        <f>P81/$C81</f>
        <v>0.003408076445719</v>
      </c>
    </row>
    <row r="107">
      <c t="s" s="39" r="B107">
        <v>87</v>
      </c>
      <c s="3" r="C107">
        <f>C82</f>
        <v>57418.0937973318</v>
      </c>
      <c s="3" r="D107">
        <f>D82</f>
        <v>18409.9774101</v>
      </c>
      <c s="3" r="E107">
        <f>E82</f>
        <v>18576.2725711772</v>
      </c>
      <c s="42" r="F107">
        <f>G82/$C82</f>
        <v>0.025303878856288</v>
      </c>
      <c s="42" r="G107">
        <f>H82/$C82</f>
        <v>0.0832313782118</v>
      </c>
      <c s="42" r="H107">
        <f>I82/$C82</f>
        <v>0.144470520517034</v>
      </c>
      <c s="42" r="I107">
        <f>J82/$C82</f>
        <v>0.000603335696064</v>
      </c>
      <c s="42" r="J107">
        <f>K82/$C82</f>
        <v>0.033215517765013</v>
      </c>
      <c s="42" r="K107">
        <f>L82/$C82</f>
        <v>0.000128257450718</v>
      </c>
      <c s="42" r="L107">
        <f>M82/$C82</f>
        <v>0.030781124158493</v>
      </c>
      <c s="42" r="M107">
        <f>N82/$C82</f>
        <v>0.002398386661187</v>
      </c>
      <c s="42" r="N107">
        <f>O82/$C82</f>
        <v>0.000497836531978</v>
      </c>
      <c s="42" r="O107">
        <f>P82/$C82</f>
        <v>0.002896223193165</v>
      </c>
    </row>
    <row r="108">
      <c t="s" s="39" r="B108">
        <v>88</v>
      </c>
      <c s="3" r="C108">
        <f>C83</f>
        <v>67332.6553832234</v>
      </c>
      <c s="3" r="D108">
        <f>D83</f>
        <v>19323.2883813716</v>
      </c>
      <c s="3" r="E108">
        <f>E83</f>
        <v>19485.2173747111</v>
      </c>
      <c s="42" r="F108">
        <f>G83/$C83</f>
        <v>0.020630586073432</v>
      </c>
      <c s="42" r="G108">
        <f>H83/$C83</f>
        <v>0.08043926139783</v>
      </c>
      <c s="42" r="H108">
        <f>I83/$C83</f>
        <v>0.128725225469266</v>
      </c>
      <c s="42" r="I108">
        <f>J83/$C83</f>
        <v>0.000518241945495</v>
      </c>
      <c s="42" r="J108">
        <f>K83/$C83</f>
        <v>0.03025335160273</v>
      </c>
      <c s="42" r="K108">
        <f>L83/$C83</f>
        <v>0.001032757145774</v>
      </c>
      <c s="42" r="L108">
        <f>M83/$C83</f>
        <v>0.022959693195818</v>
      </c>
      <c s="42" r="M108">
        <f>N83/$C83</f>
        <v>0.002059019646843</v>
      </c>
      <c s="42" r="N108">
        <f>O83/$C83</f>
        <v>0.00034589060685</v>
      </c>
      <c s="42" r="O108">
        <f>P83/$C83</f>
        <v>0.002423303087497</v>
      </c>
    </row>
    <row r="109">
      <c t="s" s="39" r="B109">
        <v>89</v>
      </c>
      <c s="3" r="C109">
        <f>C84</f>
        <v>86867.8062780315</v>
      </c>
      <c s="3" r="D109">
        <f>D84</f>
        <v>21711.9379574376</v>
      </c>
      <c s="3" r="E109">
        <f>E84</f>
        <v>21908.6842439539</v>
      </c>
      <c s="42" r="F109">
        <f>G84/$C84</f>
        <v>0.012253948546725</v>
      </c>
      <c s="42" r="G109">
        <f>H84/$C84</f>
        <v>0.077796468771332</v>
      </c>
      <c s="42" r="H109">
        <f>I84/$C84</f>
        <v>0.111982450385564</v>
      </c>
      <c s="42" r="I109">
        <f>J84/$C84</f>
        <v>0.000593470160188</v>
      </c>
      <c s="42" r="J109">
        <f>K84/$C84</f>
        <v>0.02790788638412</v>
      </c>
      <c s="42" r="K109">
        <f>L84/$C84</f>
        <v>0.000477723367566</v>
      </c>
      <c s="42" r="L109">
        <f>M84/$C84</f>
        <v>0.016708683101193</v>
      </c>
      <c s="42" r="M109">
        <f>N84/$C84</f>
        <v>0.001984300362939</v>
      </c>
      <c s="42" r="N109">
        <f>O84/$C84</f>
        <v>0.00024963231271</v>
      </c>
      <c s="42" r="O109">
        <f>P84/$C84</f>
        <v>0.002252614187725</v>
      </c>
    </row>
    <row r="110">
      <c t="s" s="39" r="B110">
        <v>90</v>
      </c>
      <c s="3" r="C110">
        <f>C85</f>
        <v>134469.871546264</v>
      </c>
      <c s="3" r="D110">
        <f>D85</f>
        <v>28601.9402538972</v>
      </c>
      <c s="3" r="E110">
        <f>E85</f>
        <v>29053.67596785</v>
      </c>
      <c s="42" r="F110">
        <f>G85/$C85</f>
        <v>0.006358055912905</v>
      </c>
      <c s="42" r="G110">
        <f>H85/$C85</f>
        <v>0.076970016773724</v>
      </c>
      <c s="42" r="H110">
        <f>I85/$C85</f>
        <v>0.0894840627831</v>
      </c>
      <c s="42" r="I110">
        <f>J85/$C85</f>
        <v>0.001082427850548</v>
      </c>
      <c s="42" r="J110">
        <f>K85/$C85</f>
        <v>0.025737768956983</v>
      </c>
      <c s="42" r="K110">
        <f>L85/$C85</f>
        <v>0.000202100794844</v>
      </c>
      <c s="42" r="L110">
        <f>M85/$C85</f>
        <v>0.010877086363357</v>
      </c>
      <c s="42" r="M110">
        <f>N85/$C85</f>
        <v>0.00243302053482</v>
      </c>
      <c s="42" r="N110">
        <f>O85/$C85</f>
        <v>0.000213829373335</v>
      </c>
      <c s="42" r="O110">
        <f>P85/$C85</f>
        <v>0.002702489745211</v>
      </c>
    </row>
    <row r="111">
      <c t="s" s="39" r="B111">
        <v>91</v>
      </c>
      <c s="3" r="C111">
        <f>C86</f>
        <v>288030.765954504</v>
      </c>
      <c s="3" r="D111">
        <f>D86</f>
        <v>48249.1957981286</v>
      </c>
      <c s="3" r="E111">
        <f>E86</f>
        <v>52284.1402047545</v>
      </c>
      <c s="42" r="F111">
        <f>G86/$C86</f>
        <v>0.00268369365973</v>
      </c>
      <c s="42" r="G111">
        <f>H86/$C86</f>
        <v>0.076166966024737</v>
      </c>
      <c s="42" r="H111">
        <f>I86/$C86</f>
        <v>0.057911791053756</v>
      </c>
      <c s="42" r="I111">
        <f>J86/$C86</f>
        <v>0.003630782327951</v>
      </c>
      <c s="42" r="J111">
        <f>K86/$C86</f>
        <v>0.025055824904059</v>
      </c>
      <c s="42" r="K111">
        <f>L86/$C86</f>
        <v>0.000280270680032</v>
      </c>
      <c s="42" r="L111">
        <f>M86/$C86</f>
        <v>0.006119067996174</v>
      </c>
      <c s="42" r="M111">
        <f>N86/$C86</f>
        <v>0.004430807616874</v>
      </c>
      <c s="42" r="N111">
        <f>O86/$C86</f>
        <v>0.000377528639812</v>
      </c>
      <c s="42" r="O111">
        <f>P86/$C86</f>
        <v>0.004866029193106</v>
      </c>
    </row>
    <row r="112">
      <c t="s" s="39" r="B112">
        <v>92</v>
      </c>
      <c s="3" r="C112">
        <f>C87</f>
        <v>678150.300840586</v>
      </c>
      <c s="3" r="D112">
        <f>D87</f>
        <v>91522.2877302531</v>
      </c>
      <c s="3" r="E112">
        <f>E87</f>
        <v>105818.549845284</v>
      </c>
      <c s="42" r="F112">
        <f>G87/$C87</f>
        <v>0.000971264542408</v>
      </c>
      <c s="42" r="G112">
        <f>H87/$C87</f>
        <v>0.07257447297311</v>
      </c>
      <c s="42" r="H112">
        <f>I87/$C87</f>
        <v>0.031578308319854</v>
      </c>
      <c s="42" r="I112">
        <f>J87/$C87</f>
        <v>0.007709242645396</v>
      </c>
      <c s="42" r="J112">
        <f>K87/$C87</f>
        <v>0.026395758299392</v>
      </c>
      <c s="42" r="K112">
        <f>L87/$C87</f>
        <v>0.000192282500268</v>
      </c>
      <c s="42" r="L112">
        <f>M87/$C87</f>
        <v>0.005038941380693</v>
      </c>
      <c s="42" r="M112">
        <f>N87/$C87</f>
        <v>0.005235656454912</v>
      </c>
      <c s="42" r="N112">
        <f>O87/$C87</f>
        <v>0.000541623377487</v>
      </c>
      <c s="42" r="O112">
        <f>P87/$C87</f>
        <v>0.00580241544636</v>
      </c>
    </row>
    <row r="113">
      <c t="s" s="39" r="B113">
        <v>93</v>
      </c>
      <c s="3" r="C113">
        <f>C88</f>
        <v>1207390.51511843</v>
      </c>
      <c s="3" r="D113">
        <f>D88</f>
        <v>142875.625174541</v>
      </c>
      <c s="3" r="E113">
        <f>E88</f>
        <v>169859.478534616</v>
      </c>
      <c s="42" r="F113">
        <f>G88/$C88</f>
        <v>0.000385987355835</v>
      </c>
      <c s="42" r="G113">
        <f>H88/$C88</f>
        <v>0.069144856149572</v>
      </c>
      <c s="42" r="H113">
        <f>I88/$C88</f>
        <v>0.018877229768637</v>
      </c>
      <c s="42" r="I113">
        <f>J88/$C88</f>
        <v>0.009587838236356</v>
      </c>
      <c s="42" r="J113">
        <f>K88/$C88</f>
        <v>0.026968208544931</v>
      </c>
      <c s="42" r="K113">
        <f>L88/$C88</f>
        <v>0.000209970350881</v>
      </c>
      <c s="42" r="L113">
        <f>M88/$C88</f>
        <v>0.0048147831575</v>
      </c>
      <c s="42" r="M113">
        <f>N88/$C88</f>
        <v>0.004987304423944</v>
      </c>
      <c s="42" r="N113">
        <f>O88/$C88</f>
        <v>0.000347024327501</v>
      </c>
      <c s="42" r="O113">
        <f>P88/$C88</f>
        <v>0.005359929122193</v>
      </c>
    </row>
    <row r="114">
      <c t="s" s="39" r="B114">
        <v>94</v>
      </c>
      <c s="3" r="C114">
        <f>C89</f>
        <v>1721264.13780845</v>
      </c>
      <c s="3" r="D114">
        <f>D89</f>
        <v>197268.225849453</v>
      </c>
      <c s="3" r="E114">
        <f>E89</f>
        <v>239193.648724709</v>
      </c>
      <c s="42" r="F114">
        <f>G89/$C89</f>
        <v>0.000162198545218</v>
      </c>
      <c s="42" r="G114">
        <f>H89/$C89</f>
        <v>0.067777083179319</v>
      </c>
      <c s="42" r="H114">
        <f>I89/$C89</f>
        <v>0.013447334182278</v>
      </c>
      <c s="42" r="I114">
        <f>J89/$C89</f>
        <v>0.010590732884347</v>
      </c>
      <c s="42" r="J114">
        <f>K89/$C89</f>
        <v>0.027641380591266</v>
      </c>
      <c s="42" r="K114">
        <f>L89/$C89</f>
        <v>0.000169839921851</v>
      </c>
      <c s="42" r="L114">
        <f>M89/$C89</f>
        <v>0.005098433193376</v>
      </c>
      <c s="42" r="M114">
        <f>N89/$C89</f>
        <v>0.006593724965187</v>
      </c>
      <c s="42" r="N114">
        <f>O89/$C89</f>
        <v>0.000410078607478</v>
      </c>
      <c s="42" r="O114">
        <f>P89/$C89</f>
        <v>0.007073135297363</v>
      </c>
    </row>
    <row r="115">
      <c t="s" s="39" r="B115">
        <v>95</v>
      </c>
      <c s="3" r="C115">
        <f>C90</f>
        <v>2989271.86483987</v>
      </c>
      <c s="3" r="D115">
        <f>D90</f>
        <v>323625.639998856</v>
      </c>
      <c s="3" r="E115">
        <f>E90</f>
        <v>393748.224211741</v>
      </c>
      <c s="42" r="F115">
        <f>G90/$C90</f>
        <v>0.000067679072314</v>
      </c>
      <c s="42" r="G115">
        <f>H90/$C90</f>
        <v>0.064180157729078</v>
      </c>
      <c s="42" r="H115">
        <f>I90/$C90</f>
        <v>0.007893375214598</v>
      </c>
      <c s="42" r="I115">
        <f>J90/$C90</f>
        <v>0.011729367876603</v>
      </c>
      <c s="42" r="J115">
        <f>K90/$C90</f>
        <v>0.030216621416886</v>
      </c>
      <c s="42" r="K115">
        <f>L90/$C90</f>
        <v>0.000030300729864</v>
      </c>
      <c s="42" r="L115">
        <f>M90/$C90</f>
        <v>0.005360489362018</v>
      </c>
      <c s="42" r="M115">
        <f>N90/$C90</f>
        <v>0.005563784932551</v>
      </c>
      <c s="42" r="N115">
        <f>O90/$C90</f>
        <v>0.000523902808897</v>
      </c>
      <c s="42" r="O115">
        <f>P90/$C90</f>
        <v>0.006154767178266</v>
      </c>
    </row>
    <row r="116">
      <c t="s" s="39" r="B116">
        <v>96</v>
      </c>
      <c s="3" r="C116">
        <f>C91</f>
        <v>6845735.79824593</v>
      </c>
      <c s="3" r="D116">
        <f>D91</f>
        <v>729133.592925507</v>
      </c>
      <c s="3" r="E116">
        <f>E91</f>
        <v>881372.611812657</v>
      </c>
      <c s="42" r="F116">
        <f>G91/$C91</f>
        <v>0.000007181816275</v>
      </c>
      <c s="42" r="G116">
        <f>H91/$C91</f>
        <v>0.059139094047314</v>
      </c>
      <c s="42" r="H116">
        <f>I91/$C91</f>
        <v>0.003412181383186</v>
      </c>
      <c s="42" r="I116">
        <f>J91/$C91</f>
        <v>0.014047733636205</v>
      </c>
      <c s="42" r="J116">
        <f>K91/$C91</f>
        <v>0.035282817426418</v>
      </c>
      <c s="42" r="K116">
        <f>L91/$C91</f>
        <v>0.000115722397104</v>
      </c>
      <c s="42" r="L116">
        <f>M91/$C91</f>
        <v>0.005885384144827</v>
      </c>
      <c s="42" r="M116">
        <f>N91/$C91</f>
        <v>0.004779846924078</v>
      </c>
      <c s="42" r="N116">
        <f>O91/$C91</f>
        <v>0.000504082700417</v>
      </c>
      <c s="42" r="O116">
        <f>P91/$C91</f>
        <v>0.005573636969681</v>
      </c>
    </row>
    <row r="117">
      <c t="s" s="39" r="B117">
        <v>97</v>
      </c>
      <c s="3" r="C117">
        <f>C92</f>
        <v>30605891.7562724</v>
      </c>
      <c s="3" r="D117">
        <f>D92</f>
        <v>3615166.36338572</v>
      </c>
      <c s="3" r="E117">
        <f>E92</f>
        <v>4243884.25696168</v>
      </c>
      <c s="42" r="F117">
        <f>G92/$C92</f>
        <v>0</v>
      </c>
      <c s="42" r="G117">
        <f>H92/$C92</f>
        <v>0.050076835571179</v>
      </c>
      <c s="42" r="H117">
        <f>I92/$C92</f>
        <v>0.000708677799408</v>
      </c>
      <c s="42" r="I117">
        <f>J92/$C92</f>
        <v>0.018745773925575</v>
      </c>
      <c s="42" r="J117">
        <f>K92/$C92</f>
        <v>0.055920601032455</v>
      </c>
      <c s="42" r="K117">
        <f>L92/$C92</f>
        <v>0</v>
      </c>
      <c s="42" r="L117">
        <f>M92/$C92</f>
        <v>0.004488492115385</v>
      </c>
      <c s="42" r="M117">
        <f>N92/$C92</f>
        <v>0.003950024330503</v>
      </c>
      <c s="42" r="N117">
        <f>O92/$C92</f>
        <v>0.000392061552516</v>
      </c>
      <c s="42" r="O117">
        <f>P92/$C92</f>
        <v>0.004379863487039</v>
      </c>
    </row>
  </sheetData>
  <mergeCells count="75">
    <mergeCell ref="A1:DV1"/>
    <mergeCell ref="A2:DV2"/>
    <mergeCell ref="D3:E3"/>
    <mergeCell ref="F3:G3"/>
    <mergeCell ref="H3:I3"/>
    <mergeCell ref="J3:K3"/>
    <mergeCell ref="L3:M3"/>
    <mergeCell ref="N3:O3"/>
    <mergeCell ref="P3:Q3"/>
    <mergeCell ref="R3:S3"/>
    <mergeCell ref="T3:U3"/>
    <mergeCell ref="V3:W3"/>
    <mergeCell ref="X3:Y3"/>
    <mergeCell ref="Z3:AA3"/>
    <mergeCell ref="AB3:AC3"/>
    <mergeCell ref="AD3:AE3"/>
    <mergeCell ref="AF3:AG3"/>
    <mergeCell ref="AH3:AI3"/>
    <mergeCell ref="AJ3:AK3"/>
    <mergeCell ref="AL3:AM3"/>
    <mergeCell ref="AN3:AO3"/>
    <mergeCell ref="AP3:AQ3"/>
    <mergeCell ref="AR3:AS3"/>
    <mergeCell ref="AT3:AU3"/>
    <mergeCell ref="AV3:AW3"/>
    <mergeCell ref="AX3:DH3"/>
    <mergeCell ref="DI3:DJ3"/>
    <mergeCell ref="DK3:DL3"/>
    <mergeCell ref="DM3:DN3"/>
    <mergeCell ref="DO3:DP3"/>
    <mergeCell ref="DQ3:DR3"/>
    <mergeCell ref="DS3:DT3"/>
    <mergeCell ref="DU3:DV3"/>
    <mergeCell ref="AY4:AZ4"/>
    <mergeCell ref="BA4:BB4"/>
    <mergeCell ref="BC4:BD4"/>
    <mergeCell ref="BE4:BF4"/>
    <mergeCell ref="BG4:BT4"/>
    <mergeCell ref="BU4:CH4"/>
    <mergeCell ref="CI4:CP4"/>
    <mergeCell ref="CQ4:CR4"/>
    <mergeCell ref="CS4:DB4"/>
    <mergeCell ref="DC4:DD4"/>
    <mergeCell ref="DE4:DF4"/>
    <mergeCell ref="DG4:DH4"/>
    <mergeCell ref="BG5:BH5"/>
    <mergeCell ref="BI5:BN5"/>
    <mergeCell ref="BO5:BP5"/>
    <mergeCell ref="BQ5:BR5"/>
    <mergeCell ref="BS5:BT5"/>
    <mergeCell ref="BU5:BV5"/>
    <mergeCell ref="BW5:CB5"/>
    <mergeCell ref="CC5:CD5"/>
    <mergeCell ref="CE5:CF5"/>
    <mergeCell ref="CG5:CH5"/>
    <mergeCell ref="CI5:CJ5"/>
    <mergeCell ref="CK5:CL5"/>
    <mergeCell ref="CM5:CN5"/>
    <mergeCell ref="CO5:CP5"/>
    <mergeCell ref="CS5:CT5"/>
    <mergeCell ref="CU5:CV5"/>
    <mergeCell ref="CW5:CX5"/>
    <mergeCell ref="CY5:CZ5"/>
    <mergeCell ref="DA5:DB5"/>
    <mergeCell ref="BI6:BJ6"/>
    <mergeCell ref="BK6:BL6"/>
    <mergeCell ref="BM6:BN6"/>
    <mergeCell ref="BW6:BX6"/>
    <mergeCell ref="BY6:BZ6"/>
    <mergeCell ref="CA6:CB6"/>
    <mergeCell ref="A35:DV35"/>
    <mergeCell ref="A36:DV36"/>
    <mergeCell ref="A37:FK37"/>
    <mergeCell ref="A38:DV38"/>
    <mergeCell ref="A39:DV39"/>
  </mergeCells>
  <conditionalFormatting sqref="P11 Q11 AF11 AG11 AJ11 AK11 AR11 AS11 AY11 AZ11 CQ11 CR11 DE11 DF11 DK11 DL11 DM11 DN11 DQ11 DR11 P12 Q12 AR12 AS12 AY12 AZ12 CQ12 CR12 DE12 DF12 DM12 DN12 AJ13 AK13 AR13 AS13 AY13 AZ13 CQ13 CR13 DM13 DN13 AR14 AS14 AY14 AZ14 AR15 AS15 AY15 AZ15 CQ15 CR15 DM15 DN15 AR16 AS16 AY16 AZ16 CQ16 CR16 DM16 DN16 AR17 AS17 AY17 AZ17 DM17 DN17 AR18 AS18 AY18 AZ18 DM18 DN18 AR19 AS19 AY19 AZ19 CQ19 CR19 AF20 AG20 AR20 AS20 AY20 AZ20 AY21 AZ21 AY22 AZ22 CQ29 CR29 BA31 BB31 BC31 BD31 BE31 BF31 CQ31 CR31 P32 Q32 BA32 BB32 BC32 BD32 BE32 BF32 CQ32 CR32 A36 A37">
    <cfRule priority="1" type="cellIs" operator="between" stopIfTrue="1" dxfId="0">
      <formula>**0</formula>
      <formula>**9</formula>
    </cfRule>
  </conditionalFormatting>
  <conditionalFormatting sqref="A1 A2 R3 T3 V3 X3 Z3 AB3 AD3 AF3 AH3 AJ3 AL3 AN3 AP3 AR3 AT3 AV3 AX3 AY4 BA4 BC4 BE4 BG4 BU4 CI4 CQ4 CS4 DC4 DE4 DG4 BG5 BI5 BO5 BQ5 BS5 BU5 BW5 CC5 CE5 CG5 CI5 CK5 CM5 CO5 CS5 CU5 CW5 CY5 DA5 BI6 BK6 BM6 BW6 BY6 CA6 CB6 CI6 CJ6 A9 B9 C9 D9 E9 F9 G9 H9 I9 J9 K9 L9 M9 N9 O9 P9 Q9 R9 S9 T9 U9 V9 W9 X9 Y9 Z9 AA9 AB9 AC9 AD9 AE9 AF9 AG9 AH9 AI9 AJ9 AK9 AL9 AM9 AN9 AO9 AP9 AQ9 AR9 AS9 AT9 AU9 AV9 AW9 AX9 AY9 AZ9 BA9 BB9 BC9 BD9 BE9 BF9 BG9 BH9 BI9 BJ9 BK9 BL9 BM9 BN9 BO9 BP9 BQ9 BR9 BS9 BT9 BU9 BV9 BW9 BX9 BY9 BZ9 CA9 CB9 CC9 CD9 CE9 CF9 CG9 CH9 CI9 CJ9 CK9 CL9 CM9 CN9 CO9 CP9 CQ9 CR9 CS9 CT9 CU9 CV9 CW9 CX9 CY9 CZ9 DA9 DB9 DC9 DD9 DE9 DF9 DG9 DH9 DI9 DJ9 DK9 DL9 DM9 DN9 DO9 DP9 DQ9 DR9 DS9 DT9 DU9 DV9 A10 B10 C10 D10 E10 F10 G10 H10 I10 J10 K10 L10 M10 N10 O10 P10 Q10 R10 S10 T10 U10 V10 W10 X10 Y10 Z10 AA10 AB10 AC10 AD10 AE10 AF10 AG10 AH10 AI10 AJ10 AK10 AL10 AM10 AN10 AO10 AP10 AQ10 AR10 AS10 AT10 AU10 AV10 AW10 AX10 AY10 AZ10 BA10 BB10 BC10 BD10 BE10 BF10 BG10 BH10 BI10 BJ10 BK10 BL10 BM10 BN10 BO10 BP10 BQ10 BR10 BS10 BT10 BU10 BV10 BW10 BX10 BY10 BZ10 CA10 CB10 CC10 CD10 CE10 CF10 CG10 CH10 CI10 CJ10 CK10 CL10 CM10 CN10 CO10 CP10 CQ10 CR10 CS10 CT10 CU10 CV10 CW10 CX10 CY10 CZ10 DA10 DB10 DC10 DD10 DE10 DF10 DG10 DH10 DI10 DJ10 DK10 DL10 DM10 DN10 DO10 DP10 DQ10 DR10 DS10 DT10 DU10 DV10 A11 B11 C11 D11 E11 F11 G11 H11 I11 J11 K11 L11 M11 N11 O11 R11 S11 T11 U11 V11 W11 X11 Y11 Z11 AA11 AB11 AC11 AD11 AE11 AH11 AI11 AL11 AM11 AN11 AO11 AP11 AQ11 AT11 AU11 AV11 AW11 AX11 BA11 BB11 BC11 BD11 BE11 BF11 BG11 BH11 BI11 BJ11 BK11 BL11 BM11 BN11 BO11 BP11 BQ11 BR11 BS11 BT11 BU11 BV11 BW11 BX11 BY11 BZ11 CA11 CB11 CC11 CD11 CE11 CF11 CG11 CH11 CI11 CJ11 CK11 CL11 CM11 CN11 CO11 CP11 CS11 CT11 CU11 CV11 CW11 CX11 CY11 CZ11 DA11 DB11 DC11 DD11 DG11 DH11 DI11 DJ11 DO11 DP11 DS11 DT11 DU11 DV11 A12 B12 C12 D12 E12 F12 G12 H12 I12 J12 K12 L12 M12 N12 O12 R12 S12 T12 U12 V12 W12 X12 Y12 Z12 AA12 AB12 AC12 AD12 AE12 AF12 AG12 AH12 AI12 AJ12 AK12 AL12 AM12 AN12 AO12 AP12 AQ12 AT12 AU12 AV12 AW12 AX12 BA12 BB12 BC12 BD12 BE12 BF12 BG12 BH12 BI12 BJ12 BK12 BL12 BM12 BN12 BO12 BP12 BQ12 BR12 BS12 BT12 BU12 BV12 BW12 BX12 BY12 BZ12 CA12 CB12 CC12 CD12 CE12 CF12 CG12 CH12 CI12 CJ12 CK12 CL12 CM12 CN12 CO12 CP12 CS12 CT12 CU12 CV12 CW12 CX12 CY12 CZ12 DA12 DB12 DC12 DD12 DG12 DH12 DI12 DJ12 DK12 DL12 DO12 DP12 DQ12 DR12 DS12 DT12 DU12 DV12 A13 B13 C13 D13 E13 F13 G13 H13 I13 J13 K13 L13 M13 N13 O13 P13 Q13 R13 S13 T13 U13 V13 W13 X13 Y13 Z13 AA13 AB13 AC13 AD13 AE13 AF13 AG13 AH13 AI13 AL13 AM13 AN13 AO13 AP13 AQ13 AT13 AU13 AV13 AW13 AX13 BA13 BB13 BC13 BD13 BE13 BF13 BG13 BH13 BI13 BJ13 BK13 BL13 BM13 BN13 BO13 BP13 BQ13 BR13 BS13 BT13 BU13 BV13 BW13 BX13 BY13 BZ13 CA13 CB13 CC13 CD13 CE13 CF13 CG13 CH13 CI13 CJ13 CK13 CL13 CM13 CN13 CO13 CP13 CS13 CT13 CU13 CV13 CW13 CX13 CY13 CZ13 DA13 DB13 DC13 DD13 DE13 DF13 DG13 DH13 DI13 DJ13 DK13 DL13 DO13 DP13 DQ13 DR13 DS13 DT13 DU13 DV13 A14 B14 C14 D14 E14 F14 G14 H14 I14 J14 K14 L14 M14 N14 O14 P14 Q14 R14 S14 T14 U14 V14 W14 X14 Y14 Z14 AA14 AB14 AC14 AD14 AE14 AF14 AG14 AH14 AI14 AJ14 AK14 AL14 AM14 AN14 AO14 AP14 AQ14 AT14 AU14 AV14 AW14 AX14 BA14 BB14 BC14 BD14 BE14 BF14 BG14 BH14 BI14 BJ14 BK14 BL14 BM14 BN14 BO14 BP14 BQ14 BR14 BS14 BT14 BU14 BV14 BW14 BX14 BY14 BZ14 CA14 CB14 CC14 CD14 CE14 CF14 CG14 CH14 CI14 CJ14 CK14 CL14 CM14 CN14 CO14 CP14 CQ14 CR14 CS14 CT14 CU14 CV14 CW14 CX14 CY14 CZ14 DA14 DB14 DC14 DD14 DE14 DF14 DG14 DH14 DI14 DJ14 DK14 DL14 DM14 DN14 DO14 DP14 DQ14 DR14 DS14 DT14 DU14 DV14 A15 B15 C15 D15 E15 F15 G15 H15 I15 J15 K15 L15 M15 N15 O15 P15 Q15 R15 S15 T15 U15 V15 W15 X15 Y15 Z15 AA15 AB15 AC15 AD15 AE15 AF15 AG15 AH15 AI15 AJ15 AK15 AL15 AM15 AN15 AO15 AP15 AQ15 AT15 AU15 AV15 AW15 AX15 BA15 BB15 BC15 BD15 BE15 BF15 BG15 BH15 BI15 BJ15 BK15 BL15 BM15 BN15 BO15 BP15 BQ15 BR15 BS15 BT15 BU15 BV15 BW15 BX15 BY15 BZ15 CA15 CB15 CC15 CD15 CE15 CF15 CG15 CH15 CI15 CJ15 CK15 CL15 CM15 CN15 CO15 CP15 CS15 CT15 CU15 CV15 CW15 CX15 CY15 CZ15 DA15 DB15 DC15 DD15 DE15 DF15 DG15 DH15 DI15 DJ15 DK15 DL15 DO15 DP15 DQ15 DR15 DS15 DT15 DU15 DV15 A16 B16 C16 D16 E16 F16 G16 H16 I16 J16 K16 L16 M16 N16 O16 P16 Q16 R16 S16 T16 U16 V16 W16 X16 Y16 Z16 AA16 AB16 AC16 AD16 AE16 AF16 AG16 AH16 AI16 AJ16 AK16 AL16 AM16 AN16 AO16 AP16 AQ16 AT16 AU16 AV16 AW16 AX16 BA16 BB16 BC16 BD16 BE16 BF16 BG16 BH16 BI16 BJ16 BK16 BL16 BM16 BN16 BO16 BP16 BQ16 BR16 BS16 BT16 BU16 BV16 BW16 BX16 BY16 BZ16 CA16 CB16 CC16 CD16 CE16 CF16 CG16 CH16 CI16 CJ16 CK16 CL16 CM16 CN16 CO16 CP16 CS16 CT16 CU16 CV16 CW16 CX16 CY16 CZ16 DA16 DB16 DC16 DD16 DE16 DF16 DG16 DH16 DI16 DJ16 DK16 DL16 DO16 DP16 DQ16 DR16 DS16 DT16 DU16 DV16 A17 B17 C17 D17 E17 F17 G17 H17 I17 J17 K17 L17 M17 N17 O17 P17 Q17 R17 S17 T17 U17 V17 W17 X17 Y17 Z17 AA17 AB17 AC17 AD17 AE17 AF17 AG17 AH17 AI17 AJ17 AK17 AL17 AM17 AN17 AO17 AP17 AQ17 AT17 AU17 AV17 AW17 AX17 BA17 BB17 BC17 BD17 BE17 BF17 BG17 BH17 BI17 BJ17 BK17 BL17 BM17 BN17 BO17 BP17 BQ17 BR17 BS17 BT17 BU17 BV17 BW17 BX17 BY17 BZ17 CA17 CB17 CC17 CD17 CE17 CF17 CG17 CH17 CI17 CJ17 CK17 CL17 CM17 CN17 CO17 CP17 CQ17 CR17 CS17 CT17 CU17 CV17 CW17 CX17 CY17 CZ17 DA17 DB17 DC17 DD17 DE17 DF17 DG17 DH17 DI17 DJ17 DK17 DL17 DO17 DP17 DQ17 DR17 DS17 DT17 DU17 DV17 A18 B18 C18 D18 E18 F18 G18 H18 I18 J18 K18 L18 M18 N18 O18 P18 Q18 R18 S18 T18 U18 V18 W18 X18 Y18 Z18 AA18 AB18 AC18 AD18 AE18 AF18 AG18 AH18 AI18 AJ18 AK18 AL18 AM18 AN18 AO18 AP18 AQ18 AT18 AU18 AV18 AW18 AX18 BA18 BB18 BC18 BD18 BE18 BF18 BG18 BH18 BI18 BJ18 BK18 BL18 BM18 BN18 BO18 BP18 BQ18 BR18 BS18 BT18 BU18 BV18 BW18 BX18 BY18 BZ18 CA18 CB18 CC18 CD18 CE18 CF18 CG18 CH18 CI18 CJ18 CK18 CL18 CM18 CN18 CO18 CP18 CQ18 CR18 CS18 CT18 CU18 CV18 CW18 CX18 CY18 CZ18 DA18 DB18 DC18 DD18 DE18 DF18 DG18 DH18 DI18 DJ18 DK18 DL18 DO18 DP18 DQ18 DR18 DS18 DT18 DU18 DV18 A19 B19 C19 D19 E19 F19 G19 H19 I19 J19 K19 L19 M19 N19 O19 P19 Q19 R19 S19 T19 U19 V19 W19 X19 Y19 Z19 AA19 AB19 AC19 AD19 AE19 AF19 AG19 AH19 AI19 AJ19 AK19 AL19 AM19 AN19 AO19 AP19 AQ19 AT19 AU19 AV19 AW19 AX19 BA19 BB19 BC19 BD19 BE19 BF19 BG19 BH19 BI19 BJ19 BK19 BL19 BM19 BN19 BO19 BP19 BQ19 BR19 BS19 BT19 BU19 BV19 BW19 BX19 BY19 BZ19 CA19 CB19 CC19 CD19 CE19 CF19 CG19 CH19 CI19 CJ19 CK19 CL19 CM19 CN19 CO19 CP19 CS19 CT19 CU19 CV19 CW19 CX19 CY19 CZ19 DA19 DB19 DC19 DD19 DE19 DF19 DG19 DH19 DI19 DJ19 DK19 DL19 DM19 DN19 DO19 DP19 DQ19 DR19 DS19 DT19 DU19 DV19 A20 B20 C20 D20 E20 F20 G20 H20 I20 J20 K20 L20 M20 N20 O20 P20 Q20 R20 S20 T20 U20 V20 W20 X20 Y20 Z20 AA20 AB20 AC20 AD20 AE20 AH20 AI20 AJ20 AK20 AL20 AM20 AN20 AO20 AP20 AQ20 AT20 AU20 AV20 AW20 AX20 BA20 BB20 BC20 BD20 BE20 BF20 BG20 BH20 BI20 BJ20 BK20 BL20 BM20 BN20 BO20 BP20 BQ20 BR20 BS20 BT20 BU20 BV20 BW20 BX20 BY20 BZ20 CA20 CB20 CC20 CD20 CE20 CF20 CG20 CH20 CI20 CJ20 CK20 CL20 CM20 CN20 CO20 CP20 CQ20 CR20 CS20 CT20 CU20 CV20 CW20 CX20 CY20 CZ20 DA20 DB20 DC20 DD20 DE20 DF20 DG20 DH20 DI20 DJ20 DK20 DL20 DM20 DN20 DO20 DP20 DQ20 DR20 DS20 DT20 DU20 DV20 A21 B21 C21 D21 E21 F21 G21 H21 I21 J21 K21 L21 M21 N21 O21 P21 Q21 R21 S21 T21 U21 V21 W21 X21 Y21 Z21 AA21 AB21 AC21 AD21 AE21 AF21 AG21 AH21 AI21 AJ21 AK21 AL21 AM21 AN21 AO21 AP21 AQ21 AR21 AS21 AT21 AU21 AV21 AW21 AX21 BA21 BB21 BC21 BD21 BE21 BF21 BG21 BH21 BI21 BJ21 BK21 BL21 BM21 BN21 BO21 BP21 BQ21 BR21 BS21 BT21 BU21 BV21 BW21 BX21 BY21 BZ21 CA21 CB21 CC21 CD21 CE21 CF21 CG21 CH21 CI21 CJ21 CK21 CL21 CM21 CN21 CO21 CP21 CQ21 CR21 CS21 CT21 CU21 CV21 CW21 CX21 CY21 CZ21 DA21 DB21 DC21 DD21 DE21 DF21 DG21 DH21 DI21 DJ21 DK21 DL21 DM21 DN21 DO21 DP21 DQ21 DR21 DS21 DT21 DU21 DV21 A22 B22 C22 D22 E22 F22 G22 H22 I22 J22 K22 L22 M22 N22 O22 P22 Q22 R22 S22 T22 U22 V22 W22 X22 Y22 Z22 AA22 AB22 AC22 AD22 AE22 AF22 AG22 AH22 AI22 AJ22 AK22 AL22 AM22 AN22 AO22 AP22 AQ22 AR22 AS22 AT22 AU22 AV22 AW22 AX22 BA22 BB22 BC22 BD22 BE22 BF22 BG22 BH22 BI22 BJ22 BK22 BL22 BM22 BN22 BO22 BP22 BQ22 BR22 BS22 BT22 BU22 BV22 BW22 BX22 BY22 BZ22 CA22 CB22 CC22 CD22 CE22 CF22 CG22 CH22 CI22 CJ22 CK22 CL22 CM22 CN22 CO22 CP22 CQ22 CR22 CS22 CT22 CU22 CV22 CW22 CX22 CY22 CZ22 DA22 DB22 DC22 DD22 DE22 DF22 DG22 DH22 DI22 DJ22 DK22 DL22 DM22 DN22 DO22 DP22 DQ22 DR22 DS22 DT22 DU22 DV22 A23 B23 C23 D23 E23 F23 G23 H23 I23 J23 K23 L23 M23 N23 O23 P23 Q23 R23 S23 T23 U23 V23 W23 X23 Y23 Z23 AA23 AB23 AC23 AD23 AE23 AF23 AG23 AH23 AI23 AJ23 AK23 AL23 AM23 AN23 AO23 AP23 AQ23 AR23 AS23 AT23 AU23 AV23 AW23 AX23 AY23 AZ23 BA23 BB23 BC23 BD23 BE23 BF23 BG23 BH23 BI23 BJ23 BK23 BL23 BM23 BN23 BO23 BP23 BQ23 BR23 BS23 BT23 BU23 BV23 BW23 BX23 BY23 BZ23 CA23 CB23 CC23 CD23 CE23 CF23 CG23 CH23 CI23 CJ23 CK23 CL23 CM23 CN23 CO23 CP23 CQ23 CR23 CS23 CT23 CU23 CV23 CW23 CX23 CY23 CZ23 DA23 DB23 DC23 DD23 DE23 DF23 DG23 DH23 DI23 DJ23 DK23 DL23 DM23 DN23 DO23 DP23 DQ23 DR23 DS23 DT23 DU23 DV23 A24 B24 C24 D24 E24 F24 G24 H24 I24 J24 K24 L24 M24 N24 O24 P24 Q24 R24 S24 T24 U24 V24 W24 X24 Y24 Z24 AA24 AB24 AC24 AD24 AE24 AF24 AG24 AH24 AI24 AJ24 AK24 AL24 AM24 AN24 AO24 AP24 AQ24 AR24 AS24 AT24 AU24 AV24 AW24 AX24 AY24 AZ24 BA24 BB24 BC24 BD24 BE24 BF24 BG24 BH24 BI24 BJ24 BK24 BL24 BM24 BN24 BO24 BP24 BQ24 BR24 BS24 BT24 BU24 BV24 BW24 BX24 BY24 BZ24 CA24 CB24 CC24 CD24 CE24 CF24 CG24 CH24 CI24 CJ24 CK24 CL24 CM24 CN24 CO24 CP24 CQ24 CR24 CS24 CT24 CU24 CV24 CW24 CX24 CY24 CZ24 DA24 DB24 DC24 DD24 DE24 DF24 DG24 DH24 DI24 DJ24 DK24 DL24 DM24 DN24 DO24 DP24 DQ24 DR24 DS24 DT24 DU24 DV24 A25 B25 C25 D25 E25 F25 G25 H25 I25 J25 K25 L25 M25 N25 O25 P25 Q25 R25 S25 T25 U25 V25 W25 X25 Y25 Z25 AA25 AB25 AC25 AD25 AE25 AF25 AG25 AH25 AI25 AJ25 AK25 AL25 AM25 AN25 AO25 AP25 AQ25 AR25 AS25 AT25 AU25 AV25 AW25 AX25 AY25 AZ25 BA25 BB25 BC25 BD25 BE25 BF25 BG25 BH25 BI25 BJ25 BK25 BL25 BM25 BN25 BO25 BP25 BQ25 BR25 BS25 BT25 BU25 BV25 BW25 BX25 BY25 BZ25 CA25 CB25 CC25 CD25 CE25 CF25 CG25 CH25 CI25 CJ25 CK25 CL25 CM25 CN25 CO25 CP25 CQ25 CR25 CS25 CT25 CU25 CV25 CW25 CX25 CY25 CZ25 DA25 DB25 DC25 DD25 DE25 DF25 DG25 DH25 DI25 DJ25 DK25 DL25 DM25 DN25 DO25 DP25 DQ25 DR25 DS25 DT25 DU25 DV25 A26 B26 C26 D26 E26 F26 G26 H26 I26 J26 K26 L26 M26 N26 O26 P26 Q26 R26 S26 T26 U26 V26 W26 X26 Y26 Z26 AA26 AB26 AC26 AD26 AE26 AF26 AG26 AH26 AI26 AJ26 AK26 AL26 AM26 AN26 AO26 AP26 AQ26 AR26 AS26 AT26 AU26 AV26 AW26 AX26 AY26 AZ26 BA26 BB26 BC26 BD26 BE26 BF26 BG26 BH26 BI26 BJ26 BK26 BL26 BM26 BN26 BO26 BP26 BQ26 BR26 BS26 BT26 BU26 BV26 BW26 BX26 BY26 BZ26 CA26 CB26 CC26 CD26 CE26 CF26 CG26 CH26 CI26 CJ26 CK26 CL26 CM26 CN26 CO26 CP26 CQ26 CR26 CS26 CT26 CU26 CV26 CW26 CX26 CY26 CZ26 DA26 DB26 DC26 DD26 DE26 DF26 DG26 DH26 DI26 DJ26 DK26 DL26 DM26 DN26 DO26 DP26 DQ26 DR26 DS26 DT26 DU26 DV26 A27 B27 C27 D27 E27 F27 G27 H27 I27 J27 K27 L27 M27 N27 O27 P27 Q27 R27 S27 T27 U27 V27 W27 X27 Y27 Z27 AA27 AB27 AC27 AD27 AE27 AF27 AG27 AH27 AI27 AJ27 AK27 AL27 AM27 AN27 AO27 AP27 AQ27 AR27 AS27 AT27 AU27 AV27 AW27 AX27 AY27 AZ27 BA27 BB27 BC27 BD27 BE27 BF27 BG27 BH27 BI27 BJ27 BK27 BL27 BM27 BN27 BO27 BP27 BQ27 BR27 BS27 BT27 BU27 BV27 BW27 BX27 BY27 BZ27 CA27 CB27 CC27 CD27 CE27 CF27 CG27 CH27 CI27 CJ27 CK27 CL27 CM27 CN27 CO27 CP27 CQ27 CR27 CS27 CT27 CU27 CV27 CW27 CX27 CY27 CZ27 DA27 DB27 DC27 DD27 DE27 DF27 DG27 DH27 DI27 DJ27 DK27 DL27 DM27 DN27 DO27 DP27 DQ27 DR27 DS27 DT27 DU27 DV27 A28 B28 C28 D28 E28 F28 G28 H28 I28 J28 K28 L28 M28 N28 O28 P28 Q28 R28 S28 T28 U28 V28 W28 X28 Y28 Z28 AA28 AB28 AC28 AD28 AE28 AF28 AG28 AH28 AI28 AJ28 AK28 AL28 AM28 AN28 AO28 AP28 AQ28 AR28 AS28 AT28 AU28 AV28 AW28 AX28 AY28 AZ28 BA28 BB28 BC28 BD28 BE28 BF28 BG28 BH28 BI28 BJ28 BK28 BL28 BM28 BN28 BO28 BP28 BQ28 BR28 BS28 BT28 BU28 BV28 BW28 BX28 BY28 BZ28 CA28 CB28 CC28 CD28 CE28 CF28 CG28 CH28 CI28 CJ28 CK28 CL28 CM28 CN28 CO28 CP28 CQ28 CR28 CS28 CT28 CU28 CV28 CW28 CX28 CY28 CZ28 DA28 DB28 DC28 DD28 DE28 DF28 DG28 DH28 DI28 DJ28 DK28 DL28 DM28 DN28 DO28 DP28 DQ28 DR28 DS28 DT28 DU28 DV28 A29 B29 C29 D29 E29 F29 G29 H29 I29 J29 K29 L29 M29 N29 O29 P29 Q29 R29 S29 T29 U29 V29 W29 X29 Y29 Z29 AA29 AB29 AC29 AD29 AE29 AF29 AG29 AH29 AI29 AJ29 AK29 AL29 AM29 AN29 AO29 AP29 AQ29 AR29 AS29 AT29 AU29 AV29 AW29 AX29 AY29 AZ29 BA29 BB29 BC29 BD29 BE29 BF29 BG29 BH29 BI29 BJ29 BK29 BL29 BM29 BN29 BO29 BP29 BQ29 BR29 BS29 BT29 BU29 BV29 BW29 BX29 BY29 BZ29 CA29 CB29 CC29 CD29 CE29 CF29 CG29 CH29 CI29 CJ29 CK29 CL29 CM29 CN29 CO29 CP29 CS29 CT29 CU29 CV29 CW29 CX29 CY29 CZ29 DA29 DB29 DC29 DD29 DE29 DF29 DG29 DH29 DI29 DJ29 DK29 DL29 DM29 DN29 DO29 DP29 DQ29 DR29 DS29 DT29 DU29 DV29 A30 B30 C30 D30 E30 F30 G30 H30 I30 J30 K30 L30 M30 N30 O30 P30 Q30 R30 S30 T30 U30 V30 W30 X30 Y30 Z30 AA30 AB30 AC30 AD30 AE30 AF30 AG30 AH30 AI30 AJ30 AK30 AL30 AM30 AN30 AO30 AP30 AQ30 AR30 AS30 AT30 AU30 AV30 AW30 AX30 AY30 AZ30 BA30 BB30 BC30 BD30 BE30 BF30 BG30 BH30 BI30 BJ30 BK30 BL30 BM30 BN30 BO30 BP30 BQ30 BR30 BS30 BT30 BU30 BV30 BW30 BX30 BY30 BZ30 CA30 CB30 CC30 CD30 CE30 CF30 CG30 CH30 CI30 CJ30 CK30 CL30 CM30 CN30 CO30 CP30 CQ30 CR30 CS30 CT30 CU30 CV30 CW30 CX30 CY30 CZ30 DA30 DB30 DC30 DD30 DE30 DF30 DG30 DH30 DI30 DJ30 DK30 DL30 DM30 DN30 DO30 DP30 DQ30 DR30 DS30 DT30 DU30 DV30 A31 B31 C31 D31 E31 F31 G31 H31 I31 J31 K31 L31 M31 N31 O31 P31 Q31 R31 S31 T31 U31 V31 W31 X31 Y31 Z31 AA31 AB31 AC31 AD31 AE31 AF31 AG31 AH31 AI31 AJ31 AK31 AL31 AM31 AN31 AO31 AP31 AQ31 AR31 AS31 AT31 AU31 AV31 AW31 AX31 AY31 AZ31 BG31 BH31 BI31 BJ31 BK31 BL31 BM31 BN31 BO31 BP31 BQ31 BR31 BS31 BT31 BU31 BV31 BW31 BX31 BY31 BZ31 CA31 CB31 CC31 CD31 CE31 CF31 CG31 CH31 CI31 CJ31 CK31 CL31 CM31 CN31 CO31 CP31 CS31 CT31 CU31 CV31 CW31 CX31 CY31 CZ31 DA31 DB31 DC31 DD31 DE31 DF31 DG31 DH31 DI31 DJ31 DK31 DL31 DM31 DN31 DO31 DP31 DQ31 DR31 DS31 DT31 DU31 DV31 A32 B32 C32 D32 E32 F32 G32 H32 I32 J32 K32 L32 M32 N32 O32 R32 S32 T32 U32 V32 W32 X32 Y32 Z32 AA32 AB32 AC32 AD32 AE32 AF32 AG32 AH32 AI32 AJ32 AK32 AL32 AM32 AN32 AO32 AP32 AQ32 AR32 AS32 AT32 AU32 AV32 AW32 AX32 AY32 AZ32 BG32 BH32 BI32 BJ32 BK32 BL32 BM32 BN32 BO32 BP32 BQ32 BR32 BS32 BT32 BU32 BV32 BW32 BX32 BY32 BZ32 CA32 CB32 CC32 CD32 CE32 CF32 CG32 CH32 CI32 CJ32 CK32 CL32 CM32 CN32 CO32 CP32 CS32 CT32 CU32 CV32 CW32 CX32 CY32 CZ32 DA32 DB32 DC32 DD32 DE32 DF32 DG32 DH32 DI32 DJ32 DK32 DL32 DM32 DN32 DO32 DP32 DQ32 DR32 DS32 DT32 DU32 DV32 A33 B33 C33 D33 E33 F33 G33 H33 I33 J33 K33 L33 M33 N33 O33 P33 Q33 R33 S33 T33 U33 V33 W33 X33 Y33 Z33 AA33 AB33 AC33 AD33 AE33 AF33 AG33 AH33 AI33 AJ33 AK33 AL33 AM33 AN33 AO33 AP33 AQ33 AR33 AS33 AT33 AU33 AV33 AW33 AX33 AY33 AZ33 BA33 BB33 BC33 BD33 BE33 BF33 BG33 BH33 BI33 BJ33 BK33 BL33 BM33 BN33 BO33 BP33 BQ33 BR33 BS33 BT33 BU33 BV33 BW33 BX33 BY33 BZ33 CA33 CB33 CC33 CD33 CE33 CF33 CG33 CH33 CI33 CJ33 CK33 CL33 CM33 CN33 CO33 CP33 CQ33 CR33 CS33 CT33 CU33 CV33 CW33 CX33 CY33 CZ33 DA33 DB33 DC33 DD33 DE33 DF33 DG33 DH33 DI33 DJ33 DK33 DL33 DM33 DN33 DO33 DP33 DQ33 DR33 DS33 DT33 DU33 DV33 A34 B34 C34 D34 E34 F34 G34 H34 I34 J34 K34 L34 M34 N34 O34 P34 Q34 R34 S34 T34 U34 V34 W34 X34 Y34 Z34 AA34 AB34 AC34 AD34 AE34 AF34 AG34 AH34 AI34 AJ34 AK34 AL34 AM34 AN34 AO34 AP34 AQ34 AR34 AS34 AT34 AU34 AV34 AW34 AX34 AY34 AZ34 BA34 BB34 BC34 BD34 BE34 BF34 BG34 BH34 BI34 BJ34 BK34 BL34 BM34 BN34 BO34 BP34 BQ34 BR34 BS34 BT34 BU34 BV34 BW34 BX34 BY34 BZ34 CA34 CB34 CC34 CD34 CE34 CF34 CG34 CH34 CI34 CJ34 CK34 CL34 CM34 CN34 CO34 CP34 CQ34 CR34 CS34 CT34 CU34 CV34 CW34 CX34 CY34 CZ34 DA34 DB34 DC34 DD34 DE34 DF34 DG34 DH34 DI34 DJ34 DK34 DL34 DM34 DN34 DO34 DP34 DQ34 DR34 DS34 DT34 DU34 DV34 A35 A38">
    <cfRule priority="1" type="cellIs" operator="between" stopIfTrue="1" dxfId="0">
      <formula>*0</formula>
      <formula>*9</formula>
    </cfRule>
  </conditionalFormatting>
  <conditionalFormatting sqref="D7 E7 F7 G7 H7 I7 J7 K7 L7 M7 N7 O7 P7 Q7 R7 S7 T7 U7 V7 W7 X7 Y7 Z7 AA7 AB7 AC7 AD7 AE7 AF7 AG7 AH7 AI7 AJ7 AK7 AL7 AM7 AN7 AO7 AP7 AQ7 AR7 AS7 AT7 AU7 AV7 AW7 AY7 AZ7 BA7 BB7 BC7 BD7 BE7 BF7 BG7 BH7 BI7 BJ7 BK7 BL7 BM7 BN7 BO7 BP7 BQ7 BR7 BS7 BT7 BU7 BV7 BW7 BX7 BY7 BZ7 CA7 CB7 CC7 CD7 CE7 CF7 CG7 CH7 CI7 CJ7 CK7 CL7 CM7 CN7 CO7 CP7 CQ7 CR7 CS7 CT7 CU7 CV7 CW7 CX7 CY7 CZ7 DA7 DB7 DC7 DD7 DE7 DF7 DG7 DH7 DI7 DJ7 DK7 DL7 DM7 DN7 DO7 DP7 DQ7 DR7 DS7 DT7 DU7 DV7 D8 E8 F8 G8 H8 I8 J8 K8 L8 M8 N8 O8 P8 Q8 R8 S8 T8 U8 V8 W8 X8 Y8 Z8 AA8 AB8 AC8 AD8 AE8 AF8 AG8 AH8 AI8 AJ8 AK8 AL8 AM8 AN8 AO8 AP8 AQ8 AR8 AS8 AT8 AU8 AV8 AW8 AY8 AZ8 BA8 BB8 BC8 BD8 BE8 BF8 BG8 BH8 BI8 BJ8 BK8 BL8 BM8 BN8 BO8 BP8 BQ8 BR8 BS8 BT8 BU8 BV8 BW8 BX8 BY8 BZ8 CA8 CB8 CC8 CD8 CE8 CF8 CG8 CH8 CI8 CJ8 CK8 CL8 CM8 CN8 CO8 CP8 CQ8 CR8 CS8 CT8 CU8 CV8 CW8 CX8 CY8 CZ8 DA8 DB8 DC8 DD8 DE8 DF8 DG8 DH8 DI8 DJ8 DK8 DL8 DM8 DN8 DO8 DP8 DQ8 DR8 DS8 DT8 DU8 DV8">
    <cfRule priority="1" type="cellIs" operator="between" stopIfTrue="1" dxfId="0">
      <formula>*1</formula>
      <formula>*9</formula>
    </cfRule>
    <cfRule priority="2" type="cellIs" operator="between" stopIfTrue="1" dxfId="0">
      <formula>**0</formula>
      <formula>**9</formula>
    </cfRule>
    <cfRule priority="3" type="cellIs" operator="between" stopIfTrue="1" dxfId="0">
      <formula>*0</formula>
      <formula>*9</formula>
    </cfRule>
  </conditionalFormatting>
  <drawing r:id="rId1"/>
</worksheet>
</file>