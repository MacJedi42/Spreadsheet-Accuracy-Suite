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20370" windowHeight="4905"/>
  </bookViews>
  <sheets>
    <sheet name="Table 5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31" i="1" l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<sst xmlns="http://schemas.openxmlformats.org/spreadsheetml/2006/main" count="72" uniqueCount="44">
  <si>
    <t>Route #</t>
  </si>
  <si>
    <t>Destination</t>
  </si>
  <si>
    <t>Freight Price (US$)</t>
  </si>
  <si>
    <t>Rio Grande</t>
  </si>
  <si>
    <t>Santos</t>
  </si>
  <si>
    <t>Paranaguá</t>
  </si>
  <si>
    <t>Source: ESALQ/USP (University of São Paulo, Brazil) and USDA/AMS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</si>
  <si>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>Although each origin region comprises several cities, the main city is considered as a reference to establish the freight price; na = not available</t>
    </r>
  </si>
  <si>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Distance from the main city of the considered region to the mentioned ports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</si>
  <si>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>Share is measured as a percentage of total production</t>
    </r>
  </si>
  <si>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>US$ per metric ton (average monthly exchange rate from “Banco Central do Brasil” was used to convert Brazilian reais to the U.S. dollar)</t>
    </r>
  </si>
  <si>
    <r>
      <rPr>
        <vertAlign val="superscript"/>
        <sz val="10"/>
        <color theme="1"/>
        <rFont val="Calibri"/>
        <family val="2"/>
        <scheme val="minor"/>
      </rPr>
      <t>5</t>
    </r>
    <r>
      <rPr>
        <sz val="10"/>
        <color theme="1"/>
        <rFont val="Calibri"/>
        <family val="2"/>
        <scheme val="minor"/>
      </rPr>
      <t>RS = Rio Grande do Sul, MT= Mato Grosso, GO = Goiás, PR = Paraná, MG = Minas Gerais,  BA = Bahia, MS = Mato Grosso do Sul, SP = São Paulo</t>
    </r>
  </si>
  <si>
    <r>
      <t>Origin</t>
    </r>
    <r>
      <rPr>
        <b/>
        <vertAlign val="superscript"/>
        <sz val="11"/>
        <color theme="0"/>
        <rFont val="Calibri"/>
        <family val="2"/>
        <scheme val="minor"/>
      </rPr>
      <t>1</t>
    </r>
    <r>
      <rPr>
        <b/>
        <sz val="11"/>
        <color theme="0"/>
        <rFont val="Calibri"/>
        <family val="2"/>
        <scheme val="minor"/>
      </rPr>
      <t xml:space="preserve">                                                                          (reference city)</t>
    </r>
  </si>
  <si>
    <r>
      <t>Distance                  (miles)</t>
    </r>
    <r>
      <rPr>
        <b/>
        <vertAlign val="superscript"/>
        <sz val="11"/>
        <color theme="0"/>
        <rFont val="Calibri"/>
        <family val="2"/>
        <scheme val="minor"/>
      </rPr>
      <t>2</t>
    </r>
  </si>
  <si>
    <r>
      <t>Share (%)</t>
    </r>
    <r>
      <rPr>
        <b/>
        <vertAlign val="superscript"/>
        <sz val="11"/>
        <color theme="0"/>
        <rFont val="Calibri"/>
        <family val="2"/>
        <scheme val="minor"/>
      </rPr>
      <t>3</t>
    </r>
  </si>
  <si>
    <r>
      <t>––– (per 100 miles)</t>
    </r>
    <r>
      <rPr>
        <b/>
        <vertAlign val="superscript"/>
        <sz val="11"/>
        <color theme="0"/>
        <rFont val="Calibri"/>
        <family val="2"/>
      </rPr>
      <t xml:space="preserve">4 </t>
    </r>
    <r>
      <rPr>
        <b/>
        <sz val="11"/>
        <color theme="0"/>
        <rFont val="Calibri"/>
        <family val="2"/>
      </rPr>
      <t>–––</t>
    </r>
  </si>
  <si>
    <t>1st qtr</t>
  </si>
  <si>
    <t>2nd qtr</t>
  </si>
  <si>
    <t>3rd qtr</t>
  </si>
  <si>
    <t>4th qtr</t>
  </si>
  <si>
    <t>Avg</t>
  </si>
  <si>
    <t>Salvador</t>
  </si>
  <si>
    <t>Southwest PR(Chopinzinho)</t>
  </si>
  <si>
    <t>Average</t>
  </si>
  <si>
    <r>
      <t>Northwest RS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(Cruz Alta)</t>
    </r>
  </si>
  <si>
    <t>North MT (Sorriso)</t>
  </si>
  <si>
    <t>South GO (Rio Verde)</t>
  </si>
  <si>
    <t>North Central PR (Londrina)</t>
  </si>
  <si>
    <t>Western Central PR (Mamborê)</t>
  </si>
  <si>
    <t>Triangle MG (Uberaba)</t>
  </si>
  <si>
    <t>West PR (Assis Chateaubriand)</t>
  </si>
  <si>
    <t>West Extreme BA (São Desidério)</t>
  </si>
  <si>
    <t>Southeast MT (Primavera do Leste)</t>
  </si>
  <si>
    <t>Southwest MS (Maracaju)</t>
  </si>
  <si>
    <t>East GO (Cristalina)</t>
  </si>
  <si>
    <t>North PR (Cornélio Procópio)</t>
  </si>
  <si>
    <t>Eastern Central PR (Castro)</t>
  </si>
  <si>
    <t>South Central PR (Guarapuava)</t>
  </si>
  <si>
    <t>North Central MS (São Gabriel do Oeste)</t>
  </si>
  <si>
    <t>Ribeirão Preto SP (Guairá)</t>
  </si>
  <si>
    <t>Northeast MT (Canarana)</t>
  </si>
  <si>
    <t>East MS (Chapadão do Sul)</t>
  </si>
  <si>
    <t>Western Central RS (Tupanciretã)</t>
  </si>
  <si>
    <t xml:space="preserve"> Table 5.  Truck rates for selected Brazilian soybean export transportation routes,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</si>
</sst>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b/>
      <vertAlign val="superscript"/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E6728"/>
        <bgColor indexed="64"/>
      </patternFill>
    </fill>
    <fill>
      <patternFill patternType="solid">
        <fgColor rgb="FFE09262"/>
        <bgColor indexed="64"/>
      </patternFill>
    </fill>
    <fill>
      <patternFill patternType="solid">
        <fgColor rgb="FFF4D9C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4" borderId="12" xfId="0" applyFont="1" applyFill="1" applyBorder="1"/>
    <xf numFmtId="0" fontId="0" fillId="4" borderId="1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2" fontId="0" fillId="4" borderId="1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165" fontId="0" fillId="4" borderId="14" xfId="1" applyNumberFormat="1" applyFont="1" applyFill="1" applyBorder="1" applyAlignment="1">
      <alignment horizontal="center" vertical="center"/>
    </xf>
    <xf numFmtId="165" fontId="1" fillId="4" borderId="1" xfId="1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4D9C8"/>
      <color rgb="FFCE6617"/>
      <color rgb="FFE09262"/>
      <color rgb="FFCE6728"/>
      <color rgb="FFEFDFCD"/>
      <color rgb="FFDFBE99"/>
      <color rgb="FFD09F6A"/>
      <color rgb="FFAC7436"/>
      <color rgb="FF845929"/>
      <color rgb="FFFBFB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38"/>
  <sheetViews>
    <sheetView tabSelected="1" workbookViewId="0">
      <selection sqref="A1:J1"/>
    </sheetView>
  </sheetViews>
  <sheetFormatPr defaultRowHeight="15" x14ac:dyDescent="0.25"/>
  <cols>
    <col min="1" max="1" width="9.140625" style="1"/>
    <col min="2" max="2" width="47.28515625" bestFit="1" customWidth="1"/>
    <col min="3" max="3" width="11.28515625" bestFit="1" customWidth="1"/>
    <col min="4" max="4" width="9.140625" bestFit="1" customWidth="1"/>
    <col min="5" max="5" width="10.28515625" customWidth="1"/>
    <col min="6" max="10" width="10.7109375" customWidth="1"/>
  </cols>
  <sheetData>
    <row r="1" spans="1:10" ht="40.5" customHeight="1" x14ac:dyDescent="0.3">
      <c r="A1" s="41" t="s">
        <v>43</v>
      </c>
      <c r="B1" s="42"/>
      <c r="C1" s="42"/>
      <c r="D1" s="42"/>
      <c r="E1" s="42"/>
      <c r="F1" s="42"/>
      <c r="G1" s="42"/>
      <c r="H1" s="42"/>
      <c r="I1" s="42"/>
      <c r="J1" s="43"/>
    </row>
    <row r="2" spans="1:10" ht="26.25" customHeight="1" x14ac:dyDescent="0.25">
      <c r="A2" s="52" t="s">
        <v>0</v>
      </c>
      <c r="B2" s="44" t="s">
        <v>12</v>
      </c>
      <c r="C2" s="52" t="s">
        <v>1</v>
      </c>
      <c r="D2" s="44" t="s">
        <v>13</v>
      </c>
      <c r="E2" s="44" t="s">
        <v>14</v>
      </c>
      <c r="F2" s="47" t="s">
        <v>2</v>
      </c>
      <c r="G2" s="47"/>
      <c r="H2" s="47"/>
      <c r="I2" s="47"/>
      <c r="J2" s="48"/>
    </row>
    <row r="3" spans="1:10" x14ac:dyDescent="0.25">
      <c r="A3" s="53"/>
      <c r="B3" s="45"/>
      <c r="C3" s="53"/>
      <c r="D3" s="45"/>
      <c r="E3" s="45"/>
      <c r="F3" s="12" t="s">
        <v>16</v>
      </c>
      <c r="G3" s="13" t="s">
        <v>17</v>
      </c>
      <c r="H3" s="13" t="s">
        <v>18</v>
      </c>
      <c r="I3" s="13" t="s">
        <v>19</v>
      </c>
      <c r="J3" s="13" t="s">
        <v>20</v>
      </c>
    </row>
    <row r="4" spans="1:10" ht="24" customHeight="1" x14ac:dyDescent="0.25">
      <c r="A4" s="54"/>
      <c r="B4" s="46"/>
      <c r="C4" s="54"/>
      <c r="D4" s="46"/>
      <c r="E4" s="46"/>
      <c r="F4" s="49" t="s">
        <v>15</v>
      </c>
      <c r="G4" s="50"/>
      <c r="H4" s="50"/>
      <c r="I4" s="50"/>
      <c r="J4" s="51"/>
    </row>
    <row r="5" spans="1:10" ht="21" customHeight="1" x14ac:dyDescent="0.3">
      <c r="A5" s="3">
        <v>1</v>
      </c>
      <c r="B5" s="7" t="s">
        <v>24</v>
      </c>
      <c r="C5" s="7" t="s">
        <v>3</v>
      </c>
      <c r="D5" s="18">
        <v>288</v>
      </c>
      <c r="E5" s="21">
        <v>13.59027788841197</v>
      </c>
      <c r="F5" s="9">
        <v>9.0140714947480909</v>
      </c>
      <c r="G5" s="9">
        <v>8.3196566233718787</v>
      </c>
      <c r="H5" s="14"/>
      <c r="I5" s="9"/>
      <c r="J5" s="14">
        <f>AVERAGE(F5:I5)</f>
        <v>8.6668640590599857</v>
      </c>
    </row>
    <row r="6" spans="1:10" ht="21" customHeight="1" x14ac:dyDescent="0.3">
      <c r="A6" s="3">
        <v>2</v>
      </c>
      <c r="B6" s="7" t="s">
        <v>25</v>
      </c>
      <c r="C6" s="7" t="s">
        <v>4</v>
      </c>
      <c r="D6" s="18">
        <v>1190</v>
      </c>
      <c r="E6" s="21">
        <v>11.747092536495698</v>
      </c>
      <c r="F6" s="9">
        <v>10.422889340673509</v>
      </c>
      <c r="G6" s="9">
        <v>9.4440955306668872</v>
      </c>
      <c r="H6" s="14"/>
      <c r="I6" s="9"/>
      <c r="J6" s="14">
        <f t="shared" ref="J6:J31" si="0">AVERAGE(F6:I6)</f>
        <v>9.9334924356701979</v>
      </c>
    </row>
    <row r="7" spans="1:10" ht="21" customHeight="1" x14ac:dyDescent="0.25">
      <c r="A7" s="3">
        <v>3</v>
      </c>
      <c r="B7" s="7" t="s">
        <v>25</v>
      </c>
      <c r="C7" s="7" t="s">
        <v>5</v>
      </c>
      <c r="D7" s="18">
        <v>1262</v>
      </c>
      <c r="E7" s="21">
        <v>11.076893913177399</v>
      </c>
      <c r="F7" s="9">
        <v>9.166332457742989</v>
      </c>
      <c r="G7" s="9">
        <v>8.5790644486668892</v>
      </c>
      <c r="H7" s="14"/>
      <c r="I7" s="9"/>
      <c r="J7" s="14">
        <f t="shared" si="0"/>
        <v>8.87269845320494</v>
      </c>
    </row>
    <row r="8" spans="1:10" ht="21" customHeight="1" x14ac:dyDescent="0.3">
      <c r="A8" s="3">
        <v>4</v>
      </c>
      <c r="B8" s="7" t="s">
        <v>26</v>
      </c>
      <c r="C8" s="7" t="s">
        <v>4</v>
      </c>
      <c r="D8" s="18">
        <v>587</v>
      </c>
      <c r="E8" s="21">
        <v>5.385699505976338</v>
      </c>
      <c r="F8" s="9">
        <v>10.075272341264819</v>
      </c>
      <c r="G8" s="9">
        <v>9.7785385032386927</v>
      </c>
      <c r="H8" s="14"/>
      <c r="I8" s="9"/>
      <c r="J8" s="14">
        <f t="shared" si="0"/>
        <v>9.9269054222517568</v>
      </c>
    </row>
    <row r="9" spans="1:10" ht="21" customHeight="1" x14ac:dyDescent="0.25">
      <c r="A9" s="3">
        <v>5</v>
      </c>
      <c r="B9" s="7" t="s">
        <v>26</v>
      </c>
      <c r="C9" s="7" t="s">
        <v>5</v>
      </c>
      <c r="D9" s="18">
        <v>726</v>
      </c>
      <c r="E9" s="21">
        <v>4.3545531818293526</v>
      </c>
      <c r="F9" s="9">
        <v>7.7357272972722342</v>
      </c>
      <c r="G9" s="9">
        <v>7.4639792473996716</v>
      </c>
      <c r="H9" s="14"/>
      <c r="I9" s="9"/>
      <c r="J9" s="14">
        <f t="shared" si="0"/>
        <v>7.5998532723359524</v>
      </c>
    </row>
    <row r="10" spans="1:10" ht="21" customHeight="1" x14ac:dyDescent="0.25">
      <c r="A10" s="3">
        <v>6</v>
      </c>
      <c r="B10" s="7" t="s">
        <v>27</v>
      </c>
      <c r="C10" s="7" t="s">
        <v>5</v>
      </c>
      <c r="D10" s="18">
        <v>268</v>
      </c>
      <c r="E10" s="21">
        <v>4.2280833645935125</v>
      </c>
      <c r="F10" s="9">
        <v>13.819318974407475</v>
      </c>
      <c r="G10" s="9">
        <v>13.29224346996943</v>
      </c>
      <c r="H10" s="14"/>
      <c r="I10" s="9"/>
      <c r="J10" s="14">
        <f t="shared" si="0"/>
        <v>13.555781222188452</v>
      </c>
    </row>
    <row r="11" spans="1:10" ht="21" customHeight="1" x14ac:dyDescent="0.25">
      <c r="A11" s="3">
        <v>7</v>
      </c>
      <c r="B11" s="7" t="s">
        <v>28</v>
      </c>
      <c r="C11" s="7" t="s">
        <v>5</v>
      </c>
      <c r="D11" s="18">
        <v>311</v>
      </c>
      <c r="E11" s="21">
        <v>3.3165008702199366</v>
      </c>
      <c r="F11" s="9">
        <v>11.633873461440807</v>
      </c>
      <c r="G11" s="9">
        <v>11.936874477915728</v>
      </c>
      <c r="H11" s="14"/>
      <c r="I11" s="9"/>
      <c r="J11" s="14">
        <f t="shared" si="0"/>
        <v>11.785373969678268</v>
      </c>
    </row>
    <row r="12" spans="1:10" ht="21" customHeight="1" x14ac:dyDescent="0.25">
      <c r="A12" s="3">
        <v>8</v>
      </c>
      <c r="B12" s="7" t="s">
        <v>29</v>
      </c>
      <c r="C12" s="7" t="s">
        <v>4</v>
      </c>
      <c r="D12" s="18">
        <v>339</v>
      </c>
      <c r="E12" s="21">
        <v>2.7251805105671947</v>
      </c>
      <c r="F12" s="9">
        <v>12.993972956109991</v>
      </c>
      <c r="G12" s="9">
        <v>10.700547426640755</v>
      </c>
      <c r="H12" s="14"/>
      <c r="I12" s="9"/>
      <c r="J12" s="14">
        <f t="shared" si="0"/>
        <v>11.847260191375373</v>
      </c>
    </row>
    <row r="13" spans="1:10" ht="21" customHeight="1" x14ac:dyDescent="0.25">
      <c r="A13" s="3">
        <v>9</v>
      </c>
      <c r="B13" s="7" t="s">
        <v>30</v>
      </c>
      <c r="C13" s="7" t="s">
        <v>5</v>
      </c>
      <c r="D13" s="18">
        <v>377</v>
      </c>
      <c r="E13" s="21">
        <v>3.2766215307133972</v>
      </c>
      <c r="F13" s="9">
        <v>11.655068443593322</v>
      </c>
      <c r="G13" s="9">
        <v>11.514604055271128</v>
      </c>
      <c r="H13" s="14"/>
      <c r="I13" s="9"/>
      <c r="J13" s="14">
        <f t="shared" si="0"/>
        <v>11.584836249432225</v>
      </c>
    </row>
    <row r="14" spans="1:10" ht="21" customHeight="1" x14ac:dyDescent="0.25">
      <c r="A14" s="3">
        <v>10</v>
      </c>
      <c r="B14" s="7" t="s">
        <v>31</v>
      </c>
      <c r="C14" s="7" t="s">
        <v>21</v>
      </c>
      <c r="D14" s="18">
        <v>535</v>
      </c>
      <c r="E14" s="21">
        <v>5.7323519943220367</v>
      </c>
      <c r="F14" s="9">
        <v>11.275992458018402</v>
      </c>
      <c r="G14" s="9">
        <v>11.011626742077075</v>
      </c>
      <c r="H14" s="14"/>
      <c r="I14" s="9"/>
      <c r="J14" s="14">
        <f t="shared" si="0"/>
        <v>11.143809600047739</v>
      </c>
    </row>
    <row r="15" spans="1:10" ht="21" customHeight="1" x14ac:dyDescent="0.25">
      <c r="A15" s="3">
        <v>11</v>
      </c>
      <c r="B15" s="7" t="s">
        <v>32</v>
      </c>
      <c r="C15" s="7" t="s">
        <v>4</v>
      </c>
      <c r="D15" s="18">
        <v>901</v>
      </c>
      <c r="E15" s="21">
        <v>3.1213809897407874</v>
      </c>
      <c r="F15" s="9">
        <v>10.705642867822569</v>
      </c>
      <c r="G15" s="9">
        <v>9.639406003943165</v>
      </c>
      <c r="H15" s="14"/>
      <c r="I15" s="9"/>
      <c r="J15" s="14">
        <f t="shared" si="0"/>
        <v>10.172524435882867</v>
      </c>
    </row>
    <row r="16" spans="1:10" ht="21" customHeight="1" x14ac:dyDescent="0.25">
      <c r="A16" s="3">
        <v>12</v>
      </c>
      <c r="B16" s="7" t="s">
        <v>32</v>
      </c>
      <c r="C16" s="7" t="s">
        <v>5</v>
      </c>
      <c r="D16" s="18">
        <v>975</v>
      </c>
      <c r="E16" s="21">
        <v>2.8844761761604607</v>
      </c>
      <c r="F16" s="9">
        <v>8.3330382909520981</v>
      </c>
      <c r="G16" s="9">
        <v>7.5190171264993841</v>
      </c>
      <c r="H16" s="14"/>
      <c r="I16" s="9"/>
      <c r="J16" s="14">
        <f t="shared" si="0"/>
        <v>7.9260277087257407</v>
      </c>
    </row>
    <row r="17" spans="1:10" ht="21" customHeight="1" x14ac:dyDescent="0.25">
      <c r="A17" s="3">
        <v>13</v>
      </c>
      <c r="B17" s="7" t="s">
        <v>33</v>
      </c>
      <c r="C17" s="7" t="s">
        <v>5</v>
      </c>
      <c r="D17" s="18">
        <v>612</v>
      </c>
      <c r="E17" s="21">
        <v>3.103113039339374</v>
      </c>
      <c r="F17" s="9">
        <v>10.282863572076034</v>
      </c>
      <c r="G17" s="9">
        <v>10.118856657164843</v>
      </c>
      <c r="H17" s="14"/>
      <c r="I17" s="9"/>
      <c r="J17" s="14">
        <f t="shared" si="0"/>
        <v>10.200860114620438</v>
      </c>
    </row>
    <row r="18" spans="1:10" ht="21" customHeight="1" x14ac:dyDescent="0.25">
      <c r="A18" s="3">
        <v>14</v>
      </c>
      <c r="B18" s="7" t="s">
        <v>33</v>
      </c>
      <c r="C18" s="7" t="s">
        <v>4</v>
      </c>
      <c r="D18" s="18">
        <v>652</v>
      </c>
      <c r="E18" s="21">
        <v>2.9127380062510695</v>
      </c>
      <c r="F18" s="9">
        <v>11.013009770811335</v>
      </c>
      <c r="G18" s="9">
        <v>10.999116957548368</v>
      </c>
      <c r="H18" s="14"/>
      <c r="I18" s="9"/>
      <c r="J18" s="14">
        <f t="shared" si="0"/>
        <v>11.006063364179852</v>
      </c>
    </row>
    <row r="19" spans="1:10" ht="21" customHeight="1" x14ac:dyDescent="0.25">
      <c r="A19" s="3">
        <v>15</v>
      </c>
      <c r="B19" s="7" t="s">
        <v>30</v>
      </c>
      <c r="C19" s="7" t="s">
        <v>4</v>
      </c>
      <c r="D19" s="18">
        <v>550</v>
      </c>
      <c r="E19" s="21">
        <v>2.2459751219617288</v>
      </c>
      <c r="F19" s="9">
        <v>10.256227007692271</v>
      </c>
      <c r="G19" s="9">
        <v>9.4400090805350079</v>
      </c>
      <c r="H19" s="14"/>
      <c r="I19" s="9"/>
      <c r="J19" s="14">
        <f t="shared" si="0"/>
        <v>9.8481180441136402</v>
      </c>
    </row>
    <row r="20" spans="1:10" ht="21" customHeight="1" x14ac:dyDescent="0.25">
      <c r="A20" s="3">
        <v>16</v>
      </c>
      <c r="B20" s="7" t="s">
        <v>34</v>
      </c>
      <c r="C20" s="7" t="s">
        <v>4</v>
      </c>
      <c r="D20" s="18">
        <v>585</v>
      </c>
      <c r="E20" s="21">
        <v>2.0068331966521713</v>
      </c>
      <c r="F20" s="9">
        <v>11.691234520632671</v>
      </c>
      <c r="G20" s="9">
        <v>11.307620593486895</v>
      </c>
      <c r="H20" s="14"/>
      <c r="I20" s="9"/>
      <c r="J20" s="14">
        <f t="shared" si="0"/>
        <v>11.499427557059782</v>
      </c>
    </row>
    <row r="21" spans="1:10" ht="21" customHeight="1" x14ac:dyDescent="0.25">
      <c r="A21" s="3">
        <v>17</v>
      </c>
      <c r="B21" s="7" t="s">
        <v>35</v>
      </c>
      <c r="C21" s="7" t="s">
        <v>5</v>
      </c>
      <c r="D21" s="18">
        <v>306</v>
      </c>
      <c r="E21" s="21">
        <v>2.3002590655693047</v>
      </c>
      <c r="F21" s="9">
        <v>9.9751488446157186</v>
      </c>
      <c r="G21" s="9">
        <v>14.924493668465294</v>
      </c>
      <c r="H21" s="14"/>
      <c r="I21" s="9"/>
      <c r="J21" s="14">
        <f t="shared" si="0"/>
        <v>12.449821256540506</v>
      </c>
    </row>
    <row r="22" spans="1:10" ht="21" customHeight="1" x14ac:dyDescent="0.25">
      <c r="A22" s="3">
        <v>18</v>
      </c>
      <c r="B22" s="7" t="s">
        <v>36</v>
      </c>
      <c r="C22" s="7" t="s">
        <v>5</v>
      </c>
      <c r="D22" s="18">
        <v>130</v>
      </c>
      <c r="E22" s="21">
        <v>2.6310401266864103</v>
      </c>
      <c r="F22" s="9">
        <v>21.089415601279981</v>
      </c>
      <c r="G22" s="9">
        <v>21.47120508802162</v>
      </c>
      <c r="H22" s="14"/>
      <c r="I22" s="9"/>
      <c r="J22" s="14">
        <f t="shared" si="0"/>
        <v>21.2803103446508</v>
      </c>
    </row>
    <row r="23" spans="1:10" ht="21" customHeight="1" x14ac:dyDescent="0.25">
      <c r="A23" s="3">
        <v>19</v>
      </c>
      <c r="B23" s="7" t="s">
        <v>37</v>
      </c>
      <c r="C23" s="7" t="s">
        <v>5</v>
      </c>
      <c r="D23" s="18">
        <v>204</v>
      </c>
      <c r="E23" s="21">
        <v>2.5338148889441161</v>
      </c>
      <c r="F23" s="9">
        <v>17.163473185563095</v>
      </c>
      <c r="G23" s="9">
        <v>16.525416674549664</v>
      </c>
      <c r="H23" s="14"/>
      <c r="I23" s="9"/>
      <c r="J23" s="14">
        <f t="shared" si="0"/>
        <v>16.84444493005638</v>
      </c>
    </row>
    <row r="24" spans="1:10" ht="21" customHeight="1" x14ac:dyDescent="0.25">
      <c r="A24" s="3">
        <v>20</v>
      </c>
      <c r="B24" s="7" t="s">
        <v>38</v>
      </c>
      <c r="C24" s="7" t="s">
        <v>4</v>
      </c>
      <c r="D24" s="18">
        <v>720</v>
      </c>
      <c r="E24" s="21">
        <v>1.7932062489128997</v>
      </c>
      <c r="F24" s="9">
        <v>9.8251891359054255</v>
      </c>
      <c r="G24" s="9">
        <v>9.5142078468808275</v>
      </c>
      <c r="H24" s="14"/>
      <c r="I24" s="9"/>
      <c r="J24" s="14">
        <f t="shared" si="0"/>
        <v>9.6696984913931274</v>
      </c>
    </row>
    <row r="25" spans="1:10" ht="21" customHeight="1" x14ac:dyDescent="0.25">
      <c r="A25" s="3">
        <v>21</v>
      </c>
      <c r="B25" s="7" t="s">
        <v>39</v>
      </c>
      <c r="C25" s="7" t="s">
        <v>4</v>
      </c>
      <c r="D25" s="18">
        <v>314</v>
      </c>
      <c r="E25" s="21">
        <v>0</v>
      </c>
      <c r="F25" s="9">
        <v>11.677061043179366</v>
      </c>
      <c r="G25" s="9">
        <v>11.360416627307361</v>
      </c>
      <c r="H25" s="14"/>
      <c r="I25" s="9"/>
      <c r="J25" s="14">
        <f t="shared" si="0"/>
        <v>11.518738835243363</v>
      </c>
    </row>
    <row r="26" spans="1:10" ht="21" customHeight="1" x14ac:dyDescent="0.25">
      <c r="A26" s="3">
        <v>22</v>
      </c>
      <c r="B26" s="7" t="s">
        <v>40</v>
      </c>
      <c r="C26" s="7" t="s">
        <v>4</v>
      </c>
      <c r="D26" s="18">
        <v>950</v>
      </c>
      <c r="E26" s="21">
        <v>2.306035488046871</v>
      </c>
      <c r="F26" s="9">
        <v>10.534977061936253</v>
      </c>
      <c r="G26" s="9">
        <v>10.162122959725728</v>
      </c>
      <c r="H26" s="14"/>
      <c r="I26" s="9"/>
      <c r="J26" s="14">
        <f t="shared" si="0"/>
        <v>10.348550010830991</v>
      </c>
    </row>
    <row r="27" spans="1:10" ht="21" customHeight="1" x14ac:dyDescent="0.25">
      <c r="A27" s="3">
        <v>23</v>
      </c>
      <c r="B27" s="7" t="s">
        <v>41</v>
      </c>
      <c r="C27" s="7" t="s">
        <v>4</v>
      </c>
      <c r="D27" s="18">
        <v>607</v>
      </c>
      <c r="E27" s="21">
        <v>0</v>
      </c>
      <c r="F27" s="9">
        <v>11.879763850117078</v>
      </c>
      <c r="G27" s="9">
        <v>11.907489897291683</v>
      </c>
      <c r="H27" s="14"/>
      <c r="I27" s="9"/>
      <c r="J27" s="14">
        <f t="shared" si="0"/>
        <v>11.893626873704381</v>
      </c>
    </row>
    <row r="28" spans="1:10" ht="21" customHeight="1" x14ac:dyDescent="0.25">
      <c r="A28" s="3">
        <v>24</v>
      </c>
      <c r="B28" s="7" t="s">
        <v>40</v>
      </c>
      <c r="C28" s="7" t="s">
        <v>5</v>
      </c>
      <c r="D28" s="18">
        <v>1075</v>
      </c>
      <c r="E28" s="21">
        <v>2.0378918266460717</v>
      </c>
      <c r="F28" s="9">
        <v>4.7355595471903413</v>
      </c>
      <c r="G28" s="9">
        <v>4.917882318272583</v>
      </c>
      <c r="H28" s="14"/>
      <c r="I28" s="9"/>
      <c r="J28" s="14">
        <f t="shared" si="0"/>
        <v>4.8267209327314617</v>
      </c>
    </row>
    <row r="29" spans="1:10" ht="21" customHeight="1" x14ac:dyDescent="0.25">
      <c r="A29" s="3">
        <v>25</v>
      </c>
      <c r="B29" s="7" t="s">
        <v>42</v>
      </c>
      <c r="C29" s="7" t="s">
        <v>3</v>
      </c>
      <c r="D29" s="18">
        <v>273</v>
      </c>
      <c r="E29" s="21">
        <v>2.3951485815118985</v>
      </c>
      <c r="F29" s="9">
        <v>11.168416845308164</v>
      </c>
      <c r="G29" s="9">
        <v>10.906654609762962</v>
      </c>
      <c r="H29" s="14"/>
      <c r="I29" s="9"/>
      <c r="J29" s="14">
        <f t="shared" si="0"/>
        <v>11.037535727535563</v>
      </c>
    </row>
    <row r="30" spans="1:10" ht="21" customHeight="1" x14ac:dyDescent="0.25">
      <c r="A30" s="4">
        <v>26</v>
      </c>
      <c r="B30" s="8" t="s">
        <v>22</v>
      </c>
      <c r="C30" s="8" t="s">
        <v>5</v>
      </c>
      <c r="D30" s="19">
        <v>291</v>
      </c>
      <c r="E30" s="22">
        <v>2.2948319472700009</v>
      </c>
      <c r="F30" s="10">
        <v>13.150591933634651</v>
      </c>
      <c r="G30" s="10">
        <v>12.891197276623108</v>
      </c>
      <c r="H30" s="14"/>
      <c r="I30" s="10"/>
      <c r="J30" s="14">
        <f t="shared" si="0"/>
        <v>13.020894605128881</v>
      </c>
    </row>
    <row r="31" spans="1:10" ht="21" customHeight="1" x14ac:dyDescent="0.25">
      <c r="A31" s="5"/>
      <c r="B31" s="11" t="s">
        <v>23</v>
      </c>
      <c r="C31" s="6"/>
      <c r="D31" s="20">
        <v>578</v>
      </c>
      <c r="E31" s="16">
        <v>100.00000000000003</v>
      </c>
      <c r="F31" s="17">
        <v>10.680265255363516</v>
      </c>
      <c r="G31" s="17">
        <v>10.280311985826426</v>
      </c>
      <c r="H31" s="15"/>
      <c r="I31" s="17"/>
      <c r="J31" s="15">
        <f t="shared" si="0"/>
        <v>10.480288620594971</v>
      </c>
    </row>
    <row r="32" spans="1:10" x14ac:dyDescent="0.25">
      <c r="A32" s="29"/>
      <c r="B32" s="30"/>
      <c r="C32" s="30"/>
      <c r="D32" s="30"/>
      <c r="E32" s="30"/>
      <c r="F32" s="30"/>
      <c r="G32" s="30"/>
      <c r="H32" s="30"/>
      <c r="I32" s="30"/>
      <c r="J32" s="31"/>
    </row>
    <row r="33" spans="1:11" x14ac:dyDescent="0.25">
      <c r="A33" s="38" t="s">
        <v>7</v>
      </c>
      <c r="B33" s="39"/>
      <c r="C33" s="39"/>
      <c r="D33" s="39"/>
      <c r="E33" s="39"/>
      <c r="F33" s="39"/>
      <c r="G33" s="39"/>
      <c r="H33" s="39"/>
      <c r="I33" s="39"/>
      <c r="J33" s="40"/>
      <c r="K33" s="2"/>
    </row>
    <row r="34" spans="1:11" x14ac:dyDescent="0.25">
      <c r="A34" s="32" t="s">
        <v>8</v>
      </c>
      <c r="B34" s="33"/>
      <c r="C34" s="33"/>
      <c r="D34" s="33"/>
      <c r="E34" s="33"/>
      <c r="F34" s="33"/>
      <c r="G34" s="33"/>
      <c r="H34" s="33"/>
      <c r="I34" s="33"/>
      <c r="J34" s="34"/>
      <c r="K34" s="2"/>
    </row>
    <row r="35" spans="1:11" x14ac:dyDescent="0.25">
      <c r="A35" s="26" t="s">
        <v>9</v>
      </c>
      <c r="B35" s="27"/>
      <c r="C35" s="27"/>
      <c r="D35" s="27"/>
      <c r="E35" s="27"/>
      <c r="F35" s="27"/>
      <c r="G35" s="27"/>
      <c r="H35" s="27"/>
      <c r="I35" s="27"/>
      <c r="J35" s="28"/>
    </row>
    <row r="36" spans="1:11" x14ac:dyDescent="0.25">
      <c r="A36" s="35" t="s">
        <v>10</v>
      </c>
      <c r="B36" s="36"/>
      <c r="C36" s="36"/>
      <c r="D36" s="36"/>
      <c r="E36" s="36"/>
      <c r="F36" s="36"/>
      <c r="G36" s="36"/>
      <c r="H36" s="36"/>
      <c r="I36" s="36"/>
      <c r="J36" s="37"/>
    </row>
    <row r="37" spans="1:11" x14ac:dyDescent="0.25">
      <c r="A37" s="35" t="s">
        <v>11</v>
      </c>
      <c r="B37" s="36"/>
      <c r="C37" s="36"/>
      <c r="D37" s="36"/>
      <c r="E37" s="36"/>
      <c r="F37" s="36"/>
      <c r="G37" s="36"/>
      <c r="H37" s="36"/>
      <c r="I37" s="36"/>
      <c r="J37" s="37"/>
    </row>
    <row r="38" spans="1:11" x14ac:dyDescent="0.25">
      <c r="A38" s="23" t="s">
        <v>6</v>
      </c>
      <c r="B38" s="24"/>
      <c r="C38" s="24"/>
      <c r="D38" s="24"/>
      <c r="E38" s="24"/>
      <c r="F38" s="24"/>
      <c r="G38" s="24"/>
      <c r="H38" s="24"/>
      <c r="I38" s="24"/>
      <c r="J38" s="25"/>
    </row>
  </sheetData>
  <mergeCells count="15">
    <mergeCell ref="A1:J1"/>
    <mergeCell ref="D2:D4"/>
    <mergeCell ref="E2:E4"/>
    <mergeCell ref="F2:J2"/>
    <mergeCell ref="F4:J4"/>
    <mergeCell ref="A2:A4"/>
    <mergeCell ref="B2:B4"/>
    <mergeCell ref="C2:C4"/>
    <mergeCell ref="A38:J38"/>
    <mergeCell ref="A35:J35"/>
    <mergeCell ref="A32:J32"/>
    <mergeCell ref="A34:J34"/>
    <mergeCell ref="A37:J37"/>
    <mergeCell ref="A33:J33"/>
    <mergeCell ref="A36:J36"/>
  </mergeCells>
  <pageMargins left="0.7" right="0.7" top="0.75" bottom="0.75" header="0.3" footer="0.3"/>
  <pageSetup orientation="portrait" r:id="rId1"/>
  <ignoredErrors>
    <ignoredError sqref="J5 J6:J3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5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Ladd, Jessica</dc:creator>
  <cp:lastModifiedBy>Government User</cp:lastModifiedBy>
  <dcterms:created xsi:type="dcterms:W3CDTF">2008-08-25T16:01:01Z</dcterms:created>
  <dcterms:modified xsi:type="dcterms:W3CDTF">2013-08-14T20:00:30Z</dcterms:modified>
</cp:coreProperties>
</file>