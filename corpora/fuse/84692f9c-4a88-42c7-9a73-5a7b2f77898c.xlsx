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autoCompressPictures="0"/>
  <bookViews>
    <workbookView xWindow="0" yWindow="0" windowWidth="25600" windowHeight="14360" activeTab="1"/>
  </bookViews>
  <sheets>
    <sheet name="legend" sheetId="10" r:id="rId1"/>
    <sheet name="all" sheetId="1" r:id="rId2"/>
    <sheet name="AFR" sheetId="4" r:id="rId3"/>
    <sheet name="EMR" sheetId="5" r:id="rId4"/>
    <sheet name="EUR" sheetId="6" r:id="rId5"/>
    <sheet name="AMR" sheetId="7" r:id="rId6"/>
    <sheet name="SEAR" sheetId="8" r:id="rId7"/>
    <sheet name="WPR" sheetId="9" r:id="rId8"/>
  </sheets>
  <definedNames>
    <definedName name="_xlnm.Print_Titles" localSheetId="1">all!$8:$8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0" i="9" l="1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9" i="9"/>
  <c r="Q10" i="8"/>
  <c r="Q11" i="8"/>
  <c r="Q12" i="8"/>
  <c r="Q13" i="8"/>
  <c r="Q14" i="8"/>
  <c r="Q15" i="8"/>
  <c r="Q16" i="8"/>
  <c r="Q17" i="8"/>
  <c r="Q18" i="8"/>
  <c r="Q19" i="8"/>
  <c r="Q9" i="8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9" i="7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9" i="6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9" i="5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9" i="4"/>
</calcChain>
</file>

<file path=xl/sharedStrings.xml><?xml version="1.0" encoding="utf-8"?>
<sst xmlns="http://schemas.openxmlformats.org/spreadsheetml/2006/main" count="2438" uniqueCount="341">
  <si>
    <t>Angola</t>
  </si>
  <si>
    <t>Portuguese</t>
  </si>
  <si>
    <t>Benin</t>
  </si>
  <si>
    <t>French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</si>
  <si>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</si>
  <si>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</si>
  <si>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</si>
  <si>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</si>
  <si>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</si>
  <si>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</si>
  <si>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</si>
  <si>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Eritrea</t>
  </si>
  <si>
    <t>Ethiopia</t>
  </si>
  <si>
    <t>Ghana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</si>
  <si>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</si>
  <si>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</si>
  <si>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</si>
  <si>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</si>
  <si>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</si>
  <si>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</si>
  <si>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</si>
  <si>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</si>
  <si>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</si>
  <si>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Nigeria</t>
  </si>
  <si>
    <t>Rwanda</t>
  </si>
  <si>
    <t>Senegal</t>
  </si>
  <si>
    <t>Sierra Leone</t>
  </si>
  <si>
    <t>Swaziland</t>
  </si>
  <si>
    <t>Togo</t>
  </si>
  <si>
    <t>Uganda</t>
  </si>
  <si>
    <t>Zambia</t>
  </si>
  <si>
    <t>Zimbabwe</t>
  </si>
  <si>
    <t>Algeria</t>
  </si>
  <si>
    <t>Botswana</t>
  </si>
  <si>
    <t>Gabon</t>
  </si>
  <si>
    <t>Mauritius</t>
  </si>
  <si>
    <t>Namibia</t>
  </si>
  <si>
    <t>Seychelles</t>
  </si>
  <si>
    <t>AMRO</t>
  </si>
  <si>
    <t>Belize</t>
  </si>
  <si>
    <t>Bolivia</t>
  </si>
  <si>
    <t>Ecuador</t>
  </si>
  <si>
    <t>El Salvador</t>
  </si>
  <si>
    <t>Guatemala</t>
  </si>
  <si>
    <t>Guyana</t>
  </si>
  <si>
    <t>Haiti</t>
  </si>
  <si>
    <t>Honduras</t>
  </si>
  <si>
    <t>Nicaragua</t>
  </si>
  <si>
    <t>Paraguay</t>
  </si>
  <si>
    <t>Argentina</t>
  </si>
  <si>
    <t>Brazil</t>
  </si>
  <si>
    <t>Chile</t>
  </si>
  <si>
    <t>Colombia</t>
  </si>
  <si>
    <t>Costa Rica</t>
  </si>
  <si>
    <t>Cuba</t>
  </si>
  <si>
    <t>Dominica</t>
  </si>
  <si>
    <t>Dominican Republic</t>
  </si>
  <si>
    <t>Grenada</t>
  </si>
  <si>
    <t>Jamaica</t>
  </si>
  <si>
    <t>Mexico</t>
  </si>
  <si>
    <t>Panama</t>
  </si>
  <si>
    <t>Peru</t>
  </si>
  <si>
    <t>Spanish</t>
  </si>
  <si>
    <t>Suriname</t>
  </si>
  <si>
    <t>Iraq</t>
  </si>
  <si>
    <t>Jordan</t>
  </si>
  <si>
    <t>Morocco</t>
  </si>
  <si>
    <t>Pakistan</t>
  </si>
  <si>
    <t>Somalia</t>
  </si>
  <si>
    <t>Sudan</t>
  </si>
  <si>
    <t>Tunisia</t>
  </si>
  <si>
    <t>Lebanon</t>
  </si>
  <si>
    <t>Albania</t>
  </si>
  <si>
    <t>Armenia</t>
  </si>
  <si>
    <t>Azerbaijan</t>
  </si>
  <si>
    <t>Georgia</t>
  </si>
  <si>
    <t>Tajikistan</t>
  </si>
  <si>
    <t>Turkmenistan</t>
  </si>
  <si>
    <t>Ukraine</t>
  </si>
  <si>
    <t>Uzbekistan</t>
  </si>
  <si>
    <t>Belarus</t>
  </si>
  <si>
    <t>Bulgaria</t>
  </si>
  <si>
    <t>Kazakhstan</t>
  </si>
  <si>
    <t>Lithuania</t>
  </si>
  <si>
    <t>Montenegro</t>
  </si>
  <si>
    <t>Romania</t>
  </si>
  <si>
    <t>Russian Federation</t>
  </si>
  <si>
    <t>Serbia</t>
  </si>
  <si>
    <t>Bangladesh</t>
  </si>
  <si>
    <t>Bhutan</t>
  </si>
  <si>
    <t>India</t>
  </si>
  <si>
    <t>Indonesia</t>
  </si>
  <si>
    <t>Maldives</t>
  </si>
  <si>
    <t>Myanmar</t>
  </si>
  <si>
    <t>Nepal</t>
  </si>
  <si>
    <t>Sri Lanka</t>
  </si>
  <si>
    <t>Thailand</t>
  </si>
  <si>
    <t>Cambodia</t>
  </si>
  <si>
    <t>China</t>
  </si>
  <si>
    <t>Kiribati</t>
  </si>
  <si>
    <t>Lao PDR</t>
  </si>
  <si>
    <t>Marshall Islands</t>
  </si>
  <si>
    <t>Mongolia</t>
  </si>
  <si>
    <t>Papua New Guinea</t>
  </si>
  <si>
    <t>Samoa</t>
  </si>
  <si>
    <t>Solomon Islands</t>
  </si>
  <si>
    <t>Tonga</t>
  </si>
  <si>
    <t>Vanuatu</t>
  </si>
  <si>
    <t>Vietnam</t>
  </si>
  <si>
    <t>Fiji</t>
  </si>
  <si>
    <t>Malaysia</t>
  </si>
  <si>
    <t>yes</t>
  </si>
  <si>
    <t>no</t>
  </si>
  <si>
    <t>NP</t>
  </si>
  <si>
    <t>HP</t>
  </si>
  <si>
    <t>NCD</t>
  </si>
  <si>
    <t>Afghanistan</t>
  </si>
  <si>
    <t>Low income</t>
  </si>
  <si>
    <t>Upper middle income</t>
  </si>
  <si>
    <t>American Samoa</t>
  </si>
  <si>
    <t>Lower middle income</t>
  </si>
  <si>
    <t>Antigua and Barbuda</t>
  </si>
  <si>
    <t>Bosnia and Herzegovina</t>
  </si>
  <si>
    <t>Congo, Dem. Rep.</t>
  </si>
  <si>
    <t>Côte d'Ivoire</t>
  </si>
  <si>
    <t>Djibouti</t>
  </si>
  <si>
    <t>Egypt, Arab Rep.</t>
  </si>
  <si>
    <t>Guinea</t>
  </si>
  <si>
    <t>Iran, Islamic Rep.</t>
  </si>
  <si>
    <t>Korea, Dem. Rep.</t>
  </si>
  <si>
    <t>Kosovo</t>
  </si>
  <si>
    <t>Kyrgyz Republic</t>
  </si>
  <si>
    <t>Libya</t>
  </si>
  <si>
    <t>Macedonia, FYR</t>
  </si>
  <si>
    <t>Mayotte</t>
  </si>
  <si>
    <t>Micronesia, Fed. Sts.</t>
  </si>
  <si>
    <t>Moldova</t>
  </si>
  <si>
    <t>Palau</t>
  </si>
  <si>
    <t>Philippines</t>
  </si>
  <si>
    <t>São Tomé and Principe</t>
  </si>
  <si>
    <t>South Africa</t>
  </si>
  <si>
    <t>Syrian Arab Republic</t>
  </si>
  <si>
    <t>Tanzania</t>
  </si>
  <si>
    <t>Timor-Leste</t>
  </si>
  <si>
    <t>Turkey</t>
  </si>
  <si>
    <t>Tuvalu</t>
  </si>
  <si>
    <t>Uruguay</t>
  </si>
  <si>
    <t>Venezuela, RB</t>
  </si>
  <si>
    <t>West Bank and Gaza</t>
  </si>
  <si>
    <t>Yemen, Rep.</t>
  </si>
  <si>
    <t>WHO region</t>
  </si>
  <si>
    <t>FV</t>
  </si>
  <si>
    <t>PA</t>
  </si>
  <si>
    <t>Montenegrin</t>
  </si>
  <si>
    <t>Farsi</t>
  </si>
  <si>
    <t>Policy status assessed</t>
  </si>
  <si>
    <t>published before 2004</t>
  </si>
  <si>
    <t>English</t>
  </si>
  <si>
    <t>5 year plan</t>
  </si>
  <si>
    <t>Serbian</t>
  </si>
  <si>
    <t>Chinese/English</t>
  </si>
  <si>
    <t>Russian/English</t>
  </si>
  <si>
    <t>Doctrine</t>
  </si>
  <si>
    <t>People's Democratic Republic of Algeria</t>
  </si>
  <si>
    <t>Arab Republic of Egypt</t>
  </si>
  <si>
    <t>Commonwealth of Dominica</t>
  </si>
  <si>
    <t>Democratic People’s Republic of Korea</t>
  </si>
  <si>
    <t>Democratic Republic of Sao Tome and Principe</t>
  </si>
  <si>
    <t>Federated States of Micronesia</t>
  </si>
  <si>
    <t>Gabonese Republic</t>
  </si>
  <si>
    <t>Kingdom of Tonga</t>
  </si>
  <si>
    <t>Lebanese Republic</t>
  </si>
  <si>
    <t>Republic of Azerbaijan</t>
  </si>
  <si>
    <t>Republic of Belarus</t>
  </si>
  <si>
    <t>Republic of Iraq</t>
  </si>
  <si>
    <t>Republic of Kazakhstan</t>
  </si>
  <si>
    <t>Republic of Lithuania</t>
  </si>
  <si>
    <t>Republic of Palau</t>
  </si>
  <si>
    <t>Republic of the Marshall Islands</t>
  </si>
  <si>
    <t>Republic of Uzbekistan</t>
  </si>
  <si>
    <t>Republic of Yemen</t>
  </si>
  <si>
    <t>Saint Kitts and Nevis</t>
  </si>
  <si>
    <t>Union of the Comoros</t>
  </si>
  <si>
    <t>Bolivarian Republic of Venezuela</t>
  </si>
  <si>
    <t>Kingdom of Lesotho</t>
  </si>
  <si>
    <t>Republic of Albania</t>
  </si>
  <si>
    <t>Republic of Armenia</t>
  </si>
  <si>
    <t>Republic of Burundi</t>
  </si>
  <si>
    <t>Republic of Ecuador</t>
  </si>
  <si>
    <t>Republic of El Salvador</t>
  </si>
  <si>
    <t>Republic of Kiribati</t>
  </si>
  <si>
    <t>Republic of Namibia</t>
  </si>
  <si>
    <t>Republic of Sierra Leone</t>
  </si>
  <si>
    <t>Republic of the Gambia</t>
  </si>
  <si>
    <t>Republic of Zimbabwe</t>
  </si>
  <si>
    <t>Somali Republic</t>
  </si>
  <si>
    <t>United Republic of Tanzania</t>
  </si>
  <si>
    <t>Democratic Republic of the Congo</t>
  </si>
  <si>
    <t xml:space="preserve">Republic of Senegal </t>
  </si>
  <si>
    <t>Republic of Chad</t>
  </si>
  <si>
    <t>Republic of the Congo</t>
  </si>
  <si>
    <t xml:space="preserve">Republic of South Africa </t>
  </si>
  <si>
    <t>Republic of Tajikistan</t>
  </si>
  <si>
    <t xml:space="preserve">Republic of Cameroon </t>
  </si>
  <si>
    <t>Republic of Tunisia</t>
  </si>
  <si>
    <t>the Republic of Angola</t>
  </si>
  <si>
    <t>the Republic of Benin</t>
  </si>
  <si>
    <t>the Republic of Botswana</t>
  </si>
  <si>
    <t>the Republic of Cape Verde</t>
  </si>
  <si>
    <t>the Republic of Côte d’Ivoire</t>
  </si>
  <si>
    <t>the Federal Democratic Republic of Ethiopia</t>
  </si>
  <si>
    <t>the Republic of Ghana</t>
  </si>
  <si>
    <t>the Republic of Guinea</t>
  </si>
  <si>
    <t>the Republic of Guinea-Bissau</t>
  </si>
  <si>
    <t>the Republic of Kenya</t>
  </si>
  <si>
    <t>the Republic of Liberia</t>
  </si>
  <si>
    <t>the Republic of Madagascar</t>
  </si>
  <si>
    <t>the Republic of Malawi</t>
  </si>
  <si>
    <t>the Republic of Mali</t>
  </si>
  <si>
    <t>the Islamic Republic of Mauritania</t>
  </si>
  <si>
    <t>the Republic of Mauritius</t>
  </si>
  <si>
    <t>the Republic of Mozambique</t>
  </si>
  <si>
    <t>the Republic of the Niger</t>
  </si>
  <si>
    <t>the Federal Republic of Nigeria</t>
  </si>
  <si>
    <t>the Republic of Rwanda</t>
  </si>
  <si>
    <t>the Republic of Seychelles</t>
  </si>
  <si>
    <t>the Kingdom of Swaziland</t>
  </si>
  <si>
    <t>the Togolese Republic</t>
  </si>
  <si>
    <t>the Republic of Uganda</t>
  </si>
  <si>
    <t>the Republic of Zambia</t>
  </si>
  <si>
    <t>the Argentine Republic</t>
  </si>
  <si>
    <t>the Plurinational State of Bolivia</t>
  </si>
  <si>
    <t>the Federative Republic of Brazil</t>
  </si>
  <si>
    <t>the Republic of Chile</t>
  </si>
  <si>
    <t>the Republic of Colombia</t>
  </si>
  <si>
    <t>the Republic of Costa Rica</t>
  </si>
  <si>
    <t>the Republic of Cuba</t>
  </si>
  <si>
    <t>the Republic of Guatemala</t>
  </si>
  <si>
    <t>the Republic of Guyana</t>
  </si>
  <si>
    <t>the Republic of Haiti</t>
  </si>
  <si>
    <t>the Republic of Honduras</t>
  </si>
  <si>
    <t>the United Mexican States</t>
  </si>
  <si>
    <t>the Republic of Nicaragua</t>
  </si>
  <si>
    <t>the Republic of Panama</t>
  </si>
  <si>
    <t>the Republic of Paraguay</t>
  </si>
  <si>
    <t>the Republic of Peru</t>
  </si>
  <si>
    <t>Saint Lucia</t>
  </si>
  <si>
    <t>Saint Vincent and the Grenadines</t>
  </si>
  <si>
    <t>the Republic of Suriname</t>
  </si>
  <si>
    <t>the Eastern Republic of Uruguay</t>
  </si>
  <si>
    <t>the Islamic Republic of Afghanistan</t>
  </si>
  <si>
    <t>the Republic of Djibouti</t>
  </si>
  <si>
    <t>the Islamic Republic of Iran</t>
  </si>
  <si>
    <t>the Hashemite Kingdom of Jordan</t>
  </si>
  <si>
    <t>the Kingdom of Morocco</t>
  </si>
  <si>
    <t>the Islamic Republic of Pakistan</t>
  </si>
  <si>
    <t>the Republic of the Sudan</t>
  </si>
  <si>
    <t>the Republic of Bulgaria</t>
  </si>
  <si>
    <t>the former Yugoslav Republic of Macedonia</t>
  </si>
  <si>
    <t xml:space="preserve">the Republic of Moldova </t>
  </si>
  <si>
    <t>the Russian Federation</t>
  </si>
  <si>
    <t>the Republic of Serbia</t>
  </si>
  <si>
    <t>the Republic of Turkey</t>
  </si>
  <si>
    <t>the People’s Republic of Bangladesh</t>
  </si>
  <si>
    <t>the Kingdom of Bhutan</t>
  </si>
  <si>
    <t>the Republic of India</t>
  </si>
  <si>
    <t>the Republic of Indonesia</t>
  </si>
  <si>
    <t>the Republic of Maldives</t>
  </si>
  <si>
    <t>the Republic of the Union of Myanmar</t>
  </si>
  <si>
    <t>the Federal Democratic Republic of Nepal</t>
  </si>
  <si>
    <t>the Democratic Socialist Republic of Sri Lanka</t>
  </si>
  <si>
    <t>the Kingdom of Thailand</t>
  </si>
  <si>
    <t>the Democratic Republic of Timor-Leste</t>
  </si>
  <si>
    <t>the Kingdom of Cambodia</t>
  </si>
  <si>
    <t>the People’s Republic of China</t>
  </si>
  <si>
    <t>the Republic of Fiji</t>
  </si>
  <si>
    <t>the Lao People’s Democratic Republic</t>
  </si>
  <si>
    <t>the Republic of the Philippines</t>
  </si>
  <si>
    <t>the Independent State of Samoa</t>
  </si>
  <si>
    <t>the Socialist Republic of Viet Nam</t>
  </si>
  <si>
    <t>Congo, (the)</t>
  </si>
  <si>
    <t>Gambia (The)</t>
  </si>
  <si>
    <t>Niger (the)</t>
  </si>
  <si>
    <t>Policy was available but could not be obtained</t>
  </si>
  <si>
    <t>Policy not officially endorsed</t>
  </si>
  <si>
    <t>Policy reported to be unavailable</t>
  </si>
  <si>
    <t>AFR</t>
  </si>
  <si>
    <t>EMR</t>
  </si>
  <si>
    <t>EUR</t>
  </si>
  <si>
    <t>SEAR</t>
  </si>
  <si>
    <t>WPR</t>
  </si>
  <si>
    <t>Classification</t>
  </si>
  <si>
    <t>Short name</t>
  </si>
  <si>
    <t>Full name</t>
  </si>
  <si>
    <t>Language</t>
  </si>
  <si>
    <t>Reason for exclusion from review</t>
  </si>
  <si>
    <t>County with policy elibigle for review</t>
  </si>
  <si>
    <t>Type of policy</t>
  </si>
  <si>
    <t>Classification code</t>
  </si>
  <si>
    <t>Salt</t>
  </si>
  <si>
    <t>Fat</t>
  </si>
  <si>
    <t>Number of strategies</t>
  </si>
  <si>
    <t>AMR</t>
  </si>
  <si>
    <t>Countries are organised by WHO region and alfabethically ordered by their short name</t>
  </si>
  <si>
    <t>Classification was obtained from the World Bank 2011 classification. Reference: World Bank (2011) World Development Indicators &amp; Global Development Finance available at http://data.worldbank.org/data-catalog#Tables</t>
  </si>
  <si>
    <t>WHO regions were obtained from www.who.int</t>
  </si>
  <si>
    <t>Eastern Mediterranean Region</t>
  </si>
  <si>
    <t>European Region</t>
  </si>
  <si>
    <t>Region of the Americas</t>
  </si>
  <si>
    <t>South-East Asia region</t>
  </si>
  <si>
    <t>Western Pacific Region</t>
  </si>
  <si>
    <t>African Region</t>
  </si>
  <si>
    <t>NCD Strategy</t>
  </si>
  <si>
    <t>NCD Strategies</t>
  </si>
  <si>
    <t>NCD Strategies: Diet related non-communicable disease strategies</t>
  </si>
  <si>
    <t xml:space="preserve">Policy available but not eligible for review </t>
  </si>
  <si>
    <t>Policy reviewed: no NCD strategies</t>
  </si>
  <si>
    <t>Countries with a policy with an NCD  strategy</t>
  </si>
  <si>
    <t>Country is LMIC according to WB but not member of WHO</t>
  </si>
  <si>
    <t>Country with no information on policy availability</t>
  </si>
  <si>
    <t>Strategies to modify fat intake</t>
  </si>
  <si>
    <t xml:space="preserve">Strategies to increase fruit and vegetable intake </t>
  </si>
  <si>
    <t>Stategies to promote physical activity or prevent sedentary lifestyle</t>
  </si>
  <si>
    <t>Strategies to limit salt</t>
  </si>
  <si>
    <t>Food or Nutrition Policy</t>
  </si>
  <si>
    <t>Health Policy</t>
  </si>
  <si>
    <t>Non Communicable Disease Policy</t>
  </si>
  <si>
    <t>Language: language in which the document was published</t>
  </si>
  <si>
    <t>The original document is published in Chinese but an official translation to English was obtained and reviewed</t>
  </si>
  <si>
    <t>The original document is published in Russian but an official translation to English was obtained and reviewed</t>
  </si>
  <si>
    <t>not member state of WHO</t>
  </si>
  <si>
    <t>Published before 2004</t>
  </si>
  <si>
    <t>Legend to the datafile</t>
  </si>
  <si>
    <t>NCD strategies</t>
  </si>
  <si>
    <t>Table S1: Availability of national policy documents and strategies for NCD prevention in low- and middle- income countries by WHO region</t>
  </si>
  <si>
    <t>Diet and Physical Activity for the Prevention of Non Communicable Diseases in Low and Middle-Income Countries: A Systematic Policy Review</t>
  </si>
  <si>
    <t>Lachat et al. Plosmed</t>
  </si>
  <si>
    <t>NP*</t>
  </si>
  <si>
    <t xml:space="preserve">* For Malaysia, the Nutrition policy was analysed instead of the National Strategic plan for non-communicable disease NSPNCD. Medium Term strategic plan to further </t>
  </si>
  <si>
    <t>strengthen the cardiovascular diseases and diabetes prevention and control programme in Malaysia (210-2014). Ministry of Health Malaysia. 2010 http://www.moh.gov.my/images/gallery/nspncd/NSPNCD.pdf.</t>
  </si>
  <si>
    <t>because the Nutrition policy contained more details on the dietary strategies for NCD prevention.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</si>
</sst>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</font>
    <font>
      <b/>
      <sz val="10"/>
      <name val="Calibri"/>
    </font>
    <font>
      <sz val="10"/>
      <color rgb="FF000000"/>
      <name val="Calibri"/>
    </font>
    <font>
      <b/>
      <sz val="12"/>
      <color theme="1"/>
      <name val="Calibri"/>
    </font>
    <font>
      <sz val="12"/>
      <name val="Calibri"/>
    </font>
    <font>
      <i/>
      <sz val="12"/>
      <name val="Calibri"/>
    </font>
    <font>
      <sz val="18"/>
      <name val="Calibri"/>
    </font>
    <font>
      <b/>
      <sz val="18"/>
      <color theme="1"/>
      <name val="Calibri"/>
    </font>
    <font>
      <b/>
      <sz val="14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b/>
      <sz val="14"/>
      <color theme="1"/>
      <name val="Calibri"/>
    </font>
    <font>
      <b/>
      <sz val="14"/>
      <color rgb="FF000000"/>
      <name val="Calibri"/>
    </font>
    <font>
      <b/>
      <sz val="14"/>
      <color theme="1"/>
      <name val="Calibri"/>
      <scheme val="minor"/>
    </font>
    <font>
      <i/>
      <sz val="8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7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3">
    <xf numFmtId="0" fontId="0" fillId="0" borderId="0" xfId="0"/>
    <xf numFmtId="0" fontId="6" fillId="0" borderId="4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1" fillId="0" borderId="0" xfId="0" applyFont="1" applyFill="1" applyBorder="1"/>
    <xf numFmtId="0" fontId="1" fillId="0" borderId="0" xfId="0" applyFont="1" applyFill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5" fillId="0" borderId="0" xfId="0" applyFont="1" applyFill="1" applyAlignment="1">
      <alignment horizontal="center"/>
    </xf>
    <xf numFmtId="0" fontId="1" fillId="0" borderId="3" xfId="0" applyFont="1" applyFill="1" applyBorder="1"/>
    <xf numFmtId="0" fontId="5" fillId="0" borderId="3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6" xfId="0" applyFont="1" applyFill="1" applyBorder="1"/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1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 wrapText="1"/>
    </xf>
    <xf numFmtId="0" fontId="7" fillId="0" borderId="6" xfId="0" applyFont="1" applyFill="1" applyBorder="1"/>
    <xf numFmtId="0" fontId="1" fillId="0" borderId="3" xfId="0" applyFont="1" applyFill="1" applyBorder="1" applyAlignment="1">
      <alignment vertical="center"/>
    </xf>
    <xf numFmtId="1" fontId="7" fillId="0" borderId="8" xfId="0" applyNumberFormat="1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5" fillId="0" borderId="3" xfId="0" applyFont="1" applyFill="1" applyBorder="1"/>
    <xf numFmtId="1" fontId="7" fillId="0" borderId="9" xfId="0" applyNumberFormat="1" applyFont="1" applyFill="1" applyBorder="1" applyAlignment="1">
      <alignment horizontal="center" vertical="center"/>
    </xf>
    <xf numFmtId="1" fontId="7" fillId="0" borderId="8" xfId="0" quotePrefix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2" fillId="0" borderId="0" xfId="0" applyFont="1" applyFill="1"/>
    <xf numFmtId="0" fontId="8" fillId="0" borderId="0" xfId="0" applyFont="1" applyFill="1"/>
    <xf numFmtId="0" fontId="6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3" fillId="0" borderId="0" xfId="0" applyFont="1" applyFill="1" applyBorder="1"/>
    <xf numFmtId="0" fontId="14" fillId="0" borderId="0" xfId="0" applyFont="1"/>
    <xf numFmtId="0" fontId="15" fillId="0" borderId="0" xfId="0" applyFont="1"/>
    <xf numFmtId="0" fontId="16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/>
    </xf>
    <xf numFmtId="0" fontId="17" fillId="0" borderId="0" xfId="0" applyFont="1"/>
    <xf numFmtId="0" fontId="19" fillId="0" borderId="0" xfId="0" applyFont="1"/>
    <xf numFmtId="0" fontId="5" fillId="0" borderId="6" xfId="0" applyFont="1" applyFill="1" applyBorder="1"/>
    <xf numFmtId="0" fontId="14" fillId="0" borderId="0" xfId="0" applyFont="1" applyAlignment="1">
      <alignment horizontal="right"/>
    </xf>
    <xf numFmtId="0" fontId="16" fillId="0" borderId="0" xfId="0" applyFont="1" applyFill="1" applyBorder="1" applyAlignment="1">
      <alignment horizontal="right"/>
    </xf>
    <xf numFmtId="0" fontId="18" fillId="0" borderId="0" xfId="0" applyFont="1" applyFill="1"/>
    <xf numFmtId="0" fontId="11" fillId="0" borderId="0" xfId="0" applyFont="1" applyFill="1" applyBorder="1"/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left"/>
    </xf>
    <xf numFmtId="0" fontId="20" fillId="0" borderId="0" xfId="0" applyFont="1" applyFill="1" applyBorder="1"/>
    <xf numFmtId="0" fontId="6" fillId="0" borderId="4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</cellXfs>
  <cellStyles count="1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0"/>
  <sheetViews>
    <sheetView workbookViewId="0"/>
  </sheetViews>
  <sheetFormatPr baseColWidth="10" defaultRowHeight="14" x14ac:dyDescent="0"/>
  <cols>
    <col min="1" max="2" width="10.83203125" style="52"/>
    <col min="3" max="3" width="6" style="52" customWidth="1"/>
    <col min="4" max="16384" width="10.83203125" style="52"/>
  </cols>
  <sheetData>
    <row r="1" spans="2:4" ht="23">
      <c r="B1" s="46" t="s">
        <v>335</v>
      </c>
    </row>
    <row r="2" spans="2:4" ht="15">
      <c r="B2" s="45" t="s">
        <v>336</v>
      </c>
    </row>
    <row r="3" spans="2:4">
      <c r="B3" s="2"/>
    </row>
    <row r="4" spans="2:4" ht="15">
      <c r="B4" s="47" t="s">
        <v>334</v>
      </c>
    </row>
    <row r="5" spans="2:4" ht="18">
      <c r="B5" s="57" t="s">
        <v>332</v>
      </c>
    </row>
    <row r="7" spans="2:4">
      <c r="B7" s="52" t="s">
        <v>303</v>
      </c>
    </row>
    <row r="9" spans="2:4">
      <c r="B9" s="52" t="s">
        <v>304</v>
      </c>
    </row>
    <row r="11" spans="2:4">
      <c r="B11" s="52" t="s">
        <v>305</v>
      </c>
    </row>
    <row r="12" spans="2:4">
      <c r="C12" s="60" t="s">
        <v>286</v>
      </c>
      <c r="D12" s="52" t="s">
        <v>311</v>
      </c>
    </row>
    <row r="13" spans="2:4">
      <c r="C13" s="60" t="s">
        <v>290</v>
      </c>
      <c r="D13" s="52" t="s">
        <v>310</v>
      </c>
    </row>
    <row r="14" spans="2:4">
      <c r="C14" s="60" t="s">
        <v>289</v>
      </c>
      <c r="D14" s="52" t="s">
        <v>309</v>
      </c>
    </row>
    <row r="15" spans="2:4">
      <c r="C15" s="60" t="s">
        <v>288</v>
      </c>
      <c r="D15" s="53" t="s">
        <v>307</v>
      </c>
    </row>
    <row r="16" spans="2:4">
      <c r="C16" s="60" t="s">
        <v>287</v>
      </c>
      <c r="D16" s="52" t="s">
        <v>306</v>
      </c>
    </row>
    <row r="17" spans="2:4">
      <c r="C17" s="60" t="s">
        <v>302</v>
      </c>
      <c r="D17" s="52" t="s">
        <v>308</v>
      </c>
    </row>
    <row r="18" spans="2:4">
      <c r="C18" s="60"/>
    </row>
    <row r="19" spans="2:4">
      <c r="B19" s="52" t="s">
        <v>327</v>
      </c>
      <c r="C19" s="60"/>
    </row>
    <row r="20" spans="2:4">
      <c r="C20" s="60" t="s">
        <v>160</v>
      </c>
      <c r="D20" s="52" t="s">
        <v>328</v>
      </c>
    </row>
    <row r="21" spans="2:4">
      <c r="C21" s="60" t="s">
        <v>161</v>
      </c>
      <c r="D21" s="52" t="s">
        <v>329</v>
      </c>
    </row>
    <row r="22" spans="2:4">
      <c r="C22" s="60"/>
    </row>
    <row r="23" spans="2:4">
      <c r="B23" s="52" t="s">
        <v>297</v>
      </c>
      <c r="C23" s="60"/>
    </row>
    <row r="24" spans="2:4">
      <c r="C24" s="60" t="s">
        <v>113</v>
      </c>
      <c r="D24" s="52" t="s">
        <v>324</v>
      </c>
    </row>
    <row r="25" spans="2:4">
      <c r="C25" s="60" t="s">
        <v>114</v>
      </c>
      <c r="D25" s="52" t="s">
        <v>325</v>
      </c>
    </row>
    <row r="26" spans="2:4">
      <c r="C26" s="60" t="s">
        <v>115</v>
      </c>
      <c r="D26" s="52" t="s">
        <v>326</v>
      </c>
    </row>
    <row r="27" spans="2:4">
      <c r="C27" s="60"/>
    </row>
    <row r="28" spans="2:4">
      <c r="C28" s="60"/>
    </row>
    <row r="29" spans="2:4">
      <c r="B29" s="52" t="s">
        <v>298</v>
      </c>
      <c r="C29" s="60"/>
    </row>
    <row r="30" spans="2:4">
      <c r="C30" s="61">
        <v>0</v>
      </c>
      <c r="D30" s="54" t="s">
        <v>318</v>
      </c>
    </row>
    <row r="31" spans="2:4">
      <c r="C31" s="61">
        <v>1</v>
      </c>
      <c r="D31" s="55" t="s">
        <v>319</v>
      </c>
    </row>
    <row r="32" spans="2:4">
      <c r="C32" s="61">
        <v>2</v>
      </c>
      <c r="D32" s="56" t="s">
        <v>315</v>
      </c>
    </row>
    <row r="33" spans="2:4">
      <c r="C33" s="61">
        <v>3</v>
      </c>
      <c r="D33" s="56" t="s">
        <v>316</v>
      </c>
    </row>
    <row r="34" spans="2:4">
      <c r="C34" s="61">
        <v>4</v>
      </c>
      <c r="D34" s="56" t="s">
        <v>317</v>
      </c>
    </row>
    <row r="35" spans="2:4">
      <c r="C35" s="60"/>
    </row>
    <row r="36" spans="2:4">
      <c r="B36" s="52" t="s">
        <v>314</v>
      </c>
      <c r="C36" s="60"/>
    </row>
    <row r="37" spans="2:4">
      <c r="C37" s="60" t="s">
        <v>299</v>
      </c>
      <c r="D37" s="52" t="s">
        <v>323</v>
      </c>
    </row>
    <row r="38" spans="2:4">
      <c r="C38" s="60" t="s">
        <v>300</v>
      </c>
      <c r="D38" s="52" t="s">
        <v>320</v>
      </c>
    </row>
    <row r="39" spans="2:4">
      <c r="C39" s="60" t="s">
        <v>151</v>
      </c>
      <c r="D39" s="52" t="s">
        <v>321</v>
      </c>
    </row>
    <row r="40" spans="2:4">
      <c r="C40" s="60" t="s">
        <v>152</v>
      </c>
      <c r="D40" s="52" t="s">
        <v>322</v>
      </c>
    </row>
  </sheetData>
  <sortState ref="C10:D14">
    <sortCondition descending="1" ref="C10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6"/>
  <sheetViews>
    <sheetView tabSelected="1" workbookViewId="0"/>
  </sheetViews>
  <sheetFormatPr baseColWidth="10" defaultColWidth="8.83203125" defaultRowHeight="14" x14ac:dyDescent="0"/>
  <cols>
    <col min="1" max="1" width="8.83203125" style="2"/>
    <col min="2" max="2" width="6" style="2" customWidth="1"/>
    <col min="3" max="4" width="16.6640625" style="2" customWidth="1"/>
    <col min="5" max="5" width="20.5" style="2" customWidth="1"/>
    <col min="6" max="7" width="23" style="2" customWidth="1"/>
    <col min="8" max="8" width="14.6640625" style="2" customWidth="1"/>
    <col min="9" max="9" width="30" style="5" customWidth="1"/>
    <col min="10" max="10" width="19" style="2" customWidth="1"/>
    <col min="11" max="11" width="18.5" style="5" customWidth="1"/>
    <col min="12" max="12" width="20.6640625" style="5" customWidth="1"/>
    <col min="13" max="16" width="9.1640625" style="5" customWidth="1"/>
    <col min="17" max="17" width="19.1640625" style="5" customWidth="1"/>
    <col min="18" max="16384" width="8.83203125" style="2"/>
  </cols>
  <sheetData>
    <row r="1" spans="2:17" s="63" customFormat="1" ht="23">
      <c r="C1" s="46" t="s">
        <v>335</v>
      </c>
      <c r="F1" s="64"/>
      <c r="I1" s="65"/>
      <c r="K1" s="65"/>
      <c r="L1" s="65"/>
      <c r="M1" s="65"/>
      <c r="N1" s="65"/>
      <c r="O1" s="65"/>
      <c r="P1" s="65"/>
      <c r="Q1" s="65"/>
    </row>
    <row r="2" spans="2:17" ht="15">
      <c r="C2" s="45" t="s">
        <v>336</v>
      </c>
    </row>
    <row r="4" spans="2:17" s="66" customFormat="1" ht="15">
      <c r="C4" s="47" t="s">
        <v>334</v>
      </c>
      <c r="I4" s="67"/>
      <c r="K4" s="67"/>
      <c r="L4" s="67"/>
      <c r="M4" s="67"/>
      <c r="N4" s="67"/>
      <c r="O4" s="67"/>
      <c r="P4" s="67"/>
      <c r="Q4" s="67"/>
    </row>
    <row r="6" spans="2:17" ht="15" thickBot="1">
      <c r="C6" s="41"/>
      <c r="D6" s="41"/>
      <c r="E6" s="41"/>
      <c r="F6" s="41"/>
      <c r="G6" s="41"/>
      <c r="H6" s="41"/>
      <c r="I6" s="14"/>
      <c r="J6" s="41"/>
      <c r="K6" s="14"/>
      <c r="L6" s="14"/>
    </row>
    <row r="7" spans="2:17" ht="29" thickBot="1">
      <c r="B7" s="40"/>
      <c r="C7" s="18" t="s">
        <v>292</v>
      </c>
      <c r="D7" s="18" t="s">
        <v>293</v>
      </c>
      <c r="E7" s="18" t="s">
        <v>291</v>
      </c>
      <c r="F7" s="19" t="s">
        <v>150</v>
      </c>
      <c r="G7" s="19" t="s">
        <v>155</v>
      </c>
      <c r="H7" s="19" t="s">
        <v>296</v>
      </c>
      <c r="I7" s="19" t="s">
        <v>295</v>
      </c>
      <c r="J7" s="19" t="s">
        <v>294</v>
      </c>
      <c r="K7" s="40" t="s">
        <v>297</v>
      </c>
      <c r="L7" s="40" t="s">
        <v>298</v>
      </c>
      <c r="M7" s="71" t="s">
        <v>313</v>
      </c>
      <c r="N7" s="71"/>
      <c r="O7" s="71"/>
      <c r="P7" s="71"/>
      <c r="Q7" s="71"/>
    </row>
    <row r="8" spans="2:17" s="18" customFormat="1" ht="33" customHeight="1" thickBot="1">
      <c r="C8" s="20"/>
      <c r="D8" s="20"/>
      <c r="E8" s="20"/>
      <c r="F8" s="20"/>
      <c r="G8" s="20"/>
      <c r="H8" s="20"/>
      <c r="I8" s="20"/>
      <c r="J8" s="20"/>
      <c r="K8" s="20"/>
      <c r="L8" s="20"/>
      <c r="M8" s="1" t="s">
        <v>299</v>
      </c>
      <c r="N8" s="1" t="s">
        <v>300</v>
      </c>
      <c r="O8" s="1" t="s">
        <v>151</v>
      </c>
      <c r="P8" s="1" t="s">
        <v>152</v>
      </c>
      <c r="Q8" s="1" t="s">
        <v>301</v>
      </c>
    </row>
    <row r="9" spans="2:17">
      <c r="B9" s="2">
        <v>1</v>
      </c>
      <c r="C9" s="3" t="s">
        <v>116</v>
      </c>
      <c r="D9" s="10" t="s">
        <v>250</v>
      </c>
      <c r="E9" s="3" t="s">
        <v>117</v>
      </c>
      <c r="F9" s="5" t="s">
        <v>287</v>
      </c>
      <c r="G9" s="5" t="s">
        <v>111</v>
      </c>
      <c r="H9" s="5" t="s">
        <v>112</v>
      </c>
      <c r="J9" s="5" t="s">
        <v>157</v>
      </c>
      <c r="K9" s="9" t="s">
        <v>113</v>
      </c>
      <c r="L9" s="42">
        <v>3</v>
      </c>
      <c r="Q9" s="5">
        <v>0</v>
      </c>
    </row>
    <row r="10" spans="2:17">
      <c r="B10" s="2">
        <v>2</v>
      </c>
      <c r="C10" s="3" t="s">
        <v>72</v>
      </c>
      <c r="D10" s="4" t="s">
        <v>185</v>
      </c>
      <c r="E10" s="3" t="s">
        <v>118</v>
      </c>
      <c r="F10" s="5" t="s">
        <v>288</v>
      </c>
      <c r="G10" s="5" t="s">
        <v>111</v>
      </c>
      <c r="H10" s="6" t="s">
        <v>112</v>
      </c>
      <c r="I10" s="11" t="s">
        <v>331</v>
      </c>
      <c r="J10" s="5"/>
      <c r="K10" s="9"/>
      <c r="L10" s="36">
        <v>2</v>
      </c>
      <c r="Q10" s="5">
        <v>0</v>
      </c>
    </row>
    <row r="11" spans="2:17">
      <c r="B11" s="2">
        <v>3</v>
      </c>
      <c r="C11" s="3" t="s">
        <v>32</v>
      </c>
      <c r="D11" s="4" t="s">
        <v>163</v>
      </c>
      <c r="E11" s="3" t="s">
        <v>118</v>
      </c>
      <c r="F11" s="5" t="s">
        <v>286</v>
      </c>
      <c r="G11" s="5" t="s">
        <v>112</v>
      </c>
      <c r="H11" s="6"/>
      <c r="I11" s="6"/>
      <c r="J11" s="5"/>
      <c r="K11" s="7"/>
      <c r="L11" s="36">
        <v>1</v>
      </c>
      <c r="Q11" s="5">
        <v>0</v>
      </c>
    </row>
    <row r="12" spans="2:17">
      <c r="B12" s="2">
        <v>4</v>
      </c>
      <c r="C12" s="3" t="s">
        <v>119</v>
      </c>
      <c r="D12" s="3" t="s">
        <v>119</v>
      </c>
      <c r="E12" s="3" t="s">
        <v>118</v>
      </c>
      <c r="F12" s="6" t="s">
        <v>330</v>
      </c>
      <c r="G12" s="5"/>
      <c r="H12" s="5"/>
      <c r="J12" s="5"/>
      <c r="K12" s="9"/>
      <c r="L12" s="36">
        <v>0</v>
      </c>
      <c r="Q12" s="5">
        <v>0</v>
      </c>
    </row>
    <row r="13" spans="2:17">
      <c r="B13" s="2">
        <v>5</v>
      </c>
      <c r="C13" s="3" t="s">
        <v>0</v>
      </c>
      <c r="D13" s="4" t="s">
        <v>205</v>
      </c>
      <c r="E13" s="3" t="s">
        <v>120</v>
      </c>
      <c r="F13" s="5" t="s">
        <v>286</v>
      </c>
      <c r="G13" s="5" t="s">
        <v>111</v>
      </c>
      <c r="H13" s="5" t="s">
        <v>111</v>
      </c>
      <c r="J13" s="5" t="s">
        <v>1</v>
      </c>
      <c r="K13" s="7" t="s">
        <v>113</v>
      </c>
      <c r="L13" s="36">
        <v>4</v>
      </c>
      <c r="O13" s="5" t="s">
        <v>111</v>
      </c>
      <c r="Q13" s="5">
        <v>1</v>
      </c>
    </row>
    <row r="14" spans="2:17">
      <c r="B14" s="2">
        <v>6</v>
      </c>
      <c r="C14" s="3" t="s">
        <v>121</v>
      </c>
      <c r="D14" s="8" t="s">
        <v>121</v>
      </c>
      <c r="E14" s="3" t="s">
        <v>118</v>
      </c>
      <c r="F14" s="5" t="s">
        <v>38</v>
      </c>
      <c r="G14" s="5" t="s">
        <v>112</v>
      </c>
      <c r="H14" s="5"/>
      <c r="J14" s="5"/>
      <c r="K14" s="9"/>
      <c r="L14" s="36">
        <v>1</v>
      </c>
      <c r="Q14" s="5">
        <v>0</v>
      </c>
    </row>
    <row r="15" spans="2:17">
      <c r="B15" s="2">
        <v>7</v>
      </c>
      <c r="C15" s="3" t="s">
        <v>49</v>
      </c>
      <c r="D15" s="4" t="s">
        <v>230</v>
      </c>
      <c r="E15" s="3" t="s">
        <v>118</v>
      </c>
      <c r="F15" s="5" t="s">
        <v>38</v>
      </c>
      <c r="G15" s="5" t="s">
        <v>111</v>
      </c>
      <c r="H15" s="5" t="s">
        <v>111</v>
      </c>
      <c r="J15" s="5" t="s">
        <v>62</v>
      </c>
      <c r="K15" s="7" t="s">
        <v>114</v>
      </c>
      <c r="L15" s="36">
        <v>3</v>
      </c>
      <c r="Q15" s="5">
        <v>0</v>
      </c>
    </row>
    <row r="16" spans="2:17">
      <c r="B16" s="2">
        <v>8</v>
      </c>
      <c r="C16" s="3" t="s">
        <v>73</v>
      </c>
      <c r="D16" s="4" t="s">
        <v>186</v>
      </c>
      <c r="E16" s="3" t="s">
        <v>120</v>
      </c>
      <c r="F16" s="5" t="s">
        <v>288</v>
      </c>
      <c r="G16" s="5" t="s">
        <v>111</v>
      </c>
      <c r="H16" s="5" t="s">
        <v>112</v>
      </c>
      <c r="I16" s="11" t="s">
        <v>331</v>
      </c>
      <c r="J16" s="5"/>
      <c r="K16" s="9"/>
      <c r="L16" s="36">
        <v>2</v>
      </c>
      <c r="Q16" s="5">
        <v>0</v>
      </c>
    </row>
    <row r="17" spans="2:17">
      <c r="B17" s="2">
        <v>9</v>
      </c>
      <c r="C17" s="3" t="s">
        <v>74</v>
      </c>
      <c r="D17" s="4" t="s">
        <v>172</v>
      </c>
      <c r="E17" s="3" t="s">
        <v>118</v>
      </c>
      <c r="F17" s="5" t="s">
        <v>288</v>
      </c>
      <c r="G17" s="5" t="s">
        <v>111</v>
      </c>
      <c r="H17" s="5" t="s">
        <v>112</v>
      </c>
      <c r="I17" s="6"/>
      <c r="J17" s="5"/>
      <c r="K17" s="7"/>
      <c r="L17" s="36">
        <v>2</v>
      </c>
      <c r="Q17" s="5">
        <v>0</v>
      </c>
    </row>
    <row r="18" spans="2:17">
      <c r="B18" s="2">
        <v>10</v>
      </c>
      <c r="C18" s="3" t="s">
        <v>88</v>
      </c>
      <c r="D18" s="10" t="s">
        <v>263</v>
      </c>
      <c r="E18" s="3" t="s">
        <v>117</v>
      </c>
      <c r="F18" s="6" t="s">
        <v>289</v>
      </c>
      <c r="G18" s="5" t="s">
        <v>111</v>
      </c>
      <c r="H18" s="5" t="s">
        <v>111</v>
      </c>
      <c r="J18" s="5" t="s">
        <v>157</v>
      </c>
      <c r="K18" s="9" t="s">
        <v>113</v>
      </c>
      <c r="L18" s="36">
        <v>4</v>
      </c>
      <c r="O18" s="5" t="s">
        <v>111</v>
      </c>
      <c r="Q18" s="5">
        <v>1</v>
      </c>
    </row>
    <row r="19" spans="2:17">
      <c r="B19" s="2">
        <v>11</v>
      </c>
      <c r="C19" s="3" t="s">
        <v>80</v>
      </c>
      <c r="D19" s="4" t="s">
        <v>173</v>
      </c>
      <c r="E19" s="3" t="s">
        <v>118</v>
      </c>
      <c r="F19" s="5" t="s">
        <v>288</v>
      </c>
      <c r="G19" s="5" t="s">
        <v>111</v>
      </c>
      <c r="H19" s="6" t="s">
        <v>112</v>
      </c>
      <c r="I19" s="6"/>
      <c r="J19" s="5"/>
      <c r="K19" s="7"/>
      <c r="L19" s="36">
        <v>2</v>
      </c>
      <c r="Q19" s="5">
        <v>0</v>
      </c>
    </row>
    <row r="20" spans="2:17">
      <c r="B20" s="2">
        <v>12</v>
      </c>
      <c r="C20" s="3" t="s">
        <v>39</v>
      </c>
      <c r="D20" s="8" t="s">
        <v>39</v>
      </c>
      <c r="E20" s="3" t="s">
        <v>120</v>
      </c>
      <c r="F20" s="5" t="s">
        <v>38</v>
      </c>
      <c r="G20" s="5" t="s">
        <v>111</v>
      </c>
      <c r="H20" s="5" t="s">
        <v>112</v>
      </c>
      <c r="I20" s="11" t="s">
        <v>331</v>
      </c>
      <c r="J20" s="5"/>
      <c r="K20" s="7"/>
      <c r="L20" s="36">
        <v>2</v>
      </c>
      <c r="Q20" s="5">
        <v>0</v>
      </c>
    </row>
    <row r="21" spans="2:17">
      <c r="B21" s="2">
        <v>13</v>
      </c>
      <c r="C21" s="3" t="s">
        <v>2</v>
      </c>
      <c r="D21" s="4" t="s">
        <v>206</v>
      </c>
      <c r="E21" s="3" t="s">
        <v>117</v>
      </c>
      <c r="F21" s="5" t="s">
        <v>286</v>
      </c>
      <c r="G21" s="5" t="s">
        <v>111</v>
      </c>
      <c r="H21" s="5" t="s">
        <v>111</v>
      </c>
      <c r="J21" s="5" t="s">
        <v>3</v>
      </c>
      <c r="K21" s="7" t="s">
        <v>113</v>
      </c>
      <c r="L21" s="36">
        <v>3</v>
      </c>
      <c r="Q21" s="5">
        <v>0</v>
      </c>
    </row>
    <row r="22" spans="2:17">
      <c r="B22" s="2">
        <v>14</v>
      </c>
      <c r="C22" s="3" t="s">
        <v>89</v>
      </c>
      <c r="D22" s="4" t="s">
        <v>264</v>
      </c>
      <c r="E22" s="3" t="s">
        <v>120</v>
      </c>
      <c r="F22" s="6" t="s">
        <v>289</v>
      </c>
      <c r="G22" s="5" t="s">
        <v>111</v>
      </c>
      <c r="H22" s="5" t="s">
        <v>111</v>
      </c>
      <c r="J22" s="5" t="s">
        <v>157</v>
      </c>
      <c r="K22" s="9" t="s">
        <v>115</v>
      </c>
      <c r="L22" s="36">
        <v>4</v>
      </c>
      <c r="M22" s="5" t="s">
        <v>111</v>
      </c>
      <c r="N22" s="5" t="s">
        <v>111</v>
      </c>
      <c r="O22" s="5" t="s">
        <v>111</v>
      </c>
      <c r="P22" s="5" t="s">
        <v>111</v>
      </c>
      <c r="Q22" s="5">
        <v>4</v>
      </c>
    </row>
    <row r="23" spans="2:17">
      <c r="B23" s="2">
        <v>15</v>
      </c>
      <c r="C23" s="3" t="s">
        <v>40</v>
      </c>
      <c r="D23" s="10" t="s">
        <v>231</v>
      </c>
      <c r="E23" s="3" t="s">
        <v>120</v>
      </c>
      <c r="F23" s="5" t="s">
        <v>38</v>
      </c>
      <c r="G23" s="5" t="s">
        <v>111</v>
      </c>
      <c r="H23" s="5" t="s">
        <v>111</v>
      </c>
      <c r="J23" s="5" t="s">
        <v>62</v>
      </c>
      <c r="K23" s="9" t="s">
        <v>114</v>
      </c>
      <c r="L23" s="36">
        <v>3</v>
      </c>
      <c r="Q23" s="5">
        <v>0</v>
      </c>
    </row>
    <row r="24" spans="2:17">
      <c r="B24" s="2">
        <v>16</v>
      </c>
      <c r="C24" s="3" t="s">
        <v>122</v>
      </c>
      <c r="D24" s="8" t="s">
        <v>122</v>
      </c>
      <c r="E24" s="3" t="s">
        <v>118</v>
      </c>
      <c r="F24" s="5" t="s">
        <v>288</v>
      </c>
      <c r="G24" s="5" t="s">
        <v>111</v>
      </c>
      <c r="H24" s="6" t="s">
        <v>112</v>
      </c>
      <c r="I24" s="11" t="s">
        <v>331</v>
      </c>
      <c r="J24" s="5"/>
      <c r="K24" s="7"/>
      <c r="L24" s="36">
        <v>2</v>
      </c>
      <c r="Q24" s="5">
        <v>0</v>
      </c>
    </row>
    <row r="25" spans="2:17">
      <c r="B25" s="2">
        <v>17</v>
      </c>
      <c r="C25" s="3" t="s">
        <v>33</v>
      </c>
      <c r="D25" s="4" t="s">
        <v>207</v>
      </c>
      <c r="E25" s="3" t="s">
        <v>118</v>
      </c>
      <c r="F25" s="5" t="s">
        <v>286</v>
      </c>
      <c r="G25" s="5" t="s">
        <v>111</v>
      </c>
      <c r="H25" s="6" t="s">
        <v>111</v>
      </c>
      <c r="I25" s="6"/>
      <c r="J25" s="5" t="s">
        <v>157</v>
      </c>
      <c r="K25" s="7" t="s">
        <v>113</v>
      </c>
      <c r="L25" s="36">
        <v>3</v>
      </c>
      <c r="Q25" s="5">
        <v>0</v>
      </c>
    </row>
    <row r="26" spans="2:17">
      <c r="B26" s="2">
        <v>18</v>
      </c>
      <c r="C26" s="3" t="s">
        <v>50</v>
      </c>
      <c r="D26" s="10" t="s">
        <v>232</v>
      </c>
      <c r="E26" s="3" t="s">
        <v>118</v>
      </c>
      <c r="F26" s="5" t="s">
        <v>38</v>
      </c>
      <c r="G26" s="5" t="s">
        <v>111</v>
      </c>
      <c r="H26" s="5" t="s">
        <v>111</v>
      </c>
      <c r="J26" s="5" t="s">
        <v>157</v>
      </c>
      <c r="K26" s="7" t="s">
        <v>115</v>
      </c>
      <c r="L26" s="36">
        <v>4</v>
      </c>
      <c r="M26" s="5" t="s">
        <v>111</v>
      </c>
      <c r="N26" s="5" t="s">
        <v>111</v>
      </c>
      <c r="O26" s="5" t="s">
        <v>111</v>
      </c>
      <c r="P26" s="5" t="s">
        <v>111</v>
      </c>
      <c r="Q26" s="5">
        <v>4</v>
      </c>
    </row>
    <row r="27" spans="2:17" ht="13" customHeight="1">
      <c r="B27" s="2">
        <v>19</v>
      </c>
      <c r="C27" s="3" t="s">
        <v>81</v>
      </c>
      <c r="D27" s="4" t="s">
        <v>257</v>
      </c>
      <c r="E27" s="3" t="s">
        <v>118</v>
      </c>
      <c r="F27" s="5" t="s">
        <v>288</v>
      </c>
      <c r="G27" s="5" t="s">
        <v>111</v>
      </c>
      <c r="H27" s="5" t="s">
        <v>111</v>
      </c>
      <c r="J27" s="5" t="s">
        <v>157</v>
      </c>
      <c r="K27" s="7" t="s">
        <v>113</v>
      </c>
      <c r="L27" s="36">
        <v>4</v>
      </c>
      <c r="M27" s="5" t="s">
        <v>111</v>
      </c>
      <c r="N27" s="5" t="s">
        <v>111</v>
      </c>
      <c r="O27" s="5" t="s">
        <v>111</v>
      </c>
      <c r="Q27" s="5">
        <v>3</v>
      </c>
    </row>
    <row r="28" spans="2:17">
      <c r="B28" s="2">
        <v>20</v>
      </c>
      <c r="C28" s="3" t="s">
        <v>4</v>
      </c>
      <c r="D28" s="4" t="s">
        <v>4</v>
      </c>
      <c r="E28" s="3" t="s">
        <v>117</v>
      </c>
      <c r="F28" s="5" t="s">
        <v>286</v>
      </c>
      <c r="G28" s="5" t="s">
        <v>111</v>
      </c>
      <c r="H28" s="5" t="s">
        <v>111</v>
      </c>
      <c r="J28" s="5" t="s">
        <v>3</v>
      </c>
      <c r="K28" s="7" t="s">
        <v>113</v>
      </c>
      <c r="L28" s="36">
        <v>3</v>
      </c>
      <c r="Q28" s="5">
        <v>0</v>
      </c>
    </row>
    <row r="29" spans="2:17">
      <c r="B29" s="2">
        <v>21</v>
      </c>
      <c r="C29" s="3" t="s">
        <v>5</v>
      </c>
      <c r="D29" s="4" t="s">
        <v>187</v>
      </c>
      <c r="E29" s="3" t="s">
        <v>117</v>
      </c>
      <c r="F29" s="5" t="s">
        <v>286</v>
      </c>
      <c r="G29" s="5" t="s">
        <v>111</v>
      </c>
      <c r="H29" s="5" t="s">
        <v>112</v>
      </c>
      <c r="I29" s="5" t="s">
        <v>331</v>
      </c>
      <c r="J29" s="5"/>
      <c r="L29" s="36">
        <v>2</v>
      </c>
      <c r="Q29" s="5">
        <v>0</v>
      </c>
    </row>
    <row r="30" spans="2:17">
      <c r="B30" s="2">
        <v>22</v>
      </c>
      <c r="C30" s="3" t="s">
        <v>97</v>
      </c>
      <c r="D30" s="4" t="s">
        <v>273</v>
      </c>
      <c r="E30" s="3" t="s">
        <v>117</v>
      </c>
      <c r="F30" s="6" t="s">
        <v>290</v>
      </c>
      <c r="G30" s="5" t="s">
        <v>111</v>
      </c>
      <c r="H30" s="5" t="s">
        <v>111</v>
      </c>
      <c r="J30" s="6" t="s">
        <v>157</v>
      </c>
      <c r="K30" s="9" t="s">
        <v>115</v>
      </c>
      <c r="L30" s="36">
        <v>4</v>
      </c>
      <c r="M30" s="5" t="s">
        <v>111</v>
      </c>
      <c r="N30" s="5" t="s">
        <v>111</v>
      </c>
      <c r="O30" s="5" t="s">
        <v>111</v>
      </c>
      <c r="P30" s="5" t="s">
        <v>111</v>
      </c>
      <c r="Q30" s="5">
        <v>4</v>
      </c>
    </row>
    <row r="31" spans="2:17" ht="28">
      <c r="B31" s="2">
        <v>23</v>
      </c>
      <c r="C31" s="3" t="s">
        <v>6</v>
      </c>
      <c r="D31" s="4" t="s">
        <v>203</v>
      </c>
      <c r="E31" s="3" t="s">
        <v>120</v>
      </c>
      <c r="F31" s="5" t="s">
        <v>286</v>
      </c>
      <c r="G31" s="5" t="s">
        <v>111</v>
      </c>
      <c r="H31" s="5"/>
      <c r="I31" s="6" t="s">
        <v>283</v>
      </c>
      <c r="J31" s="5"/>
      <c r="K31" s="7"/>
      <c r="L31" s="36">
        <v>2</v>
      </c>
      <c r="Q31" s="5">
        <v>0</v>
      </c>
    </row>
    <row r="32" spans="2:17">
      <c r="B32" s="2">
        <v>24</v>
      </c>
      <c r="C32" s="3" t="s">
        <v>7</v>
      </c>
      <c r="D32" s="4" t="s">
        <v>208</v>
      </c>
      <c r="E32" s="3" t="s">
        <v>120</v>
      </c>
      <c r="F32" s="5" t="s">
        <v>286</v>
      </c>
      <c r="G32" s="5" t="s">
        <v>111</v>
      </c>
      <c r="H32" s="5" t="s">
        <v>111</v>
      </c>
      <c r="J32" s="5" t="s">
        <v>1</v>
      </c>
      <c r="K32" s="7" t="s">
        <v>114</v>
      </c>
      <c r="L32" s="36">
        <v>3</v>
      </c>
      <c r="Q32" s="5">
        <v>0</v>
      </c>
    </row>
    <row r="33" spans="2:17" ht="28">
      <c r="B33" s="2">
        <v>25</v>
      </c>
      <c r="C33" s="3" t="s">
        <v>8</v>
      </c>
      <c r="D33" s="4" t="s">
        <v>8</v>
      </c>
      <c r="E33" s="3" t="s">
        <v>117</v>
      </c>
      <c r="F33" s="5" t="s">
        <v>286</v>
      </c>
      <c r="G33" s="5" t="s">
        <v>111</v>
      </c>
      <c r="H33" s="5"/>
      <c r="I33" s="6" t="s">
        <v>283</v>
      </c>
      <c r="J33" s="5"/>
      <c r="K33" s="7"/>
      <c r="L33" s="36">
        <v>2</v>
      </c>
      <c r="Q33" s="5">
        <v>0</v>
      </c>
    </row>
    <row r="34" spans="2:17">
      <c r="B34" s="2">
        <v>26</v>
      </c>
      <c r="C34" s="3" t="s">
        <v>9</v>
      </c>
      <c r="D34" s="4" t="s">
        <v>199</v>
      </c>
      <c r="E34" s="3" t="s">
        <v>117</v>
      </c>
      <c r="F34" s="5" t="s">
        <v>286</v>
      </c>
      <c r="G34" s="5" t="s">
        <v>111</v>
      </c>
      <c r="H34" s="5"/>
      <c r="I34" s="68" t="s">
        <v>285</v>
      </c>
      <c r="J34" s="5"/>
      <c r="K34" s="7"/>
      <c r="L34" s="36">
        <v>2</v>
      </c>
      <c r="Q34" s="5">
        <v>0</v>
      </c>
    </row>
    <row r="35" spans="2:17">
      <c r="B35" s="2">
        <v>27</v>
      </c>
      <c r="C35" s="3" t="s">
        <v>51</v>
      </c>
      <c r="D35" s="4" t="s">
        <v>233</v>
      </c>
      <c r="E35" s="3" t="s">
        <v>118</v>
      </c>
      <c r="F35" s="5" t="s">
        <v>38</v>
      </c>
      <c r="G35" s="5" t="s">
        <v>111</v>
      </c>
      <c r="H35" s="5" t="s">
        <v>111</v>
      </c>
      <c r="J35" s="5" t="s">
        <v>62</v>
      </c>
      <c r="K35" s="7" t="s">
        <v>114</v>
      </c>
      <c r="L35" s="36">
        <v>4</v>
      </c>
      <c r="P35" s="5" t="s">
        <v>111</v>
      </c>
      <c r="Q35" s="5">
        <v>1</v>
      </c>
    </row>
    <row r="36" spans="2:17">
      <c r="B36" s="2">
        <v>28</v>
      </c>
      <c r="C36" s="3" t="s">
        <v>98</v>
      </c>
      <c r="D36" s="4" t="s">
        <v>274</v>
      </c>
      <c r="E36" s="3" t="s">
        <v>120</v>
      </c>
      <c r="F36" s="6" t="s">
        <v>290</v>
      </c>
      <c r="G36" s="5" t="s">
        <v>111</v>
      </c>
      <c r="H36" s="5" t="s">
        <v>111</v>
      </c>
      <c r="J36" s="5" t="s">
        <v>160</v>
      </c>
      <c r="K36" s="7" t="s">
        <v>115</v>
      </c>
      <c r="L36" s="36">
        <v>4</v>
      </c>
      <c r="M36" s="5" t="s">
        <v>111</v>
      </c>
      <c r="N36" s="5" t="s">
        <v>111</v>
      </c>
      <c r="P36" s="5" t="s">
        <v>111</v>
      </c>
      <c r="Q36" s="5">
        <v>3</v>
      </c>
    </row>
    <row r="37" spans="2:17">
      <c r="B37" s="2">
        <v>29</v>
      </c>
      <c r="C37" s="3" t="s">
        <v>52</v>
      </c>
      <c r="D37" s="4" t="s">
        <v>234</v>
      </c>
      <c r="E37" s="3" t="s">
        <v>118</v>
      </c>
      <c r="F37" s="5" t="s">
        <v>38</v>
      </c>
      <c r="G37" s="5" t="s">
        <v>111</v>
      </c>
      <c r="H37" s="5" t="s">
        <v>111</v>
      </c>
      <c r="J37" s="5" t="s">
        <v>62</v>
      </c>
      <c r="K37" s="7" t="s">
        <v>114</v>
      </c>
      <c r="L37" s="36">
        <v>4</v>
      </c>
      <c r="M37" s="5" t="s">
        <v>111</v>
      </c>
      <c r="O37" s="5" t="s">
        <v>111</v>
      </c>
      <c r="Q37" s="5">
        <v>2</v>
      </c>
    </row>
    <row r="38" spans="2:17">
      <c r="B38" s="2">
        <v>30</v>
      </c>
      <c r="C38" s="3" t="s">
        <v>10</v>
      </c>
      <c r="D38" s="4" t="s">
        <v>182</v>
      </c>
      <c r="E38" s="3" t="s">
        <v>117</v>
      </c>
      <c r="F38" s="5" t="s">
        <v>286</v>
      </c>
      <c r="G38" s="5" t="s">
        <v>112</v>
      </c>
      <c r="H38" s="5"/>
      <c r="I38" s="6"/>
      <c r="J38" s="5"/>
      <c r="K38" s="7"/>
      <c r="L38" s="36">
        <v>1</v>
      </c>
      <c r="Q38" s="5">
        <v>0</v>
      </c>
    </row>
    <row r="39" spans="2:17">
      <c r="B39" s="2">
        <v>31</v>
      </c>
      <c r="C39" s="3" t="s">
        <v>280</v>
      </c>
      <c r="D39" s="4" t="s">
        <v>200</v>
      </c>
      <c r="E39" s="3" t="s">
        <v>120</v>
      </c>
      <c r="F39" s="5" t="s">
        <v>286</v>
      </c>
      <c r="G39" s="5" t="s">
        <v>111</v>
      </c>
      <c r="H39" s="5"/>
      <c r="I39" s="68" t="s">
        <v>285</v>
      </c>
      <c r="J39" s="5"/>
      <c r="K39" s="7"/>
      <c r="L39" s="36">
        <v>2</v>
      </c>
      <c r="Q39" s="5">
        <v>0</v>
      </c>
    </row>
    <row r="40" spans="2:17" ht="17" customHeight="1">
      <c r="B40" s="2">
        <v>32</v>
      </c>
      <c r="C40" s="3" t="s">
        <v>123</v>
      </c>
      <c r="D40" s="4" t="s">
        <v>197</v>
      </c>
      <c r="E40" s="3" t="s">
        <v>117</v>
      </c>
      <c r="F40" s="5" t="s">
        <v>286</v>
      </c>
      <c r="G40" s="5" t="s">
        <v>111</v>
      </c>
      <c r="H40" s="5" t="s">
        <v>112</v>
      </c>
      <c r="I40" s="26" t="s">
        <v>284</v>
      </c>
      <c r="J40" s="5"/>
      <c r="K40" s="7"/>
      <c r="L40" s="36">
        <v>2</v>
      </c>
      <c r="Q40" s="5">
        <v>0</v>
      </c>
    </row>
    <row r="41" spans="2:17">
      <c r="B41" s="2">
        <v>33</v>
      </c>
      <c r="C41" s="3" t="s">
        <v>53</v>
      </c>
      <c r="D41" s="4" t="s">
        <v>235</v>
      </c>
      <c r="E41" s="3" t="s">
        <v>118</v>
      </c>
      <c r="F41" s="5" t="s">
        <v>38</v>
      </c>
      <c r="G41" s="5" t="s">
        <v>111</v>
      </c>
      <c r="H41" s="5" t="s">
        <v>111</v>
      </c>
      <c r="J41" s="5" t="s">
        <v>62</v>
      </c>
      <c r="K41" s="7" t="s">
        <v>114</v>
      </c>
      <c r="L41" s="36">
        <v>4</v>
      </c>
      <c r="P41" s="5" t="s">
        <v>111</v>
      </c>
      <c r="Q41" s="5">
        <v>1</v>
      </c>
    </row>
    <row r="42" spans="2:17">
      <c r="B42" s="2">
        <v>34</v>
      </c>
      <c r="C42" s="3" t="s">
        <v>124</v>
      </c>
      <c r="D42" s="4" t="s">
        <v>209</v>
      </c>
      <c r="E42" s="3" t="s">
        <v>120</v>
      </c>
      <c r="F42" s="5" t="s">
        <v>286</v>
      </c>
      <c r="G42" s="5" t="s">
        <v>111</v>
      </c>
      <c r="H42" s="5" t="s">
        <v>111</v>
      </c>
      <c r="J42" s="5" t="s">
        <v>3</v>
      </c>
      <c r="K42" s="7" t="s">
        <v>113</v>
      </c>
      <c r="L42" s="36">
        <v>3</v>
      </c>
      <c r="Q42" s="5">
        <v>0</v>
      </c>
    </row>
    <row r="43" spans="2:17">
      <c r="B43" s="2">
        <v>35</v>
      </c>
      <c r="C43" s="3" t="s">
        <v>54</v>
      </c>
      <c r="D43" s="4" t="s">
        <v>236</v>
      </c>
      <c r="E43" s="3" t="s">
        <v>118</v>
      </c>
      <c r="F43" s="5" t="s">
        <v>38</v>
      </c>
      <c r="G43" s="5" t="s">
        <v>111</v>
      </c>
      <c r="H43" s="5" t="s">
        <v>111</v>
      </c>
      <c r="J43" s="5" t="s">
        <v>62</v>
      </c>
      <c r="K43" s="7" t="s">
        <v>114</v>
      </c>
      <c r="L43" s="36">
        <v>4</v>
      </c>
      <c r="M43" s="5" t="s">
        <v>111</v>
      </c>
      <c r="O43" s="5" t="s">
        <v>111</v>
      </c>
      <c r="P43" s="5" t="s">
        <v>111</v>
      </c>
      <c r="Q43" s="5">
        <v>3</v>
      </c>
    </row>
    <row r="44" spans="2:17">
      <c r="B44" s="2">
        <v>36</v>
      </c>
      <c r="C44" s="3" t="s">
        <v>125</v>
      </c>
      <c r="D44" s="4" t="s">
        <v>251</v>
      </c>
      <c r="E44" s="3" t="s">
        <v>120</v>
      </c>
      <c r="F44" s="5" t="s">
        <v>287</v>
      </c>
      <c r="G44" s="5" t="s">
        <v>111</v>
      </c>
      <c r="H44" s="6" t="s">
        <v>111</v>
      </c>
      <c r="I44" s="6"/>
      <c r="J44" s="5" t="s">
        <v>3</v>
      </c>
      <c r="K44" s="7" t="s">
        <v>113</v>
      </c>
      <c r="L44" s="36">
        <v>4</v>
      </c>
      <c r="M44" s="5" t="s">
        <v>111</v>
      </c>
      <c r="O44" s="5" t="s">
        <v>111</v>
      </c>
      <c r="P44" s="5" t="s">
        <v>111</v>
      </c>
      <c r="Q44" s="5">
        <v>3</v>
      </c>
    </row>
    <row r="45" spans="2:17">
      <c r="B45" s="2">
        <v>37</v>
      </c>
      <c r="C45" s="3" t="s">
        <v>55</v>
      </c>
      <c r="D45" s="4" t="s">
        <v>165</v>
      </c>
      <c r="E45" s="3" t="s">
        <v>118</v>
      </c>
      <c r="F45" s="5" t="s">
        <v>38</v>
      </c>
      <c r="G45" s="5" t="s">
        <v>112</v>
      </c>
      <c r="H45" s="6"/>
      <c r="I45" s="6"/>
      <c r="J45" s="5"/>
      <c r="K45" s="7"/>
      <c r="L45" s="36">
        <v>1</v>
      </c>
      <c r="Q45" s="5">
        <v>0</v>
      </c>
    </row>
    <row r="46" spans="2:17">
      <c r="B46" s="2">
        <v>38</v>
      </c>
      <c r="C46" s="3" t="s">
        <v>56</v>
      </c>
      <c r="D46" s="4" t="s">
        <v>56</v>
      </c>
      <c r="E46" s="3" t="s">
        <v>118</v>
      </c>
      <c r="F46" s="5" t="s">
        <v>38</v>
      </c>
      <c r="G46" s="5" t="s">
        <v>112</v>
      </c>
      <c r="H46" s="6"/>
      <c r="I46" s="6"/>
      <c r="J46" s="5"/>
      <c r="K46" s="7"/>
      <c r="L46" s="36">
        <v>1</v>
      </c>
      <c r="Q46" s="5">
        <v>0</v>
      </c>
    </row>
    <row r="47" spans="2:17">
      <c r="B47" s="2">
        <v>39</v>
      </c>
      <c r="C47" s="3" t="s">
        <v>41</v>
      </c>
      <c r="D47" s="4" t="s">
        <v>188</v>
      </c>
      <c r="E47" s="3" t="s">
        <v>120</v>
      </c>
      <c r="F47" s="5" t="s">
        <v>38</v>
      </c>
      <c r="G47" s="5" t="s">
        <v>111</v>
      </c>
      <c r="H47" s="5" t="s">
        <v>112</v>
      </c>
      <c r="I47" s="5" t="s">
        <v>331</v>
      </c>
      <c r="J47" s="5"/>
      <c r="K47" s="9"/>
      <c r="L47" s="36">
        <v>2</v>
      </c>
      <c r="Q47" s="5">
        <v>0</v>
      </c>
    </row>
    <row r="48" spans="2:17">
      <c r="B48" s="2">
        <v>40</v>
      </c>
      <c r="C48" s="3" t="s">
        <v>126</v>
      </c>
      <c r="D48" s="4" t="s">
        <v>164</v>
      </c>
      <c r="E48" s="3" t="s">
        <v>120</v>
      </c>
      <c r="F48" s="5" t="s">
        <v>287</v>
      </c>
      <c r="G48" s="5" t="s">
        <v>112</v>
      </c>
      <c r="H48" s="6"/>
      <c r="I48" s="6"/>
      <c r="J48" s="5"/>
      <c r="K48" s="7"/>
      <c r="L48" s="36">
        <v>1</v>
      </c>
      <c r="Q48" s="5">
        <v>0</v>
      </c>
    </row>
    <row r="49" spans="2:17">
      <c r="B49" s="2">
        <v>41</v>
      </c>
      <c r="C49" s="3" t="s">
        <v>42</v>
      </c>
      <c r="D49" s="4" t="s">
        <v>189</v>
      </c>
      <c r="E49" s="3" t="s">
        <v>120</v>
      </c>
      <c r="F49" s="5" t="s">
        <v>38</v>
      </c>
      <c r="G49" s="5" t="s">
        <v>111</v>
      </c>
      <c r="H49" s="5" t="s">
        <v>112</v>
      </c>
      <c r="I49" s="11" t="s">
        <v>331</v>
      </c>
      <c r="J49" s="5"/>
      <c r="K49" s="9"/>
      <c r="L49" s="36">
        <v>2</v>
      </c>
      <c r="Q49" s="5">
        <v>0</v>
      </c>
    </row>
    <row r="50" spans="2:17">
      <c r="B50" s="2">
        <v>42</v>
      </c>
      <c r="C50" s="3" t="s">
        <v>11</v>
      </c>
      <c r="D50" s="8" t="s">
        <v>11</v>
      </c>
      <c r="E50" s="3" t="s">
        <v>117</v>
      </c>
      <c r="F50" s="5" t="s">
        <v>286</v>
      </c>
      <c r="G50" s="5" t="s">
        <v>111</v>
      </c>
      <c r="H50" s="5" t="s">
        <v>112</v>
      </c>
      <c r="I50" s="5" t="s">
        <v>331</v>
      </c>
      <c r="J50" s="5"/>
      <c r="K50" s="9"/>
      <c r="L50" s="36">
        <v>2</v>
      </c>
      <c r="Q50" s="5">
        <v>0</v>
      </c>
    </row>
    <row r="51" spans="2:17">
      <c r="B51" s="2">
        <v>43</v>
      </c>
      <c r="C51" s="3" t="s">
        <v>12</v>
      </c>
      <c r="D51" s="4" t="s">
        <v>210</v>
      </c>
      <c r="E51" s="3" t="s">
        <v>117</v>
      </c>
      <c r="F51" s="5" t="s">
        <v>286</v>
      </c>
      <c r="G51" s="5" t="s">
        <v>111</v>
      </c>
      <c r="H51" s="5" t="s">
        <v>111</v>
      </c>
      <c r="J51" s="5" t="s">
        <v>157</v>
      </c>
      <c r="K51" s="7" t="s">
        <v>113</v>
      </c>
      <c r="L51" s="36">
        <v>4</v>
      </c>
      <c r="M51" s="5" t="s">
        <v>111</v>
      </c>
      <c r="Q51" s="5">
        <v>1</v>
      </c>
    </row>
    <row r="52" spans="2:17">
      <c r="B52" s="2">
        <v>44</v>
      </c>
      <c r="C52" s="3" t="s">
        <v>109</v>
      </c>
      <c r="D52" s="4" t="s">
        <v>275</v>
      </c>
      <c r="E52" s="3" t="s">
        <v>118</v>
      </c>
      <c r="F52" s="6" t="s">
        <v>290</v>
      </c>
      <c r="G52" s="5" t="s">
        <v>111</v>
      </c>
      <c r="H52" s="5" t="s">
        <v>111</v>
      </c>
      <c r="J52" s="5" t="s">
        <v>157</v>
      </c>
      <c r="K52" s="7" t="s">
        <v>113</v>
      </c>
      <c r="L52" s="36">
        <v>4</v>
      </c>
      <c r="O52" s="5" t="s">
        <v>111</v>
      </c>
      <c r="Q52" s="5">
        <v>1</v>
      </c>
    </row>
    <row r="53" spans="2:17">
      <c r="B53" s="2">
        <v>45</v>
      </c>
      <c r="C53" s="3" t="s">
        <v>34</v>
      </c>
      <c r="D53" s="4" t="s">
        <v>169</v>
      </c>
      <c r="E53" s="3" t="s">
        <v>118</v>
      </c>
      <c r="F53" s="5" t="s">
        <v>286</v>
      </c>
      <c r="G53" s="5" t="s">
        <v>112</v>
      </c>
      <c r="H53" s="6"/>
      <c r="I53" s="6"/>
      <c r="J53" s="5"/>
      <c r="K53" s="7"/>
      <c r="L53" s="36">
        <v>1</v>
      </c>
      <c r="Q53" s="5">
        <v>0</v>
      </c>
    </row>
    <row r="54" spans="2:17">
      <c r="B54" s="2">
        <v>46</v>
      </c>
      <c r="C54" s="3" t="s">
        <v>281</v>
      </c>
      <c r="D54" s="4" t="s">
        <v>193</v>
      </c>
      <c r="E54" s="3" t="s">
        <v>117</v>
      </c>
      <c r="F54" s="5" t="s">
        <v>286</v>
      </c>
      <c r="G54" s="5" t="s">
        <v>111</v>
      </c>
      <c r="H54" s="5" t="s">
        <v>112</v>
      </c>
      <c r="I54" s="5" t="s">
        <v>331</v>
      </c>
      <c r="J54" s="5"/>
      <c r="K54" s="7"/>
      <c r="L54" s="36">
        <v>2</v>
      </c>
      <c r="Q54" s="5">
        <v>0</v>
      </c>
    </row>
    <row r="55" spans="2:17">
      <c r="B55" s="2">
        <v>47</v>
      </c>
      <c r="C55" s="3" t="s">
        <v>75</v>
      </c>
      <c r="D55" s="4" t="s">
        <v>75</v>
      </c>
      <c r="E55" s="3" t="s">
        <v>120</v>
      </c>
      <c r="F55" s="5" t="s">
        <v>288</v>
      </c>
      <c r="G55" s="5" t="s">
        <v>111</v>
      </c>
      <c r="H55" s="5" t="s">
        <v>111</v>
      </c>
      <c r="J55" s="5" t="s">
        <v>157</v>
      </c>
      <c r="K55" s="9" t="s">
        <v>113</v>
      </c>
      <c r="L55" s="36">
        <v>4</v>
      </c>
      <c r="P55" s="5" t="s">
        <v>111</v>
      </c>
      <c r="Q55" s="5">
        <v>1</v>
      </c>
    </row>
    <row r="56" spans="2:17">
      <c r="B56" s="2">
        <v>48</v>
      </c>
      <c r="C56" s="3" t="s">
        <v>13</v>
      </c>
      <c r="D56" s="4" t="s">
        <v>211</v>
      </c>
      <c r="E56" s="3" t="s">
        <v>117</v>
      </c>
      <c r="F56" s="5" t="s">
        <v>286</v>
      </c>
      <c r="G56" s="5" t="s">
        <v>111</v>
      </c>
      <c r="H56" s="5" t="s">
        <v>111</v>
      </c>
      <c r="J56" s="5" t="s">
        <v>157</v>
      </c>
      <c r="K56" s="7" t="s">
        <v>113</v>
      </c>
      <c r="L56" s="36">
        <v>4</v>
      </c>
      <c r="O56" s="5" t="s">
        <v>111</v>
      </c>
      <c r="P56" s="5" t="s">
        <v>111</v>
      </c>
      <c r="Q56" s="5">
        <v>2</v>
      </c>
    </row>
    <row r="57" spans="2:17">
      <c r="B57" s="2">
        <v>49</v>
      </c>
      <c r="C57" s="3" t="s">
        <v>57</v>
      </c>
      <c r="D57" s="4" t="s">
        <v>57</v>
      </c>
      <c r="E57" s="3" t="s">
        <v>118</v>
      </c>
      <c r="F57" s="5" t="s">
        <v>38</v>
      </c>
      <c r="G57" s="5" t="s">
        <v>111</v>
      </c>
      <c r="H57" s="5" t="s">
        <v>111</v>
      </c>
      <c r="J57" s="5" t="s">
        <v>157</v>
      </c>
      <c r="K57" s="7"/>
      <c r="L57" s="36">
        <v>3</v>
      </c>
      <c r="Q57" s="5">
        <v>0</v>
      </c>
    </row>
    <row r="58" spans="2:17" ht="15" customHeight="1">
      <c r="B58" s="2">
        <v>50</v>
      </c>
      <c r="C58" s="3" t="s">
        <v>43</v>
      </c>
      <c r="D58" s="4" t="s">
        <v>237</v>
      </c>
      <c r="E58" s="3" t="s">
        <v>120</v>
      </c>
      <c r="F58" s="5" t="s">
        <v>38</v>
      </c>
      <c r="G58" s="5" t="s">
        <v>111</v>
      </c>
      <c r="H58" s="5" t="s">
        <v>111</v>
      </c>
      <c r="J58" s="5" t="s">
        <v>62</v>
      </c>
      <c r="K58" s="7" t="s">
        <v>115</v>
      </c>
      <c r="L58" s="36">
        <v>4</v>
      </c>
      <c r="P58" s="5" t="s">
        <v>111</v>
      </c>
      <c r="Q58" s="5">
        <v>1</v>
      </c>
    </row>
    <row r="59" spans="2:17">
      <c r="B59" s="2">
        <v>51</v>
      </c>
      <c r="C59" s="3" t="s">
        <v>127</v>
      </c>
      <c r="D59" s="4" t="s">
        <v>212</v>
      </c>
      <c r="E59" s="3" t="s">
        <v>117</v>
      </c>
      <c r="F59" s="5" t="s">
        <v>286</v>
      </c>
      <c r="G59" s="5" t="s">
        <v>111</v>
      </c>
      <c r="H59" s="5" t="s">
        <v>111</v>
      </c>
      <c r="J59" s="5" t="s">
        <v>3</v>
      </c>
      <c r="K59" s="7" t="s">
        <v>113</v>
      </c>
      <c r="L59" s="36">
        <v>3</v>
      </c>
      <c r="Q59" s="5">
        <v>0</v>
      </c>
    </row>
    <row r="60" spans="2:17">
      <c r="B60" s="2">
        <v>52</v>
      </c>
      <c r="C60" s="3" t="s">
        <v>14</v>
      </c>
      <c r="D60" s="10" t="s">
        <v>213</v>
      </c>
      <c r="E60" s="3" t="s">
        <v>117</v>
      </c>
      <c r="F60" s="5" t="s">
        <v>286</v>
      </c>
      <c r="G60" s="5" t="s">
        <v>111</v>
      </c>
      <c r="H60" s="5" t="s">
        <v>111</v>
      </c>
      <c r="I60" s="6"/>
      <c r="J60" s="5" t="s">
        <v>1</v>
      </c>
      <c r="K60" s="7" t="s">
        <v>113</v>
      </c>
      <c r="L60" s="36">
        <v>4</v>
      </c>
      <c r="O60" s="5" t="s">
        <v>111</v>
      </c>
      <c r="Q60" s="5">
        <v>1</v>
      </c>
    </row>
    <row r="61" spans="2:17">
      <c r="B61" s="2">
        <v>53</v>
      </c>
      <c r="C61" s="3" t="s">
        <v>44</v>
      </c>
      <c r="D61" s="4" t="s">
        <v>238</v>
      </c>
      <c r="E61" s="3" t="s">
        <v>120</v>
      </c>
      <c r="F61" s="5" t="s">
        <v>38</v>
      </c>
      <c r="G61" s="5" t="s">
        <v>111</v>
      </c>
      <c r="H61" s="5" t="s">
        <v>111</v>
      </c>
      <c r="J61" s="5" t="s">
        <v>157</v>
      </c>
      <c r="K61" s="9" t="s">
        <v>114</v>
      </c>
      <c r="L61" s="36">
        <v>4</v>
      </c>
      <c r="P61" s="5" t="s">
        <v>111</v>
      </c>
      <c r="Q61" s="5">
        <v>1</v>
      </c>
    </row>
    <row r="62" spans="2:17" ht="19" customHeight="1">
      <c r="B62" s="2">
        <v>54</v>
      </c>
      <c r="C62" s="3" t="s">
        <v>45</v>
      </c>
      <c r="D62" s="4" t="s">
        <v>239</v>
      </c>
      <c r="E62" s="3" t="s">
        <v>117</v>
      </c>
      <c r="F62" s="5" t="s">
        <v>38</v>
      </c>
      <c r="G62" s="5" t="s">
        <v>111</v>
      </c>
      <c r="H62" s="5" t="s">
        <v>111</v>
      </c>
      <c r="J62" s="5" t="s">
        <v>3</v>
      </c>
      <c r="K62" s="9" t="s">
        <v>113</v>
      </c>
      <c r="L62" s="36">
        <v>3</v>
      </c>
      <c r="Q62" s="5">
        <v>0</v>
      </c>
    </row>
    <row r="63" spans="2:17">
      <c r="B63" s="2">
        <v>55</v>
      </c>
      <c r="C63" s="3" t="s">
        <v>46</v>
      </c>
      <c r="D63" s="4" t="s">
        <v>240</v>
      </c>
      <c r="E63" s="3" t="s">
        <v>120</v>
      </c>
      <c r="F63" s="5" t="s">
        <v>38</v>
      </c>
      <c r="G63" s="5" t="s">
        <v>111</v>
      </c>
      <c r="H63" s="5" t="s">
        <v>111</v>
      </c>
      <c r="J63" s="5" t="s">
        <v>62</v>
      </c>
      <c r="K63" s="9" t="s">
        <v>113</v>
      </c>
      <c r="L63" s="36">
        <v>4</v>
      </c>
      <c r="M63" s="5" t="s">
        <v>111</v>
      </c>
      <c r="Q63" s="5">
        <v>1</v>
      </c>
    </row>
    <row r="64" spans="2:17">
      <c r="B64" s="2">
        <v>56</v>
      </c>
      <c r="C64" s="3" t="s">
        <v>90</v>
      </c>
      <c r="D64" s="4" t="s">
        <v>265</v>
      </c>
      <c r="E64" s="3" t="s">
        <v>120</v>
      </c>
      <c r="F64" s="6" t="s">
        <v>289</v>
      </c>
      <c r="G64" s="5" t="s">
        <v>111</v>
      </c>
      <c r="H64" s="5" t="s">
        <v>111</v>
      </c>
      <c r="J64" s="5" t="s">
        <v>157</v>
      </c>
      <c r="K64" s="9" t="s">
        <v>158</v>
      </c>
      <c r="L64" s="36">
        <v>4</v>
      </c>
      <c r="O64" s="5" t="s">
        <v>111</v>
      </c>
      <c r="P64" s="5" t="s">
        <v>111</v>
      </c>
      <c r="Q64" s="5">
        <v>2</v>
      </c>
    </row>
    <row r="65" spans="2:17">
      <c r="B65" s="2">
        <v>57</v>
      </c>
      <c r="C65" s="3" t="s">
        <v>91</v>
      </c>
      <c r="D65" s="4" t="s">
        <v>266</v>
      </c>
      <c r="E65" s="3" t="s">
        <v>120</v>
      </c>
      <c r="F65" s="6" t="s">
        <v>289</v>
      </c>
      <c r="G65" s="5" t="s">
        <v>111</v>
      </c>
      <c r="H65" s="5" t="s">
        <v>111</v>
      </c>
      <c r="J65" s="5" t="s">
        <v>157</v>
      </c>
      <c r="K65" s="7" t="s">
        <v>113</v>
      </c>
      <c r="L65" s="36">
        <v>4</v>
      </c>
      <c r="M65" s="5" t="s">
        <v>111</v>
      </c>
      <c r="N65" s="5" t="s">
        <v>111</v>
      </c>
      <c r="O65" s="5" t="s">
        <v>111</v>
      </c>
      <c r="P65" s="5" t="s">
        <v>111</v>
      </c>
      <c r="Q65" s="5">
        <v>4</v>
      </c>
    </row>
    <row r="66" spans="2:17">
      <c r="B66" s="2">
        <v>58</v>
      </c>
      <c r="C66" s="3" t="s">
        <v>128</v>
      </c>
      <c r="D66" s="4" t="s">
        <v>252</v>
      </c>
      <c r="E66" s="3" t="s">
        <v>118</v>
      </c>
      <c r="F66" s="5" t="s">
        <v>287</v>
      </c>
      <c r="G66" s="5" t="s">
        <v>111</v>
      </c>
      <c r="H66" s="6" t="s">
        <v>111</v>
      </c>
      <c r="I66" s="6"/>
      <c r="J66" s="5" t="s">
        <v>154</v>
      </c>
      <c r="K66" s="7" t="s">
        <v>113</v>
      </c>
      <c r="L66" s="36">
        <v>4</v>
      </c>
      <c r="M66" s="5" t="s">
        <v>111</v>
      </c>
      <c r="N66" s="5" t="s">
        <v>111</v>
      </c>
      <c r="O66" s="5" t="s">
        <v>111</v>
      </c>
      <c r="P66" s="5" t="s">
        <v>111</v>
      </c>
      <c r="Q66" s="5">
        <v>4</v>
      </c>
    </row>
    <row r="67" spans="2:17">
      <c r="B67" s="2">
        <v>59</v>
      </c>
      <c r="C67" s="3" t="s">
        <v>64</v>
      </c>
      <c r="D67" s="4" t="s">
        <v>174</v>
      </c>
      <c r="E67" s="3" t="s">
        <v>120</v>
      </c>
      <c r="F67" s="5" t="s">
        <v>287</v>
      </c>
      <c r="G67" s="5" t="s">
        <v>112</v>
      </c>
      <c r="H67" s="6"/>
      <c r="I67" s="6"/>
      <c r="J67" s="5"/>
      <c r="K67" s="7"/>
      <c r="L67" s="36">
        <v>1</v>
      </c>
      <c r="Q67" s="5">
        <v>0</v>
      </c>
    </row>
    <row r="68" spans="2:17">
      <c r="B68" s="2">
        <v>60</v>
      </c>
      <c r="C68" s="3" t="s">
        <v>58</v>
      </c>
      <c r="D68" s="4" t="s">
        <v>58</v>
      </c>
      <c r="E68" s="3" t="s">
        <v>118</v>
      </c>
      <c r="F68" s="5" t="s">
        <v>38</v>
      </c>
      <c r="G68" s="5" t="s">
        <v>111</v>
      </c>
      <c r="H68" s="5" t="s">
        <v>111</v>
      </c>
      <c r="J68" s="5" t="s">
        <v>157</v>
      </c>
      <c r="K68" s="7" t="s">
        <v>114</v>
      </c>
      <c r="L68" s="36">
        <v>4</v>
      </c>
      <c r="M68" s="5" t="s">
        <v>111</v>
      </c>
      <c r="N68" s="5" t="s">
        <v>111</v>
      </c>
      <c r="O68" s="5" t="s">
        <v>111</v>
      </c>
      <c r="P68" s="5" t="s">
        <v>111</v>
      </c>
      <c r="Q68" s="5">
        <v>4</v>
      </c>
    </row>
    <row r="69" spans="2:17">
      <c r="B69" s="2">
        <v>61</v>
      </c>
      <c r="C69" s="3" t="s">
        <v>65</v>
      </c>
      <c r="D69" s="10" t="s">
        <v>253</v>
      </c>
      <c r="E69" s="3" t="s">
        <v>120</v>
      </c>
      <c r="F69" s="5" t="s">
        <v>287</v>
      </c>
      <c r="G69" s="5" t="s">
        <v>111</v>
      </c>
      <c r="H69" s="6" t="s">
        <v>111</v>
      </c>
      <c r="I69" s="6"/>
      <c r="J69" s="5" t="s">
        <v>157</v>
      </c>
      <c r="K69" s="7" t="s">
        <v>113</v>
      </c>
      <c r="L69" s="36">
        <v>4</v>
      </c>
      <c r="M69" s="5" t="s">
        <v>111</v>
      </c>
      <c r="N69" s="5" t="s">
        <v>111</v>
      </c>
      <c r="O69" s="5" t="s">
        <v>111</v>
      </c>
      <c r="P69" s="5" t="s">
        <v>111</v>
      </c>
      <c r="Q69" s="5">
        <v>4</v>
      </c>
    </row>
    <row r="70" spans="2:17">
      <c r="B70" s="2">
        <v>62</v>
      </c>
      <c r="C70" s="3" t="s">
        <v>82</v>
      </c>
      <c r="D70" s="4" t="s">
        <v>175</v>
      </c>
      <c r="E70" s="3" t="s">
        <v>118</v>
      </c>
      <c r="F70" s="5" t="s">
        <v>288</v>
      </c>
      <c r="G70" s="5" t="s">
        <v>111</v>
      </c>
      <c r="H70" s="6" t="s">
        <v>112</v>
      </c>
      <c r="I70" s="6"/>
      <c r="J70" s="5"/>
      <c r="K70" s="7"/>
      <c r="L70" s="36">
        <v>2</v>
      </c>
      <c r="Q70" s="5">
        <v>0</v>
      </c>
    </row>
    <row r="71" spans="2:17">
      <c r="B71" s="2">
        <v>63</v>
      </c>
      <c r="C71" s="3" t="s">
        <v>15</v>
      </c>
      <c r="D71" s="4" t="s">
        <v>214</v>
      </c>
      <c r="E71" s="3" t="s">
        <v>117</v>
      </c>
      <c r="F71" s="5" t="s">
        <v>286</v>
      </c>
      <c r="G71" s="5" t="s">
        <v>111</v>
      </c>
      <c r="H71" s="5" t="s">
        <v>111</v>
      </c>
      <c r="J71" s="5" t="s">
        <v>157</v>
      </c>
      <c r="K71" s="9" t="s">
        <v>113</v>
      </c>
      <c r="L71" s="36">
        <v>4</v>
      </c>
      <c r="P71" s="5" t="s">
        <v>111</v>
      </c>
      <c r="Q71" s="5">
        <v>1</v>
      </c>
    </row>
    <row r="72" spans="2:17">
      <c r="B72" s="2">
        <v>64</v>
      </c>
      <c r="C72" s="3" t="s">
        <v>99</v>
      </c>
      <c r="D72" s="4" t="s">
        <v>190</v>
      </c>
      <c r="E72" s="3" t="s">
        <v>120</v>
      </c>
      <c r="F72" s="6" t="s">
        <v>290</v>
      </c>
      <c r="G72" s="5" t="s">
        <v>111</v>
      </c>
      <c r="H72" s="5" t="s">
        <v>112</v>
      </c>
      <c r="I72" s="11" t="s">
        <v>331</v>
      </c>
      <c r="J72" s="5"/>
      <c r="K72" s="9"/>
      <c r="L72" s="36">
        <v>2</v>
      </c>
      <c r="Q72" s="5">
        <v>0</v>
      </c>
    </row>
    <row r="73" spans="2:17">
      <c r="B73" s="2">
        <v>65</v>
      </c>
      <c r="C73" s="3" t="s">
        <v>129</v>
      </c>
      <c r="D73" s="4" t="s">
        <v>166</v>
      </c>
      <c r="E73" s="3" t="s">
        <v>117</v>
      </c>
      <c r="F73" s="6" t="s">
        <v>289</v>
      </c>
      <c r="G73" s="5" t="s">
        <v>112</v>
      </c>
      <c r="H73" s="5"/>
      <c r="I73" s="6"/>
      <c r="J73" s="5"/>
      <c r="K73" s="9"/>
      <c r="L73" s="36">
        <v>1</v>
      </c>
      <c r="Q73" s="5">
        <v>0</v>
      </c>
    </row>
    <row r="74" spans="2:17">
      <c r="B74" s="2">
        <v>66</v>
      </c>
      <c r="C74" s="3" t="s">
        <v>130</v>
      </c>
      <c r="D74" s="3" t="s">
        <v>130</v>
      </c>
      <c r="E74" s="3" t="s">
        <v>120</v>
      </c>
      <c r="F74" s="69" t="s">
        <v>330</v>
      </c>
      <c r="G74" s="5"/>
      <c r="H74" s="5"/>
      <c r="I74" s="6"/>
      <c r="J74" s="5"/>
      <c r="K74" s="7"/>
      <c r="L74" s="36">
        <v>0</v>
      </c>
      <c r="Q74" s="5">
        <v>0</v>
      </c>
    </row>
    <row r="75" spans="2:17">
      <c r="B75" s="2">
        <v>67</v>
      </c>
      <c r="C75" s="3" t="s">
        <v>131</v>
      </c>
      <c r="D75" s="4" t="s">
        <v>131</v>
      </c>
      <c r="E75" s="3" t="s">
        <v>117</v>
      </c>
      <c r="F75" s="5" t="s">
        <v>288</v>
      </c>
      <c r="G75" s="5" t="s">
        <v>112</v>
      </c>
      <c r="H75" s="5"/>
      <c r="I75" s="6"/>
      <c r="J75" s="5"/>
      <c r="K75" s="7"/>
      <c r="L75" s="36">
        <v>1</v>
      </c>
      <c r="Q75" s="5">
        <v>0</v>
      </c>
    </row>
    <row r="76" spans="2:17">
      <c r="B76" s="2">
        <v>68</v>
      </c>
      <c r="C76" s="3" t="s">
        <v>100</v>
      </c>
      <c r="D76" s="10" t="s">
        <v>276</v>
      </c>
      <c r="E76" s="3" t="s">
        <v>117</v>
      </c>
      <c r="F76" s="6" t="s">
        <v>290</v>
      </c>
      <c r="G76" s="5" t="s">
        <v>111</v>
      </c>
      <c r="H76" s="5" t="s">
        <v>111</v>
      </c>
      <c r="J76" s="5" t="s">
        <v>157</v>
      </c>
      <c r="K76" s="7" t="s">
        <v>113</v>
      </c>
      <c r="L76" s="36">
        <v>3</v>
      </c>
      <c r="Q76" s="5">
        <v>0</v>
      </c>
    </row>
    <row r="77" spans="2:17">
      <c r="B77" s="2">
        <v>69</v>
      </c>
      <c r="C77" s="3" t="s">
        <v>71</v>
      </c>
      <c r="D77" s="4" t="s">
        <v>171</v>
      </c>
      <c r="E77" s="3" t="s">
        <v>118</v>
      </c>
      <c r="F77" s="5" t="s">
        <v>287</v>
      </c>
      <c r="G77" s="5" t="s">
        <v>112</v>
      </c>
      <c r="H77" s="6"/>
      <c r="I77" s="6"/>
      <c r="J77" s="5"/>
      <c r="K77" s="7"/>
      <c r="L77" s="36">
        <v>1</v>
      </c>
      <c r="Q77" s="5">
        <v>0</v>
      </c>
    </row>
    <row r="78" spans="2:17">
      <c r="B78" s="2">
        <v>70</v>
      </c>
      <c r="C78" s="3" t="s">
        <v>16</v>
      </c>
      <c r="D78" s="4" t="s">
        <v>184</v>
      </c>
      <c r="E78" s="3" t="s">
        <v>120</v>
      </c>
      <c r="F78" s="5" t="s">
        <v>286</v>
      </c>
      <c r="G78" s="5" t="s">
        <v>111</v>
      </c>
      <c r="H78" s="5" t="s">
        <v>112</v>
      </c>
      <c r="I78" s="5" t="s">
        <v>331</v>
      </c>
      <c r="J78" s="5"/>
      <c r="K78" s="7"/>
      <c r="L78" s="36">
        <v>2</v>
      </c>
      <c r="Q78" s="5">
        <v>0</v>
      </c>
    </row>
    <row r="79" spans="2:17">
      <c r="B79" s="2">
        <v>71</v>
      </c>
      <c r="C79" s="3" t="s">
        <v>17</v>
      </c>
      <c r="D79" s="4" t="s">
        <v>215</v>
      </c>
      <c r="E79" s="3" t="s">
        <v>117</v>
      </c>
      <c r="F79" s="5" t="s">
        <v>286</v>
      </c>
      <c r="G79" s="5" t="s">
        <v>111</v>
      </c>
      <c r="H79" s="5" t="s">
        <v>111</v>
      </c>
      <c r="J79" s="5" t="s">
        <v>157</v>
      </c>
      <c r="K79" s="7" t="s">
        <v>113</v>
      </c>
      <c r="L79" s="36">
        <v>4</v>
      </c>
      <c r="O79" s="5" t="s">
        <v>111</v>
      </c>
      <c r="Q79" s="5">
        <v>1</v>
      </c>
    </row>
    <row r="80" spans="2:17">
      <c r="B80" s="2">
        <v>72</v>
      </c>
      <c r="C80" s="3" t="s">
        <v>132</v>
      </c>
      <c r="D80" s="4" t="s">
        <v>132</v>
      </c>
      <c r="E80" s="3" t="s">
        <v>118</v>
      </c>
      <c r="F80" s="5" t="s">
        <v>287</v>
      </c>
      <c r="G80" s="5" t="s">
        <v>112</v>
      </c>
      <c r="H80" s="6"/>
      <c r="I80" s="6"/>
      <c r="J80" s="5"/>
      <c r="K80" s="7"/>
      <c r="L80" s="36">
        <v>1</v>
      </c>
      <c r="Q80" s="5">
        <v>0</v>
      </c>
    </row>
    <row r="81" spans="2:17">
      <c r="B81" s="2">
        <v>73</v>
      </c>
      <c r="C81" s="3" t="s">
        <v>83</v>
      </c>
      <c r="D81" s="4" t="s">
        <v>176</v>
      </c>
      <c r="E81" s="3" t="s">
        <v>118</v>
      </c>
      <c r="F81" s="5" t="s">
        <v>288</v>
      </c>
      <c r="G81" s="5" t="s">
        <v>112</v>
      </c>
      <c r="H81" s="6"/>
      <c r="I81" s="6"/>
      <c r="J81" s="5"/>
      <c r="K81" s="7"/>
      <c r="L81" s="36">
        <v>1</v>
      </c>
      <c r="Q81" s="5">
        <v>0</v>
      </c>
    </row>
    <row r="82" spans="2:17">
      <c r="B82" s="2">
        <v>74</v>
      </c>
      <c r="C82" s="3" t="s">
        <v>133</v>
      </c>
      <c r="D82" s="10" t="s">
        <v>258</v>
      </c>
      <c r="E82" s="3" t="s">
        <v>118</v>
      </c>
      <c r="F82" s="5" t="s">
        <v>288</v>
      </c>
      <c r="G82" s="5" t="s">
        <v>111</v>
      </c>
      <c r="H82" s="6" t="s">
        <v>111</v>
      </c>
      <c r="I82" s="6"/>
      <c r="J82" s="5" t="s">
        <v>157</v>
      </c>
      <c r="K82" s="7" t="s">
        <v>113</v>
      </c>
      <c r="L82" s="36">
        <v>4</v>
      </c>
      <c r="M82" s="5" t="s">
        <v>111</v>
      </c>
      <c r="N82" s="5" t="s">
        <v>111</v>
      </c>
      <c r="O82" s="5" t="s">
        <v>111</v>
      </c>
      <c r="P82" s="5" t="s">
        <v>111</v>
      </c>
      <c r="Q82" s="5">
        <v>4</v>
      </c>
    </row>
    <row r="83" spans="2:17">
      <c r="B83" s="2">
        <v>75</v>
      </c>
      <c r="C83" s="3" t="s">
        <v>18</v>
      </c>
      <c r="D83" s="4" t="s">
        <v>216</v>
      </c>
      <c r="E83" s="3" t="s">
        <v>117</v>
      </c>
      <c r="F83" s="5" t="s">
        <v>286</v>
      </c>
      <c r="G83" s="5" t="s">
        <v>111</v>
      </c>
      <c r="H83" s="5" t="s">
        <v>111</v>
      </c>
      <c r="J83" s="5" t="s">
        <v>3</v>
      </c>
      <c r="K83" s="7" t="s">
        <v>113</v>
      </c>
      <c r="L83" s="36">
        <v>4</v>
      </c>
      <c r="O83" s="5" t="s">
        <v>111</v>
      </c>
      <c r="P83" s="5" t="s">
        <v>111</v>
      </c>
      <c r="Q83" s="5">
        <v>2</v>
      </c>
    </row>
    <row r="84" spans="2:17">
      <c r="B84" s="2">
        <v>76</v>
      </c>
      <c r="C84" s="3" t="s">
        <v>19</v>
      </c>
      <c r="D84" s="4" t="s">
        <v>217</v>
      </c>
      <c r="E84" s="3" t="s">
        <v>117</v>
      </c>
      <c r="F84" s="5" t="s">
        <v>286</v>
      </c>
      <c r="G84" s="5" t="s">
        <v>111</v>
      </c>
      <c r="H84" s="5" t="s">
        <v>111</v>
      </c>
      <c r="J84" s="5" t="s">
        <v>157</v>
      </c>
      <c r="K84" s="7" t="s">
        <v>113</v>
      </c>
      <c r="L84" s="36">
        <v>4</v>
      </c>
      <c r="O84" s="5" t="s">
        <v>111</v>
      </c>
      <c r="Q84" s="5">
        <v>1</v>
      </c>
    </row>
    <row r="85" spans="2:17">
      <c r="B85" s="2">
        <v>77</v>
      </c>
      <c r="C85" s="3" t="s">
        <v>110</v>
      </c>
      <c r="D85" s="4" t="s">
        <v>110</v>
      </c>
      <c r="E85" s="3" t="s">
        <v>118</v>
      </c>
      <c r="F85" s="6" t="s">
        <v>290</v>
      </c>
      <c r="G85" s="5" t="s">
        <v>111</v>
      </c>
      <c r="H85" s="5" t="s">
        <v>111</v>
      </c>
      <c r="J85" s="5" t="s">
        <v>157</v>
      </c>
      <c r="K85" s="7" t="s">
        <v>337</v>
      </c>
      <c r="L85" s="36">
        <v>4</v>
      </c>
      <c r="M85" s="5" t="s">
        <v>111</v>
      </c>
      <c r="N85" s="5" t="s">
        <v>111</v>
      </c>
      <c r="O85" s="5" t="s">
        <v>111</v>
      </c>
      <c r="P85" s="5" t="s">
        <v>111</v>
      </c>
      <c r="Q85" s="5">
        <v>4</v>
      </c>
    </row>
    <row r="86" spans="2:17">
      <c r="B86" s="2">
        <v>78</v>
      </c>
      <c r="C86" s="3" t="s">
        <v>92</v>
      </c>
      <c r="D86" s="4" t="s">
        <v>267</v>
      </c>
      <c r="E86" s="3" t="s">
        <v>120</v>
      </c>
      <c r="F86" s="6" t="s">
        <v>289</v>
      </c>
      <c r="G86" s="5" t="s">
        <v>111</v>
      </c>
      <c r="H86" s="5" t="s">
        <v>111</v>
      </c>
      <c r="J86" s="5" t="s">
        <v>157</v>
      </c>
      <c r="K86" s="9" t="s">
        <v>113</v>
      </c>
      <c r="L86" s="36">
        <v>4</v>
      </c>
      <c r="O86" s="5" t="s">
        <v>111</v>
      </c>
      <c r="Q86" s="5">
        <v>1</v>
      </c>
    </row>
    <row r="87" spans="2:17">
      <c r="B87" s="2">
        <v>79</v>
      </c>
      <c r="C87" s="3" t="s">
        <v>20</v>
      </c>
      <c r="D87" s="4" t="s">
        <v>218</v>
      </c>
      <c r="E87" s="3" t="s">
        <v>117</v>
      </c>
      <c r="F87" s="5" t="s">
        <v>286</v>
      </c>
      <c r="G87" s="5" t="s">
        <v>111</v>
      </c>
      <c r="H87" s="5" t="s">
        <v>111</v>
      </c>
      <c r="J87" s="5" t="s">
        <v>3</v>
      </c>
      <c r="K87" s="7" t="s">
        <v>113</v>
      </c>
      <c r="L87" s="36">
        <v>4</v>
      </c>
      <c r="O87" s="5" t="s">
        <v>111</v>
      </c>
      <c r="Q87" s="5">
        <v>1</v>
      </c>
    </row>
    <row r="88" spans="2:17">
      <c r="B88" s="2">
        <v>80</v>
      </c>
      <c r="C88" s="3" t="s">
        <v>101</v>
      </c>
      <c r="D88" s="4" t="s">
        <v>178</v>
      </c>
      <c r="E88" s="3" t="s">
        <v>120</v>
      </c>
      <c r="F88" s="6" t="s">
        <v>290</v>
      </c>
      <c r="G88" s="5" t="s">
        <v>112</v>
      </c>
      <c r="H88" s="5"/>
      <c r="I88" s="6"/>
      <c r="J88" s="5"/>
      <c r="K88" s="9"/>
      <c r="L88" s="36">
        <v>1</v>
      </c>
      <c r="Q88" s="5">
        <v>0</v>
      </c>
    </row>
    <row r="89" spans="2:17">
      <c r="B89" s="2">
        <v>81</v>
      </c>
      <c r="C89" s="3" t="s">
        <v>21</v>
      </c>
      <c r="D89" s="10" t="s">
        <v>219</v>
      </c>
      <c r="E89" s="3" t="s">
        <v>117</v>
      </c>
      <c r="F89" s="5" t="s">
        <v>286</v>
      </c>
      <c r="G89" s="5" t="s">
        <v>111</v>
      </c>
      <c r="H89" s="5" t="s">
        <v>111</v>
      </c>
      <c r="J89" s="5" t="s">
        <v>3</v>
      </c>
      <c r="K89" s="7" t="s">
        <v>113</v>
      </c>
      <c r="L89" s="36">
        <v>3</v>
      </c>
      <c r="Q89" s="5">
        <v>0</v>
      </c>
    </row>
    <row r="90" spans="2:17">
      <c r="B90" s="2">
        <v>82</v>
      </c>
      <c r="C90" s="3" t="s">
        <v>35</v>
      </c>
      <c r="D90" s="4" t="s">
        <v>220</v>
      </c>
      <c r="E90" s="3" t="s">
        <v>118</v>
      </c>
      <c r="F90" s="5" t="s">
        <v>286</v>
      </c>
      <c r="G90" s="5" t="s">
        <v>111</v>
      </c>
      <c r="H90" s="5" t="s">
        <v>111</v>
      </c>
      <c r="J90" s="5" t="s">
        <v>157</v>
      </c>
      <c r="K90" s="7" t="s">
        <v>113</v>
      </c>
      <c r="L90" s="36">
        <v>4</v>
      </c>
      <c r="M90" s="5" t="s">
        <v>111</v>
      </c>
      <c r="N90" s="5" t="s">
        <v>111</v>
      </c>
      <c r="O90" s="5" t="s">
        <v>111</v>
      </c>
      <c r="P90" s="5" t="s">
        <v>111</v>
      </c>
      <c r="Q90" s="5">
        <v>4</v>
      </c>
    </row>
    <row r="91" spans="2:17">
      <c r="B91" s="2">
        <v>83</v>
      </c>
      <c r="C91" s="3" t="s">
        <v>134</v>
      </c>
      <c r="D91" s="3" t="s">
        <v>134</v>
      </c>
      <c r="E91" s="3" t="s">
        <v>118</v>
      </c>
      <c r="F91" s="69" t="s">
        <v>330</v>
      </c>
      <c r="G91" s="5"/>
      <c r="H91" s="5"/>
      <c r="J91" s="5"/>
      <c r="K91" s="7"/>
      <c r="L91" s="36">
        <v>0</v>
      </c>
      <c r="Q91" s="5">
        <v>0</v>
      </c>
    </row>
    <row r="92" spans="2:17" ht="20" customHeight="1">
      <c r="B92" s="2">
        <v>84</v>
      </c>
      <c r="C92" s="3" t="s">
        <v>59</v>
      </c>
      <c r="D92" s="4" t="s">
        <v>241</v>
      </c>
      <c r="E92" s="3" t="s">
        <v>118</v>
      </c>
      <c r="F92" s="5" t="s">
        <v>38</v>
      </c>
      <c r="G92" s="5" t="s">
        <v>111</v>
      </c>
      <c r="H92" s="5" t="s">
        <v>111</v>
      </c>
      <c r="J92" s="5" t="s">
        <v>62</v>
      </c>
      <c r="K92" s="7" t="s">
        <v>114</v>
      </c>
      <c r="L92" s="36">
        <v>3</v>
      </c>
      <c r="Q92" s="5">
        <v>0</v>
      </c>
    </row>
    <row r="93" spans="2:17">
      <c r="B93" s="2">
        <v>85</v>
      </c>
      <c r="C93" s="3" t="s">
        <v>135</v>
      </c>
      <c r="D93" s="4" t="s">
        <v>168</v>
      </c>
      <c r="E93" s="3" t="s">
        <v>120</v>
      </c>
      <c r="F93" s="6" t="s">
        <v>290</v>
      </c>
      <c r="G93" s="5" t="s">
        <v>112</v>
      </c>
      <c r="H93" s="9"/>
      <c r="I93" s="6"/>
      <c r="J93" s="5"/>
      <c r="K93" s="7"/>
      <c r="L93" s="36">
        <v>1</v>
      </c>
      <c r="Q93" s="5">
        <v>0</v>
      </c>
    </row>
    <row r="94" spans="2:17">
      <c r="B94" s="2">
        <v>86</v>
      </c>
      <c r="C94" s="3" t="s">
        <v>136</v>
      </c>
      <c r="D94" s="4" t="s">
        <v>259</v>
      </c>
      <c r="E94" s="3" t="s">
        <v>120</v>
      </c>
      <c r="F94" s="5" t="s">
        <v>288</v>
      </c>
      <c r="G94" s="5" t="s">
        <v>111</v>
      </c>
      <c r="H94" s="5" t="s">
        <v>111</v>
      </c>
      <c r="J94" s="5" t="s">
        <v>157</v>
      </c>
      <c r="K94" s="7" t="s">
        <v>114</v>
      </c>
      <c r="L94" s="36">
        <v>4</v>
      </c>
      <c r="M94" s="5" t="s">
        <v>111</v>
      </c>
      <c r="N94" s="5" t="s">
        <v>111</v>
      </c>
      <c r="O94" s="5" t="s">
        <v>111</v>
      </c>
      <c r="P94" s="5" t="s">
        <v>111</v>
      </c>
      <c r="Q94" s="5">
        <v>4</v>
      </c>
    </row>
    <row r="95" spans="2:17" ht="20" customHeight="1">
      <c r="B95" s="2">
        <v>87</v>
      </c>
      <c r="C95" s="3" t="s">
        <v>102</v>
      </c>
      <c r="D95" s="4" t="s">
        <v>102</v>
      </c>
      <c r="E95" s="3" t="s">
        <v>120</v>
      </c>
      <c r="F95" s="6" t="s">
        <v>290</v>
      </c>
      <c r="G95" s="5" t="s">
        <v>111</v>
      </c>
      <c r="H95" s="5" t="s">
        <v>111</v>
      </c>
      <c r="J95" s="5" t="s">
        <v>157</v>
      </c>
      <c r="K95" s="7" t="s">
        <v>115</v>
      </c>
      <c r="L95" s="36">
        <v>4</v>
      </c>
      <c r="M95" s="5" t="s">
        <v>111</v>
      </c>
      <c r="N95" s="5" t="s">
        <v>111</v>
      </c>
      <c r="O95" s="5" t="s">
        <v>111</v>
      </c>
      <c r="P95" s="5" t="s">
        <v>111</v>
      </c>
      <c r="Q95" s="5">
        <v>4</v>
      </c>
    </row>
    <row r="96" spans="2:17">
      <c r="B96" s="2">
        <v>88</v>
      </c>
      <c r="C96" s="3" t="s">
        <v>84</v>
      </c>
      <c r="D96" s="4" t="s">
        <v>84</v>
      </c>
      <c r="E96" s="3" t="s">
        <v>118</v>
      </c>
      <c r="F96" s="5" t="s">
        <v>288</v>
      </c>
      <c r="G96" s="5" t="s">
        <v>111</v>
      </c>
      <c r="H96" s="6" t="s">
        <v>111</v>
      </c>
      <c r="I96" s="6"/>
      <c r="J96" s="5" t="s">
        <v>153</v>
      </c>
      <c r="K96" s="7" t="s">
        <v>113</v>
      </c>
      <c r="L96" s="36">
        <v>4</v>
      </c>
      <c r="M96" s="5" t="s">
        <v>111</v>
      </c>
      <c r="N96" s="5" t="s">
        <v>111</v>
      </c>
      <c r="O96" s="5" t="s">
        <v>111</v>
      </c>
      <c r="P96" s="5" t="s">
        <v>111</v>
      </c>
      <c r="Q96" s="5">
        <v>4</v>
      </c>
    </row>
    <row r="97" spans="2:17">
      <c r="B97" s="2">
        <v>89</v>
      </c>
      <c r="C97" s="3" t="s">
        <v>66</v>
      </c>
      <c r="D97" s="4" t="s">
        <v>254</v>
      </c>
      <c r="E97" s="3" t="s">
        <v>120</v>
      </c>
      <c r="F97" s="5" t="s">
        <v>287</v>
      </c>
      <c r="G97" s="5" t="s">
        <v>111</v>
      </c>
      <c r="H97" s="6" t="s">
        <v>111</v>
      </c>
      <c r="I97" s="6"/>
      <c r="J97" s="5" t="s">
        <v>3</v>
      </c>
      <c r="K97" s="7" t="s">
        <v>113</v>
      </c>
      <c r="L97" s="36">
        <v>4</v>
      </c>
      <c r="P97" s="5" t="s">
        <v>111</v>
      </c>
      <c r="Q97" s="5">
        <v>1</v>
      </c>
    </row>
    <row r="98" spans="2:17">
      <c r="B98" s="2">
        <v>90</v>
      </c>
      <c r="C98" s="3" t="s">
        <v>22</v>
      </c>
      <c r="D98" s="4" t="s">
        <v>221</v>
      </c>
      <c r="E98" s="3" t="s">
        <v>117</v>
      </c>
      <c r="F98" s="5" t="s">
        <v>286</v>
      </c>
      <c r="G98" s="5" t="s">
        <v>111</v>
      </c>
      <c r="H98" s="5" t="s">
        <v>111</v>
      </c>
      <c r="J98" s="5" t="s">
        <v>1</v>
      </c>
      <c r="K98" s="7" t="s">
        <v>113</v>
      </c>
      <c r="L98" s="36">
        <v>3</v>
      </c>
      <c r="Q98" s="5">
        <v>0</v>
      </c>
    </row>
    <row r="99" spans="2:17">
      <c r="B99" s="2">
        <v>91</v>
      </c>
      <c r="C99" s="3" t="s">
        <v>93</v>
      </c>
      <c r="D99" s="10" t="s">
        <v>268</v>
      </c>
      <c r="E99" s="3" t="s">
        <v>117</v>
      </c>
      <c r="F99" s="6" t="s">
        <v>289</v>
      </c>
      <c r="G99" s="5" t="s">
        <v>111</v>
      </c>
      <c r="H99" s="5" t="s">
        <v>111</v>
      </c>
      <c r="J99" s="5" t="s">
        <v>157</v>
      </c>
      <c r="K99" s="9" t="s">
        <v>114</v>
      </c>
      <c r="L99" s="36">
        <v>3</v>
      </c>
      <c r="Q99" s="5">
        <v>0</v>
      </c>
    </row>
    <row r="100" spans="2:17">
      <c r="B100" s="2">
        <v>92</v>
      </c>
      <c r="C100" s="3" t="s">
        <v>36</v>
      </c>
      <c r="D100" s="4" t="s">
        <v>191</v>
      </c>
      <c r="E100" s="3" t="s">
        <v>118</v>
      </c>
      <c r="F100" s="5" t="s">
        <v>286</v>
      </c>
      <c r="G100" s="5" t="s">
        <v>111</v>
      </c>
      <c r="H100" s="6" t="s">
        <v>112</v>
      </c>
      <c r="I100" s="11" t="s">
        <v>331</v>
      </c>
      <c r="J100" s="5"/>
      <c r="K100" s="7"/>
      <c r="L100" s="36">
        <v>2</v>
      </c>
      <c r="Q100" s="5">
        <v>0</v>
      </c>
    </row>
    <row r="101" spans="2:17">
      <c r="B101" s="2">
        <v>93</v>
      </c>
      <c r="C101" s="3" t="s">
        <v>94</v>
      </c>
      <c r="D101" s="10" t="s">
        <v>269</v>
      </c>
      <c r="E101" s="3" t="s">
        <v>117</v>
      </c>
      <c r="F101" s="6" t="s">
        <v>289</v>
      </c>
      <c r="G101" s="5" t="s">
        <v>111</v>
      </c>
      <c r="H101" s="5" t="s">
        <v>111</v>
      </c>
      <c r="J101" s="5" t="s">
        <v>157</v>
      </c>
      <c r="K101" s="7" t="s">
        <v>113</v>
      </c>
      <c r="L101" s="36">
        <v>4</v>
      </c>
      <c r="O101" s="5" t="s">
        <v>111</v>
      </c>
      <c r="Q101" s="5">
        <v>1</v>
      </c>
    </row>
    <row r="102" spans="2:17">
      <c r="B102" s="2">
        <v>94</v>
      </c>
      <c r="C102" s="3" t="s">
        <v>47</v>
      </c>
      <c r="D102" s="4" t="s">
        <v>242</v>
      </c>
      <c r="E102" s="3" t="s">
        <v>120</v>
      </c>
      <c r="F102" s="5" t="s">
        <v>38</v>
      </c>
      <c r="G102" s="5" t="s">
        <v>111</v>
      </c>
      <c r="H102" s="5" t="s">
        <v>111</v>
      </c>
      <c r="J102" s="5" t="s">
        <v>62</v>
      </c>
      <c r="K102" s="9" t="s">
        <v>114</v>
      </c>
      <c r="L102" s="36">
        <v>3</v>
      </c>
      <c r="Q102" s="5">
        <v>0</v>
      </c>
    </row>
    <row r="103" spans="2:17" ht="21" customHeight="1">
      <c r="B103" s="2">
        <v>95</v>
      </c>
      <c r="C103" s="3" t="s">
        <v>282</v>
      </c>
      <c r="D103" s="4" t="s">
        <v>222</v>
      </c>
      <c r="E103" s="3" t="s">
        <v>117</v>
      </c>
      <c r="F103" s="5" t="s">
        <v>286</v>
      </c>
      <c r="G103" s="5" t="s">
        <v>111</v>
      </c>
      <c r="H103" s="5" t="s">
        <v>111</v>
      </c>
      <c r="J103" s="5" t="s">
        <v>3</v>
      </c>
      <c r="K103" s="7" t="s">
        <v>113</v>
      </c>
      <c r="L103" s="36">
        <v>4</v>
      </c>
      <c r="P103" s="5" t="s">
        <v>111</v>
      </c>
      <c r="Q103" s="5">
        <v>1</v>
      </c>
    </row>
    <row r="104" spans="2:17">
      <c r="B104" s="2">
        <v>96</v>
      </c>
      <c r="C104" s="3" t="s">
        <v>23</v>
      </c>
      <c r="D104" s="4" t="s">
        <v>223</v>
      </c>
      <c r="E104" s="3" t="s">
        <v>120</v>
      </c>
      <c r="F104" s="5" t="s">
        <v>286</v>
      </c>
      <c r="G104" s="5" t="s">
        <v>111</v>
      </c>
      <c r="H104" s="5" t="s">
        <v>111</v>
      </c>
      <c r="J104" s="5" t="s">
        <v>157</v>
      </c>
      <c r="K104" s="7" t="s">
        <v>113</v>
      </c>
      <c r="L104" s="36">
        <v>3</v>
      </c>
      <c r="Q104" s="5">
        <v>0</v>
      </c>
    </row>
    <row r="105" spans="2:17" ht="20" customHeight="1">
      <c r="B105" s="2">
        <v>97</v>
      </c>
      <c r="C105" s="3" t="s">
        <v>67</v>
      </c>
      <c r="D105" s="10" t="s">
        <v>255</v>
      </c>
      <c r="E105" s="3" t="s">
        <v>120</v>
      </c>
      <c r="F105" s="5" t="s">
        <v>287</v>
      </c>
      <c r="G105" s="5" t="s">
        <v>111</v>
      </c>
      <c r="H105" s="5" t="s">
        <v>111</v>
      </c>
      <c r="J105" s="5" t="s">
        <v>157</v>
      </c>
      <c r="K105" s="9" t="s">
        <v>113</v>
      </c>
      <c r="L105" s="36">
        <v>4</v>
      </c>
      <c r="N105" s="5" t="s">
        <v>111</v>
      </c>
      <c r="Q105" s="5">
        <v>1</v>
      </c>
    </row>
    <row r="106" spans="2:17">
      <c r="B106" s="2">
        <v>98</v>
      </c>
      <c r="C106" s="3" t="s">
        <v>137</v>
      </c>
      <c r="D106" s="4" t="s">
        <v>177</v>
      </c>
      <c r="E106" s="3" t="s">
        <v>118</v>
      </c>
      <c r="F106" s="6" t="s">
        <v>290</v>
      </c>
      <c r="G106" s="5" t="s">
        <v>112</v>
      </c>
      <c r="H106" s="5"/>
      <c r="J106" s="5"/>
      <c r="K106" s="9"/>
      <c r="L106" s="36">
        <v>1</v>
      </c>
      <c r="Q106" s="5">
        <v>0</v>
      </c>
    </row>
    <row r="107" spans="2:17">
      <c r="B107" s="2">
        <v>99</v>
      </c>
      <c r="C107" s="3" t="s">
        <v>60</v>
      </c>
      <c r="D107" s="4" t="s">
        <v>243</v>
      </c>
      <c r="E107" s="3" t="s">
        <v>118</v>
      </c>
      <c r="F107" s="5" t="s">
        <v>38</v>
      </c>
      <c r="G107" s="5" t="s">
        <v>111</v>
      </c>
      <c r="H107" s="6" t="s">
        <v>111</v>
      </c>
      <c r="I107" s="6"/>
      <c r="J107" s="5"/>
      <c r="K107" s="7"/>
      <c r="L107" s="36">
        <v>3</v>
      </c>
      <c r="Q107" s="5">
        <v>0</v>
      </c>
    </row>
    <row r="108" spans="2:17">
      <c r="B108" s="2">
        <v>100</v>
      </c>
      <c r="C108" s="3" t="s">
        <v>103</v>
      </c>
      <c r="D108" s="8" t="s">
        <v>103</v>
      </c>
      <c r="E108" s="3" t="s">
        <v>120</v>
      </c>
      <c r="F108" s="6" t="s">
        <v>290</v>
      </c>
      <c r="G108" s="5" t="s">
        <v>111</v>
      </c>
      <c r="H108" s="5" t="s">
        <v>112</v>
      </c>
      <c r="I108" s="11" t="s">
        <v>331</v>
      </c>
      <c r="J108" s="5"/>
      <c r="K108" s="9"/>
      <c r="L108" s="36">
        <v>2</v>
      </c>
      <c r="Q108" s="5">
        <v>0</v>
      </c>
    </row>
    <row r="109" spans="2:17">
      <c r="B109" s="2">
        <v>101</v>
      </c>
      <c r="C109" s="3" t="s">
        <v>48</v>
      </c>
      <c r="D109" s="4" t="s">
        <v>244</v>
      </c>
      <c r="E109" s="3" t="s">
        <v>120</v>
      </c>
      <c r="F109" s="5" t="s">
        <v>38</v>
      </c>
      <c r="G109" s="5" t="s">
        <v>111</v>
      </c>
      <c r="H109" s="5" t="s">
        <v>111</v>
      </c>
      <c r="J109" s="5" t="s">
        <v>62</v>
      </c>
      <c r="K109" s="9" t="s">
        <v>114</v>
      </c>
      <c r="L109" s="36">
        <v>3</v>
      </c>
      <c r="Q109" s="5">
        <v>0</v>
      </c>
    </row>
    <row r="110" spans="2:17">
      <c r="B110" s="2">
        <v>102</v>
      </c>
      <c r="C110" s="3" t="s">
        <v>61</v>
      </c>
      <c r="D110" s="4" t="s">
        <v>245</v>
      </c>
      <c r="E110" s="3" t="s">
        <v>118</v>
      </c>
      <c r="F110" s="5" t="s">
        <v>38</v>
      </c>
      <c r="G110" s="5" t="s">
        <v>111</v>
      </c>
      <c r="H110" s="5" t="s">
        <v>111</v>
      </c>
      <c r="J110" s="5" t="s">
        <v>62</v>
      </c>
      <c r="K110" s="7" t="s">
        <v>114</v>
      </c>
      <c r="L110" s="36">
        <v>3</v>
      </c>
      <c r="Q110" s="5">
        <v>0</v>
      </c>
    </row>
    <row r="111" spans="2:17">
      <c r="B111" s="2">
        <v>103</v>
      </c>
      <c r="C111" s="3" t="s">
        <v>138</v>
      </c>
      <c r="D111" s="10" t="s">
        <v>277</v>
      </c>
      <c r="E111" s="3" t="s">
        <v>120</v>
      </c>
      <c r="F111" s="6" t="s">
        <v>290</v>
      </c>
      <c r="G111" s="5" t="s">
        <v>111</v>
      </c>
      <c r="H111" s="5" t="s">
        <v>111</v>
      </c>
      <c r="J111" s="5" t="s">
        <v>157</v>
      </c>
      <c r="K111" s="9" t="s">
        <v>115</v>
      </c>
      <c r="L111" s="36">
        <v>4</v>
      </c>
      <c r="M111" s="5" t="s">
        <v>111</v>
      </c>
      <c r="N111" s="5" t="s">
        <v>111</v>
      </c>
      <c r="O111" s="5" t="s">
        <v>111</v>
      </c>
      <c r="P111" s="5" t="s">
        <v>111</v>
      </c>
      <c r="Q111" s="5">
        <v>4</v>
      </c>
    </row>
    <row r="112" spans="2:17">
      <c r="B112" s="2">
        <v>104</v>
      </c>
      <c r="C112" s="3" t="s">
        <v>85</v>
      </c>
      <c r="D112" s="8" t="s">
        <v>85</v>
      </c>
      <c r="E112" s="3" t="s">
        <v>118</v>
      </c>
      <c r="F112" s="5" t="s">
        <v>288</v>
      </c>
      <c r="G112" s="5" t="s">
        <v>112</v>
      </c>
      <c r="H112" s="6"/>
      <c r="I112" s="6"/>
      <c r="J112" s="5"/>
      <c r="K112" s="7"/>
      <c r="L112" s="36">
        <v>1</v>
      </c>
      <c r="Q112" s="5">
        <v>0</v>
      </c>
    </row>
    <row r="113" spans="2:17">
      <c r="B113" s="2">
        <v>105</v>
      </c>
      <c r="C113" s="3" t="s">
        <v>86</v>
      </c>
      <c r="D113" s="4" t="s">
        <v>260</v>
      </c>
      <c r="E113" s="3" t="s">
        <v>118</v>
      </c>
      <c r="F113" s="5" t="s">
        <v>288</v>
      </c>
      <c r="G113" s="5" t="s">
        <v>111</v>
      </c>
      <c r="H113" s="6" t="s">
        <v>111</v>
      </c>
      <c r="I113" s="6"/>
      <c r="J113" s="5" t="s">
        <v>161</v>
      </c>
      <c r="K113" s="7" t="s">
        <v>162</v>
      </c>
      <c r="L113" s="36">
        <v>3</v>
      </c>
      <c r="Q113" s="5">
        <v>0</v>
      </c>
    </row>
    <row r="114" spans="2:17">
      <c r="B114" s="2">
        <v>106</v>
      </c>
      <c r="C114" s="3" t="s">
        <v>24</v>
      </c>
      <c r="D114" s="4" t="s">
        <v>224</v>
      </c>
      <c r="E114" s="3" t="s">
        <v>117</v>
      </c>
      <c r="F114" s="5" t="s">
        <v>286</v>
      </c>
      <c r="G114" s="5" t="s">
        <v>111</v>
      </c>
      <c r="H114" s="5" t="s">
        <v>111</v>
      </c>
      <c r="J114" s="5" t="s">
        <v>157</v>
      </c>
      <c r="K114" s="7" t="s">
        <v>113</v>
      </c>
      <c r="L114" s="36">
        <v>4</v>
      </c>
      <c r="O114" s="5" t="s">
        <v>111</v>
      </c>
      <c r="Q114" s="5">
        <v>1</v>
      </c>
    </row>
    <row r="115" spans="2:17">
      <c r="B115" s="2">
        <v>107</v>
      </c>
      <c r="C115" s="4" t="s">
        <v>181</v>
      </c>
      <c r="D115" s="4" t="s">
        <v>181</v>
      </c>
      <c r="E115" s="3" t="s">
        <v>118</v>
      </c>
      <c r="F115" s="5" t="s">
        <v>38</v>
      </c>
      <c r="G115" s="5" t="s">
        <v>112</v>
      </c>
      <c r="H115" s="6"/>
      <c r="I115" s="6"/>
      <c r="J115" s="5"/>
      <c r="K115" s="7"/>
      <c r="L115" s="36">
        <v>1</v>
      </c>
      <c r="Q115" s="5">
        <v>0</v>
      </c>
    </row>
    <row r="116" spans="2:17">
      <c r="B116" s="2">
        <v>108</v>
      </c>
      <c r="C116" s="4" t="s">
        <v>246</v>
      </c>
      <c r="D116" s="4" t="s">
        <v>246</v>
      </c>
      <c r="E116" s="3" t="s">
        <v>118</v>
      </c>
      <c r="F116" s="5" t="s">
        <v>38</v>
      </c>
      <c r="G116" s="5" t="s">
        <v>111</v>
      </c>
      <c r="H116" s="5" t="s">
        <v>111</v>
      </c>
      <c r="J116" s="5" t="s">
        <v>157</v>
      </c>
      <c r="K116" s="7" t="s">
        <v>114</v>
      </c>
      <c r="L116" s="36">
        <v>3</v>
      </c>
      <c r="Q116" s="5">
        <v>0</v>
      </c>
    </row>
    <row r="117" spans="2:17">
      <c r="B117" s="2">
        <v>109</v>
      </c>
      <c r="C117" s="10" t="s">
        <v>247</v>
      </c>
      <c r="D117" s="10" t="s">
        <v>247</v>
      </c>
      <c r="E117" s="3" t="s">
        <v>118</v>
      </c>
      <c r="F117" s="5" t="s">
        <v>38</v>
      </c>
      <c r="G117" s="5" t="s">
        <v>111</v>
      </c>
      <c r="H117" s="5" t="s">
        <v>111</v>
      </c>
      <c r="J117" s="5" t="s">
        <v>157</v>
      </c>
      <c r="K117" s="7" t="s">
        <v>113</v>
      </c>
      <c r="L117" s="36">
        <v>4</v>
      </c>
      <c r="N117" s="5" t="s">
        <v>111</v>
      </c>
      <c r="Q117" s="5">
        <v>1</v>
      </c>
    </row>
    <row r="118" spans="2:17">
      <c r="B118" s="2">
        <v>110</v>
      </c>
      <c r="C118" s="3" t="s">
        <v>104</v>
      </c>
      <c r="D118" s="10" t="s">
        <v>278</v>
      </c>
      <c r="E118" s="3" t="s">
        <v>120</v>
      </c>
      <c r="F118" s="6" t="s">
        <v>290</v>
      </c>
      <c r="G118" s="5" t="s">
        <v>111</v>
      </c>
      <c r="H118" s="5" t="s">
        <v>111</v>
      </c>
      <c r="J118" s="5" t="s">
        <v>157</v>
      </c>
      <c r="K118" s="7" t="s">
        <v>114</v>
      </c>
      <c r="L118" s="36">
        <v>4</v>
      </c>
      <c r="O118" s="5" t="s">
        <v>111</v>
      </c>
      <c r="P118" s="5" t="s">
        <v>111</v>
      </c>
      <c r="Q118" s="5">
        <v>2</v>
      </c>
    </row>
    <row r="119" spans="2:17">
      <c r="B119" s="2">
        <v>111</v>
      </c>
      <c r="C119" s="3" t="s">
        <v>139</v>
      </c>
      <c r="D119" s="4" t="s">
        <v>167</v>
      </c>
      <c r="E119" s="3" t="s">
        <v>120</v>
      </c>
      <c r="F119" s="5" t="s">
        <v>286</v>
      </c>
      <c r="G119" s="5" t="s">
        <v>112</v>
      </c>
      <c r="H119" s="5"/>
      <c r="I119" s="6"/>
      <c r="J119" s="5"/>
      <c r="K119" s="7"/>
      <c r="L119" s="36">
        <v>1</v>
      </c>
      <c r="Q119" s="5">
        <v>0</v>
      </c>
    </row>
    <row r="120" spans="2:17">
      <c r="B120" s="2">
        <v>112</v>
      </c>
      <c r="C120" s="3" t="s">
        <v>25</v>
      </c>
      <c r="D120" s="4" t="s">
        <v>198</v>
      </c>
      <c r="E120" s="3" t="s">
        <v>120</v>
      </c>
      <c r="F120" s="5" t="s">
        <v>286</v>
      </c>
      <c r="G120" s="5" t="s">
        <v>111</v>
      </c>
      <c r="H120" s="5" t="s">
        <v>112</v>
      </c>
      <c r="I120" s="26" t="s">
        <v>284</v>
      </c>
      <c r="J120" s="5"/>
      <c r="K120" s="9"/>
      <c r="L120" s="36">
        <v>2</v>
      </c>
      <c r="Q120" s="5">
        <v>0</v>
      </c>
    </row>
    <row r="121" spans="2:17">
      <c r="B121" s="2">
        <v>113</v>
      </c>
      <c r="C121" s="3" t="s">
        <v>87</v>
      </c>
      <c r="D121" s="4" t="s">
        <v>261</v>
      </c>
      <c r="E121" s="3" t="s">
        <v>118</v>
      </c>
      <c r="F121" s="5" t="s">
        <v>288</v>
      </c>
      <c r="G121" s="5" t="s">
        <v>111</v>
      </c>
      <c r="H121" s="5" t="s">
        <v>111</v>
      </c>
      <c r="J121" s="5" t="s">
        <v>159</v>
      </c>
      <c r="K121" s="7" t="s">
        <v>115</v>
      </c>
      <c r="L121" s="43">
        <v>4</v>
      </c>
      <c r="M121" s="5" t="s">
        <v>111</v>
      </c>
      <c r="N121" s="5" t="s">
        <v>111</v>
      </c>
      <c r="P121" s="5" t="s">
        <v>111</v>
      </c>
      <c r="Q121" s="5">
        <v>3</v>
      </c>
    </row>
    <row r="122" spans="2:17">
      <c r="B122" s="2">
        <v>114</v>
      </c>
      <c r="C122" s="3" t="s">
        <v>37</v>
      </c>
      <c r="D122" s="4" t="s">
        <v>225</v>
      </c>
      <c r="E122" s="3" t="s">
        <v>118</v>
      </c>
      <c r="F122" s="5" t="s">
        <v>286</v>
      </c>
      <c r="G122" s="5" t="s">
        <v>111</v>
      </c>
      <c r="H122" s="5" t="s">
        <v>111</v>
      </c>
      <c r="J122" s="5" t="s">
        <v>157</v>
      </c>
      <c r="K122" s="7" t="s">
        <v>114</v>
      </c>
      <c r="L122" s="36">
        <v>4</v>
      </c>
      <c r="N122" s="5" t="s">
        <v>111</v>
      </c>
      <c r="O122" s="5" t="s">
        <v>111</v>
      </c>
      <c r="Q122" s="5">
        <v>2</v>
      </c>
    </row>
    <row r="123" spans="2:17" ht="16" customHeight="1">
      <c r="B123" s="2">
        <v>115</v>
      </c>
      <c r="C123" s="3" t="s">
        <v>26</v>
      </c>
      <c r="D123" s="4" t="s">
        <v>192</v>
      </c>
      <c r="E123" s="3" t="s">
        <v>117</v>
      </c>
      <c r="F123" s="5" t="s">
        <v>286</v>
      </c>
      <c r="G123" s="5" t="s">
        <v>111</v>
      </c>
      <c r="H123" s="5" t="s">
        <v>112</v>
      </c>
      <c r="I123" s="5" t="s">
        <v>331</v>
      </c>
      <c r="J123" s="5"/>
      <c r="K123" s="9"/>
      <c r="L123" s="36">
        <v>2</v>
      </c>
      <c r="Q123" s="5">
        <v>0</v>
      </c>
    </row>
    <row r="124" spans="2:17" ht="18" customHeight="1">
      <c r="B124" s="2">
        <v>116</v>
      </c>
      <c r="C124" s="3" t="s">
        <v>105</v>
      </c>
      <c r="D124" s="4" t="s">
        <v>105</v>
      </c>
      <c r="E124" s="3" t="s">
        <v>117</v>
      </c>
      <c r="F124" s="6" t="s">
        <v>290</v>
      </c>
      <c r="G124" s="5" t="s">
        <v>111</v>
      </c>
      <c r="H124" s="5" t="s">
        <v>111</v>
      </c>
      <c r="J124" s="5" t="s">
        <v>157</v>
      </c>
      <c r="K124" s="9" t="s">
        <v>114</v>
      </c>
      <c r="L124" s="36">
        <v>4</v>
      </c>
      <c r="P124" s="5" t="s">
        <v>111</v>
      </c>
      <c r="Q124" s="5">
        <v>1</v>
      </c>
    </row>
    <row r="125" spans="2:17" ht="20" customHeight="1">
      <c r="B125" s="2">
        <v>117</v>
      </c>
      <c r="C125" s="3" t="s">
        <v>68</v>
      </c>
      <c r="D125" s="4" t="s">
        <v>195</v>
      </c>
      <c r="E125" s="3" t="s">
        <v>117</v>
      </c>
      <c r="F125" s="5" t="s">
        <v>287</v>
      </c>
      <c r="G125" s="5" t="s">
        <v>111</v>
      </c>
      <c r="H125" s="6" t="s">
        <v>112</v>
      </c>
      <c r="I125" s="11" t="s">
        <v>331</v>
      </c>
      <c r="J125" s="5"/>
      <c r="K125" s="9"/>
      <c r="L125" s="36">
        <v>2</v>
      </c>
      <c r="Q125" s="5">
        <v>0</v>
      </c>
    </row>
    <row r="126" spans="2:17">
      <c r="B126" s="2">
        <v>118</v>
      </c>
      <c r="C126" s="3" t="s">
        <v>140</v>
      </c>
      <c r="D126" s="4" t="s">
        <v>201</v>
      </c>
      <c r="E126" s="3" t="s">
        <v>118</v>
      </c>
      <c r="F126" s="5" t="s">
        <v>286</v>
      </c>
      <c r="G126" s="5" t="s">
        <v>111</v>
      </c>
      <c r="H126" s="5"/>
      <c r="I126" s="68" t="s">
        <v>285</v>
      </c>
      <c r="J126" s="5"/>
      <c r="K126" s="7"/>
      <c r="L126" s="36">
        <v>2</v>
      </c>
      <c r="Q126" s="5">
        <v>0</v>
      </c>
    </row>
    <row r="127" spans="2:17">
      <c r="B127" s="2">
        <v>119</v>
      </c>
      <c r="C127" s="3" t="s">
        <v>95</v>
      </c>
      <c r="D127" s="10" t="s">
        <v>270</v>
      </c>
      <c r="E127" s="3" t="s">
        <v>120</v>
      </c>
      <c r="F127" s="6" t="s">
        <v>289</v>
      </c>
      <c r="G127" s="5" t="s">
        <v>111</v>
      </c>
      <c r="H127" s="5" t="s">
        <v>111</v>
      </c>
      <c r="J127" s="5" t="s">
        <v>157</v>
      </c>
      <c r="K127" s="9" t="s">
        <v>113</v>
      </c>
      <c r="L127" s="36">
        <v>4</v>
      </c>
      <c r="O127" s="5" t="s">
        <v>111</v>
      </c>
      <c r="P127" s="5" t="s">
        <v>111</v>
      </c>
      <c r="Q127" s="5">
        <v>2</v>
      </c>
    </row>
    <row r="128" spans="2:17" ht="19" customHeight="1">
      <c r="B128" s="2">
        <v>120</v>
      </c>
      <c r="C128" s="3" t="s">
        <v>69</v>
      </c>
      <c r="D128" s="4" t="s">
        <v>256</v>
      </c>
      <c r="E128" s="3" t="s">
        <v>120</v>
      </c>
      <c r="F128" s="5" t="s">
        <v>287</v>
      </c>
      <c r="G128" s="5" t="s">
        <v>111</v>
      </c>
      <c r="H128" s="5" t="s">
        <v>111</v>
      </c>
      <c r="J128" s="5" t="s">
        <v>157</v>
      </c>
      <c r="K128" s="9" t="s">
        <v>113</v>
      </c>
      <c r="L128" s="36">
        <v>4</v>
      </c>
      <c r="M128" s="5" t="s">
        <v>111</v>
      </c>
      <c r="Q128" s="5">
        <v>1</v>
      </c>
    </row>
    <row r="129" spans="2:17">
      <c r="B129" s="2">
        <v>121</v>
      </c>
      <c r="C129" s="3" t="s">
        <v>63</v>
      </c>
      <c r="D129" s="4" t="s">
        <v>248</v>
      </c>
      <c r="E129" s="3" t="s">
        <v>118</v>
      </c>
      <c r="F129" s="5" t="s">
        <v>38</v>
      </c>
      <c r="G129" s="5" t="s">
        <v>111</v>
      </c>
      <c r="H129" s="5" t="s">
        <v>111</v>
      </c>
      <c r="J129" s="5" t="s">
        <v>157</v>
      </c>
      <c r="K129" s="7" t="s">
        <v>114</v>
      </c>
      <c r="L129" s="36">
        <v>3</v>
      </c>
      <c r="Q129" s="5">
        <v>0</v>
      </c>
    </row>
    <row r="130" spans="2:17">
      <c r="B130" s="2">
        <v>122</v>
      </c>
      <c r="C130" s="3" t="s">
        <v>27</v>
      </c>
      <c r="D130" s="4" t="s">
        <v>226</v>
      </c>
      <c r="E130" s="3" t="s">
        <v>120</v>
      </c>
      <c r="F130" s="5" t="s">
        <v>286</v>
      </c>
      <c r="G130" s="5" t="s">
        <v>111</v>
      </c>
      <c r="H130" s="5" t="s">
        <v>111</v>
      </c>
      <c r="J130" s="5" t="s">
        <v>157</v>
      </c>
      <c r="K130" s="7" t="s">
        <v>113</v>
      </c>
      <c r="L130" s="36">
        <v>4</v>
      </c>
      <c r="O130" s="5" t="s">
        <v>111</v>
      </c>
      <c r="Q130" s="5">
        <v>1</v>
      </c>
    </row>
    <row r="131" spans="2:17">
      <c r="B131" s="2">
        <v>123</v>
      </c>
      <c r="C131" s="3" t="s">
        <v>141</v>
      </c>
      <c r="D131" s="4" t="s">
        <v>141</v>
      </c>
      <c r="E131" s="3" t="s">
        <v>120</v>
      </c>
      <c r="F131" s="5" t="s">
        <v>287</v>
      </c>
      <c r="G131" s="5" t="s">
        <v>112</v>
      </c>
      <c r="H131" s="6" t="s">
        <v>112</v>
      </c>
      <c r="I131" s="6"/>
      <c r="J131" s="5"/>
      <c r="K131" s="9"/>
      <c r="L131" s="36">
        <v>1</v>
      </c>
      <c r="Q131" s="5">
        <v>0</v>
      </c>
    </row>
    <row r="132" spans="2:17">
      <c r="B132" s="2">
        <v>124</v>
      </c>
      <c r="C132" s="3" t="s">
        <v>76</v>
      </c>
      <c r="D132" s="4" t="s">
        <v>202</v>
      </c>
      <c r="E132" s="3" t="s">
        <v>117</v>
      </c>
      <c r="F132" s="5" t="s">
        <v>288</v>
      </c>
      <c r="G132" s="5" t="s">
        <v>111</v>
      </c>
      <c r="H132" s="5"/>
      <c r="I132" s="68" t="s">
        <v>285</v>
      </c>
      <c r="J132" s="5"/>
      <c r="K132" s="7"/>
      <c r="L132" s="36">
        <v>2</v>
      </c>
      <c r="Q132" s="5">
        <v>0</v>
      </c>
    </row>
    <row r="133" spans="2:17">
      <c r="B133" s="2">
        <v>125</v>
      </c>
      <c r="C133" s="3" t="s">
        <v>142</v>
      </c>
      <c r="D133" s="4" t="s">
        <v>196</v>
      </c>
      <c r="E133" s="3" t="s">
        <v>117</v>
      </c>
      <c r="F133" s="5" t="s">
        <v>286</v>
      </c>
      <c r="G133" s="5" t="s">
        <v>111</v>
      </c>
      <c r="H133" s="5" t="s">
        <v>111</v>
      </c>
      <c r="I133" s="11" t="s">
        <v>331</v>
      </c>
      <c r="J133" s="5"/>
      <c r="K133" s="9"/>
      <c r="L133" s="36">
        <v>2</v>
      </c>
      <c r="Q133" s="5">
        <v>0</v>
      </c>
    </row>
    <row r="134" spans="2:17" ht="24" customHeight="1">
      <c r="B134" s="2">
        <v>126</v>
      </c>
      <c r="C134" s="3" t="s">
        <v>96</v>
      </c>
      <c r="D134" s="4" t="s">
        <v>271</v>
      </c>
      <c r="E134" s="3" t="s">
        <v>120</v>
      </c>
      <c r="F134" s="6" t="s">
        <v>289</v>
      </c>
      <c r="G134" s="5" t="s">
        <v>111</v>
      </c>
      <c r="H134" s="5" t="s">
        <v>111</v>
      </c>
      <c r="J134" s="5" t="s">
        <v>157</v>
      </c>
      <c r="K134" s="7" t="s">
        <v>114</v>
      </c>
      <c r="L134" s="36">
        <v>3</v>
      </c>
      <c r="Q134" s="5">
        <v>0</v>
      </c>
    </row>
    <row r="135" spans="2:17">
      <c r="B135" s="2">
        <v>127</v>
      </c>
      <c r="C135" s="3" t="s">
        <v>143</v>
      </c>
      <c r="D135" s="10" t="s">
        <v>272</v>
      </c>
      <c r="E135" s="3" t="s">
        <v>120</v>
      </c>
      <c r="F135" s="6" t="s">
        <v>289</v>
      </c>
      <c r="G135" s="5" t="s">
        <v>111</v>
      </c>
      <c r="H135" s="5" t="s">
        <v>111</v>
      </c>
      <c r="J135" s="5" t="s">
        <v>157</v>
      </c>
      <c r="K135" s="9" t="s">
        <v>113</v>
      </c>
      <c r="L135" s="36">
        <v>3</v>
      </c>
      <c r="Q135" s="5">
        <v>0</v>
      </c>
    </row>
    <row r="136" spans="2:17">
      <c r="B136" s="2">
        <v>128</v>
      </c>
      <c r="C136" s="3" t="s">
        <v>28</v>
      </c>
      <c r="D136" s="4" t="s">
        <v>227</v>
      </c>
      <c r="E136" s="3" t="s">
        <v>117</v>
      </c>
      <c r="F136" s="5" t="s">
        <v>286</v>
      </c>
      <c r="G136" s="5" t="s">
        <v>111</v>
      </c>
      <c r="H136" s="5" t="s">
        <v>111</v>
      </c>
      <c r="J136" s="5" t="s">
        <v>3</v>
      </c>
      <c r="K136" s="7" t="s">
        <v>113</v>
      </c>
      <c r="L136" s="36">
        <v>3</v>
      </c>
      <c r="Q136" s="5">
        <v>0</v>
      </c>
    </row>
    <row r="137" spans="2:17">
      <c r="B137" s="2">
        <v>129</v>
      </c>
      <c r="C137" s="3" t="s">
        <v>106</v>
      </c>
      <c r="D137" s="4" t="s">
        <v>170</v>
      </c>
      <c r="E137" s="3" t="s">
        <v>120</v>
      </c>
      <c r="F137" s="6" t="s">
        <v>290</v>
      </c>
      <c r="G137" s="5" t="s">
        <v>112</v>
      </c>
      <c r="H137" s="5"/>
      <c r="I137" s="6"/>
      <c r="J137" s="5"/>
      <c r="K137" s="9"/>
      <c r="L137" s="36">
        <v>1</v>
      </c>
      <c r="Q137" s="5">
        <v>0</v>
      </c>
    </row>
    <row r="138" spans="2:17" ht="28">
      <c r="B138" s="2">
        <v>130</v>
      </c>
      <c r="C138" s="3" t="s">
        <v>70</v>
      </c>
      <c r="D138" s="4" t="s">
        <v>204</v>
      </c>
      <c r="E138" s="3" t="s">
        <v>120</v>
      </c>
      <c r="F138" s="5" t="s">
        <v>287</v>
      </c>
      <c r="G138" s="5" t="s">
        <v>111</v>
      </c>
      <c r="H138" s="6"/>
      <c r="I138" s="6" t="s">
        <v>283</v>
      </c>
      <c r="J138" s="5"/>
      <c r="K138" s="7"/>
      <c r="L138" s="36">
        <v>2</v>
      </c>
      <c r="Q138" s="5">
        <v>0</v>
      </c>
    </row>
    <row r="139" spans="2:17">
      <c r="B139" s="2">
        <v>131</v>
      </c>
      <c r="C139" s="3" t="s">
        <v>144</v>
      </c>
      <c r="D139" s="4" t="s">
        <v>262</v>
      </c>
      <c r="E139" s="3" t="s">
        <v>118</v>
      </c>
      <c r="F139" s="5" t="s">
        <v>288</v>
      </c>
      <c r="G139" s="5" t="s">
        <v>111</v>
      </c>
      <c r="H139" s="6" t="s">
        <v>111</v>
      </c>
      <c r="I139" s="6"/>
      <c r="J139" s="5" t="s">
        <v>157</v>
      </c>
      <c r="K139" s="7" t="s">
        <v>115</v>
      </c>
      <c r="L139" s="36">
        <v>4</v>
      </c>
      <c r="P139" s="5" t="s">
        <v>111</v>
      </c>
      <c r="Q139" s="5">
        <v>1</v>
      </c>
    </row>
    <row r="140" spans="2:17">
      <c r="B140" s="2">
        <v>132</v>
      </c>
      <c r="C140" s="3" t="s">
        <v>77</v>
      </c>
      <c r="D140" s="8" t="s">
        <v>77</v>
      </c>
      <c r="E140" s="3" t="s">
        <v>120</v>
      </c>
      <c r="F140" s="5" t="s">
        <v>288</v>
      </c>
      <c r="G140" s="5" t="s">
        <v>112</v>
      </c>
      <c r="H140" s="5"/>
      <c r="I140" s="6"/>
      <c r="J140" s="5"/>
      <c r="K140" s="7"/>
      <c r="L140" s="36">
        <v>1</v>
      </c>
      <c r="Q140" s="5">
        <v>0</v>
      </c>
    </row>
    <row r="141" spans="2:17">
      <c r="B141" s="2">
        <v>133</v>
      </c>
      <c r="C141" s="3" t="s">
        <v>145</v>
      </c>
      <c r="D141" s="8" t="s">
        <v>145</v>
      </c>
      <c r="E141" s="3" t="s">
        <v>120</v>
      </c>
      <c r="F141" s="6" t="s">
        <v>290</v>
      </c>
      <c r="G141" s="5" t="s">
        <v>111</v>
      </c>
      <c r="H141" s="5" t="s">
        <v>112</v>
      </c>
      <c r="I141" s="26" t="s">
        <v>284</v>
      </c>
      <c r="J141" s="5"/>
      <c r="K141" s="9"/>
      <c r="L141" s="36">
        <v>2</v>
      </c>
      <c r="Q141" s="5">
        <v>0</v>
      </c>
    </row>
    <row r="142" spans="2:17">
      <c r="B142" s="2">
        <v>134</v>
      </c>
      <c r="C142" s="3" t="s">
        <v>29</v>
      </c>
      <c r="D142" s="4" t="s">
        <v>228</v>
      </c>
      <c r="E142" s="3" t="s">
        <v>117</v>
      </c>
      <c r="F142" s="5" t="s">
        <v>286</v>
      </c>
      <c r="G142" s="5" t="s">
        <v>111</v>
      </c>
      <c r="H142" s="5" t="s">
        <v>111</v>
      </c>
      <c r="J142" s="5"/>
      <c r="K142" s="9"/>
      <c r="L142" s="36">
        <v>3</v>
      </c>
      <c r="Q142" s="5">
        <v>0</v>
      </c>
    </row>
    <row r="143" spans="2:17">
      <c r="B143" s="2">
        <v>135</v>
      </c>
      <c r="C143" s="3" t="s">
        <v>78</v>
      </c>
      <c r="D143" s="8" t="s">
        <v>78</v>
      </c>
      <c r="E143" s="3" t="s">
        <v>120</v>
      </c>
      <c r="F143" s="5" t="s">
        <v>288</v>
      </c>
      <c r="G143" s="5" t="s">
        <v>111</v>
      </c>
      <c r="H143" s="5" t="s">
        <v>112</v>
      </c>
      <c r="I143" s="6"/>
      <c r="J143" s="5"/>
      <c r="K143" s="7"/>
      <c r="L143" s="36">
        <v>2</v>
      </c>
      <c r="Q143" s="5">
        <v>0</v>
      </c>
    </row>
    <row r="144" spans="2:17">
      <c r="B144" s="2">
        <v>136</v>
      </c>
      <c r="C144" s="3" t="s">
        <v>146</v>
      </c>
      <c r="D144" s="4" t="s">
        <v>249</v>
      </c>
      <c r="E144" s="3" t="s">
        <v>118</v>
      </c>
      <c r="F144" s="5" t="s">
        <v>38</v>
      </c>
      <c r="G144" s="5" t="s">
        <v>111</v>
      </c>
      <c r="H144" s="6" t="s">
        <v>111</v>
      </c>
      <c r="I144" s="6"/>
      <c r="J144" s="5" t="s">
        <v>62</v>
      </c>
      <c r="K144" s="7" t="s">
        <v>113</v>
      </c>
      <c r="L144" s="36">
        <v>4</v>
      </c>
      <c r="P144" s="5" t="s">
        <v>111</v>
      </c>
      <c r="Q144" s="5">
        <v>1</v>
      </c>
    </row>
    <row r="145" spans="2:17">
      <c r="B145" s="2">
        <v>137</v>
      </c>
      <c r="C145" s="3" t="s">
        <v>79</v>
      </c>
      <c r="D145" s="4" t="s">
        <v>179</v>
      </c>
      <c r="E145" s="3" t="s">
        <v>120</v>
      </c>
      <c r="F145" s="5" t="s">
        <v>288</v>
      </c>
      <c r="G145" s="5" t="s">
        <v>112</v>
      </c>
      <c r="H145" s="5"/>
      <c r="I145" s="6"/>
      <c r="J145" s="5"/>
      <c r="K145" s="7"/>
      <c r="L145" s="36">
        <v>1</v>
      </c>
      <c r="Q145" s="5">
        <v>0</v>
      </c>
    </row>
    <row r="146" spans="2:17">
      <c r="B146" s="2">
        <v>138</v>
      </c>
      <c r="C146" s="3" t="s">
        <v>107</v>
      </c>
      <c r="D146" s="8" t="s">
        <v>107</v>
      </c>
      <c r="E146" s="3" t="s">
        <v>120</v>
      </c>
      <c r="F146" s="6" t="s">
        <v>290</v>
      </c>
      <c r="G146" s="5" t="s">
        <v>111</v>
      </c>
      <c r="H146" s="5" t="s">
        <v>112</v>
      </c>
      <c r="I146" s="11" t="s">
        <v>331</v>
      </c>
      <c r="J146" s="5"/>
      <c r="K146" s="9"/>
      <c r="L146" s="36">
        <v>2</v>
      </c>
      <c r="Q146" s="5">
        <v>0</v>
      </c>
    </row>
    <row r="147" spans="2:17">
      <c r="B147" s="2">
        <v>139</v>
      </c>
      <c r="C147" s="3" t="s">
        <v>147</v>
      </c>
      <c r="D147" s="4" t="s">
        <v>183</v>
      </c>
      <c r="E147" s="3" t="s">
        <v>118</v>
      </c>
      <c r="F147" s="5" t="s">
        <v>38</v>
      </c>
      <c r="G147" s="5" t="s">
        <v>111</v>
      </c>
      <c r="H147" s="6" t="s">
        <v>112</v>
      </c>
      <c r="I147" s="11" t="s">
        <v>331</v>
      </c>
      <c r="J147" s="5"/>
      <c r="K147" s="7"/>
      <c r="L147" s="36">
        <v>2</v>
      </c>
      <c r="Q147" s="5">
        <v>0</v>
      </c>
    </row>
    <row r="148" spans="2:17">
      <c r="B148" s="2">
        <v>140</v>
      </c>
      <c r="C148" s="3" t="s">
        <v>108</v>
      </c>
      <c r="D148" s="10" t="s">
        <v>279</v>
      </c>
      <c r="E148" s="3" t="s">
        <v>120</v>
      </c>
      <c r="F148" s="6" t="s">
        <v>290</v>
      </c>
      <c r="G148" s="5" t="s">
        <v>111</v>
      </c>
      <c r="H148" s="5" t="s">
        <v>111</v>
      </c>
      <c r="J148" s="5" t="s">
        <v>157</v>
      </c>
      <c r="K148" s="9" t="s">
        <v>113</v>
      </c>
      <c r="L148" s="36">
        <v>4</v>
      </c>
      <c r="O148" s="5" t="s">
        <v>111</v>
      </c>
      <c r="P148" s="5" t="s">
        <v>111</v>
      </c>
      <c r="Q148" s="5">
        <v>2</v>
      </c>
    </row>
    <row r="149" spans="2:17">
      <c r="B149" s="2">
        <v>141</v>
      </c>
      <c r="C149" s="3" t="s">
        <v>148</v>
      </c>
      <c r="D149" s="3" t="s">
        <v>148</v>
      </c>
      <c r="E149" s="3" t="s">
        <v>120</v>
      </c>
      <c r="F149" s="69" t="s">
        <v>330</v>
      </c>
      <c r="G149" s="5"/>
      <c r="H149" s="6"/>
      <c r="I149" s="6"/>
      <c r="J149" s="5"/>
      <c r="K149" s="7"/>
      <c r="L149" s="36">
        <v>0</v>
      </c>
      <c r="Q149" s="5">
        <v>0</v>
      </c>
    </row>
    <row r="150" spans="2:17">
      <c r="B150" s="2">
        <v>142</v>
      </c>
      <c r="C150" s="3" t="s">
        <v>149</v>
      </c>
      <c r="D150" s="4" t="s">
        <v>180</v>
      </c>
      <c r="E150" s="3" t="s">
        <v>120</v>
      </c>
      <c r="F150" s="5" t="s">
        <v>287</v>
      </c>
      <c r="G150" s="5" t="s">
        <v>112</v>
      </c>
      <c r="H150" s="6"/>
      <c r="I150" s="6"/>
      <c r="J150" s="5"/>
      <c r="K150" s="7"/>
      <c r="L150" s="36">
        <v>1</v>
      </c>
      <c r="Q150" s="5">
        <v>0</v>
      </c>
    </row>
    <row r="151" spans="2:17">
      <c r="B151" s="2">
        <v>143</v>
      </c>
      <c r="C151" s="3" t="s">
        <v>30</v>
      </c>
      <c r="D151" s="4" t="s">
        <v>229</v>
      </c>
      <c r="E151" s="3" t="s">
        <v>117</v>
      </c>
      <c r="F151" s="5" t="s">
        <v>286</v>
      </c>
      <c r="G151" s="5" t="s">
        <v>111</v>
      </c>
      <c r="H151" s="5" t="s">
        <v>111</v>
      </c>
      <c r="J151" s="5" t="s">
        <v>157</v>
      </c>
      <c r="K151" s="7" t="s">
        <v>114</v>
      </c>
      <c r="L151" s="36">
        <v>3</v>
      </c>
      <c r="Q151" s="5">
        <v>0</v>
      </c>
    </row>
    <row r="152" spans="2:17" ht="15" thickBot="1">
      <c r="B152" s="2">
        <v>144</v>
      </c>
      <c r="C152" s="12" t="s">
        <v>31</v>
      </c>
      <c r="D152" s="12" t="s">
        <v>194</v>
      </c>
      <c r="E152" s="12" t="s">
        <v>117</v>
      </c>
      <c r="F152" s="14" t="s">
        <v>286</v>
      </c>
      <c r="G152" s="14" t="s">
        <v>111</v>
      </c>
      <c r="H152" s="14" t="s">
        <v>112</v>
      </c>
      <c r="I152" s="14" t="s">
        <v>331</v>
      </c>
      <c r="J152" s="14"/>
      <c r="K152" s="23"/>
      <c r="L152" s="37">
        <v>2</v>
      </c>
      <c r="M152" s="14"/>
      <c r="N152" s="14"/>
      <c r="O152" s="14"/>
      <c r="P152" s="14"/>
      <c r="Q152" s="14">
        <v>0</v>
      </c>
    </row>
    <row r="154" spans="2:17">
      <c r="C154" s="70" t="s">
        <v>338</v>
      </c>
      <c r="M154" s="40"/>
      <c r="N154" s="40"/>
      <c r="O154" s="40"/>
      <c r="P154" s="40"/>
    </row>
    <row r="155" spans="2:17">
      <c r="C155" s="70" t="s">
        <v>339</v>
      </c>
    </row>
    <row r="156" spans="2:17">
      <c r="C156" s="70" t="s">
        <v>340</v>
      </c>
    </row>
  </sheetData>
  <sortState ref="B2:Q145">
    <sortCondition ref="C145"/>
  </sortState>
  <mergeCells count="1">
    <mergeCell ref="M7:Q7"/>
  </mergeCells>
  <phoneticPr fontId="4" type="noConversion"/>
  <pageMargins left="0.70000000000000007" right="0.70000000000000007" top="0.75000000000000011" bottom="0.75000000000000011" header="0.30000000000000004" footer="0.30000000000000004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5"/>
  <sheetViews>
    <sheetView workbookViewId="0"/>
  </sheetViews>
  <sheetFormatPr baseColWidth="10" defaultColWidth="8.83203125" defaultRowHeight="14" x14ac:dyDescent="0"/>
  <cols>
    <col min="1" max="1" width="8.83203125" style="2"/>
    <col min="2" max="2" width="6.1640625" style="2" customWidth="1"/>
    <col min="3" max="4" width="16.6640625" style="2" customWidth="1"/>
    <col min="5" max="5" width="20.5" style="2" customWidth="1"/>
    <col min="6" max="7" width="23" style="2" customWidth="1"/>
    <col min="8" max="8" width="14.6640625" style="2" customWidth="1"/>
    <col min="9" max="9" width="32.83203125" style="2" bestFit="1" customWidth="1"/>
    <col min="10" max="10" width="9" style="2" bestFit="1" customWidth="1"/>
    <col min="11" max="11" width="11" style="5" bestFit="1" customWidth="1"/>
    <col min="12" max="12" width="20.6640625" style="5" customWidth="1"/>
    <col min="13" max="16" width="9.1640625" style="5" customWidth="1"/>
    <col min="17" max="17" width="23.5" style="2" customWidth="1"/>
    <col min="18" max="16384" width="8.83203125" style="2"/>
  </cols>
  <sheetData>
    <row r="1" spans="2:17" ht="23">
      <c r="C1" s="46" t="s">
        <v>335</v>
      </c>
    </row>
    <row r="2" spans="2:17" ht="15">
      <c r="C2" s="45" t="s">
        <v>336</v>
      </c>
    </row>
    <row r="4" spans="2:17" ht="15">
      <c r="C4" s="47" t="s">
        <v>334</v>
      </c>
    </row>
    <row r="5" spans="2:17" ht="18">
      <c r="C5" s="57" t="s">
        <v>311</v>
      </c>
    </row>
    <row r="6" spans="2:17" ht="15" thickBot="1">
      <c r="C6" s="41"/>
      <c r="D6" s="41"/>
      <c r="E6" s="41"/>
      <c r="F6" s="41"/>
      <c r="G6" s="41"/>
      <c r="H6" s="41"/>
      <c r="I6" s="41"/>
      <c r="J6" s="41"/>
      <c r="K6" s="14"/>
      <c r="L6" s="14"/>
      <c r="M6" s="14"/>
      <c r="N6" s="14"/>
      <c r="O6" s="14"/>
      <c r="P6" s="14"/>
      <c r="Q6" s="41"/>
    </row>
    <row r="7" spans="2:17" ht="29" thickBot="1">
      <c r="B7" s="40"/>
      <c r="C7" s="18" t="s">
        <v>292</v>
      </c>
      <c r="D7" s="18" t="s">
        <v>293</v>
      </c>
      <c r="E7" s="18" t="s">
        <v>291</v>
      </c>
      <c r="F7" s="19" t="s">
        <v>150</v>
      </c>
      <c r="G7" s="19" t="s">
        <v>155</v>
      </c>
      <c r="H7" s="19" t="s">
        <v>296</v>
      </c>
      <c r="I7" s="19" t="s">
        <v>295</v>
      </c>
      <c r="J7" s="19" t="s">
        <v>294</v>
      </c>
      <c r="K7" s="40" t="s">
        <v>297</v>
      </c>
      <c r="L7" s="40" t="s">
        <v>298</v>
      </c>
      <c r="M7" s="72" t="s">
        <v>333</v>
      </c>
      <c r="N7" s="72"/>
      <c r="O7" s="72"/>
      <c r="P7" s="72"/>
      <c r="Q7" s="72"/>
    </row>
    <row r="8" spans="2:17" s="18" customFormat="1" ht="42" customHeight="1" thickBot="1">
      <c r="M8" s="1" t="s">
        <v>299</v>
      </c>
      <c r="N8" s="1" t="s">
        <v>300</v>
      </c>
      <c r="O8" s="1" t="s">
        <v>151</v>
      </c>
      <c r="P8" s="1" t="s">
        <v>152</v>
      </c>
      <c r="Q8" s="17" t="s">
        <v>301</v>
      </c>
    </row>
    <row r="9" spans="2:17">
      <c r="B9" s="2">
        <v>1</v>
      </c>
      <c r="C9" s="27" t="s">
        <v>32</v>
      </c>
      <c r="D9" s="27" t="s">
        <v>163</v>
      </c>
      <c r="E9" s="27" t="s">
        <v>118</v>
      </c>
      <c r="F9" s="28" t="s">
        <v>286</v>
      </c>
      <c r="G9" s="28" t="s">
        <v>112</v>
      </c>
      <c r="H9" s="29"/>
      <c r="I9" s="29"/>
      <c r="J9" s="28"/>
      <c r="K9" s="30"/>
      <c r="L9" s="42">
        <v>1</v>
      </c>
      <c r="M9" s="28"/>
      <c r="N9" s="28"/>
      <c r="O9" s="28"/>
      <c r="P9" s="28"/>
      <c r="Q9" s="5">
        <f>COUNTIF(M9:P9,"yes")</f>
        <v>0</v>
      </c>
    </row>
    <row r="10" spans="2:17">
      <c r="B10" s="2">
        <v>2</v>
      </c>
      <c r="C10" s="3" t="s">
        <v>0</v>
      </c>
      <c r="D10" s="3" t="s">
        <v>205</v>
      </c>
      <c r="E10" s="3" t="s">
        <v>120</v>
      </c>
      <c r="F10" s="5" t="s">
        <v>286</v>
      </c>
      <c r="G10" s="5" t="s">
        <v>111</v>
      </c>
      <c r="H10" s="5" t="s">
        <v>111</v>
      </c>
      <c r="I10" s="5"/>
      <c r="J10" s="5" t="s">
        <v>1</v>
      </c>
      <c r="K10" s="7" t="s">
        <v>113</v>
      </c>
      <c r="L10" s="36">
        <v>4</v>
      </c>
      <c r="O10" s="5" t="s">
        <v>111</v>
      </c>
      <c r="Q10" s="5">
        <f t="shared" ref="Q10:Q53" si="0">COUNTIF(M10:P10,"yes")</f>
        <v>1</v>
      </c>
    </row>
    <row r="11" spans="2:17">
      <c r="B11" s="2">
        <v>3</v>
      </c>
      <c r="C11" s="3" t="s">
        <v>2</v>
      </c>
      <c r="D11" s="3" t="s">
        <v>206</v>
      </c>
      <c r="E11" s="3" t="s">
        <v>117</v>
      </c>
      <c r="F11" s="5" t="s">
        <v>286</v>
      </c>
      <c r="G11" s="5" t="s">
        <v>111</v>
      </c>
      <c r="H11" s="5" t="s">
        <v>111</v>
      </c>
      <c r="I11" s="5"/>
      <c r="J11" s="5" t="s">
        <v>3</v>
      </c>
      <c r="K11" s="7" t="s">
        <v>113</v>
      </c>
      <c r="L11" s="36">
        <v>3</v>
      </c>
      <c r="Q11" s="5">
        <f t="shared" si="0"/>
        <v>0</v>
      </c>
    </row>
    <row r="12" spans="2:17">
      <c r="B12" s="2">
        <v>4</v>
      </c>
      <c r="C12" s="3" t="s">
        <v>33</v>
      </c>
      <c r="D12" s="3" t="s">
        <v>207</v>
      </c>
      <c r="E12" s="3" t="s">
        <v>118</v>
      </c>
      <c r="F12" s="5" t="s">
        <v>286</v>
      </c>
      <c r="G12" s="5" t="s">
        <v>111</v>
      </c>
      <c r="H12" s="6" t="s">
        <v>111</v>
      </c>
      <c r="I12" s="6"/>
      <c r="J12" s="5" t="s">
        <v>157</v>
      </c>
      <c r="K12" s="7" t="s">
        <v>113</v>
      </c>
      <c r="L12" s="36">
        <v>3</v>
      </c>
      <c r="Q12" s="5">
        <f t="shared" si="0"/>
        <v>0</v>
      </c>
    </row>
    <row r="13" spans="2:17">
      <c r="B13" s="2">
        <v>5</v>
      </c>
      <c r="C13" s="3" t="s">
        <v>4</v>
      </c>
      <c r="D13" s="3" t="s">
        <v>4</v>
      </c>
      <c r="E13" s="3" t="s">
        <v>117</v>
      </c>
      <c r="F13" s="5" t="s">
        <v>286</v>
      </c>
      <c r="G13" s="5" t="s">
        <v>111</v>
      </c>
      <c r="H13" s="5" t="s">
        <v>111</v>
      </c>
      <c r="I13" s="5"/>
      <c r="J13" s="5" t="s">
        <v>3</v>
      </c>
      <c r="K13" s="7" t="s">
        <v>113</v>
      </c>
      <c r="L13" s="36">
        <v>3</v>
      </c>
      <c r="Q13" s="5">
        <f t="shared" si="0"/>
        <v>0</v>
      </c>
    </row>
    <row r="14" spans="2:17">
      <c r="B14" s="2">
        <v>6</v>
      </c>
      <c r="C14" s="3" t="s">
        <v>5</v>
      </c>
      <c r="D14" s="3" t="s">
        <v>187</v>
      </c>
      <c r="E14" s="3" t="s">
        <v>117</v>
      </c>
      <c r="F14" s="5" t="s">
        <v>286</v>
      </c>
      <c r="G14" s="5" t="s">
        <v>111</v>
      </c>
      <c r="H14" s="5" t="s">
        <v>112</v>
      </c>
      <c r="I14" s="5" t="s">
        <v>156</v>
      </c>
      <c r="J14" s="5"/>
      <c r="L14" s="36">
        <v>2</v>
      </c>
      <c r="Q14" s="5">
        <f t="shared" si="0"/>
        <v>0</v>
      </c>
    </row>
    <row r="15" spans="2:17" ht="23" customHeight="1">
      <c r="B15" s="2">
        <v>7</v>
      </c>
      <c r="C15" s="3" t="s">
        <v>6</v>
      </c>
      <c r="D15" s="3" t="s">
        <v>203</v>
      </c>
      <c r="E15" s="3" t="s">
        <v>120</v>
      </c>
      <c r="F15" s="5" t="s">
        <v>286</v>
      </c>
      <c r="G15" s="5" t="s">
        <v>111</v>
      </c>
      <c r="H15" s="5" t="s">
        <v>112</v>
      </c>
      <c r="I15" s="6" t="s">
        <v>283</v>
      </c>
      <c r="J15" s="5"/>
      <c r="K15" s="7"/>
      <c r="L15" s="36">
        <v>2</v>
      </c>
      <c r="Q15" s="5">
        <f t="shared" si="0"/>
        <v>0</v>
      </c>
    </row>
    <row r="16" spans="2:17">
      <c r="B16" s="2">
        <v>8</v>
      </c>
      <c r="C16" s="3" t="s">
        <v>7</v>
      </c>
      <c r="D16" s="3" t="s">
        <v>208</v>
      </c>
      <c r="E16" s="3" t="s">
        <v>120</v>
      </c>
      <c r="F16" s="5" t="s">
        <v>286</v>
      </c>
      <c r="G16" s="5" t="s">
        <v>111</v>
      </c>
      <c r="H16" s="5" t="s">
        <v>111</v>
      </c>
      <c r="I16" s="5"/>
      <c r="J16" s="5" t="s">
        <v>1</v>
      </c>
      <c r="K16" s="7" t="s">
        <v>114</v>
      </c>
      <c r="L16" s="36">
        <v>3</v>
      </c>
      <c r="Q16" s="5">
        <f t="shared" si="0"/>
        <v>0</v>
      </c>
    </row>
    <row r="17" spans="2:17">
      <c r="B17" s="2">
        <v>9</v>
      </c>
      <c r="C17" s="3" t="s">
        <v>8</v>
      </c>
      <c r="D17" s="3" t="s">
        <v>8</v>
      </c>
      <c r="E17" s="3" t="s">
        <v>117</v>
      </c>
      <c r="F17" s="5" t="s">
        <v>286</v>
      </c>
      <c r="G17" s="5" t="s">
        <v>111</v>
      </c>
      <c r="H17" s="5" t="s">
        <v>112</v>
      </c>
      <c r="I17" s="6" t="s">
        <v>283</v>
      </c>
      <c r="J17" s="5"/>
      <c r="K17" s="7"/>
      <c r="L17" s="36">
        <v>2</v>
      </c>
      <c r="Q17" s="5">
        <f t="shared" si="0"/>
        <v>0</v>
      </c>
    </row>
    <row r="18" spans="2:17">
      <c r="B18" s="2">
        <v>10</v>
      </c>
      <c r="C18" s="3" t="s">
        <v>9</v>
      </c>
      <c r="D18" s="3" t="s">
        <v>199</v>
      </c>
      <c r="E18" s="3" t="s">
        <v>117</v>
      </c>
      <c r="F18" s="5" t="s">
        <v>286</v>
      </c>
      <c r="G18" s="5" t="s">
        <v>111</v>
      </c>
      <c r="H18" s="5" t="s">
        <v>112</v>
      </c>
      <c r="I18" s="31" t="s">
        <v>285</v>
      </c>
      <c r="J18" s="5"/>
      <c r="K18" s="7"/>
      <c r="L18" s="36">
        <v>2</v>
      </c>
      <c r="Q18" s="5">
        <f t="shared" si="0"/>
        <v>0</v>
      </c>
    </row>
    <row r="19" spans="2:17">
      <c r="B19" s="2">
        <v>11</v>
      </c>
      <c r="C19" s="3" t="s">
        <v>10</v>
      </c>
      <c r="D19" s="3" t="s">
        <v>182</v>
      </c>
      <c r="E19" s="3" t="s">
        <v>117</v>
      </c>
      <c r="F19" s="5" t="s">
        <v>286</v>
      </c>
      <c r="G19" s="5" t="s">
        <v>112</v>
      </c>
      <c r="H19" s="5"/>
      <c r="I19" s="6"/>
      <c r="J19" s="5"/>
      <c r="K19" s="7"/>
      <c r="L19" s="36">
        <v>1</v>
      </c>
      <c r="Q19" s="5">
        <f t="shared" si="0"/>
        <v>0</v>
      </c>
    </row>
    <row r="20" spans="2:17">
      <c r="B20" s="2">
        <v>12</v>
      </c>
      <c r="C20" s="3" t="s">
        <v>280</v>
      </c>
      <c r="D20" s="3" t="s">
        <v>200</v>
      </c>
      <c r="E20" s="3" t="s">
        <v>120</v>
      </c>
      <c r="F20" s="5" t="s">
        <v>286</v>
      </c>
      <c r="G20" s="5" t="s">
        <v>111</v>
      </c>
      <c r="H20" s="5" t="s">
        <v>112</v>
      </c>
      <c r="I20" s="31" t="s">
        <v>285</v>
      </c>
      <c r="J20" s="5"/>
      <c r="K20" s="7"/>
      <c r="L20" s="36">
        <v>2</v>
      </c>
      <c r="Q20" s="5">
        <f t="shared" si="0"/>
        <v>0</v>
      </c>
    </row>
    <row r="21" spans="2:17">
      <c r="B21" s="2">
        <v>13</v>
      </c>
      <c r="C21" s="3" t="s">
        <v>123</v>
      </c>
      <c r="D21" s="3" t="s">
        <v>197</v>
      </c>
      <c r="E21" s="3" t="s">
        <v>117</v>
      </c>
      <c r="F21" s="5" t="s">
        <v>286</v>
      </c>
      <c r="G21" s="5" t="s">
        <v>111</v>
      </c>
      <c r="H21" s="5" t="s">
        <v>112</v>
      </c>
      <c r="I21" s="3" t="s">
        <v>284</v>
      </c>
      <c r="J21" s="5"/>
      <c r="K21" s="7"/>
      <c r="L21" s="36">
        <v>2</v>
      </c>
      <c r="Q21" s="5">
        <f t="shared" si="0"/>
        <v>0</v>
      </c>
    </row>
    <row r="22" spans="2:17">
      <c r="B22" s="2">
        <v>14</v>
      </c>
      <c r="C22" s="3" t="s">
        <v>124</v>
      </c>
      <c r="D22" s="3" t="s">
        <v>209</v>
      </c>
      <c r="E22" s="3" t="s">
        <v>120</v>
      </c>
      <c r="F22" s="5" t="s">
        <v>286</v>
      </c>
      <c r="G22" s="5" t="s">
        <v>111</v>
      </c>
      <c r="H22" s="5" t="s">
        <v>111</v>
      </c>
      <c r="I22" s="5"/>
      <c r="J22" s="5" t="s">
        <v>3</v>
      </c>
      <c r="K22" s="7" t="s">
        <v>113</v>
      </c>
      <c r="L22" s="36">
        <v>3</v>
      </c>
      <c r="Q22" s="5">
        <f t="shared" si="0"/>
        <v>0</v>
      </c>
    </row>
    <row r="23" spans="2:17">
      <c r="B23" s="2">
        <v>15</v>
      </c>
      <c r="C23" s="3" t="s">
        <v>11</v>
      </c>
      <c r="D23" s="31" t="s">
        <v>11</v>
      </c>
      <c r="E23" s="3" t="s">
        <v>117</v>
      </c>
      <c r="F23" s="5" t="s">
        <v>286</v>
      </c>
      <c r="G23" s="5" t="s">
        <v>111</v>
      </c>
      <c r="H23" s="5" t="s">
        <v>112</v>
      </c>
      <c r="I23" s="5" t="s">
        <v>156</v>
      </c>
      <c r="J23" s="5"/>
      <c r="K23" s="9"/>
      <c r="L23" s="36">
        <v>2</v>
      </c>
      <c r="Q23" s="5">
        <f t="shared" si="0"/>
        <v>0</v>
      </c>
    </row>
    <row r="24" spans="2:17">
      <c r="B24" s="2">
        <v>16</v>
      </c>
      <c r="C24" s="3" t="s">
        <v>12</v>
      </c>
      <c r="D24" s="3" t="s">
        <v>210</v>
      </c>
      <c r="E24" s="3" t="s">
        <v>117</v>
      </c>
      <c r="F24" s="5" t="s">
        <v>286</v>
      </c>
      <c r="G24" s="5" t="s">
        <v>111</v>
      </c>
      <c r="H24" s="5" t="s">
        <v>111</v>
      </c>
      <c r="I24" s="5"/>
      <c r="J24" s="5" t="s">
        <v>157</v>
      </c>
      <c r="K24" s="7" t="s">
        <v>113</v>
      </c>
      <c r="L24" s="36">
        <v>4</v>
      </c>
      <c r="M24" s="5" t="s">
        <v>111</v>
      </c>
      <c r="Q24" s="5">
        <f t="shared" si="0"/>
        <v>1</v>
      </c>
    </row>
    <row r="25" spans="2:17">
      <c r="B25" s="2">
        <v>17</v>
      </c>
      <c r="C25" s="3" t="s">
        <v>34</v>
      </c>
      <c r="D25" s="3" t="s">
        <v>169</v>
      </c>
      <c r="E25" s="3" t="s">
        <v>118</v>
      </c>
      <c r="F25" s="5" t="s">
        <v>286</v>
      </c>
      <c r="G25" s="5" t="s">
        <v>112</v>
      </c>
      <c r="H25" s="6"/>
      <c r="I25" s="6"/>
      <c r="J25" s="5"/>
      <c r="K25" s="7"/>
      <c r="L25" s="36">
        <v>1</v>
      </c>
      <c r="Q25" s="5">
        <f t="shared" si="0"/>
        <v>0</v>
      </c>
    </row>
    <row r="26" spans="2:17">
      <c r="B26" s="2">
        <v>18</v>
      </c>
      <c r="C26" s="3" t="s">
        <v>281</v>
      </c>
      <c r="D26" s="3" t="s">
        <v>193</v>
      </c>
      <c r="E26" s="3" t="s">
        <v>117</v>
      </c>
      <c r="F26" s="5" t="s">
        <v>286</v>
      </c>
      <c r="G26" s="5" t="s">
        <v>111</v>
      </c>
      <c r="H26" s="5" t="s">
        <v>112</v>
      </c>
      <c r="I26" s="5" t="s">
        <v>156</v>
      </c>
      <c r="J26" s="5"/>
      <c r="K26" s="7"/>
      <c r="L26" s="36">
        <v>2</v>
      </c>
      <c r="Q26" s="5">
        <f t="shared" si="0"/>
        <v>0</v>
      </c>
    </row>
    <row r="27" spans="2:17" ht="13" customHeight="1">
      <c r="B27" s="2">
        <v>19</v>
      </c>
      <c r="C27" s="3" t="s">
        <v>13</v>
      </c>
      <c r="D27" s="3" t="s">
        <v>211</v>
      </c>
      <c r="E27" s="3" t="s">
        <v>117</v>
      </c>
      <c r="F27" s="5" t="s">
        <v>286</v>
      </c>
      <c r="G27" s="5" t="s">
        <v>111</v>
      </c>
      <c r="H27" s="5" t="s">
        <v>111</v>
      </c>
      <c r="I27" s="5"/>
      <c r="J27" s="5" t="s">
        <v>157</v>
      </c>
      <c r="K27" s="7" t="s">
        <v>113</v>
      </c>
      <c r="L27" s="36">
        <v>4</v>
      </c>
      <c r="O27" s="5" t="s">
        <v>111</v>
      </c>
      <c r="P27" s="5" t="s">
        <v>111</v>
      </c>
      <c r="Q27" s="5">
        <f t="shared" si="0"/>
        <v>2</v>
      </c>
    </row>
    <row r="28" spans="2:17">
      <c r="B28" s="2">
        <v>20</v>
      </c>
      <c r="C28" s="3" t="s">
        <v>127</v>
      </c>
      <c r="D28" s="3" t="s">
        <v>212</v>
      </c>
      <c r="E28" s="3" t="s">
        <v>117</v>
      </c>
      <c r="F28" s="5" t="s">
        <v>286</v>
      </c>
      <c r="G28" s="5" t="s">
        <v>111</v>
      </c>
      <c r="H28" s="5" t="s">
        <v>111</v>
      </c>
      <c r="I28" s="5"/>
      <c r="J28" s="5" t="s">
        <v>3</v>
      </c>
      <c r="K28" s="7" t="s">
        <v>113</v>
      </c>
      <c r="L28" s="36">
        <v>3</v>
      </c>
      <c r="Q28" s="5">
        <f t="shared" si="0"/>
        <v>0</v>
      </c>
    </row>
    <row r="29" spans="2:17">
      <c r="B29" s="2">
        <v>21</v>
      </c>
      <c r="C29" s="3" t="s">
        <v>14</v>
      </c>
      <c r="D29" s="22" t="s">
        <v>213</v>
      </c>
      <c r="E29" s="3" t="s">
        <v>117</v>
      </c>
      <c r="F29" s="5" t="s">
        <v>286</v>
      </c>
      <c r="G29" s="5" t="s">
        <v>111</v>
      </c>
      <c r="H29" s="5" t="s">
        <v>111</v>
      </c>
      <c r="I29" s="6"/>
      <c r="J29" s="5" t="s">
        <v>1</v>
      </c>
      <c r="K29" s="7" t="s">
        <v>113</v>
      </c>
      <c r="L29" s="36">
        <v>4</v>
      </c>
      <c r="O29" s="5" t="s">
        <v>111</v>
      </c>
      <c r="Q29" s="5">
        <f t="shared" si="0"/>
        <v>1</v>
      </c>
    </row>
    <row r="30" spans="2:17">
      <c r="B30" s="2">
        <v>22</v>
      </c>
      <c r="C30" s="3" t="s">
        <v>15</v>
      </c>
      <c r="D30" s="3" t="s">
        <v>214</v>
      </c>
      <c r="E30" s="3" t="s">
        <v>117</v>
      </c>
      <c r="F30" s="5" t="s">
        <v>286</v>
      </c>
      <c r="G30" s="5" t="s">
        <v>111</v>
      </c>
      <c r="H30" s="5" t="s">
        <v>111</v>
      </c>
      <c r="I30" s="5"/>
      <c r="J30" s="5" t="s">
        <v>157</v>
      </c>
      <c r="K30" s="9" t="s">
        <v>113</v>
      </c>
      <c r="L30" s="36">
        <v>4</v>
      </c>
      <c r="P30" s="5" t="s">
        <v>111</v>
      </c>
      <c r="Q30" s="5">
        <f t="shared" si="0"/>
        <v>1</v>
      </c>
    </row>
    <row r="31" spans="2:17">
      <c r="B31" s="2">
        <v>23</v>
      </c>
      <c r="C31" s="3" t="s">
        <v>16</v>
      </c>
      <c r="D31" s="3" t="s">
        <v>184</v>
      </c>
      <c r="E31" s="3" t="s">
        <v>120</v>
      </c>
      <c r="F31" s="5" t="s">
        <v>286</v>
      </c>
      <c r="G31" s="5" t="s">
        <v>111</v>
      </c>
      <c r="H31" s="5" t="s">
        <v>112</v>
      </c>
      <c r="I31" s="5" t="s">
        <v>156</v>
      </c>
      <c r="J31" s="5"/>
      <c r="K31" s="7"/>
      <c r="L31" s="36">
        <v>2</v>
      </c>
      <c r="Q31" s="5">
        <f t="shared" si="0"/>
        <v>0</v>
      </c>
    </row>
    <row r="32" spans="2:17">
      <c r="B32" s="2">
        <v>24</v>
      </c>
      <c r="C32" s="3" t="s">
        <v>17</v>
      </c>
      <c r="D32" s="3" t="s">
        <v>215</v>
      </c>
      <c r="E32" s="3" t="s">
        <v>117</v>
      </c>
      <c r="F32" s="5" t="s">
        <v>286</v>
      </c>
      <c r="G32" s="5" t="s">
        <v>111</v>
      </c>
      <c r="H32" s="5" t="s">
        <v>111</v>
      </c>
      <c r="I32" s="5"/>
      <c r="J32" s="5" t="s">
        <v>157</v>
      </c>
      <c r="K32" s="7" t="s">
        <v>113</v>
      </c>
      <c r="L32" s="36">
        <v>4</v>
      </c>
      <c r="O32" s="5" t="s">
        <v>111</v>
      </c>
      <c r="Q32" s="5">
        <f t="shared" si="0"/>
        <v>1</v>
      </c>
    </row>
    <row r="33" spans="2:17">
      <c r="B33" s="2">
        <v>25</v>
      </c>
      <c r="C33" s="3" t="s">
        <v>18</v>
      </c>
      <c r="D33" s="3" t="s">
        <v>216</v>
      </c>
      <c r="E33" s="3" t="s">
        <v>117</v>
      </c>
      <c r="F33" s="5" t="s">
        <v>286</v>
      </c>
      <c r="G33" s="5" t="s">
        <v>111</v>
      </c>
      <c r="H33" s="5" t="s">
        <v>111</v>
      </c>
      <c r="I33" s="5"/>
      <c r="J33" s="5" t="s">
        <v>3</v>
      </c>
      <c r="K33" s="7" t="s">
        <v>113</v>
      </c>
      <c r="L33" s="36">
        <v>4</v>
      </c>
      <c r="O33" s="5" t="s">
        <v>111</v>
      </c>
      <c r="P33" s="5" t="s">
        <v>111</v>
      </c>
      <c r="Q33" s="5">
        <f t="shared" si="0"/>
        <v>2</v>
      </c>
    </row>
    <row r="34" spans="2:17">
      <c r="B34" s="2">
        <v>26</v>
      </c>
      <c r="C34" s="3" t="s">
        <v>19</v>
      </c>
      <c r="D34" s="3" t="s">
        <v>217</v>
      </c>
      <c r="E34" s="3" t="s">
        <v>117</v>
      </c>
      <c r="F34" s="5" t="s">
        <v>286</v>
      </c>
      <c r="G34" s="5" t="s">
        <v>111</v>
      </c>
      <c r="H34" s="5" t="s">
        <v>111</v>
      </c>
      <c r="I34" s="5"/>
      <c r="J34" s="5" t="s">
        <v>157</v>
      </c>
      <c r="K34" s="7" t="s">
        <v>113</v>
      </c>
      <c r="L34" s="36">
        <v>4</v>
      </c>
      <c r="O34" s="5" t="s">
        <v>111</v>
      </c>
      <c r="Q34" s="5">
        <f t="shared" si="0"/>
        <v>1</v>
      </c>
    </row>
    <row r="35" spans="2:17">
      <c r="B35" s="2">
        <v>27</v>
      </c>
      <c r="C35" s="3" t="s">
        <v>20</v>
      </c>
      <c r="D35" s="3" t="s">
        <v>218</v>
      </c>
      <c r="E35" s="3" t="s">
        <v>117</v>
      </c>
      <c r="F35" s="5" t="s">
        <v>286</v>
      </c>
      <c r="G35" s="5" t="s">
        <v>111</v>
      </c>
      <c r="H35" s="5" t="s">
        <v>111</v>
      </c>
      <c r="I35" s="5"/>
      <c r="J35" s="5" t="s">
        <v>3</v>
      </c>
      <c r="K35" s="7" t="s">
        <v>113</v>
      </c>
      <c r="L35" s="36">
        <v>4</v>
      </c>
      <c r="O35" s="5" t="s">
        <v>111</v>
      </c>
      <c r="Q35" s="5">
        <f t="shared" si="0"/>
        <v>1</v>
      </c>
    </row>
    <row r="36" spans="2:17">
      <c r="B36" s="2">
        <v>28</v>
      </c>
      <c r="C36" s="3" t="s">
        <v>21</v>
      </c>
      <c r="D36" s="22" t="s">
        <v>219</v>
      </c>
      <c r="E36" s="3" t="s">
        <v>117</v>
      </c>
      <c r="F36" s="5" t="s">
        <v>286</v>
      </c>
      <c r="G36" s="5" t="s">
        <v>111</v>
      </c>
      <c r="H36" s="5" t="s">
        <v>111</v>
      </c>
      <c r="I36" s="5"/>
      <c r="J36" s="5" t="s">
        <v>3</v>
      </c>
      <c r="K36" s="7" t="s">
        <v>113</v>
      </c>
      <c r="L36" s="36">
        <v>3</v>
      </c>
      <c r="Q36" s="5">
        <f t="shared" si="0"/>
        <v>0</v>
      </c>
    </row>
    <row r="37" spans="2:17">
      <c r="B37" s="2">
        <v>29</v>
      </c>
      <c r="C37" s="3" t="s">
        <v>35</v>
      </c>
      <c r="D37" s="3" t="s">
        <v>220</v>
      </c>
      <c r="E37" s="3" t="s">
        <v>118</v>
      </c>
      <c r="F37" s="5" t="s">
        <v>286</v>
      </c>
      <c r="G37" s="5" t="s">
        <v>111</v>
      </c>
      <c r="H37" s="5" t="s">
        <v>111</v>
      </c>
      <c r="I37" s="5"/>
      <c r="J37" s="5" t="s">
        <v>157</v>
      </c>
      <c r="K37" s="7" t="s">
        <v>113</v>
      </c>
      <c r="L37" s="36">
        <v>4</v>
      </c>
      <c r="M37" s="5" t="s">
        <v>111</v>
      </c>
      <c r="N37" s="5" t="s">
        <v>111</v>
      </c>
      <c r="O37" s="5" t="s">
        <v>111</v>
      </c>
      <c r="P37" s="5" t="s">
        <v>111</v>
      </c>
      <c r="Q37" s="5">
        <f t="shared" si="0"/>
        <v>4</v>
      </c>
    </row>
    <row r="38" spans="2:17">
      <c r="B38" s="2">
        <v>30</v>
      </c>
      <c r="C38" s="3" t="s">
        <v>22</v>
      </c>
      <c r="D38" s="3" t="s">
        <v>221</v>
      </c>
      <c r="E38" s="3" t="s">
        <v>117</v>
      </c>
      <c r="F38" s="5" t="s">
        <v>286</v>
      </c>
      <c r="G38" s="5" t="s">
        <v>111</v>
      </c>
      <c r="H38" s="5" t="s">
        <v>111</v>
      </c>
      <c r="I38" s="5"/>
      <c r="J38" s="5" t="s">
        <v>1</v>
      </c>
      <c r="K38" s="7" t="s">
        <v>113</v>
      </c>
      <c r="L38" s="36">
        <v>3</v>
      </c>
      <c r="Q38" s="5">
        <f t="shared" si="0"/>
        <v>0</v>
      </c>
    </row>
    <row r="39" spans="2:17">
      <c r="B39" s="2">
        <v>31</v>
      </c>
      <c r="C39" s="3" t="s">
        <v>36</v>
      </c>
      <c r="D39" s="3" t="s">
        <v>191</v>
      </c>
      <c r="E39" s="3" t="s">
        <v>118</v>
      </c>
      <c r="F39" s="5" t="s">
        <v>286</v>
      </c>
      <c r="G39" s="5" t="s">
        <v>111</v>
      </c>
      <c r="H39" s="6" t="s">
        <v>112</v>
      </c>
      <c r="I39" s="5" t="s">
        <v>156</v>
      </c>
      <c r="J39" s="5"/>
      <c r="K39" s="7"/>
      <c r="L39" s="36">
        <v>2</v>
      </c>
      <c r="Q39" s="5">
        <f t="shared" si="0"/>
        <v>0</v>
      </c>
    </row>
    <row r="40" spans="2:17" ht="17" customHeight="1">
      <c r="B40" s="2">
        <v>32</v>
      </c>
      <c r="C40" s="3" t="s">
        <v>282</v>
      </c>
      <c r="D40" s="3" t="s">
        <v>222</v>
      </c>
      <c r="E40" s="3" t="s">
        <v>117</v>
      </c>
      <c r="F40" s="5" t="s">
        <v>286</v>
      </c>
      <c r="G40" s="5" t="s">
        <v>111</v>
      </c>
      <c r="H40" s="5" t="s">
        <v>111</v>
      </c>
      <c r="I40" s="5"/>
      <c r="J40" s="5" t="s">
        <v>3</v>
      </c>
      <c r="K40" s="7" t="s">
        <v>113</v>
      </c>
      <c r="L40" s="36">
        <v>4</v>
      </c>
      <c r="P40" s="5" t="s">
        <v>111</v>
      </c>
      <c r="Q40" s="5">
        <f t="shared" si="0"/>
        <v>1</v>
      </c>
    </row>
    <row r="41" spans="2:17">
      <c r="B41" s="2">
        <v>33</v>
      </c>
      <c r="C41" s="3" t="s">
        <v>23</v>
      </c>
      <c r="D41" s="3" t="s">
        <v>223</v>
      </c>
      <c r="E41" s="3" t="s">
        <v>120</v>
      </c>
      <c r="F41" s="5" t="s">
        <v>286</v>
      </c>
      <c r="G41" s="5" t="s">
        <v>111</v>
      </c>
      <c r="H41" s="5" t="s">
        <v>111</v>
      </c>
      <c r="I41" s="5"/>
      <c r="J41" s="5" t="s">
        <v>157</v>
      </c>
      <c r="K41" s="7" t="s">
        <v>113</v>
      </c>
      <c r="L41" s="36">
        <v>3</v>
      </c>
      <c r="Q41" s="5">
        <f t="shared" si="0"/>
        <v>0</v>
      </c>
    </row>
    <row r="42" spans="2:17">
      <c r="B42" s="2">
        <v>34</v>
      </c>
      <c r="C42" s="3" t="s">
        <v>24</v>
      </c>
      <c r="D42" s="3" t="s">
        <v>224</v>
      </c>
      <c r="E42" s="3" t="s">
        <v>117</v>
      </c>
      <c r="F42" s="5" t="s">
        <v>286</v>
      </c>
      <c r="G42" s="5" t="s">
        <v>111</v>
      </c>
      <c r="H42" s="5" t="s">
        <v>111</v>
      </c>
      <c r="I42" s="5"/>
      <c r="J42" s="5" t="s">
        <v>157</v>
      </c>
      <c r="K42" s="7" t="s">
        <v>113</v>
      </c>
      <c r="L42" s="36">
        <v>4</v>
      </c>
      <c r="O42" s="5" t="s">
        <v>111</v>
      </c>
      <c r="Q42" s="5">
        <f t="shared" si="0"/>
        <v>1</v>
      </c>
    </row>
    <row r="43" spans="2:17">
      <c r="B43" s="2">
        <v>35</v>
      </c>
      <c r="C43" s="3" t="s">
        <v>139</v>
      </c>
      <c r="D43" s="3" t="s">
        <v>167</v>
      </c>
      <c r="E43" s="3" t="s">
        <v>120</v>
      </c>
      <c r="F43" s="5" t="s">
        <v>286</v>
      </c>
      <c r="G43" s="5" t="s">
        <v>112</v>
      </c>
      <c r="H43" s="5"/>
      <c r="I43" s="6"/>
      <c r="J43" s="5"/>
      <c r="K43" s="7"/>
      <c r="L43" s="36">
        <v>1</v>
      </c>
      <c r="Q43" s="5">
        <f t="shared" si="0"/>
        <v>0</v>
      </c>
    </row>
    <row r="44" spans="2:17">
      <c r="B44" s="2">
        <v>36</v>
      </c>
      <c r="C44" s="3" t="s">
        <v>25</v>
      </c>
      <c r="D44" s="3" t="s">
        <v>198</v>
      </c>
      <c r="E44" s="3" t="s">
        <v>120</v>
      </c>
      <c r="F44" s="5" t="s">
        <v>286</v>
      </c>
      <c r="G44" s="5" t="s">
        <v>111</v>
      </c>
      <c r="H44" s="5" t="s">
        <v>112</v>
      </c>
      <c r="I44" s="3" t="s">
        <v>284</v>
      </c>
      <c r="J44" s="5"/>
      <c r="K44" s="9"/>
      <c r="L44" s="36">
        <v>2</v>
      </c>
      <c r="Q44" s="5">
        <f t="shared" si="0"/>
        <v>0</v>
      </c>
    </row>
    <row r="45" spans="2:17">
      <c r="B45" s="2">
        <v>37</v>
      </c>
      <c r="C45" s="3" t="s">
        <v>37</v>
      </c>
      <c r="D45" s="3" t="s">
        <v>225</v>
      </c>
      <c r="E45" s="3" t="s">
        <v>118</v>
      </c>
      <c r="F45" s="5" t="s">
        <v>286</v>
      </c>
      <c r="G45" s="5" t="s">
        <v>111</v>
      </c>
      <c r="H45" s="5" t="s">
        <v>111</v>
      </c>
      <c r="I45" s="5"/>
      <c r="J45" s="5" t="s">
        <v>157</v>
      </c>
      <c r="K45" s="7" t="s">
        <v>114</v>
      </c>
      <c r="L45" s="36">
        <v>4</v>
      </c>
      <c r="N45" s="5" t="s">
        <v>111</v>
      </c>
      <c r="O45" s="5" t="s">
        <v>111</v>
      </c>
      <c r="Q45" s="5">
        <f t="shared" si="0"/>
        <v>2</v>
      </c>
    </row>
    <row r="46" spans="2:17">
      <c r="B46" s="2">
        <v>38</v>
      </c>
      <c r="C46" s="3" t="s">
        <v>26</v>
      </c>
      <c r="D46" s="3" t="s">
        <v>192</v>
      </c>
      <c r="E46" s="3" t="s">
        <v>117</v>
      </c>
      <c r="F46" s="5" t="s">
        <v>286</v>
      </c>
      <c r="G46" s="5" t="s">
        <v>111</v>
      </c>
      <c r="H46" s="5" t="s">
        <v>112</v>
      </c>
      <c r="I46" s="5" t="s">
        <v>156</v>
      </c>
      <c r="J46" s="5"/>
      <c r="K46" s="9"/>
      <c r="L46" s="36">
        <v>2</v>
      </c>
      <c r="Q46" s="5">
        <f t="shared" si="0"/>
        <v>0</v>
      </c>
    </row>
    <row r="47" spans="2:17">
      <c r="B47" s="2">
        <v>39</v>
      </c>
      <c r="C47" s="3" t="s">
        <v>140</v>
      </c>
      <c r="D47" s="3" t="s">
        <v>201</v>
      </c>
      <c r="E47" s="3" t="s">
        <v>118</v>
      </c>
      <c r="F47" s="5" t="s">
        <v>286</v>
      </c>
      <c r="G47" s="5" t="s">
        <v>111</v>
      </c>
      <c r="H47" s="5" t="s">
        <v>112</v>
      </c>
      <c r="I47" s="31" t="s">
        <v>285</v>
      </c>
      <c r="J47" s="5"/>
      <c r="K47" s="7"/>
      <c r="L47" s="36">
        <v>2</v>
      </c>
      <c r="Q47" s="5">
        <f t="shared" si="0"/>
        <v>0</v>
      </c>
    </row>
    <row r="48" spans="2:17">
      <c r="B48" s="2">
        <v>40</v>
      </c>
      <c r="C48" s="3" t="s">
        <v>27</v>
      </c>
      <c r="D48" s="3" t="s">
        <v>226</v>
      </c>
      <c r="E48" s="3" t="s">
        <v>120</v>
      </c>
      <c r="F48" s="5" t="s">
        <v>286</v>
      </c>
      <c r="G48" s="5" t="s">
        <v>111</v>
      </c>
      <c r="H48" s="5" t="s">
        <v>111</v>
      </c>
      <c r="I48" s="5"/>
      <c r="J48" s="5" t="s">
        <v>157</v>
      </c>
      <c r="K48" s="7" t="s">
        <v>113</v>
      </c>
      <c r="L48" s="36">
        <v>4</v>
      </c>
      <c r="O48" s="5" t="s">
        <v>111</v>
      </c>
      <c r="Q48" s="5">
        <f t="shared" si="0"/>
        <v>1</v>
      </c>
    </row>
    <row r="49" spans="2:17">
      <c r="B49" s="2">
        <v>41</v>
      </c>
      <c r="C49" s="3" t="s">
        <v>142</v>
      </c>
      <c r="D49" s="3" t="s">
        <v>196</v>
      </c>
      <c r="E49" s="3" t="s">
        <v>117</v>
      </c>
      <c r="F49" s="5" t="s">
        <v>286</v>
      </c>
      <c r="G49" s="5" t="s">
        <v>111</v>
      </c>
      <c r="H49" s="5" t="s">
        <v>112</v>
      </c>
      <c r="I49" s="5" t="s">
        <v>156</v>
      </c>
      <c r="J49" s="5"/>
      <c r="K49" s="9"/>
      <c r="L49" s="36">
        <v>2</v>
      </c>
      <c r="Q49" s="5">
        <f t="shared" si="0"/>
        <v>0</v>
      </c>
    </row>
    <row r="50" spans="2:17">
      <c r="B50" s="2">
        <v>42</v>
      </c>
      <c r="C50" s="3" t="s">
        <v>28</v>
      </c>
      <c r="D50" s="3" t="s">
        <v>227</v>
      </c>
      <c r="E50" s="3" t="s">
        <v>117</v>
      </c>
      <c r="F50" s="5" t="s">
        <v>286</v>
      </c>
      <c r="G50" s="5" t="s">
        <v>111</v>
      </c>
      <c r="H50" s="5" t="s">
        <v>111</v>
      </c>
      <c r="I50" s="5"/>
      <c r="J50" s="5" t="s">
        <v>3</v>
      </c>
      <c r="K50" s="7" t="s">
        <v>113</v>
      </c>
      <c r="L50" s="36">
        <v>3</v>
      </c>
      <c r="Q50" s="5">
        <f t="shared" si="0"/>
        <v>0</v>
      </c>
    </row>
    <row r="51" spans="2:17">
      <c r="B51" s="2">
        <v>43</v>
      </c>
      <c r="C51" s="3" t="s">
        <v>29</v>
      </c>
      <c r="D51" s="3" t="s">
        <v>228</v>
      </c>
      <c r="E51" s="3" t="s">
        <v>117</v>
      </c>
      <c r="F51" s="5" t="s">
        <v>286</v>
      </c>
      <c r="G51" s="5" t="s">
        <v>111</v>
      </c>
      <c r="H51" s="5" t="s">
        <v>111</v>
      </c>
      <c r="I51" s="5"/>
      <c r="J51" s="5"/>
      <c r="K51" s="9"/>
      <c r="L51" s="36">
        <v>3</v>
      </c>
      <c r="Q51" s="5">
        <f t="shared" si="0"/>
        <v>0</v>
      </c>
    </row>
    <row r="52" spans="2:17">
      <c r="B52" s="2">
        <v>44</v>
      </c>
      <c r="C52" s="3" t="s">
        <v>30</v>
      </c>
      <c r="D52" s="3" t="s">
        <v>229</v>
      </c>
      <c r="E52" s="3" t="s">
        <v>117</v>
      </c>
      <c r="F52" s="5" t="s">
        <v>286</v>
      </c>
      <c r="G52" s="5" t="s">
        <v>111</v>
      </c>
      <c r="H52" s="5" t="s">
        <v>111</v>
      </c>
      <c r="I52" s="5"/>
      <c r="J52" s="5" t="s">
        <v>157</v>
      </c>
      <c r="K52" s="7" t="s">
        <v>114</v>
      </c>
      <c r="L52" s="36">
        <v>3</v>
      </c>
      <c r="Q52" s="5">
        <f t="shared" si="0"/>
        <v>0</v>
      </c>
    </row>
    <row r="53" spans="2:17" ht="15" thickBot="1">
      <c r="B53" s="2">
        <v>45</v>
      </c>
      <c r="C53" s="12" t="s">
        <v>31</v>
      </c>
      <c r="D53" s="12" t="s">
        <v>194</v>
      </c>
      <c r="E53" s="12" t="s">
        <v>117</v>
      </c>
      <c r="F53" s="14" t="s">
        <v>286</v>
      </c>
      <c r="G53" s="14" t="s">
        <v>111</v>
      </c>
      <c r="H53" s="14" t="s">
        <v>112</v>
      </c>
      <c r="I53" s="14" t="s">
        <v>156</v>
      </c>
      <c r="J53" s="14"/>
      <c r="K53" s="23"/>
      <c r="L53" s="37">
        <v>2</v>
      </c>
      <c r="M53" s="14"/>
      <c r="N53" s="14"/>
      <c r="O53" s="14"/>
      <c r="P53" s="14"/>
      <c r="Q53" s="14">
        <f t="shared" si="0"/>
        <v>0</v>
      </c>
    </row>
    <row r="55" spans="2:17">
      <c r="M55" s="40"/>
      <c r="N55" s="40"/>
      <c r="O55" s="40"/>
      <c r="P55" s="40"/>
    </row>
  </sheetData>
  <sortState ref="B2:Q46">
    <sortCondition ref="C2"/>
  </sortState>
  <mergeCells count="1">
    <mergeCell ref="M7:Q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"/>
  <sheetViews>
    <sheetView workbookViewId="0"/>
  </sheetViews>
  <sheetFormatPr baseColWidth="10" defaultColWidth="8.83203125" defaultRowHeight="14" x14ac:dyDescent="0"/>
  <cols>
    <col min="1" max="1" width="8.83203125" style="2"/>
    <col min="2" max="2" width="5.1640625" style="2" customWidth="1"/>
    <col min="3" max="4" width="16.6640625" style="2" customWidth="1"/>
    <col min="5" max="5" width="20.5" style="2" customWidth="1"/>
    <col min="6" max="7" width="23" style="2" customWidth="1"/>
    <col min="8" max="8" width="14.6640625" style="2" customWidth="1"/>
    <col min="9" max="9" width="30" style="2" customWidth="1"/>
    <col min="10" max="10" width="19" style="2" customWidth="1"/>
    <col min="11" max="11" width="18.5" style="5" customWidth="1"/>
    <col min="12" max="12" width="20.6640625" style="5" customWidth="1"/>
    <col min="13" max="16" width="9.1640625" style="5" customWidth="1"/>
    <col min="17" max="17" width="22.83203125" style="2" customWidth="1"/>
    <col min="18" max="16384" width="8.83203125" style="2"/>
  </cols>
  <sheetData>
    <row r="1" spans="2:17" ht="23">
      <c r="C1" s="46" t="s">
        <v>335</v>
      </c>
    </row>
    <row r="2" spans="2:17" ht="15">
      <c r="C2" s="45" t="s">
        <v>336</v>
      </c>
    </row>
    <row r="4" spans="2:17" ht="15">
      <c r="C4" s="47" t="s">
        <v>334</v>
      </c>
    </row>
    <row r="5" spans="2:17" ht="18">
      <c r="C5" s="57" t="s">
        <v>306</v>
      </c>
    </row>
    <row r="6" spans="2:17" ht="15" thickBot="1">
      <c r="C6" s="41"/>
      <c r="D6" s="41"/>
      <c r="E6" s="41"/>
      <c r="F6" s="41"/>
      <c r="G6" s="41"/>
      <c r="H6" s="41"/>
      <c r="I6" s="41"/>
      <c r="J6" s="41"/>
      <c r="K6" s="14"/>
      <c r="L6" s="14"/>
      <c r="M6" s="14"/>
      <c r="N6" s="14"/>
      <c r="O6" s="14"/>
      <c r="P6" s="14"/>
      <c r="Q6" s="41"/>
    </row>
    <row r="7" spans="2:17" ht="29" thickBot="1">
      <c r="B7" s="40"/>
      <c r="C7" s="18" t="s">
        <v>292</v>
      </c>
      <c r="D7" s="18" t="s">
        <v>293</v>
      </c>
      <c r="E7" s="18" t="s">
        <v>291</v>
      </c>
      <c r="F7" s="19" t="s">
        <v>150</v>
      </c>
      <c r="G7" s="19" t="s">
        <v>155</v>
      </c>
      <c r="H7" s="19" t="s">
        <v>296</v>
      </c>
      <c r="I7" s="19" t="s">
        <v>295</v>
      </c>
      <c r="J7" s="19" t="s">
        <v>294</v>
      </c>
      <c r="K7" s="40" t="s">
        <v>297</v>
      </c>
      <c r="L7" s="40" t="s">
        <v>298</v>
      </c>
      <c r="M7" s="72" t="s">
        <v>333</v>
      </c>
      <c r="N7" s="72"/>
      <c r="O7" s="72"/>
      <c r="P7" s="72"/>
      <c r="Q7" s="72"/>
    </row>
    <row r="8" spans="2:17" s="18" customFormat="1" ht="42" customHeight="1" thickBot="1">
      <c r="M8" s="1" t="s">
        <v>299</v>
      </c>
      <c r="N8" s="1" t="s">
        <v>300</v>
      </c>
      <c r="O8" s="1" t="s">
        <v>151</v>
      </c>
      <c r="P8" s="1" t="s">
        <v>152</v>
      </c>
      <c r="Q8" s="48" t="s">
        <v>301</v>
      </c>
    </row>
    <row r="9" spans="2:17">
      <c r="B9" s="2">
        <v>1</v>
      </c>
      <c r="C9" s="27" t="s">
        <v>116</v>
      </c>
      <c r="D9" s="32" t="s">
        <v>250</v>
      </c>
      <c r="E9" s="27" t="s">
        <v>117</v>
      </c>
      <c r="F9" s="28" t="s">
        <v>287</v>
      </c>
      <c r="G9" s="28" t="s">
        <v>111</v>
      </c>
      <c r="H9" s="28" t="s">
        <v>111</v>
      </c>
      <c r="I9" s="28"/>
      <c r="J9" s="28" t="s">
        <v>157</v>
      </c>
      <c r="K9" s="33" t="s">
        <v>113</v>
      </c>
      <c r="L9" s="42">
        <v>3</v>
      </c>
      <c r="M9" s="28"/>
      <c r="N9" s="28"/>
      <c r="O9" s="28"/>
      <c r="P9" s="28"/>
      <c r="Q9" s="5">
        <f>COUNTIF(M9:P9,"yes")</f>
        <v>0</v>
      </c>
    </row>
    <row r="10" spans="2:17">
      <c r="B10" s="2">
        <v>2</v>
      </c>
      <c r="C10" s="3" t="s">
        <v>125</v>
      </c>
      <c r="D10" s="3" t="s">
        <v>251</v>
      </c>
      <c r="E10" s="3" t="s">
        <v>120</v>
      </c>
      <c r="F10" s="5" t="s">
        <v>287</v>
      </c>
      <c r="G10" s="5" t="s">
        <v>111</v>
      </c>
      <c r="H10" s="6" t="s">
        <v>111</v>
      </c>
      <c r="I10" s="6"/>
      <c r="J10" s="5" t="s">
        <v>3</v>
      </c>
      <c r="K10" s="7" t="s">
        <v>113</v>
      </c>
      <c r="L10" s="36">
        <v>4</v>
      </c>
      <c r="M10" s="5" t="s">
        <v>111</v>
      </c>
      <c r="O10" s="5" t="s">
        <v>111</v>
      </c>
      <c r="P10" s="5" t="s">
        <v>111</v>
      </c>
      <c r="Q10" s="5">
        <f t="shared" ref="Q10:Q23" si="0">COUNTIF(M10:P10,"yes")</f>
        <v>3</v>
      </c>
    </row>
    <row r="11" spans="2:17">
      <c r="B11" s="2">
        <v>3</v>
      </c>
      <c r="C11" s="3" t="s">
        <v>126</v>
      </c>
      <c r="D11" s="3" t="s">
        <v>164</v>
      </c>
      <c r="E11" s="3" t="s">
        <v>120</v>
      </c>
      <c r="F11" s="5" t="s">
        <v>287</v>
      </c>
      <c r="G11" s="5" t="s">
        <v>112</v>
      </c>
      <c r="H11" s="6"/>
      <c r="I11" s="6"/>
      <c r="J11" s="5"/>
      <c r="K11" s="7"/>
      <c r="L11" s="36">
        <v>1</v>
      </c>
      <c r="Q11" s="5">
        <f t="shared" si="0"/>
        <v>0</v>
      </c>
    </row>
    <row r="12" spans="2:17">
      <c r="B12" s="2">
        <v>4</v>
      </c>
      <c r="C12" s="3" t="s">
        <v>128</v>
      </c>
      <c r="D12" s="3" t="s">
        <v>252</v>
      </c>
      <c r="E12" s="3" t="s">
        <v>118</v>
      </c>
      <c r="F12" s="5" t="s">
        <v>287</v>
      </c>
      <c r="G12" s="5" t="s">
        <v>111</v>
      </c>
      <c r="H12" s="6" t="s">
        <v>111</v>
      </c>
      <c r="I12" s="6"/>
      <c r="J12" s="5" t="s">
        <v>154</v>
      </c>
      <c r="K12" s="7" t="s">
        <v>113</v>
      </c>
      <c r="L12" s="36">
        <v>4</v>
      </c>
      <c r="M12" s="5" t="s">
        <v>111</v>
      </c>
      <c r="N12" s="5" t="s">
        <v>111</v>
      </c>
      <c r="O12" s="5" t="s">
        <v>111</v>
      </c>
      <c r="P12" s="5" t="s">
        <v>111</v>
      </c>
      <c r="Q12" s="5">
        <f t="shared" si="0"/>
        <v>4</v>
      </c>
    </row>
    <row r="13" spans="2:17">
      <c r="B13" s="2">
        <v>5</v>
      </c>
      <c r="C13" s="3" t="s">
        <v>64</v>
      </c>
      <c r="D13" s="3" t="s">
        <v>174</v>
      </c>
      <c r="E13" s="3" t="s">
        <v>120</v>
      </c>
      <c r="F13" s="5" t="s">
        <v>287</v>
      </c>
      <c r="G13" s="5" t="s">
        <v>112</v>
      </c>
      <c r="H13" s="6"/>
      <c r="I13" s="6"/>
      <c r="J13" s="5"/>
      <c r="K13" s="7"/>
      <c r="L13" s="36">
        <v>1</v>
      </c>
      <c r="Q13" s="5">
        <f t="shared" si="0"/>
        <v>0</v>
      </c>
    </row>
    <row r="14" spans="2:17">
      <c r="B14" s="2">
        <v>6</v>
      </c>
      <c r="C14" s="3" t="s">
        <v>65</v>
      </c>
      <c r="D14" s="22" t="s">
        <v>253</v>
      </c>
      <c r="E14" s="3" t="s">
        <v>120</v>
      </c>
      <c r="F14" s="5" t="s">
        <v>287</v>
      </c>
      <c r="G14" s="5" t="s">
        <v>111</v>
      </c>
      <c r="H14" s="6" t="s">
        <v>111</v>
      </c>
      <c r="I14" s="6"/>
      <c r="J14" s="5" t="s">
        <v>157</v>
      </c>
      <c r="K14" s="7" t="s">
        <v>113</v>
      </c>
      <c r="L14" s="36">
        <v>4</v>
      </c>
      <c r="M14" s="5" t="s">
        <v>111</v>
      </c>
      <c r="N14" s="5" t="s">
        <v>111</v>
      </c>
      <c r="O14" s="5" t="s">
        <v>111</v>
      </c>
      <c r="P14" s="5" t="s">
        <v>111</v>
      </c>
      <c r="Q14" s="5">
        <f t="shared" si="0"/>
        <v>4</v>
      </c>
    </row>
    <row r="15" spans="2:17">
      <c r="B15" s="2">
        <v>7</v>
      </c>
      <c r="C15" s="3" t="s">
        <v>71</v>
      </c>
      <c r="D15" s="3" t="s">
        <v>171</v>
      </c>
      <c r="E15" s="3" t="s">
        <v>118</v>
      </c>
      <c r="F15" s="5" t="s">
        <v>287</v>
      </c>
      <c r="G15" s="5" t="s">
        <v>112</v>
      </c>
      <c r="H15" s="6"/>
      <c r="I15" s="6"/>
      <c r="J15" s="5"/>
      <c r="K15" s="7"/>
      <c r="L15" s="36">
        <v>1</v>
      </c>
      <c r="Q15" s="5">
        <f t="shared" si="0"/>
        <v>0</v>
      </c>
    </row>
    <row r="16" spans="2:17">
      <c r="B16" s="2">
        <v>8</v>
      </c>
      <c r="C16" s="3" t="s">
        <v>132</v>
      </c>
      <c r="D16" s="3" t="s">
        <v>132</v>
      </c>
      <c r="E16" s="3" t="s">
        <v>118</v>
      </c>
      <c r="F16" s="5" t="s">
        <v>287</v>
      </c>
      <c r="G16" s="5" t="s">
        <v>112</v>
      </c>
      <c r="H16" s="6"/>
      <c r="I16" s="6"/>
      <c r="J16" s="5"/>
      <c r="K16" s="7"/>
      <c r="L16" s="36">
        <v>1</v>
      </c>
      <c r="Q16" s="5">
        <f t="shared" si="0"/>
        <v>0</v>
      </c>
    </row>
    <row r="17" spans="2:17">
      <c r="B17" s="2">
        <v>9</v>
      </c>
      <c r="C17" s="3" t="s">
        <v>66</v>
      </c>
      <c r="D17" s="3" t="s">
        <v>254</v>
      </c>
      <c r="E17" s="3" t="s">
        <v>120</v>
      </c>
      <c r="F17" s="5" t="s">
        <v>287</v>
      </c>
      <c r="G17" s="5" t="s">
        <v>111</v>
      </c>
      <c r="H17" s="6" t="s">
        <v>111</v>
      </c>
      <c r="I17" s="6"/>
      <c r="J17" s="5" t="s">
        <v>3</v>
      </c>
      <c r="K17" s="7" t="s">
        <v>113</v>
      </c>
      <c r="L17" s="36">
        <v>4</v>
      </c>
      <c r="P17" s="5" t="s">
        <v>111</v>
      </c>
      <c r="Q17" s="5">
        <f t="shared" si="0"/>
        <v>1</v>
      </c>
    </row>
    <row r="18" spans="2:17">
      <c r="B18" s="2">
        <v>10</v>
      </c>
      <c r="C18" s="3" t="s">
        <v>67</v>
      </c>
      <c r="D18" s="22" t="s">
        <v>255</v>
      </c>
      <c r="E18" s="3" t="s">
        <v>120</v>
      </c>
      <c r="F18" s="5" t="s">
        <v>287</v>
      </c>
      <c r="G18" s="5" t="s">
        <v>111</v>
      </c>
      <c r="H18" s="5" t="s">
        <v>111</v>
      </c>
      <c r="I18" s="5"/>
      <c r="J18" s="5" t="s">
        <v>157</v>
      </c>
      <c r="K18" s="9" t="s">
        <v>113</v>
      </c>
      <c r="L18" s="36">
        <v>4</v>
      </c>
      <c r="N18" s="5" t="s">
        <v>111</v>
      </c>
      <c r="Q18" s="5">
        <f t="shared" si="0"/>
        <v>1</v>
      </c>
    </row>
    <row r="19" spans="2:17">
      <c r="B19" s="2">
        <v>11</v>
      </c>
      <c r="C19" s="3" t="s">
        <v>68</v>
      </c>
      <c r="D19" s="3" t="s">
        <v>195</v>
      </c>
      <c r="E19" s="3" t="s">
        <v>117</v>
      </c>
      <c r="F19" s="5" t="s">
        <v>287</v>
      </c>
      <c r="G19" s="5" t="s">
        <v>111</v>
      </c>
      <c r="H19" s="6" t="s">
        <v>112</v>
      </c>
      <c r="I19" s="5" t="s">
        <v>156</v>
      </c>
      <c r="J19" s="5"/>
      <c r="K19" s="9"/>
      <c r="L19" s="36">
        <v>2</v>
      </c>
      <c r="Q19" s="5">
        <f t="shared" si="0"/>
        <v>0</v>
      </c>
    </row>
    <row r="20" spans="2:17">
      <c r="B20" s="2">
        <v>12</v>
      </c>
      <c r="C20" s="3" t="s">
        <v>69</v>
      </c>
      <c r="D20" s="3" t="s">
        <v>256</v>
      </c>
      <c r="E20" s="3" t="s">
        <v>120</v>
      </c>
      <c r="F20" s="5" t="s">
        <v>287</v>
      </c>
      <c r="G20" s="5" t="s">
        <v>111</v>
      </c>
      <c r="H20" s="5" t="s">
        <v>111</v>
      </c>
      <c r="I20" s="5"/>
      <c r="J20" s="5" t="s">
        <v>157</v>
      </c>
      <c r="K20" s="9" t="s">
        <v>113</v>
      </c>
      <c r="L20" s="36">
        <v>4</v>
      </c>
      <c r="M20" s="5" t="s">
        <v>111</v>
      </c>
      <c r="Q20" s="5">
        <f t="shared" si="0"/>
        <v>1</v>
      </c>
    </row>
    <row r="21" spans="2:17">
      <c r="B21" s="2">
        <v>13</v>
      </c>
      <c r="C21" s="3" t="s">
        <v>141</v>
      </c>
      <c r="D21" s="3" t="s">
        <v>141</v>
      </c>
      <c r="E21" s="3" t="s">
        <v>120</v>
      </c>
      <c r="F21" s="5" t="s">
        <v>287</v>
      </c>
      <c r="G21" s="5" t="s">
        <v>112</v>
      </c>
      <c r="H21" s="6"/>
      <c r="I21" s="6"/>
      <c r="J21" s="5"/>
      <c r="K21" s="9"/>
      <c r="L21" s="36">
        <v>1</v>
      </c>
      <c r="Q21" s="5">
        <f t="shared" si="0"/>
        <v>0</v>
      </c>
    </row>
    <row r="22" spans="2:17" ht="28">
      <c r="B22" s="2">
        <v>14</v>
      </c>
      <c r="C22" s="3" t="s">
        <v>70</v>
      </c>
      <c r="D22" s="3" t="s">
        <v>204</v>
      </c>
      <c r="E22" s="3" t="s">
        <v>120</v>
      </c>
      <c r="F22" s="5" t="s">
        <v>287</v>
      </c>
      <c r="G22" s="5" t="s">
        <v>111</v>
      </c>
      <c r="H22" s="6" t="s">
        <v>112</v>
      </c>
      <c r="I22" s="6" t="s">
        <v>283</v>
      </c>
      <c r="J22" s="5"/>
      <c r="K22" s="7"/>
      <c r="L22" s="36">
        <v>2</v>
      </c>
      <c r="Q22" s="5">
        <f t="shared" si="0"/>
        <v>0</v>
      </c>
    </row>
    <row r="23" spans="2:17" ht="15" thickBot="1">
      <c r="B23" s="2">
        <v>15</v>
      </c>
      <c r="C23" s="12" t="s">
        <v>149</v>
      </c>
      <c r="D23" s="12" t="s">
        <v>180</v>
      </c>
      <c r="E23" s="12" t="s">
        <v>120</v>
      </c>
      <c r="F23" s="14" t="s">
        <v>287</v>
      </c>
      <c r="G23" s="14" t="s">
        <v>112</v>
      </c>
      <c r="H23" s="13"/>
      <c r="I23" s="13"/>
      <c r="J23" s="14"/>
      <c r="K23" s="23"/>
      <c r="L23" s="37">
        <v>1</v>
      </c>
      <c r="M23" s="14"/>
      <c r="N23" s="14"/>
      <c r="O23" s="14"/>
      <c r="P23" s="14"/>
      <c r="Q23" s="14">
        <f t="shared" si="0"/>
        <v>0</v>
      </c>
    </row>
  </sheetData>
  <sortState ref="B2:Q16">
    <sortCondition ref="C2"/>
  </sortState>
  <mergeCells count="1">
    <mergeCell ref="M7:Q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9"/>
  <sheetViews>
    <sheetView workbookViewId="0"/>
  </sheetViews>
  <sheetFormatPr baseColWidth="10" defaultColWidth="8.83203125" defaultRowHeight="14" x14ac:dyDescent="0"/>
  <cols>
    <col min="1" max="1" width="8.83203125" style="2"/>
    <col min="2" max="2" width="5.1640625" style="2" customWidth="1"/>
    <col min="3" max="4" width="16.6640625" style="2" customWidth="1"/>
    <col min="5" max="5" width="20.5" style="2" customWidth="1"/>
    <col min="6" max="7" width="23" style="2" customWidth="1"/>
    <col min="8" max="8" width="14.6640625" style="2" customWidth="1"/>
    <col min="9" max="9" width="30" style="2" customWidth="1"/>
    <col min="10" max="10" width="19" style="2" customWidth="1"/>
    <col min="11" max="11" width="18.5" style="5" customWidth="1"/>
    <col min="12" max="12" width="20.6640625" style="5" customWidth="1"/>
    <col min="13" max="16" width="9.1640625" style="5" customWidth="1"/>
    <col min="17" max="17" width="18.6640625" style="2" customWidth="1"/>
    <col min="18" max="16384" width="8.83203125" style="2"/>
  </cols>
  <sheetData>
    <row r="1" spans="2:17" ht="23">
      <c r="C1" s="46" t="s">
        <v>335</v>
      </c>
    </row>
    <row r="2" spans="2:17" ht="15">
      <c r="C2" s="45" t="s">
        <v>336</v>
      </c>
    </row>
    <row r="4" spans="2:17" ht="15">
      <c r="C4" s="47" t="s">
        <v>334</v>
      </c>
    </row>
    <row r="5" spans="2:17" ht="18">
      <c r="C5" s="62" t="s">
        <v>307</v>
      </c>
    </row>
    <row r="7" spans="2:17" ht="29" thickBot="1">
      <c r="B7" s="40"/>
      <c r="C7" s="18" t="s">
        <v>292</v>
      </c>
      <c r="D7" s="18" t="s">
        <v>293</v>
      </c>
      <c r="E7" s="18" t="s">
        <v>291</v>
      </c>
      <c r="F7" s="19" t="s">
        <v>150</v>
      </c>
      <c r="G7" s="19" t="s">
        <v>155</v>
      </c>
      <c r="H7" s="19" t="s">
        <v>296</v>
      </c>
      <c r="I7" s="19" t="s">
        <v>295</v>
      </c>
      <c r="J7" s="19" t="s">
        <v>294</v>
      </c>
      <c r="K7" s="40" t="s">
        <v>297</v>
      </c>
      <c r="L7" s="40" t="s">
        <v>298</v>
      </c>
      <c r="M7" s="72" t="s">
        <v>333</v>
      </c>
      <c r="N7" s="72"/>
      <c r="O7" s="72"/>
      <c r="P7" s="72"/>
      <c r="Q7" s="72"/>
    </row>
    <row r="8" spans="2:17" s="18" customFormat="1" ht="42" customHeight="1" thickBot="1">
      <c r="M8" s="1" t="s">
        <v>299</v>
      </c>
      <c r="N8" s="1" t="s">
        <v>300</v>
      </c>
      <c r="O8" s="1" t="s">
        <v>151</v>
      </c>
      <c r="P8" s="1" t="s">
        <v>152</v>
      </c>
      <c r="Q8" s="48" t="s">
        <v>301</v>
      </c>
    </row>
    <row r="9" spans="2:17">
      <c r="B9" s="2">
        <v>1</v>
      </c>
      <c r="C9" s="27" t="s">
        <v>72</v>
      </c>
      <c r="D9" s="27" t="s">
        <v>185</v>
      </c>
      <c r="E9" s="27" t="s">
        <v>118</v>
      </c>
      <c r="F9" s="28" t="s">
        <v>288</v>
      </c>
      <c r="G9" s="28" t="s">
        <v>111</v>
      </c>
      <c r="H9" s="29" t="s">
        <v>112</v>
      </c>
      <c r="I9" s="28" t="s">
        <v>156</v>
      </c>
      <c r="J9" s="28"/>
      <c r="K9" s="33"/>
      <c r="L9" s="42">
        <v>2</v>
      </c>
      <c r="M9" s="28"/>
      <c r="N9" s="28"/>
      <c r="O9" s="28"/>
      <c r="P9" s="28"/>
      <c r="Q9" s="5">
        <f>COUNTIF(M9:P9,"yes")</f>
        <v>0</v>
      </c>
    </row>
    <row r="10" spans="2:17">
      <c r="B10" s="2">
        <v>2</v>
      </c>
      <c r="C10" s="3" t="s">
        <v>73</v>
      </c>
      <c r="D10" s="3" t="s">
        <v>186</v>
      </c>
      <c r="E10" s="3" t="s">
        <v>120</v>
      </c>
      <c r="F10" s="5" t="s">
        <v>288</v>
      </c>
      <c r="G10" s="5" t="s">
        <v>111</v>
      </c>
      <c r="H10" s="5" t="s">
        <v>112</v>
      </c>
      <c r="I10" s="5" t="s">
        <v>156</v>
      </c>
      <c r="J10" s="5"/>
      <c r="K10" s="9"/>
      <c r="L10" s="36">
        <v>2</v>
      </c>
      <c r="Q10" s="5">
        <f t="shared" ref="Q10:Q29" si="0">COUNTIF(M10:P10,"yes")</f>
        <v>0</v>
      </c>
    </row>
    <row r="11" spans="2:17">
      <c r="B11" s="2">
        <v>3</v>
      </c>
      <c r="C11" s="3" t="s">
        <v>74</v>
      </c>
      <c r="D11" s="3" t="s">
        <v>172</v>
      </c>
      <c r="E11" s="3" t="s">
        <v>118</v>
      </c>
      <c r="F11" s="5" t="s">
        <v>288</v>
      </c>
      <c r="G11" s="5" t="s">
        <v>111</v>
      </c>
      <c r="H11" s="5" t="s">
        <v>112</v>
      </c>
      <c r="I11" s="6"/>
      <c r="J11" s="5"/>
      <c r="K11" s="7"/>
      <c r="L11" s="36">
        <v>2</v>
      </c>
      <c r="Q11" s="5">
        <f t="shared" si="0"/>
        <v>0</v>
      </c>
    </row>
    <row r="12" spans="2:17">
      <c r="B12" s="2">
        <v>4</v>
      </c>
      <c r="C12" s="3" t="s">
        <v>80</v>
      </c>
      <c r="D12" s="3" t="s">
        <v>173</v>
      </c>
      <c r="E12" s="3" t="s">
        <v>118</v>
      </c>
      <c r="F12" s="5" t="s">
        <v>288</v>
      </c>
      <c r="G12" s="5" t="s">
        <v>111</v>
      </c>
      <c r="H12" s="6" t="s">
        <v>112</v>
      </c>
      <c r="I12" s="6"/>
      <c r="J12" s="5"/>
      <c r="K12" s="7"/>
      <c r="L12" s="36">
        <v>2</v>
      </c>
      <c r="Q12" s="5">
        <f t="shared" si="0"/>
        <v>0</v>
      </c>
    </row>
    <row r="13" spans="2:17">
      <c r="B13" s="2">
        <v>5</v>
      </c>
      <c r="C13" s="3" t="s">
        <v>122</v>
      </c>
      <c r="D13" s="31" t="s">
        <v>122</v>
      </c>
      <c r="E13" s="3" t="s">
        <v>118</v>
      </c>
      <c r="F13" s="5" t="s">
        <v>288</v>
      </c>
      <c r="G13" s="5" t="s">
        <v>111</v>
      </c>
      <c r="H13" s="6" t="s">
        <v>112</v>
      </c>
      <c r="I13" s="5" t="s">
        <v>156</v>
      </c>
      <c r="J13" s="5"/>
      <c r="K13" s="7"/>
      <c r="L13" s="36">
        <v>2</v>
      </c>
      <c r="Q13" s="5">
        <f t="shared" si="0"/>
        <v>0</v>
      </c>
    </row>
    <row r="14" spans="2:17">
      <c r="B14" s="2">
        <v>6</v>
      </c>
      <c r="C14" s="3" t="s">
        <v>81</v>
      </c>
      <c r="D14" s="3" t="s">
        <v>257</v>
      </c>
      <c r="E14" s="3" t="s">
        <v>118</v>
      </c>
      <c r="F14" s="5" t="s">
        <v>288</v>
      </c>
      <c r="G14" s="5" t="s">
        <v>111</v>
      </c>
      <c r="H14" s="5" t="s">
        <v>111</v>
      </c>
      <c r="I14" s="5"/>
      <c r="J14" s="5" t="s">
        <v>157</v>
      </c>
      <c r="K14" s="7" t="s">
        <v>113</v>
      </c>
      <c r="L14" s="36">
        <v>4</v>
      </c>
      <c r="M14" s="5" t="s">
        <v>111</v>
      </c>
      <c r="N14" s="5" t="s">
        <v>111</v>
      </c>
      <c r="O14" s="5" t="s">
        <v>111</v>
      </c>
      <c r="Q14" s="5">
        <f t="shared" si="0"/>
        <v>3</v>
      </c>
    </row>
    <row r="15" spans="2:17">
      <c r="B15" s="2">
        <v>7</v>
      </c>
      <c r="C15" s="3" t="s">
        <v>75</v>
      </c>
      <c r="D15" s="3" t="s">
        <v>75</v>
      </c>
      <c r="E15" s="3" t="s">
        <v>120</v>
      </c>
      <c r="F15" s="5" t="s">
        <v>288</v>
      </c>
      <c r="G15" s="5" t="s">
        <v>111</v>
      </c>
      <c r="H15" s="5" t="s">
        <v>111</v>
      </c>
      <c r="I15" s="5"/>
      <c r="J15" s="5" t="s">
        <v>157</v>
      </c>
      <c r="K15" s="9" t="s">
        <v>113</v>
      </c>
      <c r="L15" s="36">
        <v>4</v>
      </c>
      <c r="P15" s="5" t="s">
        <v>111</v>
      </c>
      <c r="Q15" s="5">
        <f t="shared" si="0"/>
        <v>1</v>
      </c>
    </row>
    <row r="16" spans="2:17">
      <c r="B16" s="2">
        <v>8</v>
      </c>
      <c r="C16" s="3" t="s">
        <v>82</v>
      </c>
      <c r="D16" s="3" t="s">
        <v>175</v>
      </c>
      <c r="E16" s="3" t="s">
        <v>118</v>
      </c>
      <c r="F16" s="5" t="s">
        <v>288</v>
      </c>
      <c r="G16" s="5" t="s">
        <v>111</v>
      </c>
      <c r="H16" s="6" t="s">
        <v>112</v>
      </c>
      <c r="I16" s="6"/>
      <c r="J16" s="5"/>
      <c r="K16" s="7"/>
      <c r="L16" s="36">
        <v>2</v>
      </c>
      <c r="Q16" s="5">
        <f t="shared" si="0"/>
        <v>0</v>
      </c>
    </row>
    <row r="17" spans="2:17">
      <c r="B17" s="2">
        <v>9</v>
      </c>
      <c r="C17" s="3" t="s">
        <v>131</v>
      </c>
      <c r="D17" s="3" t="s">
        <v>131</v>
      </c>
      <c r="E17" s="3" t="s">
        <v>117</v>
      </c>
      <c r="F17" s="5" t="s">
        <v>288</v>
      </c>
      <c r="G17" s="5" t="s">
        <v>112</v>
      </c>
      <c r="H17" s="5"/>
      <c r="I17" s="6"/>
      <c r="J17" s="5"/>
      <c r="K17" s="7"/>
      <c r="L17" s="36">
        <v>1</v>
      </c>
      <c r="Q17" s="5">
        <f t="shared" si="0"/>
        <v>0</v>
      </c>
    </row>
    <row r="18" spans="2:17">
      <c r="B18" s="2">
        <v>10</v>
      </c>
      <c r="C18" s="3" t="s">
        <v>83</v>
      </c>
      <c r="D18" s="3" t="s">
        <v>176</v>
      </c>
      <c r="E18" s="3" t="s">
        <v>118</v>
      </c>
      <c r="F18" s="5" t="s">
        <v>288</v>
      </c>
      <c r="G18" s="5" t="s">
        <v>112</v>
      </c>
      <c r="H18" s="6"/>
      <c r="I18" s="6"/>
      <c r="J18" s="5"/>
      <c r="K18" s="7"/>
      <c r="L18" s="36">
        <v>1</v>
      </c>
      <c r="Q18" s="5">
        <f t="shared" si="0"/>
        <v>0</v>
      </c>
    </row>
    <row r="19" spans="2:17">
      <c r="B19" s="2">
        <v>11</v>
      </c>
      <c r="C19" s="3" t="s">
        <v>133</v>
      </c>
      <c r="D19" s="22" t="s">
        <v>258</v>
      </c>
      <c r="E19" s="3" t="s">
        <v>118</v>
      </c>
      <c r="F19" s="5" t="s">
        <v>288</v>
      </c>
      <c r="G19" s="5" t="s">
        <v>111</v>
      </c>
      <c r="H19" s="6" t="s">
        <v>111</v>
      </c>
      <c r="I19" s="6"/>
      <c r="J19" s="5" t="s">
        <v>157</v>
      </c>
      <c r="K19" s="7" t="s">
        <v>113</v>
      </c>
      <c r="L19" s="36">
        <v>4</v>
      </c>
      <c r="M19" s="5" t="s">
        <v>111</v>
      </c>
      <c r="N19" s="5" t="s">
        <v>111</v>
      </c>
      <c r="O19" s="5" t="s">
        <v>111</v>
      </c>
      <c r="P19" s="5" t="s">
        <v>111</v>
      </c>
      <c r="Q19" s="5">
        <f t="shared" si="0"/>
        <v>4</v>
      </c>
    </row>
    <row r="20" spans="2:17">
      <c r="B20" s="2">
        <v>12</v>
      </c>
      <c r="C20" s="3" t="s">
        <v>136</v>
      </c>
      <c r="D20" s="3" t="s">
        <v>259</v>
      </c>
      <c r="E20" s="3" t="s">
        <v>120</v>
      </c>
      <c r="F20" s="5" t="s">
        <v>288</v>
      </c>
      <c r="G20" s="5" t="s">
        <v>111</v>
      </c>
      <c r="H20" s="5" t="s">
        <v>111</v>
      </c>
      <c r="I20" s="5"/>
      <c r="J20" s="5" t="s">
        <v>157</v>
      </c>
      <c r="K20" s="7" t="s">
        <v>114</v>
      </c>
      <c r="L20" s="36">
        <v>4</v>
      </c>
      <c r="M20" s="5" t="s">
        <v>111</v>
      </c>
      <c r="N20" s="5" t="s">
        <v>111</v>
      </c>
      <c r="O20" s="5" t="s">
        <v>111</v>
      </c>
      <c r="P20" s="5" t="s">
        <v>111</v>
      </c>
      <c r="Q20" s="5">
        <f t="shared" si="0"/>
        <v>4</v>
      </c>
    </row>
    <row r="21" spans="2:17">
      <c r="B21" s="2">
        <v>13</v>
      </c>
      <c r="C21" s="3" t="s">
        <v>84</v>
      </c>
      <c r="D21" s="3" t="s">
        <v>84</v>
      </c>
      <c r="E21" s="3" t="s">
        <v>118</v>
      </c>
      <c r="F21" s="5" t="s">
        <v>288</v>
      </c>
      <c r="G21" s="5" t="s">
        <v>111</v>
      </c>
      <c r="H21" s="6" t="s">
        <v>111</v>
      </c>
      <c r="I21" s="6"/>
      <c r="J21" s="5" t="s">
        <v>153</v>
      </c>
      <c r="K21" s="7" t="s">
        <v>113</v>
      </c>
      <c r="L21" s="36">
        <v>4</v>
      </c>
      <c r="M21" s="5" t="s">
        <v>111</v>
      </c>
      <c r="N21" s="5" t="s">
        <v>111</v>
      </c>
      <c r="O21" s="5" t="s">
        <v>111</v>
      </c>
      <c r="P21" s="5" t="s">
        <v>111</v>
      </c>
      <c r="Q21" s="5">
        <f t="shared" si="0"/>
        <v>4</v>
      </c>
    </row>
    <row r="22" spans="2:17">
      <c r="B22" s="2">
        <v>14</v>
      </c>
      <c r="C22" s="3" t="s">
        <v>85</v>
      </c>
      <c r="D22" s="31" t="s">
        <v>85</v>
      </c>
      <c r="E22" s="3" t="s">
        <v>118</v>
      </c>
      <c r="F22" s="5" t="s">
        <v>288</v>
      </c>
      <c r="G22" s="5" t="s">
        <v>112</v>
      </c>
      <c r="H22" s="6"/>
      <c r="I22" s="6"/>
      <c r="J22" s="5"/>
      <c r="K22" s="7"/>
      <c r="L22" s="36">
        <v>1</v>
      </c>
      <c r="Q22" s="5">
        <f t="shared" si="0"/>
        <v>0</v>
      </c>
    </row>
    <row r="23" spans="2:17">
      <c r="B23" s="2">
        <v>15</v>
      </c>
      <c r="C23" s="3" t="s">
        <v>86</v>
      </c>
      <c r="D23" s="3" t="s">
        <v>260</v>
      </c>
      <c r="E23" s="3" t="s">
        <v>118</v>
      </c>
      <c r="F23" s="5" t="s">
        <v>288</v>
      </c>
      <c r="G23" s="5" t="s">
        <v>111</v>
      </c>
      <c r="H23" s="6" t="s">
        <v>111</v>
      </c>
      <c r="I23" s="6"/>
      <c r="J23" s="5" t="s">
        <v>161</v>
      </c>
      <c r="K23" s="7" t="s">
        <v>162</v>
      </c>
      <c r="L23" s="36">
        <v>3</v>
      </c>
      <c r="Q23" s="5">
        <f t="shared" si="0"/>
        <v>0</v>
      </c>
    </row>
    <row r="24" spans="2:17">
      <c r="B24" s="2">
        <v>16</v>
      </c>
      <c r="C24" s="3" t="s">
        <v>87</v>
      </c>
      <c r="D24" s="3" t="s">
        <v>261</v>
      </c>
      <c r="E24" s="3" t="s">
        <v>118</v>
      </c>
      <c r="F24" s="5" t="s">
        <v>288</v>
      </c>
      <c r="G24" s="5" t="s">
        <v>111</v>
      </c>
      <c r="H24" s="5" t="s">
        <v>111</v>
      </c>
      <c r="I24" s="5"/>
      <c r="J24" s="5" t="s">
        <v>159</v>
      </c>
      <c r="K24" s="7" t="s">
        <v>115</v>
      </c>
      <c r="L24" s="43">
        <v>4</v>
      </c>
      <c r="M24" s="5" t="s">
        <v>111</v>
      </c>
      <c r="N24" s="5" t="s">
        <v>111</v>
      </c>
      <c r="P24" s="5" t="s">
        <v>111</v>
      </c>
      <c r="Q24" s="5">
        <f t="shared" si="0"/>
        <v>3</v>
      </c>
    </row>
    <row r="25" spans="2:17">
      <c r="B25" s="2">
        <v>17</v>
      </c>
      <c r="C25" s="3" t="s">
        <v>76</v>
      </c>
      <c r="D25" s="3" t="s">
        <v>202</v>
      </c>
      <c r="E25" s="3" t="s">
        <v>117</v>
      </c>
      <c r="F25" s="5" t="s">
        <v>288</v>
      </c>
      <c r="G25" s="5" t="s">
        <v>111</v>
      </c>
      <c r="H25" s="5" t="s">
        <v>112</v>
      </c>
      <c r="I25" s="44" t="s">
        <v>285</v>
      </c>
      <c r="J25" s="5"/>
      <c r="K25" s="7"/>
      <c r="L25" s="36">
        <v>2</v>
      </c>
      <c r="Q25" s="5">
        <f t="shared" si="0"/>
        <v>0</v>
      </c>
    </row>
    <row r="26" spans="2:17">
      <c r="B26" s="2">
        <v>18</v>
      </c>
      <c r="C26" s="3" t="s">
        <v>144</v>
      </c>
      <c r="D26" s="3" t="s">
        <v>262</v>
      </c>
      <c r="E26" s="3" t="s">
        <v>118</v>
      </c>
      <c r="F26" s="5" t="s">
        <v>288</v>
      </c>
      <c r="G26" s="5" t="s">
        <v>111</v>
      </c>
      <c r="H26" s="6" t="s">
        <v>111</v>
      </c>
      <c r="I26" s="6"/>
      <c r="J26" s="5" t="s">
        <v>157</v>
      </c>
      <c r="K26" s="7" t="s">
        <v>115</v>
      </c>
      <c r="L26" s="36">
        <v>4</v>
      </c>
      <c r="P26" s="5" t="s">
        <v>111</v>
      </c>
      <c r="Q26" s="5">
        <f t="shared" si="0"/>
        <v>1</v>
      </c>
    </row>
    <row r="27" spans="2:17">
      <c r="B27" s="2">
        <v>19</v>
      </c>
      <c r="C27" s="3" t="s">
        <v>77</v>
      </c>
      <c r="D27" s="31" t="s">
        <v>77</v>
      </c>
      <c r="E27" s="3" t="s">
        <v>120</v>
      </c>
      <c r="F27" s="5" t="s">
        <v>288</v>
      </c>
      <c r="G27" s="5" t="s">
        <v>112</v>
      </c>
      <c r="H27" s="5"/>
      <c r="I27" s="6"/>
      <c r="J27" s="5"/>
      <c r="K27" s="7"/>
      <c r="L27" s="36">
        <v>1</v>
      </c>
      <c r="Q27" s="5">
        <f t="shared" si="0"/>
        <v>0</v>
      </c>
    </row>
    <row r="28" spans="2:17">
      <c r="B28" s="2">
        <v>20</v>
      </c>
      <c r="C28" s="3" t="s">
        <v>78</v>
      </c>
      <c r="D28" s="31" t="s">
        <v>78</v>
      </c>
      <c r="E28" s="3" t="s">
        <v>120</v>
      </c>
      <c r="F28" s="5" t="s">
        <v>288</v>
      </c>
      <c r="G28" s="5" t="s">
        <v>111</v>
      </c>
      <c r="H28" s="5" t="s">
        <v>112</v>
      </c>
      <c r="I28" s="6"/>
      <c r="J28" s="5"/>
      <c r="K28" s="7"/>
      <c r="L28" s="36">
        <v>2</v>
      </c>
      <c r="Q28" s="5">
        <f t="shared" si="0"/>
        <v>0</v>
      </c>
    </row>
    <row r="29" spans="2:17" ht="15" thickBot="1">
      <c r="B29" s="2">
        <v>21</v>
      </c>
      <c r="C29" s="12" t="s">
        <v>79</v>
      </c>
      <c r="D29" s="12" t="s">
        <v>179</v>
      </c>
      <c r="E29" s="12" t="s">
        <v>120</v>
      </c>
      <c r="F29" s="14" t="s">
        <v>288</v>
      </c>
      <c r="G29" s="14" t="s">
        <v>112</v>
      </c>
      <c r="H29" s="14"/>
      <c r="I29" s="13"/>
      <c r="J29" s="14"/>
      <c r="K29" s="23"/>
      <c r="L29" s="37">
        <v>1</v>
      </c>
      <c r="M29" s="14"/>
      <c r="N29" s="14"/>
      <c r="O29" s="14"/>
      <c r="P29" s="14"/>
      <c r="Q29" s="14">
        <f t="shared" si="0"/>
        <v>0</v>
      </c>
    </row>
  </sheetData>
  <mergeCells count="1">
    <mergeCell ref="M7:Q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8"/>
  <sheetViews>
    <sheetView workbookViewId="0"/>
  </sheetViews>
  <sheetFormatPr baseColWidth="10" defaultColWidth="8.83203125" defaultRowHeight="14" x14ac:dyDescent="0"/>
  <cols>
    <col min="1" max="1" width="8.83203125" style="2"/>
    <col min="2" max="2" width="6.33203125" style="2" customWidth="1"/>
    <col min="3" max="4" width="16.6640625" style="2" customWidth="1"/>
    <col min="5" max="5" width="20.5" style="2" customWidth="1"/>
    <col min="6" max="7" width="23" style="2" customWidth="1"/>
    <col min="8" max="8" width="14.6640625" style="2" customWidth="1"/>
    <col min="9" max="9" width="30" style="2" customWidth="1"/>
    <col min="10" max="10" width="19" style="2" customWidth="1"/>
    <col min="11" max="11" width="18.5" style="5" customWidth="1"/>
    <col min="12" max="12" width="20.6640625" style="5" customWidth="1"/>
    <col min="13" max="16" width="9.1640625" style="5" customWidth="1"/>
    <col min="17" max="17" width="22.33203125" style="2" customWidth="1"/>
    <col min="18" max="16384" width="8.83203125" style="2"/>
  </cols>
  <sheetData>
    <row r="1" spans="2:17" ht="23">
      <c r="C1" s="46" t="s">
        <v>335</v>
      </c>
    </row>
    <row r="2" spans="2:17" ht="15">
      <c r="C2" s="45" t="s">
        <v>336</v>
      </c>
    </row>
    <row r="4" spans="2:17" ht="15">
      <c r="C4" s="47" t="s">
        <v>334</v>
      </c>
    </row>
    <row r="5" spans="2:17" ht="18">
      <c r="C5" s="57" t="s">
        <v>308</v>
      </c>
    </row>
    <row r="7" spans="2:17" ht="29" thickBot="1">
      <c r="B7" s="40"/>
      <c r="C7" s="18" t="s">
        <v>292</v>
      </c>
      <c r="D7" s="18" t="s">
        <v>293</v>
      </c>
      <c r="E7" s="18" t="s">
        <v>291</v>
      </c>
      <c r="F7" s="19" t="s">
        <v>150</v>
      </c>
      <c r="G7" s="19" t="s">
        <v>155</v>
      </c>
      <c r="H7" s="19" t="s">
        <v>296</v>
      </c>
      <c r="I7" s="19" t="s">
        <v>295</v>
      </c>
      <c r="J7" s="19" t="s">
        <v>294</v>
      </c>
      <c r="K7" s="40" t="s">
        <v>297</v>
      </c>
      <c r="L7" s="40" t="s">
        <v>298</v>
      </c>
      <c r="M7" s="72" t="s">
        <v>333</v>
      </c>
      <c r="N7" s="72"/>
      <c r="O7" s="72"/>
      <c r="P7" s="72"/>
      <c r="Q7" s="72"/>
    </row>
    <row r="8" spans="2:17" s="18" customFormat="1" ht="28" customHeight="1" thickBot="1">
      <c r="M8" s="1" t="s">
        <v>299</v>
      </c>
      <c r="N8" s="1" t="s">
        <v>300</v>
      </c>
      <c r="O8" s="1" t="s">
        <v>151</v>
      </c>
      <c r="P8" s="1" t="s">
        <v>152</v>
      </c>
      <c r="Q8" s="1" t="s">
        <v>301</v>
      </c>
    </row>
    <row r="9" spans="2:17">
      <c r="B9" s="59">
        <v>1</v>
      </c>
      <c r="C9" s="27" t="s">
        <v>121</v>
      </c>
      <c r="D9" s="34" t="s">
        <v>121</v>
      </c>
      <c r="E9" s="27" t="s">
        <v>118</v>
      </c>
      <c r="F9" s="28" t="s">
        <v>302</v>
      </c>
      <c r="G9" s="28" t="s">
        <v>112</v>
      </c>
      <c r="H9" s="28"/>
      <c r="I9" s="28"/>
      <c r="J9" s="28"/>
      <c r="K9" s="33"/>
      <c r="L9" s="42">
        <v>1</v>
      </c>
      <c r="M9" s="28"/>
      <c r="N9" s="28"/>
      <c r="O9" s="28"/>
      <c r="P9" s="28"/>
      <c r="Q9" s="5">
        <f>COUNTIF(M9:P9,"yes")</f>
        <v>0</v>
      </c>
    </row>
    <row r="10" spans="2:17">
      <c r="B10" s="2">
        <v>2</v>
      </c>
      <c r="C10" s="3" t="s">
        <v>49</v>
      </c>
      <c r="D10" s="3" t="s">
        <v>230</v>
      </c>
      <c r="E10" s="3" t="s">
        <v>118</v>
      </c>
      <c r="F10" s="5" t="s">
        <v>302</v>
      </c>
      <c r="G10" s="5" t="s">
        <v>111</v>
      </c>
      <c r="H10" s="5" t="s">
        <v>111</v>
      </c>
      <c r="I10" s="5"/>
      <c r="J10" s="5" t="s">
        <v>62</v>
      </c>
      <c r="K10" s="7" t="s">
        <v>114</v>
      </c>
      <c r="L10" s="36">
        <v>3</v>
      </c>
      <c r="Q10" s="5">
        <f t="shared" ref="Q10:Q38" si="0">COUNTIF(M10:P10,"yes")</f>
        <v>0</v>
      </c>
    </row>
    <row r="11" spans="2:17">
      <c r="B11" s="2">
        <v>3</v>
      </c>
      <c r="C11" s="3" t="s">
        <v>39</v>
      </c>
      <c r="D11" s="31" t="s">
        <v>39</v>
      </c>
      <c r="E11" s="3" t="s">
        <v>120</v>
      </c>
      <c r="F11" s="5" t="s">
        <v>302</v>
      </c>
      <c r="G11" s="5" t="s">
        <v>111</v>
      </c>
      <c r="H11" s="5" t="s">
        <v>112</v>
      </c>
      <c r="I11" s="5" t="s">
        <v>156</v>
      </c>
      <c r="J11" s="5"/>
      <c r="K11" s="7"/>
      <c r="L11" s="36">
        <v>2</v>
      </c>
      <c r="Q11" s="5">
        <f t="shared" si="0"/>
        <v>0</v>
      </c>
    </row>
    <row r="12" spans="2:17">
      <c r="B12" s="2">
        <v>4</v>
      </c>
      <c r="C12" s="3" t="s">
        <v>40</v>
      </c>
      <c r="D12" s="22" t="s">
        <v>231</v>
      </c>
      <c r="E12" s="3" t="s">
        <v>120</v>
      </c>
      <c r="F12" s="5" t="s">
        <v>302</v>
      </c>
      <c r="G12" s="5" t="s">
        <v>111</v>
      </c>
      <c r="H12" s="5" t="s">
        <v>111</v>
      </c>
      <c r="I12" s="5"/>
      <c r="J12" s="5" t="s">
        <v>62</v>
      </c>
      <c r="K12" s="9" t="s">
        <v>114</v>
      </c>
      <c r="L12" s="36">
        <v>3</v>
      </c>
      <c r="Q12" s="5">
        <f t="shared" si="0"/>
        <v>0</v>
      </c>
    </row>
    <row r="13" spans="2:17">
      <c r="B13" s="2">
        <v>5</v>
      </c>
      <c r="C13" s="3" t="s">
        <v>50</v>
      </c>
      <c r="D13" s="22" t="s">
        <v>232</v>
      </c>
      <c r="E13" s="3" t="s">
        <v>118</v>
      </c>
      <c r="F13" s="5" t="s">
        <v>302</v>
      </c>
      <c r="G13" s="5" t="s">
        <v>111</v>
      </c>
      <c r="H13" s="5" t="s">
        <v>111</v>
      </c>
      <c r="I13" s="5"/>
      <c r="J13" s="5" t="s">
        <v>157</v>
      </c>
      <c r="K13" s="7" t="s">
        <v>115</v>
      </c>
      <c r="L13" s="36">
        <v>4</v>
      </c>
      <c r="M13" s="5" t="s">
        <v>111</v>
      </c>
      <c r="N13" s="5" t="s">
        <v>111</v>
      </c>
      <c r="O13" s="5" t="s">
        <v>111</v>
      </c>
      <c r="P13" s="5" t="s">
        <v>111</v>
      </c>
      <c r="Q13" s="5">
        <f t="shared" si="0"/>
        <v>4</v>
      </c>
    </row>
    <row r="14" spans="2:17">
      <c r="B14" s="2">
        <v>6</v>
      </c>
      <c r="C14" s="3" t="s">
        <v>51</v>
      </c>
      <c r="D14" s="3" t="s">
        <v>233</v>
      </c>
      <c r="E14" s="3" t="s">
        <v>118</v>
      </c>
      <c r="F14" s="5" t="s">
        <v>302</v>
      </c>
      <c r="G14" s="5" t="s">
        <v>111</v>
      </c>
      <c r="H14" s="5" t="s">
        <v>111</v>
      </c>
      <c r="I14" s="5"/>
      <c r="J14" s="5" t="s">
        <v>62</v>
      </c>
      <c r="K14" s="7" t="s">
        <v>114</v>
      </c>
      <c r="L14" s="36">
        <v>4</v>
      </c>
      <c r="P14" s="5" t="s">
        <v>111</v>
      </c>
      <c r="Q14" s="5">
        <f t="shared" si="0"/>
        <v>1</v>
      </c>
    </row>
    <row r="15" spans="2:17">
      <c r="B15" s="2">
        <v>7</v>
      </c>
      <c r="C15" s="3" t="s">
        <v>52</v>
      </c>
      <c r="D15" s="3" t="s">
        <v>234</v>
      </c>
      <c r="E15" s="3" t="s">
        <v>118</v>
      </c>
      <c r="F15" s="5" t="s">
        <v>302</v>
      </c>
      <c r="G15" s="5" t="s">
        <v>111</v>
      </c>
      <c r="H15" s="5" t="s">
        <v>111</v>
      </c>
      <c r="I15" s="5"/>
      <c r="J15" s="5" t="s">
        <v>62</v>
      </c>
      <c r="K15" s="7" t="s">
        <v>114</v>
      </c>
      <c r="L15" s="36">
        <v>4</v>
      </c>
      <c r="M15" s="5" t="s">
        <v>111</v>
      </c>
      <c r="O15" s="5" t="s">
        <v>111</v>
      </c>
      <c r="Q15" s="5">
        <f t="shared" si="0"/>
        <v>2</v>
      </c>
    </row>
    <row r="16" spans="2:17">
      <c r="B16" s="2">
        <v>8</v>
      </c>
      <c r="C16" s="3" t="s">
        <v>53</v>
      </c>
      <c r="D16" s="3" t="s">
        <v>235</v>
      </c>
      <c r="E16" s="3" t="s">
        <v>118</v>
      </c>
      <c r="F16" s="5" t="s">
        <v>302</v>
      </c>
      <c r="G16" s="5" t="s">
        <v>111</v>
      </c>
      <c r="H16" s="5" t="s">
        <v>111</v>
      </c>
      <c r="I16" s="5"/>
      <c r="J16" s="5" t="s">
        <v>62</v>
      </c>
      <c r="K16" s="7" t="s">
        <v>114</v>
      </c>
      <c r="L16" s="36">
        <v>4</v>
      </c>
      <c r="P16" s="5" t="s">
        <v>111</v>
      </c>
      <c r="Q16" s="5">
        <f t="shared" si="0"/>
        <v>1</v>
      </c>
    </row>
    <row r="17" spans="2:17">
      <c r="B17" s="2">
        <v>9</v>
      </c>
      <c r="C17" s="3" t="s">
        <v>54</v>
      </c>
      <c r="D17" s="3" t="s">
        <v>236</v>
      </c>
      <c r="E17" s="3" t="s">
        <v>118</v>
      </c>
      <c r="F17" s="5" t="s">
        <v>302</v>
      </c>
      <c r="G17" s="5" t="s">
        <v>111</v>
      </c>
      <c r="H17" s="5" t="s">
        <v>111</v>
      </c>
      <c r="I17" s="5"/>
      <c r="J17" s="5" t="s">
        <v>62</v>
      </c>
      <c r="K17" s="7" t="s">
        <v>114</v>
      </c>
      <c r="L17" s="36">
        <v>4</v>
      </c>
      <c r="M17" s="5" t="s">
        <v>111</v>
      </c>
      <c r="O17" s="5" t="s">
        <v>111</v>
      </c>
      <c r="P17" s="5" t="s">
        <v>111</v>
      </c>
      <c r="Q17" s="5">
        <f t="shared" si="0"/>
        <v>3</v>
      </c>
    </row>
    <row r="18" spans="2:17">
      <c r="B18" s="2">
        <v>10</v>
      </c>
      <c r="C18" s="3" t="s">
        <v>55</v>
      </c>
      <c r="D18" s="3" t="s">
        <v>165</v>
      </c>
      <c r="E18" s="3" t="s">
        <v>118</v>
      </c>
      <c r="F18" s="5" t="s">
        <v>302</v>
      </c>
      <c r="G18" s="5" t="s">
        <v>112</v>
      </c>
      <c r="H18" s="6"/>
      <c r="I18" s="6"/>
      <c r="J18" s="5"/>
      <c r="K18" s="7"/>
      <c r="L18" s="36">
        <v>1</v>
      </c>
      <c r="Q18" s="5">
        <f t="shared" si="0"/>
        <v>0</v>
      </c>
    </row>
    <row r="19" spans="2:17">
      <c r="B19" s="2">
        <v>11</v>
      </c>
      <c r="C19" s="3" t="s">
        <v>56</v>
      </c>
      <c r="D19" s="3" t="s">
        <v>56</v>
      </c>
      <c r="E19" s="3" t="s">
        <v>118</v>
      </c>
      <c r="F19" s="5" t="s">
        <v>302</v>
      </c>
      <c r="G19" s="5" t="s">
        <v>112</v>
      </c>
      <c r="H19" s="6"/>
      <c r="I19" s="6"/>
      <c r="J19" s="5"/>
      <c r="K19" s="7"/>
      <c r="L19" s="36">
        <v>1</v>
      </c>
      <c r="Q19" s="5">
        <f t="shared" si="0"/>
        <v>0</v>
      </c>
    </row>
    <row r="20" spans="2:17">
      <c r="B20" s="2">
        <v>12</v>
      </c>
      <c r="C20" s="3" t="s">
        <v>41</v>
      </c>
      <c r="D20" s="3" t="s">
        <v>188</v>
      </c>
      <c r="E20" s="3" t="s">
        <v>120</v>
      </c>
      <c r="F20" s="5" t="s">
        <v>302</v>
      </c>
      <c r="G20" s="5" t="s">
        <v>111</v>
      </c>
      <c r="H20" s="5" t="s">
        <v>112</v>
      </c>
      <c r="I20" s="5" t="s">
        <v>156</v>
      </c>
      <c r="J20" s="5"/>
      <c r="K20" s="9"/>
      <c r="L20" s="36">
        <v>2</v>
      </c>
      <c r="Q20" s="5">
        <f t="shared" si="0"/>
        <v>0</v>
      </c>
    </row>
    <row r="21" spans="2:17">
      <c r="B21" s="2">
        <v>13</v>
      </c>
      <c r="C21" s="3" t="s">
        <v>42</v>
      </c>
      <c r="D21" s="3" t="s">
        <v>189</v>
      </c>
      <c r="E21" s="3" t="s">
        <v>120</v>
      </c>
      <c r="F21" s="5" t="s">
        <v>302</v>
      </c>
      <c r="G21" s="5" t="s">
        <v>111</v>
      </c>
      <c r="H21" s="5" t="s">
        <v>112</v>
      </c>
      <c r="I21" s="5" t="s">
        <v>156</v>
      </c>
      <c r="J21" s="5"/>
      <c r="K21" s="9"/>
      <c r="L21" s="36">
        <v>2</v>
      </c>
      <c r="Q21" s="5">
        <f t="shared" si="0"/>
        <v>0</v>
      </c>
    </row>
    <row r="22" spans="2:17">
      <c r="B22" s="2">
        <v>14</v>
      </c>
      <c r="C22" s="3" t="s">
        <v>57</v>
      </c>
      <c r="D22" s="3" t="s">
        <v>57</v>
      </c>
      <c r="E22" s="3" t="s">
        <v>118</v>
      </c>
      <c r="F22" s="5" t="s">
        <v>302</v>
      </c>
      <c r="G22" s="5" t="s">
        <v>111</v>
      </c>
      <c r="H22" s="5" t="s">
        <v>111</v>
      </c>
      <c r="I22" s="5"/>
      <c r="J22" s="5" t="s">
        <v>157</v>
      </c>
      <c r="K22" s="7"/>
      <c r="L22" s="36">
        <v>3</v>
      </c>
      <c r="Q22" s="5">
        <f t="shared" si="0"/>
        <v>0</v>
      </c>
    </row>
    <row r="23" spans="2:17">
      <c r="B23" s="2">
        <v>15</v>
      </c>
      <c r="C23" s="3" t="s">
        <v>43</v>
      </c>
      <c r="D23" s="3" t="s">
        <v>237</v>
      </c>
      <c r="E23" s="3" t="s">
        <v>120</v>
      </c>
      <c r="F23" s="5" t="s">
        <v>302</v>
      </c>
      <c r="G23" s="5" t="s">
        <v>111</v>
      </c>
      <c r="H23" s="5" t="s">
        <v>111</v>
      </c>
      <c r="I23" s="5"/>
      <c r="J23" s="5" t="s">
        <v>62</v>
      </c>
      <c r="K23" s="7" t="s">
        <v>115</v>
      </c>
      <c r="L23" s="36">
        <v>4</v>
      </c>
      <c r="P23" s="5" t="s">
        <v>111</v>
      </c>
      <c r="Q23" s="5">
        <f t="shared" si="0"/>
        <v>1</v>
      </c>
    </row>
    <row r="24" spans="2:17">
      <c r="B24" s="2">
        <v>16</v>
      </c>
      <c r="C24" s="3" t="s">
        <v>44</v>
      </c>
      <c r="D24" s="3" t="s">
        <v>238</v>
      </c>
      <c r="E24" s="3" t="s">
        <v>120</v>
      </c>
      <c r="F24" s="5" t="s">
        <v>302</v>
      </c>
      <c r="G24" s="5" t="s">
        <v>111</v>
      </c>
      <c r="H24" s="5" t="s">
        <v>111</v>
      </c>
      <c r="I24" s="5"/>
      <c r="J24" s="5" t="s">
        <v>157</v>
      </c>
      <c r="K24" s="9" t="s">
        <v>114</v>
      </c>
      <c r="L24" s="36">
        <v>4</v>
      </c>
      <c r="P24" s="5" t="s">
        <v>111</v>
      </c>
      <c r="Q24" s="5">
        <f t="shared" si="0"/>
        <v>1</v>
      </c>
    </row>
    <row r="25" spans="2:17">
      <c r="B25" s="2">
        <v>17</v>
      </c>
      <c r="C25" s="3" t="s">
        <v>45</v>
      </c>
      <c r="D25" s="3" t="s">
        <v>239</v>
      </c>
      <c r="E25" s="3" t="s">
        <v>117</v>
      </c>
      <c r="F25" s="5" t="s">
        <v>302</v>
      </c>
      <c r="G25" s="5" t="s">
        <v>111</v>
      </c>
      <c r="H25" s="5" t="s">
        <v>111</v>
      </c>
      <c r="I25" s="5"/>
      <c r="J25" s="5" t="s">
        <v>3</v>
      </c>
      <c r="K25" s="9" t="s">
        <v>113</v>
      </c>
      <c r="L25" s="36">
        <v>3</v>
      </c>
      <c r="Q25" s="5">
        <f t="shared" si="0"/>
        <v>0</v>
      </c>
    </row>
    <row r="26" spans="2:17">
      <c r="B26" s="2">
        <v>18</v>
      </c>
      <c r="C26" s="3" t="s">
        <v>46</v>
      </c>
      <c r="D26" s="3" t="s">
        <v>240</v>
      </c>
      <c r="E26" s="3" t="s">
        <v>120</v>
      </c>
      <c r="F26" s="5" t="s">
        <v>302</v>
      </c>
      <c r="G26" s="5" t="s">
        <v>111</v>
      </c>
      <c r="H26" s="5" t="s">
        <v>111</v>
      </c>
      <c r="I26" s="5"/>
      <c r="J26" s="5" t="s">
        <v>62</v>
      </c>
      <c r="K26" s="9" t="s">
        <v>113</v>
      </c>
      <c r="L26" s="36">
        <v>4</v>
      </c>
      <c r="M26" s="5" t="s">
        <v>111</v>
      </c>
      <c r="Q26" s="5">
        <f t="shared" si="0"/>
        <v>1</v>
      </c>
    </row>
    <row r="27" spans="2:17">
      <c r="B27" s="2">
        <v>19</v>
      </c>
      <c r="C27" s="3" t="s">
        <v>58</v>
      </c>
      <c r="D27" s="3" t="s">
        <v>58</v>
      </c>
      <c r="E27" s="3" t="s">
        <v>118</v>
      </c>
      <c r="F27" s="5" t="s">
        <v>302</v>
      </c>
      <c r="G27" s="5" t="s">
        <v>111</v>
      </c>
      <c r="H27" s="5" t="s">
        <v>111</v>
      </c>
      <c r="I27" s="5"/>
      <c r="J27" s="5" t="s">
        <v>157</v>
      </c>
      <c r="K27" s="7" t="s">
        <v>114</v>
      </c>
      <c r="L27" s="36">
        <v>4</v>
      </c>
      <c r="M27" s="5" t="s">
        <v>111</v>
      </c>
      <c r="N27" s="5" t="s">
        <v>111</v>
      </c>
      <c r="O27" s="5" t="s">
        <v>111</v>
      </c>
      <c r="P27" s="5" t="s">
        <v>111</v>
      </c>
      <c r="Q27" s="5">
        <f t="shared" si="0"/>
        <v>4</v>
      </c>
    </row>
    <row r="28" spans="2:17">
      <c r="B28" s="2">
        <v>20</v>
      </c>
      <c r="C28" s="3" t="s">
        <v>59</v>
      </c>
      <c r="D28" s="3" t="s">
        <v>241</v>
      </c>
      <c r="E28" s="3" t="s">
        <v>118</v>
      </c>
      <c r="F28" s="5" t="s">
        <v>302</v>
      </c>
      <c r="G28" s="5" t="s">
        <v>111</v>
      </c>
      <c r="H28" s="5" t="s">
        <v>111</v>
      </c>
      <c r="I28" s="5"/>
      <c r="J28" s="5" t="s">
        <v>62</v>
      </c>
      <c r="K28" s="7" t="s">
        <v>114</v>
      </c>
      <c r="L28" s="36">
        <v>3</v>
      </c>
      <c r="Q28" s="5">
        <f t="shared" si="0"/>
        <v>0</v>
      </c>
    </row>
    <row r="29" spans="2:17">
      <c r="B29" s="2">
        <v>21</v>
      </c>
      <c r="C29" s="3" t="s">
        <v>47</v>
      </c>
      <c r="D29" s="3" t="s">
        <v>242</v>
      </c>
      <c r="E29" s="3" t="s">
        <v>120</v>
      </c>
      <c r="F29" s="5" t="s">
        <v>302</v>
      </c>
      <c r="G29" s="5" t="s">
        <v>111</v>
      </c>
      <c r="H29" s="5" t="s">
        <v>111</v>
      </c>
      <c r="I29" s="5"/>
      <c r="J29" s="5" t="s">
        <v>62</v>
      </c>
      <c r="K29" s="9" t="s">
        <v>114</v>
      </c>
      <c r="L29" s="36">
        <v>3</v>
      </c>
      <c r="Q29" s="5">
        <f t="shared" si="0"/>
        <v>0</v>
      </c>
    </row>
    <row r="30" spans="2:17">
      <c r="B30" s="2">
        <v>22</v>
      </c>
      <c r="C30" s="3" t="s">
        <v>60</v>
      </c>
      <c r="D30" s="3" t="s">
        <v>243</v>
      </c>
      <c r="E30" s="3" t="s">
        <v>118</v>
      </c>
      <c r="F30" s="5" t="s">
        <v>302</v>
      </c>
      <c r="G30" s="5" t="s">
        <v>111</v>
      </c>
      <c r="H30" s="6" t="s">
        <v>111</v>
      </c>
      <c r="I30" s="6"/>
      <c r="J30" s="5"/>
      <c r="K30" s="7"/>
      <c r="L30" s="36">
        <v>3</v>
      </c>
      <c r="Q30" s="5">
        <f t="shared" si="0"/>
        <v>0</v>
      </c>
    </row>
    <row r="31" spans="2:17">
      <c r="B31" s="2">
        <v>23</v>
      </c>
      <c r="C31" s="3" t="s">
        <v>48</v>
      </c>
      <c r="D31" s="3" t="s">
        <v>244</v>
      </c>
      <c r="E31" s="3" t="s">
        <v>120</v>
      </c>
      <c r="F31" s="5" t="s">
        <v>302</v>
      </c>
      <c r="G31" s="5" t="s">
        <v>111</v>
      </c>
      <c r="H31" s="5" t="s">
        <v>111</v>
      </c>
      <c r="I31" s="5"/>
      <c r="J31" s="5" t="s">
        <v>62</v>
      </c>
      <c r="K31" s="9" t="s">
        <v>114</v>
      </c>
      <c r="L31" s="36">
        <v>3</v>
      </c>
      <c r="Q31" s="5">
        <f t="shared" si="0"/>
        <v>0</v>
      </c>
    </row>
    <row r="32" spans="2:17">
      <c r="B32" s="2">
        <v>24</v>
      </c>
      <c r="C32" s="3" t="s">
        <v>61</v>
      </c>
      <c r="D32" s="3" t="s">
        <v>245</v>
      </c>
      <c r="E32" s="3" t="s">
        <v>118</v>
      </c>
      <c r="F32" s="5" t="s">
        <v>302</v>
      </c>
      <c r="G32" s="5" t="s">
        <v>111</v>
      </c>
      <c r="H32" s="5" t="s">
        <v>111</v>
      </c>
      <c r="I32" s="5"/>
      <c r="J32" s="5" t="s">
        <v>62</v>
      </c>
      <c r="K32" s="7" t="s">
        <v>114</v>
      </c>
      <c r="L32" s="36">
        <v>3</v>
      </c>
      <c r="Q32" s="5">
        <f t="shared" si="0"/>
        <v>0</v>
      </c>
    </row>
    <row r="33" spans="2:17">
      <c r="B33" s="2">
        <v>25</v>
      </c>
      <c r="C33" s="3" t="s">
        <v>181</v>
      </c>
      <c r="D33" s="3" t="s">
        <v>181</v>
      </c>
      <c r="E33" s="3" t="s">
        <v>118</v>
      </c>
      <c r="F33" s="5" t="s">
        <v>302</v>
      </c>
      <c r="G33" s="5" t="s">
        <v>112</v>
      </c>
      <c r="H33" s="6"/>
      <c r="I33" s="6"/>
      <c r="J33" s="5"/>
      <c r="K33" s="7"/>
      <c r="L33" s="36">
        <v>1</v>
      </c>
      <c r="Q33" s="5">
        <f t="shared" si="0"/>
        <v>0</v>
      </c>
    </row>
    <row r="34" spans="2:17">
      <c r="B34" s="2">
        <v>26</v>
      </c>
      <c r="C34" s="3" t="s">
        <v>246</v>
      </c>
      <c r="D34" s="3" t="s">
        <v>246</v>
      </c>
      <c r="E34" s="3" t="s">
        <v>118</v>
      </c>
      <c r="F34" s="5" t="s">
        <v>302</v>
      </c>
      <c r="G34" s="5" t="s">
        <v>111</v>
      </c>
      <c r="H34" s="5" t="s">
        <v>111</v>
      </c>
      <c r="I34" s="5"/>
      <c r="J34" s="5" t="s">
        <v>157</v>
      </c>
      <c r="K34" s="7" t="s">
        <v>114</v>
      </c>
      <c r="L34" s="36">
        <v>3</v>
      </c>
      <c r="Q34" s="5">
        <f t="shared" si="0"/>
        <v>0</v>
      </c>
    </row>
    <row r="35" spans="2:17">
      <c r="B35" s="2">
        <v>27</v>
      </c>
      <c r="C35" s="22" t="s">
        <v>247</v>
      </c>
      <c r="D35" s="22" t="s">
        <v>247</v>
      </c>
      <c r="E35" s="3" t="s">
        <v>118</v>
      </c>
      <c r="F35" s="5" t="s">
        <v>302</v>
      </c>
      <c r="G35" s="5" t="s">
        <v>111</v>
      </c>
      <c r="H35" s="5" t="s">
        <v>111</v>
      </c>
      <c r="I35" s="5"/>
      <c r="J35" s="5" t="s">
        <v>157</v>
      </c>
      <c r="K35" s="7" t="s">
        <v>113</v>
      </c>
      <c r="L35" s="36">
        <v>4</v>
      </c>
      <c r="N35" s="5" t="s">
        <v>111</v>
      </c>
      <c r="Q35" s="5">
        <f t="shared" si="0"/>
        <v>1</v>
      </c>
    </row>
    <row r="36" spans="2:17">
      <c r="B36" s="2">
        <v>28</v>
      </c>
      <c r="C36" s="3" t="s">
        <v>63</v>
      </c>
      <c r="D36" s="3" t="s">
        <v>248</v>
      </c>
      <c r="E36" s="3" t="s">
        <v>118</v>
      </c>
      <c r="F36" s="5" t="s">
        <v>302</v>
      </c>
      <c r="G36" s="5" t="s">
        <v>111</v>
      </c>
      <c r="H36" s="5" t="s">
        <v>111</v>
      </c>
      <c r="I36" s="5"/>
      <c r="J36" s="5" t="s">
        <v>157</v>
      </c>
      <c r="K36" s="7" t="s">
        <v>114</v>
      </c>
      <c r="L36" s="36">
        <v>3</v>
      </c>
      <c r="Q36" s="5">
        <f t="shared" si="0"/>
        <v>0</v>
      </c>
    </row>
    <row r="37" spans="2:17">
      <c r="B37" s="2">
        <v>29</v>
      </c>
      <c r="C37" s="3" t="s">
        <v>146</v>
      </c>
      <c r="D37" s="3" t="s">
        <v>249</v>
      </c>
      <c r="E37" s="3" t="s">
        <v>118</v>
      </c>
      <c r="F37" s="5" t="s">
        <v>302</v>
      </c>
      <c r="G37" s="5" t="s">
        <v>111</v>
      </c>
      <c r="H37" s="6" t="s">
        <v>111</v>
      </c>
      <c r="I37" s="6"/>
      <c r="J37" s="5" t="s">
        <v>62</v>
      </c>
      <c r="K37" s="7" t="s">
        <v>113</v>
      </c>
      <c r="L37" s="36">
        <v>4</v>
      </c>
      <c r="P37" s="5" t="s">
        <v>111</v>
      </c>
      <c r="Q37" s="5">
        <f t="shared" si="0"/>
        <v>1</v>
      </c>
    </row>
    <row r="38" spans="2:17" ht="15" thickBot="1">
      <c r="B38" s="41">
        <v>30</v>
      </c>
      <c r="C38" s="12" t="s">
        <v>147</v>
      </c>
      <c r="D38" s="12" t="s">
        <v>183</v>
      </c>
      <c r="E38" s="12" t="s">
        <v>118</v>
      </c>
      <c r="F38" s="14" t="s">
        <v>302</v>
      </c>
      <c r="G38" s="14" t="s">
        <v>111</v>
      </c>
      <c r="H38" s="13" t="s">
        <v>112</v>
      </c>
      <c r="I38" s="14" t="s">
        <v>156</v>
      </c>
      <c r="J38" s="14"/>
      <c r="K38" s="23"/>
      <c r="L38" s="37">
        <v>2</v>
      </c>
      <c r="M38" s="14"/>
      <c r="N38" s="14"/>
      <c r="O38" s="14"/>
      <c r="P38" s="14"/>
      <c r="Q38" s="14">
        <f t="shared" si="0"/>
        <v>0</v>
      </c>
    </row>
  </sheetData>
  <sortState ref="B2:Q31">
    <sortCondition ref="C2"/>
  </sortState>
  <mergeCells count="1">
    <mergeCell ref="M7:Q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9"/>
  <sheetViews>
    <sheetView workbookViewId="0"/>
  </sheetViews>
  <sheetFormatPr baseColWidth="10" defaultColWidth="8.83203125" defaultRowHeight="14" x14ac:dyDescent="0"/>
  <cols>
    <col min="1" max="1" width="8.83203125" style="2"/>
    <col min="2" max="2" width="5.1640625" style="2" customWidth="1"/>
    <col min="3" max="4" width="16.6640625" style="2" customWidth="1"/>
    <col min="5" max="5" width="20.5" style="2" customWidth="1"/>
    <col min="6" max="7" width="23" style="2" customWidth="1"/>
    <col min="8" max="8" width="14.6640625" style="2" customWidth="1"/>
    <col min="9" max="9" width="30" style="5" customWidth="1"/>
    <col min="10" max="10" width="19" style="2" customWidth="1"/>
    <col min="11" max="11" width="18.5" style="5" customWidth="1"/>
    <col min="12" max="12" width="20.6640625" style="5" customWidth="1"/>
    <col min="13" max="16" width="9.1640625" style="5" customWidth="1"/>
    <col min="17" max="17" width="19.1640625" style="2" customWidth="1"/>
    <col min="18" max="16384" width="8.83203125" style="2"/>
  </cols>
  <sheetData>
    <row r="1" spans="2:17" ht="23">
      <c r="C1" s="46" t="s">
        <v>335</v>
      </c>
    </row>
    <row r="2" spans="2:17" ht="15">
      <c r="C2" s="45" t="s">
        <v>336</v>
      </c>
    </row>
    <row r="4" spans="2:17" ht="15">
      <c r="C4" s="47" t="s">
        <v>334</v>
      </c>
    </row>
    <row r="5" spans="2:17" ht="18">
      <c r="C5" s="58" t="s">
        <v>309</v>
      </c>
    </row>
    <row r="6" spans="2:17" ht="15" thickBot="1">
      <c r="B6" s="41"/>
      <c r="C6" s="41"/>
      <c r="D6" s="41"/>
      <c r="E6" s="41"/>
      <c r="F6" s="41"/>
      <c r="G6" s="41"/>
      <c r="H6" s="41"/>
      <c r="I6" s="14"/>
      <c r="J6" s="41"/>
      <c r="K6" s="14"/>
      <c r="L6" s="14"/>
      <c r="M6" s="14"/>
      <c r="N6" s="14"/>
      <c r="O6" s="14"/>
      <c r="P6" s="14"/>
      <c r="Q6" s="41"/>
    </row>
    <row r="7" spans="2:17" ht="42" customHeight="1" thickBot="1">
      <c r="B7" s="40"/>
      <c r="C7" s="18" t="s">
        <v>292</v>
      </c>
      <c r="D7" s="18" t="s">
        <v>293</v>
      </c>
      <c r="E7" s="40" t="s">
        <v>291</v>
      </c>
      <c r="F7" s="19" t="s">
        <v>150</v>
      </c>
      <c r="G7" s="19" t="s">
        <v>155</v>
      </c>
      <c r="H7" s="19" t="s">
        <v>296</v>
      </c>
      <c r="I7" s="19" t="s">
        <v>295</v>
      </c>
      <c r="J7" s="19" t="s">
        <v>294</v>
      </c>
      <c r="K7" s="40" t="s">
        <v>297</v>
      </c>
      <c r="L7" s="40" t="s">
        <v>298</v>
      </c>
      <c r="M7" s="72" t="s">
        <v>312</v>
      </c>
      <c r="N7" s="72"/>
      <c r="O7" s="72"/>
      <c r="P7" s="72"/>
      <c r="Q7" s="72"/>
    </row>
    <row r="8" spans="2:17" s="18" customFormat="1" ht="15" thickBot="1">
      <c r="B8" s="20"/>
      <c r="C8" s="20"/>
      <c r="D8" s="20"/>
      <c r="E8" s="21"/>
      <c r="F8" s="20"/>
      <c r="G8" s="20"/>
      <c r="H8" s="20"/>
      <c r="I8" s="20"/>
      <c r="J8" s="20"/>
      <c r="K8" s="20"/>
      <c r="L8" s="20"/>
      <c r="M8" s="1" t="s">
        <v>299</v>
      </c>
      <c r="N8" s="1" t="s">
        <v>300</v>
      </c>
      <c r="O8" s="1" t="s">
        <v>151</v>
      </c>
      <c r="P8" s="1" t="s">
        <v>152</v>
      </c>
      <c r="Q8" s="21" t="s">
        <v>301</v>
      </c>
    </row>
    <row r="9" spans="2:17">
      <c r="B9" s="2">
        <v>1</v>
      </c>
      <c r="C9" s="3" t="s">
        <v>88</v>
      </c>
      <c r="D9" s="10" t="s">
        <v>263</v>
      </c>
      <c r="E9" s="49" t="s">
        <v>117</v>
      </c>
      <c r="F9" s="6" t="s">
        <v>289</v>
      </c>
      <c r="G9" s="5" t="s">
        <v>111</v>
      </c>
      <c r="H9" s="5" t="s">
        <v>111</v>
      </c>
      <c r="J9" s="5" t="s">
        <v>157</v>
      </c>
      <c r="K9" s="9" t="s">
        <v>113</v>
      </c>
      <c r="L9" s="42">
        <v>4</v>
      </c>
      <c r="O9" s="5" t="s">
        <v>111</v>
      </c>
      <c r="Q9" s="5">
        <f>COUNTIF(M9:P9,"yes")</f>
        <v>1</v>
      </c>
    </row>
    <row r="10" spans="2:17">
      <c r="B10" s="2">
        <v>2</v>
      </c>
      <c r="C10" s="3" t="s">
        <v>89</v>
      </c>
      <c r="D10" s="4" t="s">
        <v>264</v>
      </c>
      <c r="E10" s="49" t="s">
        <v>120</v>
      </c>
      <c r="F10" s="6" t="s">
        <v>289</v>
      </c>
      <c r="G10" s="5" t="s">
        <v>111</v>
      </c>
      <c r="H10" s="5" t="s">
        <v>111</v>
      </c>
      <c r="J10" s="5" t="s">
        <v>157</v>
      </c>
      <c r="K10" s="9" t="s">
        <v>115</v>
      </c>
      <c r="L10" s="36">
        <v>4</v>
      </c>
      <c r="M10" s="5" t="s">
        <v>111</v>
      </c>
      <c r="N10" s="5" t="s">
        <v>111</v>
      </c>
      <c r="O10" s="5" t="s">
        <v>111</v>
      </c>
      <c r="P10" s="5" t="s">
        <v>111</v>
      </c>
      <c r="Q10" s="5">
        <f t="shared" ref="Q10:Q19" si="0">COUNTIF(M10:P10,"yes")</f>
        <v>4</v>
      </c>
    </row>
    <row r="11" spans="2:17">
      <c r="B11" s="2">
        <v>3</v>
      </c>
      <c r="C11" s="3" t="s">
        <v>90</v>
      </c>
      <c r="D11" s="4" t="s">
        <v>265</v>
      </c>
      <c r="E11" s="49" t="s">
        <v>120</v>
      </c>
      <c r="F11" s="6" t="s">
        <v>289</v>
      </c>
      <c r="G11" s="5" t="s">
        <v>111</v>
      </c>
      <c r="H11" s="5" t="s">
        <v>111</v>
      </c>
      <c r="J11" s="5" t="s">
        <v>157</v>
      </c>
      <c r="K11" s="9" t="s">
        <v>158</v>
      </c>
      <c r="L11" s="36">
        <v>4</v>
      </c>
      <c r="O11" s="5" t="s">
        <v>111</v>
      </c>
      <c r="P11" s="5" t="s">
        <v>111</v>
      </c>
      <c r="Q11" s="5">
        <f t="shared" si="0"/>
        <v>2</v>
      </c>
    </row>
    <row r="12" spans="2:17">
      <c r="B12" s="2">
        <v>4</v>
      </c>
      <c r="C12" s="3" t="s">
        <v>91</v>
      </c>
      <c r="D12" s="4" t="s">
        <v>266</v>
      </c>
      <c r="E12" s="49" t="s">
        <v>120</v>
      </c>
      <c r="F12" s="6" t="s">
        <v>289</v>
      </c>
      <c r="G12" s="5" t="s">
        <v>111</v>
      </c>
      <c r="H12" s="5" t="s">
        <v>111</v>
      </c>
      <c r="J12" s="5" t="s">
        <v>157</v>
      </c>
      <c r="K12" s="7" t="s">
        <v>113</v>
      </c>
      <c r="L12" s="36">
        <v>4</v>
      </c>
      <c r="M12" s="5" t="s">
        <v>111</v>
      </c>
      <c r="N12" s="5" t="s">
        <v>111</v>
      </c>
      <c r="O12" s="5" t="s">
        <v>111</v>
      </c>
      <c r="P12" s="5" t="s">
        <v>111</v>
      </c>
      <c r="Q12" s="5">
        <f t="shared" si="0"/>
        <v>4</v>
      </c>
    </row>
    <row r="13" spans="2:17">
      <c r="B13" s="2">
        <v>5</v>
      </c>
      <c r="C13" s="3" t="s">
        <v>129</v>
      </c>
      <c r="D13" s="4" t="s">
        <v>166</v>
      </c>
      <c r="E13" s="49" t="s">
        <v>117</v>
      </c>
      <c r="F13" s="6" t="s">
        <v>289</v>
      </c>
      <c r="G13" s="5" t="s">
        <v>112</v>
      </c>
      <c r="H13" s="5"/>
      <c r="I13" s="6"/>
      <c r="J13" s="5"/>
      <c r="K13" s="9"/>
      <c r="L13" s="36">
        <v>1</v>
      </c>
      <c r="Q13" s="5">
        <f t="shared" si="0"/>
        <v>0</v>
      </c>
    </row>
    <row r="14" spans="2:17">
      <c r="B14" s="2">
        <v>6</v>
      </c>
      <c r="C14" s="3" t="s">
        <v>92</v>
      </c>
      <c r="D14" s="4" t="s">
        <v>267</v>
      </c>
      <c r="E14" s="49" t="s">
        <v>120</v>
      </c>
      <c r="F14" s="6" t="s">
        <v>289</v>
      </c>
      <c r="G14" s="5" t="s">
        <v>111</v>
      </c>
      <c r="H14" s="5" t="s">
        <v>111</v>
      </c>
      <c r="J14" s="5" t="s">
        <v>157</v>
      </c>
      <c r="K14" s="9" t="s">
        <v>113</v>
      </c>
      <c r="L14" s="36">
        <v>4</v>
      </c>
      <c r="O14" s="5" t="s">
        <v>111</v>
      </c>
      <c r="Q14" s="5">
        <f t="shared" si="0"/>
        <v>1</v>
      </c>
    </row>
    <row r="15" spans="2:17">
      <c r="B15" s="2">
        <v>7</v>
      </c>
      <c r="C15" s="3" t="s">
        <v>93</v>
      </c>
      <c r="D15" s="10" t="s">
        <v>268</v>
      </c>
      <c r="E15" s="49" t="s">
        <v>117</v>
      </c>
      <c r="F15" s="6" t="s">
        <v>289</v>
      </c>
      <c r="G15" s="5" t="s">
        <v>111</v>
      </c>
      <c r="H15" s="5" t="s">
        <v>111</v>
      </c>
      <c r="J15" s="5" t="s">
        <v>157</v>
      </c>
      <c r="K15" s="9" t="s">
        <v>114</v>
      </c>
      <c r="L15" s="36">
        <v>3</v>
      </c>
      <c r="Q15" s="5">
        <f t="shared" si="0"/>
        <v>0</v>
      </c>
    </row>
    <row r="16" spans="2:17">
      <c r="B16" s="2">
        <v>8</v>
      </c>
      <c r="C16" s="3" t="s">
        <v>94</v>
      </c>
      <c r="D16" s="10" t="s">
        <v>269</v>
      </c>
      <c r="E16" s="49" t="s">
        <v>117</v>
      </c>
      <c r="F16" s="6" t="s">
        <v>289</v>
      </c>
      <c r="G16" s="5" t="s">
        <v>111</v>
      </c>
      <c r="H16" s="5" t="s">
        <v>111</v>
      </c>
      <c r="J16" s="5" t="s">
        <v>157</v>
      </c>
      <c r="K16" s="7" t="s">
        <v>113</v>
      </c>
      <c r="L16" s="36">
        <v>4</v>
      </c>
      <c r="O16" s="5" t="s">
        <v>111</v>
      </c>
      <c r="Q16" s="5">
        <f t="shared" si="0"/>
        <v>1</v>
      </c>
    </row>
    <row r="17" spans="2:17">
      <c r="B17" s="2">
        <v>9</v>
      </c>
      <c r="C17" s="3" t="s">
        <v>95</v>
      </c>
      <c r="D17" s="10" t="s">
        <v>270</v>
      </c>
      <c r="E17" s="49" t="s">
        <v>120</v>
      </c>
      <c r="F17" s="6" t="s">
        <v>289</v>
      </c>
      <c r="G17" s="5" t="s">
        <v>111</v>
      </c>
      <c r="H17" s="5" t="s">
        <v>111</v>
      </c>
      <c r="J17" s="5" t="s">
        <v>157</v>
      </c>
      <c r="K17" s="9" t="s">
        <v>113</v>
      </c>
      <c r="L17" s="36">
        <v>4</v>
      </c>
      <c r="O17" s="5" t="s">
        <v>111</v>
      </c>
      <c r="P17" s="5" t="s">
        <v>111</v>
      </c>
      <c r="Q17" s="5">
        <f t="shared" si="0"/>
        <v>2</v>
      </c>
    </row>
    <row r="18" spans="2:17">
      <c r="B18" s="2">
        <v>10</v>
      </c>
      <c r="C18" s="3" t="s">
        <v>96</v>
      </c>
      <c r="D18" s="3" t="s">
        <v>271</v>
      </c>
      <c r="E18" s="49" t="s">
        <v>120</v>
      </c>
      <c r="F18" s="6" t="s">
        <v>289</v>
      </c>
      <c r="G18" s="5" t="s">
        <v>111</v>
      </c>
      <c r="H18" s="5" t="s">
        <v>111</v>
      </c>
      <c r="J18" s="5" t="s">
        <v>157</v>
      </c>
      <c r="K18" s="7" t="s">
        <v>114</v>
      </c>
      <c r="L18" s="36">
        <v>3</v>
      </c>
      <c r="Q18" s="5">
        <f t="shared" si="0"/>
        <v>0</v>
      </c>
    </row>
    <row r="19" spans="2:17" ht="15" thickBot="1">
      <c r="B19" s="41">
        <v>11</v>
      </c>
      <c r="C19" s="12" t="s">
        <v>143</v>
      </c>
      <c r="D19" s="35" t="s">
        <v>272</v>
      </c>
      <c r="E19" s="50" t="s">
        <v>120</v>
      </c>
      <c r="F19" s="13" t="s">
        <v>289</v>
      </c>
      <c r="G19" s="14" t="s">
        <v>111</v>
      </c>
      <c r="H19" s="14" t="s">
        <v>111</v>
      </c>
      <c r="I19" s="14"/>
      <c r="J19" s="14" t="s">
        <v>157</v>
      </c>
      <c r="K19" s="15" t="s">
        <v>113</v>
      </c>
      <c r="L19" s="37">
        <v>3</v>
      </c>
      <c r="M19" s="14"/>
      <c r="N19" s="14"/>
      <c r="O19" s="14"/>
      <c r="P19" s="14"/>
      <c r="Q19" s="14">
        <f t="shared" si="0"/>
        <v>0</v>
      </c>
    </row>
  </sheetData>
  <sortState ref="B3:Q13">
    <sortCondition ref="C3"/>
  </sortState>
  <mergeCells count="1">
    <mergeCell ref="M7:Q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7"/>
  <sheetViews>
    <sheetView workbookViewId="0"/>
  </sheetViews>
  <sheetFormatPr baseColWidth="10" defaultColWidth="8.83203125" defaultRowHeight="14" x14ac:dyDescent="0"/>
  <cols>
    <col min="1" max="1" width="6" style="2" customWidth="1"/>
    <col min="2" max="2" width="5.5" style="2" customWidth="1"/>
    <col min="3" max="3" width="16.6640625" style="2" customWidth="1"/>
    <col min="4" max="4" width="27" style="2" bestFit="1" customWidth="1"/>
    <col min="5" max="5" width="20.5" style="2" customWidth="1"/>
    <col min="6" max="7" width="23" style="2" customWidth="1"/>
    <col min="8" max="8" width="14.6640625" style="2" customWidth="1"/>
    <col min="9" max="9" width="30" style="5" customWidth="1"/>
    <col min="10" max="10" width="19" style="2" customWidth="1"/>
    <col min="11" max="11" width="18.5" style="5" customWidth="1"/>
    <col min="12" max="12" width="20.6640625" style="5" customWidth="1"/>
    <col min="13" max="16" width="9.1640625" style="5" customWidth="1"/>
    <col min="17" max="17" width="19.1640625" style="2" customWidth="1"/>
    <col min="18" max="16384" width="8.83203125" style="2"/>
  </cols>
  <sheetData>
    <row r="1" spans="2:17" ht="23">
      <c r="C1" s="46" t="s">
        <v>335</v>
      </c>
    </row>
    <row r="2" spans="2:17" ht="15">
      <c r="C2" s="45" t="s">
        <v>336</v>
      </c>
    </row>
    <row r="4" spans="2:17" ht="15">
      <c r="C4" s="47" t="s">
        <v>334</v>
      </c>
    </row>
    <row r="5" spans="2:17" ht="18">
      <c r="C5" s="51" t="s">
        <v>310</v>
      </c>
    </row>
    <row r="6" spans="2:17" ht="15" thickBot="1">
      <c r="B6" s="41"/>
      <c r="C6" s="41"/>
      <c r="D6" s="41"/>
      <c r="E6" s="41"/>
      <c r="F6" s="41"/>
      <c r="G6" s="41"/>
      <c r="H6" s="41"/>
      <c r="I6" s="14"/>
      <c r="J6" s="41"/>
      <c r="K6" s="14"/>
      <c r="L6" s="14"/>
      <c r="M6" s="14"/>
      <c r="N6" s="14"/>
      <c r="O6" s="14"/>
      <c r="P6" s="14"/>
      <c r="Q6" s="41"/>
    </row>
    <row r="7" spans="2:17" ht="42" customHeight="1" thickBot="1">
      <c r="C7" s="18" t="s">
        <v>292</v>
      </c>
      <c r="D7" s="18" t="s">
        <v>293</v>
      </c>
      <c r="E7" s="40" t="s">
        <v>291</v>
      </c>
      <c r="F7" s="19" t="s">
        <v>150</v>
      </c>
      <c r="G7" s="19" t="s">
        <v>155</v>
      </c>
      <c r="H7" s="19" t="s">
        <v>296</v>
      </c>
      <c r="I7" s="19" t="s">
        <v>295</v>
      </c>
      <c r="J7" s="19" t="s">
        <v>294</v>
      </c>
      <c r="K7" s="40" t="s">
        <v>297</v>
      </c>
      <c r="L7" s="40" t="s">
        <v>298</v>
      </c>
      <c r="M7" s="72" t="s">
        <v>313</v>
      </c>
      <c r="N7" s="72"/>
      <c r="O7" s="72"/>
      <c r="P7" s="72"/>
      <c r="Q7" s="72"/>
    </row>
    <row r="8" spans="2:17" s="18" customFormat="1" ht="15" thickBot="1">
      <c r="B8" s="21"/>
      <c r="C8" s="20"/>
      <c r="D8" s="20"/>
      <c r="E8" s="21"/>
      <c r="F8" s="20"/>
      <c r="G8" s="20"/>
      <c r="H8" s="20"/>
      <c r="I8" s="20"/>
      <c r="J8" s="20"/>
      <c r="K8" s="20"/>
      <c r="L8" s="20"/>
      <c r="M8" s="21" t="s">
        <v>299</v>
      </c>
      <c r="N8" s="21" t="s">
        <v>300</v>
      </c>
      <c r="O8" s="21" t="s">
        <v>151</v>
      </c>
      <c r="P8" s="21" t="s">
        <v>152</v>
      </c>
      <c r="Q8" s="16" t="s">
        <v>301</v>
      </c>
    </row>
    <row r="9" spans="2:17">
      <c r="B9" s="2">
        <v>1</v>
      </c>
      <c r="C9" s="3" t="s">
        <v>97</v>
      </c>
      <c r="D9" s="4" t="s">
        <v>273</v>
      </c>
      <c r="E9" s="49" t="s">
        <v>117</v>
      </c>
      <c r="F9" s="6" t="s">
        <v>290</v>
      </c>
      <c r="G9" s="5" t="s">
        <v>111</v>
      </c>
      <c r="H9" s="5" t="s">
        <v>111</v>
      </c>
      <c r="J9" s="6" t="s">
        <v>157</v>
      </c>
      <c r="K9" s="9" t="s">
        <v>115</v>
      </c>
      <c r="L9" s="24">
        <v>4</v>
      </c>
      <c r="M9" s="38" t="s">
        <v>111</v>
      </c>
      <c r="N9" s="5" t="s">
        <v>111</v>
      </c>
      <c r="O9" s="5" t="s">
        <v>111</v>
      </c>
      <c r="P9" s="5" t="s">
        <v>111</v>
      </c>
      <c r="Q9" s="5">
        <f>COUNTIF(M9:P9,"yes")</f>
        <v>4</v>
      </c>
    </row>
    <row r="10" spans="2:17">
      <c r="B10" s="2">
        <v>2</v>
      </c>
      <c r="C10" s="3" t="s">
        <v>98</v>
      </c>
      <c r="D10" s="4" t="s">
        <v>274</v>
      </c>
      <c r="E10" s="49" t="s">
        <v>120</v>
      </c>
      <c r="F10" s="6" t="s">
        <v>290</v>
      </c>
      <c r="G10" s="5" t="s">
        <v>111</v>
      </c>
      <c r="H10" s="5" t="s">
        <v>111</v>
      </c>
      <c r="J10" s="5" t="s">
        <v>160</v>
      </c>
      <c r="K10" s="7" t="s">
        <v>115</v>
      </c>
      <c r="L10" s="24">
        <v>4</v>
      </c>
      <c r="M10" s="38" t="s">
        <v>111</v>
      </c>
      <c r="N10" s="5" t="s">
        <v>111</v>
      </c>
      <c r="P10" s="5" t="s">
        <v>111</v>
      </c>
      <c r="Q10" s="5">
        <f t="shared" ref="Q10:Q26" si="0">COUNTIF(M10:P10,"yes")</f>
        <v>3</v>
      </c>
    </row>
    <row r="11" spans="2:17">
      <c r="B11" s="2">
        <v>3</v>
      </c>
      <c r="C11" s="3" t="s">
        <v>109</v>
      </c>
      <c r="D11" s="4" t="s">
        <v>275</v>
      </c>
      <c r="E11" s="49" t="s">
        <v>118</v>
      </c>
      <c r="F11" s="6" t="s">
        <v>290</v>
      </c>
      <c r="G11" s="5" t="s">
        <v>111</v>
      </c>
      <c r="H11" s="5" t="s">
        <v>111</v>
      </c>
      <c r="J11" s="5" t="s">
        <v>157</v>
      </c>
      <c r="K11" s="7" t="s">
        <v>113</v>
      </c>
      <c r="L11" s="24">
        <v>4</v>
      </c>
      <c r="M11" s="38"/>
      <c r="O11" s="5" t="s">
        <v>111</v>
      </c>
      <c r="Q11" s="5">
        <f t="shared" si="0"/>
        <v>1</v>
      </c>
    </row>
    <row r="12" spans="2:17">
      <c r="B12" s="2">
        <v>4</v>
      </c>
      <c r="C12" s="3" t="s">
        <v>99</v>
      </c>
      <c r="D12" s="4" t="s">
        <v>190</v>
      </c>
      <c r="E12" s="49" t="s">
        <v>120</v>
      </c>
      <c r="F12" s="6" t="s">
        <v>290</v>
      </c>
      <c r="G12" s="5" t="s">
        <v>111</v>
      </c>
      <c r="H12" s="5" t="s">
        <v>112</v>
      </c>
      <c r="I12" s="11" t="s">
        <v>331</v>
      </c>
      <c r="J12" s="5"/>
      <c r="K12" s="9"/>
      <c r="L12" s="24">
        <v>2</v>
      </c>
      <c r="M12" s="38"/>
      <c r="Q12" s="5">
        <f t="shared" si="0"/>
        <v>0</v>
      </c>
    </row>
    <row r="13" spans="2:17">
      <c r="B13" s="2">
        <v>5</v>
      </c>
      <c r="C13" s="3" t="s">
        <v>100</v>
      </c>
      <c r="D13" s="10" t="s">
        <v>276</v>
      </c>
      <c r="E13" s="49" t="s">
        <v>117</v>
      </c>
      <c r="F13" s="6" t="s">
        <v>290</v>
      </c>
      <c r="G13" s="5" t="s">
        <v>111</v>
      </c>
      <c r="H13" s="5" t="s">
        <v>111</v>
      </c>
      <c r="J13" s="5" t="s">
        <v>157</v>
      </c>
      <c r="K13" s="7" t="s">
        <v>113</v>
      </c>
      <c r="L13" s="24">
        <v>3</v>
      </c>
      <c r="M13" s="38"/>
      <c r="Q13" s="5">
        <f t="shared" si="0"/>
        <v>0</v>
      </c>
    </row>
    <row r="14" spans="2:17">
      <c r="B14" s="2">
        <v>6</v>
      </c>
      <c r="C14" s="3" t="s">
        <v>110</v>
      </c>
      <c r="D14" s="4" t="s">
        <v>110</v>
      </c>
      <c r="E14" s="49" t="s">
        <v>118</v>
      </c>
      <c r="F14" s="6" t="s">
        <v>290</v>
      </c>
      <c r="G14" s="5" t="s">
        <v>111</v>
      </c>
      <c r="H14" s="5" t="s">
        <v>111</v>
      </c>
      <c r="J14" s="5" t="s">
        <v>157</v>
      </c>
      <c r="K14" s="7" t="s">
        <v>113</v>
      </c>
      <c r="L14" s="24">
        <v>4</v>
      </c>
      <c r="M14" s="38" t="s">
        <v>111</v>
      </c>
      <c r="N14" s="5" t="s">
        <v>111</v>
      </c>
      <c r="O14" s="5" t="s">
        <v>111</v>
      </c>
      <c r="P14" s="5" t="s">
        <v>111</v>
      </c>
      <c r="Q14" s="5">
        <f t="shared" si="0"/>
        <v>4</v>
      </c>
    </row>
    <row r="15" spans="2:17">
      <c r="B15" s="2">
        <v>7</v>
      </c>
      <c r="C15" s="3" t="s">
        <v>101</v>
      </c>
      <c r="D15" s="4" t="s">
        <v>178</v>
      </c>
      <c r="E15" s="49" t="s">
        <v>120</v>
      </c>
      <c r="F15" s="6" t="s">
        <v>290</v>
      </c>
      <c r="G15" s="5" t="s">
        <v>112</v>
      </c>
      <c r="H15" s="5"/>
      <c r="I15" s="6"/>
      <c r="J15" s="5"/>
      <c r="K15" s="9"/>
      <c r="L15" s="24">
        <v>1</v>
      </c>
      <c r="M15" s="38"/>
      <c r="Q15" s="5">
        <f t="shared" si="0"/>
        <v>0</v>
      </c>
    </row>
    <row r="16" spans="2:17">
      <c r="B16" s="2">
        <v>8</v>
      </c>
      <c r="C16" s="3" t="s">
        <v>135</v>
      </c>
      <c r="D16" s="4" t="s">
        <v>168</v>
      </c>
      <c r="E16" s="49" t="s">
        <v>120</v>
      </c>
      <c r="F16" s="6" t="s">
        <v>290</v>
      </c>
      <c r="G16" s="5" t="s">
        <v>112</v>
      </c>
      <c r="H16" s="9"/>
      <c r="I16" s="6"/>
      <c r="J16" s="5"/>
      <c r="K16" s="7"/>
      <c r="L16" s="24">
        <v>1</v>
      </c>
      <c r="M16" s="38"/>
      <c r="Q16" s="5">
        <f t="shared" si="0"/>
        <v>0</v>
      </c>
    </row>
    <row r="17" spans="2:17">
      <c r="B17" s="2">
        <v>9</v>
      </c>
      <c r="C17" s="3" t="s">
        <v>102</v>
      </c>
      <c r="D17" s="4" t="s">
        <v>102</v>
      </c>
      <c r="E17" s="49" t="s">
        <v>120</v>
      </c>
      <c r="F17" s="6" t="s">
        <v>290</v>
      </c>
      <c r="G17" s="5" t="s">
        <v>111</v>
      </c>
      <c r="H17" s="5" t="s">
        <v>111</v>
      </c>
      <c r="J17" s="5" t="s">
        <v>157</v>
      </c>
      <c r="K17" s="7" t="s">
        <v>115</v>
      </c>
      <c r="L17" s="24">
        <v>4</v>
      </c>
      <c r="M17" s="38" t="s">
        <v>111</v>
      </c>
      <c r="N17" s="5" t="s">
        <v>111</v>
      </c>
      <c r="O17" s="5" t="s">
        <v>111</v>
      </c>
      <c r="P17" s="5" t="s">
        <v>111</v>
      </c>
      <c r="Q17" s="5">
        <f t="shared" si="0"/>
        <v>4</v>
      </c>
    </row>
    <row r="18" spans="2:17">
      <c r="B18" s="2">
        <v>10</v>
      </c>
      <c r="C18" s="3" t="s">
        <v>137</v>
      </c>
      <c r="D18" s="4" t="s">
        <v>177</v>
      </c>
      <c r="E18" s="49" t="s">
        <v>118</v>
      </c>
      <c r="F18" s="6" t="s">
        <v>290</v>
      </c>
      <c r="G18" s="5" t="s">
        <v>112</v>
      </c>
      <c r="H18" s="5"/>
      <c r="J18" s="5"/>
      <c r="K18" s="9"/>
      <c r="L18" s="24">
        <v>1</v>
      </c>
      <c r="M18" s="38"/>
      <c r="Q18" s="5">
        <f t="shared" si="0"/>
        <v>0</v>
      </c>
    </row>
    <row r="19" spans="2:17">
      <c r="B19" s="2">
        <v>11</v>
      </c>
      <c r="C19" s="3" t="s">
        <v>103</v>
      </c>
      <c r="D19" s="8" t="s">
        <v>103</v>
      </c>
      <c r="E19" s="49" t="s">
        <v>120</v>
      </c>
      <c r="F19" s="6" t="s">
        <v>290</v>
      </c>
      <c r="G19" s="5" t="s">
        <v>111</v>
      </c>
      <c r="H19" s="5" t="s">
        <v>112</v>
      </c>
      <c r="I19" s="11" t="s">
        <v>331</v>
      </c>
      <c r="J19" s="5"/>
      <c r="K19" s="9"/>
      <c r="L19" s="24">
        <v>2</v>
      </c>
      <c r="M19" s="38"/>
      <c r="Q19" s="5">
        <f t="shared" si="0"/>
        <v>0</v>
      </c>
    </row>
    <row r="20" spans="2:17">
      <c r="B20" s="2">
        <v>12</v>
      </c>
      <c r="C20" s="3" t="s">
        <v>138</v>
      </c>
      <c r="D20" s="10" t="s">
        <v>277</v>
      </c>
      <c r="E20" s="49" t="s">
        <v>120</v>
      </c>
      <c r="F20" s="6" t="s">
        <v>290</v>
      </c>
      <c r="G20" s="5" t="s">
        <v>111</v>
      </c>
      <c r="H20" s="5" t="s">
        <v>111</v>
      </c>
      <c r="J20" s="5" t="s">
        <v>157</v>
      </c>
      <c r="K20" s="9" t="s">
        <v>115</v>
      </c>
      <c r="L20" s="24">
        <v>4</v>
      </c>
      <c r="M20" s="38" t="s">
        <v>111</v>
      </c>
      <c r="N20" s="5" t="s">
        <v>111</v>
      </c>
      <c r="O20" s="5" t="s">
        <v>111</v>
      </c>
      <c r="P20" s="5" t="s">
        <v>111</v>
      </c>
      <c r="Q20" s="5">
        <f t="shared" si="0"/>
        <v>4</v>
      </c>
    </row>
    <row r="21" spans="2:17">
      <c r="B21" s="2">
        <v>13</v>
      </c>
      <c r="C21" s="3" t="s">
        <v>104</v>
      </c>
      <c r="D21" s="10" t="s">
        <v>278</v>
      </c>
      <c r="E21" s="49" t="s">
        <v>120</v>
      </c>
      <c r="F21" s="6" t="s">
        <v>290</v>
      </c>
      <c r="G21" s="5" t="s">
        <v>111</v>
      </c>
      <c r="H21" s="5" t="s">
        <v>111</v>
      </c>
      <c r="J21" s="5" t="s">
        <v>157</v>
      </c>
      <c r="K21" s="7" t="s">
        <v>114</v>
      </c>
      <c r="L21" s="24">
        <v>4</v>
      </c>
      <c r="M21" s="38"/>
      <c r="O21" s="5" t="s">
        <v>111</v>
      </c>
      <c r="P21" s="5" t="s">
        <v>111</v>
      </c>
      <c r="Q21" s="5">
        <f t="shared" si="0"/>
        <v>2</v>
      </c>
    </row>
    <row r="22" spans="2:17">
      <c r="B22" s="2">
        <v>14</v>
      </c>
      <c r="C22" s="3" t="s">
        <v>105</v>
      </c>
      <c r="D22" s="4" t="s">
        <v>105</v>
      </c>
      <c r="E22" s="49" t="s">
        <v>117</v>
      </c>
      <c r="F22" s="6" t="s">
        <v>290</v>
      </c>
      <c r="G22" s="5" t="s">
        <v>111</v>
      </c>
      <c r="H22" s="5" t="s">
        <v>111</v>
      </c>
      <c r="J22" s="5" t="s">
        <v>157</v>
      </c>
      <c r="K22" s="9" t="s">
        <v>114</v>
      </c>
      <c r="L22" s="24">
        <v>4</v>
      </c>
      <c r="M22" s="38"/>
      <c r="P22" s="5" t="s">
        <v>111</v>
      </c>
      <c r="Q22" s="5">
        <f t="shared" si="0"/>
        <v>1</v>
      </c>
    </row>
    <row r="23" spans="2:17">
      <c r="B23" s="2">
        <v>15</v>
      </c>
      <c r="C23" s="3" t="s">
        <v>106</v>
      </c>
      <c r="D23" s="4" t="s">
        <v>170</v>
      </c>
      <c r="E23" s="49" t="s">
        <v>120</v>
      </c>
      <c r="F23" s="6" t="s">
        <v>290</v>
      </c>
      <c r="G23" s="5" t="s">
        <v>112</v>
      </c>
      <c r="H23" s="5"/>
      <c r="I23" s="6"/>
      <c r="J23" s="5"/>
      <c r="K23" s="9"/>
      <c r="L23" s="24">
        <v>1</v>
      </c>
      <c r="M23" s="38"/>
      <c r="Q23" s="5">
        <f t="shared" si="0"/>
        <v>0</v>
      </c>
    </row>
    <row r="24" spans="2:17">
      <c r="B24" s="2">
        <v>16</v>
      </c>
      <c r="C24" s="3" t="s">
        <v>145</v>
      </c>
      <c r="D24" s="8" t="s">
        <v>145</v>
      </c>
      <c r="E24" s="49" t="s">
        <v>120</v>
      </c>
      <c r="F24" s="6" t="s">
        <v>290</v>
      </c>
      <c r="G24" s="5" t="s">
        <v>111</v>
      </c>
      <c r="H24" s="5" t="s">
        <v>112</v>
      </c>
      <c r="I24" s="26" t="s">
        <v>284</v>
      </c>
      <c r="J24" s="5"/>
      <c r="K24" s="9"/>
      <c r="L24" s="24">
        <v>2</v>
      </c>
      <c r="M24" s="38"/>
      <c r="Q24" s="5">
        <f t="shared" si="0"/>
        <v>0</v>
      </c>
    </row>
    <row r="25" spans="2:17">
      <c r="B25" s="2">
        <v>17</v>
      </c>
      <c r="C25" s="3" t="s">
        <v>107</v>
      </c>
      <c r="D25" s="8" t="s">
        <v>107</v>
      </c>
      <c r="E25" s="49" t="s">
        <v>120</v>
      </c>
      <c r="F25" s="6" t="s">
        <v>290</v>
      </c>
      <c r="G25" s="5" t="s">
        <v>111</v>
      </c>
      <c r="H25" s="5" t="s">
        <v>112</v>
      </c>
      <c r="I25" s="11" t="s">
        <v>331</v>
      </c>
      <c r="J25" s="5"/>
      <c r="K25" s="9"/>
      <c r="L25" s="24">
        <v>2</v>
      </c>
      <c r="M25" s="38"/>
      <c r="Q25" s="5">
        <f t="shared" si="0"/>
        <v>0</v>
      </c>
    </row>
    <row r="26" spans="2:17" ht="15" thickBot="1">
      <c r="B26" s="41">
        <v>18</v>
      </c>
      <c r="C26" s="12" t="s">
        <v>108</v>
      </c>
      <c r="D26" s="35" t="s">
        <v>279</v>
      </c>
      <c r="E26" s="50" t="s">
        <v>120</v>
      </c>
      <c r="F26" s="13" t="s">
        <v>290</v>
      </c>
      <c r="G26" s="14" t="s">
        <v>111</v>
      </c>
      <c r="H26" s="14" t="s">
        <v>111</v>
      </c>
      <c r="I26" s="14"/>
      <c r="J26" s="14" t="s">
        <v>157</v>
      </c>
      <c r="K26" s="15" t="s">
        <v>113</v>
      </c>
      <c r="L26" s="25">
        <v>4</v>
      </c>
      <c r="M26" s="39"/>
      <c r="N26" s="14"/>
      <c r="O26" s="14" t="s">
        <v>111</v>
      </c>
      <c r="P26" s="14" t="s">
        <v>111</v>
      </c>
      <c r="Q26" s="14">
        <f t="shared" si="0"/>
        <v>2</v>
      </c>
    </row>
    <row r="27" spans="2:17">
      <c r="I27" s="2"/>
      <c r="K27" s="2"/>
    </row>
  </sheetData>
  <sortState ref="B3:Q146">
    <sortCondition ref="F3"/>
  </sortState>
  <mergeCells count="1">
    <mergeCell ref="M7:Q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legend</vt:lpstr>
      <vt:lpstr>all</vt:lpstr>
      <vt:lpstr>AFR</vt:lpstr>
      <vt:lpstr>EMR</vt:lpstr>
      <vt:lpstr>EUR</vt:lpstr>
      <vt:lpstr>AMR</vt:lpstr>
      <vt:lpstr>SEAR</vt:lpstr>
      <vt:lpstr>WPR</vt:lpstr>
    </vt:vector>
  </TitlesOfParts>
  <Company>ITG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Lachat</dc:creator>
  <cp:lastModifiedBy>Carl</cp:lastModifiedBy>
  <dcterms:created xsi:type="dcterms:W3CDTF">2011-12-16T12:02:58Z</dcterms:created>
  <dcterms:modified xsi:type="dcterms:W3CDTF">2013-04-23T18:18:23Z</dcterms:modified>
</cp:coreProperties>
</file>