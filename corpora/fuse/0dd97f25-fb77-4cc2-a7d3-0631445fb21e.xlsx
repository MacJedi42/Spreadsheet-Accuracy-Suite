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2" windowWidth="15192" windowHeight="7428" firstSheet="3" activeTab="7"/>
  </bookViews>
  <sheets>
    <sheet name="Exhibit A - Total Contract" sheetId="29" r:id="rId1"/>
    <sheet name="Exhibit A - Transition" sheetId="33" r:id="rId2"/>
    <sheet name="Exhibit A - Year 1" sheetId="32" r:id="rId3"/>
    <sheet name="Exhibit A - Year 2" sheetId="31" r:id="rId4"/>
    <sheet name="Exhibit A - Year 3" sheetId="30" r:id="rId5"/>
    <sheet name="Exhibit A - Year 4" sheetId="36" r:id="rId6"/>
    <sheet name="Exhibit A - Year 5" sheetId="37" r:id="rId7"/>
    <sheet name="Exhibit B - % of Subcontracting" sheetId="38" r:id="rId8"/>
  </sheets>
  <definedNames>
    <definedName name="_xlnm.Print_Area" localSheetId="0">'Exhibit A - Total Contract'!$A$1:$X$53</definedName>
  </definedNames>
  <calcPr calcId="125725"/>
</workbook>
</file>

<file path=xl/calcChain.xml><?xml version="1.0" encoding="utf-8"?>
<calcChain xmlns="http://schemas.openxmlformats.org/spreadsheetml/2006/main">
  <c r="C16" i="29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D15"/>
  <c r="C15"/>
  <c r="X41"/>
  <c r="B23"/>
  <c r="B19"/>
  <c r="B18"/>
  <c r="B17"/>
  <c r="B16"/>
  <c r="B15"/>
  <c r="D32" i="37"/>
  <c r="C32"/>
  <c r="B32"/>
  <c r="D32" i="36"/>
  <c r="C32"/>
  <c r="B32"/>
  <c r="D32" i="30"/>
  <c r="C32"/>
  <c r="B32"/>
  <c r="D32" i="31"/>
  <c r="C32"/>
  <c r="B32"/>
  <c r="D32" i="32"/>
  <c r="B32"/>
  <c r="C32"/>
  <c r="X42" i="29"/>
  <c r="Z42" i="37"/>
  <c r="Z41"/>
  <c r="Z42" i="36"/>
  <c r="Z41"/>
  <c r="Z42" i="30"/>
  <c r="Z41"/>
  <c r="Z42" i="31"/>
  <c r="Z41"/>
  <c r="Z43" i="33"/>
  <c r="Z42"/>
  <c r="Z42" i="32"/>
  <c r="Z41"/>
  <c r="D32" i="29" l="1"/>
  <c r="C32"/>
</calcChain>
</file>

<file path=xl/sharedStrings.xml><?xml version="1.0" encoding="utf-8"?>
<sst xmlns="http://schemas.openxmlformats.org/spreadsheetml/2006/main" count="793" uniqueCount="100">
  <si>
    <t xml:space="preserve"> </t>
  </si>
  <si>
    <t>Travel</t>
  </si>
  <si>
    <t>Materials</t>
  </si>
  <si>
    <t>Base Year 1</t>
  </si>
  <si>
    <t>Fringe Benefits</t>
  </si>
  <si>
    <t>DPLH</t>
  </si>
  <si>
    <t>Total</t>
  </si>
  <si>
    <t>Other Direct Costs</t>
  </si>
  <si>
    <t>Description</t>
  </si>
  <si>
    <t>Total Contract</t>
  </si>
  <si>
    <t>Years</t>
  </si>
  <si>
    <t>Total Option</t>
  </si>
  <si>
    <t>Total Proposal</t>
  </si>
  <si>
    <t>Total Proposal:</t>
  </si>
  <si>
    <t>Prime Contractor Fully-Loaded Labor</t>
  </si>
  <si>
    <t>Subcontractor(s) Fully-Loaded Labor</t>
  </si>
  <si>
    <t>Proposed Fully-Loaded Labor, Exclusive of Fee:</t>
  </si>
  <si>
    <t>% of</t>
  </si>
  <si>
    <t>Total Proposed Labor</t>
  </si>
  <si>
    <t>Prime Contractor DPLH</t>
  </si>
  <si>
    <t>Subcontractor(s) DPLH</t>
  </si>
  <si>
    <t>Total Proposed DPLH</t>
  </si>
  <si>
    <t>Proposed Direct Productive Labor Hours (DPLH):</t>
  </si>
  <si>
    <t>Teaming Partner(s) DPLH (if applicable)</t>
  </si>
  <si>
    <t>Rate</t>
  </si>
  <si>
    <t>Other Direct Costs:</t>
  </si>
  <si>
    <t>Fringe Benefit Rate</t>
  </si>
  <si>
    <t>Teaming Partner(s) Fully-Loaded Labor (if applicable)</t>
  </si>
  <si>
    <t xml:space="preserve"> Total Contract</t>
  </si>
  <si>
    <t xml:space="preserve"> Percentage of Subcontracting - See FAR 52.219-14</t>
  </si>
  <si>
    <t>Labor</t>
  </si>
  <si>
    <t>Costs</t>
  </si>
  <si>
    <t>Onsite</t>
  </si>
  <si>
    <t>Overhead</t>
  </si>
  <si>
    <t>(Itemize for Each Position)</t>
  </si>
  <si>
    <r>
      <t xml:space="preserve">G&amp;A </t>
    </r>
    <r>
      <rPr>
        <i/>
        <sz val="12"/>
        <color theme="1"/>
        <rFont val="Times New Roman"/>
        <family val="1"/>
      </rPr>
      <t>(Identify G&amp;A Rate)</t>
    </r>
  </si>
  <si>
    <r>
      <t xml:space="preserve">Subtotal </t>
    </r>
    <r>
      <rPr>
        <i/>
        <sz val="12"/>
        <color theme="1"/>
        <rFont val="Times New Roman"/>
        <family val="1"/>
      </rPr>
      <t>(Provide Subtotals for Each)</t>
    </r>
    <r>
      <rPr>
        <sz val="12"/>
        <color theme="1"/>
        <rFont val="Times New Roman"/>
        <family val="1"/>
      </rPr>
      <t xml:space="preserve"> </t>
    </r>
  </si>
  <si>
    <t>Subcontractor Labor (If Applicable)</t>
  </si>
  <si>
    <t>Cost Element</t>
  </si>
  <si>
    <t>Option Year 1 (Year 2)</t>
  </si>
  <si>
    <t>Option Year 2 (Year 3)</t>
  </si>
  <si>
    <t>Option Year 3 (Year 4)</t>
  </si>
  <si>
    <t>Option Year 4 (Year 5)</t>
  </si>
  <si>
    <t>Cost Plus Fixed Fee (CPFF) Tasks</t>
  </si>
  <si>
    <t>Bargaining Employee:</t>
  </si>
  <si>
    <t xml:space="preserve">     Mobile Crane Inspector</t>
  </si>
  <si>
    <t xml:space="preserve">     Laborer</t>
  </si>
  <si>
    <t xml:space="preserve">     Heavy Equipment Operator</t>
  </si>
  <si>
    <t xml:space="preserve">     Truck Driver</t>
  </si>
  <si>
    <r>
      <t xml:space="preserve">     </t>
    </r>
    <r>
      <rPr>
        <i/>
        <sz val="12"/>
        <color theme="1"/>
        <rFont val="Times New Roman"/>
        <family val="1"/>
      </rPr>
      <t>(Itemize each additional position)</t>
    </r>
  </si>
  <si>
    <t>Non-Bargaining Employees:</t>
  </si>
  <si>
    <t xml:space="preserve">     Program Manager</t>
  </si>
  <si>
    <t xml:space="preserve">     Operations &amp; Maintenance Manager</t>
  </si>
  <si>
    <t xml:space="preserve">     Shop Manager</t>
  </si>
  <si>
    <t xml:space="preserve">     Supply Technician</t>
  </si>
  <si>
    <t xml:space="preserve">     Construction Technician</t>
  </si>
  <si>
    <t>Subtotal CPFF Labor Related Costs</t>
  </si>
  <si>
    <t xml:space="preserve">     Material</t>
  </si>
  <si>
    <t xml:space="preserve">     Construction</t>
  </si>
  <si>
    <t>Subtotal CPFF Costs</t>
  </si>
  <si>
    <t>Total CPFF Proposed Costs</t>
  </si>
  <si>
    <t>Total CPFF Proposal</t>
  </si>
  <si>
    <t>Straight</t>
  </si>
  <si>
    <t xml:space="preserve">Over </t>
  </si>
  <si>
    <t>Time</t>
  </si>
  <si>
    <t>Double</t>
  </si>
  <si>
    <t>Over</t>
  </si>
  <si>
    <t>Direct Labor Costs</t>
  </si>
  <si>
    <t xml:space="preserve">Double </t>
  </si>
  <si>
    <t>Onsite Overhead</t>
  </si>
  <si>
    <t>Total Costs</t>
  </si>
  <si>
    <t>DE-SOL-0003816</t>
  </si>
  <si>
    <t xml:space="preserve"> DE-SOL-0003816</t>
  </si>
  <si>
    <t>Option Year 3 (February 1, 2016 - January 31, 2017)</t>
  </si>
  <si>
    <t xml:space="preserve">     Mechanic </t>
  </si>
  <si>
    <t>A 3% increase to be added to all labor for the following options.  (All hours and material/subcontracts remain the same)</t>
  </si>
  <si>
    <t xml:space="preserve">     Mechanic</t>
  </si>
  <si>
    <t>***Prime Contractor Labor</t>
  </si>
  <si>
    <r>
      <rPr>
        <sz val="12"/>
        <color theme="1"/>
        <rFont val="Times New Roman"/>
        <family val="1"/>
      </rPr>
      <t>*</t>
    </r>
    <r>
      <rPr>
        <sz val="8"/>
        <color theme="1"/>
        <rFont val="Times New Roman"/>
        <family val="1"/>
      </rPr>
      <t>Note:  Fuel - Contractor shall not charge in excess of $.10 per gallon surcharge for sold fuel applicable to reservation activities.  No additional G&amp;A, handling fee, or other direct or indirect charges will apply to this cost.</t>
    </r>
  </si>
  <si>
    <t>Subtotal  Labor Related Costs</t>
  </si>
  <si>
    <t>Subtotal Costs</t>
  </si>
  <si>
    <t>Total Proposed Costs</t>
  </si>
  <si>
    <t>No fee applicable in the transition phase</t>
  </si>
  <si>
    <t>Total  Proposed CPFF Fee</t>
  </si>
  <si>
    <t>Reserve Fee</t>
  </si>
  <si>
    <t>**Prime Contractor Labor</t>
  </si>
  <si>
    <t xml:space="preserve">**The labor categories and hours may be adjusted at the discretion of the offeror in order to comply with the offeror's position in meeting the requirements of the solicitation. </t>
  </si>
  <si>
    <t>Rerserve Fee</t>
  </si>
  <si>
    <t>Section L -Attachment 7 - Price Schedule</t>
  </si>
  <si>
    <t>Section L - Attachment 7 - Price Schedule</t>
  </si>
  <si>
    <t xml:space="preserve">Section L - Attachment 7 - Price Schedule </t>
  </si>
  <si>
    <t xml:space="preserve"> Attachment 7</t>
  </si>
  <si>
    <t>Transition (up to 30-days), To be determined</t>
  </si>
  <si>
    <t xml:space="preserve">Base Year  (February 1, 2013 - January 31, 2014) </t>
  </si>
  <si>
    <t xml:space="preserve">     Administrative Assistant</t>
  </si>
  <si>
    <t xml:space="preserve">Option Year 1 (February 1, 2014 - January 31, 2015) </t>
  </si>
  <si>
    <t xml:space="preserve">Option Year 2 (February 1, 2015 - January 31, 2016)  </t>
  </si>
  <si>
    <t xml:space="preserve">Total Contract   </t>
  </si>
  <si>
    <t>Amendment 000006</t>
  </si>
  <si>
    <t>Option Year 4 (February 1, 2017 - January 31, 2018)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</si>
</sst>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44" fontId="3" fillId="0" borderId="0" xfId="2" applyFont="1" applyFill="1" applyBorder="1"/>
    <xf numFmtId="3" fontId="4" fillId="0" borderId="0" xfId="0" applyNumberFormat="1" applyFont="1"/>
    <xf numFmtId="3" fontId="3" fillId="0" borderId="1" xfId="0" applyNumberFormat="1" applyFont="1" applyFill="1" applyBorder="1"/>
    <xf numFmtId="44" fontId="3" fillId="0" borderId="1" xfId="2" applyFont="1" applyFill="1" applyBorder="1"/>
    <xf numFmtId="44" fontId="3" fillId="0" borderId="3" xfId="2" applyFont="1" applyFill="1" applyBorder="1"/>
    <xf numFmtId="43" fontId="3" fillId="0" borderId="1" xfId="1" applyFont="1" applyFill="1" applyBorder="1"/>
    <xf numFmtId="10" fontId="3" fillId="0" borderId="3" xfId="3" applyNumberFormat="1" applyFont="1" applyFill="1" applyBorder="1"/>
    <xf numFmtId="10" fontId="3" fillId="0" borderId="1" xfId="3" applyNumberFormat="1" applyFont="1" applyFill="1" applyBorder="1"/>
    <xf numFmtId="10" fontId="4" fillId="0" borderId="1" xfId="3" applyNumberFormat="1" applyFont="1" applyBorder="1"/>
    <xf numFmtId="10" fontId="3" fillId="0" borderId="0" xfId="3" applyNumberFormat="1" applyFont="1" applyFill="1" applyBorder="1"/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3" xfId="0" applyFont="1" applyBorder="1"/>
    <xf numFmtId="0" fontId="4" fillId="0" borderId="0" xfId="0" applyFont="1" applyBorder="1"/>
    <xf numFmtId="164" fontId="4" fillId="0" borderId="1" xfId="1" applyNumberFormat="1" applyFont="1" applyBorder="1"/>
    <xf numFmtId="164" fontId="3" fillId="0" borderId="1" xfId="1" applyNumberFormat="1" applyFont="1" applyBorder="1" applyAlignment="1"/>
    <xf numFmtId="164" fontId="3" fillId="0" borderId="0" xfId="1" applyNumberFormat="1" applyFont="1" applyBorder="1" applyAlignment="1"/>
    <xf numFmtId="44" fontId="3" fillId="0" borderId="0" xfId="2" applyFont="1" applyBorder="1"/>
    <xf numFmtId="0" fontId="3" fillId="0" borderId="13" xfId="0" applyFont="1" applyBorder="1" applyAlignment="1"/>
    <xf numFmtId="0" fontId="4" fillId="0" borderId="9" xfId="0" applyFont="1" applyBorder="1"/>
    <xf numFmtId="0" fontId="4" fillId="2" borderId="10" xfId="0" applyFont="1" applyFill="1" applyBorder="1" applyAlignment="1">
      <alignment horizontal="center"/>
    </xf>
    <xf numFmtId="3" fontId="4" fillId="0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9" xfId="0" applyFont="1" applyBorder="1" applyAlignment="1">
      <alignment horizontal="center"/>
    </xf>
    <xf numFmtId="164" fontId="3" fillId="2" borderId="0" xfId="1" applyNumberFormat="1" applyFont="1" applyFill="1" applyBorder="1" applyAlignment="1"/>
    <xf numFmtId="165" fontId="3" fillId="2" borderId="0" xfId="2" applyNumberFormat="1" applyFont="1" applyFill="1" applyBorder="1"/>
    <xf numFmtId="44" fontId="3" fillId="2" borderId="0" xfId="2" applyFont="1" applyFill="1" applyBorder="1"/>
    <xf numFmtId="164" fontId="3" fillId="2" borderId="0" xfId="1" applyNumberFormat="1" applyFont="1" applyFill="1" applyBorder="1"/>
    <xf numFmtId="0" fontId="4" fillId="2" borderId="0" xfId="0" applyFont="1" applyFill="1" applyBorder="1"/>
    <xf numFmtId="44" fontId="4" fillId="0" borderId="1" xfId="2" applyFont="1" applyBorder="1"/>
    <xf numFmtId="9" fontId="4" fillId="0" borderId="1" xfId="3" applyFont="1" applyBorder="1"/>
    <xf numFmtId="43" fontId="4" fillId="0" borderId="1" xfId="1" applyFont="1" applyBorder="1"/>
    <xf numFmtId="0" fontId="4" fillId="2" borderId="11" xfId="0" applyFont="1" applyFill="1" applyBorder="1"/>
    <xf numFmtId="0" fontId="4" fillId="0" borderId="20" xfId="0" applyFont="1" applyBorder="1"/>
    <xf numFmtId="44" fontId="4" fillId="0" borderId="22" xfId="2" applyFont="1" applyBorder="1"/>
    <xf numFmtId="0" fontId="4" fillId="0" borderId="22" xfId="0" applyFont="1" applyBorder="1"/>
    <xf numFmtId="0" fontId="6" fillId="0" borderId="20" xfId="0" applyFont="1" applyBorder="1"/>
    <xf numFmtId="164" fontId="4" fillId="0" borderId="20" xfId="1" applyNumberFormat="1" applyFont="1" applyBorder="1"/>
    <xf numFmtId="0" fontId="5" fillId="0" borderId="23" xfId="0" applyFont="1" applyBorder="1"/>
    <xf numFmtId="44" fontId="3" fillId="0" borderId="24" xfId="2" applyFont="1" applyBorder="1"/>
    <xf numFmtId="44" fontId="4" fillId="0" borderId="25" xfId="2" applyFont="1" applyBorder="1"/>
    <xf numFmtId="0" fontId="4" fillId="0" borderId="2" xfId="0" applyFont="1" applyBorder="1"/>
    <xf numFmtId="44" fontId="4" fillId="2" borderId="0" xfId="2" applyFont="1" applyFill="1" applyBorder="1"/>
    <xf numFmtId="9" fontId="4" fillId="2" borderId="0" xfId="3" applyFont="1" applyFill="1" applyBorder="1"/>
    <xf numFmtId="43" fontId="3" fillId="2" borderId="11" xfId="1" applyFont="1" applyFill="1" applyBorder="1"/>
    <xf numFmtId="0" fontId="5" fillId="0" borderId="26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164" fontId="4" fillId="0" borderId="20" xfId="1" applyNumberFormat="1" applyFont="1" applyBorder="1" applyAlignment="1"/>
    <xf numFmtId="43" fontId="3" fillId="0" borderId="22" xfId="1" applyFont="1" applyBorder="1"/>
    <xf numFmtId="44" fontId="3" fillId="2" borderId="13" xfId="2" applyFont="1" applyFill="1" applyBorder="1"/>
    <xf numFmtId="0" fontId="4" fillId="2" borderId="12" xfId="0" applyFont="1" applyFill="1" applyBorder="1"/>
    <xf numFmtId="0" fontId="4" fillId="2" borderId="13" xfId="0" applyFont="1" applyFill="1" applyBorder="1" applyAlignment="1">
      <alignment horizontal="center"/>
    </xf>
    <xf numFmtId="0" fontId="2" fillId="0" borderId="12" xfId="0" applyFont="1" applyBorder="1" applyAlignment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3" fontId="4" fillId="0" borderId="29" xfId="0" applyNumberFormat="1" applyFont="1" applyFill="1" applyBorder="1" applyAlignment="1">
      <alignment horizontal="center" vertical="center" wrapText="1"/>
    </xf>
    <xf numFmtId="3" fontId="4" fillId="0" borderId="30" xfId="0" applyNumberFormat="1" applyFont="1" applyFill="1" applyBorder="1" applyAlignment="1">
      <alignment horizontal="center" vertical="center" wrapText="1"/>
    </xf>
    <xf numFmtId="3" fontId="4" fillId="0" borderId="32" xfId="0" applyNumberFormat="1" applyFont="1" applyFill="1" applyBorder="1" applyAlignment="1">
      <alignment horizontal="center" vertical="center" wrapText="1"/>
    </xf>
    <xf numFmtId="0" fontId="2" fillId="0" borderId="20" xfId="0" applyFont="1" applyFill="1" applyBorder="1"/>
    <xf numFmtId="3" fontId="3" fillId="0" borderId="22" xfId="0" applyNumberFormat="1" applyFont="1" applyFill="1" applyBorder="1"/>
    <xf numFmtId="0" fontId="4" fillId="0" borderId="33" xfId="0" applyFont="1" applyBorder="1"/>
    <xf numFmtId="10" fontId="3" fillId="0" borderId="21" xfId="3" applyNumberFormat="1" applyFont="1" applyFill="1" applyBorder="1"/>
    <xf numFmtId="0" fontId="4" fillId="0" borderId="20" xfId="0" applyFont="1" applyBorder="1" applyAlignment="1"/>
    <xf numFmtId="10" fontId="3" fillId="0" borderId="22" xfId="3" applyNumberFormat="1" applyFont="1" applyFill="1" applyBorder="1"/>
    <xf numFmtId="0" fontId="4" fillId="0" borderId="20" xfId="0" applyFont="1" applyBorder="1" applyAlignment="1">
      <alignment horizontal="left" indent="1"/>
    </xf>
    <xf numFmtId="0" fontId="4" fillId="0" borderId="18" xfId="0" applyFont="1" applyFill="1" applyBorder="1"/>
    <xf numFmtId="3" fontId="4" fillId="0" borderId="0" xfId="0" applyNumberFormat="1" applyFont="1" applyFill="1" applyBorder="1"/>
    <xf numFmtId="10" fontId="4" fillId="0" borderId="0" xfId="3" applyNumberFormat="1" applyFont="1" applyFill="1" applyBorder="1"/>
    <xf numFmtId="10" fontId="4" fillId="0" borderId="11" xfId="3" applyNumberFormat="1" applyFont="1" applyFill="1" applyBorder="1"/>
    <xf numFmtId="0" fontId="2" fillId="0" borderId="20" xfId="0" applyFont="1" applyBorder="1"/>
    <xf numFmtId="10" fontId="4" fillId="0" borderId="22" xfId="3" applyNumberFormat="1" applyFont="1" applyBorder="1"/>
    <xf numFmtId="0" fontId="3" fillId="0" borderId="20" xfId="0" applyFont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10" fontId="3" fillId="0" borderId="11" xfId="3" applyNumberFormat="1" applyFont="1" applyFill="1" applyBorder="1"/>
    <xf numFmtId="0" fontId="3" fillId="0" borderId="23" xfId="0" applyFont="1" applyBorder="1" applyAlignment="1">
      <alignment horizontal="left" indent="1"/>
    </xf>
    <xf numFmtId="43" fontId="3" fillId="0" borderId="24" xfId="1" applyFont="1" applyFill="1" applyBorder="1"/>
    <xf numFmtId="10" fontId="3" fillId="0" borderId="24" xfId="3" applyNumberFormat="1" applyFont="1" applyFill="1" applyBorder="1"/>
    <xf numFmtId="10" fontId="3" fillId="0" borderId="25" xfId="3" applyNumberFormat="1" applyFont="1" applyFill="1" applyBorder="1"/>
    <xf numFmtId="43" fontId="4" fillId="0" borderId="0" xfId="0" applyNumberFormat="1" applyFont="1"/>
    <xf numFmtId="0" fontId="4" fillId="0" borderId="9" xfId="0" applyFont="1" applyBorder="1" applyAlignment="1">
      <alignment horizontal="center"/>
    </xf>
    <xf numFmtId="164" fontId="4" fillId="0" borderId="2" xfId="1" applyNumberFormat="1" applyFont="1" applyBorder="1"/>
    <xf numFmtId="164" fontId="4" fillId="0" borderId="2" xfId="0" applyNumberFormat="1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/>
    <xf numFmtId="0" fontId="4" fillId="0" borderId="0" xfId="0" applyFont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/>
    <xf numFmtId="44" fontId="4" fillId="0" borderId="24" xfId="2" applyFont="1" applyBorder="1"/>
    <xf numFmtId="0" fontId="4" fillId="2" borderId="1" xfId="0" applyFont="1" applyFill="1" applyBorder="1"/>
    <xf numFmtId="0" fontId="4" fillId="2" borderId="5" xfId="0" applyFont="1" applyFill="1" applyBorder="1"/>
    <xf numFmtId="164" fontId="3" fillId="0" borderId="24" xfId="1" applyNumberFormat="1" applyFont="1" applyBorder="1" applyAlignment="1"/>
    <xf numFmtId="0" fontId="4" fillId="0" borderId="1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" fillId="2" borderId="1" xfId="0" applyFont="1" applyFill="1" applyBorder="1"/>
    <xf numFmtId="0" fontId="4" fillId="2" borderId="22" xfId="0" applyFont="1" applyFill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3" fontId="3" fillId="0" borderId="29" xfId="0" applyNumberFormat="1" applyFont="1" applyFill="1" applyBorder="1" applyAlignment="1">
      <alignment horizontal="center" vertical="center" wrapText="1"/>
    </xf>
    <xf numFmtId="3" fontId="3" fillId="0" borderId="6" xfId="0" applyNumberFormat="1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3" fontId="4" fillId="0" borderId="29" xfId="0" applyNumberFormat="1" applyFont="1" applyFill="1" applyBorder="1" applyAlignment="1">
      <alignment horizontal="center" vertical="center" wrapText="1"/>
    </xf>
    <xf numFmtId="3" fontId="4" fillId="0" borderId="6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zoomScaleNormal="100" workbookViewId="0">
      <pane ySplit="9" topLeftCell="A11" activePane="bottomLeft" state="frozen"/>
      <selection pane="bottomLeft" activeCell="F27" sqref="F27"/>
    </sheetView>
  </sheetViews>
  <sheetFormatPr defaultColWidth="9.109375" defaultRowHeight="15.6"/>
  <cols>
    <col min="1" max="1" width="39.6640625" style="1" customWidth="1"/>
    <col min="2" max="2" width="10" style="1" bestFit="1" customWidth="1"/>
    <col min="3" max="3" width="8.886718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8.44140625" style="1" bestFit="1" customWidth="1"/>
    <col min="9" max="9" width="7.6640625" style="1" customWidth="1"/>
    <col min="10" max="11" width="8.4414062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664062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664062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76</v>
      </c>
      <c r="B15" s="88">
        <f>3630*5</f>
        <v>18150</v>
      </c>
      <c r="C15" s="88">
        <f>'Exhibit A - Transition'!C14+'Exhibit A - Year 1'!C15+'Exhibit A - Year 2'!C15+'Exhibit A - Year 3'!C15+'Exhibit A - Year 4'!C15+'Exhibit A - Year 5'!C15</f>
        <v>500</v>
      </c>
      <c r="D15" s="88">
        <f>'Exhibit A - Transition'!D14+'Exhibit A - Year 1'!D15+'Exhibit A - Year 2'!D15+'Exhibit A - Year 3'!D15+'Exhibit A - Year 4'!D15+'Exhibit A - Year 5'!D15</f>
        <v>300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8">
        <f>120*5</f>
        <v>600</v>
      </c>
      <c r="C16" s="88">
        <f>'Exhibit A - Transition'!C15+'Exhibit A - Year 1'!C16+'Exhibit A - Year 2'!C16+'Exhibit A - Year 3'!C16+'Exhibit A - Year 4'!C16+'Exhibit A - Year 5'!C16</f>
        <v>0</v>
      </c>
      <c r="D16" s="88">
        <f>'Exhibit A - Transition'!D15+'Exhibit A - Year 1'!D16+'Exhibit A - Year 2'!D16+'Exhibit A - Year 3'!D16+'Exhibit A - Year 4'!D16+'Exhibit A - Year 5'!D16</f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8">
        <f>5625*5</f>
        <v>28125</v>
      </c>
      <c r="C17" s="88">
        <f>'Exhibit A - Transition'!C16+'Exhibit A - Year 1'!C17+'Exhibit A - Year 2'!C17+'Exhibit A - Year 3'!C17+'Exhibit A - Year 4'!C17+'Exhibit A - Year 5'!C17</f>
        <v>750</v>
      </c>
      <c r="D17" s="88">
        <f>'Exhibit A - Transition'!D16+'Exhibit A - Year 1'!D17+'Exhibit A - Year 2'!D17+'Exhibit A - Year 3'!D17+'Exhibit A - Year 4'!D17+'Exhibit A - Year 5'!D17</f>
        <v>450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8">
        <f>5625*5</f>
        <v>28125</v>
      </c>
      <c r="C18" s="88">
        <f>'Exhibit A - Transition'!C17+'Exhibit A - Year 1'!C18+'Exhibit A - Year 2'!C18+'Exhibit A - Year 3'!C18+'Exhibit A - Year 4'!C18+'Exhibit A - Year 5'!C18</f>
        <v>750</v>
      </c>
      <c r="D18" s="88">
        <f>'Exhibit A - Transition'!D17+'Exhibit A - Year 1'!D18+'Exhibit A - Year 2'!D18+'Exhibit A - Year 3'!D18+'Exhibit A - Year 4'!D18+'Exhibit A - Year 5'!D18</f>
        <v>450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8">
        <f>5625*5</f>
        <v>28125</v>
      </c>
      <c r="C19" s="88">
        <f>'Exhibit A - Transition'!C18+'Exhibit A - Year 1'!C19+'Exhibit A - Year 2'!C19+'Exhibit A - Year 3'!C19+'Exhibit A - Year 4'!C19+'Exhibit A - Year 5'!C19</f>
        <v>750</v>
      </c>
      <c r="D19" s="88">
        <f>'Exhibit A - Transition'!D18+'Exhibit A - Year 1'!D19+'Exhibit A - Year 2'!D19+'Exhibit A - Year 3'!D19+'Exhibit A - Year 4'!D19+'Exhibit A - Year 5'!D19</f>
        <v>450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8"/>
      <c r="C20" s="88">
        <f>'Exhibit A - Transition'!C19+'Exhibit A - Year 1'!C20+'Exhibit A - Year 2'!C20+'Exhibit A - Year 3'!C20+'Exhibit A - Year 4'!C20+'Exhibit A - Year 5'!C20</f>
        <v>0</v>
      </c>
      <c r="D20" s="88">
        <f>'Exhibit A - Transition'!D19+'Exhibit A - Year 1'!D20+'Exhibit A - Year 2'!D20+'Exhibit A - Year 3'!D20+'Exhibit A - Year 4'!D20+'Exhibit A - Year 5'!D20</f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8"/>
      <c r="C21" s="88">
        <f>'Exhibit A - Transition'!C20+'Exhibit A - Year 1'!C21+'Exhibit A - Year 2'!C21+'Exhibit A - Year 3'!C21+'Exhibit A - Year 4'!C21+'Exhibit A - Year 5'!C21</f>
        <v>0</v>
      </c>
      <c r="D21" s="88">
        <f>'Exhibit A - Transition'!D20+'Exhibit A - Year 1'!D21+'Exhibit A - Year 2'!D21+'Exhibit A - Year 3'!D21+'Exhibit A - Year 4'!D21+'Exhibit A - Year 5'!D21</f>
        <v>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8"/>
      <c r="C22" s="88">
        <f>'Exhibit A - Transition'!C21+'Exhibit A - Year 1'!C22+'Exhibit A - Year 2'!C22+'Exhibit A - Year 3'!C22+'Exhibit A - Year 4'!C22+'Exhibit A - Year 5'!C22</f>
        <v>0</v>
      </c>
      <c r="D22" s="88">
        <f>'Exhibit A - Transition'!D21+'Exhibit A - Year 1'!D22+'Exhibit A - Year 2'!D22+'Exhibit A - Year 3'!D22+'Exhibit A - Year 4'!D22+'Exhibit A - Year 5'!D22</f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8">
        <f>1775*5</f>
        <v>8875</v>
      </c>
      <c r="C23" s="88">
        <f>'Exhibit A - Transition'!C22+'Exhibit A - Year 1'!C23+'Exhibit A - Year 2'!C23+'Exhibit A - Year 3'!C23+'Exhibit A - Year 4'!C23+'Exhibit A - Year 5'!C23</f>
        <v>0</v>
      </c>
      <c r="D23" s="88">
        <f>'Exhibit A - Transition'!D22+'Exhibit A - Year 1'!D23+'Exhibit A - Year 2'!D23+'Exhibit A - Year 3'!D23+'Exhibit A - Year 4'!D23+'Exhibit A - Year 5'!D23</f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8">
        <v>8875</v>
      </c>
      <c r="C24" s="88">
        <f>'Exhibit A - Transition'!C23+'Exhibit A - Year 1'!C24+'Exhibit A - Year 2'!C24+'Exhibit A - Year 3'!C24+'Exhibit A - Year 4'!C24+'Exhibit A - Year 5'!C24</f>
        <v>0</v>
      </c>
      <c r="D24" s="88">
        <f>'Exhibit A - Transition'!D23+'Exhibit A - Year 1'!D24+'Exhibit A - Year 2'!D24+'Exhibit A - Year 3'!D24+'Exhibit A - Year 4'!D24+'Exhibit A - Year 5'!D24</f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94</v>
      </c>
      <c r="B25" s="88">
        <v>8875</v>
      </c>
      <c r="C25" s="88">
        <f>'Exhibit A - Transition'!C24+'Exhibit A - Year 1'!C25+'Exhibit A - Year 2'!C25+'Exhibit A - Year 3'!C25+'Exhibit A - Year 4'!C25+'Exhibit A - Year 5'!C25</f>
        <v>0</v>
      </c>
      <c r="D25" s="88">
        <f>'Exhibit A - Transition'!D24+'Exhibit A - Year 1'!D25+'Exhibit A - Year 2'!D25+'Exhibit A - Year 3'!D25+'Exhibit A - Year 4'!D25+'Exhibit A - Year 5'!D25</f>
        <v>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8">
        <v>8875</v>
      </c>
      <c r="C26" s="88">
        <f>'Exhibit A - Transition'!C25+'Exhibit A - Year 1'!C26+'Exhibit A - Year 2'!C26+'Exhibit A - Year 3'!C26+'Exhibit A - Year 4'!C26+'Exhibit A - Year 5'!C26</f>
        <v>0</v>
      </c>
      <c r="D26" s="88">
        <f>'Exhibit A - Transition'!D25+'Exhibit A - Year 1'!D26+'Exhibit A - Year 2'!D26+'Exhibit A - Year 3'!D26+'Exhibit A - Year 4'!D26+'Exhibit A - Year 5'!D26</f>
        <v>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8">
        <v>9375</v>
      </c>
      <c r="C27" s="88">
        <f>'Exhibit A - Transition'!C26+'Exhibit A - Year 1'!C27+'Exhibit A - Year 2'!C27+'Exhibit A - Year 3'!C27+'Exhibit A - Year 4'!C27+'Exhibit A - Year 5'!C27</f>
        <v>100</v>
      </c>
      <c r="D27" s="88">
        <f>'Exhibit A - Transition'!D26+'Exhibit A - Year 1'!D27+'Exhibit A - Year 2'!D27+'Exhibit A - Year 3'!D27+'Exhibit A - Year 4'!D27+'Exhibit A - Year 5'!D27</f>
        <v>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>
        <v>0</v>
      </c>
      <c r="C28" s="88">
        <f>'Exhibit A - Transition'!C27+'Exhibit A - Year 1'!C28+'Exhibit A - Year 2'!C28+'Exhibit A - Year 3'!C28+'Exhibit A - Year 4'!C28+'Exhibit A - Year 5'!C28</f>
        <v>0</v>
      </c>
      <c r="D28" s="88">
        <f>'Exhibit A - Transition'!D27+'Exhibit A - Year 1'!D28+'Exhibit A - Year 2'!D28+'Exhibit A - Year 3'!D28+'Exhibit A - Year 4'!D28+'Exhibit A - Year 5'!D28</f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v>148100</v>
      </c>
      <c r="C32" s="19">
        <f>SUM(C15:C31)</f>
        <v>2850</v>
      </c>
      <c r="D32" s="19">
        <f>SUM(D15:D31)</f>
        <v>1650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  <c r="Z39" s="86"/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  <c r="Z40" s="86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f>500000*5</f>
        <v>2500000</v>
      </c>
      <c r="Z41" s="86"/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f>500000*5</f>
        <v>2500000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  <c r="C51" s="1" t="s">
        <v>0</v>
      </c>
    </row>
    <row r="52" spans="1:24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>
      <c r="C53" s="1" t="s">
        <v>0</v>
      </c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5">
    <mergeCell ref="A50:X50"/>
    <mergeCell ref="A52:X52"/>
    <mergeCell ref="A54:X54"/>
    <mergeCell ref="A1:X1"/>
    <mergeCell ref="A2:X2"/>
    <mergeCell ref="A3:X3"/>
    <mergeCell ref="A4:X4"/>
    <mergeCell ref="A6:X6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8"/>
  <sheetViews>
    <sheetView zoomScaleNormal="100" workbookViewId="0">
      <selection activeCell="K5" sqref="K5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25"/>
    </row>
    <row r="11" spans="1:24">
      <c r="A11" s="50" t="s">
        <v>43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2"/>
    </row>
    <row r="12" spans="1:24">
      <c r="A12" s="53" t="s">
        <v>77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</row>
    <row r="13" spans="1:24">
      <c r="A13" s="38" t="s">
        <v>44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/>
      <c r="B14" s="88"/>
      <c r="C14" s="88"/>
      <c r="D14" s="88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35"/>
      <c r="P14" s="35"/>
      <c r="Q14" s="34"/>
      <c r="R14" s="39"/>
      <c r="S14" s="39"/>
      <c r="T14" s="35"/>
      <c r="U14" s="39"/>
      <c r="V14" s="39"/>
      <c r="W14" s="39"/>
      <c r="X14" s="39"/>
    </row>
    <row r="15" spans="1:24">
      <c r="A15" s="38"/>
      <c r="B15" s="89"/>
      <c r="C15" s="89"/>
      <c r="D15" s="8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97"/>
      <c r="V15" s="97"/>
      <c r="W15" s="97"/>
      <c r="X15" s="40"/>
    </row>
    <row r="16" spans="1:24">
      <c r="A16" s="38"/>
      <c r="B16" s="89"/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/>
      <c r="B17" s="89"/>
      <c r="C17" s="89"/>
      <c r="D17" s="8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/>
      <c r="B18" s="89"/>
      <c r="C18" s="89"/>
      <c r="D18" s="8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/>
      <c r="B19" s="89"/>
      <c r="C19" s="89"/>
      <c r="D19" s="8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/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/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50</v>
      </c>
      <c r="B23" s="89"/>
      <c r="C23" s="89"/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/>
      <c r="B24" s="89"/>
      <c r="C24" s="89"/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/>
      <c r="B25" s="89"/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/>
      <c r="B26" s="89"/>
      <c r="C26" s="89"/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/>
      <c r="B27" s="89"/>
      <c r="C27" s="89"/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/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/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89"/>
      <c r="C30" s="89"/>
      <c r="D30" s="8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/>
      <c r="B32" s="46"/>
      <c r="C32" s="46"/>
      <c r="D32" s="4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97"/>
      <c r="V32" s="97"/>
      <c r="W32" s="97"/>
      <c r="X32" s="40"/>
    </row>
    <row r="33" spans="1:26">
      <c r="A33" s="38" t="s">
        <v>36</v>
      </c>
      <c r="B33" s="19"/>
      <c r="C33" s="19"/>
      <c r="D33" s="19"/>
      <c r="E33" s="47" t="s">
        <v>0</v>
      </c>
      <c r="F33" s="47"/>
      <c r="G33" s="47"/>
      <c r="H33" s="34">
        <v>0</v>
      </c>
      <c r="I33" s="39">
        <v>0</v>
      </c>
      <c r="J33" s="39">
        <v>0</v>
      </c>
      <c r="K33" s="34">
        <v>0</v>
      </c>
      <c r="L33" s="39">
        <v>0</v>
      </c>
      <c r="M33" s="39">
        <v>0</v>
      </c>
      <c r="N33" s="35">
        <v>0</v>
      </c>
      <c r="O33" s="35">
        <v>0</v>
      </c>
      <c r="P33" s="35">
        <v>0</v>
      </c>
      <c r="Q33" s="34">
        <v>0</v>
      </c>
      <c r="R33" s="39">
        <v>0</v>
      </c>
      <c r="S33" s="39">
        <v>0</v>
      </c>
      <c r="T33" s="35">
        <v>0</v>
      </c>
      <c r="U33" s="39">
        <v>0</v>
      </c>
      <c r="V33" s="39">
        <v>0</v>
      </c>
      <c r="W33" s="39">
        <v>0</v>
      </c>
      <c r="X33" s="39">
        <v>0</v>
      </c>
    </row>
    <row r="34" spans="1:26">
      <c r="A34" s="54" t="s">
        <v>37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</row>
    <row r="35" spans="1:26">
      <c r="A35" s="4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97"/>
      <c r="V38" s="97"/>
      <c r="W38" s="97"/>
      <c r="X38" s="40"/>
    </row>
    <row r="39" spans="1:26">
      <c r="A39" s="38" t="s">
        <v>36</v>
      </c>
      <c r="B39" s="36">
        <v>0</v>
      </c>
      <c r="C39" s="36"/>
      <c r="D39" s="36"/>
      <c r="E39" s="34" t="s">
        <v>0</v>
      </c>
      <c r="F39" s="34"/>
      <c r="G39" s="34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35">
        <v>0</v>
      </c>
      <c r="O39" s="35"/>
      <c r="P39" s="35"/>
      <c r="Q39" s="34">
        <v>0</v>
      </c>
      <c r="R39" s="39">
        <v>0</v>
      </c>
      <c r="S39" s="39">
        <v>0</v>
      </c>
      <c r="T39" s="35">
        <v>0</v>
      </c>
      <c r="U39" s="39">
        <v>0</v>
      </c>
      <c r="V39" s="39">
        <v>0</v>
      </c>
      <c r="W39" s="39">
        <v>0</v>
      </c>
      <c r="X39" s="39">
        <v>0</v>
      </c>
    </row>
    <row r="40" spans="1:26">
      <c r="A40" s="55" t="s">
        <v>79</v>
      </c>
      <c r="B40" s="36">
        <v>0</v>
      </c>
      <c r="C40" s="36"/>
      <c r="D40" s="36"/>
      <c r="E40" s="47" t="s">
        <v>0</v>
      </c>
      <c r="F40" s="47"/>
      <c r="G40" s="47"/>
      <c r="H40" s="34">
        <v>0</v>
      </c>
      <c r="I40" s="39">
        <v>0</v>
      </c>
      <c r="J40" s="39">
        <v>0</v>
      </c>
      <c r="K40" s="34">
        <v>0</v>
      </c>
      <c r="L40" s="39">
        <v>0</v>
      </c>
      <c r="M40" s="39">
        <v>0</v>
      </c>
      <c r="N40" s="48" t="s">
        <v>0</v>
      </c>
      <c r="O40" s="48"/>
      <c r="P40" s="48"/>
      <c r="Q40" s="34">
        <v>0</v>
      </c>
      <c r="R40" s="39">
        <v>0</v>
      </c>
      <c r="S40" s="39">
        <v>0</v>
      </c>
      <c r="T40" s="48" t="s">
        <v>0</v>
      </c>
      <c r="U40" s="48"/>
      <c r="V40" s="48"/>
      <c r="W40" s="48"/>
      <c r="X40" s="39">
        <v>0</v>
      </c>
    </row>
    <row r="41" spans="1:26">
      <c r="A41" s="42" t="s">
        <v>25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49"/>
    </row>
    <row r="42" spans="1:26">
      <c r="A42" s="42" t="s">
        <v>57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/>
      <c r="Z42" s="86">
        <f>+'Exhibit A - Year 1'!X34+'Exhibit A - Year 2'!I32+'Exhibit A - Year 3'!I32+'Exhibit A - Year 4'!I32+'Exhibit A - Year 5'!I33</f>
        <v>0</v>
      </c>
    </row>
    <row r="43" spans="1:26">
      <c r="A43" s="42" t="s">
        <v>58</v>
      </c>
      <c r="B43" s="29"/>
      <c r="C43" s="29"/>
      <c r="D43" s="29"/>
      <c r="E43" s="30"/>
      <c r="F43" s="30"/>
      <c r="G43" s="30"/>
      <c r="H43" s="31"/>
      <c r="I43" s="31"/>
      <c r="J43" s="31"/>
      <c r="K43" s="32"/>
      <c r="L43" s="32"/>
      <c r="M43" s="32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56"/>
      <c r="Z43" s="86">
        <f>+'Exhibit A - Year 1'!X35+'Exhibit A - Year 2'!I33+'Exhibit A - Year 3'!I33+'Exhibit A - Year 4'!I33+'Exhibit A - Year 5'!I34</f>
        <v>0</v>
      </c>
    </row>
    <row r="44" spans="1:26">
      <c r="A44" s="38" t="s">
        <v>80</v>
      </c>
      <c r="B44" s="21">
        <v>0</v>
      </c>
      <c r="C44" s="20"/>
      <c r="D44" s="20"/>
      <c r="E44" s="31" t="s">
        <v>0</v>
      </c>
      <c r="F44" s="31"/>
      <c r="G44" s="31"/>
      <c r="H44" s="22">
        <v>0</v>
      </c>
      <c r="I44" s="39">
        <v>0</v>
      </c>
      <c r="J44" s="39">
        <v>0</v>
      </c>
      <c r="K44" s="22">
        <v>0</v>
      </c>
      <c r="L44" s="39">
        <v>0</v>
      </c>
      <c r="M44" s="39">
        <v>0</v>
      </c>
      <c r="N44" s="31" t="s">
        <v>0</v>
      </c>
      <c r="O44" s="31"/>
      <c r="P44" s="31"/>
      <c r="Q44" s="22">
        <v>0</v>
      </c>
      <c r="R44" s="39">
        <v>0</v>
      </c>
      <c r="S44" s="39">
        <v>0</v>
      </c>
      <c r="T44" s="31" t="s">
        <v>0</v>
      </c>
      <c r="U44" s="31"/>
      <c r="V44" s="31"/>
      <c r="W44" s="31"/>
      <c r="X44" s="39">
        <v>0</v>
      </c>
    </row>
    <row r="45" spans="1:26">
      <c r="A45" s="38" t="s">
        <v>35</v>
      </c>
      <c r="B45" s="33"/>
      <c r="C45" s="99"/>
      <c r="D45" s="9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40"/>
    </row>
    <row r="46" spans="1:26">
      <c r="A46" s="38" t="s">
        <v>81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/>
      <c r="B47" s="33"/>
      <c r="C47" s="99"/>
      <c r="D47" s="99"/>
      <c r="E47" s="33"/>
      <c r="F47" s="33"/>
      <c r="G47" s="33"/>
      <c r="H47" s="104"/>
      <c r="I47" s="104"/>
      <c r="J47" s="104"/>
      <c r="K47" s="104"/>
      <c r="L47" s="104"/>
      <c r="M47" s="104"/>
      <c r="N47" s="33"/>
      <c r="O47" s="33"/>
      <c r="P47" s="33"/>
      <c r="Q47" s="99"/>
      <c r="R47" s="99"/>
      <c r="S47" s="99"/>
      <c r="T47" s="33"/>
      <c r="U47" s="33"/>
      <c r="V47" s="33"/>
      <c r="W47" s="33"/>
      <c r="X47" s="105"/>
    </row>
    <row r="48" spans="1:26">
      <c r="A48" s="38"/>
      <c r="B48" s="33"/>
      <c r="C48" s="100"/>
      <c r="D48" s="100"/>
      <c r="E48" s="33"/>
      <c r="F48" s="33"/>
      <c r="G48" s="33"/>
      <c r="H48" s="104"/>
      <c r="I48" s="104"/>
      <c r="J48" s="104"/>
      <c r="K48" s="104"/>
      <c r="L48" s="104"/>
      <c r="M48" s="104"/>
      <c r="N48" s="33"/>
      <c r="O48" s="33"/>
      <c r="P48" s="33"/>
      <c r="Q48" s="99"/>
      <c r="R48" s="99"/>
      <c r="S48" s="99"/>
      <c r="T48" s="33"/>
      <c r="U48" s="33"/>
      <c r="V48" s="33"/>
      <c r="W48" s="33"/>
      <c r="X48" s="105"/>
    </row>
    <row r="49" spans="1:24" ht="16.2" thickBot="1">
      <c r="A49" s="43" t="s">
        <v>12</v>
      </c>
      <c r="B49" s="101">
        <v>0</v>
      </c>
      <c r="C49" s="101"/>
      <c r="D49" s="101"/>
      <c r="E49" s="57" t="s">
        <v>0</v>
      </c>
      <c r="F49" s="57"/>
      <c r="G49" s="57"/>
      <c r="H49" s="44">
        <v>0</v>
      </c>
      <c r="I49" s="45">
        <v>0</v>
      </c>
      <c r="J49" s="45">
        <v>0</v>
      </c>
      <c r="K49" s="44">
        <v>0</v>
      </c>
      <c r="L49" s="45">
        <v>0</v>
      </c>
      <c r="M49" s="45">
        <v>0</v>
      </c>
      <c r="N49" s="57" t="s">
        <v>0</v>
      </c>
      <c r="O49" s="57"/>
      <c r="P49" s="57"/>
      <c r="Q49" s="44">
        <v>0</v>
      </c>
      <c r="R49" s="98">
        <v>0</v>
      </c>
      <c r="S49" s="98">
        <v>0</v>
      </c>
      <c r="T49" s="57" t="s">
        <v>0</v>
      </c>
      <c r="U49" s="57"/>
      <c r="V49" s="57"/>
      <c r="W49" s="57"/>
      <c r="X49" s="45">
        <v>0</v>
      </c>
    </row>
    <row r="50" spans="1:24">
      <c r="A50" s="2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>
      <c r="A51" s="27"/>
    </row>
    <row r="52" spans="1:24">
      <c r="A52" s="107" t="s">
        <v>82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>
      <c r="A53" s="106"/>
    </row>
    <row r="54" spans="1:2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6" spans="1:24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</row>
    <row r="57" spans="1:24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</row>
    <row r="58" spans="1:24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</sheetData>
  <mergeCells count="17">
    <mergeCell ref="A1:X1"/>
    <mergeCell ref="A2:X2"/>
    <mergeCell ref="A3:X3"/>
    <mergeCell ref="A4:X4"/>
    <mergeCell ref="A6:X6"/>
    <mergeCell ref="Q7:S7"/>
    <mergeCell ref="U7:W7"/>
    <mergeCell ref="B7:D7"/>
    <mergeCell ref="E7:G7"/>
    <mergeCell ref="H7:J7"/>
    <mergeCell ref="K7:M7"/>
    <mergeCell ref="N7:P7"/>
    <mergeCell ref="A52:X52"/>
    <mergeCell ref="A54:X54"/>
    <mergeCell ref="A56:X56"/>
    <mergeCell ref="A57:X57"/>
    <mergeCell ref="A58:X58"/>
  </mergeCells>
  <printOptions horizontalCentered="1"/>
  <pageMargins left="0.25" right="0.45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workbookViewId="0">
      <selection activeCell="N19" sqref="N19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94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87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 s="106" customFormat="1" ht="10.199999999999999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5">
    <mergeCell ref="A6:X6"/>
    <mergeCell ref="A3:X3"/>
    <mergeCell ref="A1:X1"/>
    <mergeCell ref="A2:X2"/>
    <mergeCell ref="A4:X4"/>
    <mergeCell ref="A50:X50"/>
    <mergeCell ref="A52:X52"/>
    <mergeCell ref="A54:X54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workbookViewId="0">
      <selection activeCell="H26" sqref="H26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95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94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>
        <v>0</v>
      </c>
      <c r="C28" s="89">
        <v>0</v>
      </c>
      <c r="D28" s="89"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 ht="13.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6">
    <mergeCell ref="A1:X1"/>
    <mergeCell ref="A2:X2"/>
    <mergeCell ref="A3:X3"/>
    <mergeCell ref="A4:X4"/>
    <mergeCell ref="A6:X6"/>
    <mergeCell ref="A50:X50"/>
    <mergeCell ref="A52:X52"/>
    <mergeCell ref="A53:X53"/>
    <mergeCell ref="A54:X54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workbookViewId="0">
      <selection activeCell="G28" sqref="G28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96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94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>
        <v>0</v>
      </c>
      <c r="C28" s="89">
        <v>0</v>
      </c>
      <c r="D28" s="89"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 ht="11.2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6">
    <mergeCell ref="A1:X1"/>
    <mergeCell ref="A2:X2"/>
    <mergeCell ref="A3:X3"/>
    <mergeCell ref="A4:X4"/>
    <mergeCell ref="A6:X6"/>
    <mergeCell ref="A50:X50"/>
    <mergeCell ref="A52:X52"/>
    <mergeCell ref="A53:X53"/>
    <mergeCell ref="A54:X54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workbookViewId="0">
      <selection activeCell="J26" sqref="J26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73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94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27"/>
      <c r="B50" s="18"/>
      <c r="C50" s="18"/>
      <c r="D50" s="18"/>
      <c r="E50" s="18"/>
      <c r="F50" s="18"/>
    </row>
    <row r="51" spans="1:24">
      <c r="A51" s="107" t="s">
        <v>75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spans="1:24">
      <c r="A52" s="106"/>
    </row>
    <row r="53" spans="1:24">
      <c r="A53" s="107" t="s">
        <v>78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spans="1:24" ht="12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</row>
    <row r="55" spans="1:24">
      <c r="A55" s="107" t="s">
        <v>86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</sheetData>
  <mergeCells count="16">
    <mergeCell ref="A1:X1"/>
    <mergeCell ref="A2:X2"/>
    <mergeCell ref="A3:X3"/>
    <mergeCell ref="A4:X4"/>
    <mergeCell ref="A6:X6"/>
    <mergeCell ref="A51:X51"/>
    <mergeCell ref="A53:X53"/>
    <mergeCell ref="A54:X54"/>
    <mergeCell ref="A55:X55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0"/>
  <sheetViews>
    <sheetView workbookViewId="0">
      <selection activeCell="N5" sqref="N5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94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27"/>
      <c r="B50" s="18"/>
      <c r="C50" s="18"/>
      <c r="D50" s="18"/>
      <c r="E50" s="18"/>
      <c r="F50" s="18"/>
    </row>
    <row r="51" spans="1:24">
      <c r="A51" s="107" t="s">
        <v>75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spans="1:24">
      <c r="A52" s="106"/>
    </row>
    <row r="53" spans="1:24">
      <c r="A53" s="107" t="s">
        <v>78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spans="1:24" ht="11.2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</row>
    <row r="55" spans="1:24">
      <c r="A55" s="107" t="s">
        <v>86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60" spans="1:24">
      <c r="A60" s="1" t="s">
        <v>0</v>
      </c>
    </row>
  </sheetData>
  <mergeCells count="16">
    <mergeCell ref="A1:X1"/>
    <mergeCell ref="A2:X2"/>
    <mergeCell ref="A3:X3"/>
    <mergeCell ref="A4:X4"/>
    <mergeCell ref="A6:X6"/>
    <mergeCell ref="A51:X51"/>
    <mergeCell ref="A55:X55"/>
    <mergeCell ref="A54:X54"/>
    <mergeCell ref="A53:X53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7"/>
  <sheetViews>
    <sheetView tabSelected="1" workbookViewId="0">
      <selection activeCell="J5" sqref="J5"/>
    </sheetView>
  </sheetViews>
  <sheetFormatPr defaultColWidth="9.109375" defaultRowHeight="15.6"/>
  <cols>
    <col min="1" max="1" width="48.33203125" style="1" customWidth="1"/>
    <col min="2" max="2" width="12.44140625" style="5" customWidth="1"/>
    <col min="3" max="3" width="8" style="5" bestFit="1" customWidth="1"/>
    <col min="4" max="4" width="14.33203125" style="5" customWidth="1"/>
    <col min="5" max="5" width="5.44140625" style="5" bestFit="1" customWidth="1"/>
    <col min="6" max="6" width="14" style="5" customWidth="1"/>
    <col min="7" max="7" width="5.44140625" style="5" bestFit="1" customWidth="1"/>
    <col min="8" max="8" width="14.5546875" style="5" customWidth="1"/>
    <col min="9" max="9" width="5.44140625" style="5" bestFit="1" customWidth="1"/>
    <col min="10" max="10" width="14.33203125" style="5" customWidth="1"/>
    <col min="11" max="11" width="5.44140625" style="5" bestFit="1" customWidth="1"/>
    <col min="12" max="12" width="12.6640625" style="5" customWidth="1"/>
    <col min="13" max="13" width="5.44140625" style="5" bestFit="1" customWidth="1"/>
    <col min="14" max="14" width="11" style="5" customWidth="1"/>
    <col min="15" max="15" width="5.44140625" style="1" bestFit="1" customWidth="1"/>
    <col min="16" max="16" width="9.6640625" style="1" bestFit="1" customWidth="1"/>
    <col min="17" max="16384" width="9.109375" style="1"/>
  </cols>
  <sheetData>
    <row r="1" spans="1:15">
      <c r="A1" s="108" t="s">
        <v>91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10"/>
    </row>
    <row r="2" spans="1:15">
      <c r="A2" s="111" t="s">
        <v>72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>
      <c r="A3" s="111" t="s">
        <v>29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3"/>
    </row>
    <row r="4" spans="1:15">
      <c r="A4" s="111" t="s">
        <v>98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</row>
    <row r="5" spans="1:15" ht="16.2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16"/>
    </row>
    <row r="6" spans="1:15" ht="15.75" customHeight="1">
      <c r="A6" s="123" t="s">
        <v>8</v>
      </c>
      <c r="B6" s="125" t="s">
        <v>3</v>
      </c>
      <c r="C6" s="63" t="s">
        <v>17</v>
      </c>
      <c r="D6" s="125" t="s">
        <v>39</v>
      </c>
      <c r="E6" s="63" t="s">
        <v>17</v>
      </c>
      <c r="F6" s="125" t="s">
        <v>40</v>
      </c>
      <c r="G6" s="63" t="s">
        <v>17</v>
      </c>
      <c r="H6" s="125" t="s">
        <v>41</v>
      </c>
      <c r="I6" s="63" t="s">
        <v>17</v>
      </c>
      <c r="J6" s="125" t="s">
        <v>42</v>
      </c>
      <c r="K6" s="63" t="s">
        <v>17</v>
      </c>
      <c r="L6" s="63" t="s">
        <v>11</v>
      </c>
      <c r="M6" s="63" t="s">
        <v>17</v>
      </c>
      <c r="N6" s="121" t="s">
        <v>9</v>
      </c>
      <c r="O6" s="64" t="s">
        <v>17</v>
      </c>
    </row>
    <row r="7" spans="1:15" ht="31.2">
      <c r="A7" s="124"/>
      <c r="B7" s="126"/>
      <c r="C7" s="26" t="s">
        <v>6</v>
      </c>
      <c r="D7" s="126"/>
      <c r="E7" s="26" t="s">
        <v>6</v>
      </c>
      <c r="F7" s="126"/>
      <c r="G7" s="26" t="s">
        <v>6</v>
      </c>
      <c r="H7" s="126"/>
      <c r="I7" s="26" t="s">
        <v>6</v>
      </c>
      <c r="J7" s="126"/>
      <c r="K7" s="26" t="s">
        <v>6</v>
      </c>
      <c r="L7" s="26" t="s">
        <v>10</v>
      </c>
      <c r="M7" s="26" t="s">
        <v>6</v>
      </c>
      <c r="N7" s="122"/>
      <c r="O7" s="65" t="s">
        <v>6</v>
      </c>
    </row>
    <row r="8" spans="1:15">
      <c r="A8" s="66" t="s">
        <v>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7"/>
    </row>
    <row r="9" spans="1:15">
      <c r="A9" s="68" t="s">
        <v>14</v>
      </c>
      <c r="B9" s="8">
        <v>0</v>
      </c>
      <c r="C9" s="10" t="s">
        <v>0</v>
      </c>
      <c r="D9" s="8">
        <v>0</v>
      </c>
      <c r="E9" s="10" t="s">
        <v>0</v>
      </c>
      <c r="F9" s="8">
        <v>0</v>
      </c>
      <c r="G9" s="10" t="s">
        <v>0</v>
      </c>
      <c r="H9" s="8">
        <v>0</v>
      </c>
      <c r="I9" s="10" t="s">
        <v>0</v>
      </c>
      <c r="J9" s="8">
        <v>0</v>
      </c>
      <c r="K9" s="10" t="s">
        <v>0</v>
      </c>
      <c r="L9" s="8">
        <v>0</v>
      </c>
      <c r="M9" s="10" t="s">
        <v>0</v>
      </c>
      <c r="N9" s="8">
        <v>0</v>
      </c>
      <c r="O9" s="69" t="s">
        <v>0</v>
      </c>
    </row>
    <row r="10" spans="1:15">
      <c r="A10" s="68" t="s">
        <v>27</v>
      </c>
      <c r="B10" s="8"/>
      <c r="C10" s="10"/>
      <c r="D10" s="8"/>
      <c r="E10" s="10"/>
      <c r="F10" s="8"/>
      <c r="G10" s="10"/>
      <c r="H10" s="8"/>
      <c r="I10" s="10"/>
      <c r="J10" s="8"/>
      <c r="K10" s="10"/>
      <c r="L10" s="8"/>
      <c r="M10" s="10"/>
      <c r="N10" s="8"/>
      <c r="O10" s="69"/>
    </row>
    <row r="11" spans="1:15">
      <c r="A11" s="70" t="s">
        <v>15</v>
      </c>
      <c r="B11" s="7"/>
      <c r="C11" s="11"/>
      <c r="D11" s="7"/>
      <c r="E11" s="11"/>
      <c r="F11" s="7"/>
      <c r="G11" s="11"/>
      <c r="H11" s="7"/>
      <c r="I11" s="11"/>
      <c r="J11" s="7"/>
      <c r="K11" s="11"/>
      <c r="L11" s="7"/>
      <c r="M11" s="11"/>
      <c r="N11" s="7"/>
      <c r="O11" s="71"/>
    </row>
    <row r="12" spans="1:15">
      <c r="A12" s="70" t="s">
        <v>1</v>
      </c>
      <c r="B12" s="7"/>
      <c r="C12" s="11"/>
      <c r="D12" s="7"/>
      <c r="E12" s="11"/>
      <c r="F12" s="7"/>
      <c r="G12" s="11"/>
      <c r="H12" s="7"/>
      <c r="I12" s="11"/>
      <c r="J12" s="7"/>
      <c r="K12" s="11"/>
      <c r="L12" s="7"/>
      <c r="M12" s="11"/>
      <c r="N12" s="7"/>
      <c r="O12" s="71"/>
    </row>
    <row r="13" spans="1:15">
      <c r="A13" s="38" t="s">
        <v>2</v>
      </c>
      <c r="B13" s="6"/>
      <c r="C13" s="11"/>
      <c r="D13" s="6"/>
      <c r="E13" s="11"/>
      <c r="F13" s="6"/>
      <c r="G13" s="11"/>
      <c r="H13" s="6"/>
      <c r="I13" s="11"/>
      <c r="J13" s="6"/>
      <c r="K13" s="11"/>
      <c r="L13" s="6"/>
      <c r="M13" s="11"/>
      <c r="N13" s="6"/>
      <c r="O13" s="71"/>
    </row>
    <row r="14" spans="1:15">
      <c r="A14" s="38" t="s">
        <v>7</v>
      </c>
      <c r="B14" s="6"/>
      <c r="C14" s="11"/>
      <c r="D14" s="6"/>
      <c r="E14" s="11"/>
      <c r="F14" s="6"/>
      <c r="G14" s="11"/>
      <c r="H14" s="6"/>
      <c r="I14" s="11"/>
      <c r="J14" s="6"/>
      <c r="K14" s="11"/>
      <c r="L14" s="6"/>
      <c r="M14" s="11"/>
      <c r="N14" s="6"/>
      <c r="O14" s="71"/>
    </row>
    <row r="15" spans="1:15">
      <c r="A15" s="72" t="s">
        <v>12</v>
      </c>
      <c r="B15" s="7">
        <v>0</v>
      </c>
      <c r="C15" s="11"/>
      <c r="D15" s="7">
        <v>0</v>
      </c>
      <c r="E15" s="11"/>
      <c r="F15" s="7"/>
      <c r="G15" s="11"/>
      <c r="H15" s="7"/>
      <c r="I15" s="11"/>
      <c r="J15" s="7"/>
      <c r="K15" s="11"/>
      <c r="L15" s="7"/>
      <c r="M15" s="11"/>
      <c r="N15" s="7">
        <v>0</v>
      </c>
      <c r="O15" s="71"/>
    </row>
    <row r="16" spans="1:15">
      <c r="A16" s="73"/>
      <c r="B16" s="74"/>
      <c r="C16" s="75"/>
      <c r="D16" s="74"/>
      <c r="E16" s="75"/>
      <c r="F16" s="74"/>
      <c r="G16" s="75"/>
      <c r="H16" s="74"/>
      <c r="I16" s="75"/>
      <c r="J16" s="74"/>
      <c r="K16" s="75"/>
      <c r="L16" s="74"/>
      <c r="M16" s="75"/>
      <c r="N16" s="74"/>
      <c r="O16" s="76"/>
    </row>
    <row r="17" spans="1:16">
      <c r="A17" s="77" t="s">
        <v>16</v>
      </c>
      <c r="B17" s="3"/>
      <c r="C17" s="12"/>
      <c r="D17" s="3"/>
      <c r="E17" s="12"/>
      <c r="F17" s="3"/>
      <c r="G17" s="12"/>
      <c r="H17" s="3"/>
      <c r="I17" s="12"/>
      <c r="J17" s="3"/>
      <c r="K17" s="12"/>
      <c r="L17" s="3"/>
      <c r="M17" s="12"/>
      <c r="N17" s="3"/>
      <c r="O17" s="78"/>
    </row>
    <row r="18" spans="1:16">
      <c r="A18" s="38" t="s">
        <v>14</v>
      </c>
      <c r="B18" s="7">
        <v>0</v>
      </c>
      <c r="C18" s="11"/>
      <c r="D18" s="7">
        <v>0</v>
      </c>
      <c r="E18" s="11"/>
      <c r="F18" s="7">
        <v>0</v>
      </c>
      <c r="G18" s="11"/>
      <c r="H18" s="7">
        <v>0</v>
      </c>
      <c r="I18" s="11"/>
      <c r="J18" s="7">
        <v>0</v>
      </c>
      <c r="K18" s="11"/>
      <c r="L18" s="7">
        <v>0</v>
      </c>
      <c r="M18" s="11"/>
      <c r="N18" s="7">
        <v>0</v>
      </c>
      <c r="O18" s="71"/>
      <c r="P18" s="5" t="s">
        <v>0</v>
      </c>
    </row>
    <row r="19" spans="1:16">
      <c r="A19" s="68" t="s">
        <v>27</v>
      </c>
      <c r="B19" s="7"/>
      <c r="C19" s="11"/>
      <c r="D19" s="7"/>
      <c r="E19" s="11"/>
      <c r="F19" s="7"/>
      <c r="G19" s="11"/>
      <c r="H19" s="7"/>
      <c r="I19" s="11"/>
      <c r="J19" s="7"/>
      <c r="K19" s="11"/>
      <c r="L19" s="7"/>
      <c r="M19" s="11"/>
      <c r="N19" s="7"/>
      <c r="O19" s="71"/>
      <c r="P19" s="5"/>
    </row>
    <row r="20" spans="1:16">
      <c r="A20" s="70" t="s">
        <v>15</v>
      </c>
      <c r="B20" s="7"/>
      <c r="C20" s="11"/>
      <c r="D20" s="7"/>
      <c r="E20" s="11"/>
      <c r="F20" s="7"/>
      <c r="G20" s="11"/>
      <c r="H20" s="7"/>
      <c r="I20" s="11"/>
      <c r="J20" s="7"/>
      <c r="K20" s="11"/>
      <c r="L20" s="7"/>
      <c r="M20" s="11"/>
      <c r="N20" s="7"/>
      <c r="O20" s="71"/>
    </row>
    <row r="21" spans="1:16">
      <c r="A21" s="79" t="s">
        <v>18</v>
      </c>
      <c r="B21" s="7">
        <v>0</v>
      </c>
      <c r="C21" s="11"/>
      <c r="D21" s="7">
        <v>0</v>
      </c>
      <c r="E21" s="11"/>
      <c r="F21" s="7"/>
      <c r="G21" s="11"/>
      <c r="H21" s="7"/>
      <c r="I21" s="11"/>
      <c r="J21" s="7"/>
      <c r="K21" s="11"/>
      <c r="L21" s="7"/>
      <c r="M21" s="11"/>
      <c r="N21" s="7">
        <v>0</v>
      </c>
      <c r="O21" s="71"/>
    </row>
    <row r="22" spans="1:16">
      <c r="A22" s="80"/>
      <c r="B22" s="4"/>
      <c r="C22" s="13"/>
      <c r="D22" s="4"/>
      <c r="E22" s="13"/>
      <c r="F22" s="4"/>
      <c r="G22" s="13"/>
      <c r="H22" s="4"/>
      <c r="I22" s="13"/>
      <c r="J22" s="4"/>
      <c r="K22" s="13"/>
      <c r="L22" s="4"/>
      <c r="M22" s="13"/>
      <c r="N22" s="4"/>
      <c r="O22" s="81"/>
    </row>
    <row r="23" spans="1:16">
      <c r="A23" s="77" t="s">
        <v>22</v>
      </c>
      <c r="B23" s="3"/>
      <c r="C23" s="12"/>
      <c r="D23" s="3"/>
      <c r="E23" s="12"/>
      <c r="F23" s="3"/>
      <c r="G23" s="12"/>
      <c r="H23" s="3"/>
      <c r="I23" s="12"/>
      <c r="J23" s="3"/>
      <c r="K23" s="12"/>
      <c r="L23" s="3"/>
      <c r="M23" s="12"/>
      <c r="N23" s="3"/>
      <c r="O23" s="78"/>
    </row>
    <row r="24" spans="1:16">
      <c r="A24" s="38" t="s">
        <v>19</v>
      </c>
      <c r="B24" s="9">
        <v>0</v>
      </c>
      <c r="C24" s="11"/>
      <c r="D24" s="9">
        <v>0</v>
      </c>
      <c r="E24" s="11"/>
      <c r="F24" s="9">
        <v>0</v>
      </c>
      <c r="G24" s="11"/>
      <c r="H24" s="9">
        <v>0</v>
      </c>
      <c r="I24" s="11"/>
      <c r="J24" s="9">
        <v>0</v>
      </c>
      <c r="K24" s="11"/>
      <c r="L24" s="9">
        <v>0</v>
      </c>
      <c r="M24" s="11"/>
      <c r="N24" s="9">
        <v>0</v>
      </c>
      <c r="O24" s="71"/>
    </row>
    <row r="25" spans="1:16">
      <c r="A25" s="68" t="s">
        <v>23</v>
      </c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71"/>
    </row>
    <row r="26" spans="1:16">
      <c r="A26" s="70" t="s">
        <v>20</v>
      </c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71"/>
    </row>
    <row r="27" spans="1:16" ht="16.2" thickBot="1">
      <c r="A27" s="82" t="s">
        <v>21</v>
      </c>
      <c r="B27" s="83">
        <v>0</v>
      </c>
      <c r="C27" s="84"/>
      <c r="D27" s="83">
        <v>0</v>
      </c>
      <c r="E27" s="84"/>
      <c r="F27" s="83">
        <v>0</v>
      </c>
      <c r="G27" s="84"/>
      <c r="H27" s="83">
        <v>0</v>
      </c>
      <c r="I27" s="84"/>
      <c r="J27" s="83">
        <v>0</v>
      </c>
      <c r="K27" s="84"/>
      <c r="L27" s="83">
        <v>0</v>
      </c>
      <c r="M27" s="84"/>
      <c r="N27" s="83">
        <v>0</v>
      </c>
      <c r="O27" s="85"/>
    </row>
  </sheetData>
  <mergeCells count="11">
    <mergeCell ref="N6:N7"/>
    <mergeCell ref="A1:O1"/>
    <mergeCell ref="A2:O2"/>
    <mergeCell ref="A3:O3"/>
    <mergeCell ref="A4:O4"/>
    <mergeCell ref="A6:A7"/>
    <mergeCell ref="B6:B7"/>
    <mergeCell ref="D6:D7"/>
    <mergeCell ref="F6:F7"/>
    <mergeCell ref="H6:H7"/>
    <mergeCell ref="J6:J7"/>
  </mergeCells>
  <printOptions horizontalCentered="1"/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Exhibit A - Total Contract</vt:lpstr>
      <vt:lpstr>Exhibit A - Transition</vt:lpstr>
      <vt:lpstr>Exhibit A - Year 1</vt:lpstr>
      <vt:lpstr>Exhibit A - Year 2</vt:lpstr>
      <vt:lpstr>Exhibit A - Year 3</vt:lpstr>
      <vt:lpstr>Exhibit A - Year 4</vt:lpstr>
      <vt:lpstr>Exhibit A - Year 5</vt:lpstr>
      <vt:lpstr>Exhibit B - % of Subcontracting</vt:lpstr>
      <vt:lpstr>'Exhibit A - Total Contract'!Print_Area</vt:lpstr>
    </vt:vector>
  </TitlesOfParts>
  <Company>Department of Energy - Oak Ridge Operations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Hertzel</dc:creator>
  <cp:lastModifiedBy>ikq</cp:lastModifiedBy>
  <cp:lastPrinted>2012-07-16T17:43:26Z</cp:lastPrinted>
  <dcterms:created xsi:type="dcterms:W3CDTF">2010-06-14T16:59:37Z</dcterms:created>
  <dcterms:modified xsi:type="dcterms:W3CDTF">2012-09-12T13:23:57Z</dcterms:modified>
</cp:coreProperties>
</file>