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27570" yWindow="-1860" windowWidth="1980" windowHeight="13080"/>
  </bookViews>
  <sheets>
    <sheet name="Sheet1" sheetId="1" r:id="rId1"/>
  </sheets>
  <definedNames>
    <definedName name="_xlnm.Print_Area" localSheetId="0">Sheet1!$A$1:$Q$60</definedName>
    <definedName name="_xlnm.Print_Titles" localSheetId="0">Sheet1!$A:$C</definedName>
  </definedNames>
  <calcPr calcId="145621" fullCalcOnLoad="1"/>
</workbook>
</file>

<file path=xl/calcChain.xml><?xml version="1.0" encoding="utf-8"?>
<calcChain xmlns="http://schemas.openxmlformats.org/spreadsheetml/2006/main">
  <c r="Q59" i="1"/>
  <c r="Q58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1"/>
  <c r="Q30"/>
  <c r="Q29"/>
  <c r="Q28"/>
  <c r="Q27"/>
  <c r="Q26"/>
  <c r="Q25"/>
  <c r="Q24"/>
  <c r="Q23"/>
  <c r="Q20"/>
  <c r="Q22"/>
  <c r="Q19"/>
  <c r="Q18"/>
  <c r="Q17"/>
  <c r="Q16"/>
  <c r="Q15"/>
  <c r="Q14"/>
  <c r="Q13"/>
  <c r="Q12"/>
  <c r="Q11"/>
  <c r="Q10"/>
  <c r="Q9"/>
  <c r="Q8"/>
  <c r="Q7"/>
  <c r="Q6"/>
  <c r="Q5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58"/>
  <c r="M31"/>
  <c r="L20"/>
  <c r="M19"/>
  <c r="M17"/>
  <c r="M14"/>
  <c r="M12"/>
  <c r="M11"/>
  <c r="M10"/>
  <c r="M8"/>
  <c r="M7"/>
  <c r="M6"/>
  <c r="M20"/>
  <c r="M59"/>
  <c r="M5"/>
  <c r="P6"/>
  <c r="P7"/>
  <c r="P8"/>
  <c r="P9"/>
  <c r="P10"/>
  <c r="P11"/>
  <c r="P12"/>
  <c r="P13"/>
  <c r="P14"/>
  <c r="P15"/>
  <c r="P16"/>
  <c r="P17"/>
  <c r="P18"/>
  <c r="P19"/>
  <c r="P5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58"/>
  <c r="K31"/>
  <c r="J20"/>
  <c r="K19"/>
  <c r="K17"/>
  <c r="K14"/>
  <c r="K12"/>
  <c r="K11"/>
  <c r="K10"/>
  <c r="K8"/>
  <c r="K7"/>
  <c r="K6"/>
  <c r="K20"/>
  <c r="K59"/>
  <c r="K5"/>
  <c r="E57"/>
  <c r="E56"/>
  <c r="E55"/>
  <c r="E54"/>
  <c r="E53"/>
  <c r="E52"/>
  <c r="E51"/>
  <c r="E50"/>
  <c r="E49"/>
  <c r="E48"/>
  <c r="E47"/>
  <c r="E46"/>
  <c r="E45"/>
  <c r="E44"/>
  <c r="E43"/>
  <c r="E42"/>
  <c r="E41"/>
  <c r="E58"/>
  <c r="E40"/>
  <c r="E31"/>
  <c r="D20"/>
  <c r="E19"/>
  <c r="E17"/>
  <c r="E14"/>
  <c r="E12"/>
  <c r="E11"/>
  <c r="E10"/>
  <c r="E8"/>
  <c r="E7"/>
  <c r="E20"/>
  <c r="E59"/>
  <c r="E60"/>
  <c r="E6"/>
  <c r="E5"/>
  <c r="G5"/>
  <c r="G20"/>
  <c r="G6"/>
  <c r="G7"/>
  <c r="G8"/>
  <c r="G10"/>
  <c r="G11"/>
  <c r="G12"/>
  <c r="G14"/>
  <c r="G17"/>
  <c r="G19"/>
  <c r="G31"/>
  <c r="G40"/>
  <c r="G41"/>
  <c r="G42"/>
  <c r="G43"/>
  <c r="G44"/>
  <c r="G58"/>
  <c r="G45"/>
  <c r="G46"/>
  <c r="G47"/>
  <c r="G48"/>
  <c r="G49"/>
  <c r="G50"/>
  <c r="G51"/>
  <c r="G52"/>
  <c r="G53"/>
  <c r="G54"/>
  <c r="G55"/>
  <c r="G56"/>
  <c r="G57"/>
  <c r="I5"/>
  <c r="I6"/>
  <c r="I20"/>
  <c r="I59"/>
  <c r="I7"/>
  <c r="I8"/>
  <c r="I10"/>
  <c r="I11"/>
  <c r="I12"/>
  <c r="I14"/>
  <c r="I17"/>
  <c r="I19"/>
  <c r="I31"/>
  <c r="I40"/>
  <c r="I41"/>
  <c r="I42"/>
  <c r="I43"/>
  <c r="I44"/>
  <c r="I45"/>
  <c r="I58"/>
  <c r="I46"/>
  <c r="I47"/>
  <c r="I48"/>
  <c r="I49"/>
  <c r="I50"/>
  <c r="I51"/>
  <c r="I52"/>
  <c r="I53"/>
  <c r="I54"/>
  <c r="I55"/>
  <c r="I56"/>
  <c r="I57"/>
  <c r="O5"/>
  <c r="O6"/>
  <c r="O20"/>
  <c r="O7"/>
  <c r="O8"/>
  <c r="O10"/>
  <c r="O11"/>
  <c r="O12"/>
  <c r="O14"/>
  <c r="O17"/>
  <c r="O19"/>
  <c r="O31"/>
  <c r="O40"/>
  <c r="O58"/>
  <c r="O41"/>
  <c r="O42"/>
  <c r="O43"/>
  <c r="O44"/>
  <c r="O45"/>
  <c r="O46"/>
  <c r="O47"/>
  <c r="O48"/>
  <c r="O49"/>
  <c r="O50"/>
  <c r="O51"/>
  <c r="O52"/>
  <c r="O53"/>
  <c r="O54"/>
  <c r="O55"/>
  <c r="O56"/>
  <c r="O57"/>
  <c r="F20"/>
  <c r="P20"/>
  <c r="H20"/>
  <c r="N20"/>
  <c r="O59"/>
  <c r="G59"/>
  <c r="G60"/>
</calcChain>
</file>

<file path=xl/sharedStrings.xml><?xml version="1.0" encoding="utf-8"?>
<sst xmlns="http://schemas.openxmlformats.org/spreadsheetml/2006/main" count="119" uniqueCount="85">
  <si>
    <t xml:space="preserve"> RATE</t>
  </si>
  <si>
    <t># of Hours</t>
  </si>
  <si>
    <t>COST COMPONENT</t>
  </si>
  <si>
    <t>UNITS</t>
  </si>
  <si>
    <t>COST</t>
  </si>
  <si>
    <t>LABOR</t>
  </si>
  <si>
    <t>Sr. Project Engineer, P.E.</t>
  </si>
  <si>
    <t>Sr. Hydrogeologist, P.G.</t>
  </si>
  <si>
    <t>Project Manager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</si>
  <si>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</si>
  <si>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</si>
  <si>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</si>
  <si>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</si>
  <si>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</si>
  <si>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</si>
  <si>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</si>
  <si>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Other (specify)</t>
  </si>
  <si>
    <t>LABOR SUBTOTAL</t>
  </si>
  <si>
    <t>SUBCONTRACTORS / VENDORS</t>
  </si>
  <si>
    <t>Analytical Laboratory (Groundwater)</t>
  </si>
  <si>
    <t>Waste Transport and Disposal</t>
  </si>
  <si>
    <t xml:space="preserve">Geotech Laboratory </t>
  </si>
  <si>
    <t>SUBCONTRACTOR / VENDOR SUBTOTAL</t>
  </si>
  <si>
    <t>OTHER DIRECT COSTS</t>
  </si>
  <si>
    <t>RATE</t>
  </si>
  <si>
    <t>Include mark-up in costs</t>
  </si>
  <si>
    <t>Copies &amp; Report Reprographics</t>
  </si>
  <si>
    <t>Postage/Shipping</t>
  </si>
  <si>
    <t>Vehicle Mileage</t>
  </si>
  <si>
    <t>Tolls/Parking</t>
  </si>
  <si>
    <t>Vehicle Daily Use</t>
  </si>
  <si>
    <t>Per Diem (if applicable)</t>
  </si>
  <si>
    <t>Water Level Meter</t>
  </si>
  <si>
    <t>Oil/Water Interface Probe</t>
  </si>
  <si>
    <t>Photoionization Detector</t>
  </si>
  <si>
    <t>Generator</t>
  </si>
  <si>
    <t>Submersible Pump/Control Box</t>
  </si>
  <si>
    <t>Flow Through Cell</t>
  </si>
  <si>
    <t>Bailers</t>
  </si>
  <si>
    <t>Electronic Data Logger</t>
  </si>
  <si>
    <t>Transducer</t>
  </si>
  <si>
    <t>Safety Equipment</t>
  </si>
  <si>
    <t>Survey Equipment</t>
  </si>
  <si>
    <t>Combo Meter (pH, cond, DO)</t>
  </si>
  <si>
    <t>ODC TOTAL</t>
  </si>
  <si>
    <t>TOTAL LABOR + SUBS + ODCs</t>
  </si>
  <si>
    <t>Administrative</t>
  </si>
  <si>
    <t>Principal</t>
  </si>
  <si>
    <t>Poly/Teflon Tubing (per foot)</t>
  </si>
  <si>
    <t>Carbon Vessel (includes Disposal)</t>
  </si>
  <si>
    <t>Digital Camera</t>
  </si>
  <si>
    <t>SRS documents and tax maps</t>
  </si>
  <si>
    <t xml:space="preserve">Private Markout </t>
  </si>
  <si>
    <t>PADEP Report Review Fee</t>
  </si>
  <si>
    <t>LPH recovery products</t>
  </si>
  <si>
    <t>Newspaper Fees</t>
  </si>
  <si>
    <t>Analytical Laboratory (Soil/Soil Gas)</t>
  </si>
  <si>
    <t>Soil Gas Point Install materials</t>
  </si>
  <si>
    <t>Subcontractor / Vendor Mark-up is __% (max 10%)</t>
  </si>
  <si>
    <t>Driller</t>
  </si>
  <si>
    <t>Provide bid daily rates and change equipment types as needed.  For each subtask, provide the number of units</t>
  </si>
  <si>
    <r>
      <t xml:space="preserve">COST COMPONENT AND UNIT COSTS                                       </t>
    </r>
    <r>
      <rPr>
        <sz val="8"/>
        <rFont val="Arial"/>
      </rPr>
      <t>(Bidders shall present their costs using the task/subtask structure, with tasks 1-5 broken down into logical subtasks)</t>
    </r>
  </si>
  <si>
    <r>
      <rPr>
        <b/>
        <sz val="8"/>
        <rFont val="Arial"/>
        <family val="2"/>
      </rPr>
      <t xml:space="preserve">Costs for Subs/Vendors must include </t>
    </r>
    <r>
      <rPr>
        <b/>
        <u/>
        <sz val="8"/>
        <rFont val="Arial"/>
        <family val="2"/>
      </rPr>
      <t>base cost plus mark-up</t>
    </r>
    <r>
      <rPr>
        <b/>
        <sz val="8"/>
        <rFont val="Arial"/>
        <family val="2"/>
      </rPr>
      <t>, if any. Change subcontractor / vendor type as needed</t>
    </r>
  </si>
  <si>
    <t>PER QUARTER COST (WHERE APPLICABLE)</t>
  </si>
  <si>
    <t>Asst. Project Geologist/ Engineer</t>
  </si>
  <si>
    <t>Change Title of Labor Category Where Appropriate &amp; Provide Hourly Rates for Each Labor Category</t>
  </si>
  <si>
    <r>
      <t xml:space="preserve">Milestone C:  Soil Attainment Sampling </t>
    </r>
    <r>
      <rPr>
        <sz val="8"/>
        <rFont val="Arial"/>
      </rPr>
      <t>(Bidders shall include the corresponding written task description in the bid response text)</t>
    </r>
  </si>
  <si>
    <r>
      <t xml:space="preserve">Milestone D:  Soil Vapor Assessment </t>
    </r>
    <r>
      <rPr>
        <sz val="8"/>
        <rFont val="Arial"/>
      </rPr>
      <t>(Bidders shall include the corresponding written task description in the bid response text)</t>
    </r>
  </si>
  <si>
    <r>
      <t xml:space="preserve">Milestone E:  Preparation and Submittal of a RACR </t>
    </r>
    <r>
      <rPr>
        <sz val="8"/>
        <rFont val="Arial"/>
      </rPr>
      <t>(Bidders shall include the corresponding written task description in the bid response text)</t>
    </r>
  </si>
  <si>
    <r>
      <t xml:space="preserve">Milestones B1 - B10:  Ten Consecutive Quarters of Groundwater Gauging, Sampling, and Reporting
</t>
    </r>
    <r>
      <rPr>
        <sz val="8"/>
        <rFont val="Arial"/>
      </rPr>
      <t>(Bidders shall include the corresponding written task description in the bid response text)</t>
    </r>
  </si>
  <si>
    <r>
      <t xml:space="preserve">Milestones A1 - A2:  Monthly Vac-outs for Six (6) Months
</t>
    </r>
    <r>
      <rPr>
        <sz val="8"/>
        <rFont val="Arial"/>
      </rPr>
      <t>(Bidders shall include the corresponding written task description in the bid response text)</t>
    </r>
  </si>
  <si>
    <t>Milestone A</t>
  </si>
  <si>
    <t>Vac-outs</t>
  </si>
  <si>
    <t>Milestone B</t>
  </si>
  <si>
    <t>GW Monitoring &amp; Reporting</t>
  </si>
  <si>
    <t xml:space="preserve">Milestone C </t>
  </si>
  <si>
    <t>Soil Attainment</t>
  </si>
  <si>
    <t xml:space="preserve">Milestone D </t>
  </si>
  <si>
    <t>Soil Vapor Assessment</t>
  </si>
  <si>
    <t xml:space="preserve">Milestone E </t>
  </si>
  <si>
    <t>RACR</t>
  </si>
  <si>
    <r>
      <t xml:space="preserve">Milestone F:  Well Decommissioning and Site Restoration </t>
    </r>
    <r>
      <rPr>
        <sz val="8"/>
        <rFont val="Arial"/>
      </rPr>
      <t>(Bidders shall include the corresponding written task description in the bid response text)</t>
    </r>
  </si>
  <si>
    <t xml:space="preserve">Milestone F </t>
  </si>
  <si>
    <t>Well Decomm./Site Restoration</t>
  </si>
  <si>
    <r>
      <t xml:space="preserve">BID TOTAL                                         </t>
    </r>
    <r>
      <rPr>
        <sz val="8"/>
        <rFont val="Arial"/>
      </rPr>
      <t>(Bidder must provide rates and the total units for each line item)</t>
    </r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</si>
</sst>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0">
    <font>
      <sz val="10"/>
      <name val="Arial"/>
    </font>
    <font>
      <sz val="10"/>
      <name val="Arial"/>
    </font>
    <font>
      <b/>
      <sz val="9"/>
      <name val="Arial"/>
      <family val="2"/>
    </font>
    <font>
      <sz val="8"/>
      <name val="Arial"/>
    </font>
    <font>
      <b/>
      <sz val="10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b/>
      <sz val="9"/>
      <color indexed="12"/>
      <name val="Arial"/>
      <family val="2"/>
    </font>
    <font>
      <sz val="9"/>
      <color indexed="48"/>
      <name val="Arial"/>
      <family val="2"/>
    </font>
    <font>
      <sz val="8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9"/>
      <color rgb="FF0000D4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21" fillId="0" borderId="6" applyNumberFormat="0" applyFill="0" applyAlignment="0" applyProtection="0"/>
    <xf numFmtId="0" fontId="22" fillId="22" borderId="0" applyNumberFormat="0" applyBorder="0" applyAlignment="0" applyProtection="0"/>
    <xf numFmtId="0" fontId="1" fillId="23" borderId="7" applyNumberFormat="0" applyFont="0" applyAlignment="0" applyProtection="0"/>
    <xf numFmtId="0" fontId="23" fillId="20" borderId="8" applyNumberForma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</cellStyleXfs>
  <cellXfs count="93">
    <xf numFmtId="0" fontId="0" fillId="0" borderId="0" xfId="0"/>
    <xf numFmtId="0" fontId="5" fillId="0" borderId="0" xfId="0" applyFont="1" applyProtection="1">
      <protection locked="0"/>
    </xf>
    <xf numFmtId="0" fontId="6" fillId="24" borderId="10" xfId="0" applyFont="1" applyFill="1" applyBorder="1" applyProtection="1">
      <protection locked="0"/>
    </xf>
    <xf numFmtId="0" fontId="6" fillId="24" borderId="11" xfId="0" applyFont="1" applyFill="1" applyBorder="1" applyProtection="1">
      <protection locked="0"/>
    </xf>
    <xf numFmtId="0" fontId="5" fillId="25" borderId="12" xfId="0" applyFont="1" applyFill="1" applyBorder="1" applyAlignment="1" applyProtection="1">
      <alignment horizontal="center"/>
      <protection locked="0"/>
    </xf>
    <xf numFmtId="0" fontId="6" fillId="24" borderId="13" xfId="0" applyFont="1" applyFill="1" applyBorder="1" applyProtection="1">
      <protection locked="0"/>
    </xf>
    <xf numFmtId="0" fontId="6" fillId="24" borderId="0" xfId="0" applyFont="1" applyFill="1" applyBorder="1" applyProtection="1">
      <protection locked="0"/>
    </xf>
    <xf numFmtId="0" fontId="5" fillId="25" borderId="14" xfId="0" applyFont="1" applyFill="1" applyBorder="1" applyAlignment="1" applyProtection="1">
      <alignment horizontal="center"/>
      <protection locked="0"/>
    </xf>
    <xf numFmtId="0" fontId="7" fillId="24" borderId="15" xfId="0" applyFont="1" applyFill="1" applyBorder="1" applyProtection="1">
      <protection locked="0"/>
    </xf>
    <xf numFmtId="0" fontId="6" fillId="24" borderId="16" xfId="0" applyFont="1" applyFill="1" applyBorder="1" applyProtection="1">
      <protection locked="0"/>
    </xf>
    <xf numFmtId="0" fontId="5" fillId="25" borderId="15" xfId="0" applyFont="1" applyFill="1" applyBorder="1" applyProtection="1">
      <protection locked="0"/>
    </xf>
    <xf numFmtId="0" fontId="5" fillId="25" borderId="17" xfId="0" applyFont="1" applyFill="1" applyBorder="1" applyAlignment="1" applyProtection="1">
      <alignment horizontal="center"/>
      <protection locked="0"/>
    </xf>
    <xf numFmtId="0" fontId="7" fillId="0" borderId="10" xfId="0" applyFont="1" applyBorder="1" applyProtection="1">
      <protection locked="0"/>
    </xf>
    <xf numFmtId="0" fontId="5" fillId="0" borderId="0" xfId="0" applyFont="1" applyBorder="1" applyProtection="1">
      <protection locked="0"/>
    </xf>
    <xf numFmtId="164" fontId="5" fillId="26" borderId="18" xfId="0" applyNumberFormat="1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164" fontId="5" fillId="0" borderId="12" xfId="0" applyNumberFormat="1" applyFont="1" applyBorder="1" applyAlignment="1" applyProtection="1">
      <alignment horizontal="center"/>
    </xf>
    <xf numFmtId="164" fontId="5" fillId="0" borderId="14" xfId="0" applyNumberFormat="1" applyFont="1" applyBorder="1" applyAlignment="1" applyProtection="1">
      <alignment horizontal="center"/>
    </xf>
    <xf numFmtId="0" fontId="5" fillId="0" borderId="13" xfId="0" applyFont="1" applyBorder="1" applyAlignment="1" applyProtection="1">
      <alignment horizontal="center"/>
      <protection locked="0"/>
    </xf>
    <xf numFmtId="0" fontId="7" fillId="0" borderId="15" xfId="0" applyFont="1" applyBorder="1" applyProtection="1">
      <protection locked="0"/>
    </xf>
    <xf numFmtId="0" fontId="6" fillId="0" borderId="16" xfId="0" applyFont="1" applyBorder="1" applyProtection="1">
      <protection locked="0"/>
    </xf>
    <xf numFmtId="0" fontId="5" fillId="27" borderId="19" xfId="0" applyFont="1" applyFill="1" applyBorder="1" applyProtection="1"/>
    <xf numFmtId="0" fontId="6" fillId="0" borderId="20" xfId="0" applyFont="1" applyBorder="1" applyAlignment="1" applyProtection="1">
      <alignment horizontal="center"/>
    </xf>
    <xf numFmtId="164" fontId="6" fillId="0" borderId="21" xfId="0" applyNumberFormat="1" applyFont="1" applyBorder="1" applyAlignment="1" applyProtection="1">
      <alignment horizontal="center"/>
    </xf>
    <xf numFmtId="0" fontId="6" fillId="0" borderId="11" xfId="0" applyFont="1" applyBorder="1" applyProtection="1">
      <protection locked="0"/>
    </xf>
    <xf numFmtId="0" fontId="5" fillId="27" borderId="22" xfId="0" applyFont="1" applyFill="1" applyBorder="1" applyProtection="1"/>
    <xf numFmtId="0" fontId="5" fillId="27" borderId="10" xfId="0" applyFont="1" applyFill="1" applyBorder="1" applyAlignment="1" applyProtection="1">
      <alignment horizontal="center"/>
    </xf>
    <xf numFmtId="0" fontId="5" fillId="25" borderId="17" xfId="0" applyFont="1" applyFill="1" applyBorder="1" applyAlignment="1" applyProtection="1">
      <alignment horizontal="center"/>
    </xf>
    <xf numFmtId="0" fontId="5" fillId="27" borderId="13" xfId="0" applyFont="1" applyFill="1" applyBorder="1" applyAlignment="1" applyProtection="1">
      <alignment horizontal="center"/>
      <protection locked="0"/>
    </xf>
    <xf numFmtId="164" fontId="5" fillId="0" borderId="14" xfId="0" applyNumberFormat="1" applyFont="1" applyBorder="1" applyAlignment="1" applyProtection="1">
      <alignment horizontal="center"/>
      <protection locked="0"/>
    </xf>
    <xf numFmtId="0" fontId="5" fillId="27" borderId="13" xfId="0" applyFont="1" applyFill="1" applyBorder="1" applyAlignment="1" applyProtection="1">
      <alignment horizontal="center"/>
    </xf>
    <xf numFmtId="0" fontId="5" fillId="0" borderId="0" xfId="0" applyFont="1" applyFill="1" applyBorder="1" applyProtection="1">
      <protection locked="0"/>
    </xf>
    <xf numFmtId="0" fontId="5" fillId="27" borderId="23" xfId="0" applyFont="1" applyFill="1" applyBorder="1" applyAlignment="1" applyProtection="1">
      <alignment horizontal="center"/>
      <protection locked="0"/>
    </xf>
    <xf numFmtId="0" fontId="5" fillId="27" borderId="23" xfId="0" applyFont="1" applyFill="1" applyBorder="1" applyAlignment="1" applyProtection="1">
      <alignment horizontal="center"/>
    </xf>
    <xf numFmtId="0" fontId="5" fillId="27" borderId="15" xfId="0" applyFont="1" applyFill="1" applyBorder="1" applyAlignment="1" applyProtection="1">
      <alignment horizontal="center"/>
    </xf>
    <xf numFmtId="0" fontId="6" fillId="27" borderId="15" xfId="0" applyFont="1" applyFill="1" applyBorder="1" applyAlignment="1" applyProtection="1">
      <alignment horizontal="center"/>
    </xf>
    <xf numFmtId="0" fontId="5" fillId="25" borderId="15" xfId="0" applyFont="1" applyFill="1" applyBorder="1" applyAlignment="1" applyProtection="1">
      <alignment horizontal="center"/>
    </xf>
    <xf numFmtId="0" fontId="6" fillId="27" borderId="0" xfId="0" applyFont="1" applyFill="1" applyBorder="1" applyProtection="1"/>
    <xf numFmtId="0" fontId="7" fillId="0" borderId="13" xfId="0" applyFont="1" applyBorder="1" applyProtection="1">
      <protection locked="0"/>
    </xf>
    <xf numFmtId="0" fontId="6" fillId="0" borderId="0" xfId="0" applyFont="1" applyBorder="1" applyProtection="1">
      <protection locked="0"/>
    </xf>
    <xf numFmtId="164" fontId="6" fillId="0" borderId="12" xfId="0" applyNumberFormat="1" applyFont="1" applyBorder="1" applyAlignment="1" applyProtection="1">
      <alignment horizontal="center"/>
    </xf>
    <xf numFmtId="0" fontId="8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left"/>
      <protection locked="0"/>
    </xf>
    <xf numFmtId="0" fontId="7" fillId="0" borderId="24" xfId="0" applyFont="1" applyBorder="1" applyProtection="1">
      <protection locked="0"/>
    </xf>
    <xf numFmtId="0" fontId="6" fillId="0" borderId="25" xfId="0" applyFont="1" applyBorder="1" applyProtection="1">
      <protection locked="0"/>
    </xf>
    <xf numFmtId="0" fontId="6" fillId="27" borderId="25" xfId="0" applyFont="1" applyFill="1" applyBorder="1" applyAlignment="1" applyProtection="1">
      <alignment horizontal="center"/>
    </xf>
    <xf numFmtId="164" fontId="6" fillId="0" borderId="26" xfId="0" applyNumberFormat="1" applyFont="1" applyBorder="1" applyAlignment="1" applyProtection="1">
      <alignment horizontal="center"/>
    </xf>
    <xf numFmtId="164" fontId="5" fillId="0" borderId="17" xfId="0" applyNumberFormat="1" applyFont="1" applyBorder="1" applyAlignment="1" applyProtection="1">
      <alignment horizontal="center"/>
    </xf>
    <xf numFmtId="164" fontId="29" fillId="0" borderId="27" xfId="0" applyNumberFormat="1" applyFont="1" applyBorder="1" applyAlignment="1" applyProtection="1">
      <alignment horizontal="center"/>
      <protection locked="0"/>
    </xf>
    <xf numFmtId="0" fontId="7" fillId="0" borderId="28" xfId="0" applyFont="1" applyBorder="1" applyProtection="1">
      <protection locked="0"/>
    </xf>
    <xf numFmtId="0" fontId="6" fillId="0" borderId="27" xfId="0" applyFont="1" applyBorder="1" applyProtection="1">
      <protection locked="0"/>
    </xf>
    <xf numFmtId="0" fontId="5" fillId="28" borderId="16" xfId="0" applyFont="1" applyFill="1" applyBorder="1" applyProtection="1">
      <protection locked="0"/>
    </xf>
    <xf numFmtId="0" fontId="5" fillId="28" borderId="16" xfId="0" applyFont="1" applyFill="1" applyBorder="1" applyAlignment="1" applyProtection="1">
      <alignment horizontal="center"/>
      <protection locked="0"/>
    </xf>
    <xf numFmtId="0" fontId="5" fillId="28" borderId="17" xfId="0" applyFont="1" applyFill="1" applyBorder="1" applyAlignment="1" applyProtection="1">
      <alignment horizontal="center"/>
      <protection locked="0"/>
    </xf>
    <xf numFmtId="0" fontId="6" fillId="27" borderId="10" xfId="0" applyFont="1" applyFill="1" applyBorder="1" applyProtection="1"/>
    <xf numFmtId="0" fontId="6" fillId="27" borderId="11" xfId="0" applyFont="1" applyFill="1" applyBorder="1" applyAlignment="1" applyProtection="1">
      <alignment horizontal="center"/>
    </xf>
    <xf numFmtId="0" fontId="6" fillId="27" borderId="10" xfId="0" applyFont="1" applyFill="1" applyBorder="1" applyAlignment="1" applyProtection="1">
      <alignment horizontal="center"/>
    </xf>
    <xf numFmtId="0" fontId="6" fillId="27" borderId="24" xfId="0" applyFont="1" applyFill="1" applyBorder="1" applyProtection="1"/>
    <xf numFmtId="0" fontId="5" fillId="28" borderId="15" xfId="0" applyFont="1" applyFill="1" applyBorder="1" applyProtection="1">
      <protection locked="0"/>
    </xf>
    <xf numFmtId="0" fontId="5" fillId="0" borderId="13" xfId="0" applyNumberFormat="1" applyFont="1" applyBorder="1" applyAlignment="1" applyProtection="1">
      <alignment horizontal="center"/>
    </xf>
    <xf numFmtId="0" fontId="5" fillId="0" borderId="15" xfId="0" applyNumberFormat="1" applyFont="1" applyBorder="1" applyAlignment="1" applyProtection="1">
      <alignment horizontal="center"/>
    </xf>
    <xf numFmtId="0" fontId="5" fillId="25" borderId="29" xfId="0" applyFont="1" applyFill="1" applyBorder="1" applyAlignment="1" applyProtection="1">
      <alignment horizontal="center"/>
    </xf>
    <xf numFmtId="164" fontId="5" fillId="0" borderId="29" xfId="0" applyNumberFormat="1" applyFont="1" applyBorder="1" applyAlignment="1" applyProtection="1">
      <alignment horizontal="center"/>
    </xf>
    <xf numFmtId="164" fontId="5" fillId="0" borderId="22" xfId="0" applyNumberFormat="1" applyFont="1" applyBorder="1" applyAlignment="1" applyProtection="1">
      <alignment horizontal="center"/>
    </xf>
    <xf numFmtId="164" fontId="5" fillId="0" borderId="18" xfId="0" applyNumberFormat="1" applyFont="1" applyBorder="1" applyAlignment="1" applyProtection="1">
      <alignment horizontal="center"/>
    </xf>
    <xf numFmtId="164" fontId="5" fillId="0" borderId="19" xfId="0" applyNumberFormat="1" applyFont="1" applyBorder="1" applyAlignment="1" applyProtection="1">
      <alignment horizontal="center"/>
    </xf>
    <xf numFmtId="164" fontId="5" fillId="0" borderId="30" xfId="0" applyNumberFormat="1" applyFont="1" applyBorder="1" applyAlignment="1" applyProtection="1">
      <alignment horizontal="center"/>
    </xf>
    <xf numFmtId="0" fontId="5" fillId="0" borderId="20" xfId="0" applyNumberFormat="1" applyFont="1" applyBorder="1" applyAlignment="1" applyProtection="1">
      <alignment horizontal="center"/>
    </xf>
    <xf numFmtId="0" fontId="5" fillId="25" borderId="10" xfId="0" applyFont="1" applyFill="1" applyBorder="1" applyAlignment="1" applyProtection="1">
      <alignment horizontal="center" wrapText="1"/>
      <protection locked="0"/>
    </xf>
    <xf numFmtId="0" fontId="5" fillId="25" borderId="13" xfId="0" applyFont="1" applyFill="1" applyBorder="1" applyAlignment="1" applyProtection="1">
      <alignment horizontal="center" wrapText="1"/>
      <protection locked="0"/>
    </xf>
    <xf numFmtId="0" fontId="5" fillId="25" borderId="15" xfId="0" applyFont="1" applyFill="1" applyBorder="1" applyAlignment="1" applyProtection="1">
      <alignment horizontal="center" wrapText="1"/>
      <protection locked="0"/>
    </xf>
    <xf numFmtId="0" fontId="5" fillId="24" borderId="10" xfId="0" applyFont="1" applyFill="1" applyBorder="1" applyAlignment="1" applyProtection="1">
      <alignment horizontal="center"/>
      <protection locked="0"/>
    </xf>
    <xf numFmtId="0" fontId="5" fillId="24" borderId="12" xfId="0" applyFont="1" applyFill="1" applyBorder="1" applyAlignment="1" applyProtection="1">
      <alignment horizontal="center"/>
      <protection locked="0"/>
    </xf>
    <xf numFmtId="0" fontId="5" fillId="24" borderId="13" xfId="0" applyFont="1" applyFill="1" applyBorder="1" applyAlignment="1" applyProtection="1">
      <alignment horizontal="center"/>
      <protection locked="0"/>
    </xf>
    <xf numFmtId="0" fontId="5" fillId="24" borderId="14" xfId="0" applyFont="1" applyFill="1" applyBorder="1" applyAlignment="1" applyProtection="1">
      <alignment horizontal="center"/>
      <protection locked="0"/>
    </xf>
    <xf numFmtId="0" fontId="2" fillId="24" borderId="20" xfId="0" applyFont="1" applyFill="1" applyBorder="1" applyAlignment="1" applyProtection="1">
      <alignment horizontal="center" vertical="center" wrapText="1"/>
      <protection locked="0"/>
    </xf>
    <xf numFmtId="0" fontId="2" fillId="24" borderId="21" xfId="0" applyFont="1" applyFill="1" applyBorder="1" applyAlignment="1" applyProtection="1">
      <alignment horizontal="center" vertical="center" wrapText="1"/>
      <protection locked="0"/>
    </xf>
    <xf numFmtId="0" fontId="4" fillId="24" borderId="20" xfId="0" applyFont="1" applyFill="1" applyBorder="1" applyAlignment="1" applyProtection="1">
      <alignment horizontal="center" vertical="center" wrapText="1"/>
      <protection locked="0"/>
    </xf>
    <xf numFmtId="0" fontId="4" fillId="24" borderId="34" xfId="0" applyFont="1" applyFill="1" applyBorder="1" applyAlignment="1" applyProtection="1">
      <alignment horizontal="center" vertical="center" wrapText="1"/>
      <protection locked="0"/>
    </xf>
    <xf numFmtId="0" fontId="2" fillId="24" borderId="34" xfId="0" applyFont="1" applyFill="1" applyBorder="1" applyAlignment="1" applyProtection="1">
      <alignment horizontal="center" vertical="center" wrapText="1"/>
      <protection locked="0"/>
    </xf>
    <xf numFmtId="0" fontId="4" fillId="24" borderId="21" xfId="0" applyFont="1" applyFill="1" applyBorder="1" applyAlignment="1" applyProtection="1">
      <alignment horizontal="center" vertical="center" wrapText="1"/>
      <protection locked="0"/>
    </xf>
    <xf numFmtId="0" fontId="2" fillId="26" borderId="31" xfId="0" applyFont="1" applyFill="1" applyBorder="1" applyAlignment="1" applyProtection="1">
      <alignment horizontal="center" vertical="center" wrapText="1"/>
      <protection locked="0"/>
    </xf>
    <xf numFmtId="0" fontId="2" fillId="26" borderId="32" xfId="0" applyFont="1" applyFill="1" applyBorder="1" applyAlignment="1" applyProtection="1">
      <alignment horizontal="center" vertical="center" wrapText="1"/>
      <protection locked="0"/>
    </xf>
    <xf numFmtId="0" fontId="2" fillId="26" borderId="33" xfId="0" applyFont="1" applyFill="1" applyBorder="1" applyAlignment="1" applyProtection="1">
      <alignment horizontal="center" vertical="center" wrapText="1"/>
      <protection locked="0"/>
    </xf>
    <xf numFmtId="0" fontId="27" fillId="26" borderId="31" xfId="0" applyFont="1" applyFill="1" applyBorder="1" applyAlignment="1" applyProtection="1">
      <alignment horizontal="center" vertical="center" wrapText="1"/>
      <protection locked="0"/>
    </xf>
    <xf numFmtId="0" fontId="7" fillId="24" borderId="22" xfId="0" applyFont="1" applyFill="1" applyBorder="1" applyAlignment="1" applyProtection="1">
      <alignment horizontal="center" wrapText="1"/>
      <protection locked="0"/>
    </xf>
    <xf numFmtId="0" fontId="7" fillId="24" borderId="18" xfId="0" applyFont="1" applyFill="1" applyBorder="1" applyAlignment="1" applyProtection="1">
      <alignment horizontal="center" wrapText="1"/>
      <protection locked="0"/>
    </xf>
    <xf numFmtId="0" fontId="7" fillId="24" borderId="19" xfId="0" applyFont="1" applyFill="1" applyBorder="1" applyAlignment="1" applyProtection="1">
      <alignment horizontal="center" wrapText="1"/>
      <protection locked="0"/>
    </xf>
    <xf numFmtId="0" fontId="27" fillId="26" borderId="22" xfId="0" applyFont="1" applyFill="1" applyBorder="1" applyAlignment="1" applyProtection="1">
      <alignment horizontal="center" vertical="center" wrapText="1"/>
      <protection locked="0"/>
    </xf>
    <xf numFmtId="0" fontId="2" fillId="26" borderId="18" xfId="0" applyFont="1" applyFill="1" applyBorder="1" applyAlignment="1" applyProtection="1">
      <alignment horizontal="center" vertical="center" wrapText="1"/>
      <protection locked="0"/>
    </xf>
    <xf numFmtId="0" fontId="2" fillId="26" borderId="19" xfId="0" applyFont="1" applyFill="1" applyBorder="1" applyAlignment="1" applyProtection="1">
      <alignment horizontal="center" vertical="center" wrapText="1"/>
      <protection locked="0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60"/>
  <sheetViews>
    <sheetView tabSelected="1" view="pageLayout" topLeftCell="C1" zoomScaleNormal="125" workbookViewId="0">
      <selection activeCell="N8" sqref="N8"/>
    </sheetView>
  </sheetViews>
  <sheetFormatPr defaultColWidth="8.7109375" defaultRowHeight="12"/>
  <cols>
    <col min="1" max="1" width="11.85546875" style="1" customWidth="1"/>
    <col min="2" max="2" width="30.85546875" style="1" customWidth="1"/>
    <col min="3" max="3" width="11" style="1" customWidth="1"/>
    <col min="4" max="4" width="12.28515625" style="1" customWidth="1"/>
    <col min="5" max="5" width="16.140625" style="1" customWidth="1"/>
    <col min="6" max="6" width="10.28515625" style="1" customWidth="1"/>
    <col min="7" max="7" width="21.140625" style="1" customWidth="1"/>
    <col min="8" max="8" width="9.7109375" style="1" customWidth="1"/>
    <col min="9" max="9" width="17.5703125" style="1" customWidth="1"/>
    <col min="10" max="10" width="8.85546875" style="1" customWidth="1"/>
    <col min="11" max="11" width="18.5703125" style="1" customWidth="1"/>
    <col min="12" max="12" width="9.140625" style="1" customWidth="1"/>
    <col min="13" max="13" width="17.140625" style="1" customWidth="1"/>
    <col min="14" max="14" width="8.85546875" style="1" customWidth="1"/>
    <col min="15" max="15" width="19.42578125" style="1" customWidth="1"/>
    <col min="16" max="16" width="10.42578125" style="42" customWidth="1"/>
    <col min="17" max="17" width="19.28515625" style="42" customWidth="1"/>
    <col min="18" max="16384" width="8.7109375" style="1"/>
  </cols>
  <sheetData>
    <row r="1" spans="1:17" ht="114" customHeight="1" thickBot="1">
      <c r="A1" s="77" t="s">
        <v>61</v>
      </c>
      <c r="B1" s="81"/>
      <c r="C1" s="78"/>
      <c r="D1" s="79" t="s">
        <v>70</v>
      </c>
      <c r="E1" s="80"/>
      <c r="F1" s="79" t="s">
        <v>69</v>
      </c>
      <c r="G1" s="80"/>
      <c r="H1" s="79" t="s">
        <v>66</v>
      </c>
      <c r="I1" s="82"/>
      <c r="J1" s="79" t="s">
        <v>67</v>
      </c>
      <c r="K1" s="80"/>
      <c r="L1" s="79" t="s">
        <v>68</v>
      </c>
      <c r="M1" s="80"/>
      <c r="N1" s="79" t="s">
        <v>81</v>
      </c>
      <c r="O1" s="80"/>
      <c r="P1" s="77" t="s">
        <v>84</v>
      </c>
      <c r="Q1" s="78"/>
    </row>
    <row r="2" spans="1:17" ht="12.75" customHeight="1">
      <c r="A2" s="2"/>
      <c r="B2" s="3"/>
      <c r="C2" s="87" t="s">
        <v>0</v>
      </c>
      <c r="D2" s="73" t="s">
        <v>71</v>
      </c>
      <c r="E2" s="74"/>
      <c r="F2" s="73" t="s">
        <v>73</v>
      </c>
      <c r="G2" s="74"/>
      <c r="H2" s="73" t="s">
        <v>75</v>
      </c>
      <c r="I2" s="74"/>
      <c r="J2" s="73" t="s">
        <v>77</v>
      </c>
      <c r="K2" s="74"/>
      <c r="L2" s="73" t="s">
        <v>79</v>
      </c>
      <c r="M2" s="74"/>
      <c r="N2" s="73" t="s">
        <v>82</v>
      </c>
      <c r="O2" s="74"/>
      <c r="P2" s="70" t="s">
        <v>1</v>
      </c>
      <c r="Q2" s="4"/>
    </row>
    <row r="3" spans="1:17" ht="11.25" customHeight="1">
      <c r="A3" s="5"/>
      <c r="B3" s="6"/>
      <c r="C3" s="88"/>
      <c r="D3" s="75" t="s">
        <v>72</v>
      </c>
      <c r="E3" s="76"/>
      <c r="F3" s="75" t="s">
        <v>74</v>
      </c>
      <c r="G3" s="76"/>
      <c r="H3" s="75" t="s">
        <v>76</v>
      </c>
      <c r="I3" s="76"/>
      <c r="J3" s="75" t="s">
        <v>78</v>
      </c>
      <c r="K3" s="76"/>
      <c r="L3" s="75" t="s">
        <v>80</v>
      </c>
      <c r="M3" s="76"/>
      <c r="N3" s="75" t="s">
        <v>83</v>
      </c>
      <c r="O3" s="76"/>
      <c r="P3" s="71"/>
      <c r="Q3" s="7"/>
    </row>
    <row r="4" spans="1:17" ht="12.75" thickBot="1">
      <c r="A4" s="8" t="s">
        <v>2</v>
      </c>
      <c r="B4" s="9"/>
      <c r="C4" s="89"/>
      <c r="D4" s="10" t="s">
        <v>3</v>
      </c>
      <c r="E4" s="11" t="s">
        <v>4</v>
      </c>
      <c r="F4" s="10" t="s">
        <v>3</v>
      </c>
      <c r="G4" s="11" t="s">
        <v>4</v>
      </c>
      <c r="H4" s="10" t="s">
        <v>3</v>
      </c>
      <c r="I4" s="11" t="s">
        <v>4</v>
      </c>
      <c r="J4" s="10" t="s">
        <v>3</v>
      </c>
      <c r="K4" s="11" t="s">
        <v>4</v>
      </c>
      <c r="L4" s="10" t="s">
        <v>3</v>
      </c>
      <c r="M4" s="11" t="s">
        <v>4</v>
      </c>
      <c r="N4" s="10" t="s">
        <v>3</v>
      </c>
      <c r="O4" s="11" t="s">
        <v>4</v>
      </c>
      <c r="P4" s="72"/>
      <c r="Q4" s="11" t="s">
        <v>4</v>
      </c>
    </row>
    <row r="5" spans="1:17">
      <c r="A5" s="12" t="s">
        <v>5</v>
      </c>
      <c r="B5" s="13" t="s">
        <v>47</v>
      </c>
      <c r="C5" s="14">
        <v>0</v>
      </c>
      <c r="D5" s="15"/>
      <c r="E5" s="16">
        <f>$C5*D5</f>
        <v>0</v>
      </c>
      <c r="F5" s="15"/>
      <c r="G5" s="16">
        <f>$C5*F5</f>
        <v>0</v>
      </c>
      <c r="H5" s="15"/>
      <c r="I5" s="16">
        <f>$C5*H5</f>
        <v>0</v>
      </c>
      <c r="J5" s="15"/>
      <c r="K5" s="16">
        <f>$C5*J5</f>
        <v>0</v>
      </c>
      <c r="L5" s="15"/>
      <c r="M5" s="16">
        <f>$C5*L5</f>
        <v>0</v>
      </c>
      <c r="N5" s="15"/>
      <c r="O5" s="16">
        <f>$C5*N5</f>
        <v>0</v>
      </c>
      <c r="P5" s="61">
        <f>D5+F5+H5+J5++N5</f>
        <v>0</v>
      </c>
      <c r="Q5" s="17">
        <f>E5+G5+I5+K5+M5+O5</f>
        <v>0</v>
      </c>
    </row>
    <row r="6" spans="1:17">
      <c r="A6" s="83" t="s">
        <v>65</v>
      </c>
      <c r="B6" s="13" t="s">
        <v>6</v>
      </c>
      <c r="C6" s="14">
        <v>0</v>
      </c>
      <c r="D6" s="18"/>
      <c r="E6" s="17">
        <f>$C6*D6</f>
        <v>0</v>
      </c>
      <c r="F6" s="18"/>
      <c r="G6" s="17">
        <f>$C6*F6</f>
        <v>0</v>
      </c>
      <c r="H6" s="18"/>
      <c r="I6" s="17">
        <f t="shared" ref="I6:I19" si="0">$C6*H6</f>
        <v>0</v>
      </c>
      <c r="J6" s="18"/>
      <c r="K6" s="17">
        <f>$C6*J6</f>
        <v>0</v>
      </c>
      <c r="L6" s="18"/>
      <c r="M6" s="17">
        <f>$C6*L6</f>
        <v>0</v>
      </c>
      <c r="N6" s="18"/>
      <c r="O6" s="17">
        <f t="shared" ref="O6:O19" si="1">$C6*N6</f>
        <v>0</v>
      </c>
      <c r="P6" s="61">
        <f t="shared" ref="P6:P20" si="2">D6+F6+H6+J6++N6</f>
        <v>0</v>
      </c>
      <c r="Q6" s="17">
        <f t="shared" ref="Q6:Q18" si="3">E6+G6+I6+K6+M6+O6</f>
        <v>0</v>
      </c>
    </row>
    <row r="7" spans="1:17">
      <c r="A7" s="84"/>
      <c r="B7" s="13" t="s">
        <v>7</v>
      </c>
      <c r="C7" s="14">
        <v>0</v>
      </c>
      <c r="D7" s="18"/>
      <c r="E7" s="17">
        <f>$C7*D7</f>
        <v>0</v>
      </c>
      <c r="F7" s="18"/>
      <c r="G7" s="17">
        <f>$C7*F7</f>
        <v>0</v>
      </c>
      <c r="H7" s="18"/>
      <c r="I7" s="17">
        <f t="shared" si="0"/>
        <v>0</v>
      </c>
      <c r="J7" s="18"/>
      <c r="K7" s="17">
        <f>$C7*J7</f>
        <v>0</v>
      </c>
      <c r="L7" s="18"/>
      <c r="M7" s="17">
        <f>$C7*L7</f>
        <v>0</v>
      </c>
      <c r="N7" s="18"/>
      <c r="O7" s="17">
        <f t="shared" si="1"/>
        <v>0</v>
      </c>
      <c r="P7" s="61">
        <f t="shared" si="2"/>
        <v>0</v>
      </c>
      <c r="Q7" s="17">
        <f t="shared" si="3"/>
        <v>0</v>
      </c>
    </row>
    <row r="8" spans="1:17">
      <c r="A8" s="84"/>
      <c r="B8" s="13" t="s">
        <v>8</v>
      </c>
      <c r="C8" s="14">
        <v>0</v>
      </c>
      <c r="D8" s="18"/>
      <c r="E8" s="17">
        <f>$C8*D8</f>
        <v>0</v>
      </c>
      <c r="F8" s="18"/>
      <c r="G8" s="17">
        <f>$C8*F8</f>
        <v>0</v>
      </c>
      <c r="H8" s="18"/>
      <c r="I8" s="17">
        <f t="shared" si="0"/>
        <v>0</v>
      </c>
      <c r="J8" s="18"/>
      <c r="K8" s="17">
        <f>$C8*J8</f>
        <v>0</v>
      </c>
      <c r="L8" s="18"/>
      <c r="M8" s="17">
        <f>$C8*L8</f>
        <v>0</v>
      </c>
      <c r="N8" s="18"/>
      <c r="O8" s="17">
        <f t="shared" si="1"/>
        <v>0</v>
      </c>
      <c r="P8" s="61">
        <f t="shared" si="2"/>
        <v>0</v>
      </c>
      <c r="Q8" s="17">
        <f t="shared" si="3"/>
        <v>0</v>
      </c>
    </row>
    <row r="9" spans="1:17">
      <c r="A9" s="84"/>
      <c r="B9" s="13" t="s">
        <v>64</v>
      </c>
      <c r="C9" s="14">
        <v>0</v>
      </c>
      <c r="D9" s="18"/>
      <c r="E9" s="17">
        <v>0</v>
      </c>
      <c r="F9" s="18"/>
      <c r="G9" s="17">
        <v>0</v>
      </c>
      <c r="H9" s="18"/>
      <c r="I9" s="17">
        <v>0</v>
      </c>
      <c r="J9" s="18"/>
      <c r="K9" s="17">
        <v>0</v>
      </c>
      <c r="L9" s="18"/>
      <c r="M9" s="17">
        <v>0</v>
      </c>
      <c r="N9" s="18"/>
      <c r="O9" s="17">
        <v>0</v>
      </c>
      <c r="P9" s="61">
        <f t="shared" si="2"/>
        <v>0</v>
      </c>
      <c r="Q9" s="17">
        <f t="shared" si="3"/>
        <v>0</v>
      </c>
    </row>
    <row r="10" spans="1:17">
      <c r="A10" s="84"/>
      <c r="B10" s="13" t="s">
        <v>9</v>
      </c>
      <c r="C10" s="14">
        <v>0</v>
      </c>
      <c r="D10" s="18"/>
      <c r="E10" s="17">
        <f>$C10*D10</f>
        <v>0</v>
      </c>
      <c r="F10" s="18"/>
      <c r="G10" s="17">
        <f>$C10*F10</f>
        <v>0</v>
      </c>
      <c r="H10" s="18"/>
      <c r="I10" s="17">
        <f t="shared" si="0"/>
        <v>0</v>
      </c>
      <c r="J10" s="18"/>
      <c r="K10" s="17">
        <f>$C10*J10</f>
        <v>0</v>
      </c>
      <c r="L10" s="18"/>
      <c r="M10" s="17">
        <f>$C10*L10</f>
        <v>0</v>
      </c>
      <c r="N10" s="18"/>
      <c r="O10" s="17">
        <f t="shared" si="1"/>
        <v>0</v>
      </c>
      <c r="P10" s="61">
        <f t="shared" si="2"/>
        <v>0</v>
      </c>
      <c r="Q10" s="17">
        <f t="shared" si="3"/>
        <v>0</v>
      </c>
    </row>
    <row r="11" spans="1:17">
      <c r="A11" s="84"/>
      <c r="B11" s="13" t="s">
        <v>10</v>
      </c>
      <c r="C11" s="14">
        <v>0</v>
      </c>
      <c r="D11" s="18"/>
      <c r="E11" s="17">
        <f>$C11*D11</f>
        <v>0</v>
      </c>
      <c r="F11" s="18"/>
      <c r="G11" s="17">
        <f>$C11*F11</f>
        <v>0</v>
      </c>
      <c r="H11" s="18"/>
      <c r="I11" s="17">
        <f t="shared" si="0"/>
        <v>0</v>
      </c>
      <c r="J11" s="18"/>
      <c r="K11" s="17">
        <f>$C11*J11</f>
        <v>0</v>
      </c>
      <c r="L11" s="18"/>
      <c r="M11" s="17">
        <f>$C11*L11</f>
        <v>0</v>
      </c>
      <c r="N11" s="18"/>
      <c r="O11" s="17">
        <f t="shared" si="1"/>
        <v>0</v>
      </c>
      <c r="P11" s="61">
        <f t="shared" si="2"/>
        <v>0</v>
      </c>
      <c r="Q11" s="17">
        <f t="shared" si="3"/>
        <v>0</v>
      </c>
    </row>
    <row r="12" spans="1:17">
      <c r="A12" s="84"/>
      <c r="B12" s="13" t="s">
        <v>11</v>
      </c>
      <c r="C12" s="14">
        <v>0</v>
      </c>
      <c r="D12" s="18"/>
      <c r="E12" s="17">
        <f>$C12*D12</f>
        <v>0</v>
      </c>
      <c r="F12" s="18"/>
      <c r="G12" s="17">
        <f>$C12*F12</f>
        <v>0</v>
      </c>
      <c r="H12" s="18"/>
      <c r="I12" s="17">
        <f t="shared" si="0"/>
        <v>0</v>
      </c>
      <c r="J12" s="18"/>
      <c r="K12" s="17">
        <f>$C12*J12</f>
        <v>0</v>
      </c>
      <c r="L12" s="18"/>
      <c r="M12" s="17">
        <f>$C12*L12</f>
        <v>0</v>
      </c>
      <c r="N12" s="18"/>
      <c r="O12" s="17">
        <f t="shared" si="1"/>
        <v>0</v>
      </c>
      <c r="P12" s="61">
        <f t="shared" si="2"/>
        <v>0</v>
      </c>
      <c r="Q12" s="17">
        <f t="shared" si="3"/>
        <v>0</v>
      </c>
    </row>
    <row r="13" spans="1:17">
      <c r="A13" s="84"/>
      <c r="B13" s="13" t="s">
        <v>12</v>
      </c>
      <c r="C13" s="14">
        <v>0</v>
      </c>
      <c r="D13" s="18"/>
      <c r="E13" s="17">
        <v>0</v>
      </c>
      <c r="F13" s="18"/>
      <c r="G13" s="17">
        <v>0</v>
      </c>
      <c r="H13" s="18"/>
      <c r="I13" s="17">
        <v>0</v>
      </c>
      <c r="J13" s="18"/>
      <c r="K13" s="17">
        <v>0</v>
      </c>
      <c r="L13" s="18"/>
      <c r="M13" s="17">
        <v>0</v>
      </c>
      <c r="N13" s="18"/>
      <c r="O13" s="17">
        <v>0</v>
      </c>
      <c r="P13" s="61">
        <f t="shared" si="2"/>
        <v>0</v>
      </c>
      <c r="Q13" s="17">
        <f t="shared" si="3"/>
        <v>0</v>
      </c>
    </row>
    <row r="14" spans="1:17">
      <c r="A14" s="84"/>
      <c r="B14" s="13" t="s">
        <v>13</v>
      </c>
      <c r="C14" s="14">
        <v>0</v>
      </c>
      <c r="D14" s="18"/>
      <c r="E14" s="17">
        <f>$C14*D14</f>
        <v>0</v>
      </c>
      <c r="F14" s="18"/>
      <c r="G14" s="17">
        <f>$C14*F14</f>
        <v>0</v>
      </c>
      <c r="H14" s="18"/>
      <c r="I14" s="17">
        <f t="shared" si="0"/>
        <v>0</v>
      </c>
      <c r="J14" s="18"/>
      <c r="K14" s="17">
        <f>$C14*J14</f>
        <v>0</v>
      </c>
      <c r="L14" s="18"/>
      <c r="M14" s="17">
        <f>$C14*L14</f>
        <v>0</v>
      </c>
      <c r="N14" s="18"/>
      <c r="O14" s="17">
        <f t="shared" si="1"/>
        <v>0</v>
      </c>
      <c r="P14" s="61">
        <f t="shared" si="2"/>
        <v>0</v>
      </c>
      <c r="Q14" s="17">
        <f t="shared" si="3"/>
        <v>0</v>
      </c>
    </row>
    <row r="15" spans="1:17">
      <c r="A15" s="84"/>
      <c r="B15" s="13" t="s">
        <v>14</v>
      </c>
      <c r="C15" s="14">
        <v>0</v>
      </c>
      <c r="D15" s="18"/>
      <c r="E15" s="17">
        <v>0</v>
      </c>
      <c r="F15" s="18"/>
      <c r="G15" s="17">
        <v>0</v>
      </c>
      <c r="H15" s="18"/>
      <c r="I15" s="17">
        <v>0</v>
      </c>
      <c r="J15" s="18"/>
      <c r="K15" s="17">
        <v>0</v>
      </c>
      <c r="L15" s="18"/>
      <c r="M15" s="17">
        <v>0</v>
      </c>
      <c r="N15" s="18"/>
      <c r="O15" s="17">
        <v>0</v>
      </c>
      <c r="P15" s="61">
        <f t="shared" si="2"/>
        <v>0</v>
      </c>
      <c r="Q15" s="17">
        <f t="shared" si="3"/>
        <v>0</v>
      </c>
    </row>
    <row r="16" spans="1:17">
      <c r="A16" s="84"/>
      <c r="B16" s="13" t="s">
        <v>15</v>
      </c>
      <c r="C16" s="14">
        <v>0</v>
      </c>
      <c r="D16" s="18"/>
      <c r="E16" s="17">
        <v>0</v>
      </c>
      <c r="F16" s="18"/>
      <c r="G16" s="17">
        <v>0</v>
      </c>
      <c r="H16" s="18"/>
      <c r="I16" s="17">
        <v>0</v>
      </c>
      <c r="J16" s="18"/>
      <c r="K16" s="17">
        <v>0</v>
      </c>
      <c r="L16" s="18"/>
      <c r="M16" s="17">
        <v>0</v>
      </c>
      <c r="N16" s="18"/>
      <c r="O16" s="17">
        <v>0</v>
      </c>
      <c r="P16" s="61">
        <f t="shared" si="2"/>
        <v>0</v>
      </c>
      <c r="Q16" s="17">
        <f t="shared" si="3"/>
        <v>0</v>
      </c>
    </row>
    <row r="17" spans="1:17">
      <c r="A17" s="84"/>
      <c r="B17" s="13" t="s">
        <v>46</v>
      </c>
      <c r="C17" s="14">
        <v>0</v>
      </c>
      <c r="D17" s="18"/>
      <c r="E17" s="17">
        <f>$C17*D17</f>
        <v>0</v>
      </c>
      <c r="F17" s="18"/>
      <c r="G17" s="17">
        <f>$C17*F17</f>
        <v>0</v>
      </c>
      <c r="H17" s="18"/>
      <c r="I17" s="17">
        <f t="shared" si="0"/>
        <v>0</v>
      </c>
      <c r="J17" s="18"/>
      <c r="K17" s="17">
        <f>$C17*J17</f>
        <v>0</v>
      </c>
      <c r="L17" s="18"/>
      <c r="M17" s="17">
        <f>$C17*L17</f>
        <v>0</v>
      </c>
      <c r="N17" s="18"/>
      <c r="O17" s="17">
        <f t="shared" si="1"/>
        <v>0</v>
      </c>
      <c r="P17" s="61">
        <f t="shared" si="2"/>
        <v>0</v>
      </c>
      <c r="Q17" s="17">
        <f t="shared" si="3"/>
        <v>0</v>
      </c>
    </row>
    <row r="18" spans="1:17">
      <c r="A18" s="84"/>
      <c r="B18" s="13" t="s">
        <v>16</v>
      </c>
      <c r="C18" s="14">
        <v>0</v>
      </c>
      <c r="D18" s="18"/>
      <c r="E18" s="17">
        <v>0</v>
      </c>
      <c r="F18" s="18"/>
      <c r="G18" s="17">
        <v>0</v>
      </c>
      <c r="H18" s="18"/>
      <c r="I18" s="17">
        <v>0</v>
      </c>
      <c r="J18" s="18"/>
      <c r="K18" s="17">
        <v>0</v>
      </c>
      <c r="L18" s="18"/>
      <c r="M18" s="17">
        <v>0</v>
      </c>
      <c r="N18" s="18"/>
      <c r="O18" s="17">
        <v>0</v>
      </c>
      <c r="P18" s="61">
        <f t="shared" si="2"/>
        <v>0</v>
      </c>
      <c r="Q18" s="17">
        <f t="shared" si="3"/>
        <v>0</v>
      </c>
    </row>
    <row r="19" spans="1:17" ht="12.75" thickBot="1">
      <c r="A19" s="85"/>
      <c r="B19" s="13" t="s">
        <v>16</v>
      </c>
      <c r="C19" s="14">
        <v>0</v>
      </c>
      <c r="D19" s="18"/>
      <c r="E19" s="17">
        <f>$C19*D19</f>
        <v>0</v>
      </c>
      <c r="F19" s="18"/>
      <c r="G19" s="17">
        <f>$C19*F19</f>
        <v>0</v>
      </c>
      <c r="H19" s="18"/>
      <c r="I19" s="17">
        <f t="shared" si="0"/>
        <v>0</v>
      </c>
      <c r="J19" s="18"/>
      <c r="K19" s="17">
        <f>$C19*J19</f>
        <v>0</v>
      </c>
      <c r="L19" s="18"/>
      <c r="M19" s="17">
        <f>$C19*L19</f>
        <v>0</v>
      </c>
      <c r="N19" s="18"/>
      <c r="O19" s="17">
        <f t="shared" si="1"/>
        <v>0</v>
      </c>
      <c r="P19" s="62">
        <f t="shared" si="2"/>
        <v>0</v>
      </c>
      <c r="Q19" s="49">
        <f>E19+G19+I19+K19+M19+O19</f>
        <v>0</v>
      </c>
    </row>
    <row r="20" spans="1:17" ht="12.75" thickBot="1">
      <c r="A20" s="19" t="s">
        <v>17</v>
      </c>
      <c r="B20" s="20"/>
      <c r="C20" s="21"/>
      <c r="D20" s="22">
        <f>SUM(D5:D19)</f>
        <v>0</v>
      </c>
      <c r="E20" s="23">
        <f>SUM(E5:E19)</f>
        <v>0</v>
      </c>
      <c r="F20" s="22">
        <f t="shared" ref="F20:O20" si="4">SUM(F5:F19)</f>
        <v>0</v>
      </c>
      <c r="G20" s="23">
        <f t="shared" si="4"/>
        <v>0</v>
      </c>
      <c r="H20" s="22">
        <f t="shared" si="4"/>
        <v>0</v>
      </c>
      <c r="I20" s="23">
        <f t="shared" si="4"/>
        <v>0</v>
      </c>
      <c r="J20" s="22">
        <f>SUM(J5:J19)</f>
        <v>0</v>
      </c>
      <c r="K20" s="23">
        <f>SUM(K5:K19)</f>
        <v>0</v>
      </c>
      <c r="L20" s="22">
        <f>SUM(L5:L19)</f>
        <v>0</v>
      </c>
      <c r="M20" s="23">
        <f>SUM(M5:M19)</f>
        <v>0</v>
      </c>
      <c r="N20" s="22">
        <f t="shared" si="4"/>
        <v>0</v>
      </c>
      <c r="O20" s="23">
        <f t="shared" si="4"/>
        <v>0</v>
      </c>
      <c r="P20" s="69">
        <f t="shared" si="2"/>
        <v>0</v>
      </c>
      <c r="Q20" s="17">
        <f>E20+G20+I20+K20+M20+O20</f>
        <v>0</v>
      </c>
    </row>
    <row r="21" spans="1:17" ht="12.75" thickBot="1">
      <c r="A21" s="12" t="s">
        <v>18</v>
      </c>
      <c r="B21" s="24"/>
      <c r="C21" s="25"/>
      <c r="D21" s="26"/>
      <c r="E21" s="27" t="s">
        <v>4</v>
      </c>
      <c r="F21" s="26"/>
      <c r="G21" s="27" t="s">
        <v>4</v>
      </c>
      <c r="H21" s="26"/>
      <c r="I21" s="27" t="s">
        <v>4</v>
      </c>
      <c r="J21" s="26"/>
      <c r="K21" s="27" t="s">
        <v>4</v>
      </c>
      <c r="L21" s="26"/>
      <c r="M21" s="27" t="s">
        <v>4</v>
      </c>
      <c r="N21" s="26"/>
      <c r="O21" s="27" t="s">
        <v>4</v>
      </c>
      <c r="P21" s="30"/>
      <c r="Q21" s="63" t="s">
        <v>4</v>
      </c>
    </row>
    <row r="22" spans="1:17" ht="12" customHeight="1">
      <c r="A22" s="86" t="s">
        <v>62</v>
      </c>
      <c r="B22" s="13" t="s">
        <v>56</v>
      </c>
      <c r="C22" s="90" t="s">
        <v>58</v>
      </c>
      <c r="D22" s="28"/>
      <c r="E22" s="29">
        <v>0</v>
      </c>
      <c r="F22" s="28"/>
      <c r="G22" s="29">
        <v>0</v>
      </c>
      <c r="H22" s="28"/>
      <c r="I22" s="29">
        <v>0</v>
      </c>
      <c r="J22" s="28"/>
      <c r="K22" s="29">
        <v>0</v>
      </c>
      <c r="L22" s="28"/>
      <c r="M22" s="29">
        <v>0</v>
      </c>
      <c r="N22" s="28"/>
      <c r="O22" s="29">
        <v>0</v>
      </c>
      <c r="P22" s="30"/>
      <c r="Q22" s="17">
        <f>E22+G22+I22+K22+M22+O22</f>
        <v>0</v>
      </c>
    </row>
    <row r="23" spans="1:17">
      <c r="A23" s="84"/>
      <c r="B23" s="13" t="s">
        <v>19</v>
      </c>
      <c r="C23" s="91"/>
      <c r="D23" s="28"/>
      <c r="E23" s="29">
        <v>0</v>
      </c>
      <c r="F23" s="28"/>
      <c r="G23" s="29">
        <v>0</v>
      </c>
      <c r="H23" s="28"/>
      <c r="I23" s="29">
        <v>0</v>
      </c>
      <c r="J23" s="28"/>
      <c r="K23" s="29">
        <v>0</v>
      </c>
      <c r="L23" s="28"/>
      <c r="M23" s="29">
        <v>0</v>
      </c>
      <c r="N23" s="28"/>
      <c r="O23" s="29">
        <v>0</v>
      </c>
      <c r="P23" s="30"/>
      <c r="Q23" s="17">
        <f>E23+G23+I23+K23+M23+O23</f>
        <v>0</v>
      </c>
    </row>
    <row r="24" spans="1:17">
      <c r="A24" s="84"/>
      <c r="B24" s="13" t="s">
        <v>59</v>
      </c>
      <c r="C24" s="91"/>
      <c r="D24" s="28"/>
      <c r="E24" s="29">
        <v>0</v>
      </c>
      <c r="F24" s="28"/>
      <c r="G24" s="29">
        <v>0</v>
      </c>
      <c r="H24" s="28"/>
      <c r="I24" s="29">
        <v>0</v>
      </c>
      <c r="J24" s="28"/>
      <c r="K24" s="29">
        <v>0</v>
      </c>
      <c r="L24" s="28"/>
      <c r="M24" s="29">
        <v>0</v>
      </c>
      <c r="N24" s="28"/>
      <c r="O24" s="29">
        <v>0</v>
      </c>
      <c r="P24" s="30"/>
      <c r="Q24" s="17">
        <f t="shared" ref="Q24:Q29" si="5">E24+G24+I24+K24+M24+O24</f>
        <v>0</v>
      </c>
    </row>
    <row r="25" spans="1:17">
      <c r="A25" s="84"/>
      <c r="B25" s="13" t="s">
        <v>52</v>
      </c>
      <c r="C25" s="91"/>
      <c r="D25" s="28"/>
      <c r="E25" s="29">
        <v>0</v>
      </c>
      <c r="F25" s="28"/>
      <c r="G25" s="29">
        <v>0</v>
      </c>
      <c r="H25" s="28"/>
      <c r="I25" s="29">
        <v>0</v>
      </c>
      <c r="J25" s="28"/>
      <c r="K25" s="29">
        <v>0</v>
      </c>
      <c r="L25" s="28"/>
      <c r="M25" s="29">
        <v>0</v>
      </c>
      <c r="N25" s="28"/>
      <c r="O25" s="29">
        <v>0</v>
      </c>
      <c r="P25" s="30"/>
      <c r="Q25" s="17">
        <f t="shared" si="5"/>
        <v>0</v>
      </c>
    </row>
    <row r="26" spans="1:17">
      <c r="A26" s="84"/>
      <c r="B26" s="13" t="s">
        <v>20</v>
      </c>
      <c r="C26" s="91"/>
      <c r="D26" s="28"/>
      <c r="E26" s="29">
        <v>0</v>
      </c>
      <c r="F26" s="28"/>
      <c r="G26" s="29">
        <v>0</v>
      </c>
      <c r="H26" s="28"/>
      <c r="I26" s="29">
        <v>0</v>
      </c>
      <c r="J26" s="28"/>
      <c r="K26" s="29">
        <v>0</v>
      </c>
      <c r="L26" s="28"/>
      <c r="M26" s="29">
        <v>0</v>
      </c>
      <c r="N26" s="28"/>
      <c r="O26" s="29">
        <v>0</v>
      </c>
      <c r="P26" s="30"/>
      <c r="Q26" s="17">
        <f t="shared" si="5"/>
        <v>0</v>
      </c>
    </row>
    <row r="27" spans="1:17">
      <c r="A27" s="84"/>
      <c r="B27" s="13" t="s">
        <v>21</v>
      </c>
      <c r="C27" s="91"/>
      <c r="D27" s="28"/>
      <c r="E27" s="29">
        <v>0</v>
      </c>
      <c r="F27" s="28"/>
      <c r="G27" s="29">
        <v>0</v>
      </c>
      <c r="H27" s="28"/>
      <c r="I27" s="29">
        <v>0</v>
      </c>
      <c r="J27" s="28"/>
      <c r="K27" s="29">
        <v>0</v>
      </c>
      <c r="L27" s="28"/>
      <c r="M27" s="29">
        <v>0</v>
      </c>
      <c r="N27" s="28"/>
      <c r="O27" s="29">
        <v>0</v>
      </c>
      <c r="P27" s="30"/>
      <c r="Q27" s="17">
        <f t="shared" si="5"/>
        <v>0</v>
      </c>
    </row>
    <row r="28" spans="1:17">
      <c r="A28" s="84"/>
      <c r="B28" s="31" t="s">
        <v>54</v>
      </c>
      <c r="C28" s="91"/>
      <c r="D28" s="28"/>
      <c r="E28" s="29">
        <v>0</v>
      </c>
      <c r="F28" s="28"/>
      <c r="G28" s="29">
        <v>0</v>
      </c>
      <c r="H28" s="28"/>
      <c r="I28" s="29">
        <v>0</v>
      </c>
      <c r="J28" s="28"/>
      <c r="K28" s="29">
        <v>0</v>
      </c>
      <c r="L28" s="28"/>
      <c r="M28" s="29">
        <v>0</v>
      </c>
      <c r="N28" s="28"/>
      <c r="O28" s="29">
        <v>0</v>
      </c>
      <c r="P28" s="30"/>
      <c r="Q28" s="17">
        <f t="shared" si="5"/>
        <v>0</v>
      </c>
    </row>
    <row r="29" spans="1:17">
      <c r="A29" s="84"/>
      <c r="B29" s="13" t="s">
        <v>52</v>
      </c>
      <c r="C29" s="91"/>
      <c r="D29" s="28"/>
      <c r="E29" s="29">
        <v>0</v>
      </c>
      <c r="F29" s="28"/>
      <c r="G29" s="29">
        <v>0</v>
      </c>
      <c r="H29" s="28"/>
      <c r="I29" s="29">
        <v>0</v>
      </c>
      <c r="J29" s="28"/>
      <c r="K29" s="29">
        <v>0</v>
      </c>
      <c r="L29" s="28"/>
      <c r="M29" s="29">
        <v>0</v>
      </c>
      <c r="N29" s="28"/>
      <c r="O29" s="29">
        <v>0</v>
      </c>
      <c r="P29" s="30"/>
      <c r="Q29" s="17">
        <f t="shared" si="5"/>
        <v>0</v>
      </c>
    </row>
    <row r="30" spans="1:17" ht="12.75" thickBot="1">
      <c r="A30" s="85"/>
      <c r="B30" s="13" t="s">
        <v>53</v>
      </c>
      <c r="C30" s="92"/>
      <c r="D30" s="32"/>
      <c r="E30" s="29">
        <v>0</v>
      </c>
      <c r="F30" s="32"/>
      <c r="G30" s="29">
        <v>0</v>
      </c>
      <c r="H30" s="32"/>
      <c r="I30" s="29">
        <v>0</v>
      </c>
      <c r="J30" s="32"/>
      <c r="K30" s="29">
        <v>0</v>
      </c>
      <c r="L30" s="32"/>
      <c r="M30" s="29">
        <v>0</v>
      </c>
      <c r="N30" s="32"/>
      <c r="O30" s="29">
        <v>0</v>
      </c>
      <c r="P30" s="33"/>
      <c r="Q30" s="17">
        <f>E30+G30+I30+K30+M30+O30</f>
        <v>0</v>
      </c>
    </row>
    <row r="31" spans="1:17" ht="12.75" thickBot="1">
      <c r="A31" s="19" t="s">
        <v>22</v>
      </c>
      <c r="B31" s="20"/>
      <c r="C31" s="21"/>
      <c r="D31" s="35"/>
      <c r="E31" s="23">
        <f>SUM(E22:E30)</f>
        <v>0</v>
      </c>
      <c r="F31" s="35"/>
      <c r="G31" s="23">
        <f>SUM(G22:G30)</f>
        <v>0</v>
      </c>
      <c r="H31" s="35"/>
      <c r="I31" s="23">
        <f>SUM(I22:I30)</f>
        <v>0</v>
      </c>
      <c r="J31" s="34"/>
      <c r="K31" s="23">
        <f>SUM(K22:K30)</f>
        <v>0</v>
      </c>
      <c r="L31" s="34"/>
      <c r="M31" s="23">
        <f>SUM(M22:M30)</f>
        <v>0</v>
      </c>
      <c r="N31" s="34"/>
      <c r="O31" s="23">
        <f>SUM(O22:O30)</f>
        <v>0</v>
      </c>
      <c r="P31" s="35"/>
      <c r="Q31" s="64">
        <f>E31+G31+I31+K31+M31+O31</f>
        <v>0</v>
      </c>
    </row>
    <row r="32" spans="1:17" s="42" customFormat="1" ht="12.75" thickBot="1">
      <c r="A32" s="44" t="s">
        <v>23</v>
      </c>
      <c r="B32" s="43"/>
      <c r="C32" s="36" t="s">
        <v>24</v>
      </c>
      <c r="D32" s="36" t="s">
        <v>3</v>
      </c>
      <c r="E32" s="27" t="s">
        <v>4</v>
      </c>
      <c r="F32" s="36" t="s">
        <v>3</v>
      </c>
      <c r="G32" s="27" t="s">
        <v>4</v>
      </c>
      <c r="H32" s="36" t="s">
        <v>3</v>
      </c>
      <c r="I32" s="27" t="s">
        <v>4</v>
      </c>
      <c r="J32" s="36" t="s">
        <v>3</v>
      </c>
      <c r="K32" s="27" t="s">
        <v>4</v>
      </c>
      <c r="L32" s="36" t="s">
        <v>3</v>
      </c>
      <c r="M32" s="27" t="s">
        <v>4</v>
      </c>
      <c r="N32" s="36" t="s">
        <v>3</v>
      </c>
      <c r="O32" s="27" t="s">
        <v>4</v>
      </c>
      <c r="P32" s="34"/>
      <c r="Q32" s="27" t="s">
        <v>4</v>
      </c>
    </row>
    <row r="33" spans="1:17" ht="12.75" thickBot="1">
      <c r="A33" s="83" t="s">
        <v>25</v>
      </c>
      <c r="B33" s="13" t="s">
        <v>26</v>
      </c>
      <c r="C33" s="37"/>
      <c r="D33" s="37"/>
      <c r="E33" s="29">
        <v>0</v>
      </c>
      <c r="F33" s="37"/>
      <c r="G33" s="29">
        <v>0</v>
      </c>
      <c r="H33" s="37"/>
      <c r="I33" s="29">
        <v>0</v>
      </c>
      <c r="J33" s="37"/>
      <c r="K33" s="29">
        <v>0</v>
      </c>
      <c r="L33" s="37"/>
      <c r="M33" s="29">
        <v>0</v>
      </c>
      <c r="N33" s="37"/>
      <c r="O33" s="29">
        <v>0</v>
      </c>
      <c r="P33" s="34"/>
      <c r="Q33" s="65">
        <f>E33+G33+I33+K33+M33+O33</f>
        <v>0</v>
      </c>
    </row>
    <row r="34" spans="1:17" ht="12.75" thickBot="1">
      <c r="A34" s="84"/>
      <c r="B34" s="13" t="s">
        <v>27</v>
      </c>
      <c r="C34" s="37"/>
      <c r="D34" s="37"/>
      <c r="E34" s="29">
        <v>0</v>
      </c>
      <c r="F34" s="37"/>
      <c r="G34" s="29">
        <v>0</v>
      </c>
      <c r="H34" s="37"/>
      <c r="I34" s="29">
        <v>0</v>
      </c>
      <c r="J34" s="37"/>
      <c r="K34" s="29">
        <v>0</v>
      </c>
      <c r="L34" s="37"/>
      <c r="M34" s="29">
        <v>0</v>
      </c>
      <c r="N34" s="37"/>
      <c r="O34" s="29">
        <v>0</v>
      </c>
      <c r="P34" s="34"/>
      <c r="Q34" s="66">
        <f>E34+G34+I34+K34+M34+O34</f>
        <v>0</v>
      </c>
    </row>
    <row r="35" spans="1:17" ht="12.75" thickBot="1">
      <c r="A35" s="84"/>
      <c r="B35" s="13" t="s">
        <v>28</v>
      </c>
      <c r="C35" s="37"/>
      <c r="D35" s="37"/>
      <c r="E35" s="29">
        <v>0</v>
      </c>
      <c r="F35" s="37"/>
      <c r="G35" s="29">
        <v>0</v>
      </c>
      <c r="H35" s="37"/>
      <c r="I35" s="29">
        <v>0</v>
      </c>
      <c r="J35" s="37"/>
      <c r="K35" s="29">
        <v>0</v>
      </c>
      <c r="L35" s="37"/>
      <c r="M35" s="29">
        <v>0</v>
      </c>
      <c r="N35" s="37"/>
      <c r="O35" s="29">
        <v>0</v>
      </c>
      <c r="P35" s="34"/>
      <c r="Q35" s="66">
        <f>E35+G35+I35+K35+M35+O35</f>
        <v>0</v>
      </c>
    </row>
    <row r="36" spans="1:17" ht="12.75" thickBot="1">
      <c r="A36" s="84"/>
      <c r="B36" s="13" t="s">
        <v>29</v>
      </c>
      <c r="C36" s="37"/>
      <c r="D36" s="37"/>
      <c r="E36" s="29">
        <v>0</v>
      </c>
      <c r="F36" s="37"/>
      <c r="G36" s="29">
        <v>0</v>
      </c>
      <c r="H36" s="37"/>
      <c r="I36" s="29">
        <v>0</v>
      </c>
      <c r="J36" s="37"/>
      <c r="K36" s="29">
        <v>0</v>
      </c>
      <c r="L36" s="37"/>
      <c r="M36" s="29">
        <v>0</v>
      </c>
      <c r="N36" s="37"/>
      <c r="O36" s="29">
        <v>0</v>
      </c>
      <c r="P36" s="34"/>
      <c r="Q36" s="66">
        <f t="shared" ref="Q36:Q56" si="6">E36+G36+I36+K36+M36+O36</f>
        <v>0</v>
      </c>
    </row>
    <row r="37" spans="1:17" ht="12.75" thickBot="1">
      <c r="A37" s="84"/>
      <c r="B37" s="13" t="s">
        <v>57</v>
      </c>
      <c r="C37" s="37"/>
      <c r="D37" s="37"/>
      <c r="E37" s="29">
        <v>0</v>
      </c>
      <c r="F37" s="37"/>
      <c r="G37" s="29">
        <v>0</v>
      </c>
      <c r="H37" s="37"/>
      <c r="I37" s="29">
        <v>0</v>
      </c>
      <c r="J37" s="37"/>
      <c r="K37" s="29">
        <v>0</v>
      </c>
      <c r="L37" s="37"/>
      <c r="M37" s="29">
        <v>0</v>
      </c>
      <c r="N37" s="37"/>
      <c r="O37" s="29">
        <v>0</v>
      </c>
      <c r="P37" s="34"/>
      <c r="Q37" s="66">
        <f t="shared" si="6"/>
        <v>0</v>
      </c>
    </row>
    <row r="38" spans="1:17" ht="12.75" thickBot="1">
      <c r="A38" s="84"/>
      <c r="B38" s="13" t="s">
        <v>51</v>
      </c>
      <c r="C38" s="37"/>
      <c r="D38" s="37"/>
      <c r="E38" s="29">
        <v>0</v>
      </c>
      <c r="F38" s="37"/>
      <c r="G38" s="29">
        <v>0</v>
      </c>
      <c r="H38" s="37"/>
      <c r="I38" s="29">
        <v>0</v>
      </c>
      <c r="J38" s="37"/>
      <c r="K38" s="29">
        <v>0</v>
      </c>
      <c r="L38" s="37"/>
      <c r="M38" s="29">
        <v>0</v>
      </c>
      <c r="N38" s="37"/>
      <c r="O38" s="29">
        <v>0</v>
      </c>
      <c r="P38" s="34"/>
      <c r="Q38" s="66">
        <f t="shared" si="6"/>
        <v>0</v>
      </c>
    </row>
    <row r="39" spans="1:17" ht="12.75" thickBot="1">
      <c r="A39" s="85"/>
      <c r="B39" s="13" t="s">
        <v>55</v>
      </c>
      <c r="C39" s="37"/>
      <c r="D39" s="37"/>
      <c r="E39" s="29">
        <v>0</v>
      </c>
      <c r="F39" s="37"/>
      <c r="G39" s="29">
        <v>0</v>
      </c>
      <c r="H39" s="37"/>
      <c r="I39" s="29">
        <v>0</v>
      </c>
      <c r="J39" s="37"/>
      <c r="K39" s="29">
        <v>0</v>
      </c>
      <c r="L39" s="37"/>
      <c r="M39" s="29">
        <v>0</v>
      </c>
      <c r="N39" s="37"/>
      <c r="O39" s="29">
        <v>0</v>
      </c>
      <c r="P39" s="34"/>
      <c r="Q39" s="66">
        <f t="shared" si="6"/>
        <v>0</v>
      </c>
    </row>
    <row r="40" spans="1:17" ht="12.75" thickBot="1">
      <c r="A40" s="83" t="s">
        <v>60</v>
      </c>
      <c r="B40" s="13" t="s">
        <v>30</v>
      </c>
      <c r="C40" s="14">
        <v>0</v>
      </c>
      <c r="D40" s="18"/>
      <c r="E40" s="17">
        <f t="shared" ref="E40:E57" si="7">$C40*D40</f>
        <v>0</v>
      </c>
      <c r="F40" s="18"/>
      <c r="G40" s="17">
        <f t="shared" ref="G40:G57" si="8">$C40*F40</f>
        <v>0</v>
      </c>
      <c r="H40" s="18"/>
      <c r="I40" s="17">
        <f t="shared" ref="I40:I57" si="9">$C40*H40</f>
        <v>0</v>
      </c>
      <c r="J40" s="18"/>
      <c r="K40" s="17">
        <f t="shared" ref="K40:K55" si="10">$C40*J40</f>
        <v>0</v>
      </c>
      <c r="L40" s="18"/>
      <c r="M40" s="17">
        <f t="shared" ref="M40:M55" si="11">$C40*L40</f>
        <v>0</v>
      </c>
      <c r="N40" s="18"/>
      <c r="O40" s="17">
        <f t="shared" ref="O40:O55" si="12">$C40*N40</f>
        <v>0</v>
      </c>
      <c r="P40" s="34"/>
      <c r="Q40" s="66">
        <f t="shared" si="6"/>
        <v>0</v>
      </c>
    </row>
    <row r="41" spans="1:17" ht="12.75" thickBot="1">
      <c r="A41" s="84"/>
      <c r="B41" s="13" t="s">
        <v>31</v>
      </c>
      <c r="C41" s="14">
        <v>0</v>
      </c>
      <c r="D41" s="18"/>
      <c r="E41" s="17">
        <f t="shared" si="7"/>
        <v>0</v>
      </c>
      <c r="F41" s="18"/>
      <c r="G41" s="17">
        <f t="shared" si="8"/>
        <v>0</v>
      </c>
      <c r="H41" s="18"/>
      <c r="I41" s="17">
        <f t="shared" si="9"/>
        <v>0</v>
      </c>
      <c r="J41" s="18"/>
      <c r="K41" s="17">
        <f t="shared" si="10"/>
        <v>0</v>
      </c>
      <c r="L41" s="18"/>
      <c r="M41" s="17">
        <f t="shared" si="11"/>
        <v>0</v>
      </c>
      <c r="N41" s="18"/>
      <c r="O41" s="17">
        <f t="shared" si="12"/>
        <v>0</v>
      </c>
      <c r="P41" s="34"/>
      <c r="Q41" s="66">
        <f t="shared" si="6"/>
        <v>0</v>
      </c>
    </row>
    <row r="42" spans="1:17" ht="12.75" thickBot="1">
      <c r="A42" s="84"/>
      <c r="B42" s="13" t="s">
        <v>32</v>
      </c>
      <c r="C42" s="14">
        <v>0</v>
      </c>
      <c r="D42" s="18"/>
      <c r="E42" s="17">
        <f t="shared" si="7"/>
        <v>0</v>
      </c>
      <c r="F42" s="18"/>
      <c r="G42" s="17">
        <f t="shared" si="8"/>
        <v>0</v>
      </c>
      <c r="H42" s="18"/>
      <c r="I42" s="17">
        <f t="shared" si="9"/>
        <v>0</v>
      </c>
      <c r="J42" s="18"/>
      <c r="K42" s="17">
        <f t="shared" si="10"/>
        <v>0</v>
      </c>
      <c r="L42" s="18"/>
      <c r="M42" s="17">
        <f t="shared" si="11"/>
        <v>0</v>
      </c>
      <c r="N42" s="18"/>
      <c r="O42" s="17">
        <f t="shared" si="12"/>
        <v>0</v>
      </c>
      <c r="P42" s="34"/>
      <c r="Q42" s="66">
        <f t="shared" si="6"/>
        <v>0</v>
      </c>
    </row>
    <row r="43" spans="1:17" ht="12.75" thickBot="1">
      <c r="A43" s="84"/>
      <c r="B43" s="13" t="s">
        <v>33</v>
      </c>
      <c r="C43" s="14">
        <v>0</v>
      </c>
      <c r="D43" s="18"/>
      <c r="E43" s="17">
        <f t="shared" si="7"/>
        <v>0</v>
      </c>
      <c r="F43" s="18"/>
      <c r="G43" s="17">
        <f t="shared" si="8"/>
        <v>0</v>
      </c>
      <c r="H43" s="18"/>
      <c r="I43" s="17">
        <f t="shared" si="9"/>
        <v>0</v>
      </c>
      <c r="J43" s="18"/>
      <c r="K43" s="17">
        <f t="shared" si="10"/>
        <v>0</v>
      </c>
      <c r="L43" s="18"/>
      <c r="M43" s="17">
        <f t="shared" si="11"/>
        <v>0</v>
      </c>
      <c r="N43" s="18"/>
      <c r="O43" s="17">
        <f t="shared" si="12"/>
        <v>0</v>
      </c>
      <c r="P43" s="34"/>
      <c r="Q43" s="66">
        <f t="shared" si="6"/>
        <v>0</v>
      </c>
    </row>
    <row r="44" spans="1:17" ht="12.75" thickBot="1">
      <c r="A44" s="84"/>
      <c r="B44" s="13" t="s">
        <v>34</v>
      </c>
      <c r="C44" s="14">
        <v>0</v>
      </c>
      <c r="D44" s="18"/>
      <c r="E44" s="17">
        <f t="shared" si="7"/>
        <v>0</v>
      </c>
      <c r="F44" s="18"/>
      <c r="G44" s="17">
        <f t="shared" si="8"/>
        <v>0</v>
      </c>
      <c r="H44" s="18"/>
      <c r="I44" s="17">
        <f t="shared" si="9"/>
        <v>0</v>
      </c>
      <c r="J44" s="18"/>
      <c r="K44" s="17">
        <f t="shared" si="10"/>
        <v>0</v>
      </c>
      <c r="L44" s="18"/>
      <c r="M44" s="17">
        <f t="shared" si="11"/>
        <v>0</v>
      </c>
      <c r="N44" s="18"/>
      <c r="O44" s="17">
        <f t="shared" si="12"/>
        <v>0</v>
      </c>
      <c r="P44" s="34"/>
      <c r="Q44" s="66">
        <f t="shared" si="6"/>
        <v>0</v>
      </c>
    </row>
    <row r="45" spans="1:17" ht="12.75" thickBot="1">
      <c r="A45" s="84"/>
      <c r="B45" s="13" t="s">
        <v>35</v>
      </c>
      <c r="C45" s="14">
        <v>0</v>
      </c>
      <c r="D45" s="18"/>
      <c r="E45" s="17">
        <f t="shared" si="7"/>
        <v>0</v>
      </c>
      <c r="F45" s="18"/>
      <c r="G45" s="17">
        <f t="shared" si="8"/>
        <v>0</v>
      </c>
      <c r="H45" s="18"/>
      <c r="I45" s="17">
        <f t="shared" si="9"/>
        <v>0</v>
      </c>
      <c r="J45" s="18"/>
      <c r="K45" s="17">
        <f t="shared" si="10"/>
        <v>0</v>
      </c>
      <c r="L45" s="18"/>
      <c r="M45" s="17">
        <f t="shared" si="11"/>
        <v>0</v>
      </c>
      <c r="N45" s="18"/>
      <c r="O45" s="17">
        <f t="shared" si="12"/>
        <v>0</v>
      </c>
      <c r="P45" s="34"/>
      <c r="Q45" s="66">
        <f t="shared" si="6"/>
        <v>0</v>
      </c>
    </row>
    <row r="46" spans="1:17" ht="12.75" thickBot="1">
      <c r="A46" s="84"/>
      <c r="B46" s="13" t="s">
        <v>36</v>
      </c>
      <c r="C46" s="14">
        <v>0</v>
      </c>
      <c r="D46" s="18"/>
      <c r="E46" s="17">
        <f t="shared" si="7"/>
        <v>0</v>
      </c>
      <c r="F46" s="18"/>
      <c r="G46" s="17">
        <f t="shared" si="8"/>
        <v>0</v>
      </c>
      <c r="H46" s="18"/>
      <c r="I46" s="17">
        <f t="shared" si="9"/>
        <v>0</v>
      </c>
      <c r="J46" s="18"/>
      <c r="K46" s="17">
        <f t="shared" si="10"/>
        <v>0</v>
      </c>
      <c r="L46" s="18"/>
      <c r="M46" s="17">
        <f t="shared" si="11"/>
        <v>0</v>
      </c>
      <c r="N46" s="18"/>
      <c r="O46" s="17">
        <f t="shared" si="12"/>
        <v>0</v>
      </c>
      <c r="P46" s="34"/>
      <c r="Q46" s="66">
        <f t="shared" si="6"/>
        <v>0</v>
      </c>
    </row>
    <row r="47" spans="1:17" ht="12.75" thickBot="1">
      <c r="A47" s="84"/>
      <c r="B47" s="13" t="s">
        <v>37</v>
      </c>
      <c r="C47" s="14">
        <v>0</v>
      </c>
      <c r="D47" s="18"/>
      <c r="E47" s="17">
        <f t="shared" si="7"/>
        <v>0</v>
      </c>
      <c r="F47" s="18"/>
      <c r="G47" s="17">
        <f t="shared" si="8"/>
        <v>0</v>
      </c>
      <c r="H47" s="18"/>
      <c r="I47" s="17">
        <f t="shared" si="9"/>
        <v>0</v>
      </c>
      <c r="J47" s="18"/>
      <c r="K47" s="17">
        <f t="shared" si="10"/>
        <v>0</v>
      </c>
      <c r="L47" s="18"/>
      <c r="M47" s="17">
        <f t="shared" si="11"/>
        <v>0</v>
      </c>
      <c r="N47" s="18"/>
      <c r="O47" s="17">
        <f t="shared" si="12"/>
        <v>0</v>
      </c>
      <c r="P47" s="34"/>
      <c r="Q47" s="66">
        <f t="shared" si="6"/>
        <v>0</v>
      </c>
    </row>
    <row r="48" spans="1:17" ht="12.75" thickBot="1">
      <c r="A48" s="84"/>
      <c r="B48" s="31" t="s">
        <v>48</v>
      </c>
      <c r="C48" s="14">
        <v>0</v>
      </c>
      <c r="D48" s="18"/>
      <c r="E48" s="17">
        <f t="shared" si="7"/>
        <v>0</v>
      </c>
      <c r="F48" s="18"/>
      <c r="G48" s="17">
        <f t="shared" si="8"/>
        <v>0</v>
      </c>
      <c r="H48" s="18"/>
      <c r="I48" s="17">
        <f t="shared" si="9"/>
        <v>0</v>
      </c>
      <c r="J48" s="18"/>
      <c r="K48" s="17">
        <f t="shared" si="10"/>
        <v>0</v>
      </c>
      <c r="L48" s="18"/>
      <c r="M48" s="17">
        <f t="shared" si="11"/>
        <v>0</v>
      </c>
      <c r="N48" s="18"/>
      <c r="O48" s="17">
        <f t="shared" si="12"/>
        <v>0</v>
      </c>
      <c r="P48" s="34"/>
      <c r="Q48" s="66">
        <f t="shared" si="6"/>
        <v>0</v>
      </c>
    </row>
    <row r="49" spans="1:17" ht="12.75" thickBot="1">
      <c r="A49" s="84"/>
      <c r="B49" s="13" t="s">
        <v>38</v>
      </c>
      <c r="C49" s="14">
        <v>0</v>
      </c>
      <c r="D49" s="18"/>
      <c r="E49" s="17">
        <f t="shared" si="7"/>
        <v>0</v>
      </c>
      <c r="F49" s="18"/>
      <c r="G49" s="17">
        <f t="shared" si="8"/>
        <v>0</v>
      </c>
      <c r="H49" s="18"/>
      <c r="I49" s="17">
        <f t="shared" si="9"/>
        <v>0</v>
      </c>
      <c r="J49" s="18"/>
      <c r="K49" s="17">
        <f t="shared" si="10"/>
        <v>0</v>
      </c>
      <c r="L49" s="18"/>
      <c r="M49" s="17">
        <f t="shared" si="11"/>
        <v>0</v>
      </c>
      <c r="N49" s="18"/>
      <c r="O49" s="17">
        <f t="shared" si="12"/>
        <v>0</v>
      </c>
      <c r="P49" s="34"/>
      <c r="Q49" s="66">
        <f t="shared" si="6"/>
        <v>0</v>
      </c>
    </row>
    <row r="50" spans="1:17" ht="12.75" thickBot="1">
      <c r="A50" s="84"/>
      <c r="B50" s="13" t="s">
        <v>39</v>
      </c>
      <c r="C50" s="14">
        <v>0</v>
      </c>
      <c r="D50" s="18"/>
      <c r="E50" s="17">
        <f t="shared" si="7"/>
        <v>0</v>
      </c>
      <c r="F50" s="18"/>
      <c r="G50" s="17">
        <f t="shared" si="8"/>
        <v>0</v>
      </c>
      <c r="H50" s="18"/>
      <c r="I50" s="17">
        <f t="shared" si="9"/>
        <v>0</v>
      </c>
      <c r="J50" s="18"/>
      <c r="K50" s="17">
        <f t="shared" si="10"/>
        <v>0</v>
      </c>
      <c r="L50" s="18"/>
      <c r="M50" s="17">
        <f t="shared" si="11"/>
        <v>0</v>
      </c>
      <c r="N50" s="18"/>
      <c r="O50" s="17">
        <f t="shared" si="12"/>
        <v>0</v>
      </c>
      <c r="P50" s="34"/>
      <c r="Q50" s="66">
        <f t="shared" si="6"/>
        <v>0</v>
      </c>
    </row>
    <row r="51" spans="1:17" ht="12.75" thickBot="1">
      <c r="A51" s="84"/>
      <c r="B51" s="13" t="s">
        <v>40</v>
      </c>
      <c r="C51" s="14">
        <v>0</v>
      </c>
      <c r="D51" s="18"/>
      <c r="E51" s="17">
        <f t="shared" si="7"/>
        <v>0</v>
      </c>
      <c r="F51" s="18"/>
      <c r="G51" s="17">
        <f t="shared" si="8"/>
        <v>0</v>
      </c>
      <c r="H51" s="18"/>
      <c r="I51" s="17">
        <f t="shared" si="9"/>
        <v>0</v>
      </c>
      <c r="J51" s="18"/>
      <c r="K51" s="17">
        <f t="shared" si="10"/>
        <v>0</v>
      </c>
      <c r="L51" s="18"/>
      <c r="M51" s="17">
        <f t="shared" si="11"/>
        <v>0</v>
      </c>
      <c r="N51" s="18"/>
      <c r="O51" s="17">
        <f t="shared" si="12"/>
        <v>0</v>
      </c>
      <c r="P51" s="34"/>
      <c r="Q51" s="66">
        <f t="shared" si="6"/>
        <v>0</v>
      </c>
    </row>
    <row r="52" spans="1:17" ht="12.75" thickBot="1">
      <c r="A52" s="84"/>
      <c r="B52" s="13" t="s">
        <v>41</v>
      </c>
      <c r="C52" s="14">
        <v>0</v>
      </c>
      <c r="D52" s="18"/>
      <c r="E52" s="17">
        <f t="shared" si="7"/>
        <v>0</v>
      </c>
      <c r="F52" s="18"/>
      <c r="G52" s="17">
        <f t="shared" si="8"/>
        <v>0</v>
      </c>
      <c r="H52" s="18"/>
      <c r="I52" s="17">
        <f t="shared" si="9"/>
        <v>0</v>
      </c>
      <c r="J52" s="18"/>
      <c r="K52" s="17">
        <f t="shared" si="10"/>
        <v>0</v>
      </c>
      <c r="L52" s="18"/>
      <c r="M52" s="17">
        <f t="shared" si="11"/>
        <v>0</v>
      </c>
      <c r="N52" s="18"/>
      <c r="O52" s="17">
        <f t="shared" si="12"/>
        <v>0</v>
      </c>
      <c r="P52" s="34"/>
      <c r="Q52" s="66">
        <f t="shared" si="6"/>
        <v>0</v>
      </c>
    </row>
    <row r="53" spans="1:17" ht="12.75" thickBot="1">
      <c r="A53" s="84"/>
      <c r="B53" s="13" t="s">
        <v>42</v>
      </c>
      <c r="C53" s="14">
        <v>0</v>
      </c>
      <c r="D53" s="18"/>
      <c r="E53" s="17">
        <f t="shared" si="7"/>
        <v>0</v>
      </c>
      <c r="F53" s="18"/>
      <c r="G53" s="17">
        <f t="shared" si="8"/>
        <v>0</v>
      </c>
      <c r="H53" s="18"/>
      <c r="I53" s="17">
        <f t="shared" si="9"/>
        <v>0</v>
      </c>
      <c r="J53" s="18"/>
      <c r="K53" s="17">
        <f t="shared" si="10"/>
        <v>0</v>
      </c>
      <c r="L53" s="18"/>
      <c r="M53" s="17">
        <f t="shared" si="11"/>
        <v>0</v>
      </c>
      <c r="N53" s="18"/>
      <c r="O53" s="17">
        <f t="shared" si="12"/>
        <v>0</v>
      </c>
      <c r="P53" s="34"/>
      <c r="Q53" s="66">
        <f t="shared" si="6"/>
        <v>0</v>
      </c>
    </row>
    <row r="54" spans="1:17" ht="12.75" thickBot="1">
      <c r="A54" s="84"/>
      <c r="B54" s="13" t="s">
        <v>43</v>
      </c>
      <c r="C54" s="14">
        <v>0</v>
      </c>
      <c r="D54" s="18"/>
      <c r="E54" s="17">
        <f t="shared" si="7"/>
        <v>0</v>
      </c>
      <c r="F54" s="18"/>
      <c r="G54" s="17">
        <f t="shared" si="8"/>
        <v>0</v>
      </c>
      <c r="H54" s="18"/>
      <c r="I54" s="17">
        <f t="shared" si="9"/>
        <v>0</v>
      </c>
      <c r="J54" s="18"/>
      <c r="K54" s="17">
        <f t="shared" si="10"/>
        <v>0</v>
      </c>
      <c r="L54" s="18"/>
      <c r="M54" s="17">
        <f t="shared" si="11"/>
        <v>0</v>
      </c>
      <c r="N54" s="18"/>
      <c r="O54" s="17">
        <f t="shared" si="12"/>
        <v>0</v>
      </c>
      <c r="P54" s="34"/>
      <c r="Q54" s="66">
        <f t="shared" si="6"/>
        <v>0</v>
      </c>
    </row>
    <row r="55" spans="1:17" ht="12.75" thickBot="1">
      <c r="A55" s="84"/>
      <c r="B55" s="13" t="s">
        <v>49</v>
      </c>
      <c r="C55" s="14">
        <v>0</v>
      </c>
      <c r="D55" s="18"/>
      <c r="E55" s="17">
        <f t="shared" si="7"/>
        <v>0</v>
      </c>
      <c r="F55" s="18"/>
      <c r="G55" s="17">
        <f t="shared" si="8"/>
        <v>0</v>
      </c>
      <c r="H55" s="18"/>
      <c r="I55" s="17">
        <f t="shared" si="9"/>
        <v>0</v>
      </c>
      <c r="J55" s="18"/>
      <c r="K55" s="17">
        <f t="shared" si="10"/>
        <v>0</v>
      </c>
      <c r="L55" s="18"/>
      <c r="M55" s="17">
        <f t="shared" si="11"/>
        <v>0</v>
      </c>
      <c r="N55" s="18"/>
      <c r="O55" s="17">
        <f t="shared" si="12"/>
        <v>0</v>
      </c>
      <c r="P55" s="34"/>
      <c r="Q55" s="66">
        <f t="shared" si="6"/>
        <v>0</v>
      </c>
    </row>
    <row r="56" spans="1:17" ht="12.75" thickBot="1">
      <c r="A56" s="84"/>
      <c r="B56" s="13" t="s">
        <v>50</v>
      </c>
      <c r="C56" s="14">
        <v>0</v>
      </c>
      <c r="D56" s="18"/>
      <c r="E56" s="17">
        <f t="shared" si="7"/>
        <v>0</v>
      </c>
      <c r="F56" s="18"/>
      <c r="G56" s="17">
        <f t="shared" si="8"/>
        <v>0</v>
      </c>
      <c r="H56" s="18"/>
      <c r="I56" s="17">
        <f t="shared" si="9"/>
        <v>0</v>
      </c>
      <c r="J56" s="18"/>
      <c r="K56" s="17">
        <f>$C56*J56</f>
        <v>0</v>
      </c>
      <c r="L56" s="18"/>
      <c r="M56" s="17">
        <f>$C56*L56</f>
        <v>0</v>
      </c>
      <c r="N56" s="18"/>
      <c r="O56" s="17">
        <f>$C56*N56</f>
        <v>0</v>
      </c>
      <c r="P56" s="34"/>
      <c r="Q56" s="66">
        <f t="shared" si="6"/>
        <v>0</v>
      </c>
    </row>
    <row r="57" spans="1:17" ht="12.75" thickBot="1">
      <c r="A57" s="85"/>
      <c r="B57" s="13" t="s">
        <v>16</v>
      </c>
      <c r="C57" s="14">
        <v>0</v>
      </c>
      <c r="D57" s="18"/>
      <c r="E57" s="17">
        <f t="shared" si="7"/>
        <v>0</v>
      </c>
      <c r="F57" s="18"/>
      <c r="G57" s="17">
        <f t="shared" si="8"/>
        <v>0</v>
      </c>
      <c r="H57" s="18"/>
      <c r="I57" s="17">
        <f t="shared" si="9"/>
        <v>0</v>
      </c>
      <c r="J57" s="18"/>
      <c r="K57" s="17">
        <f>$C57*J57</f>
        <v>0</v>
      </c>
      <c r="L57" s="18"/>
      <c r="M57" s="17">
        <f>$C57*L57</f>
        <v>0</v>
      </c>
      <c r="N57" s="18"/>
      <c r="O57" s="17">
        <f>$C57*N57</f>
        <v>0</v>
      </c>
      <c r="P57" s="30"/>
      <c r="Q57" s="67">
        <f>E57+G57+I57+K57+M57+O57</f>
        <v>0</v>
      </c>
    </row>
    <row r="58" spans="1:17" ht="12.75" thickBot="1">
      <c r="A58" s="38" t="s">
        <v>44</v>
      </c>
      <c r="B58" s="39"/>
      <c r="C58" s="56"/>
      <c r="D58" s="57"/>
      <c r="E58" s="40">
        <f>SUM(E32:E57)</f>
        <v>0</v>
      </c>
      <c r="F58" s="57"/>
      <c r="G58" s="40">
        <f>SUM(G32:G57)</f>
        <v>0</v>
      </c>
      <c r="H58" s="57"/>
      <c r="I58" s="40">
        <f>SUM(I32:I57)</f>
        <v>0</v>
      </c>
      <c r="J58" s="57"/>
      <c r="K58" s="40">
        <f>SUM(K32:K57)</f>
        <v>0</v>
      </c>
      <c r="L58" s="57"/>
      <c r="M58" s="40">
        <f>SUM(M32:M57)</f>
        <v>0</v>
      </c>
      <c r="N58" s="57"/>
      <c r="O58" s="40">
        <f>SUM(O32:O57)</f>
        <v>0</v>
      </c>
      <c r="P58" s="58"/>
      <c r="Q58" s="68">
        <f>E58+G58+I58+K58+M58+O58</f>
        <v>0</v>
      </c>
    </row>
    <row r="59" spans="1:17" s="41" customFormat="1" ht="18.75" customHeight="1" thickTop="1" thickBot="1">
      <c r="A59" s="45" t="s">
        <v>45</v>
      </c>
      <c r="B59" s="46"/>
      <c r="C59" s="59"/>
      <c r="D59" s="47"/>
      <c r="E59" s="48">
        <f>E20+E31+E58</f>
        <v>0</v>
      </c>
      <c r="F59" s="47"/>
      <c r="G59" s="48">
        <f>G20+G31+G58</f>
        <v>0</v>
      </c>
      <c r="H59" s="47"/>
      <c r="I59" s="48">
        <f>I20+I31+I58</f>
        <v>0</v>
      </c>
      <c r="J59" s="47"/>
      <c r="K59" s="48">
        <f>K20+K31+K58</f>
        <v>0</v>
      </c>
      <c r="L59" s="47"/>
      <c r="M59" s="48">
        <f>M20+M31+M58</f>
        <v>0</v>
      </c>
      <c r="N59" s="47"/>
      <c r="O59" s="48">
        <f>O20+O31+O58</f>
        <v>0</v>
      </c>
      <c r="P59" s="47"/>
      <c r="Q59" s="17">
        <f>E59+G59+I59+K59+M59+O59</f>
        <v>0</v>
      </c>
    </row>
    <row r="60" spans="1:17" ht="16.5" customHeight="1" thickTop="1" thickBot="1">
      <c r="A60" s="51" t="s">
        <v>63</v>
      </c>
      <c r="B60" s="52"/>
      <c r="C60" s="60"/>
      <c r="D60" s="53"/>
      <c r="E60" s="50">
        <f>E59/8</f>
        <v>0</v>
      </c>
      <c r="F60" s="53"/>
      <c r="G60" s="50">
        <f>G59/8</f>
        <v>0</v>
      </c>
      <c r="H60" s="53"/>
      <c r="I60" s="53"/>
      <c r="J60" s="53"/>
      <c r="K60" s="53"/>
      <c r="L60" s="53"/>
      <c r="M60" s="53"/>
      <c r="N60" s="53"/>
      <c r="O60" s="53"/>
      <c r="P60" s="54"/>
      <c r="Q60" s="55"/>
    </row>
  </sheetData>
  <mergeCells count="27">
    <mergeCell ref="F2:G2"/>
    <mergeCell ref="F3:G3"/>
    <mergeCell ref="A40:A57"/>
    <mergeCell ref="A6:A19"/>
    <mergeCell ref="A22:A30"/>
    <mergeCell ref="A33:A39"/>
    <mergeCell ref="C2:C4"/>
    <mergeCell ref="C22:C30"/>
    <mergeCell ref="F1:G1"/>
    <mergeCell ref="A1:C1"/>
    <mergeCell ref="D1:E1"/>
    <mergeCell ref="D2:E2"/>
    <mergeCell ref="H1:I1"/>
    <mergeCell ref="N3:O3"/>
    <mergeCell ref="H3:I3"/>
    <mergeCell ref="H2:I2"/>
    <mergeCell ref="J1:K1"/>
    <mergeCell ref="D3:E3"/>
    <mergeCell ref="P2:P4"/>
    <mergeCell ref="J2:K2"/>
    <mergeCell ref="J3:K3"/>
    <mergeCell ref="N2:O2"/>
    <mergeCell ref="P1:Q1"/>
    <mergeCell ref="N1:O1"/>
    <mergeCell ref="L1:M1"/>
    <mergeCell ref="L2:M2"/>
    <mergeCell ref="L3:M3"/>
  </mergeCells>
  <phoneticPr fontId="9" type="noConversion"/>
  <printOptions horizontalCentered="1"/>
  <pageMargins left="0.12" right="0.12" top="1" bottom="0.37" header="0.25" footer="0.25"/>
  <pageSetup paperSize="3" scale="63" orientation="landscape" horizontalDpi="4294967295" verticalDpi="4294967295" r:id="rId1"/>
  <headerFooter alignWithMargins="0">
    <oddHeader xml:space="preserve">&amp;C&amp;K000000Standardized Bid Cost Spreadsheet
UPA Kwik Fill Facility S-124
106 State Street (Route 61)
Sunbury, Northumberland County, Pennsylvania 17801
PaDEP Facility ID # 49-70507; USTIF Claim # 1998-0220(M)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B&amp;B Diversified Enterprises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Gourley</dc:creator>
  <cp:lastModifiedBy>Amy Steiner</cp:lastModifiedBy>
  <cp:lastPrinted>2013-01-07T17:09:18Z</cp:lastPrinted>
  <dcterms:created xsi:type="dcterms:W3CDTF">2007-02-15T12:38:24Z</dcterms:created>
  <dcterms:modified xsi:type="dcterms:W3CDTF">2013-01-31T19:30:08Z</dcterms:modified>
</cp:coreProperties>
</file>