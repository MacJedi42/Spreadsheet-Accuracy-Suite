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stablishments" state="visible" r:id="rId3"/>
    <sheet sheetId="2" name="Beer Styles" state="visible" r:id="rId4"/>
  </sheets>
  <definedNames/>
  <calcPr/>
</workbook>
</file>

<file path=xl/sharedStrings.xml><?xml version="1.0" encoding="utf-8"?>
<sst xmlns="http://schemas.openxmlformats.org/spreadsheetml/2006/main" count="1335" uniqueCount="361">
  <si>
    <t>America Bar &amp; Grille</t>
  </si>
  <si>
    <t>Appetite's On Main</t>
  </si>
  <si>
    <t>Big Easy</t>
  </si>
  <si>
    <t>Brickside Bar &amp; Grille</t>
  </si>
  <si>
    <t>Capone's Restaurant</t>
  </si>
  <si>
    <t>Cosimo Restaurant &amp; Wine Bar</t>
  </si>
  <si>
    <t>Epicurean</t>
  </si>
  <si>
    <t>Flying Pig Saloon</t>
  </si>
  <si>
    <t>Half Moon Restaurant &amp; Saloon</t>
  </si>
  <si>
    <t>Iron Hill Brewery</t>
  </si>
  <si>
    <t>McKenzie Brewhouse</t>
  </si>
  <si>
    <t>Rino's Italian Restaurant &amp; Pizzeria</t>
  </si>
  <si>
    <t>Ron's Original</t>
  </si>
  <si>
    <t>Sly Fox Brewery</t>
  </si>
  <si>
    <t>The Drafting Room</t>
  </si>
  <si>
    <t>TJs Restaurant &amp; Drinkery</t>
  </si>
  <si>
    <t>Victory Brewing</t>
  </si>
  <si>
    <t>http://www.americabargrill.com</t>
  </si>
  <si>
    <t>http://www.appetitesonmain.com</t>
  </si>
  <si>
    <t>http://thebigeasysaloon.com</t>
  </si>
  <si>
    <t>http://www.bricksidegrille.com</t>
  </si>
  <si>
    <t>http://www.myspace.com/caponesinnorristown</t>
  </si>
  <si>
    <t>http://www.cosimorestaurant.com</t>
  </si>
  <si>
    <t>http://www.americabargrill.com/epicurean/epicurean.htm</t>
  </si>
  <si>
    <t>http://www.brewlounge.com/2006/06/whats-on-tap-at-flying-pig-saloon-in.html</t>
  </si>
  <si>
    <t>http://halfmoonrestaurant.com/</t>
  </si>
  <si>
    <t>http://www.ironhillbrewery.com</t>
  </si>
  <si>
    <t>http://www.mckenziebrewhouse.com</t>
  </si>
  <si>
    <t>http://www.rinosrestaurant.com</t>
  </si>
  <si>
    <t>http://www.ronsoriginal.com</t>
  </si>
  <si>
    <t>http://www.slyfoxbeer.com</t>
  </si>
  <si>
    <t>http://www.draftingroom.com/exton/ex_home.html</t>
  </si>
  <si>
    <t>http://tjsbeer.com/</t>
  </si>
  <si>
    <t>http://www.victorybeer.com</t>
  </si>
  <si>
    <t>610-280-0800</t>
  </si>
  <si>
    <t>610-558-9900</t>
  </si>
  <si>
    <t>610-594-2030</t>
  </si>
  <si>
    <t>610-296-9166</t>
  </si>
  <si>
    <t>610-321-1600</t>
  </si>
  <si>
    <t>610-738-9600</t>
  </si>
  <si>
    <t>610-647-1233</t>
  </si>
  <si>
    <t>610-933-1336</t>
  </si>
  <si>
    <t>610-578-9208</t>
  </si>
  <si>
    <t>610-444-7232</t>
  </si>
  <si>
    <t>610-361-9800</t>
  </si>
  <si>
    <t>610-296-2222</t>
  </si>
  <si>
    <t>610-363-0515</t>
  </si>
  <si>
    <t>610-594-9900</t>
  </si>
  <si>
    <t>610-935-4540</t>
  </si>
  <si>
    <t>610-948-8088</t>
  </si>
  <si>
    <t>610-363-0521</t>
  </si>
  <si>
    <t>610-725-0100</t>
  </si>
  <si>
    <t>610-873-0881</t>
  </si>
  <si>
    <t>Amstel Light</t>
  </si>
  <si>
    <t>CO2</t>
  </si>
  <si>
    <t>Bass English Ale</t>
  </si>
  <si>
    <t>Coors Light</t>
  </si>
  <si>
    <t>Flying Fish HopFish IPA</t>
  </si>
  <si>
    <t>Arcadia Cereal Killer</t>
  </si>
  <si>
    <t>Allgash White</t>
  </si>
  <si>
    <t>Abbaye de Leffe Brune</t>
  </si>
  <si>
    <t>Anderson Valley Summer Solstice Cerveza Crema</t>
  </si>
  <si>
    <t>Abbaye de Leffe Blonde</t>
  </si>
  <si>
    <t>Iron Hill Baltic Porter</t>
  </si>
  <si>
    <t>Iron Hill American Brown Ale</t>
  </si>
  <si>
    <t>Cask</t>
  </si>
  <si>
    <t>McKenzie Black Lab Stout</t>
  </si>
  <si>
    <t>Breckenridge 471 IPA</t>
  </si>
  <si>
    <t>Sly Fox Chester County Brown Ale</t>
  </si>
  <si>
    <t>Sly Fox Black Raspberry Reserve</t>
  </si>
  <si>
    <t>Victory 10 Year Alt</t>
  </si>
  <si>
    <t>Flying Fish Farmhouse Summer Ale</t>
  </si>
  <si>
    <t>Guinness Stout</t>
  </si>
  <si>
    <t>Nitro</t>
  </si>
  <si>
    <t>Ayinger Bräu Weisse</t>
  </si>
  <si>
    <t>Birra Peroni Lager</t>
  </si>
  <si>
    <t>Bell's Cherry Stout</t>
  </si>
  <si>
    <t>Iron Hill Bourbon Barrel-aged Wee Heavy (Scotch Ale)</t>
  </si>
  <si>
    <t>Iron Hill American Pale Ale</t>
  </si>
  <si>
    <t>McKenzie Hefeweizen</t>
  </si>
  <si>
    <t>Cervecería Cuauhtémoc Moctezuma Dos Equis Amber Lager</t>
  </si>
  <si>
    <t>Brooklyn Brewmaster's Reserve</t>
  </si>
  <si>
    <t>Sly Fox Dunkel Lager</t>
  </si>
  <si>
    <t>Brouwerij Corsendonk Abbey Brown</t>
  </si>
  <si>
    <t>Bear Republic Big Bear Black Stout</t>
  </si>
  <si>
    <t>Victory Abbey 6</t>
  </si>
  <si>
    <t>Boddington's</t>
  </si>
  <si>
    <t>Hoegaarden Belgian Wit</t>
  </si>
  <si>
    <t>Ballast Point Big Eye IPA</t>
  </si>
  <si>
    <t>Samuel Adams Summer Ale</t>
  </si>
  <si>
    <t>Brasserie Lefèbvre Blanche De Bruxelles (Manneken Pis)</t>
  </si>
  <si>
    <t>Iron Hill Bourbon Barrel-aged Russian Imperial Stout</t>
  </si>
  <si>
    <t>McKenzie Light Lager</t>
  </si>
  <si>
    <t>Coors Blue Moon Belgian White</t>
  </si>
  <si>
    <t>Chimay Cinq Cents (White)</t>
  </si>
  <si>
    <t>Sly Fox Gold Rush Lager</t>
  </si>
  <si>
    <t>Sly Fox Grisette</t>
  </si>
  <si>
    <t>Green Flash Hop Head Red</t>
  </si>
  <si>
    <t>Brouwerij De Regenboog 't Smisje Blond</t>
  </si>
  <si>
    <t>Victory Braumeister Pils</t>
  </si>
  <si>
    <t>Leinenkugel Sunset Wheat</t>
  </si>
  <si>
    <t>Miller Lite</t>
  </si>
  <si>
    <t>Harpoon Summer Ale</t>
  </si>
  <si>
    <t>Bear Republic Racer X</t>
  </si>
  <si>
    <t>Victory HopDevil</t>
  </si>
  <si>
    <t>Brouwerij Alken-Maes Grimbergen Dubbel</t>
  </si>
  <si>
    <t>Dogfish Head 60 Minute IPA</t>
  </si>
  <si>
    <t>Iron Hill Cannibalistic</t>
  </si>
  <si>
    <t>Iron Hill Belgian Tripel</t>
  </si>
  <si>
    <t>McKenzie Shane Gold</t>
  </si>
  <si>
    <t>Sly Fox Helles Golden Lager</t>
  </si>
  <si>
    <t>Sly Fox Helles Bock</t>
  </si>
  <si>
    <t>Legacy Midnight Wit</t>
  </si>
  <si>
    <t>Brouwerij Van Steenberge Bière Du Boucanier</t>
  </si>
  <si>
    <t>Victory Donnybrook Stout</t>
  </si>
  <si>
    <t>Harp Lager</t>
  </si>
  <si>
    <t>Bells HopSlam</t>
  </si>
  <si>
    <t>Victory Prima Pils</t>
  </si>
  <si>
    <t>Magic Hat Lucky Cat</t>
  </si>
  <si>
    <t>Brouwerij Corsendonk Abbey Pale Ale</t>
  </si>
  <si>
    <t>Franziskaner Hefe-Weisse</t>
  </si>
  <si>
    <t>Iron Hill Ironbound Ale</t>
  </si>
  <si>
    <t>Iron Hill Belgian White</t>
  </si>
  <si>
    <t>McKenzie Smoked Porter</t>
  </si>
  <si>
    <t>McKenzie Shipwrecker Double Red</t>
  </si>
  <si>
    <t>Dock Street Rye IPA</t>
  </si>
  <si>
    <t>Sly Fox Instigator</t>
  </si>
  <si>
    <t>Lindemans Pomme</t>
  </si>
  <si>
    <t>General Lafayette Abbey Blonde</t>
  </si>
  <si>
    <t>Victory Festbier</t>
  </si>
  <si>
    <t>Flying Fish ESB</t>
  </si>
  <si>
    <t>Stoudt's Pils</t>
  </si>
  <si>
    <t>Newcastle Brown Ale</t>
  </si>
  <si>
    <t>Boulder Brewing Obovoid</t>
  </si>
  <si>
    <t>Sierra Nevada Summerfest</t>
  </si>
  <si>
    <t>Brouwerij Verhaeghe Kriek</t>
  </si>
  <si>
    <t>Iron Hill Light Lager</t>
  </si>
  <si>
    <t>McKenzie Triple McK</t>
  </si>
  <si>
    <t>Dogfish Head Black &amp; Blue</t>
  </si>
  <si>
    <t>Sly Fox Jake's ESB</t>
  </si>
  <si>
    <t>Sly Fox Ichor</t>
  </si>
  <si>
    <t>Paulaner Premium Pils</t>
  </si>
  <si>
    <t>Victory Golden Monkey</t>
  </si>
  <si>
    <t>Samuel Adams Boston Lager</t>
  </si>
  <si>
    <t>Yuengling Lager</t>
  </si>
  <si>
    <t>Victory Whirlwind Witbier</t>
  </si>
  <si>
    <t>Sierra Nevada Pale Ale</t>
  </si>
  <si>
    <t>Brasserie Des Géants Goliath</t>
  </si>
  <si>
    <t>Victory Storm King Stout</t>
  </si>
  <si>
    <t>Iron Hill Maibock</t>
  </si>
  <si>
    <t>McKenzie Unicorn Amber Ale</t>
  </si>
  <si>
    <t>Magic Hat #9</t>
  </si>
  <si>
    <t>Flying Fish Imperial Espresso Porter</t>
  </si>
  <si>
    <t>Sly Fox Jasper Maibock</t>
  </si>
  <si>
    <t>Rogue (JLS) Love and Hoppiness</t>
  </si>
  <si>
    <t>Victory Hop Wallop</t>
  </si>
  <si>
    <t>Sly Fox Rt. 113 IPA</t>
  </si>
  <si>
    <t>Brooklyn Brooklynator Doppelbock (Brewmasters Reserve)</t>
  </si>
  <si>
    <t>Legacy Hedonism</t>
  </si>
  <si>
    <t>Iron Hill Pig Iron Porter</t>
  </si>
  <si>
    <t>McKenzie Whakatu IPA</t>
  </si>
  <si>
    <t>McKenzie Wicked Will's Pale Ale</t>
  </si>
  <si>
    <t>Michelob Ultra</t>
  </si>
  <si>
    <t>Sly Fox O'Reilly's Stout</t>
  </si>
  <si>
    <t>Lagunitas Lumpy Gravy</t>
  </si>
  <si>
    <t>Stella Artois Belgian Pale Ale</t>
  </si>
  <si>
    <t>Brooklyn Brooklyner Weissebock (Brewmasters Reserve)</t>
  </si>
  <si>
    <t>Flying Bison Warbird IPA</t>
  </si>
  <si>
    <t>Lindemans Framboise</t>
  </si>
  <si>
    <t>Iron Hill Raspberry Wheat</t>
  </si>
  <si>
    <t>Legacy Euphoria</t>
  </si>
  <si>
    <t>Sly Fox Phoenix Pale Ale</t>
  </si>
  <si>
    <t>Sierra Nevada Porter</t>
  </si>
  <si>
    <t>Magic Hat Hocus Pocus</t>
  </si>
  <si>
    <t>Smithwick's</t>
  </si>
  <si>
    <t>Stoudt's Scarlet Lady ESB</t>
  </si>
  <si>
    <t>Founders Rübæus</t>
  </si>
  <si>
    <t>General Lafayette Chocolate Thunder</t>
  </si>
  <si>
    <t>Mad River Jamaica Red</t>
  </si>
  <si>
    <t>Iron Hill Rye IPA</t>
  </si>
  <si>
    <t>Iron Hill Scottish Ale (60 Shilling)</t>
  </si>
  <si>
    <t>Sly Fox Pikeland Pils</t>
  </si>
  <si>
    <t>Iron Hill Vienna Red Lager</t>
  </si>
  <si>
    <t>Sly Fox Royal Weisse </t>
  </si>
  <si>
    <t>Penn Märzen</t>
  </si>
  <si>
    <t>Victory Lager</t>
  </si>
  <si>
    <t>Ommegang Hennepin</t>
  </si>
  <si>
    <t>Victory Root Beer</t>
  </si>
  <si>
    <t>Ramstein Winter Wheat Eisbock</t>
  </si>
  <si>
    <t>Ramstein MaiBock</t>
  </si>
  <si>
    <t>Sprecher Abbey Triple</t>
  </si>
  <si>
    <t>River Horse Double White</t>
  </si>
  <si>
    <t>Victory Mad King Weiss</t>
  </si>
  <si>
    <t>Lancaster Brewing Amish 4 Grain</t>
  </si>
  <si>
    <t>Spaten Premium Lager</t>
  </si>
  <si>
    <t>Sly Fox Black &amp; Tan</t>
  </si>
  <si>
    <t>Sly Fox Royal Weisse</t>
  </si>
  <si>
    <t>Tröegs Sunshine Pils</t>
  </si>
  <si>
    <t>Southampton Double White</t>
  </si>
  <si>
    <t>North Coast Old Stock</t>
  </si>
  <si>
    <t>Speakeasy Big Daddy IPA</t>
  </si>
  <si>
    <t>Sly Fox Rauchbier</t>
  </si>
  <si>
    <t>Victory Sapphire Ale</t>
  </si>
  <si>
    <t>Stoudts Honey Double Maibock</t>
  </si>
  <si>
    <t>Stoudts Old Abominable</t>
  </si>
  <si>
    <t>Plzensky Prazdroj Pilsner Urquell</t>
  </si>
  <si>
    <t>Stone Russian Imperial Stout</t>
  </si>
  <si>
    <t>Weyerbacher Blanche</t>
  </si>
  <si>
    <t>Southern Tier Raspberry Porter</t>
  </si>
  <si>
    <t>Victory St. Boisterous</t>
  </si>
  <si>
    <t>Tröegs Rugged Trail Nut Brown Ale</t>
  </si>
  <si>
    <t>Tröegs Nugget Nectar</t>
  </si>
  <si>
    <t>Tröegs HopBack Amber Ale</t>
  </si>
  <si>
    <t>Stoudt's Honey Double Maibock</t>
  </si>
  <si>
    <t>Weyerbacher Double Simcoe</t>
  </si>
  <si>
    <t>Speakeasy Prohibition Ale</t>
  </si>
  <si>
    <t>Tröegs Mad Elf</t>
  </si>
  <si>
    <t>Sprecher Pub Ale</t>
  </si>
  <si>
    <t>Spaten Maibock</t>
  </si>
  <si>
    <t>Yards Extra Special Ale</t>
  </si>
  <si>
    <t>Victory Baltic Thunder</t>
  </si>
  <si>
    <t> </t>
  </si>
  <si>
    <t>Victory Sunnybrook Ale</t>
  </si>
  <si>
    <t>Young's Double Chocolate Stout</t>
  </si>
  <si>
    <t>Stoudt's American Pale Ale</t>
  </si>
  <si>
    <t>Victory Sunnybrook Lager</t>
  </si>
  <si>
    <t>Tommyknocker Alpine Glacier Lager</t>
  </si>
  <si>
    <t>Victory Throwback Lager</t>
  </si>
  <si>
    <t>Tröegs Pale Ale</t>
  </si>
  <si>
    <t>Victory Uncle Teddy's Bitter</t>
  </si>
  <si>
    <t>Yards Philadelphia Pale Ale</t>
  </si>
  <si>
    <t>On Deck:</t>
  </si>
  <si>
    <t>Warsteiner Dunkel Lager</t>
  </si>
  <si>
    <t>Victory Wild Devil</t>
  </si>
  <si>
    <t>Anderson Valley High Rollers Wheat</t>
  </si>
  <si>
    <t>Arcadia CocoLoco</t>
  </si>
  <si>
    <t>Avery Maharaja</t>
  </si>
  <si>
    <t>Flying Dog In-Heat Wheat</t>
  </si>
  <si>
    <t>Left Hand Milk Stout</t>
  </si>
  <si>
    <t>Arcadia Cocoa Loco </t>
  </si>
  <si>
    <t>New Holland Dragon's Milk</t>
  </si>
  <si>
    <t>Ballast Point Big Eye IPA </t>
  </si>
  <si>
    <t>Pyramid Apricot Weizen</t>
  </si>
  <si>
    <t>Dogfish Head Festina Peche </t>
  </si>
  <si>
    <t>Rogue Brutal Black </t>
  </si>
  <si>
    <t>Harpoon 100 Barrel Series #23: Old Rusty's Red Rye Ale </t>
  </si>
  <si>
    <t>Southern Tier UberSun</t>
  </si>
  <si>
    <t>Legacy Hoptimus Prime </t>
  </si>
  <si>
    <t>Speakeasy Double Daddy</t>
  </si>
  <si>
    <t>New Holland Dragon's Milk </t>
  </si>
  <si>
    <t>River Horse Summer Blonde </t>
  </si>
  <si>
    <t>Sierra Nevada Southern Hemisphere Harvest Ale </t>
  </si>
  <si>
    <t>Sly Fox Helles Bock </t>
  </si>
  <si>
    <t>Stoudt's Fat Dog Stout</t>
  </si>
  <si>
    <t>Weyerbacher Muse </t>
  </si>
  <si>
    <t>Beer</t>
  </si>
  <si>
    <t>Style</t>
  </si>
  <si>
    <t>State</t>
  </si>
  <si>
    <t>Country</t>
  </si>
  <si>
    <t>Belgian Pale Ale</t>
  </si>
  <si>
    <t>Belgium</t>
  </si>
  <si>
    <t>Belgian Brown Ale</t>
  </si>
  <si>
    <t>Light Lager</t>
  </si>
  <si>
    <t>Netherlands</t>
  </si>
  <si>
    <t>Cream Ale</t>
  </si>
  <si>
    <t>CA</t>
  </si>
  <si>
    <t>USA</t>
  </si>
  <si>
    <t>Barleywine</t>
  </si>
  <si>
    <t>MI</t>
  </si>
  <si>
    <t>Hefeweizen</t>
  </si>
  <si>
    <t>Germany</t>
  </si>
  <si>
    <t>American IPA</t>
  </si>
  <si>
    <t>English Pale Ale</t>
  </si>
  <si>
    <t>England</t>
  </si>
  <si>
    <t>Russian Imperial Stout</t>
  </si>
  <si>
    <t>American Imperial IPA</t>
  </si>
  <si>
    <t>Fruit/Vegetable</t>
  </si>
  <si>
    <t>Bell's HopSlam</t>
  </si>
  <si>
    <t>European Pale Lager</t>
  </si>
  <si>
    <t>Italy</t>
  </si>
  <si>
    <t>CO</t>
  </si>
  <si>
    <t>Belgian Tripel</t>
  </si>
  <si>
    <t>Belgian Witbier</t>
  </si>
  <si>
    <t>NY</t>
  </si>
  <si>
    <t>German Doppelbock</t>
  </si>
  <si>
    <t>German Weizenbock</t>
  </si>
  <si>
    <t>Belgian Dubbel</t>
  </si>
  <si>
    <t>Belgian Golden Strong Ale</t>
  </si>
  <si>
    <t>Flanders Red Ale</t>
  </si>
  <si>
    <t>Vienna Lager</t>
  </si>
  <si>
    <t>Mexico</t>
  </si>
  <si>
    <t>Belgian-Style Witbier</t>
  </si>
  <si>
    <t>American Rye IPA</t>
  </si>
  <si>
    <t>PA</t>
  </si>
  <si>
    <t>DE</t>
  </si>
  <si>
    <t>Extra Special Bitter</t>
  </si>
  <si>
    <t>NJ</t>
  </si>
  <si>
    <t>Saison/Farmhouse</t>
  </si>
  <si>
    <t>American Porter</t>
  </si>
  <si>
    <t>Belgian-Style Pale Ale</t>
  </si>
  <si>
    <t>American Amber / Red Ale</t>
  </si>
  <si>
    <t>Irish Dry Stout</t>
  </si>
  <si>
    <t>Ireland</t>
  </si>
  <si>
    <t>Kölsch</t>
  </si>
  <si>
    <t>MA</t>
  </si>
  <si>
    <t>American Brown Ale</t>
  </si>
  <si>
    <t>American Pale Ale</t>
  </si>
  <si>
    <t>Baltic Porter</t>
  </si>
  <si>
    <t>Belgian-Style Tripel</t>
  </si>
  <si>
    <t>Russian Imperial Stout (barrel-aged)</t>
  </si>
  <si>
    <t>Wee Heavy (barrel-aged)</t>
  </si>
  <si>
    <t>Belgian-Style Golden Strong Ale</t>
  </si>
  <si>
    <t>American Light Lager</t>
  </si>
  <si>
    <t>German-Style Maibock</t>
  </si>
  <si>
    <t>English-Style Porter</t>
  </si>
  <si>
    <t>Fruit/Vegetable (American Wheat)</t>
  </si>
  <si>
    <t>Scottish Ale</t>
  </si>
  <si>
    <t>Amber Austrian Lager</t>
  </si>
  <si>
    <t>Wheat Ale</t>
  </si>
  <si>
    <t>WI</t>
  </si>
  <si>
    <t>Lambic-Fruit</t>
  </si>
  <si>
    <t>VT</t>
  </si>
  <si>
    <t>American Pale Wheat Ale</t>
  </si>
  <si>
    <t>American Stout</t>
  </si>
  <si>
    <t>Czech-Style Pilsner</t>
  </si>
  <si>
    <t>American Amber/Red Ale</t>
  </si>
  <si>
    <t>MO</t>
  </si>
  <si>
    <t>English Brown Ale</t>
  </si>
  <si>
    <t>Old Ale</t>
  </si>
  <si>
    <t>German Pilsener</t>
  </si>
  <si>
    <t>Märzen / Oktoberfest</t>
  </si>
  <si>
    <t>Czech Pilsener</t>
  </si>
  <si>
    <t>Czech Republic</t>
  </si>
  <si>
    <t>Ramstein Maibock</t>
  </si>
  <si>
    <t>Eisbock</t>
  </si>
  <si>
    <t>German-Style Pilsner</t>
  </si>
  <si>
    <t>OR</t>
  </si>
  <si>
    <t>Black &amp; Tan</t>
  </si>
  <si>
    <t>English-Style Brown Ale</t>
  </si>
  <si>
    <t>German-Style Dark Lager</t>
  </si>
  <si>
    <t>California Steam Beer</t>
  </si>
  <si>
    <t>Belgian-Style Farmhouse Ale</t>
  </si>
  <si>
    <t>German-Style Bock</t>
  </si>
  <si>
    <t>Munich Helles Lager</t>
  </si>
  <si>
    <t>Belgian-Style Quadrupel</t>
  </si>
  <si>
    <t>Doppelbock</t>
  </si>
  <si>
    <t>Rauchbier</t>
  </si>
  <si>
    <t>German-Style Hefe Weizen</t>
  </si>
  <si>
    <t>Irish Red Ale</t>
  </si>
  <si>
    <t>German Maibock</t>
  </si>
  <si>
    <t>European Light Lager</t>
  </si>
  <si>
    <t>Belgian-Style Strong Dark Ale</t>
  </si>
  <si>
    <t>Imperial Amber Ale</t>
  </si>
  <si>
    <t>German-Style Altbier</t>
  </si>
  <si>
    <t>Belgian-Style Dark Ale</t>
  </si>
  <si>
    <t>German-Style Märzen/Oktoberfest</t>
  </si>
  <si>
    <t>N/A</t>
  </si>
  <si>
    <t>English Bitter</t>
  </si>
  <si>
    <t>Munich Dunkel Lager</t>
  </si>
  <si>
    <t>Milk / Sweet Stout</t>
  </si>
  <si>
    <t>American Amber/Red Lager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</si>
</sst>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Times New Roman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Times New Roman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Times New Roman"/>
    </font>
    <font>
      <b val="0"/>
      <i/>
      <strike val="0"/>
      <u val="none"/>
      <sz val="10.0"/>
      <color rgb="FF000000"/>
      <name val="Times New Roman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Times New Roman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0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general" wrapText="1"/>
    </xf>
    <xf fillId="0" xfId="0" numFmtId="0" borderId="0" applyFont="1" fontId="2"/>
    <xf applyAlignment="1" fillId="0" xfId="0" numFmtId="0" borderId="0" applyFont="1" fontId="3">
      <alignment vertical="bottom" horizontal="general" wrapText="1"/>
    </xf>
    <xf fillId="0" xfId="0" numFmtId="0" borderId="0" applyFont="1" fontId="4"/>
    <xf fillId="0" xfId="0" numFmtId="0" borderId="0" applyFont="1" fontId="5"/>
    <xf fillId="0" xfId="0" numFmtId="0" borderId="0" applyFont="1" fontId="6"/>
    <xf fillId="0" xfId="0" numFmtId="0" borderId="0" applyFont="1" fontId="7"/>
    <xf applyAlignment="1" fillId="0" xfId="0" numFmtId="0" borderId="0" applyFont="1" fontId="8">
      <alignment vertical="bottom" horizontal="general" wrapText="1"/>
    </xf>
    <xf fillId="0" xfId="0" numFmtId="0" borderId="0" applyFont="1" fontId="9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6" ySplit="5.0" activePane="bottomLeft" state="frozen"/>
      <selection sqref="A6" activeCell="A6" pane="bottomLeft"/>
    </sheetView>
  </sheetViews>
  <sheetFormatPr customHeight="1" defaultColWidth="9.14" defaultRowHeight="12.75"/>
  <cols>
    <col min="1" customWidth="1" max="1" style="5" width="29.57"/>
    <col min="2" customWidth="1" max="2" style="5" width="4.71"/>
    <col min="3" customWidth="1" max="3" style="5" width="2.43"/>
    <col min="4" customWidth="1" max="4" style="5" width="25.29"/>
    <col min="5" customWidth="1" max="5" style="5" width="4.71"/>
    <col min="6" customWidth="1" max="6" style="5" width="2.43"/>
    <col min="7" customWidth="1" max="7" style="5" width="26.43"/>
    <col min="8" customWidth="1" max="8" style="5" width="4.71"/>
    <col min="9" customWidth="1" max="9" style="5" width="2.43"/>
    <col min="10" customWidth="1" max="10" style="5" width="25.29"/>
    <col min="11" customWidth="1" max="11" style="5" width="4.71"/>
    <col min="12" customWidth="1" max="12" style="5" width="2.43"/>
    <col min="13" customWidth="1" max="13" style="5" width="25.29"/>
    <col min="14" customWidth="1" max="14" style="5" width="4.71"/>
    <col min="15" customWidth="1" max="15" style="5" width="2.43"/>
    <col min="16" customWidth="1" max="16" style="5" width="43.71"/>
    <col min="17" customWidth="1" max="17" style="5" width="4.71"/>
    <col min="18" customWidth="1" max="18" style="5" width="2.43"/>
    <col min="19" customWidth="1" max="19" style="5" width="27.43"/>
    <col min="20" customWidth="1" max="20" style="5" width="4.71"/>
    <col min="21" customWidth="1" max="21" style="5" width="2.43"/>
    <col min="22" customWidth="1" max="22" style="5" width="47.0"/>
    <col min="23" customWidth="1" max="23" style="5" width="4.71"/>
    <col min="24" customWidth="1" max="24" style="5" width="2.43"/>
    <col min="25" customWidth="1" max="25" style="5" width="41.57"/>
    <col min="26" customWidth="1" max="26" style="5" width="4.71"/>
    <col min="27" customWidth="1" max="27" style="5" width="2.43"/>
    <col min="28" customWidth="1" max="28" style="5" width="40.43"/>
    <col min="29" customWidth="1" max="29" style="5" width="4.71"/>
    <col min="30" customWidth="1" max="30" style="5" width="2.43"/>
    <col min="31" customWidth="1" max="31" style="5" width="27.43"/>
    <col min="32" customWidth="1" max="32" style="5" width="4.71"/>
    <col min="33" customWidth="1" max="33" style="5" width="2.43"/>
    <col min="34" customWidth="1" max="34" style="5" width="29.57"/>
    <col min="35" customWidth="1" max="35" style="5" width="4.71"/>
    <col min="36" customWidth="1" max="36" style="5" width="2.43"/>
    <col min="37" customWidth="1" max="37" style="5" width="29.57"/>
    <col min="38" customWidth="1" max="38" style="5" width="4.71"/>
    <col min="39" customWidth="1" max="39" style="5" width="2.43"/>
    <col min="40" customWidth="1" max="40" style="5" width="29.57"/>
    <col min="41" customWidth="1" max="41" style="5" width="4.71"/>
    <col min="42" customWidth="1" max="42" style="5" width="2.43"/>
    <col min="43" customWidth="1" max="43" style="5" width="43.71"/>
    <col min="44" customWidth="1" max="44" style="5" width="4.71"/>
    <col min="45" customWidth="1" max="45" style="5" width="2.43"/>
    <col min="46" customWidth="1" max="46" style="5" width="41.57"/>
    <col min="47" customWidth="1" max="47" style="5" width="4.71"/>
    <col min="48" customWidth="1" max="48" style="5" width="2.43"/>
    <col min="49" customWidth="1" max="49" style="5" width="26.43"/>
    <col min="50" customWidth="1" max="50" style="5" width="4.71"/>
    <col min="51" customWidth="1" max="51" style="5" width="2.43"/>
    <col min="52" customWidth="1" max="52" style="5" width="25.29"/>
    <col min="53" customWidth="1" max="53" style="5" width="4.71"/>
    <col min="54" customWidth="1" max="54" style="5" width="2.43"/>
    <col min="55" customWidth="1" max="55" style="5" width="41.57"/>
    <col min="56" customWidth="1" max="56" style="5" width="4.71"/>
    <col min="57" customWidth="1" max="57" style="5" width="2.43"/>
    <col min="58" customWidth="1" max="58" style="5" width="45.86"/>
    <col min="59" customWidth="1" max="59" style="5" width="4.71"/>
    <col min="60" customWidth="1" max="60" style="5" width="2.43"/>
    <col min="61" customWidth="1" max="61" style="5" width="27.43"/>
    <col min="62" customWidth="1" max="62" style="5" width="4.71"/>
    <col min="63" customWidth="1" max="63" style="5" width="2.43"/>
  </cols>
  <sheetData>
    <row s="5" customFormat="1" r="1">
      <c t="s" s="6" r="A1">
        <v>0</v>
      </c>
      <c s="3" r="B1"/>
      <c s="3" r="C1"/>
      <c t="s" s="6" r="D1">
        <v>0</v>
      </c>
      <c s="3" r="E1"/>
      <c s="3" r="F1"/>
      <c t="s" s="6" r="G1">
        <v>1</v>
      </c>
      <c s="3" r="H1"/>
      <c s="3" r="I1"/>
      <c t="s" s="6" r="J1">
        <v>2</v>
      </c>
      <c s="3" r="K1"/>
      <c s="3" r="L1"/>
      <c t="s" s="6" r="M1">
        <v>3</v>
      </c>
      <c s="3" r="N1"/>
      <c s="3" r="O1"/>
      <c t="s" s="6" r="P1">
        <v>4</v>
      </c>
      <c s="3" r="Q1"/>
      <c s="3" r="R1"/>
      <c t="s" s="6" r="S1">
        <v>5</v>
      </c>
      <c s="3" r="T1"/>
      <c s="3" r="U1"/>
      <c t="s" s="6" r="V1">
        <v>6</v>
      </c>
      <c s="3" r="W1"/>
      <c s="3" r="X1"/>
      <c t="s" s="6" r="Y1">
        <v>7</v>
      </c>
      <c s="3" r="Z1"/>
      <c s="3" r="AA1"/>
      <c t="s" s="6" r="AB1">
        <v>8</v>
      </c>
      <c s="3" r="AC1"/>
      <c s="3" r="AD1"/>
      <c t="s" s="6" r="AE1">
        <v>9</v>
      </c>
      <c s="3" r="AF1"/>
      <c s="3" r="AG1"/>
      <c t="s" s="6" r="AH1">
        <v>9</v>
      </c>
      <c s="3" r="AI1"/>
      <c s="3" r="AJ1"/>
      <c t="s" s="6" r="AK1">
        <v>10</v>
      </c>
      <c s="3" r="AL1"/>
      <c s="3" r="AM1"/>
      <c t="s" s="6" r="AN1">
        <v>10</v>
      </c>
      <c s="3" r="AO1"/>
      <c s="3" r="AP1"/>
      <c t="s" s="6" r="AQ1">
        <v>11</v>
      </c>
      <c s="3" r="AR1"/>
      <c s="3" r="AS1"/>
      <c t="s" s="6" r="AT1">
        <v>12</v>
      </c>
      <c s="3" r="AU1"/>
      <c s="3" r="AV1"/>
      <c t="s" s="6" r="AW1">
        <v>13</v>
      </c>
      <c s="3" r="AX1"/>
      <c s="3" r="AY1"/>
      <c t="s" s="6" r="AZ1">
        <v>13</v>
      </c>
      <c s="3" r="BA1"/>
      <c s="3" r="BB1"/>
      <c t="s" s="6" r="BC1">
        <v>14</v>
      </c>
      <c s="3" r="BD1"/>
      <c s="3" r="BE1"/>
      <c t="s" s="6" r="BF1">
        <v>15</v>
      </c>
      <c s="3" r="BG1"/>
      <c s="3" r="BH1"/>
      <c t="s" s="6" r="BI1">
        <v>16</v>
      </c>
      <c s="3" r="BJ1"/>
      <c s="3" r="BK1"/>
      <c s="5" r="BL1"/>
    </row>
    <row s="5" customFormat="1" r="2">
      <c t="str" s="6" r="A2">
        <f>HYPERLINK("http://maps.google.com/maps?q=499+Uwchlan+Avenue,+Chester+Springs,+PA+19425","Chester Springs, PA (Click for Map)")</f>
        <v>Chester Springs, PA (Click for Map)</v>
      </c>
      <c s="3" r="B2"/>
      <c s="3" r="C2"/>
      <c t="str" s="6" r="D2">
        <f>HYPERLINK("http://maps.google.com/maps?q=981+Baltimore+Pike,+Glen+Mills,+PA+19342","Glen Mills, PA (Click for Map)")</f>
        <v>Glen Mills, PA (Click for Map)</v>
      </c>
      <c s="3" r="E2"/>
      <c s="3" r="F2"/>
      <c t="str" s="6" r="G2">
        <f>HYPERLINK("http://maps.google.com/maps?q=286+Main+Street,+Exton,+PA+19341","Exton, PA (Click for Map)")</f>
        <v>Exton, PA (Click for Map)</v>
      </c>
      <c s="3" r="H2"/>
      <c s="3" r="I2"/>
      <c t="str" s="6" r="J2">
        <f>HYPERLINK("http://maps.google.com/maps?q=128+Paoli+Pike,+Paoli,+PA+19301","Paoli, PA (Click for Map)")</f>
        <v>Paoli, PA (Click for Map)</v>
      </c>
      <c s="3" r="K2"/>
      <c s="3" r="L2"/>
      <c t="str" s="6" r="M2">
        <f>HYPERLINK("http://maps.google.com/maps?q=540+Wellington+Square,+Exton,+PA+19341","Exton, PA (Click for Map)")</f>
        <v>Exton, PA (Click for Map)</v>
      </c>
      <c s="3" r="N2"/>
      <c s="3" r="O2"/>
      <c t="str" s="6" r="P2">
        <f>HYPERLINK("http://maps.google.com/maps?q=224+West+Germantown+Pike,+Norristown,+PA+19401","Norristown, PA (Click for Map)")</f>
        <v>Norristown, PA (Click for Map)</v>
      </c>
      <c s="3" r="Q2"/>
      <c s="3" r="R2"/>
      <c t="str" s="6" r="S2">
        <f>HYPERLINK("http://maps.google.com/maps?q=209+Lancaster+Avenue,+Malvern,+PA+19355","Malvern, PA (Click for Map)")</f>
        <v>Malvern, PA (Click for Map)</v>
      </c>
      <c s="3" r="T2"/>
      <c s="3" r="U2"/>
      <c t="str" s="6" r="V2">
        <f>HYPERLINK("http://maps.google.com/maps?q=902+Village+at+Eland,+Phoenixville,+PA+19460","Phoenixville, PA (Click for Map)")</f>
        <v>Phoenixville, PA (Click for Map)</v>
      </c>
      <c s="3" r="W2"/>
      <c s="3" r="X2"/>
      <c t="str" s="6" r="Y2">
        <f>HYPERLINK("http://maps.google.com/maps?q=121+East+King+Road,+Malvern,+PA+19355","Malvern, PA (Click for Map)")</f>
        <v>Malvern, PA (Click for Map)</v>
      </c>
      <c s="3" r="Z2"/>
      <c s="3" r="AA2"/>
      <c t="str" s="6" r="AB2">
        <f>HYPERLINK("http://maps.google.com/maps?q=108+West+State+Street,+Kennett+Square,+PA+19348","Kennett Square, PA (Click for Map)")</f>
        <v>Kennett Square, PA (Click for Map)</v>
      </c>
      <c s="3" r="AC2"/>
      <c s="3" r="AD2"/>
      <c t="str" s="6" r="AE2">
        <f>HYPERLINK("http://maps.google.com/maps?q=130+East+Bridge+Street,+Phoenixville,+PA+19460","Phoenixville, PA (Click for Map)")</f>
        <v>Phoenixville, PA (Click for Map)</v>
      </c>
      <c s="3" r="AF2"/>
      <c s="3" r="AG2"/>
      <c t="str" s="6" r="AH2">
        <f>HYPERLINK("http://maps.google.com/maps?q=3+West+Gay+Street,+West+Chester,+PA+19380","West Chester, PA (Click for Map)")</f>
        <v>West Chester, PA (Click for Map)</v>
      </c>
      <c s="3" r="AI2"/>
      <c s="3" r="AJ2"/>
      <c t="str" s="6" r="AK2">
        <f>HYPERLINK("http://maps.google.com/maps?q=451+Wilmington+Pike,+Glen Mills,+PA+19342","Chadds Ford, PA (Click for Map)")</f>
        <v>Chadds Ford, PA (Click for Map)</v>
      </c>
      <c s="3" r="AL2"/>
      <c s="3" r="AM2"/>
      <c t="str" s="6" r="AN2">
        <f>HYPERLINK("http://maps.google.com/maps?q=240+Lancaster+Avenue,+Malvern,+PA+19355","Malvern, PA (Click for Map)")</f>
        <v>Malvern, PA (Click for Map)</v>
      </c>
      <c s="3" r="AO2"/>
      <c s="3" r="AP2"/>
      <c t="str" s="6" r="AQ2">
        <f>HYPERLINK("http://maps.google.com/maps?q=317+east+lincoln+highway,+Exton,+PA+19341","Exton, PA (Click for Map)")</f>
        <v>Exton, PA (Click for Map)</v>
      </c>
      <c s="3" r="AR2"/>
      <c s="3" r="AS2"/>
      <c t="str" s="6" r="AT2">
        <f>HYPERLINK("http://maps.google.com/maps?q=74+East+Uwchlan+Avenue,+Exton,+PA+19341","Exton, PA (Click for Map)")</f>
        <v>Exton, PA (Click for Map)</v>
      </c>
      <c s="3" r="AU2"/>
      <c s="3" r="AV2"/>
      <c t="str" s="6" r="AW2">
        <f>HYPERLINK("http://maps.google.com/maps?q=519+Kimberton+Road,+Phoenixville,+PA+19460","Phoenixville, PA (Click for Map)")</f>
        <v>Phoenixville, PA (Click for Map)</v>
      </c>
      <c s="3" r="AX2"/>
      <c s="3" r="AY2"/>
      <c t="str" s="6" r="AZ2">
        <f>HYPERLINK("http://maps.google.com/maps?q=312+Lewis+Road,+Royersford,+PA+19468","Royersford, PA (Click for Map)")</f>
        <v>Royersford, PA (Click for Map)</v>
      </c>
      <c s="3" r="BA2"/>
      <c s="3" r="BB2"/>
      <c t="str" s="6" r="BC2">
        <f>HYPERLINK("http://maps.google.com/maps?q=635+North+Pottstown+Pike,+Exton,+PA+19341","Exton, PA (Click for Map)")</f>
        <v>Exton, PA (Click for Map)</v>
      </c>
      <c s="3" r="BD2"/>
      <c s="3" r="BE2"/>
      <c t="str" s="6" r="BF2">
        <f>HYPERLINK("http://maps.google.com/maps?q=35+Paoli+Plaza,+Paoli,+PA+19301","Paoli, PA (Click for Map)")</f>
        <v>Paoli, PA (Click for Map)</v>
      </c>
      <c s="3" r="BG2"/>
      <c s="3" r="BH2"/>
      <c t="str" s="6" r="BI2">
        <f>HYPERLINK("http://maps.google.com/maps?q=420+Acorn+Lane,+Downingtown,+PA+19335","Downingtown, PA (Click for Map)")</f>
        <v>Downingtown, PA (Click for Map)</v>
      </c>
      <c s="3" r="BJ2"/>
      <c s="3" r="BK2"/>
      <c s="5" r="BL2"/>
    </row>
    <row s="5" customFormat="1" r="3">
      <c s="8" r="A3"/>
      <c s="3" r="B3"/>
      <c s="3" r="C3"/>
      <c s="8" r="D3"/>
      <c s="3" r="E3"/>
      <c s="3" r="F3"/>
      <c s="8" r="G3"/>
      <c s="3" r="H3"/>
      <c s="3" r="I3"/>
      <c s="8" r="J3"/>
      <c s="3" r="K3"/>
      <c s="3" r="L3"/>
      <c s="8" r="M3"/>
      <c s="3" r="N3"/>
      <c s="3" r="O3"/>
      <c s="8" r="P3"/>
      <c s="3" r="Q3"/>
      <c s="3" r="R3"/>
      <c s="8" r="S3"/>
      <c s="3" r="T3"/>
      <c s="3" r="U3"/>
      <c s="8" r="V3"/>
      <c s="3" r="W3"/>
      <c s="3" r="X3"/>
      <c s="8" r="Y3"/>
      <c s="3" r="Z3"/>
      <c s="3" r="AA3"/>
      <c s="8" r="AB3"/>
      <c s="3" r="AC3"/>
      <c s="3" r="AD3"/>
      <c s="8" r="AE3"/>
      <c s="3" r="AF3"/>
      <c s="3" r="AG3"/>
      <c s="8" r="AH3"/>
      <c s="3" r="AI3"/>
      <c s="3" r="AJ3"/>
      <c s="8" r="AK3"/>
      <c s="3" r="AL3"/>
      <c s="3" r="AM3"/>
      <c s="8" r="AN3"/>
      <c s="3" r="AO3"/>
      <c s="3" r="AP3"/>
      <c s="8" r="AQ3"/>
      <c s="3" r="AR3"/>
      <c s="3" r="AS3"/>
      <c s="8" r="AT3"/>
      <c s="3" r="AU3"/>
      <c s="3" r="AV3"/>
      <c s="8" r="AW3"/>
      <c s="3" r="AX3"/>
      <c s="3" r="AY3"/>
      <c s="8" r="AZ3"/>
      <c s="3" r="BA3"/>
      <c s="3" r="BB3"/>
      <c s="8" r="BC3"/>
      <c s="3" r="BD3"/>
      <c s="3" r="BE3"/>
      <c s="8" r="BF3"/>
      <c s="3" r="BG3"/>
      <c s="3" r="BH3"/>
      <c s="8" r="BI3"/>
      <c s="3" r="BJ3"/>
      <c s="3" r="BK3"/>
      <c s="5" r="BL3"/>
    </row>
    <row s="5" customFormat="1" r="4">
      <c t="s" s="6" r="A4">
        <v>17</v>
      </c>
      <c s="3" r="B4"/>
      <c s="3" r="C4"/>
      <c t="s" s="6" r="D4">
        <v>17</v>
      </c>
      <c s="3" r="E4"/>
      <c s="3" r="F4"/>
      <c t="s" s="6" r="G4">
        <v>18</v>
      </c>
      <c s="3" r="H4"/>
      <c s="3" r="I4"/>
      <c t="s" s="6" r="J4">
        <v>19</v>
      </c>
      <c s="3" r="K4"/>
      <c s="3" r="L4"/>
      <c t="s" s="6" r="M4">
        <v>20</v>
      </c>
      <c s="3" r="N4"/>
      <c s="3" r="O4"/>
      <c t="s" s="6" r="P4">
        <v>21</v>
      </c>
      <c s="3" r="Q4"/>
      <c s="3" r="R4"/>
      <c t="s" s="6" r="S4">
        <v>22</v>
      </c>
      <c s="3" r="T4"/>
      <c s="3" r="U4"/>
      <c t="s" s="6" r="V4">
        <v>23</v>
      </c>
      <c s="3" r="W4"/>
      <c s="3" r="X4"/>
      <c t="s" s="6" r="Y4">
        <v>24</v>
      </c>
      <c s="3" r="Z4"/>
      <c s="3" r="AA4"/>
      <c t="s" s="6" r="AB4">
        <v>25</v>
      </c>
      <c s="3" r="AC4"/>
      <c s="3" r="AD4"/>
      <c t="s" s="6" r="AE4">
        <v>26</v>
      </c>
      <c s="3" r="AF4"/>
      <c s="3" r="AG4"/>
      <c t="s" s="6" r="AH4">
        <v>26</v>
      </c>
      <c s="3" r="AI4"/>
      <c s="3" r="AJ4"/>
      <c t="s" s="6" r="AK4">
        <v>27</v>
      </c>
      <c s="3" r="AL4"/>
      <c s="3" r="AM4"/>
      <c t="s" s="6" r="AN4">
        <v>27</v>
      </c>
      <c s="3" r="AO4"/>
      <c s="3" r="AP4"/>
      <c t="s" s="6" r="AQ4">
        <v>28</v>
      </c>
      <c s="3" r="AR4"/>
      <c s="3" r="AS4"/>
      <c t="s" s="6" r="AT4">
        <v>29</v>
      </c>
      <c s="3" r="AU4"/>
      <c s="3" r="AV4"/>
      <c t="s" s="6" r="AW4">
        <v>30</v>
      </c>
      <c s="3" r="AX4"/>
      <c s="3" r="AY4"/>
      <c t="s" s="6" r="AZ4">
        <v>30</v>
      </c>
      <c s="3" r="BA4"/>
      <c s="3" r="BB4"/>
      <c t="s" s="6" r="BC4">
        <v>31</v>
      </c>
      <c s="3" r="BD4"/>
      <c s="3" r="BE4"/>
      <c t="s" s="6" r="BF4">
        <v>32</v>
      </c>
      <c s="3" r="BG4"/>
      <c s="3" r="BH4"/>
      <c t="s" s="6" r="BI4">
        <v>33</v>
      </c>
      <c s="3" r="BJ4"/>
      <c s="3" r="BK4"/>
      <c s="5" r="BL4"/>
    </row>
    <row s="5" customFormat="1" r="5">
      <c t="s" s="6" r="A5">
        <v>34</v>
      </c>
      <c s="3" r="B5"/>
      <c s="3" r="C5"/>
      <c t="s" s="6" r="D5">
        <v>35</v>
      </c>
      <c s="3" r="E5"/>
      <c s="3" r="F5"/>
      <c t="s" s="6" r="G5">
        <v>36</v>
      </c>
      <c s="3" r="H5"/>
      <c s="3" r="I5"/>
      <c t="s" s="6" r="J5">
        <v>37</v>
      </c>
      <c s="3" r="K5"/>
      <c s="3" r="L5"/>
      <c t="s" s="6" r="M5">
        <v>38</v>
      </c>
      <c s="3" r="N5"/>
      <c s="3" r="O5"/>
      <c t="s" s="6" r="P5">
        <v>39</v>
      </c>
      <c s="3" r="Q5"/>
      <c s="3" r="R5"/>
      <c t="s" s="6" r="S5">
        <v>40</v>
      </c>
      <c s="3" r="T5"/>
      <c s="3" r="U5"/>
      <c t="s" s="6" r="V5">
        <v>41</v>
      </c>
      <c s="3" r="W5"/>
      <c s="3" r="X5"/>
      <c t="s" s="6" r="Y5">
        <v>42</v>
      </c>
      <c s="3" r="Z5"/>
      <c s="3" r="AA5"/>
      <c t="s" s="6" r="AB5">
        <v>43</v>
      </c>
      <c s="3" r="AC5"/>
      <c s="3" r="AD5"/>
      <c t="s" s="6" r="AE5">
        <v>39</v>
      </c>
      <c s="3" r="AF5"/>
      <c s="3" r="AG5"/>
      <c t="s" s="6" r="AH5">
        <v>39</v>
      </c>
      <c s="3" r="AI5"/>
      <c s="3" r="AJ5"/>
      <c t="s" s="6" r="AK5">
        <v>44</v>
      </c>
      <c s="3" r="AL5"/>
      <c s="3" r="AM5"/>
      <c t="s" s="6" r="AN5">
        <v>45</v>
      </c>
      <c s="3" r="AO5"/>
      <c s="3" r="AP5"/>
      <c t="s" s="6" r="AQ5">
        <v>46</v>
      </c>
      <c s="3" r="AR5"/>
      <c s="3" r="AS5"/>
      <c t="s" s="6" r="AT5">
        <v>47</v>
      </c>
      <c s="3" r="AU5"/>
      <c s="3" r="AV5"/>
      <c t="s" s="6" r="AW5">
        <v>48</v>
      </c>
      <c s="3" r="AX5"/>
      <c s="3" r="AY5"/>
      <c t="s" s="6" r="AZ5">
        <v>49</v>
      </c>
      <c s="3" r="BA5"/>
      <c s="3" r="BB5"/>
      <c t="s" s="6" r="BC5">
        <v>50</v>
      </c>
      <c s="3" r="BD5"/>
      <c s="3" r="BE5"/>
      <c t="s" s="6" r="BF5">
        <v>51</v>
      </c>
      <c s="3" r="BG5"/>
      <c s="3" r="BH5"/>
      <c t="s" s="6" r="BI5">
        <v>52</v>
      </c>
      <c s="3" r="BJ5"/>
      <c s="3" r="BK5"/>
      <c s="5" r="BL5"/>
    </row>
    <row s="5" customFormat="1" r="6">
      <c s="3" r="A6"/>
      <c s="3" r="B6"/>
      <c s="3" r="C6"/>
      <c s="3" r="D6"/>
      <c s="3" r="E6"/>
      <c s="3" r="F6"/>
      <c s="3" r="G6"/>
      <c s="3" r="H6"/>
      <c s="3" r="I6"/>
      <c s="3" r="J6"/>
      <c s="3" r="K6"/>
      <c s="3" r="L6"/>
      <c s="3" r="M6"/>
      <c s="3" r="N6"/>
      <c s="3" r="O6"/>
      <c s="3" r="P6"/>
      <c s="3" r="Q6"/>
      <c s="3" r="R6"/>
      <c s="3" r="S6"/>
      <c s="3" r="T6"/>
      <c s="3" r="U6"/>
      <c s="5" r="V6"/>
      <c s="5" r="W6"/>
      <c s="3" r="X6"/>
      <c s="3" r="Y6"/>
      <c s="3" r="Z6"/>
      <c s="3" r="AA6"/>
      <c s="3" r="AB6"/>
      <c s="3" r="AC6"/>
      <c s="3" r="AD6"/>
      <c s="8" r="AE6"/>
      <c s="3" r="AF6"/>
      <c s="3" r="AG6"/>
      <c s="3" r="AH6"/>
      <c s="3" r="AI6"/>
      <c s="3" r="AJ6"/>
      <c s="3" r="AK6"/>
      <c s="3" r="AL6"/>
      <c s="3" r="AM6"/>
      <c s="3" r="AN6"/>
      <c s="3" r="AO6"/>
      <c s="3" r="AP6"/>
      <c s="3" r="AQ6"/>
      <c s="3" r="AR6"/>
      <c s="3" r="AS6"/>
      <c s="3" r="AT6"/>
      <c s="3" r="AU6"/>
      <c s="3" r="AV6"/>
      <c s="3" r="AW6"/>
      <c s="3" r="AX6"/>
      <c s="3" r="AY6"/>
      <c s="3" r="AZ6"/>
      <c s="3" r="BA6"/>
      <c s="3" r="BB6"/>
      <c s="3" r="BC6"/>
      <c s="3" r="BD6"/>
      <c s="3" r="BE6"/>
      <c s="5" r="BF6"/>
      <c s="5" r="BG6"/>
      <c s="3" r="BH6"/>
      <c s="3" r="BI6"/>
      <c s="3" r="BJ6"/>
      <c s="3" r="BK6"/>
      <c s="5" r="BL6"/>
    </row>
    <row s="5" customFormat="1" r="7">
      <c t="s" s="9" r="A7">
        <v>53</v>
      </c>
      <c t="s" s="9" r="B7">
        <v>54</v>
      </c>
      <c s="3" r="C7"/>
      <c t="s" s="9" r="D7">
        <v>55</v>
      </c>
      <c t="s" s="9" r="E7">
        <v>54</v>
      </c>
      <c s="3" r="F7"/>
      <c t="s" s="9" r="G7">
        <v>56</v>
      </c>
      <c t="s" s="9" r="H7">
        <v>54</v>
      </c>
      <c s="3" r="I7"/>
      <c t="s" s="9" r="J7">
        <v>57</v>
      </c>
      <c t="s" s="9" r="K7">
        <v>54</v>
      </c>
      <c s="3" r="L7"/>
      <c t="s" s="9" r="M7">
        <v>53</v>
      </c>
      <c t="s" s="9" r="N7">
        <v>54</v>
      </c>
      <c s="3" r="O7"/>
      <c t="s" s="9" r="P7">
        <v>58</v>
      </c>
      <c t="s" s="9" r="Q7">
        <v>54</v>
      </c>
      <c s="3" r="R7"/>
      <c t="s" s="9" r="S7">
        <v>59</v>
      </c>
      <c t="s" s="9" r="T7">
        <v>54</v>
      </c>
      <c s="3" r="U7"/>
      <c t="s" s="9" r="V7">
        <v>60</v>
      </c>
      <c t="s" s="9" r="W7">
        <v>54</v>
      </c>
      <c s="3" r="X7"/>
      <c t="s" s="9" r="Y7">
        <v>61</v>
      </c>
      <c t="s" s="9" r="Z7">
        <v>54</v>
      </c>
      <c s="3" r="AA7"/>
      <c t="s" s="9" r="AB7">
        <v>62</v>
      </c>
      <c t="s" s="9" r="AC7">
        <v>54</v>
      </c>
      <c s="3" r="AD7"/>
      <c t="s" s="9" r="AE7">
        <v>63</v>
      </c>
      <c t="s" s="9" r="AF7">
        <v>54</v>
      </c>
      <c s="3" r="AG7"/>
      <c t="s" s="9" r="AH7">
        <v>64</v>
      </c>
      <c t="s" s="9" r="AI7">
        <v>65</v>
      </c>
      <c s="3" r="AJ7"/>
      <c t="s" s="9" r="AK7">
        <v>66</v>
      </c>
      <c t="s" s="9" r="AL7">
        <v>54</v>
      </c>
      <c s="3" r="AM7"/>
      <c t="s" s="9" r="AN7">
        <v>66</v>
      </c>
      <c t="s" s="9" r="AO7">
        <v>54</v>
      </c>
      <c s="3" r="AP7"/>
      <c t="s" s="1" r="AQ7">
        <v>53</v>
      </c>
      <c t="s" s="9" r="AR7">
        <v>54</v>
      </c>
      <c s="3" r="AS7"/>
      <c t="s" s="9" r="AT7">
        <v>67</v>
      </c>
      <c t="s" s="9" r="AU7">
        <v>54</v>
      </c>
      <c s="3" r="AV7"/>
      <c t="s" s="9" r="AW7">
        <v>68</v>
      </c>
      <c t="s" s="9" r="AX7">
        <v>54</v>
      </c>
      <c s="3" r="AY7"/>
      <c t="s" s="9" r="AZ7">
        <v>69</v>
      </c>
      <c t="s" s="9" r="BA7">
        <v>54</v>
      </c>
      <c s="3" r="BB7"/>
      <c t="s" s="9" r="BC7">
        <v>53</v>
      </c>
      <c t="s" s="9" r="BD7">
        <v>54</v>
      </c>
      <c s="3" r="BE7"/>
      <c t="s" s="9" r="BF7">
        <v>62</v>
      </c>
      <c t="s" s="9" r="BG7">
        <v>54</v>
      </c>
      <c s="3" r="BH7"/>
      <c t="s" s="9" r="BI7">
        <v>70</v>
      </c>
      <c t="s" s="9" r="BJ7">
        <v>54</v>
      </c>
      <c s="3" r="BK7"/>
      <c s="5" r="BL7"/>
    </row>
    <row s="5" customFormat="1" r="8">
      <c t="s" s="9" r="A8">
        <v>55</v>
      </c>
      <c t="s" s="9" r="B8">
        <v>54</v>
      </c>
      <c s="3" r="C8"/>
      <c t="s" s="9" r="D8">
        <v>56</v>
      </c>
      <c t="s" s="9" r="E8">
        <v>54</v>
      </c>
      <c s="3" r="F8"/>
      <c t="s" s="9" r="G8">
        <v>71</v>
      </c>
      <c t="s" s="9" r="H8">
        <v>54</v>
      </c>
      <c s="3" r="I8"/>
      <c t="s" s="9" r="J8">
        <v>72</v>
      </c>
      <c t="s" s="9" r="K8">
        <v>73</v>
      </c>
      <c s="3" r="L8"/>
      <c t="s" s="9" r="M8">
        <v>55</v>
      </c>
      <c t="s" s="9" r="N8">
        <v>54</v>
      </c>
      <c s="3" r="O8"/>
      <c t="s" s="9" r="P8">
        <v>74</v>
      </c>
      <c t="s" s="9" r="Q8">
        <v>54</v>
      </c>
      <c s="3" r="R8"/>
      <c t="s" s="9" r="S8">
        <v>75</v>
      </c>
      <c t="s" s="9" r="T8">
        <v>54</v>
      </c>
      <c s="3" r="U8"/>
      <c t="s" s="9" r="V8">
        <v>71</v>
      </c>
      <c t="s" s="9" r="W8">
        <v>54</v>
      </c>
      <c s="3" r="X8"/>
      <c t="s" s="9" r="Y8">
        <v>76</v>
      </c>
      <c t="s" s="9" r="Z8">
        <v>54</v>
      </c>
      <c s="3" r="AA8"/>
      <c t="s" s="9" r="AB8">
        <v>55</v>
      </c>
      <c t="s" s="9" r="AC8">
        <v>54</v>
      </c>
      <c s="3" r="AD8"/>
      <c t="s" s="9" r="AE8">
        <v>77</v>
      </c>
      <c t="s" s="9" r="AF8">
        <v>54</v>
      </c>
      <c s="3" r="AG8"/>
      <c t="s" s="9" r="AH8">
        <v>78</v>
      </c>
      <c t="s" s="9" r="AI8">
        <v>54</v>
      </c>
      <c s="3" r="AJ8"/>
      <c t="s" s="9" r="AK8">
        <v>79</v>
      </c>
      <c t="s" s="9" r="AL8">
        <v>54</v>
      </c>
      <c s="3" r="AM8"/>
      <c t="s" s="9" r="AN8">
        <v>79</v>
      </c>
      <c t="s" s="9" r="AO8">
        <v>54</v>
      </c>
      <c s="3" r="AP8"/>
      <c t="s" s="1" r="AQ8">
        <v>80</v>
      </c>
      <c t="s" s="9" r="AR8">
        <v>54</v>
      </c>
      <c s="3" r="AS8"/>
      <c t="s" s="9" r="AT8">
        <v>81</v>
      </c>
      <c t="s" s="9" r="AU8">
        <v>54</v>
      </c>
      <c s="3" r="AV8"/>
      <c t="s" s="9" r="AW8">
        <v>82</v>
      </c>
      <c t="s" s="9" r="AX8">
        <v>54</v>
      </c>
      <c s="3" r="AY8"/>
      <c t="s" s="9" r="AZ8">
        <v>82</v>
      </c>
      <c t="s" s="9" r="BA8">
        <v>54</v>
      </c>
      <c s="3" r="BB8"/>
      <c t="s" s="9" r="BC8">
        <v>83</v>
      </c>
      <c t="s" s="9" r="BD8">
        <v>54</v>
      </c>
      <c s="3" r="BE8"/>
      <c t="s" s="9" r="BF8">
        <v>84</v>
      </c>
      <c t="s" s="9" r="BG8">
        <v>54</v>
      </c>
      <c s="3" r="BH8"/>
      <c t="s" s="9" r="BI8">
        <v>85</v>
      </c>
      <c t="s" s="9" r="BJ8">
        <v>54</v>
      </c>
      <c s="3" r="BK8"/>
      <c s="5" r="BL8"/>
    </row>
    <row s="5" customFormat="1" r="9">
      <c t="s" s="9" r="A9">
        <v>86</v>
      </c>
      <c t="s" s="9" r="B9">
        <v>73</v>
      </c>
      <c s="3" r="C9"/>
      <c t="s" s="9" r="D9">
        <v>71</v>
      </c>
      <c t="s" s="9" r="E9">
        <v>54</v>
      </c>
      <c s="3" r="F9"/>
      <c t="s" s="9" r="G9">
        <v>72</v>
      </c>
      <c t="s" s="9" r="H9">
        <v>73</v>
      </c>
      <c s="3" r="I9"/>
      <c t="s" s="9" r="J9">
        <v>87</v>
      </c>
      <c t="s" s="9" r="K9">
        <v>54</v>
      </c>
      <c s="3" r="L9"/>
      <c t="s" s="9" r="M9">
        <v>72</v>
      </c>
      <c t="s" s="9" r="N9">
        <v>73</v>
      </c>
      <c s="3" r="O9"/>
      <c t="s" s="9" r="P9">
        <v>88</v>
      </c>
      <c t="s" s="9" r="Q9">
        <v>54</v>
      </c>
      <c s="3" r="R9"/>
      <c t="s" s="9" r="S9">
        <v>89</v>
      </c>
      <c t="s" s="9" r="T9">
        <v>54</v>
      </c>
      <c s="3" r="U9"/>
      <c t="s" s="9" r="V9">
        <v>72</v>
      </c>
      <c t="s" s="9" r="W9">
        <v>73</v>
      </c>
      <c s="3" r="X9"/>
      <c t="s" s="9" r="Y9">
        <v>90</v>
      </c>
      <c t="s" s="9" r="Z9">
        <v>54</v>
      </c>
      <c s="3" r="AA9"/>
      <c t="s" s="9" r="AB9">
        <v>90</v>
      </c>
      <c t="s" s="9" r="AC9">
        <v>54</v>
      </c>
      <c s="3" r="AD9"/>
      <c t="s" s="9" r="AE9">
        <v>91</v>
      </c>
      <c t="s" s="9" r="AF9">
        <v>73</v>
      </c>
      <c s="3" r="AG9"/>
      <c t="s" s="9" r="AH9">
        <v>63</v>
      </c>
      <c t="s" s="9" r="AI9">
        <v>54</v>
      </c>
      <c s="3" r="AJ9"/>
      <c t="s" s="9" r="AK9">
        <v>92</v>
      </c>
      <c t="s" s="9" r="AL9">
        <v>54</v>
      </c>
      <c s="3" r="AM9"/>
      <c t="s" s="9" r="AN9">
        <v>92</v>
      </c>
      <c t="s" s="9" r="AO9">
        <v>54</v>
      </c>
      <c s="3" r="AP9"/>
      <c t="s" s="1" r="AQ9">
        <v>93</v>
      </c>
      <c t="s" s="9" r="AR9">
        <v>54</v>
      </c>
      <c s="3" r="AS9"/>
      <c t="s" s="9" r="AT9">
        <v>94</v>
      </c>
      <c t="s" s="9" r="AU9">
        <v>54</v>
      </c>
      <c s="3" r="AV9"/>
      <c t="s" s="9" r="AW9">
        <v>95</v>
      </c>
      <c t="s" s="9" r="AX9">
        <v>54</v>
      </c>
      <c s="3" r="AY9"/>
      <c t="s" s="9" r="AZ9">
        <v>96</v>
      </c>
      <c t="s" s="9" r="BA9">
        <v>54</v>
      </c>
      <c s="3" r="BB9"/>
      <c t="s" s="9" r="BC9">
        <v>97</v>
      </c>
      <c t="s" s="9" r="BD9">
        <v>54</v>
      </c>
      <c s="3" r="BE9"/>
      <c t="s" s="9" r="BF9">
        <v>98</v>
      </c>
      <c t="s" s="9" r="BG9">
        <v>54</v>
      </c>
      <c s="3" r="BH9"/>
      <c t="s" s="9" r="BI9">
        <v>99</v>
      </c>
      <c t="s" s="9" r="BJ9">
        <v>54</v>
      </c>
      <c s="3" r="BK9"/>
      <c s="5" r="BL9"/>
    </row>
    <row s="5" customFormat="1" r="10">
      <c t="s" s="9" r="A10">
        <v>56</v>
      </c>
      <c t="s" s="9" r="B10">
        <v>54</v>
      </c>
      <c s="3" r="C10"/>
      <c t="s" s="9" r="D10">
        <v>72</v>
      </c>
      <c t="s" s="9" r="E10">
        <v>73</v>
      </c>
      <c s="3" r="F10"/>
      <c t="s" s="9" r="G10">
        <v>100</v>
      </c>
      <c t="s" s="9" r="H10">
        <v>54</v>
      </c>
      <c s="3" r="I10"/>
      <c t="s" s="9" r="J10">
        <v>101</v>
      </c>
      <c t="s" s="9" r="K10">
        <v>54</v>
      </c>
      <c s="3" r="L10"/>
      <c t="s" s="9" r="M10">
        <v>102</v>
      </c>
      <c t="s" s="9" r="N10">
        <v>54</v>
      </c>
      <c s="3" r="O10"/>
      <c t="s" s="9" r="P10">
        <v>103</v>
      </c>
      <c t="s" s="9" r="Q10">
        <v>54</v>
      </c>
      <c s="3" r="R10"/>
      <c t="s" s="9" r="S10">
        <v>104</v>
      </c>
      <c t="s" s="9" r="T10">
        <v>54</v>
      </c>
      <c s="3" r="U10"/>
      <c t="s" s="9" r="V10">
        <v>87</v>
      </c>
      <c t="s" s="9" r="W10">
        <v>54</v>
      </c>
      <c s="3" r="X10"/>
      <c t="s" s="9" r="Y10">
        <v>105</v>
      </c>
      <c t="s" s="9" r="Z10">
        <v>54</v>
      </c>
      <c s="3" r="AA10"/>
      <c t="s" s="9" r="AB10">
        <v>106</v>
      </c>
      <c t="s" s="9" r="AC10">
        <v>54</v>
      </c>
      <c s="3" r="AD10"/>
      <c t="s" s="9" r="AE10">
        <v>107</v>
      </c>
      <c t="s" s="9" r="AF10">
        <v>54</v>
      </c>
      <c s="3" r="AG10"/>
      <c t="s" s="9" r="AH10">
        <v>108</v>
      </c>
      <c t="s" s="9" r="AI10">
        <v>54</v>
      </c>
      <c s="3" r="AJ10"/>
      <c t="s" s="9" r="AK10">
        <v>109</v>
      </c>
      <c t="s" s="9" r="AL10">
        <v>54</v>
      </c>
      <c s="3" r="AM10"/>
      <c t="s" s="9" r="AN10">
        <v>109</v>
      </c>
      <c t="s" s="9" r="AO10">
        <v>54</v>
      </c>
      <c s="3" r="AP10"/>
      <c t="s" s="1" r="AQ10">
        <v>56</v>
      </c>
      <c t="s" s="9" r="AR10">
        <v>54</v>
      </c>
      <c s="3" r="AS10"/>
      <c t="s" s="9" r="AT10">
        <v>56</v>
      </c>
      <c t="s" s="9" r="AU10">
        <v>54</v>
      </c>
      <c s="3" r="AV10"/>
      <c t="s" s="9" r="AW10">
        <v>110</v>
      </c>
      <c t="s" s="9" r="AX10">
        <v>54</v>
      </c>
      <c s="3" r="AY10"/>
      <c t="s" s="9" r="AZ10">
        <v>111</v>
      </c>
      <c t="s" s="9" r="BA10">
        <v>54</v>
      </c>
      <c s="3" r="BB10"/>
      <c t="s" s="9" r="BC10">
        <v>112</v>
      </c>
      <c t="s" s="9" r="BD10">
        <v>54</v>
      </c>
      <c s="3" r="BE10"/>
      <c t="s" s="9" r="BF10">
        <v>113</v>
      </c>
      <c t="s" s="9" r="BG10">
        <v>54</v>
      </c>
      <c s="3" r="BH10"/>
      <c t="s" s="9" r="BI10">
        <v>114</v>
      </c>
      <c t="s" s="9" r="BJ10">
        <v>54</v>
      </c>
      <c s="3" r="BK10"/>
      <c s="5" r="BL10"/>
    </row>
    <row s="5" customFormat="1" r="11">
      <c t="s" s="9" r="A11">
        <v>106</v>
      </c>
      <c t="s" s="9" r="B11">
        <v>54</v>
      </c>
      <c s="3" r="C11"/>
      <c t="s" s="9" r="D11">
        <v>115</v>
      </c>
      <c t="s" s="9" r="E11">
        <v>54</v>
      </c>
      <c s="3" r="F11"/>
      <c t="s" s="9" r="G11">
        <v>101</v>
      </c>
      <c t="s" s="9" r="H11">
        <v>54</v>
      </c>
      <c s="3" r="I11"/>
      <c t="s" s="9" r="J11">
        <v>89</v>
      </c>
      <c t="s" s="9" r="K11">
        <v>54</v>
      </c>
      <c s="3" r="L11"/>
      <c t="s" s="9" r="M11">
        <v>101</v>
      </c>
      <c t="s" s="9" r="N11">
        <v>54</v>
      </c>
      <c s="3" r="O11"/>
      <c t="s" s="9" r="P11">
        <v>116</v>
      </c>
      <c t="s" s="9" r="Q11">
        <v>54</v>
      </c>
      <c s="3" r="R11"/>
      <c t="s" s="9" r="S11">
        <v>117</v>
      </c>
      <c t="s" s="9" r="T11">
        <v>54</v>
      </c>
      <c s="3" r="U11"/>
      <c t="s" s="9" r="V11">
        <v>118</v>
      </c>
      <c t="s" s="9" r="W11">
        <v>54</v>
      </c>
      <c s="3" r="X11"/>
      <c t="s" s="9" r="Y11">
        <v>119</v>
      </c>
      <c t="s" s="9" r="Z11">
        <v>54</v>
      </c>
      <c s="3" r="AA11"/>
      <c t="s" s="9" r="AB11">
        <v>120</v>
      </c>
      <c t="s" s="9" r="AC11">
        <v>54</v>
      </c>
      <c s="3" r="AD11"/>
      <c t="s" s="9" r="AE11">
        <v>121</v>
      </c>
      <c t="s" s="9" r="AF11">
        <v>54</v>
      </c>
      <c s="3" r="AG11"/>
      <c t="s" s="9" r="AH11">
        <v>122</v>
      </c>
      <c t="s" s="9" r="AI11">
        <v>54</v>
      </c>
      <c s="3" r="AJ11"/>
      <c t="s" s="9" r="AK11">
        <v>123</v>
      </c>
      <c t="s" s="9" r="AL11">
        <v>54</v>
      </c>
      <c s="3" r="AM11"/>
      <c t="s" s="9" r="AN11">
        <v>124</v>
      </c>
      <c t="s" s="9" r="AO11">
        <v>54</v>
      </c>
      <c s="3" r="AP11"/>
      <c t="s" s="1" r="AQ11">
        <v>106</v>
      </c>
      <c t="s" s="9" r="AR11">
        <v>54</v>
      </c>
      <c s="3" r="AS11"/>
      <c t="s" s="9" r="AT11">
        <v>125</v>
      </c>
      <c t="s" s="9" r="AU11">
        <v>54</v>
      </c>
      <c s="3" r="AV11"/>
      <c t="s" s="9" r="AW11">
        <v>126</v>
      </c>
      <c t="s" s="9" r="AX11">
        <v>54</v>
      </c>
      <c s="3" r="AY11"/>
      <c t="s" s="9" r="AZ11">
        <v>110</v>
      </c>
      <c t="s" s="9" r="BA11">
        <v>54</v>
      </c>
      <c s="3" r="BB11"/>
      <c t="s" s="9" r="BC11">
        <v>127</v>
      </c>
      <c t="s" s="9" r="BD11">
        <v>54</v>
      </c>
      <c s="3" r="BE11"/>
      <c t="s" s="1" r="BF11">
        <v>128</v>
      </c>
      <c t="s" s="9" r="BG11">
        <v>54</v>
      </c>
      <c s="3" r="BH11"/>
      <c t="s" s="9" r="BI11">
        <v>129</v>
      </c>
      <c t="s" s="9" r="BJ11">
        <v>54</v>
      </c>
      <c s="3" r="BK11"/>
      <c s="5" r="BL11"/>
    </row>
    <row s="5" customFormat="1" r="12">
      <c t="s" s="9" r="A12">
        <v>130</v>
      </c>
      <c t="s" s="9" r="B12">
        <v>54</v>
      </c>
      <c s="3" r="C12"/>
      <c t="s" s="9" r="D12">
        <v>101</v>
      </c>
      <c t="s" s="9" r="E12">
        <v>54</v>
      </c>
      <c s="3" r="F12"/>
      <c t="s" s="9" r="G12">
        <v>104</v>
      </c>
      <c t="s" s="9" r="H12">
        <v>54</v>
      </c>
      <c s="3" r="I12"/>
      <c t="s" s="9" r="J12">
        <v>131</v>
      </c>
      <c t="s" s="9" r="K12">
        <v>54</v>
      </c>
      <c s="3" r="L12"/>
      <c t="s" s="9" r="M12">
        <v>132</v>
      </c>
      <c t="s" s="9" r="N12">
        <v>54</v>
      </c>
      <c s="3" r="O12"/>
      <c t="s" s="9" r="P12">
        <v>133</v>
      </c>
      <c t="s" s="9" r="Q12">
        <v>54</v>
      </c>
      <c s="3" r="R12"/>
      <c s="9" r="S12"/>
      <c s="9" r="T12"/>
      <c s="3" r="U12"/>
      <c t="s" s="1" r="V12">
        <v>134</v>
      </c>
      <c t="s" s="9" r="W12">
        <v>54</v>
      </c>
      <c s="3" r="X12"/>
      <c t="s" s="9" r="Y12">
        <v>135</v>
      </c>
      <c t="s" s="9" r="Z12">
        <v>54</v>
      </c>
      <c s="3" r="AA12"/>
      <c t="s" s="9" r="AB12">
        <v>72</v>
      </c>
      <c t="s" s="9" r="AC12">
        <v>73</v>
      </c>
      <c s="3" r="AD12"/>
      <c t="s" s="9" r="AE12">
        <v>136</v>
      </c>
      <c t="s" s="9" r="AF12">
        <v>54</v>
      </c>
      <c s="3" r="AG12"/>
      <c t="s" s="9" r="AH12">
        <v>107</v>
      </c>
      <c t="s" s="9" r="AI12">
        <v>54</v>
      </c>
      <c s="3" r="AJ12"/>
      <c t="s" s="9" r="AK12">
        <v>137</v>
      </c>
      <c t="s" s="9" r="AL12">
        <v>54</v>
      </c>
      <c s="3" r="AM12"/>
      <c t="s" s="9" r="AN12">
        <v>123</v>
      </c>
      <c t="s" s="9" r="AO12">
        <v>54</v>
      </c>
      <c s="3" r="AP12"/>
      <c t="s" s="1" r="AQ12">
        <v>72</v>
      </c>
      <c t="s" s="9" r="AR12">
        <v>73</v>
      </c>
      <c s="3" r="AS12"/>
      <c t="s" s="9" r="AT12">
        <v>138</v>
      </c>
      <c t="s" s="9" r="AU12">
        <v>54</v>
      </c>
      <c s="3" r="AV12"/>
      <c t="s" s="9" r="AW12">
        <v>139</v>
      </c>
      <c t="s" s="9" r="AX12">
        <v>54</v>
      </c>
      <c s="3" r="AY12"/>
      <c t="s" s="9" r="AZ12">
        <v>140</v>
      </c>
      <c t="s" s="9" r="BA12">
        <v>54</v>
      </c>
      <c s="3" r="BB12"/>
      <c t="s" s="9" r="BC12">
        <v>141</v>
      </c>
      <c t="s" s="9" r="BD12">
        <v>54</v>
      </c>
      <c s="3" r="BE12"/>
      <c t="s" s="9" r="BF12">
        <v>97</v>
      </c>
      <c t="s" s="9" r="BG12">
        <v>54</v>
      </c>
      <c s="3" r="BH12"/>
      <c t="s" s="9" r="BI12">
        <v>142</v>
      </c>
      <c t="s" s="9" r="BJ12">
        <v>54</v>
      </c>
      <c s="3" r="BK12"/>
      <c s="5" r="BL12"/>
    </row>
    <row s="5" customFormat="1" r="13">
      <c t="s" s="9" r="A13">
        <v>72</v>
      </c>
      <c t="s" s="9" r="B13">
        <v>73</v>
      </c>
      <c s="3" r="C13"/>
      <c t="s" s="9" r="D13">
        <v>143</v>
      </c>
      <c t="s" s="9" r="E13">
        <v>73</v>
      </c>
      <c s="3" r="F13"/>
      <c t="s" s="9" r="G13">
        <v>144</v>
      </c>
      <c t="s" s="9" r="H13">
        <v>54</v>
      </c>
      <c s="3" r="I13"/>
      <c t="s" s="9" r="J13">
        <v>145</v>
      </c>
      <c t="s" s="9" r="K13">
        <v>54</v>
      </c>
      <c s="3" r="L13"/>
      <c t="s" s="9" r="M13">
        <v>146</v>
      </c>
      <c t="s" s="9" r="N13">
        <v>54</v>
      </c>
      <c s="3" r="O13"/>
      <c t="s" s="9" r="P13">
        <v>147</v>
      </c>
      <c t="s" s="9" r="Q13">
        <v>54</v>
      </c>
      <c s="3" r="R13"/>
      <c s="9" r="S13"/>
      <c s="9" r="T13"/>
      <c s="3" r="U13"/>
      <c t="s" s="9" r="V13">
        <v>148</v>
      </c>
      <c t="s" s="9" r="W13">
        <v>54</v>
      </c>
      <c s="3" r="X13"/>
      <c t="s" s="9" r="Y13">
        <v>94</v>
      </c>
      <c t="s" s="9" r="Z13">
        <v>54</v>
      </c>
      <c s="3" r="AA13"/>
      <c t="s" s="9" r="AB13">
        <v>87</v>
      </c>
      <c t="s" s="9" r="AC13">
        <v>54</v>
      </c>
      <c s="3" r="AD13"/>
      <c t="s" s="9" r="AE13">
        <v>149</v>
      </c>
      <c t="s" s="9" r="AF13">
        <v>54</v>
      </c>
      <c s="3" r="AG13"/>
      <c t="s" s="9" r="AH13">
        <v>136</v>
      </c>
      <c t="s" s="9" r="AI13">
        <v>54</v>
      </c>
      <c s="3" r="AJ13"/>
      <c t="s" s="9" r="AK13">
        <v>150</v>
      </c>
      <c t="s" s="9" r="AL13">
        <v>54</v>
      </c>
      <c s="3" r="AM13"/>
      <c t="s" s="9" r="AN13">
        <v>150</v>
      </c>
      <c t="s" s="9" r="AO13">
        <v>54</v>
      </c>
      <c s="3" r="AP13"/>
      <c t="s" s="1" r="AQ13">
        <v>151</v>
      </c>
      <c t="s" s="9" r="AR13">
        <v>54</v>
      </c>
      <c s="3" r="AS13"/>
      <c t="s" s="9" r="AT13">
        <v>152</v>
      </c>
      <c t="s" s="9" r="AU13">
        <v>54</v>
      </c>
      <c s="3" r="AV13"/>
      <c t="s" s="9" r="AW13">
        <v>153</v>
      </c>
      <c t="s" s="9" r="AX13">
        <v>54</v>
      </c>
      <c s="3" r="AY13"/>
      <c t="s" s="9" r="AZ13">
        <v>126</v>
      </c>
      <c t="s" s="9" r="BA13">
        <v>54</v>
      </c>
      <c s="3" r="BB13"/>
      <c t="s" s="9" r="BC13">
        <v>154</v>
      </c>
      <c t="s" s="9" r="BD13">
        <v>54</v>
      </c>
      <c s="3" r="BE13"/>
      <c t="s" s="9" r="BF13">
        <v>87</v>
      </c>
      <c t="s" s="9" r="BG13">
        <v>54</v>
      </c>
      <c s="3" r="BH13"/>
      <c t="s" s="9" r="BI13">
        <v>155</v>
      </c>
      <c t="s" s="9" r="BJ13">
        <v>65</v>
      </c>
      <c s="3" r="BK13"/>
      <c s="5" r="BL13"/>
    </row>
    <row s="5" customFormat="1" r="14">
      <c t="s" s="9" r="A14">
        <v>115</v>
      </c>
      <c t="s" s="9" r="B14">
        <v>54</v>
      </c>
      <c s="3" r="C14"/>
      <c t="s" s="9" r="D14">
        <v>89</v>
      </c>
      <c t="s" s="9" r="E14">
        <v>54</v>
      </c>
      <c s="3" r="F14"/>
      <c s="9" r="G14"/>
      <c s="9" r="H14"/>
      <c s="3" r="I14"/>
      <c t="s" s="9" r="J14">
        <v>144</v>
      </c>
      <c t="s" s="9" r="K14">
        <v>54</v>
      </c>
      <c s="3" r="L14"/>
      <c t="s" s="9" r="M14">
        <v>156</v>
      </c>
      <c t="s" s="9" r="N14">
        <v>54</v>
      </c>
      <c s="3" r="O14"/>
      <c t="s" s="9" r="P14">
        <v>157</v>
      </c>
      <c t="s" s="9" r="Q14">
        <v>54</v>
      </c>
      <c s="3" r="R14"/>
      <c s="3" r="S14"/>
      <c s="9" r="T14"/>
      <c s="3" r="U14"/>
      <c t="s" s="9" r="V14">
        <v>144</v>
      </c>
      <c t="s" s="9" r="W14">
        <v>54</v>
      </c>
      <c s="3" r="X14"/>
      <c t="s" s="9" r="Y14">
        <v>56</v>
      </c>
      <c t="s" s="9" r="Z14">
        <v>54</v>
      </c>
      <c s="3" r="AA14"/>
      <c t="s" s="9" r="AB14">
        <v>158</v>
      </c>
      <c t="s" s="9" r="AC14">
        <v>54</v>
      </c>
      <c s="3" r="AD14"/>
      <c t="s" s="9" r="AE14">
        <v>159</v>
      </c>
      <c t="s" s="9" r="AF14">
        <v>54</v>
      </c>
      <c s="3" r="AG14"/>
      <c t="s" s="9" r="AH14">
        <v>159</v>
      </c>
      <c t="s" s="9" r="AI14">
        <v>54</v>
      </c>
      <c s="3" r="AJ14"/>
      <c t="s" s="9" r="AK14">
        <v>160</v>
      </c>
      <c t="s" s="9" r="AL14">
        <v>54</v>
      </c>
      <c s="3" r="AM14"/>
      <c t="s" s="1" r="AN14">
        <v>161</v>
      </c>
      <c t="s" s="9" r="AO14">
        <v>54</v>
      </c>
      <c s="3" r="AP14"/>
      <c t="s" s="1" r="AQ14">
        <v>162</v>
      </c>
      <c t="s" s="9" r="AR14">
        <v>54</v>
      </c>
      <c s="3" r="AS14"/>
      <c t="s" s="9" r="AT14">
        <v>102</v>
      </c>
      <c t="s" s="9" r="AU14">
        <v>54</v>
      </c>
      <c s="3" r="AV14"/>
      <c t="s" s="9" r="AW14">
        <v>163</v>
      </c>
      <c t="s" s="9" r="AX14">
        <v>54</v>
      </c>
      <c s="3" r="AY14"/>
      <c t="s" s="9" r="AZ14">
        <v>139</v>
      </c>
      <c t="s" s="9" r="BA14">
        <v>54</v>
      </c>
      <c s="3" r="BB14"/>
      <c t="s" s="9" r="BC14">
        <v>146</v>
      </c>
      <c t="s" s="9" r="BD14">
        <v>54</v>
      </c>
      <c s="3" r="BE14"/>
      <c t="s" s="9" r="BF14">
        <v>164</v>
      </c>
      <c t="s" s="9" r="BG14">
        <v>54</v>
      </c>
      <c s="3" r="BH14"/>
      <c t="s" s="9" r="BI14">
        <v>155</v>
      </c>
      <c t="s" s="9" r="BJ14">
        <v>54</v>
      </c>
      <c s="3" r="BK14"/>
      <c s="5" r="BL14"/>
    </row>
    <row s="5" customFormat="1" r="15">
      <c t="s" s="9" r="A15">
        <v>87</v>
      </c>
      <c t="s" s="9" r="B15">
        <v>54</v>
      </c>
      <c s="3" r="C15"/>
      <c t="s" s="9" r="D15">
        <v>146</v>
      </c>
      <c t="s" s="9" r="E15">
        <v>54</v>
      </c>
      <c s="3" r="F15"/>
      <c s="3" r="G15"/>
      <c s="3" r="H15"/>
      <c s="3" r="I15"/>
      <c s="3" r="J15"/>
      <c s="3" r="K15"/>
      <c s="3" r="L15"/>
      <c t="s" s="1" r="M15">
        <v>165</v>
      </c>
      <c t="s" s="9" r="N15">
        <v>54</v>
      </c>
      <c s="3" r="O15"/>
      <c t="s" s="9" r="P15">
        <v>166</v>
      </c>
      <c t="s" s="9" r="Q15">
        <v>54</v>
      </c>
      <c s="3" r="R15"/>
      <c s="3" r="S15"/>
      <c s="3" r="T15"/>
      <c s="3" r="U15"/>
      <c s="3" r="V15"/>
      <c s="3" r="W15"/>
      <c s="3" r="X15"/>
      <c t="s" s="9" r="Y15">
        <v>167</v>
      </c>
      <c t="s" s="9" r="Z15">
        <v>54</v>
      </c>
      <c s="3" r="AA15"/>
      <c t="s" s="9" r="AB15">
        <v>168</v>
      </c>
      <c t="s" s="9" r="AC15">
        <v>54</v>
      </c>
      <c s="3" r="AD15"/>
      <c t="s" s="9" r="AE15">
        <v>169</v>
      </c>
      <c t="s" s="9" r="AF15">
        <v>54</v>
      </c>
      <c s="3" r="AG15"/>
      <c t="s" s="9" r="AH15">
        <v>169</v>
      </c>
      <c t="s" s="9" r="AI15">
        <v>54</v>
      </c>
      <c s="3" r="AJ15"/>
      <c t="s" s="1" r="AK15">
        <v>161</v>
      </c>
      <c t="s" s="9" r="AL15">
        <v>54</v>
      </c>
      <c s="3" r="AM15"/>
      <c s="9" r="AN15"/>
      <c s="3" r="AO15"/>
      <c s="3" r="AP15"/>
      <c t="s" s="1" r="AQ15">
        <v>101</v>
      </c>
      <c t="s" s="9" r="AR15">
        <v>54</v>
      </c>
      <c s="3" r="AS15"/>
      <c t="s" s="9" r="AT15">
        <v>170</v>
      </c>
      <c t="s" s="9" r="AU15">
        <v>54</v>
      </c>
      <c s="3" r="AV15"/>
      <c t="s" s="9" r="AW15">
        <v>171</v>
      </c>
      <c t="s" s="9" r="AX15">
        <v>54</v>
      </c>
      <c s="3" r="AY15"/>
      <c t="s" s="9" r="AZ15">
        <v>153</v>
      </c>
      <c t="s" s="9" r="BA15">
        <v>54</v>
      </c>
      <c s="3" r="BB15"/>
      <c t="s" s="9" r="BC15">
        <v>172</v>
      </c>
      <c t="s" s="9" r="BD15">
        <v>54</v>
      </c>
      <c s="3" r="BE15"/>
      <c t="s" s="9" r="BF15">
        <v>168</v>
      </c>
      <c t="s" s="9" r="BG15">
        <v>65</v>
      </c>
      <c s="3" r="BH15"/>
      <c t="s" s="9" r="BI15">
        <v>104</v>
      </c>
      <c t="s" s="9" r="BJ15">
        <v>54</v>
      </c>
      <c s="3" r="BK15"/>
      <c s="5" r="BL15"/>
    </row>
    <row s="5" customFormat="1" r="16">
      <c t="s" s="9" r="A16">
        <v>173</v>
      </c>
      <c t="s" s="9" r="B16">
        <v>54</v>
      </c>
      <c s="3" r="C16"/>
      <c t="s" s="9" r="D16">
        <v>174</v>
      </c>
      <c t="s" s="9" r="E16">
        <v>54</v>
      </c>
      <c s="3" r="F16"/>
      <c s="3" r="G16"/>
      <c s="3" r="H16"/>
      <c s="3" r="I16"/>
      <c s="3" r="J16"/>
      <c s="3" r="K16"/>
      <c s="3" r="L16"/>
      <c t="s" s="9" r="M16">
        <v>175</v>
      </c>
      <c t="s" s="9" r="N16">
        <v>54</v>
      </c>
      <c s="3" r="O16"/>
      <c t="s" s="9" r="P16">
        <v>176</v>
      </c>
      <c t="s" s="9" r="Q16">
        <v>54</v>
      </c>
      <c s="3" r="R16"/>
      <c s="3" r="S16"/>
      <c s="3" r="T16"/>
      <c s="3" r="U16"/>
      <c s="3" r="V16"/>
      <c s="3" r="W16"/>
      <c s="3" r="X16"/>
      <c t="s" s="9" r="Y16">
        <v>177</v>
      </c>
      <c t="s" s="9" r="Z16">
        <v>54</v>
      </c>
      <c s="3" r="AA16"/>
      <c t="s" s="9" r="AB16">
        <v>178</v>
      </c>
      <c t="s" s="9" r="AC16">
        <v>54</v>
      </c>
      <c s="3" r="AD16"/>
      <c t="s" s="9" r="AE16">
        <v>179</v>
      </c>
      <c t="s" s="9" r="AF16">
        <v>54</v>
      </c>
      <c s="3" r="AG16"/>
      <c t="s" s="9" r="AH16">
        <v>180</v>
      </c>
      <c t="s" s="9" r="AI16">
        <v>73</v>
      </c>
      <c s="3" r="AJ16"/>
      <c s="1" r="AK16"/>
      <c s="9" r="AL16"/>
      <c s="3" r="AM16"/>
      <c s="3" r="AN16"/>
      <c s="3" r="AO16"/>
      <c s="3" r="AP16"/>
      <c t="s" s="1" r="AQ16">
        <v>143</v>
      </c>
      <c t="s" s="9" r="AR16">
        <v>54</v>
      </c>
      <c s="3" r="AS16"/>
      <c t="s" s="9" r="AT16">
        <v>101</v>
      </c>
      <c t="s" s="9" r="AU16">
        <v>54</v>
      </c>
      <c s="3" r="AV16"/>
      <c t="s" s="9" r="AW16">
        <v>181</v>
      </c>
      <c t="s" s="9" r="AX16">
        <v>54</v>
      </c>
      <c s="3" r="AY16"/>
      <c t="s" s="9" r="AZ16">
        <v>163</v>
      </c>
      <c t="s" s="9" r="BA16">
        <v>54</v>
      </c>
      <c s="3" r="BB16"/>
      <c t="s" s="9" r="BC16">
        <v>126</v>
      </c>
      <c t="s" s="9" r="BD16">
        <v>54</v>
      </c>
      <c s="3" r="BE16"/>
      <c t="s" s="9" r="BF16">
        <v>132</v>
      </c>
      <c t="s" s="9" r="BG16">
        <v>54</v>
      </c>
      <c s="3" r="BH16"/>
      <c t="s" s="9" r="BI16">
        <v>104</v>
      </c>
      <c t="s" s="9" r="BJ16">
        <v>65</v>
      </c>
      <c s="3" r="BK16"/>
      <c s="5" r="BL16"/>
    </row>
    <row s="5" customFormat="1" r="17">
      <c t="s" s="9" r="A17">
        <v>101</v>
      </c>
      <c t="s" s="9" r="B17">
        <v>54</v>
      </c>
      <c s="3" r="C17"/>
      <c t="s" s="9" r="D17">
        <v>165</v>
      </c>
      <c t="s" s="9" r="E17">
        <v>54</v>
      </c>
      <c s="3" r="F17"/>
      <c s="3" r="G17"/>
      <c s="3" r="H17"/>
      <c s="3" r="I17"/>
      <c s="3" r="J17"/>
      <c s="3" r="K17"/>
      <c s="3" r="L17"/>
      <c t="s" s="9" r="M17">
        <v>104</v>
      </c>
      <c t="s" s="9" r="N17">
        <v>54</v>
      </c>
      <c s="3" r="O17"/>
      <c t="s" s="9" r="P17">
        <v>97</v>
      </c>
      <c t="s" s="9" r="Q17">
        <v>54</v>
      </c>
      <c s="3" r="R17"/>
      <c s="3" r="S17"/>
      <c s="3" r="T17"/>
      <c s="3" r="U17"/>
      <c s="3" r="V17"/>
      <c s="3" r="W17"/>
      <c s="3" r="X17"/>
      <c t="s" s="9" r="Y17">
        <v>72</v>
      </c>
      <c t="s" s="9" r="Z17">
        <v>73</v>
      </c>
      <c s="3" r="AA17"/>
      <c t="s" s="9" r="AB17">
        <v>101</v>
      </c>
      <c t="s" s="9" r="AC17">
        <v>54</v>
      </c>
      <c s="3" r="AD17"/>
      <c t="s" s="9" r="AE17">
        <v>179</v>
      </c>
      <c t="s" s="9" r="AF17">
        <v>65</v>
      </c>
      <c s="3" r="AG17"/>
      <c t="s" s="9" r="AH17">
        <v>182</v>
      </c>
      <c t="s" s="9" r="AI17">
        <v>54</v>
      </c>
      <c s="3" r="AJ17"/>
      <c s="3" r="AK17"/>
      <c s="3" r="AL17"/>
      <c s="3" r="AM17"/>
      <c s="3" r="AN17"/>
      <c s="3" r="AO17"/>
      <c s="3" r="AP17"/>
      <c t="s" s="1" r="AQ17">
        <v>89</v>
      </c>
      <c t="s" s="9" r="AR17">
        <v>54</v>
      </c>
      <c s="3" r="AS17"/>
      <c t="s" s="9" r="AT17">
        <v>75</v>
      </c>
      <c t="s" s="9" r="AU17">
        <v>54</v>
      </c>
      <c s="3" r="AV17"/>
      <c t="s" s="9" r="AW17">
        <v>183</v>
      </c>
      <c t="s" s="9" r="AX17">
        <v>54</v>
      </c>
      <c s="3" r="AY17"/>
      <c t="s" s="9" r="AZ17">
        <v>171</v>
      </c>
      <c t="s" s="9" r="BA17">
        <v>54</v>
      </c>
      <c s="3" r="BB17"/>
      <c t="s" s="9" r="BC17">
        <v>163</v>
      </c>
      <c t="s" s="9" r="BD17">
        <v>54</v>
      </c>
      <c s="3" r="BE17"/>
      <c t="s" s="9" r="BF17">
        <v>184</v>
      </c>
      <c t="s" s="9" r="BG17">
        <v>54</v>
      </c>
      <c s="3" r="BH17"/>
      <c t="s" s="9" r="BI17">
        <v>185</v>
      </c>
      <c t="s" s="9" r="BJ17">
        <v>54</v>
      </c>
      <c s="3" r="BK17"/>
      <c s="5" r="BL17"/>
    </row>
    <row s="5" customFormat="1" r="18">
      <c t="s" s="9" r="A18">
        <v>186</v>
      </c>
      <c t="s" s="9" r="B18">
        <v>54</v>
      </c>
      <c s="3" r="C18"/>
      <c t="s" s="9" r="D18">
        <v>187</v>
      </c>
      <c t="s" s="9" r="E18">
        <v>54</v>
      </c>
      <c s="3" r="F18"/>
      <c s="3" r="G18"/>
      <c s="3" r="H18"/>
      <c s="3" r="I18"/>
      <c s="3" r="J18"/>
      <c s="3" r="K18"/>
      <c s="3" r="L18"/>
      <c t="s" s="9" r="M18">
        <v>144</v>
      </c>
      <c t="s" s="9" r="N18">
        <v>54</v>
      </c>
      <c s="3" r="O18"/>
      <c t="s" s="9" r="P18">
        <v>188</v>
      </c>
      <c t="s" s="9" r="Q18">
        <v>54</v>
      </c>
      <c s="3" r="R18"/>
      <c s="3" r="S18"/>
      <c s="3" r="T18"/>
      <c s="3" r="U18"/>
      <c s="3" r="V18"/>
      <c s="3" r="W18"/>
      <c s="3" r="X18"/>
      <c t="s" s="9" r="Y18">
        <v>115</v>
      </c>
      <c t="s" s="9" r="Z18">
        <v>54</v>
      </c>
      <c s="3" r="AA18"/>
      <c t="s" s="9" r="AB18">
        <v>146</v>
      </c>
      <c t="s" s="9" r="AC18">
        <v>54</v>
      </c>
      <c s="3" r="AD18"/>
      <c t="s" s="9" r="AE18">
        <v>182</v>
      </c>
      <c t="s" s="9" r="AF18">
        <v>54</v>
      </c>
      <c s="3" r="AG18"/>
      <c s="5" r="AH18"/>
      <c s="5" r="AI18"/>
      <c s="3" r="AJ18"/>
      <c s="3" r="AK18"/>
      <c s="3" r="AL18"/>
      <c s="3" r="AM18"/>
      <c s="3" r="AN18"/>
      <c s="3" r="AO18"/>
      <c s="3" r="AP18"/>
      <c s="3" r="AQ18"/>
      <c s="3" r="AR18"/>
      <c s="3" r="AS18"/>
      <c t="s" s="9" r="AT18">
        <v>189</v>
      </c>
      <c t="s" s="9" r="AU18">
        <v>54</v>
      </c>
      <c s="3" r="AV18"/>
      <c t="s" s="9" r="AW18">
        <v>156</v>
      </c>
      <c t="s" s="9" r="AX18">
        <v>54</v>
      </c>
      <c s="3" r="AY18"/>
      <c t="s" s="9" r="AZ18">
        <v>181</v>
      </c>
      <c t="s" s="9" r="BA18">
        <v>54</v>
      </c>
      <c s="3" r="BB18"/>
      <c t="s" s="9" r="BC18">
        <v>190</v>
      </c>
      <c t="s" s="9" r="BD18">
        <v>54</v>
      </c>
      <c s="3" r="BE18"/>
      <c t="s" s="9" r="BF18">
        <v>191</v>
      </c>
      <c t="s" s="9" r="BG18">
        <v>54</v>
      </c>
      <c s="3" r="BH18"/>
      <c t="s" s="9" r="BI18">
        <v>192</v>
      </c>
      <c t="s" s="9" r="BJ18">
        <v>54</v>
      </c>
      <c s="3" r="BK18"/>
      <c s="5" r="BL18"/>
    </row>
    <row s="5" customFormat="1" r="19">
      <c t="s" s="9" r="A19">
        <v>146</v>
      </c>
      <c t="s" s="9" r="B19">
        <v>54</v>
      </c>
      <c s="3" r="C19"/>
      <c t="s" s="9" r="D19">
        <v>145</v>
      </c>
      <c t="s" s="9" r="E19">
        <v>54</v>
      </c>
      <c s="3" r="F19"/>
      <c s="3" r="G19"/>
      <c s="3" r="H19"/>
      <c s="3" r="I19"/>
      <c s="3" r="J19"/>
      <c s="3" r="K19"/>
      <c s="3" r="L19"/>
      <c s="3" r="M19"/>
      <c s="3" r="N19"/>
      <c s="3" r="O19"/>
      <c t="s" s="9" r="P19">
        <v>154</v>
      </c>
      <c t="s" s="9" r="Q19">
        <v>54</v>
      </c>
      <c s="3" r="R19"/>
      <c s="3" r="S19"/>
      <c s="3" r="T19"/>
      <c s="3" r="U19"/>
      <c s="3" r="V19"/>
      <c s="3" r="W19"/>
      <c s="3" r="X19"/>
      <c t="s" s="9" r="Y19">
        <v>193</v>
      </c>
      <c t="s" s="9" r="Z19">
        <v>65</v>
      </c>
      <c s="3" r="AA19"/>
      <c t="s" s="9" r="AB19">
        <v>194</v>
      </c>
      <c t="s" s="9" r="AC19">
        <v>54</v>
      </c>
      <c s="3" r="AD19"/>
      <c s="6" r="AE19"/>
      <c s="3" r="AF19"/>
      <c s="3" r="AG19"/>
      <c s="3" r="AH19"/>
      <c s="3" r="AI19"/>
      <c s="3" r="AJ19"/>
      <c s="3" r="AK19"/>
      <c s="3" r="AL19"/>
      <c s="3" r="AM19"/>
      <c s="3" r="AN19"/>
      <c s="3" r="AO19"/>
      <c s="3" r="AP19"/>
      <c s="3" r="AQ19"/>
      <c s="3" r="AR19"/>
      <c s="3" r="AS19"/>
      <c t="s" s="9" r="AT19">
        <v>89</v>
      </c>
      <c t="s" s="9" r="AU19">
        <v>54</v>
      </c>
      <c s="3" r="AV19"/>
      <c t="s" s="9" r="AW19">
        <v>195</v>
      </c>
      <c t="s" s="9" r="AX19">
        <v>54</v>
      </c>
      <c s="3" r="AY19"/>
      <c t="s" s="9" r="AZ19">
        <v>196</v>
      </c>
      <c t="s" s="9" r="BA19">
        <v>54</v>
      </c>
      <c s="3" r="BB19"/>
      <c t="s" s="9" r="BC19">
        <v>197</v>
      </c>
      <c t="s" s="9" r="BD19">
        <v>54</v>
      </c>
      <c s="3" r="BE19"/>
      <c t="s" s="9" r="BF19">
        <v>163</v>
      </c>
      <c t="s" s="9" r="BG19">
        <v>73</v>
      </c>
      <c s="3" r="BH19"/>
      <c t="s" s="9" r="BI19">
        <v>117</v>
      </c>
      <c t="s" s="9" r="BJ19">
        <v>54</v>
      </c>
      <c s="3" r="BK19"/>
      <c s="5" r="BL19"/>
    </row>
    <row s="5" customFormat="1" r="20">
      <c t="s" s="9" r="A20">
        <v>165</v>
      </c>
      <c t="s" s="9" r="B20">
        <v>54</v>
      </c>
      <c s="3" r="C20"/>
      <c t="s" s="9" r="D20">
        <v>144</v>
      </c>
      <c t="s" s="9" r="E20">
        <v>54</v>
      </c>
      <c s="3" r="F20"/>
      <c s="3" r="G20"/>
      <c s="3" r="H20"/>
      <c s="3" r="I20"/>
      <c s="3" r="J20"/>
      <c s="3" r="K20"/>
      <c s="3" r="L20"/>
      <c s="3" r="M20"/>
      <c s="3" r="N20"/>
      <c s="3" r="O20"/>
      <c t="s" s="9" r="P20">
        <v>198</v>
      </c>
      <c t="s" s="9" r="Q20">
        <v>54</v>
      </c>
      <c s="3" r="R20"/>
      <c s="3" r="S20"/>
      <c s="3" r="T20"/>
      <c s="3" r="U20"/>
      <c s="3" r="V20"/>
      <c s="3" r="W20"/>
      <c s="3" r="X20"/>
      <c t="s" s="9" r="Y20">
        <v>199</v>
      </c>
      <c t="s" s="9" r="Z20">
        <v>54</v>
      </c>
      <c s="3" r="AA20"/>
      <c t="s" s="9" r="AB20">
        <v>200</v>
      </c>
      <c t="s" s="9" r="AC20">
        <v>54</v>
      </c>
      <c s="3" r="AD20"/>
      <c s="6" r="AE20"/>
      <c s="3" r="AF20"/>
      <c s="3" r="AG20"/>
      <c s="3" r="AH20"/>
      <c s="3" r="AI20"/>
      <c s="3" r="AJ20"/>
      <c s="3" r="AK20"/>
      <c s="3" r="AL20"/>
      <c s="3" r="AM20"/>
      <c s="3" r="AN20"/>
      <c s="3" r="AO20"/>
      <c s="3" r="AP20"/>
      <c s="3" r="AQ20"/>
      <c s="3" r="AR20"/>
      <c s="3" r="AS20"/>
      <c t="s" s="9" r="AT20">
        <v>198</v>
      </c>
      <c t="s" s="9" r="AU20">
        <v>54</v>
      </c>
      <c s="3" r="AV20"/>
      <c s="9" r="AW20"/>
      <c s="9" r="AX20"/>
      <c s="3" r="AY20"/>
      <c t="s" s="9" r="AZ20">
        <v>156</v>
      </c>
      <c t="s" s="9" r="BA20">
        <v>54</v>
      </c>
      <c s="3" r="BB20"/>
      <c t="s" s="9" r="BC20">
        <v>104</v>
      </c>
      <c t="s" s="9" r="BD20">
        <v>65</v>
      </c>
      <c s="3" r="BE20"/>
      <c t="s" s="9" r="BF20">
        <v>201</v>
      </c>
      <c t="s" s="9" r="BG20">
        <v>54</v>
      </c>
      <c s="3" r="BH20"/>
      <c t="s" s="9" r="BI20">
        <v>202</v>
      </c>
      <c t="s" s="9" r="BJ20">
        <v>54</v>
      </c>
      <c s="3" r="BK20"/>
      <c s="5" r="BL20"/>
    </row>
    <row s="5" customFormat="1" r="21">
      <c t="s" s="9" r="A21">
        <v>203</v>
      </c>
      <c t="s" s="9" r="B21">
        <v>54</v>
      </c>
      <c s="3" r="C21"/>
      <c s="9" r="D21"/>
      <c s="9" r="E21"/>
      <c s="3" r="F21"/>
      <c s="3" r="G21"/>
      <c s="3" r="H21"/>
      <c s="3" r="I21"/>
      <c s="3" r="J21"/>
      <c s="3" r="K21"/>
      <c s="3" r="L21"/>
      <c s="3" r="M21"/>
      <c s="3" r="N21"/>
      <c s="3" r="O21"/>
      <c t="s" s="9" r="P21">
        <v>204</v>
      </c>
      <c t="s" s="9" r="Q21">
        <v>54</v>
      </c>
      <c s="3" r="R21"/>
      <c s="3" r="S21"/>
      <c s="3" r="T21"/>
      <c s="3" r="U21"/>
      <c s="3" r="V21"/>
      <c s="3" r="W21"/>
      <c s="3" r="X21"/>
      <c t="s" s="9" r="Y21">
        <v>205</v>
      </c>
      <c t="s" s="9" r="Z21">
        <v>54</v>
      </c>
      <c s="3" r="AA21"/>
      <c t="s" s="9" r="AB21">
        <v>165</v>
      </c>
      <c t="s" s="9" r="AC21">
        <v>54</v>
      </c>
      <c s="3" r="AD21"/>
      <c s="6" r="AE21"/>
      <c s="3" r="AF21"/>
      <c s="3" r="AG21"/>
      <c s="3" r="AH21"/>
      <c s="3" r="AI21"/>
      <c s="3" r="AJ21"/>
      <c s="3" r="AK21"/>
      <c s="3" r="AL21"/>
      <c s="3" r="AM21"/>
      <c s="3" r="AN21"/>
      <c s="3" r="AO21"/>
      <c s="3" r="AP21"/>
      <c s="3" r="AQ21"/>
      <c s="3" r="AR21"/>
      <c s="3" r="AS21"/>
      <c t="s" s="9" r="AT21">
        <v>206</v>
      </c>
      <c t="s" s="9" r="AU21">
        <v>54</v>
      </c>
      <c s="3" r="AV21"/>
      <c s="9" r="AW21"/>
      <c s="9" r="AX21"/>
      <c s="3" r="AY21"/>
      <c t="s" s="9" r="AZ21">
        <v>195</v>
      </c>
      <c t="s" s="9" r="BA21">
        <v>54</v>
      </c>
      <c s="3" r="BB21"/>
      <c t="s" s="9" r="BC21">
        <v>207</v>
      </c>
      <c t="s" s="9" r="BD21">
        <v>54</v>
      </c>
      <c s="3" r="BE21"/>
      <c t="s" s="9" r="BF21">
        <v>208</v>
      </c>
      <c t="s" s="9" r="BG21">
        <v>54</v>
      </c>
      <c s="3" r="BH21"/>
      <c t="s" s="9" r="BI21">
        <v>209</v>
      </c>
      <c t="s" s="9" r="BJ21">
        <v>54</v>
      </c>
      <c s="3" r="BK21"/>
      <c s="5" r="BL21"/>
    </row>
    <row s="5" customFormat="1" r="22">
      <c t="s" s="9" r="A22">
        <v>210</v>
      </c>
      <c t="s" s="9" r="B22">
        <v>54</v>
      </c>
      <c s="3" r="C22"/>
      <c s="9" r="D22"/>
      <c s="9" r="E22"/>
      <c s="3" r="F22"/>
      <c s="3" r="G22"/>
      <c s="3" r="H22"/>
      <c s="3" r="I22"/>
      <c s="3" r="J22"/>
      <c s="3" r="K22"/>
      <c s="3" r="L22"/>
      <c s="3" r="M22"/>
      <c s="3" r="N22"/>
      <c s="3" r="O22"/>
      <c t="s" s="9" r="P22">
        <v>211</v>
      </c>
      <c t="s" s="9" r="Q22">
        <v>54</v>
      </c>
      <c s="3" r="R22"/>
      <c s="3" r="S22"/>
      <c s="3" r="T22"/>
      <c s="3" r="U22"/>
      <c s="3" r="V22"/>
      <c s="3" r="W22"/>
      <c s="3" r="X22"/>
      <c t="s" s="1" r="Y22">
        <v>126</v>
      </c>
      <c t="s" s="9" r="Z22">
        <v>54</v>
      </c>
      <c s="3" r="AA22"/>
      <c t="s" s="9" r="AB22">
        <v>212</v>
      </c>
      <c t="s" s="9" r="AC22">
        <v>65</v>
      </c>
      <c s="3" r="AD22"/>
      <c s="6" r="AE22"/>
      <c s="3" r="AF22"/>
      <c s="3" r="AG22"/>
      <c s="3" r="AH22"/>
      <c s="3" r="AI22"/>
      <c s="3" r="AJ22"/>
      <c s="3" r="AK22"/>
      <c s="3" r="AL22"/>
      <c s="3" r="AM22"/>
      <c s="3" r="AN22"/>
      <c s="3" r="AO22"/>
      <c s="3" r="AP22"/>
      <c s="3" r="AQ22"/>
      <c s="3" r="AR22"/>
      <c s="3" r="AS22"/>
      <c t="s" s="9" r="AT22">
        <v>213</v>
      </c>
      <c t="s" s="9" r="AU22">
        <v>54</v>
      </c>
      <c s="3" r="AV22"/>
      <c s="3" r="AW22"/>
      <c s="3" r="AX22"/>
      <c s="3" r="AY22"/>
      <c s="3" r="AZ22"/>
      <c s="3" r="BA22"/>
      <c s="3" r="BB22"/>
      <c t="s" s="9" r="BC22">
        <v>214</v>
      </c>
      <c t="s" s="9" r="BD22">
        <v>54</v>
      </c>
      <c s="3" r="BE22"/>
      <c t="s" s="9" r="BF22">
        <v>215</v>
      </c>
      <c t="s" s="9" r="BG22">
        <v>54</v>
      </c>
      <c s="3" r="BH22"/>
      <c t="s" s="9" r="BI22">
        <v>148</v>
      </c>
      <c t="s" s="9" r="BJ22">
        <v>54</v>
      </c>
      <c s="3" r="BK22"/>
      <c s="5" r="BL22"/>
    </row>
    <row s="5" customFormat="1" r="23">
      <c t="s" s="9" r="A23">
        <v>104</v>
      </c>
      <c t="s" s="9" r="B23">
        <v>54</v>
      </c>
      <c s="3" r="C23"/>
      <c s="9" r="D23"/>
      <c s="9" r="E23"/>
      <c s="3" r="F23"/>
      <c s="3" r="G23"/>
      <c s="3" r="H23"/>
      <c s="3" r="I23"/>
      <c s="3" r="J23"/>
      <c s="3" r="K23"/>
      <c s="3" r="L23"/>
      <c s="3" r="M23"/>
      <c s="3" r="N23"/>
      <c s="3" r="O23"/>
      <c s="3" r="P23"/>
      <c s="3" r="Q23"/>
      <c s="3" r="R23"/>
      <c s="3" r="S23"/>
      <c s="3" r="T23"/>
      <c s="3" r="U23"/>
      <c s="3" r="V23"/>
      <c s="3" r="W23"/>
      <c s="3" r="X23"/>
      <c t="s" s="9" r="Y23">
        <v>174</v>
      </c>
      <c t="s" s="9" r="Z23">
        <v>54</v>
      </c>
      <c s="3" r="AA23"/>
      <c t="s" s="9" r="AB23">
        <v>104</v>
      </c>
      <c t="s" s="9" r="AC23">
        <v>65</v>
      </c>
      <c s="3" r="AD23"/>
      <c s="3" r="AE23"/>
      <c s="3" r="AF23"/>
      <c s="3" r="AG23"/>
      <c s="3" r="AH23"/>
      <c s="3" r="AI23"/>
      <c s="3" r="AJ23"/>
      <c s="3" r="AK23"/>
      <c s="3" r="AL23"/>
      <c s="3" r="AM23"/>
      <c s="3" r="AN23"/>
      <c s="3" r="AO23"/>
      <c s="3" r="AP23"/>
      <c s="3" r="AQ23"/>
      <c s="3" r="AR23"/>
      <c s="3" r="AS23"/>
      <c t="s" s="9" r="AT23">
        <v>216</v>
      </c>
      <c t="s" s="9" r="AU23">
        <v>54</v>
      </c>
      <c s="3" r="AV23"/>
      <c s="3" r="AW23"/>
      <c s="3" r="AX23"/>
      <c s="3" r="AY23"/>
      <c s="3" r="AZ23"/>
      <c s="3" r="BA23"/>
      <c s="3" r="BB23"/>
      <c s="5" r="BC23"/>
      <c s="3" r="BD23"/>
      <c s="3" r="BE23"/>
      <c t="s" s="9" r="BF23">
        <v>217</v>
      </c>
      <c t="s" s="9" r="BG23">
        <v>54</v>
      </c>
      <c s="3" r="BH23"/>
      <c t="s" s="9" r="BI23">
        <v>148</v>
      </c>
      <c t="s" s="9" r="BJ23">
        <v>65</v>
      </c>
      <c s="3" r="BK23"/>
      <c s="5" r="BL23"/>
    </row>
    <row s="5" customFormat="1" r="24">
      <c t="s" s="9" r="A24">
        <v>187</v>
      </c>
      <c t="s" s="9" r="B24">
        <v>54</v>
      </c>
      <c s="3" r="C24"/>
      <c s="9" r="D24"/>
      <c s="9" r="E24"/>
      <c s="3" r="F24"/>
      <c s="3" r="G24"/>
      <c s="3" r="H24"/>
      <c s="3" r="I24"/>
      <c s="3" r="J24"/>
      <c s="3" r="K24"/>
      <c s="3" r="L24"/>
      <c s="3" r="M24"/>
      <c s="3" r="N24"/>
      <c s="3" r="O24"/>
      <c s="3" r="P24"/>
      <c s="3" r="Q24"/>
      <c s="3" r="R24"/>
      <c s="3" r="S24"/>
      <c s="3" r="T24"/>
      <c s="3" r="U24"/>
      <c s="3" r="V24"/>
      <c s="3" r="W24"/>
      <c s="3" r="X24"/>
      <c t="s" s="9" r="Y24">
        <v>218</v>
      </c>
      <c t="s" s="9" r="Z24">
        <v>54</v>
      </c>
      <c s="3" r="AA24"/>
      <c t="s" s="9" r="AB24">
        <v>219</v>
      </c>
      <c t="s" s="9" r="AC24">
        <v>65</v>
      </c>
      <c s="3" r="AD24"/>
      <c s="3" r="AE24"/>
      <c s="3" r="AF24"/>
      <c s="3" r="AG24"/>
      <c s="3" r="AH24"/>
      <c s="3" r="AI24"/>
      <c s="3" r="AJ24"/>
      <c s="3" r="AK24"/>
      <c s="3" r="AL24"/>
      <c s="3" r="AM24"/>
      <c s="3" r="AN24"/>
      <c s="3" r="AO24"/>
      <c s="3" r="AP24"/>
      <c s="3" r="AQ24"/>
      <c s="3" r="AR24"/>
      <c s="3" r="AS24"/>
      <c t="s" s="9" r="AT24">
        <v>220</v>
      </c>
      <c t="s" s="9" r="AU24">
        <v>54</v>
      </c>
      <c s="3" r="AV24"/>
      <c s="3" r="AW24"/>
      <c s="3" r="AX24"/>
      <c s="3" r="AY24"/>
      <c s="3" r="AZ24"/>
      <c s="3" r="BA24"/>
      <c s="3" r="BB24"/>
      <c t="s" s="5" r="BC24">
        <v>221</v>
      </c>
      <c s="3" r="BD24"/>
      <c s="3" r="BE24"/>
      <c t="s" s="9" r="BF24">
        <v>165</v>
      </c>
      <c t="s" s="9" r="BG24">
        <v>54</v>
      </c>
      <c s="3" r="BH24"/>
      <c t="s" s="9" r="BI24">
        <v>222</v>
      </c>
      <c t="s" s="9" r="BJ24">
        <v>54</v>
      </c>
      <c s="3" r="BK24"/>
      <c s="5" r="BL24"/>
    </row>
    <row s="5" customFormat="1" r="25">
      <c t="s" s="9" r="A25">
        <v>144</v>
      </c>
      <c t="s" s="9" r="B25">
        <v>54</v>
      </c>
      <c s="3" r="C25"/>
      <c s="9" r="D25"/>
      <c s="9" r="E25"/>
      <c s="3" r="F25"/>
      <c s="3" r="G25"/>
      <c s="3" r="H25"/>
      <c s="3" r="I25"/>
      <c s="3" r="J25"/>
      <c s="3" r="K25"/>
      <c s="3" r="L25"/>
      <c s="3" r="M25"/>
      <c s="3" r="N25"/>
      <c s="3" r="O25"/>
      <c s="3" r="P25"/>
      <c s="3" r="Q25"/>
      <c s="3" r="R25"/>
      <c s="3" r="S25"/>
      <c s="3" r="T25"/>
      <c s="3" r="U25"/>
      <c s="3" r="V25"/>
      <c s="3" r="W25"/>
      <c s="3" r="X25"/>
      <c t="s" s="9" r="Y25">
        <v>165</v>
      </c>
      <c t="s" s="9" r="Z25">
        <v>54</v>
      </c>
      <c s="3" r="AA25"/>
      <c t="s" s="9" r="AB25">
        <v>223</v>
      </c>
      <c t="s" s="9" r="AC25">
        <v>54</v>
      </c>
      <c s="3" r="AD25"/>
      <c s="3" r="AE25"/>
      <c s="3" r="AF25"/>
      <c s="3" r="AG25"/>
      <c s="3" r="AH25"/>
      <c s="3" r="AI25"/>
      <c s="3" r="AJ25"/>
      <c s="3" r="AK25"/>
      <c s="3" r="AL25"/>
      <c s="3" r="AM25"/>
      <c s="3" r="AN25"/>
      <c s="3" r="AO25"/>
      <c s="3" r="AP25"/>
      <c s="3" r="AQ25"/>
      <c s="3" r="AR25"/>
      <c s="3" r="AS25"/>
      <c t="s" s="9" r="AT25">
        <v>223</v>
      </c>
      <c t="s" s="9" r="AU25">
        <v>54</v>
      </c>
      <c s="3" r="AV25"/>
      <c s="3" r="AW25"/>
      <c s="3" r="AX25"/>
      <c s="3" r="AY25"/>
      <c s="3" r="AZ25"/>
      <c s="3" r="BA25"/>
      <c s="3" r="BB25"/>
      <c s="4" r="BC25"/>
      <c s="3" r="BD25"/>
      <c s="3" r="BE25"/>
      <c t="s" s="1" r="BF25">
        <v>224</v>
      </c>
      <c t="s" s="9" r="BG25">
        <v>54</v>
      </c>
      <c s="3" r="BH25"/>
      <c t="s" s="9" r="BI25">
        <v>225</v>
      </c>
      <c t="s" s="9" r="BJ25">
        <v>54</v>
      </c>
      <c s="3" r="BK25"/>
      <c s="5" r="BL25"/>
    </row>
    <row s="5" customFormat="1" r="26">
      <c s="3" r="A26"/>
      <c s="3" r="B26"/>
      <c s="3" r="C26"/>
      <c s="3" r="D26"/>
      <c s="3" r="E26"/>
      <c s="3" r="F26"/>
      <c s="3" r="G26"/>
      <c s="3" r="H26"/>
      <c s="3" r="I26"/>
      <c s="3" r="J26"/>
      <c s="3" r="K26"/>
      <c s="3" r="L26"/>
      <c s="3" r="M26"/>
      <c s="3" r="N26"/>
      <c s="3" r="O26"/>
      <c s="3" r="P26"/>
      <c s="3" r="Q26"/>
      <c s="3" r="R26"/>
      <c s="3" r="S26"/>
      <c s="3" r="T26"/>
      <c s="3" r="U26"/>
      <c s="3" r="V26"/>
      <c s="3" r="W26"/>
      <c s="3" r="X26"/>
      <c t="s" s="9" r="Y26">
        <v>206</v>
      </c>
      <c t="s" s="9" r="Z26">
        <v>54</v>
      </c>
      <c s="3" r="AA26"/>
      <c t="s" s="9" r="AB26">
        <v>144</v>
      </c>
      <c t="s" s="9" r="AC26">
        <v>54</v>
      </c>
      <c s="3" r="AD26"/>
      <c s="3" r="AE26"/>
      <c s="3" r="AF26"/>
      <c s="3" r="AG26"/>
      <c s="3" r="AH26"/>
      <c s="3" r="AI26"/>
      <c s="3" r="AJ26"/>
      <c s="3" r="AK26"/>
      <c s="3" r="AL26"/>
      <c s="3" r="AM26"/>
      <c s="3" r="AN26"/>
      <c s="3" r="AO26"/>
      <c s="3" r="AP26"/>
      <c s="3" r="AQ26"/>
      <c s="3" r="AR26"/>
      <c s="3" r="AS26"/>
      <c t="s" s="9" r="AT26">
        <v>144</v>
      </c>
      <c t="s" s="9" r="AU26">
        <v>54</v>
      </c>
      <c s="3" r="AV26"/>
      <c s="3" r="AW26"/>
      <c s="3" r="AX26"/>
      <c s="3" r="AY26"/>
      <c s="3" r="AZ26"/>
      <c s="3" r="BA26"/>
      <c s="3" r="BB26"/>
      <c s="4" r="BC26"/>
      <c s="3" r="BD26"/>
      <c s="3" r="BE26"/>
      <c t="s" s="9" r="BF26">
        <v>226</v>
      </c>
      <c t="s" s="9" r="BG26">
        <v>54</v>
      </c>
      <c s="3" r="BH26"/>
      <c t="s" s="9" r="BI26">
        <v>227</v>
      </c>
      <c t="s" s="9" r="BJ26">
        <v>54</v>
      </c>
      <c s="3" r="BK26"/>
      <c s="5" r="BL26"/>
    </row>
    <row s="5" customFormat="1" r="27">
      <c s="3" r="A27"/>
      <c s="3" r="B27"/>
      <c s="3" r="C27"/>
      <c s="3" r="D27"/>
      <c s="3" r="E27"/>
      <c s="3" r="F27"/>
      <c s="3" r="G27"/>
      <c s="3" r="H27"/>
      <c s="3" r="I27"/>
      <c s="3" r="J27"/>
      <c s="3" r="K27"/>
      <c s="3" r="L27"/>
      <c s="3" r="M27"/>
      <c s="3" r="N27"/>
      <c s="3" r="O27"/>
      <c s="3" r="P27"/>
      <c s="3" r="Q27"/>
      <c s="3" r="R27"/>
      <c s="3" r="S27"/>
      <c s="3" r="T27"/>
      <c s="3" r="U27"/>
      <c s="3" r="V27"/>
      <c s="3" r="W27"/>
      <c s="3" r="X27"/>
      <c t="s" s="9" r="Y27">
        <v>104</v>
      </c>
      <c t="s" s="9" r="Z27">
        <v>54</v>
      </c>
      <c s="3" r="AA27"/>
      <c s="3" r="AB27"/>
      <c s="3" r="AC27"/>
      <c s="3" r="AD27"/>
      <c s="3" r="AE27"/>
      <c s="3" r="AF27"/>
      <c s="3" r="AG27"/>
      <c s="3" r="AH27"/>
      <c s="3" r="AI27"/>
      <c s="3" r="AJ27"/>
      <c s="3" r="AK27"/>
      <c s="3" r="AL27"/>
      <c s="3" r="AM27"/>
      <c s="3" r="AN27"/>
      <c s="3" r="AO27"/>
      <c s="3" r="AP27"/>
      <c s="3" r="AQ27"/>
      <c s="3" r="AR27"/>
      <c s="3" r="AS27"/>
      <c s="3" r="AT27"/>
      <c s="3" r="AU27"/>
      <c s="3" r="AV27"/>
      <c s="3" r="AW27"/>
      <c s="3" r="AX27"/>
      <c s="3" r="AY27"/>
      <c s="3" r="AZ27"/>
      <c s="3" r="BA27"/>
      <c s="3" r="BB27"/>
      <c s="4" r="BC27"/>
      <c s="3" r="BD27"/>
      <c s="3" r="BE27"/>
      <c t="s" s="9" r="BF27">
        <v>228</v>
      </c>
      <c t="s" s="9" r="BG27">
        <v>65</v>
      </c>
      <c s="3" r="BH27"/>
      <c t="s" s="9" r="BI27">
        <v>229</v>
      </c>
      <c t="s" s="9" r="BJ27">
        <v>65</v>
      </c>
      <c s="3" r="BK27"/>
      <c s="5" r="BL27"/>
    </row>
    <row s="5" customFormat="1" r="28">
      <c s="3" r="A28"/>
      <c s="3" r="B28"/>
      <c s="3" r="C28"/>
      <c s="3" r="D28"/>
      <c s="3" r="E28"/>
      <c s="3" r="F28"/>
      <c s="3" r="G28"/>
      <c s="3" r="H28"/>
      <c s="3" r="I28"/>
      <c s="3" r="J28"/>
      <c s="3" r="K28"/>
      <c s="3" r="L28"/>
      <c s="3" r="M28"/>
      <c s="3" r="N28"/>
      <c s="3" r="O28"/>
      <c s="3" r="P28"/>
      <c s="3" r="Q28"/>
      <c s="3" r="R28"/>
      <c s="3" r="S28"/>
      <c s="3" r="T28"/>
      <c s="3" r="U28"/>
      <c s="3" r="V28"/>
      <c s="3" r="W28"/>
      <c s="3" r="X28"/>
      <c t="s" s="9" r="Y28">
        <v>230</v>
      </c>
      <c t="s" s="9" r="Z28">
        <v>54</v>
      </c>
      <c s="3" r="AA28"/>
      <c s="3" r="AB28"/>
      <c s="3" r="AC28"/>
      <c s="3" r="AD28"/>
      <c s="3" r="AE28"/>
      <c s="3" r="AF28"/>
      <c s="3" r="AG28"/>
      <c s="3" r="AH28"/>
      <c s="3" r="AI28"/>
      <c s="3" r="AJ28"/>
      <c s="3" r="AK28"/>
      <c s="3" r="AL28"/>
      <c s="3" r="AM28"/>
      <c s="3" r="AN28"/>
      <c s="3" r="AO28"/>
      <c s="3" r="AP28"/>
      <c s="3" r="AQ28"/>
      <c s="3" r="AR28"/>
      <c s="3" r="AS28"/>
      <c s="3" r="AT28"/>
      <c s="3" r="AU28"/>
      <c s="3" r="AV28"/>
      <c s="3" r="AW28"/>
      <c s="3" r="AX28"/>
      <c s="3" r="AY28"/>
      <c s="3" r="AZ28"/>
      <c s="3" r="BA28"/>
      <c s="3" r="BB28"/>
      <c s="4" r="BC28"/>
      <c s="3" r="BD28"/>
      <c s="3" r="BE28"/>
      <c t="s" s="9" r="BF28">
        <v>145</v>
      </c>
      <c t="s" s="9" r="BG28">
        <v>54</v>
      </c>
      <c s="3" r="BH28"/>
      <c t="s" s="9" r="BI28">
        <v>145</v>
      </c>
      <c t="s" s="9" r="BJ28">
        <v>54</v>
      </c>
      <c s="3" r="BK28"/>
      <c s="5" r="BL28"/>
    </row>
    <row s="5" customFormat="1" r="29">
      <c s="3" r="A29"/>
      <c s="3" r="B29"/>
      <c s="3" r="C29"/>
      <c s="3" r="D29"/>
      <c s="3" r="E29"/>
      <c s="3" r="F29"/>
      <c s="3" r="G29"/>
      <c s="3" r="H29"/>
      <c s="3" r="I29"/>
      <c s="3" r="J29"/>
      <c s="3" r="K29"/>
      <c s="3" r="L29"/>
      <c s="3" r="M29"/>
      <c s="3" r="N29"/>
      <c s="3" r="O29"/>
      <c s="3" r="P29"/>
      <c s="3" r="Q29"/>
      <c s="3" r="R29"/>
      <c s="3" r="S29"/>
      <c s="3" r="T29"/>
      <c s="3" r="U29"/>
      <c s="3" r="V29"/>
      <c s="3" r="W29"/>
      <c s="3" r="X29"/>
      <c t="s" s="9" r="Y29">
        <v>144</v>
      </c>
      <c t="s" s="9" r="Z29">
        <v>54</v>
      </c>
      <c s="3" r="AA29"/>
      <c s="7" r="AB29"/>
      <c s="3" r="AC29"/>
      <c s="3" r="AD29"/>
      <c s="3" r="AE29"/>
      <c s="3" r="AF29"/>
      <c s="3" r="AG29"/>
      <c s="3" r="AH29"/>
      <c s="3" r="AI29"/>
      <c s="3" r="AJ29"/>
      <c s="3" r="AK29"/>
      <c s="3" r="AL29"/>
      <c s="3" r="AM29"/>
      <c s="3" r="AN29"/>
      <c s="3" r="AO29"/>
      <c s="3" r="AP29"/>
      <c s="3" r="AQ29"/>
      <c s="3" r="AR29"/>
      <c s="3" r="AS29"/>
      <c t="s" s="7" r="AT29">
        <v>231</v>
      </c>
      <c s="3" r="AU29"/>
      <c s="3" r="AV29"/>
      <c s="3" r="AW29"/>
      <c s="3" r="AX29"/>
      <c s="3" r="AY29"/>
      <c s="3" r="AZ29"/>
      <c s="3" r="BA29"/>
      <c s="3" r="BB29"/>
      <c s="4" r="BC29"/>
      <c s="3" r="BD29"/>
      <c s="3" r="BE29"/>
      <c t="s" s="9" r="BF29">
        <v>232</v>
      </c>
      <c t="s" s="9" r="BG29">
        <v>54</v>
      </c>
      <c s="3" r="BH29"/>
      <c t="s" s="9" r="BI29">
        <v>233</v>
      </c>
      <c t="s" s="9" r="BJ29">
        <v>54</v>
      </c>
      <c s="3" r="BK29"/>
      <c s="5" r="BL29"/>
    </row>
    <row s="5" customFormat="1" r="30">
      <c s="3" r="A30"/>
      <c s="3" r="B30"/>
      <c s="3" r="C30"/>
      <c s="3" r="D30"/>
      <c s="3" r="E30"/>
      <c s="3" r="F30"/>
      <c s="3" r="G30"/>
      <c s="3" r="H30"/>
      <c s="3" r="I30"/>
      <c s="3" r="J30"/>
      <c s="3" r="K30"/>
      <c s="3" r="L30"/>
      <c s="3" r="M30"/>
      <c s="3" r="N30"/>
      <c s="3" r="O30"/>
      <c s="3" r="P30"/>
      <c s="3" r="Q30"/>
      <c s="3" r="R30"/>
      <c s="3" r="S30"/>
      <c s="3" r="T30"/>
      <c s="3" r="U30"/>
      <c s="3" r="V30"/>
      <c s="3" r="W30"/>
      <c s="3" r="X30"/>
      <c s="4" r="Y30"/>
      <c s="3" r="Z30"/>
      <c s="3" r="AA30"/>
      <c s="4" r="AB30"/>
      <c s="3" r="AC30"/>
      <c s="3" r="AD30"/>
      <c s="3" r="AE30"/>
      <c s="3" r="AF30"/>
      <c s="3" r="AG30"/>
      <c s="3" r="AH30"/>
      <c s="3" r="AI30"/>
      <c s="3" r="AJ30"/>
      <c s="3" r="AK30"/>
      <c s="3" r="AL30"/>
      <c s="3" r="AM30"/>
      <c s="3" r="AN30"/>
      <c s="3" r="AO30"/>
      <c s="3" r="AP30"/>
      <c s="3" r="AQ30"/>
      <c s="3" r="AR30"/>
      <c s="3" r="AS30"/>
      <c t="s" s="4" r="AT30">
        <v>234</v>
      </c>
      <c s="3" r="AU30"/>
      <c s="3" r="AV30"/>
      <c s="3" r="AW30"/>
      <c s="3" r="AX30"/>
      <c s="3" r="AY30"/>
      <c s="3" r="AZ30"/>
      <c s="3" r="BA30"/>
      <c s="3" r="BB30"/>
      <c s="5" r="BC30"/>
      <c s="3" r="BD30"/>
      <c s="3" r="BE30"/>
      <c t="s" s="9" r="BF30">
        <v>144</v>
      </c>
      <c t="s" s="9" r="BG30">
        <v>54</v>
      </c>
      <c s="3" r="BH30"/>
      <c s="3" r="BI30"/>
      <c s="3" r="BJ30"/>
      <c s="3" r="BK30"/>
      <c s="5" r="BL30"/>
    </row>
    <row s="5" customFormat="1" r="31">
      <c s="3" r="A31"/>
      <c s="3" r="B31"/>
      <c s="3" r="C31"/>
      <c s="3" r="D31"/>
      <c s="3" r="E31"/>
      <c s="3" r="F31"/>
      <c s="3" r="G31"/>
      <c s="3" r="H31"/>
      <c s="3" r="I31"/>
      <c s="3" r="J31"/>
      <c s="3" r="K31"/>
      <c s="3" r="L31"/>
      <c s="3" r="M31"/>
      <c s="3" r="N31"/>
      <c s="3" r="O31"/>
      <c s="3" r="P31"/>
      <c s="3" r="Q31"/>
      <c s="3" r="R31"/>
      <c s="3" r="S31"/>
      <c s="3" r="T31"/>
      <c s="3" r="U31"/>
      <c s="3" r="V31"/>
      <c s="3" r="W31"/>
      <c s="3" r="X31"/>
      <c s="4" r="Y31"/>
      <c s="5" r="Z31"/>
      <c s="3" r="AA31"/>
      <c s="4" r="AB31"/>
      <c s="3" r="AC31"/>
      <c s="3" r="AD31"/>
      <c s="3" r="AE31"/>
      <c s="3" r="AF31"/>
      <c s="3" r="AG31"/>
      <c s="3" r="AH31"/>
      <c s="3" r="AI31"/>
      <c s="3" r="AJ31"/>
      <c s="3" r="AK31"/>
      <c s="3" r="AL31"/>
      <c s="3" r="AM31"/>
      <c s="3" r="AN31"/>
      <c s="3" r="AO31"/>
      <c s="3" r="AP31"/>
      <c s="3" r="AQ31"/>
      <c s="3" r="AR31"/>
      <c s="3" r="AS31"/>
      <c t="s" s="4" r="AT31">
        <v>235</v>
      </c>
      <c s="3" r="AU31"/>
      <c s="3" r="AV31"/>
      <c s="3" r="AW31"/>
      <c s="3" r="AX31"/>
      <c s="3" r="AY31"/>
      <c s="3" r="AZ31"/>
      <c s="3" r="BA31"/>
      <c s="3" r="BB31"/>
      <c s="5" r="BC31"/>
      <c s="3" r="BD31"/>
      <c s="3" r="BE31"/>
      <c s="9" r="BF31"/>
      <c s="9" r="BG31"/>
      <c s="3" r="BH31"/>
      <c s="3" r="BI31"/>
      <c s="3" r="BJ31"/>
      <c s="3" r="BK31"/>
      <c s="5" r="BL31"/>
    </row>
    <row r="32">
      <c s="5" r="A32"/>
      <c s="5" r="B32"/>
      <c s="5" r="C32"/>
      <c s="5" r="D32"/>
      <c s="5" r="E32"/>
      <c s="5" r="F32"/>
      <c s="5" r="G32"/>
      <c s="5" r="H32"/>
      <c s="5" r="I32"/>
      <c s="5" r="J32"/>
      <c s="5" r="K32"/>
      <c s="5" r="L32"/>
      <c s="5" r="M32"/>
      <c s="5" r="N32"/>
      <c s="5" r="O32"/>
      <c s="5" r="P32"/>
      <c s="5" r="Q32"/>
      <c s="5" r="R32"/>
      <c s="5" r="S32"/>
      <c s="5" r="T32"/>
      <c s="5" r="U32"/>
      <c s="5" r="V32"/>
      <c s="5" r="W32"/>
      <c s="5" r="X32"/>
      <c s="4" r="Y32"/>
      <c s="5" r="Z32"/>
      <c s="5" r="AA32"/>
      <c s="4" r="AB32"/>
      <c s="5" r="AC32"/>
      <c s="5" r="AD32"/>
      <c s="5" r="AE32"/>
      <c s="5" r="AF32"/>
      <c s="5" r="AG32"/>
      <c s="5" r="AH32"/>
      <c s="5" r="AI32"/>
      <c s="5" r="AJ32"/>
      <c s="5" r="AK32"/>
      <c s="5" r="AL32"/>
      <c s="5" r="AM32"/>
      <c s="5" r="AN32"/>
      <c s="5" r="AO32"/>
      <c s="5" r="AP32"/>
      <c s="5" r="AQ32"/>
      <c s="5" r="AR32"/>
      <c s="5" r="AS32"/>
      <c t="s" s="4" r="AT32">
        <v>236</v>
      </c>
      <c s="5" r="AU32"/>
      <c s="5" r="AV32"/>
      <c s="5" r="AW32"/>
      <c s="5" r="AX32"/>
      <c s="5" r="AY32"/>
      <c s="5" r="AZ32"/>
      <c s="5" r="BA32"/>
      <c s="5" r="BB32"/>
      <c s="5" r="BC32"/>
      <c s="5" r="BD32"/>
      <c s="5" r="BE32"/>
      <c s="5" r="BF32"/>
      <c s="5" r="BG32"/>
      <c s="5" r="BH32"/>
      <c s="5" r="BI32"/>
      <c s="5" r="BJ32"/>
      <c s="5" r="BK32"/>
    </row>
    <row r="33">
      <c s="5" r="A33"/>
      <c s="5" r="B33"/>
      <c s="5" r="C33"/>
      <c s="5" r="D33"/>
      <c s="5" r="E33"/>
      <c s="5" r="F33"/>
      <c s="5" r="G33"/>
      <c s="5" r="H33"/>
      <c s="5" r="I33"/>
      <c s="5" r="J33"/>
      <c s="5" r="K33"/>
      <c s="5" r="L33"/>
      <c s="5" r="M33"/>
      <c s="5" r="N33"/>
      <c s="5" r="O33"/>
      <c s="5" r="P33"/>
      <c s="5" r="Q33"/>
      <c s="5" r="R33"/>
      <c s="5" r="S33"/>
      <c s="5" r="T33"/>
      <c s="5" r="U33"/>
      <c s="5" r="V33"/>
      <c s="5" r="W33"/>
      <c s="5" r="X33"/>
      <c s="4" r="Y33"/>
      <c s="5" r="Z33"/>
      <c s="5" r="AA33"/>
      <c s="4" r="AB33"/>
      <c s="5" r="AC33"/>
      <c s="5" r="AD33"/>
      <c s="5" r="AE33"/>
      <c s="5" r="AF33"/>
      <c s="5" r="AG33"/>
      <c s="5" r="AH33"/>
      <c s="5" r="AI33"/>
      <c s="5" r="AJ33"/>
      <c s="5" r="AK33"/>
      <c s="5" r="AL33"/>
      <c s="5" r="AM33"/>
      <c s="5" r="AN33"/>
      <c s="5" r="AO33"/>
      <c s="5" r="AP33"/>
      <c s="5" r="AQ33"/>
      <c s="5" r="AR33"/>
      <c s="5" r="AS33"/>
      <c t="s" s="4" r="AT33">
        <v>237</v>
      </c>
      <c s="5" r="AU33"/>
      <c s="5" r="AV33"/>
      <c s="5" r="AW33"/>
      <c s="5" r="AX33"/>
      <c s="5" r="AY33"/>
      <c s="5" r="AZ33"/>
      <c s="5" r="BA33"/>
      <c s="5" r="BB33"/>
      <c s="5" r="BC33"/>
      <c s="5" r="BD33"/>
      <c s="5" r="BE33"/>
      <c t="s" s="7" r="BF33">
        <v>231</v>
      </c>
      <c s="5" r="BG33"/>
      <c s="5" r="BH33"/>
      <c s="5" r="BI33"/>
      <c s="5" r="BJ33"/>
      <c s="5" r="BK33"/>
    </row>
    <row r="34">
      <c s="5" r="A34"/>
      <c s="5" r="B34"/>
      <c s="5" r="C34"/>
      <c s="5" r="D34"/>
      <c s="5" r="E34"/>
      <c s="5" r="F34"/>
      <c s="5" r="G34"/>
      <c s="5" r="H34"/>
      <c s="5" r="I34"/>
      <c s="5" r="J34"/>
      <c s="5" r="K34"/>
      <c s="5" r="L34"/>
      <c s="5" r="M34"/>
      <c s="5" r="N34"/>
      <c s="5" r="O34"/>
      <c s="5" r="P34"/>
      <c s="5" r="Q34"/>
      <c s="5" r="R34"/>
      <c s="5" r="S34"/>
      <c s="5" r="T34"/>
      <c s="5" r="U34"/>
      <c s="5" r="V34"/>
      <c s="5" r="W34"/>
      <c s="5" r="X34"/>
      <c s="5" r="Y34"/>
      <c s="5" r="Z34"/>
      <c s="5" r="AA34"/>
      <c s="4" r="AB34"/>
      <c s="5" r="AC34"/>
      <c s="5" r="AD34"/>
      <c s="5" r="AE34"/>
      <c s="5" r="AF34"/>
      <c s="5" r="AG34"/>
      <c s="5" r="AH34"/>
      <c s="5" r="AI34"/>
      <c s="5" r="AJ34"/>
      <c s="5" r="AK34"/>
      <c s="5" r="AL34"/>
      <c s="5" r="AM34"/>
      <c s="5" r="AN34"/>
      <c s="5" r="AO34"/>
      <c s="5" r="AP34"/>
      <c s="5" r="AQ34"/>
      <c s="5" r="AR34"/>
      <c s="5" r="AS34"/>
      <c t="s" s="4" r="AT34">
        <v>238</v>
      </c>
      <c s="5" r="AU34"/>
      <c s="5" r="AV34"/>
      <c s="5" r="AW34"/>
      <c s="5" r="AX34"/>
      <c s="5" r="AY34"/>
      <c s="5" r="AZ34"/>
      <c s="5" r="BA34"/>
      <c s="5" r="BB34"/>
      <c s="5" r="BC34"/>
      <c s="5" r="BD34"/>
      <c s="5" r="BE34"/>
      <c t="s" s="2" r="BF34">
        <v>239</v>
      </c>
      <c s="5" r="BG34"/>
      <c s="5" r="BH34"/>
      <c s="5" r="BI34"/>
      <c s="5" r="BJ34"/>
      <c s="5" r="BK34"/>
    </row>
    <row r="35">
      <c s="5" r="A35"/>
      <c s="5" r="B35"/>
      <c s="5" r="C35"/>
      <c s="5" r="D35"/>
      <c s="5" r="E35"/>
      <c s="5" r="F35"/>
      <c s="5" r="G35"/>
      <c s="5" r="H35"/>
      <c s="5" r="I35"/>
      <c s="5" r="J35"/>
      <c s="5" r="K35"/>
      <c s="5" r="L35"/>
      <c s="5" r="M35"/>
      <c s="5" r="N35"/>
      <c s="5" r="O35"/>
      <c s="5" r="P35"/>
      <c s="5" r="Q35"/>
      <c s="5" r="R35"/>
      <c s="5" r="S35"/>
      <c s="5" r="T35"/>
      <c s="5" r="U35"/>
      <c s="5" r="V35"/>
      <c s="5" r="W35"/>
      <c s="5" r="X35"/>
      <c s="5" r="Y35"/>
      <c s="5" r="Z35"/>
      <c s="5" r="AA35"/>
      <c s="4" r="AB35"/>
      <c s="5" r="AC35"/>
      <c s="5" r="AD35"/>
      <c s="5" r="AE35"/>
      <c s="5" r="AF35"/>
      <c s="5" r="AG35"/>
      <c s="5" r="AH35"/>
      <c s="5" r="AI35"/>
      <c s="5" r="AJ35"/>
      <c s="5" r="AK35"/>
      <c s="5" r="AL35"/>
      <c s="5" r="AM35"/>
      <c s="5" r="AN35"/>
      <c s="5" r="AO35"/>
      <c s="5" r="AP35"/>
      <c s="5" r="AQ35"/>
      <c s="5" r="AR35"/>
      <c s="5" r="AS35"/>
      <c t="s" s="4" r="AT35">
        <v>240</v>
      </c>
      <c s="5" r="AU35"/>
      <c s="5" r="AV35"/>
      <c s="5" r="AW35"/>
      <c s="5" r="AX35"/>
      <c s="5" r="AY35"/>
      <c s="5" r="AZ35"/>
      <c s="5" r="BA35"/>
      <c s="5" r="BB35"/>
      <c s="5" r="BC35"/>
      <c s="5" r="BD35"/>
      <c s="5" r="BE35"/>
      <c t="s" s="2" r="BF35">
        <v>241</v>
      </c>
      <c s="5" r="BG35"/>
      <c s="5" r="BH35"/>
      <c s="5" r="BI35"/>
      <c s="5" r="BJ35"/>
      <c s="5" r="BK35"/>
    </row>
    <row r="36">
      <c s="5" r="A36"/>
      <c s="5" r="B36"/>
      <c s="5" r="C36"/>
      <c s="5" r="D36"/>
      <c s="5" r="E36"/>
      <c s="5" r="F36"/>
      <c s="5" r="G36"/>
      <c s="5" r="H36"/>
      <c s="5" r="I36"/>
      <c s="5" r="J36"/>
      <c s="5" r="K36"/>
      <c s="5" r="L36"/>
      <c s="5" r="M36"/>
      <c s="5" r="N36"/>
      <c s="5" r="O36"/>
      <c s="5" r="P36"/>
      <c s="5" r="Q36"/>
      <c s="5" r="R36"/>
      <c s="5" r="S36"/>
      <c s="5" r="T36"/>
      <c s="5" r="U36"/>
      <c s="5" r="V36"/>
      <c s="5" r="W36"/>
      <c s="5" r="X36"/>
      <c s="5" r="Y36"/>
      <c s="5" r="Z36"/>
      <c s="5" r="AA36"/>
      <c s="4" r="AB36"/>
      <c s="5" r="AC36"/>
      <c s="5" r="AD36"/>
      <c s="5" r="AE36"/>
      <c s="5" r="AF36"/>
      <c s="5" r="AG36"/>
      <c s="5" r="AH36"/>
      <c s="5" r="AI36"/>
      <c s="5" r="AJ36"/>
      <c s="5" r="AK36"/>
      <c s="5" r="AL36"/>
      <c s="5" r="AM36"/>
      <c s="5" r="AN36"/>
      <c s="5" r="AO36"/>
      <c s="5" r="AP36"/>
      <c s="5" r="AQ36"/>
      <c s="5" r="AR36"/>
      <c s="5" r="AS36"/>
      <c t="s" s="4" r="AT36">
        <v>242</v>
      </c>
      <c s="5" r="AU36"/>
      <c s="5" r="AV36"/>
      <c s="5" r="AW36"/>
      <c s="5" r="AX36"/>
      <c s="5" r="AY36"/>
      <c s="5" r="AZ36"/>
      <c s="5" r="BA36"/>
      <c s="5" r="BB36"/>
      <c s="5" r="BC36"/>
      <c s="5" r="BD36"/>
      <c s="5" r="BE36"/>
      <c t="s" s="2" r="BF36">
        <v>243</v>
      </c>
      <c s="5" r="BG36"/>
      <c s="5" r="BH36"/>
      <c s="5" r="BI36"/>
      <c s="5" r="BJ36"/>
      <c s="5" r="BK36"/>
    </row>
    <row r="37">
      <c s="5" r="A37"/>
      <c s="5" r="B37"/>
      <c s="5" r="C37"/>
      <c s="5" r="D37"/>
      <c s="5" r="E37"/>
      <c s="5" r="F37"/>
      <c s="5" r="G37"/>
      <c s="5" r="H37"/>
      <c s="5" r="I37"/>
      <c s="5" r="J37"/>
      <c s="5" r="K37"/>
      <c s="5" r="L37"/>
      <c s="5" r="M37"/>
      <c s="5" r="N37"/>
      <c s="5" r="O37"/>
      <c s="5" r="P37"/>
      <c s="5" r="Q37"/>
      <c s="5" r="R37"/>
      <c s="5" r="S37"/>
      <c s="5" r="T37"/>
      <c s="5" r="U37"/>
      <c s="5" r="V37"/>
      <c s="5" r="W37"/>
      <c s="5" r="X37"/>
      <c s="5" r="Y37"/>
      <c s="5" r="Z37"/>
      <c s="5" r="AA37"/>
      <c s="4" r="AB37"/>
      <c s="5" r="AC37"/>
      <c s="5" r="AD37"/>
      <c s="5" r="AE37"/>
      <c s="5" r="AF37"/>
      <c s="5" r="AG37"/>
      <c s="5" r="AH37"/>
      <c s="5" r="AI37"/>
      <c s="5" r="AJ37"/>
      <c s="5" r="AK37"/>
      <c s="5" r="AL37"/>
      <c s="5" r="AM37"/>
      <c s="5" r="AN37"/>
      <c s="5" r="AO37"/>
      <c s="5" r="AP37"/>
      <c s="5" r="AQ37"/>
      <c s="5" r="AR37"/>
      <c s="5" r="AS37"/>
      <c t="s" s="4" r="AT37">
        <v>244</v>
      </c>
      <c s="5" r="AU37"/>
      <c s="5" r="AV37"/>
      <c s="5" r="AW37"/>
      <c s="5" r="AX37"/>
      <c s="5" r="AY37"/>
      <c s="5" r="AZ37"/>
      <c s="5" r="BA37"/>
      <c s="5" r="BB37"/>
      <c s="5" r="BC37"/>
      <c s="5" r="BD37"/>
      <c s="5" r="BE37"/>
      <c t="s" s="2" r="BF37">
        <v>245</v>
      </c>
      <c s="5" r="BG37"/>
      <c s="5" r="BH37"/>
      <c s="5" r="BI37"/>
      <c s="5" r="BJ37"/>
      <c s="5" r="BK37"/>
    </row>
    <row r="38">
      <c s="5" r="A38"/>
      <c s="5" r="B38"/>
      <c s="5" r="C38"/>
      <c s="5" r="D38"/>
      <c s="5" r="E38"/>
      <c s="5" r="F38"/>
      <c s="5" r="G38"/>
      <c s="5" r="H38"/>
      <c s="5" r="I38"/>
      <c s="5" r="J38"/>
      <c s="5" r="K38"/>
      <c s="5" r="L38"/>
      <c s="5" r="M38"/>
      <c s="5" r="N38"/>
      <c s="5" r="O38"/>
      <c s="5" r="P38"/>
      <c s="5" r="Q38"/>
      <c s="5" r="R38"/>
      <c s="5" r="S38"/>
      <c s="5" r="T38"/>
      <c s="5" r="U38"/>
      <c s="5" r="V38"/>
      <c s="5" r="W38"/>
      <c s="5" r="X38"/>
      <c s="5" r="Y38"/>
      <c s="5" r="Z38"/>
      <c s="5" r="AA38"/>
      <c s="4" r="AB38"/>
      <c s="5" r="AC38"/>
      <c s="5" r="AD38"/>
      <c s="5" r="AE38"/>
      <c s="5" r="AF38"/>
      <c s="5" r="AG38"/>
      <c s="5" r="AH38"/>
      <c s="5" r="AI38"/>
      <c s="5" r="AJ38"/>
      <c s="5" r="AK38"/>
      <c s="5" r="AL38"/>
      <c s="5" r="AM38"/>
      <c s="5" r="AN38"/>
      <c s="5" r="AO38"/>
      <c s="5" r="AP38"/>
      <c s="5" r="AQ38"/>
      <c s="5" r="AR38"/>
      <c s="5" r="AS38"/>
      <c t="s" s="4" r="AT38">
        <v>246</v>
      </c>
      <c s="5" r="AU38"/>
      <c s="5" r="AV38"/>
      <c s="5" r="AW38"/>
      <c s="5" r="AX38"/>
      <c s="5" r="AY38"/>
      <c s="5" r="AZ38"/>
      <c s="5" r="BA38"/>
      <c s="5" r="BB38"/>
      <c s="5" r="BC38"/>
      <c s="5" r="BD38"/>
      <c s="5" r="BE38"/>
      <c t="s" s="2" r="BF38">
        <v>247</v>
      </c>
      <c s="5" r="BG38"/>
      <c s="5" r="BH38"/>
      <c s="5" r="BI38"/>
      <c s="5" r="BJ38"/>
      <c s="5" r="BK38"/>
    </row>
    <row r="39">
      <c s="5" r="A39"/>
      <c s="5" r="B39"/>
      <c s="5" r="C39"/>
      <c s="5" r="D39"/>
      <c s="5" r="E39"/>
      <c s="5" r="F39"/>
      <c s="5" r="G39"/>
      <c s="5" r="H39"/>
      <c s="5" r="I39"/>
      <c s="5" r="J39"/>
      <c s="5" r="K39"/>
      <c s="5" r="L39"/>
      <c s="5" r="M39"/>
      <c s="5" r="N39"/>
      <c s="5" r="O39"/>
      <c s="5" r="P39"/>
      <c s="5" r="Q39"/>
      <c s="5" r="R39"/>
      <c s="5" r="S39"/>
      <c s="5" r="T39"/>
      <c s="5" r="U39"/>
      <c s="5" r="V39"/>
      <c s="5" r="W39"/>
      <c s="5" r="X39"/>
      <c s="5" r="Y39"/>
      <c s="5" r="Z39"/>
      <c s="5" r="AA39"/>
      <c s="4" r="AB39"/>
      <c s="5" r="AC39"/>
      <c s="5" r="AD39"/>
      <c s="5" r="AE39"/>
      <c s="5" r="AF39"/>
      <c s="5" r="AG39"/>
      <c s="5" r="AH39"/>
      <c s="5" r="AI39"/>
      <c s="5" r="AJ39"/>
      <c s="5" r="AK39"/>
      <c s="5" r="AL39"/>
      <c s="5" r="AM39"/>
      <c s="5" r="AN39"/>
      <c s="5" r="AO39"/>
      <c s="5" r="AP39"/>
      <c s="5" r="AQ39"/>
      <c s="5" r="AR39"/>
      <c s="5" r="AS39"/>
      <c t="s" s="4" r="AT39">
        <v>248</v>
      </c>
      <c s="5" r="AU39"/>
      <c s="5" r="AV39"/>
      <c s="5" r="AW39"/>
      <c s="5" r="AX39"/>
      <c s="5" r="AY39"/>
      <c s="5" r="AZ39"/>
      <c s="5" r="BA39"/>
      <c s="5" r="BB39"/>
      <c s="5" r="BC39"/>
      <c s="5" r="BD39"/>
      <c s="5" r="BE39"/>
      <c t="s" s="2" r="BF39">
        <v>249</v>
      </c>
      <c s="5" r="BG39"/>
      <c s="5" r="BH39"/>
      <c s="5" r="BI39"/>
      <c s="5" r="BJ39"/>
      <c s="5" r="BK39"/>
    </row>
    <row r="40">
      <c s="5" r="A40"/>
      <c s="5" r="B40"/>
      <c s="5" r="C40"/>
      <c s="5" r="D40"/>
      <c s="5" r="E40"/>
      <c s="5" r="F40"/>
      <c s="5" r="G40"/>
      <c s="5" r="H40"/>
      <c s="5" r="I40"/>
      <c s="5" r="J40"/>
      <c s="5" r="K40"/>
      <c s="5" r="L40"/>
      <c s="5" r="M40"/>
      <c s="5" r="N40"/>
      <c s="5" r="O40"/>
      <c s="5" r="P40"/>
      <c s="5" r="Q40"/>
      <c s="5" r="R40"/>
      <c s="5" r="S40"/>
      <c s="5" r="T40"/>
      <c s="5" r="U40"/>
      <c s="5" r="V40"/>
      <c s="5" r="W40"/>
      <c s="5" r="X40"/>
      <c s="5" r="Y40"/>
      <c s="5" r="Z40"/>
      <c s="5" r="AA40"/>
      <c s="5" r="AB40"/>
      <c s="5" r="AC40"/>
      <c s="5" r="AD40"/>
      <c s="5" r="AE40"/>
      <c s="5" r="AF40"/>
      <c s="5" r="AG40"/>
      <c s="5" r="AH40"/>
      <c s="5" r="AI40"/>
      <c s="5" r="AJ40"/>
      <c s="5" r="AK40"/>
      <c s="5" r="AL40"/>
      <c s="5" r="AM40"/>
      <c s="5" r="AN40"/>
      <c s="5" r="AO40"/>
      <c s="5" r="AP40"/>
      <c s="5" r="AQ40"/>
      <c s="5" r="AR40"/>
      <c s="5" r="AS40"/>
      <c s="5" r="AT40"/>
      <c s="5" r="AU40"/>
      <c s="5" r="AV40"/>
      <c s="5" r="AW40"/>
      <c s="5" r="AX40"/>
      <c s="5" r="AY40"/>
      <c s="5" r="AZ40"/>
      <c s="5" r="BA40"/>
      <c s="5" r="BB40"/>
      <c s="5" r="BC40"/>
      <c s="5" r="BD40"/>
      <c s="5" r="BE40"/>
      <c t="s" s="2" r="BF40">
        <v>250</v>
      </c>
      <c s="5" r="BG40"/>
      <c s="5" r="BH40"/>
      <c s="5" r="BI40"/>
      <c s="5" r="BJ40"/>
      <c s="5" r="BK40"/>
    </row>
    <row r="41">
      <c s="5" r="A41"/>
      <c s="5" r="B41"/>
      <c s="5" r="C41"/>
      <c s="5" r="D41"/>
      <c s="5" r="E41"/>
      <c s="5" r="F41"/>
      <c s="5" r="G41"/>
      <c s="5" r="H41"/>
      <c s="5" r="I41"/>
      <c s="5" r="J41"/>
      <c s="5" r="K41"/>
      <c s="5" r="L41"/>
      <c s="5" r="M41"/>
      <c s="5" r="N41"/>
      <c s="5" r="O41"/>
      <c s="5" r="P41"/>
      <c s="5" r="Q41"/>
      <c s="5" r="R41"/>
      <c s="5" r="S41"/>
      <c s="5" r="T41"/>
      <c s="5" r="U41"/>
      <c s="5" r="V41"/>
      <c s="5" r="W41"/>
      <c s="5" r="X41"/>
      <c s="5" r="Y41"/>
      <c s="5" r="Z41"/>
      <c s="5" r="AA41"/>
      <c s="5" r="AB41"/>
      <c s="5" r="AC41"/>
      <c s="5" r="AD41"/>
      <c s="5" r="AE41"/>
      <c s="5" r="AF41"/>
      <c s="5" r="AG41"/>
      <c s="5" r="AH41"/>
      <c s="5" r="AI41"/>
      <c s="5" r="AJ41"/>
      <c s="5" r="AK41"/>
      <c s="5" r="AL41"/>
      <c s="5" r="AM41"/>
      <c s="5" r="AN41"/>
      <c s="5" r="AO41"/>
      <c s="5" r="AP41"/>
      <c s="5" r="AQ41"/>
      <c s="5" r="AR41"/>
      <c s="5" r="AS41"/>
      <c s="5" r="AT41"/>
      <c s="5" r="AU41"/>
      <c s="5" r="AV41"/>
      <c s="5" r="AW41"/>
      <c s="5" r="AX41"/>
      <c s="5" r="AY41"/>
      <c s="5" r="AZ41"/>
      <c s="5" r="BA41"/>
      <c s="5" r="BB41"/>
      <c s="5" r="BC41"/>
      <c s="5" r="BD41"/>
      <c s="5" r="BE41"/>
      <c t="s" s="2" r="BF41">
        <v>251</v>
      </c>
      <c s="5" r="BG41"/>
      <c s="5" r="BH41"/>
      <c s="5" r="BI41"/>
      <c s="5" r="BJ41"/>
      <c s="5" r="BK41"/>
    </row>
    <row r="42">
      <c s="5" r="A42"/>
      <c s="5" r="B42"/>
      <c s="5" r="C42"/>
      <c s="5" r="D42"/>
      <c s="5" r="E42"/>
      <c s="5" r="F42"/>
      <c s="5" r="G42"/>
      <c s="5" r="H42"/>
      <c s="5" r="I42"/>
      <c s="5" r="J42"/>
      <c s="5" r="K42"/>
      <c s="5" r="L42"/>
      <c s="5" r="M42"/>
      <c s="5" r="N42"/>
      <c s="5" r="O42"/>
      <c s="5" r="P42"/>
      <c s="5" r="Q42"/>
      <c s="5" r="R42"/>
      <c s="5" r="S42"/>
      <c s="5" r="T42"/>
      <c s="5" r="U42"/>
      <c s="5" r="V42"/>
      <c s="5" r="W42"/>
      <c s="5" r="X42"/>
      <c s="5" r="Y42"/>
      <c s="5" r="Z42"/>
      <c s="5" r="AA42"/>
      <c s="5" r="AB42"/>
      <c s="5" r="AC42"/>
      <c s="5" r="AD42"/>
      <c s="5" r="AE42"/>
      <c s="5" r="AF42"/>
      <c s="5" r="AG42"/>
      <c s="5" r="AH42"/>
      <c s="5" r="AI42"/>
      <c s="5" r="AJ42"/>
      <c s="5" r="AK42"/>
      <c s="5" r="AL42"/>
      <c s="5" r="AM42"/>
      <c s="5" r="AN42"/>
      <c s="5" r="AO42"/>
      <c s="5" r="AP42"/>
      <c s="5" r="AQ42"/>
      <c s="5" r="AR42"/>
      <c s="5" r="AS42"/>
      <c s="5" r="AT42"/>
      <c s="5" r="AU42"/>
      <c s="5" r="AV42"/>
      <c s="5" r="AW42"/>
      <c s="5" r="AX42"/>
      <c s="5" r="AY42"/>
      <c s="5" r="AZ42"/>
      <c s="5" r="BA42"/>
      <c s="5" r="BB42"/>
      <c s="5" r="BC42"/>
      <c s="5" r="BD42"/>
      <c s="5" r="BE42"/>
      <c t="s" s="2" r="BF42">
        <v>252</v>
      </c>
      <c s="5" r="BG42"/>
      <c s="5" r="BH42"/>
      <c s="5" r="BI42"/>
      <c s="5" r="BJ42"/>
      <c s="5" r="BK42"/>
    </row>
    <row r="43">
      <c s="5" r="A43"/>
      <c s="5" r="B43"/>
      <c s="5" r="C43"/>
      <c s="5" r="D43"/>
      <c s="5" r="E43"/>
      <c s="5" r="F43"/>
      <c s="5" r="G43"/>
      <c s="5" r="H43"/>
      <c s="5" r="I43"/>
      <c s="5" r="J43"/>
      <c s="5" r="K43"/>
      <c s="5" r="L43"/>
      <c s="5" r="M43"/>
      <c s="5" r="N43"/>
      <c s="5" r="O43"/>
      <c s="5" r="P43"/>
      <c s="5" r="Q43"/>
      <c s="5" r="R43"/>
      <c s="5" r="S43"/>
      <c s="5" r="T43"/>
      <c s="5" r="U43"/>
      <c s="5" r="V43"/>
      <c s="5" r="W43"/>
      <c s="5" r="X43"/>
      <c s="5" r="Y43"/>
      <c s="5" r="Z43"/>
      <c s="5" r="AA43"/>
      <c s="5" r="AB43"/>
      <c s="5" r="AC43"/>
      <c s="5" r="AD43"/>
      <c s="5" r="AE43"/>
      <c s="5" r="AF43"/>
      <c s="5" r="AG43"/>
      <c s="5" r="AH43"/>
      <c s="5" r="AI43"/>
      <c s="5" r="AJ43"/>
      <c s="5" r="AK43"/>
      <c s="5" r="AL43"/>
      <c s="5" r="AM43"/>
      <c s="5" r="AN43"/>
      <c s="5" r="AO43"/>
      <c s="5" r="AP43"/>
      <c s="5" r="AQ43"/>
      <c s="5" r="AR43"/>
      <c s="5" r="AS43"/>
      <c s="5" r="AT43"/>
      <c s="5" r="AU43"/>
      <c s="5" r="AV43"/>
      <c s="5" r="AW43"/>
      <c s="5" r="AX43"/>
      <c s="5" r="AY43"/>
      <c s="5" r="AZ43"/>
      <c s="5" r="BA43"/>
      <c s="5" r="BB43"/>
      <c s="5" r="BC43"/>
      <c s="5" r="BD43"/>
      <c s="5" r="BE43"/>
      <c t="s" s="2" r="BF43">
        <v>253</v>
      </c>
      <c s="5" r="BG43"/>
      <c s="5" r="BH43"/>
      <c s="5" r="BI43"/>
      <c s="5" r="BJ43"/>
      <c s="5" r="BK43"/>
    </row>
    <row r="44">
      <c s="5" r="A44"/>
      <c s="5" r="B44"/>
      <c s="5" r="C44"/>
      <c s="5" r="D44"/>
      <c s="5" r="E44"/>
      <c s="5" r="F44"/>
      <c s="5" r="G44"/>
      <c s="5" r="H44"/>
      <c s="5" r="I44"/>
      <c s="5" r="J44"/>
      <c s="5" r="K44"/>
      <c s="5" r="L44"/>
      <c s="5" r="M44"/>
      <c s="5" r="N44"/>
      <c s="5" r="O44"/>
      <c s="5" r="P44"/>
      <c s="5" r="Q44"/>
      <c s="5" r="R44"/>
      <c s="5" r="S44"/>
      <c s="5" r="T44"/>
      <c s="5" r="U44"/>
      <c s="5" r="V44"/>
      <c s="5" r="W44"/>
      <c s="5" r="X44"/>
      <c s="5" r="Y44"/>
      <c s="5" r="Z44"/>
      <c s="5" r="AA44"/>
      <c s="5" r="AB44"/>
      <c s="5" r="AC44"/>
      <c s="5" r="AD44"/>
      <c s="5" r="AE44"/>
      <c s="5" r="AF44"/>
      <c s="5" r="AG44"/>
      <c s="5" r="AH44"/>
      <c s="5" r="AI44"/>
      <c s="5" r="AJ44"/>
      <c s="5" r="AK44"/>
      <c s="5" r="AL44"/>
      <c s="5" r="AM44"/>
      <c s="5" r="AN44"/>
      <c s="5" r="AO44"/>
      <c s="5" r="AP44"/>
      <c s="5" r="AQ44"/>
      <c s="5" r="AR44"/>
      <c s="5" r="AS44"/>
      <c s="5" r="AT44"/>
      <c s="5" r="AU44"/>
      <c s="5" r="AV44"/>
      <c s="5" r="AW44"/>
      <c s="5" r="AX44"/>
      <c s="5" r="AY44"/>
      <c s="5" r="AZ44"/>
      <c s="5" r="BA44"/>
      <c s="5" r="BB44"/>
      <c s="5" r="BC44"/>
      <c s="5" r="BD44"/>
      <c s="5" r="BE44"/>
      <c t="s" s="2" r="BF44">
        <v>254</v>
      </c>
      <c s="5" r="BG44"/>
      <c s="5" r="BH44"/>
      <c s="5" r="BI44"/>
      <c s="5" r="BJ44"/>
      <c s="5" r="BK44"/>
    </row>
    <row r="45">
      <c s="5" r="A45"/>
      <c s="5" r="B45"/>
      <c s="5" r="C45"/>
      <c s="5" r="D45"/>
      <c s="5" r="E45"/>
      <c s="5" r="F45"/>
      <c s="5" r="G45"/>
      <c s="5" r="H45"/>
      <c s="5" r="I45"/>
      <c s="5" r="J45"/>
      <c s="5" r="K45"/>
      <c s="5" r="L45"/>
      <c s="5" r="M45"/>
      <c s="5" r="N45"/>
      <c s="5" r="O45"/>
      <c s="5" r="P45"/>
      <c s="5" r="Q45"/>
      <c s="5" r="R45"/>
      <c s="5" r="S45"/>
      <c s="5" r="T45"/>
      <c s="5" r="U45"/>
      <c s="5" r="V45"/>
      <c s="5" r="W45"/>
      <c s="5" r="X45"/>
      <c s="5" r="Y45"/>
      <c s="5" r="Z45"/>
      <c s="5" r="AA45"/>
      <c s="5" r="AB45"/>
      <c s="5" r="AC45"/>
      <c s="5" r="AD45"/>
      <c s="5" r="AE45"/>
      <c s="5" r="AF45"/>
      <c s="5" r="AG45"/>
      <c s="5" r="AH45"/>
      <c s="5" r="AI45"/>
      <c s="5" r="AJ45"/>
      <c s="5" r="AK45"/>
      <c s="5" r="AL45"/>
      <c s="5" r="AM45"/>
      <c s="5" r="AN45"/>
      <c s="5" r="AO45"/>
      <c s="5" r="AP45"/>
      <c s="5" r="AQ45"/>
      <c s="5" r="AR45"/>
      <c s="5" r="AS45"/>
      <c s="5" r="AT45"/>
      <c s="5" r="AU45"/>
      <c s="5" r="AV45"/>
      <c s="5" r="AW45"/>
      <c s="5" r="AX45"/>
      <c s="5" r="AY45"/>
      <c s="5" r="AZ45"/>
      <c s="5" r="BA45"/>
      <c s="5" r="BB45"/>
      <c s="5" r="BC45"/>
      <c s="5" r="BD45"/>
      <c s="5" r="BE45"/>
      <c s="5" r="BF45"/>
      <c s="5" r="BG45"/>
      <c s="5" r="BH45"/>
      <c s="5" r="BI45"/>
      <c s="5" r="BJ45"/>
      <c s="5" r="BK45"/>
    </row>
  </sheetData>
  <mergeCells count="1">
    <mergeCell ref="Y4:AA4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14" defaultRowHeight="12.75"/>
  <cols>
    <col min="1" customWidth="1" max="1" style="5" width="45.86"/>
    <col min="2" customWidth="1" max="2" style="5" width="27.43"/>
    <col min="3" customWidth="1" max="3" style="5" width="4.71"/>
    <col min="4" customWidth="1" max="4" style="5" width="11.14"/>
    <col min="5" customWidth="1" max="5" style="5" width="7.86"/>
  </cols>
  <sheetData>
    <row s="5" customFormat="1" r="1">
      <c t="s" s="9" r="A1">
        <v>255</v>
      </c>
      <c t="s" s="9" r="B1">
        <v>256</v>
      </c>
      <c t="s" s="9" r="C1">
        <v>257</v>
      </c>
      <c t="s" s="9" r="D1">
        <v>258</v>
      </c>
      <c s="3" r="E1"/>
      <c s="5" r="F1"/>
    </row>
    <row s="5" customFormat="1" r="2">
      <c t="s" s="9" r="A2">
        <v>62</v>
      </c>
      <c t="s" s="9" r="B2">
        <v>259</v>
      </c>
      <c s="3" r="C2"/>
      <c t="s" s="9" r="D2">
        <v>260</v>
      </c>
      <c s="3" r="E2"/>
      <c s="5" r="F2"/>
    </row>
    <row s="5" customFormat="1" r="3">
      <c t="s" s="9" r="A3">
        <v>60</v>
      </c>
      <c t="s" s="9" r="B3">
        <v>261</v>
      </c>
      <c s="3" r="C3"/>
      <c t="s" s="9" r="D3">
        <v>260</v>
      </c>
      <c s="3" r="E3"/>
      <c s="5" r="F3"/>
    </row>
    <row s="5" customFormat="1" r="4">
      <c t="s" s="9" r="A4">
        <v>53</v>
      </c>
      <c t="s" s="9" r="B4">
        <v>262</v>
      </c>
      <c s="3" r="C4"/>
      <c t="s" s="9" r="D4">
        <v>263</v>
      </c>
      <c s="3" r="E4"/>
      <c s="5" r="F4"/>
    </row>
    <row s="5" customFormat="1" r="5">
      <c t="s" s="9" r="A5">
        <v>61</v>
      </c>
      <c t="s" s="9" r="B5">
        <v>264</v>
      </c>
      <c t="s" s="9" r="C5">
        <v>265</v>
      </c>
      <c t="s" s="9" r="D5">
        <v>266</v>
      </c>
      <c s="3" r="E5"/>
      <c s="5" r="F5"/>
    </row>
    <row s="5" customFormat="1" r="6">
      <c t="s" s="9" r="A6">
        <v>58</v>
      </c>
      <c t="s" s="9" r="B6">
        <v>267</v>
      </c>
      <c t="s" s="9" r="C6">
        <v>268</v>
      </c>
      <c t="s" s="9" r="D6">
        <v>266</v>
      </c>
      <c s="3" r="E6"/>
      <c s="5" r="F6"/>
    </row>
    <row s="5" customFormat="1" r="7">
      <c t="s" s="9" r="A7">
        <v>74</v>
      </c>
      <c t="s" s="9" r="B7">
        <v>269</v>
      </c>
      <c s="9" r="C7"/>
      <c t="s" s="9" r="D7">
        <v>270</v>
      </c>
      <c s="3" r="E7"/>
      <c s="5" r="F7"/>
    </row>
    <row s="5" customFormat="1" r="8">
      <c t="s" s="9" r="A8">
        <v>88</v>
      </c>
      <c t="s" s="9" r="B8">
        <v>271</v>
      </c>
      <c t="s" s="9" r="C8">
        <v>265</v>
      </c>
      <c t="s" s="9" r="D8">
        <v>266</v>
      </c>
      <c s="3" r="E8"/>
      <c s="5" r="F8"/>
    </row>
    <row s="5" customFormat="1" r="9">
      <c t="s" s="9" r="A9">
        <v>55</v>
      </c>
      <c t="s" s="9" r="B9">
        <v>272</v>
      </c>
      <c s="3" r="C9"/>
      <c t="s" s="9" r="D9">
        <v>273</v>
      </c>
      <c s="3" r="E9"/>
      <c s="5" r="F9"/>
    </row>
    <row s="5" customFormat="1" r="10">
      <c t="s" s="9" r="A10">
        <v>84</v>
      </c>
      <c t="s" s="9" r="B10">
        <v>274</v>
      </c>
      <c t="s" s="9" r="C10">
        <v>265</v>
      </c>
      <c t="s" s="9" r="D10">
        <v>266</v>
      </c>
      <c s="3" r="E10"/>
      <c s="5" r="F10"/>
    </row>
    <row s="5" customFormat="1" r="11">
      <c t="s" s="9" r="A11">
        <v>103</v>
      </c>
      <c t="s" s="9" r="B11">
        <v>275</v>
      </c>
      <c t="s" s="9" r="C11">
        <v>265</v>
      </c>
      <c t="s" s="9" r="D11">
        <v>266</v>
      </c>
      <c s="3" r="E11"/>
      <c s="5" r="F11"/>
    </row>
    <row s="5" customFormat="1" r="12">
      <c t="s" s="9" r="A12">
        <v>76</v>
      </c>
      <c t="s" s="9" r="B12">
        <v>276</v>
      </c>
      <c t="s" s="9" r="C12">
        <v>268</v>
      </c>
      <c t="s" s="9" r="D12">
        <v>266</v>
      </c>
      <c s="3" r="E12"/>
      <c s="5" r="F12"/>
    </row>
    <row s="5" customFormat="1" r="13">
      <c t="s" s="9" r="A13">
        <v>277</v>
      </c>
      <c t="s" s="9" r="B13">
        <v>275</v>
      </c>
      <c t="s" s="9" r="C13">
        <v>268</v>
      </c>
      <c t="s" s="9" r="D13">
        <v>266</v>
      </c>
      <c s="3" r="E13"/>
      <c s="5" r="F13"/>
    </row>
    <row r="14">
      <c t="s" s="9" r="A14">
        <v>75</v>
      </c>
      <c t="s" s="9" r="B14">
        <v>278</v>
      </c>
      <c s="9" r="C14"/>
      <c t="s" s="9" r="D14">
        <v>279</v>
      </c>
      <c s="5" r="E14"/>
      <c s="5" r="F14"/>
    </row>
    <row r="15">
      <c t="s" s="9" r="A15">
        <v>86</v>
      </c>
      <c t="s" s="9" r="B15">
        <v>272</v>
      </c>
      <c s="5" r="C15"/>
      <c t="s" s="9" r="D15">
        <v>273</v>
      </c>
      <c s="5" r="E15"/>
      <c s="5" r="F15"/>
    </row>
    <row r="16">
      <c t="s" s="9" r="A16">
        <v>133</v>
      </c>
      <c t="s" s="9" r="B16">
        <v>274</v>
      </c>
      <c t="s" s="9" r="C16">
        <v>280</v>
      </c>
      <c t="s" s="9" r="D16">
        <v>266</v>
      </c>
      <c s="5" r="E16"/>
      <c s="5" r="F16"/>
    </row>
    <row r="17">
      <c t="s" s="9" r="A17">
        <v>147</v>
      </c>
      <c t="s" s="9" r="B17">
        <v>281</v>
      </c>
      <c s="9" r="C17"/>
      <c t="s" s="9" r="D17">
        <v>260</v>
      </c>
      <c s="5" r="E17"/>
      <c s="5" r="F17"/>
    </row>
    <row r="18">
      <c t="s" s="9" r="A18">
        <v>90</v>
      </c>
      <c t="s" s="9" r="B18">
        <v>282</v>
      </c>
      <c s="9" r="C18"/>
      <c t="s" s="9" r="D18">
        <v>260</v>
      </c>
      <c s="5" r="E18"/>
      <c s="5" r="F18"/>
    </row>
    <row s="5" customFormat="1" r="19">
      <c t="s" s="9" r="A19">
        <v>67</v>
      </c>
      <c t="s" s="9" r="B19">
        <v>275</v>
      </c>
      <c t="s" s="9" r="C19">
        <v>280</v>
      </c>
      <c t="s" s="9" r="D19">
        <v>266</v>
      </c>
      <c s="3" r="E19"/>
      <c s="5" r="F19"/>
    </row>
    <row s="5" customFormat="1" r="20">
      <c t="s" s="9" r="A20">
        <v>81</v>
      </c>
      <c s="5" r="B20"/>
      <c t="s" s="9" r="C20">
        <v>283</v>
      </c>
      <c t="s" s="9" r="D20">
        <v>266</v>
      </c>
      <c s="3" r="E20"/>
      <c s="5" r="F20"/>
    </row>
    <row s="5" customFormat="1" r="21">
      <c t="s" s="9" r="A21">
        <v>157</v>
      </c>
      <c t="s" s="9" r="B21">
        <v>284</v>
      </c>
      <c t="s" s="9" r="C21">
        <v>283</v>
      </c>
      <c t="s" s="9" r="D21">
        <v>266</v>
      </c>
      <c s="3" r="E21"/>
      <c s="5" r="F21"/>
    </row>
    <row s="5" customFormat="1" r="22">
      <c t="s" s="9" r="A22">
        <v>166</v>
      </c>
      <c t="s" s="9" r="B22">
        <v>285</v>
      </c>
      <c t="s" s="9" r="C22">
        <v>283</v>
      </c>
      <c t="s" s="9" r="D22">
        <v>266</v>
      </c>
      <c s="3" r="E22"/>
      <c s="5" r="F22"/>
    </row>
    <row s="5" customFormat="1" r="23">
      <c t="s" s="9" r="A23">
        <v>105</v>
      </c>
      <c t="s" s="9" r="B23">
        <v>286</v>
      </c>
      <c s="5" r="C23"/>
      <c t="s" s="9" r="D23">
        <v>260</v>
      </c>
      <c s="3" r="E23"/>
      <c s="5" r="F23"/>
    </row>
    <row s="5" customFormat="1" r="24">
      <c t="s" s="9" r="A24">
        <v>83</v>
      </c>
      <c t="s" s="9" r="B24">
        <v>286</v>
      </c>
      <c s="5" r="C24"/>
      <c t="s" s="9" r="D24">
        <v>260</v>
      </c>
      <c s="3" r="E24"/>
      <c s="5" r="F24"/>
    </row>
    <row s="5" customFormat="1" r="25">
      <c t="s" s="9" r="A25">
        <v>119</v>
      </c>
      <c t="s" s="9" r="B25">
        <v>281</v>
      </c>
      <c s="5" r="C25"/>
      <c t="s" s="9" r="D25">
        <v>260</v>
      </c>
      <c s="3" r="E25"/>
      <c s="5" r="F25"/>
    </row>
    <row s="5" customFormat="1" r="26">
      <c t="s" s="9" r="A26">
        <v>98</v>
      </c>
      <c t="s" s="9" r="B26">
        <v>259</v>
      </c>
      <c s="5" r="C26"/>
      <c t="s" s="9" r="D26">
        <v>260</v>
      </c>
      <c s="3" r="E26"/>
      <c s="5" r="F26"/>
    </row>
    <row r="27">
      <c t="s" s="9" r="A27">
        <v>113</v>
      </c>
      <c t="s" s="9" r="B27">
        <v>287</v>
      </c>
      <c s="5" r="C27"/>
      <c t="s" s="9" r="D27">
        <v>260</v>
      </c>
      <c s="5" r="E27"/>
      <c s="5" r="F27"/>
    </row>
    <row r="28">
      <c t="s" s="9" r="A28">
        <v>135</v>
      </c>
      <c t="s" s="9" r="B28">
        <v>288</v>
      </c>
      <c s="5" r="C28"/>
      <c t="s" s="9" r="D28">
        <v>260</v>
      </c>
      <c s="5" r="E28"/>
      <c s="5" r="F28"/>
    </row>
    <row s="5" customFormat="1" r="29">
      <c t="s" s="9" r="A29">
        <v>80</v>
      </c>
      <c t="s" s="9" r="B29">
        <v>289</v>
      </c>
      <c s="5" r="C29"/>
      <c t="s" s="9" r="D29">
        <v>290</v>
      </c>
      <c s="5" r="E29"/>
      <c s="5" r="F29"/>
    </row>
    <row s="5" customFormat="1" r="30">
      <c t="s" s="9" r="A30">
        <v>94</v>
      </c>
      <c t="s" s="9" r="B30">
        <v>281</v>
      </c>
      <c s="5" r="C30"/>
      <c t="s" s="9" r="D30">
        <v>260</v>
      </c>
      <c s="5" r="E30"/>
      <c s="5" r="F30"/>
    </row>
    <row s="5" customFormat="1" r="31">
      <c t="s" s="9" r="A31">
        <v>93</v>
      </c>
      <c t="s" s="9" r="B31">
        <v>291</v>
      </c>
      <c t="s" s="9" r="C31">
        <v>280</v>
      </c>
      <c t="s" s="9" r="D31">
        <v>266</v>
      </c>
      <c s="5" r="E31"/>
      <c s="5" r="F31"/>
    </row>
    <row s="5" customFormat="1" r="32">
      <c t="s" s="9" r="A32">
        <v>56</v>
      </c>
      <c t="s" s="9" r="B32">
        <v>262</v>
      </c>
      <c t="s" s="9" r="C32">
        <v>280</v>
      </c>
      <c t="s" s="9" r="D32">
        <v>266</v>
      </c>
      <c s="5" r="E32"/>
      <c s="5" r="F32"/>
    </row>
    <row r="33">
      <c t="s" s="9" r="A33">
        <v>125</v>
      </c>
      <c t="s" s="9" r="B33">
        <v>292</v>
      </c>
      <c t="s" s="9" r="C33">
        <v>293</v>
      </c>
      <c t="s" s="9" r="D33">
        <v>266</v>
      </c>
      <c s="5" r="E33"/>
      <c s="5" r="F33"/>
    </row>
    <row r="34">
      <c t="s" s="9" r="A34">
        <v>106</v>
      </c>
      <c t="s" s="9" r="B34">
        <v>271</v>
      </c>
      <c t="s" s="9" r="C34">
        <v>294</v>
      </c>
      <c t="s" s="9" r="D34">
        <v>266</v>
      </c>
      <c s="5" r="E34"/>
      <c s="5" r="F34"/>
    </row>
    <row s="5" customFormat="1" r="35">
      <c t="s" s="9" r="A35">
        <v>138</v>
      </c>
      <c t="s" s="9" r="B35">
        <v>276</v>
      </c>
      <c t="s" s="9" r="C35">
        <v>294</v>
      </c>
      <c t="s" s="9" r="D35">
        <v>266</v>
      </c>
      <c s="5" r="E35"/>
      <c s="5" r="F35"/>
    </row>
    <row s="5" customFormat="1" r="36">
      <c t="s" s="9" r="A36">
        <v>167</v>
      </c>
      <c t="s" s="9" r="B36">
        <v>275</v>
      </c>
      <c t="s" s="9" r="C36">
        <v>283</v>
      </c>
      <c t="s" s="9" r="D36">
        <v>266</v>
      </c>
      <c s="5" r="E36"/>
      <c s="5" r="F36"/>
    </row>
    <row s="5" customFormat="1" r="37">
      <c t="s" s="9" r="A37">
        <v>130</v>
      </c>
      <c t="s" s="9" r="B37">
        <v>295</v>
      </c>
      <c t="s" s="9" r="C37">
        <v>296</v>
      </c>
      <c t="s" s="9" r="D37">
        <v>266</v>
      </c>
      <c s="5" r="E37"/>
      <c s="5" r="F37"/>
    </row>
    <row s="5" customFormat="1" r="38">
      <c t="s" s="9" r="A38">
        <v>71</v>
      </c>
      <c t="s" s="9" r="B38">
        <v>297</v>
      </c>
      <c t="s" s="9" r="C38">
        <v>296</v>
      </c>
      <c t="s" s="9" r="D38">
        <v>266</v>
      </c>
      <c s="5" r="E38"/>
      <c s="5" r="F38"/>
    </row>
    <row s="5" customFormat="1" r="39">
      <c t="s" s="9" r="A39">
        <v>57</v>
      </c>
      <c t="s" s="9" r="B39">
        <v>271</v>
      </c>
      <c t="s" s="9" r="C39">
        <v>296</v>
      </c>
      <c t="s" s="9" r="D39">
        <v>266</v>
      </c>
      <c s="5" r="E39"/>
      <c s="5" r="F39"/>
    </row>
    <row s="5" customFormat="1" r="40">
      <c t="s" s="9" r="A40">
        <v>152</v>
      </c>
      <c t="s" s="9" r="B40">
        <v>298</v>
      </c>
      <c t="s" s="9" r="C40">
        <v>296</v>
      </c>
      <c t="s" s="9" r="D40">
        <v>266</v>
      </c>
      <c s="5" r="E40"/>
      <c s="5" r="F40"/>
    </row>
    <row r="41">
      <c t="s" s="9" r="A41">
        <v>176</v>
      </c>
      <c t="s" s="9" r="B41">
        <v>276</v>
      </c>
      <c t="s" s="9" r="C41">
        <v>268</v>
      </c>
      <c t="s" s="9" r="D41">
        <v>266</v>
      </c>
      <c s="5" r="E41"/>
      <c s="5" r="F41"/>
    </row>
    <row r="42">
      <c t="s" s="9" r="A42">
        <v>120</v>
      </c>
      <c t="s" s="9" r="B42">
        <v>269</v>
      </c>
      <c s="9" r="C42"/>
      <c t="s" s="9" r="D42">
        <v>270</v>
      </c>
      <c s="5" r="E42"/>
      <c s="5" r="F42"/>
    </row>
    <row r="43">
      <c t="s" s="9" r="A43">
        <v>128</v>
      </c>
      <c t="s" s="9" r="B43">
        <v>299</v>
      </c>
      <c t="s" s="9" r="C43">
        <v>293</v>
      </c>
      <c t="s" s="9" r="D43">
        <v>266</v>
      </c>
      <c s="5" r="E43"/>
      <c s="5" r="F43"/>
    </row>
    <row r="44">
      <c t="s" s="9" r="A44">
        <v>177</v>
      </c>
      <c t="s" s="9" r="B44">
        <v>298</v>
      </c>
      <c t="s" s="9" r="C44">
        <v>293</v>
      </c>
      <c t="s" s="9" r="D44">
        <v>266</v>
      </c>
      <c s="5" r="E44"/>
      <c s="5" r="F44"/>
    </row>
    <row r="45">
      <c t="s" s="9" r="A45">
        <v>97</v>
      </c>
      <c t="s" s="9" r="B45">
        <v>300</v>
      </c>
      <c t="s" s="9" r="C45">
        <v>265</v>
      </c>
      <c t="s" s="9" r="D45">
        <v>266</v>
      </c>
      <c s="5" r="E45"/>
      <c s="5" r="F45"/>
    </row>
    <row r="46">
      <c t="s" s="9" r="A46">
        <v>72</v>
      </c>
      <c t="s" s="9" r="B46">
        <v>301</v>
      </c>
      <c s="5" r="C46"/>
      <c t="s" s="9" r="D46">
        <v>302</v>
      </c>
      <c s="5" r="E46"/>
      <c s="5" r="F46"/>
    </row>
    <row r="47">
      <c t="s" s="9" r="A47">
        <v>115</v>
      </c>
      <c t="s" s="9" r="B47">
        <v>278</v>
      </c>
      <c s="5" r="C47"/>
      <c t="s" s="9" r="D47">
        <v>302</v>
      </c>
      <c s="5" r="E47"/>
      <c s="5" r="F47"/>
    </row>
    <row r="48">
      <c t="s" s="9" r="A48">
        <v>102</v>
      </c>
      <c t="s" s="9" r="B48">
        <v>303</v>
      </c>
      <c t="s" s="9" r="C48">
        <v>304</v>
      </c>
      <c t="s" s="9" r="D48">
        <v>266</v>
      </c>
      <c s="5" r="E48"/>
      <c s="5" r="F48"/>
    </row>
    <row r="49">
      <c t="s" s="9" r="A49">
        <v>87</v>
      </c>
      <c t="s" s="9" r="B49">
        <v>282</v>
      </c>
      <c s="3" r="C49"/>
      <c t="s" s="9" r="D49">
        <v>260</v>
      </c>
      <c s="5" r="E49"/>
      <c s="5" r="F49"/>
    </row>
    <row r="50">
      <c t="s" s="9" r="A50">
        <v>64</v>
      </c>
      <c t="s" s="9" r="B50">
        <v>305</v>
      </c>
      <c t="s" s="9" r="C50">
        <v>293</v>
      </c>
      <c t="s" s="9" r="D50">
        <v>266</v>
      </c>
      <c s="5" r="E50"/>
      <c s="5" r="F50"/>
    </row>
    <row r="51">
      <c t="s" s="9" r="A51">
        <v>78</v>
      </c>
      <c t="s" s="9" r="B51">
        <v>306</v>
      </c>
      <c t="s" s="9" r="C51">
        <v>293</v>
      </c>
      <c t="s" s="9" r="D51">
        <v>266</v>
      </c>
      <c s="5" r="E51"/>
      <c s="5" r="F51"/>
    </row>
    <row r="52">
      <c t="s" s="9" r="A52">
        <v>63</v>
      </c>
      <c t="s" s="9" r="B52">
        <v>307</v>
      </c>
      <c t="s" s="9" r="C52">
        <v>293</v>
      </c>
      <c t="s" s="9" r="D52">
        <v>266</v>
      </c>
      <c s="5" r="E52"/>
      <c s="5" r="F52"/>
    </row>
    <row r="53">
      <c t="s" s="9" r="A53">
        <v>108</v>
      </c>
      <c t="s" s="9" r="B53">
        <v>308</v>
      </c>
      <c t="s" s="9" r="C53">
        <v>293</v>
      </c>
      <c t="s" s="9" r="D53">
        <v>266</v>
      </c>
      <c s="5" r="E53"/>
      <c s="5" r="F53"/>
    </row>
    <row r="54">
      <c t="s" s="9" r="A54">
        <v>122</v>
      </c>
      <c t="s" s="9" r="B54">
        <v>291</v>
      </c>
      <c t="s" s="9" r="C54">
        <v>293</v>
      </c>
      <c t="s" s="9" r="D54">
        <v>266</v>
      </c>
      <c s="5" r="E54"/>
      <c s="5" r="F54"/>
    </row>
    <row r="55">
      <c t="s" s="9" r="A55">
        <v>91</v>
      </c>
      <c t="s" s="9" r="B55">
        <v>309</v>
      </c>
      <c t="s" s="9" r="C55">
        <v>293</v>
      </c>
      <c t="s" s="9" r="D55">
        <v>266</v>
      </c>
      <c s="5" r="E55"/>
      <c s="5" r="F55"/>
    </row>
    <row r="56">
      <c t="s" s="9" r="A56">
        <v>77</v>
      </c>
      <c t="s" s="9" r="B56">
        <v>310</v>
      </c>
      <c t="s" s="9" r="C56">
        <v>293</v>
      </c>
      <c t="s" s="9" r="D56">
        <v>266</v>
      </c>
      <c s="5" r="E56"/>
      <c s="5" r="F56"/>
    </row>
    <row r="57">
      <c t="s" s="9" r="A57">
        <v>107</v>
      </c>
      <c t="s" s="9" r="B57">
        <v>311</v>
      </c>
      <c t="s" s="9" r="C57">
        <v>293</v>
      </c>
      <c t="s" s="9" r="D57">
        <v>266</v>
      </c>
      <c s="5" r="E57"/>
      <c s="5" r="F57"/>
    </row>
    <row r="58">
      <c t="s" s="9" r="A58">
        <v>121</v>
      </c>
      <c t="s" s="9" r="B58">
        <v>306</v>
      </c>
      <c t="s" s="9" r="C58">
        <v>293</v>
      </c>
      <c t="s" s="9" r="D58">
        <v>266</v>
      </c>
      <c s="5" r="E58"/>
      <c s="5" r="F58"/>
    </row>
    <row r="59">
      <c t="s" s="9" r="A59">
        <v>136</v>
      </c>
      <c t="s" s="9" r="B59">
        <v>312</v>
      </c>
      <c t="s" s="9" r="C59">
        <v>293</v>
      </c>
      <c t="s" s="9" r="D59">
        <v>266</v>
      </c>
      <c s="5" r="E59"/>
      <c s="5" r="F59"/>
    </row>
    <row r="60">
      <c t="s" s="9" r="A60">
        <v>149</v>
      </c>
      <c t="s" s="9" r="B60">
        <v>313</v>
      </c>
      <c t="s" s="9" r="C60">
        <v>293</v>
      </c>
      <c t="s" s="9" r="D60">
        <v>266</v>
      </c>
      <c s="5" r="E60"/>
      <c s="5" r="F60"/>
    </row>
    <row r="61">
      <c t="s" s="9" r="A61">
        <v>159</v>
      </c>
      <c t="s" s="9" r="B61">
        <v>314</v>
      </c>
      <c t="s" s="9" r="C61">
        <v>293</v>
      </c>
      <c t="s" s="9" r="D61">
        <v>266</v>
      </c>
      <c s="5" r="E61"/>
      <c s="5" r="F61"/>
    </row>
    <row r="62">
      <c t="s" s="9" r="A62">
        <v>169</v>
      </c>
      <c t="s" s="9" r="B62">
        <v>315</v>
      </c>
      <c t="s" s="9" r="C62">
        <v>293</v>
      </c>
      <c t="s" s="9" r="D62">
        <v>266</v>
      </c>
      <c s="5" r="E62"/>
      <c s="5" r="F62"/>
    </row>
    <row r="63">
      <c t="s" s="9" r="A63">
        <v>179</v>
      </c>
      <c t="s" s="9" r="B63">
        <v>292</v>
      </c>
      <c t="s" s="9" r="C63">
        <v>293</v>
      </c>
      <c t="s" s="9" r="D63">
        <v>266</v>
      </c>
      <c s="5" r="E63"/>
      <c s="5" r="F63"/>
    </row>
    <row r="64">
      <c t="s" s="9" r="A64">
        <v>180</v>
      </c>
      <c t="s" s="9" r="B64">
        <v>316</v>
      </c>
      <c t="s" s="9" r="C64">
        <v>293</v>
      </c>
      <c t="s" s="9" r="D64">
        <v>266</v>
      </c>
      <c s="5" r="E64"/>
      <c s="5" r="F64"/>
    </row>
    <row s="5" customFormat="1" r="65">
      <c t="s" s="9" r="A65">
        <v>182</v>
      </c>
      <c t="s" s="9" r="B65">
        <v>317</v>
      </c>
      <c t="s" s="9" r="C65">
        <v>293</v>
      </c>
      <c t="s" s="9" r="D65">
        <v>266</v>
      </c>
      <c s="3" r="E65"/>
      <c s="5" r="F65"/>
    </row>
    <row r="66">
      <c t="s" s="9" r="A66">
        <v>164</v>
      </c>
      <c t="s" s="9" r="B66">
        <v>305</v>
      </c>
      <c t="s" s="9" r="C66">
        <v>265</v>
      </c>
      <c t="s" s="9" r="D66">
        <v>266</v>
      </c>
      <c s="5" r="E66"/>
      <c s="5" r="F66"/>
    </row>
    <row s="5" customFormat="1" r="67">
      <c t="s" s="9" r="A67">
        <v>193</v>
      </c>
      <c t="s" s="9" r="B67">
        <v>306</v>
      </c>
      <c t="s" s="9" r="C67">
        <v>293</v>
      </c>
      <c t="s" s="9" r="D67">
        <v>266</v>
      </c>
      <c s="3" r="E67"/>
      <c s="5" r="F67"/>
    </row>
    <row r="68">
      <c t="s" s="9" r="A68">
        <v>170</v>
      </c>
      <c t="s" s="9" r="B68">
        <v>311</v>
      </c>
      <c t="s" s="9" r="C68">
        <v>293</v>
      </c>
      <c t="s" s="9" r="D68">
        <v>266</v>
      </c>
      <c s="5" r="E68"/>
      <c s="5" r="F68"/>
    </row>
    <row s="5" customFormat="1" r="69">
      <c t="s" s="9" r="A69">
        <v>158</v>
      </c>
      <c t="s" s="9" r="B69">
        <v>300</v>
      </c>
      <c t="s" s="9" r="C69">
        <v>293</v>
      </c>
      <c t="s" s="9" r="D69">
        <v>266</v>
      </c>
      <c s="3" r="E69"/>
      <c s="5" r="F69"/>
    </row>
    <row r="70">
      <c t="s" s="9" r="A70">
        <v>112</v>
      </c>
      <c t="s" s="9" r="B70">
        <v>291</v>
      </c>
      <c t="s" s="9" r="C70">
        <v>293</v>
      </c>
      <c t="s" s="9" r="D70">
        <v>266</v>
      </c>
      <c s="5" r="E70"/>
      <c s="5" r="F70"/>
    </row>
    <row r="71">
      <c t="s" s="9" r="A71">
        <v>100</v>
      </c>
      <c t="s" s="9" r="B71">
        <v>318</v>
      </c>
      <c t="s" s="9" r="C71">
        <v>319</v>
      </c>
      <c t="s" s="9" r="D71">
        <v>266</v>
      </c>
      <c s="5" r="E71"/>
      <c s="5" r="F71"/>
    </row>
    <row s="5" customFormat="1" r="72">
      <c t="s" s="9" r="A72">
        <v>168</v>
      </c>
      <c t="s" s="9" r="B72">
        <v>320</v>
      </c>
      <c s="3" r="C72"/>
      <c t="s" s="9" r="D72">
        <v>260</v>
      </c>
      <c s="3" r="E72"/>
      <c s="5" r="F72"/>
    </row>
    <row r="73">
      <c t="s" s="9" r="A73">
        <v>127</v>
      </c>
      <c t="s" s="9" r="B73">
        <v>320</v>
      </c>
      <c s="3" r="C73"/>
      <c t="s" s="9" r="D73">
        <v>260</v>
      </c>
      <c s="5" r="E73"/>
      <c s="5" r="F73"/>
    </row>
    <row r="74">
      <c t="s" s="9" r="A74">
        <v>178</v>
      </c>
      <c t="s" s="9" r="B74">
        <v>300</v>
      </c>
      <c t="s" s="9" r="C74">
        <v>265</v>
      </c>
      <c t="s" s="9" r="D74">
        <v>266</v>
      </c>
      <c s="5" r="E74"/>
      <c s="5" r="F74"/>
    </row>
    <row r="75">
      <c t="s" s="9" r="A75">
        <v>151</v>
      </c>
      <c t="s" s="9" r="B75">
        <v>276</v>
      </c>
      <c t="s" s="9" r="C75">
        <v>321</v>
      </c>
      <c t="s" s="9" r="D75">
        <v>266</v>
      </c>
      <c s="5" r="E75"/>
      <c s="5" r="F75"/>
    </row>
    <row r="76">
      <c t="s" s="9" r="A76">
        <v>173</v>
      </c>
      <c t="s" s="9" r="B76">
        <v>322</v>
      </c>
      <c t="s" s="9" r="C76">
        <v>321</v>
      </c>
      <c t="s" s="9" r="D76">
        <v>266</v>
      </c>
      <c s="5" r="E76"/>
      <c s="5" r="F76"/>
    </row>
    <row r="77">
      <c t="s" s="9" r="A77">
        <v>118</v>
      </c>
      <c t="s" s="9" r="B77">
        <v>271</v>
      </c>
      <c t="s" s="9" r="C77">
        <v>321</v>
      </c>
      <c t="s" s="9" r="D77">
        <v>266</v>
      </c>
      <c s="5" r="E77"/>
      <c s="5" r="F77"/>
    </row>
    <row r="78">
      <c t="s" s="9" r="A78">
        <v>66</v>
      </c>
      <c t="s" s="9" r="B78">
        <v>323</v>
      </c>
      <c t="s" s="9" r="C78">
        <v>293</v>
      </c>
      <c t="s" s="9" r="D78">
        <v>266</v>
      </c>
      <c s="5" r="E78"/>
      <c s="5" r="F78"/>
    </row>
    <row r="79">
      <c t="s" s="9" r="A79">
        <v>79</v>
      </c>
      <c t="s" s="9" r="B79">
        <v>269</v>
      </c>
      <c t="s" s="9" r="C79">
        <v>293</v>
      </c>
      <c t="s" s="9" r="D79">
        <v>266</v>
      </c>
      <c s="5" r="E79"/>
      <c s="5" r="F79"/>
    </row>
    <row r="80">
      <c t="s" s="9" r="A80">
        <v>92</v>
      </c>
      <c t="s" s="9" r="B80">
        <v>312</v>
      </c>
      <c t="s" s="9" r="C80">
        <v>293</v>
      </c>
      <c t="s" s="9" r="D80">
        <v>266</v>
      </c>
      <c s="5" r="E80"/>
      <c s="5" r="F80"/>
    </row>
    <row r="81">
      <c t="s" s="9" r="A81">
        <v>109</v>
      </c>
      <c t="s" s="9" r="B81">
        <v>324</v>
      </c>
      <c t="s" s="9" r="C81">
        <v>293</v>
      </c>
      <c t="s" s="9" r="D81">
        <v>266</v>
      </c>
      <c s="5" r="E81"/>
      <c s="5" r="F81"/>
    </row>
    <row r="82">
      <c t="s" s="9" r="A82">
        <v>124</v>
      </c>
      <c t="s" s="9" r="B82">
        <v>271</v>
      </c>
      <c t="s" s="9" r="C82">
        <v>293</v>
      </c>
      <c t="s" s="9" r="D82">
        <v>266</v>
      </c>
      <c s="5" r="E82"/>
      <c s="5" r="F82"/>
    </row>
    <row r="83">
      <c t="s" s="9" r="A83">
        <v>123</v>
      </c>
      <c t="s" s="9" r="B83">
        <v>298</v>
      </c>
      <c t="s" s="9" r="C83">
        <v>293</v>
      </c>
      <c t="s" s="9" r="D83">
        <v>266</v>
      </c>
      <c s="5" r="E83"/>
      <c s="5" r="F83"/>
    </row>
    <row r="84">
      <c t="s" s="9" r="A84">
        <v>137</v>
      </c>
      <c s="5" r="B84"/>
      <c t="s" s="9" r="C84">
        <v>293</v>
      </c>
      <c t="s" s="9" r="D84">
        <v>266</v>
      </c>
      <c s="5" r="E84"/>
      <c s="5" r="F84"/>
    </row>
    <row r="85">
      <c t="s" s="9" r="A85">
        <v>150</v>
      </c>
      <c t="s" s="9" r="B85">
        <v>325</v>
      </c>
      <c t="s" s="9" r="C85">
        <v>293</v>
      </c>
      <c t="s" s="9" r="D85">
        <v>266</v>
      </c>
      <c s="5" r="E85"/>
      <c s="5" r="F85"/>
    </row>
    <row r="86">
      <c t="s" s="9" r="A86">
        <v>160</v>
      </c>
      <c t="s" s="9" r="B86">
        <v>271</v>
      </c>
      <c t="s" s="9" r="C86">
        <v>293</v>
      </c>
      <c t="s" s="9" r="D86">
        <v>266</v>
      </c>
      <c s="5" r="E86"/>
      <c s="5" r="F86"/>
    </row>
    <row r="87">
      <c t="s" s="1" r="A87">
        <v>161</v>
      </c>
      <c t="s" s="9" r="B87">
        <v>306</v>
      </c>
      <c t="s" s="9" r="C87">
        <v>293</v>
      </c>
      <c t="s" s="9" r="D87">
        <v>266</v>
      </c>
      <c s="5" r="E87"/>
      <c s="5" r="F87"/>
    </row>
    <row s="5" customFormat="1" r="88">
      <c t="s" s="9" r="A88">
        <v>162</v>
      </c>
      <c t="s" s="9" r="B88">
        <v>262</v>
      </c>
      <c t="s" s="9" r="C88">
        <v>326</v>
      </c>
      <c t="s" s="9" r="D88">
        <v>266</v>
      </c>
      <c s="3" r="E88"/>
      <c s="5" r="F88"/>
    </row>
    <row s="5" customFormat="1" r="89">
      <c t="s" s="9" r="A89">
        <v>101</v>
      </c>
      <c t="s" s="9" r="B89">
        <v>262</v>
      </c>
      <c t="s" s="9" r="C89">
        <v>319</v>
      </c>
      <c t="s" s="9" r="D89">
        <v>266</v>
      </c>
      <c s="3" r="E89"/>
      <c s="5" r="F89"/>
    </row>
    <row s="5" customFormat="1" r="90">
      <c t="s" s="9" r="A90">
        <v>132</v>
      </c>
      <c t="s" s="9" r="B90">
        <v>327</v>
      </c>
      <c s="3" r="C90"/>
      <c t="s" s="9" r="D90">
        <v>273</v>
      </c>
      <c s="3" r="E90"/>
      <c s="5" r="F90"/>
    </row>
    <row s="5" customFormat="1" r="91">
      <c t="s" s="9" r="A91">
        <v>199</v>
      </c>
      <c t="s" s="9" r="B91">
        <v>328</v>
      </c>
      <c t="s" s="9" r="C91">
        <v>265</v>
      </c>
      <c t="s" s="9" r="D91">
        <v>266</v>
      </c>
      <c s="3" r="E91"/>
      <c s="5" r="F91"/>
    </row>
    <row s="5" customFormat="1" r="92">
      <c t="s" s="9" r="A92">
        <v>186</v>
      </c>
      <c t="s" s="9" r="B92">
        <v>297</v>
      </c>
      <c t="s" s="9" r="C92">
        <v>283</v>
      </c>
      <c t="s" s="9" r="D92">
        <v>266</v>
      </c>
      <c s="3" r="E92"/>
      <c s="5" r="F92"/>
    </row>
    <row s="5" customFormat="1" r="93">
      <c t="s" s="9" r="A93">
        <v>141</v>
      </c>
      <c t="s" s="9" r="B93">
        <v>329</v>
      </c>
      <c s="5" r="C93"/>
      <c t="s" s="9" r="D93">
        <v>270</v>
      </c>
      <c s="3" r="E93"/>
      <c s="5" r="F93"/>
    </row>
    <row s="5" customFormat="1" r="94">
      <c t="s" s="9" r="A94">
        <v>184</v>
      </c>
      <c t="s" s="9" r="B94">
        <v>330</v>
      </c>
      <c t="s" s="9" r="C94">
        <v>293</v>
      </c>
      <c t="s" s="9" r="D94">
        <v>266</v>
      </c>
      <c s="3" r="E94"/>
      <c s="5" r="F94"/>
    </row>
    <row r="95">
      <c t="s" s="9" r="A95">
        <v>205</v>
      </c>
      <c t="s" s="9" r="B95">
        <v>331</v>
      </c>
      <c s="5" r="C95"/>
      <c t="s" s="9" r="D95">
        <v>332</v>
      </c>
      <c s="5" r="E95"/>
      <c s="5" r="F95"/>
    </row>
    <row r="96">
      <c t="s" s="9" r="A96">
        <v>333</v>
      </c>
      <c t="s" s="9" r="B96">
        <v>313</v>
      </c>
      <c t="s" s="9" r="C96">
        <v>296</v>
      </c>
      <c t="s" s="9" r="D96">
        <v>266</v>
      </c>
      <c s="5" r="E96"/>
      <c s="5" r="F96"/>
    </row>
    <row r="97">
      <c t="s" s="9" r="A97">
        <v>188</v>
      </c>
      <c t="s" s="9" r="B97">
        <v>334</v>
      </c>
      <c t="s" s="9" r="C97">
        <v>296</v>
      </c>
      <c t="s" s="9" r="D97">
        <v>266</v>
      </c>
      <c s="5" r="E97"/>
      <c s="5" r="F97"/>
    </row>
    <row s="5" customFormat="1" r="98">
      <c t="s" s="9" r="A98">
        <v>191</v>
      </c>
      <c t="s" s="9" r="B98">
        <v>291</v>
      </c>
      <c t="s" s="9" r="C98">
        <v>296</v>
      </c>
      <c t="s" s="9" r="D98">
        <v>266</v>
      </c>
      <c s="3" r="E98"/>
      <c s="5" r="F98"/>
    </row>
    <row r="99">
      <c t="s" s="9" r="A99">
        <v>154</v>
      </c>
      <c t="s" s="9" r="B99">
        <v>335</v>
      </c>
      <c t="s" s="9" r="C99">
        <v>336</v>
      </c>
      <c t="s" s="9" r="D99">
        <v>266</v>
      </c>
      <c s="5" r="E99"/>
      <c s="5" r="F99"/>
    </row>
    <row s="5" customFormat="1" r="100">
      <c t="s" s="9" r="A100">
        <v>143</v>
      </c>
      <c t="s" s="9" r="B100">
        <v>289</v>
      </c>
      <c t="s" s="9" r="C100">
        <v>304</v>
      </c>
      <c t="s" s="9" r="D100">
        <v>266</v>
      </c>
      <c s="3" r="E100"/>
      <c s="5" r="F100"/>
    </row>
    <row s="5" customFormat="1" r="101">
      <c t="s" s="9" r="A101">
        <v>89</v>
      </c>
      <c t="s" s="9" r="B101">
        <v>322</v>
      </c>
      <c t="s" s="9" r="C101">
        <v>304</v>
      </c>
      <c t="s" s="9" r="D101">
        <v>266</v>
      </c>
      <c s="3" r="E101"/>
      <c s="5" r="F101"/>
    </row>
    <row r="102">
      <c t="s" s="9" r="A102">
        <v>146</v>
      </c>
      <c t="s" s="9" r="B102">
        <v>306</v>
      </c>
      <c t="s" s="9" r="C102">
        <v>265</v>
      </c>
      <c t="s" s="9" r="D102">
        <v>266</v>
      </c>
      <c s="5" r="E102"/>
      <c s="5" r="F102"/>
    </row>
    <row r="103">
      <c t="s" s="9" r="A103">
        <v>172</v>
      </c>
      <c t="s" s="9" r="B103">
        <v>298</v>
      </c>
      <c t="s" s="9" r="C103">
        <v>265</v>
      </c>
      <c t="s" s="9" r="D103">
        <v>266</v>
      </c>
      <c s="5" r="E103"/>
      <c s="5" r="F103"/>
    </row>
    <row s="5" customFormat="1" r="104">
      <c t="s" s="9" r="A104">
        <v>134</v>
      </c>
      <c t="s" s="9" r="B104">
        <v>324</v>
      </c>
      <c t="s" s="9" r="C104">
        <v>265</v>
      </c>
      <c t="s" s="9" r="D104">
        <v>266</v>
      </c>
      <c s="3" r="E104"/>
      <c s="5" r="F104"/>
    </row>
    <row r="105">
      <c t="s" s="9" r="A105">
        <v>195</v>
      </c>
      <c t="s" s="9" r="B105">
        <v>337</v>
      </c>
      <c t="s" s="9" r="C105">
        <v>293</v>
      </c>
      <c t="s" s="9" r="D105">
        <v>266</v>
      </c>
      <c s="5" r="E105"/>
      <c s="5" r="F105"/>
    </row>
    <row r="106">
      <c t="s" s="9" r="A106">
        <v>69</v>
      </c>
      <c t="s" s="9" r="B106">
        <v>276</v>
      </c>
      <c t="s" s="9" r="C106">
        <v>293</v>
      </c>
      <c t="s" s="9" r="D106">
        <v>266</v>
      </c>
      <c s="5" r="E106"/>
      <c s="5" r="F106"/>
    </row>
    <row r="107">
      <c t="s" s="9" r="A107">
        <v>68</v>
      </c>
      <c t="s" s="9" r="B107">
        <v>338</v>
      </c>
      <c t="s" s="9" r="C107">
        <v>293</v>
      </c>
      <c t="s" s="9" r="D107">
        <v>266</v>
      </c>
      <c s="5" r="E107"/>
      <c s="5" r="F107"/>
    </row>
    <row r="108">
      <c t="s" s="9" r="A108">
        <v>82</v>
      </c>
      <c t="s" s="9" r="B108">
        <v>339</v>
      </c>
      <c t="s" s="9" r="C108">
        <v>293</v>
      </c>
      <c t="s" s="9" r="D108">
        <v>266</v>
      </c>
      <c s="5" r="E108"/>
      <c s="5" r="F108"/>
    </row>
    <row r="109">
      <c t="s" s="9" r="A109">
        <v>95</v>
      </c>
      <c t="s" s="9" r="B109">
        <v>340</v>
      </c>
      <c t="s" s="9" r="C109">
        <v>293</v>
      </c>
      <c t="s" s="9" r="D109">
        <v>266</v>
      </c>
      <c s="5" r="E109"/>
      <c s="5" r="F109"/>
    </row>
    <row r="110">
      <c t="s" s="9" r="A110">
        <v>96</v>
      </c>
      <c t="s" s="9" r="B110">
        <v>341</v>
      </c>
      <c t="s" s="9" r="C110">
        <v>293</v>
      </c>
      <c t="s" s="9" r="D110">
        <v>266</v>
      </c>
      <c s="5" r="E110"/>
      <c s="5" r="F110"/>
    </row>
    <row s="5" customFormat="1" r="111">
      <c t="s" s="9" r="A111">
        <v>111</v>
      </c>
      <c t="s" s="9" r="B111">
        <v>342</v>
      </c>
      <c t="s" s="9" r="C111">
        <v>293</v>
      </c>
      <c t="s" s="9" r="D111">
        <v>266</v>
      </c>
      <c s="3" r="E111"/>
      <c s="5" r="F111"/>
    </row>
    <row r="112">
      <c t="s" s="9" r="A112">
        <v>110</v>
      </c>
      <c t="s" s="9" r="B112">
        <v>343</v>
      </c>
      <c t="s" s="9" r="C112">
        <v>293</v>
      </c>
      <c t="s" s="9" r="D112">
        <v>266</v>
      </c>
      <c s="5" r="E112"/>
      <c s="5" r="F112"/>
    </row>
    <row r="113">
      <c t="s" s="9" r="A113">
        <v>140</v>
      </c>
      <c t="s" s="9" r="B113">
        <v>344</v>
      </c>
      <c t="s" s="9" r="C113">
        <v>293</v>
      </c>
      <c t="s" s="9" r="D113">
        <v>266</v>
      </c>
      <c s="5" r="E113"/>
      <c s="5" r="F113"/>
    </row>
    <row r="114">
      <c t="s" s="9" r="A114">
        <v>126</v>
      </c>
      <c t="s" s="9" r="B114">
        <v>345</v>
      </c>
      <c t="s" s="9" r="C114">
        <v>293</v>
      </c>
      <c t="s" s="9" r="D114">
        <v>266</v>
      </c>
      <c s="5" r="E114"/>
      <c s="5" r="F114"/>
    </row>
    <row r="115">
      <c t="s" s="9" r="A115">
        <v>139</v>
      </c>
      <c t="s" s="9" r="B115">
        <v>295</v>
      </c>
      <c t="s" s="9" r="C115">
        <v>293</v>
      </c>
      <c t="s" s="9" r="D115">
        <v>266</v>
      </c>
      <c s="5" r="E115"/>
      <c s="5" r="F115"/>
    </row>
    <row r="116">
      <c t="s" s="9" r="A116">
        <v>153</v>
      </c>
      <c t="s" s="9" r="B116">
        <v>313</v>
      </c>
      <c t="s" s="9" r="C116">
        <v>293</v>
      </c>
      <c t="s" s="9" r="D116">
        <v>266</v>
      </c>
      <c s="5" r="E116"/>
      <c s="5" r="F116"/>
    </row>
    <row r="117">
      <c t="s" s="9" r="A117">
        <v>163</v>
      </c>
      <c t="s" s="9" r="B117">
        <v>301</v>
      </c>
      <c t="s" s="9" r="C117">
        <v>293</v>
      </c>
      <c t="s" s="9" r="D117">
        <v>266</v>
      </c>
      <c s="5" r="E117"/>
      <c s="5" r="F117"/>
    </row>
    <row r="118">
      <c t="s" s="9" r="A118">
        <v>171</v>
      </c>
      <c t="s" s="9" r="B118">
        <v>306</v>
      </c>
      <c t="s" s="9" r="C118">
        <v>293</v>
      </c>
      <c t="s" s="9" r="D118">
        <v>266</v>
      </c>
      <c s="5" r="E118"/>
      <c s="5" r="F118"/>
    </row>
    <row r="119">
      <c t="s" s="9" r="A119">
        <v>181</v>
      </c>
      <c t="s" s="9" r="B119">
        <v>335</v>
      </c>
      <c t="s" s="9" r="C119">
        <v>293</v>
      </c>
      <c t="s" s="9" r="D119">
        <v>266</v>
      </c>
      <c s="5" r="E119"/>
      <c s="5" r="F119"/>
    </row>
    <row r="120">
      <c t="s" s="9" r="A120">
        <v>201</v>
      </c>
      <c t="s" s="9" r="B120">
        <v>346</v>
      </c>
      <c t="s" s="9" r="C120">
        <v>293</v>
      </c>
      <c t="s" s="9" r="D120">
        <v>266</v>
      </c>
      <c s="5" r="E120"/>
      <c s="5" r="F120"/>
    </row>
    <row r="121">
      <c t="s" s="9" r="A121">
        <v>196</v>
      </c>
      <c t="s" s="9" r="B121">
        <v>347</v>
      </c>
      <c t="s" s="9" r="C121">
        <v>293</v>
      </c>
      <c t="s" s="9" r="D121">
        <v>266</v>
      </c>
      <c s="5" r="E121"/>
      <c s="5" r="F121"/>
    </row>
    <row r="122">
      <c t="s" s="9" r="A122">
        <v>156</v>
      </c>
      <c t="s" s="9" r="B122">
        <v>271</v>
      </c>
      <c t="s" s="9" r="C122">
        <v>293</v>
      </c>
      <c t="s" s="9" r="D122">
        <v>266</v>
      </c>
      <c s="5" r="E122"/>
      <c s="5" r="F122"/>
    </row>
    <row s="5" customFormat="1" r="123">
      <c t="s" s="9" r="A123">
        <v>174</v>
      </c>
      <c t="s" s="9" r="B123">
        <v>348</v>
      </c>
      <c s="5" r="C123"/>
      <c t="s" s="9" r="D123">
        <v>302</v>
      </c>
      <c s="3" r="E123"/>
      <c s="5" r="F123"/>
    </row>
    <row r="124">
      <c t="s" s="9" r="A124">
        <v>198</v>
      </c>
      <c t="s" s="9" r="B124">
        <v>291</v>
      </c>
      <c t="s" s="9" r="C124">
        <v>283</v>
      </c>
      <c t="s" s="9" r="D124">
        <v>266</v>
      </c>
      <c s="5" r="E124"/>
      <c s="5" r="F124"/>
    </row>
    <row r="125">
      <c t="s" s="9" r="A125">
        <v>208</v>
      </c>
      <c t="s" s="9" r="B125">
        <v>298</v>
      </c>
      <c t="s" s="9" r="C125">
        <v>283</v>
      </c>
      <c t="s" s="9" r="D125">
        <v>266</v>
      </c>
      <c s="5" r="E125"/>
      <c s="5" r="F125"/>
    </row>
    <row s="5" customFormat="1" r="126">
      <c t="s" s="9" r="A126">
        <v>218</v>
      </c>
      <c t="s" s="9" r="B126">
        <v>349</v>
      </c>
      <c s="9" r="C126"/>
      <c t="s" s="9" r="D126">
        <v>270</v>
      </c>
      <c s="3" r="E126"/>
      <c s="5" r="F126"/>
    </row>
    <row r="127">
      <c t="s" s="9" r="A127">
        <v>194</v>
      </c>
      <c t="s" s="9" r="B127">
        <v>343</v>
      </c>
      <c s="9" r="C127"/>
      <c t="s" s="9" r="D127">
        <v>270</v>
      </c>
      <c s="5" r="E127"/>
      <c s="5" r="F127"/>
    </row>
    <row r="128">
      <c t="s" s="9" r="A128">
        <v>200</v>
      </c>
      <c t="s" s="9" r="B128">
        <v>271</v>
      </c>
      <c t="s" s="9" r="C128">
        <v>265</v>
      </c>
      <c t="s" s="9" r="D128">
        <v>266</v>
      </c>
      <c s="5" r="E128"/>
      <c s="5" r="F128"/>
    </row>
    <row r="129">
      <c t="s" s="9" r="A129">
        <v>215</v>
      </c>
      <c t="s" s="9" r="B129">
        <v>300</v>
      </c>
      <c t="s" s="9" r="C129">
        <v>265</v>
      </c>
      <c t="s" s="9" r="D129">
        <v>266</v>
      </c>
      <c s="5" r="E129"/>
      <c s="5" r="F129"/>
    </row>
    <row r="130">
      <c t="s" s="9" r="A130">
        <v>190</v>
      </c>
      <c t="s" s="9" r="B130">
        <v>308</v>
      </c>
      <c t="s" s="9" r="C130">
        <v>319</v>
      </c>
      <c t="s" s="9" r="D130">
        <v>266</v>
      </c>
      <c s="5" r="E130"/>
      <c s="5" r="F130"/>
    </row>
    <row r="131">
      <c t="s" s="1" r="A131">
        <v>217</v>
      </c>
      <c t="s" s="9" r="B131">
        <v>338</v>
      </c>
      <c t="s" s="9" r="C131">
        <v>319</v>
      </c>
      <c t="s" s="9" r="D131">
        <v>266</v>
      </c>
      <c s="5" r="E131"/>
      <c s="5" r="F131"/>
    </row>
    <row r="132">
      <c t="s" s="1" r="A132">
        <v>165</v>
      </c>
      <c t="s" s="9" r="B132">
        <v>350</v>
      </c>
      <c s="3" r="C132"/>
      <c t="s" s="9" r="D132">
        <v>260</v>
      </c>
      <c s="5" r="E132"/>
      <c s="5" r="F132"/>
    </row>
    <row r="133">
      <c t="s" s="9" r="A133">
        <v>206</v>
      </c>
      <c t="s" s="9" r="B133">
        <v>274</v>
      </c>
      <c t="s" s="9" r="C133">
        <v>265</v>
      </c>
      <c t="s" s="9" r="D133">
        <v>266</v>
      </c>
      <c s="5" r="E133"/>
      <c s="5" r="F133"/>
    </row>
    <row s="5" customFormat="1" r="134">
      <c t="s" s="9" r="A134">
        <v>224</v>
      </c>
      <c t="s" s="9" r="B134">
        <v>306</v>
      </c>
      <c t="s" s="9" r="C134">
        <v>293</v>
      </c>
      <c t="s" s="9" r="D134">
        <v>266</v>
      </c>
      <c s="3" r="E134"/>
      <c s="5" r="F134"/>
    </row>
    <row r="135">
      <c t="s" s="9" r="A135">
        <v>213</v>
      </c>
      <c t="s" s="9" r="B135">
        <v>313</v>
      </c>
      <c t="s" s="9" r="C135">
        <v>293</v>
      </c>
      <c t="s" s="9" r="D135">
        <v>266</v>
      </c>
      <c s="5" r="E135"/>
      <c s="5" r="F135"/>
    </row>
    <row s="5" customFormat="1" r="136">
      <c t="s" s="9" r="A136">
        <v>204</v>
      </c>
      <c t="s" s="9" r="B136">
        <v>267</v>
      </c>
      <c t="s" s="9" r="C136">
        <v>293</v>
      </c>
      <c t="s" s="9" r="D136">
        <v>266</v>
      </c>
      <c s="5" r="E136"/>
      <c s="5" r="F136"/>
    </row>
    <row r="137">
      <c t="s" s="9" r="A137">
        <v>131</v>
      </c>
      <c t="s" s="9" r="B137">
        <v>335</v>
      </c>
      <c t="s" s="9" r="C137">
        <v>293</v>
      </c>
      <c t="s" s="9" r="D137">
        <v>266</v>
      </c>
      <c s="5" r="E137"/>
      <c s="5" r="F137"/>
    </row>
    <row r="138">
      <c t="s" s="9" r="A138">
        <v>175</v>
      </c>
      <c t="s" s="9" r="B138">
        <v>295</v>
      </c>
      <c t="s" s="9" r="C138">
        <v>293</v>
      </c>
      <c t="s" s="9" r="D138">
        <v>266</v>
      </c>
      <c s="5" r="E138"/>
      <c s="5" r="F138"/>
    </row>
    <row r="139">
      <c t="s" s="9" r="A139">
        <v>226</v>
      </c>
      <c t="s" s="9" r="B139">
        <v>312</v>
      </c>
      <c t="s" s="9" r="C139">
        <v>280</v>
      </c>
      <c t="s" s="9" r="D139">
        <v>266</v>
      </c>
      <c s="5" r="E139"/>
      <c s="5" r="F139"/>
    </row>
    <row r="140">
      <c t="s" s="9" r="A140">
        <v>212</v>
      </c>
      <c t="s" s="9" r="B140">
        <v>325</v>
      </c>
      <c t="s" s="9" r="C140">
        <v>293</v>
      </c>
      <c t="s" s="9" r="D140">
        <v>266</v>
      </c>
      <c s="5" r="E140"/>
      <c s="5" r="F140"/>
    </row>
    <row r="141">
      <c t="s" s="9" r="A141">
        <v>216</v>
      </c>
      <c t="s" s="9" r="B141">
        <v>351</v>
      </c>
      <c t="s" s="9" r="C141">
        <v>293</v>
      </c>
      <c t="s" s="9" r="D141">
        <v>266</v>
      </c>
      <c s="5" r="E141"/>
      <c s="5" r="F141"/>
    </row>
    <row s="5" customFormat="1" r="142">
      <c t="s" s="9" r="A142">
        <v>211</v>
      </c>
      <c t="s" s="9" r="B142">
        <v>352</v>
      </c>
      <c t="s" s="9" r="C142">
        <v>293</v>
      </c>
      <c t="s" s="9" r="D142">
        <v>266</v>
      </c>
      <c s="5" r="E142"/>
      <c s="5" r="F142"/>
    </row>
    <row r="143">
      <c t="s" s="9" r="A143">
        <v>228</v>
      </c>
      <c t="s" s="9" r="B143">
        <v>306</v>
      </c>
      <c t="s" s="9" r="C143">
        <v>293</v>
      </c>
      <c t="s" s="9" r="D143">
        <v>266</v>
      </c>
      <c s="5" r="E143"/>
      <c s="5" r="F143"/>
    </row>
    <row s="5" customFormat="1" r="144">
      <c t="s" s="9" r="A144">
        <v>210</v>
      </c>
      <c t="s" s="9" r="B144">
        <v>338</v>
      </c>
      <c t="s" s="9" r="C144">
        <v>293</v>
      </c>
      <c t="s" s="9" r="D144">
        <v>266</v>
      </c>
      <c s="5" r="E144"/>
      <c s="5" r="F144"/>
    </row>
    <row s="5" customFormat="1" r="145">
      <c t="s" s="9" r="A145">
        <v>197</v>
      </c>
      <c t="s" s="9" r="B145">
        <v>335</v>
      </c>
      <c t="s" s="9" r="C145">
        <v>293</v>
      </c>
      <c t="s" s="9" r="D145">
        <v>266</v>
      </c>
      <c s="5" r="E145"/>
      <c s="5" r="F145"/>
    </row>
    <row s="5" customFormat="1" r="146">
      <c t="s" s="9" r="A146">
        <v>70</v>
      </c>
      <c t="s" s="9" r="B146">
        <v>353</v>
      </c>
      <c t="s" s="9" r="C146">
        <v>293</v>
      </c>
      <c t="s" s="9" r="D146">
        <v>266</v>
      </c>
      <c s="5" r="E146"/>
      <c s="5" r="F146"/>
    </row>
    <row s="5" customFormat="1" r="147">
      <c t="s" s="9" r="A147">
        <v>85</v>
      </c>
      <c t="s" s="9" r="B147">
        <v>354</v>
      </c>
      <c t="s" s="9" r="C147">
        <v>293</v>
      </c>
      <c t="s" s="9" r="D147">
        <v>266</v>
      </c>
      <c s="5" r="E147"/>
      <c s="5" r="F147"/>
    </row>
    <row s="5" customFormat="1" r="148">
      <c t="s" s="9" r="A148">
        <v>220</v>
      </c>
      <c t="s" s="9" r="B148">
        <v>307</v>
      </c>
      <c t="s" s="9" r="C148">
        <v>293</v>
      </c>
      <c t="s" s="9" r="D148">
        <v>266</v>
      </c>
      <c s="5" r="E148"/>
      <c s="5" r="F148"/>
    </row>
    <row s="5" customFormat="1" r="149">
      <c t="s" s="9" r="A149">
        <v>99</v>
      </c>
      <c t="s" s="9" r="B149">
        <v>324</v>
      </c>
      <c t="s" s="9" r="C149">
        <v>293</v>
      </c>
      <c t="s" s="9" r="D149">
        <v>266</v>
      </c>
      <c s="5" r="E149"/>
      <c s="5" r="F149"/>
    </row>
    <row s="5" customFormat="1" r="150">
      <c t="s" s="9" r="A150">
        <v>114</v>
      </c>
      <c t="s" s="9" r="B150">
        <v>301</v>
      </c>
      <c t="s" s="9" r="C150">
        <v>293</v>
      </c>
      <c t="s" s="9" r="D150">
        <v>266</v>
      </c>
      <c s="5" r="E150"/>
      <c s="5" r="F150"/>
    </row>
    <row s="5" customFormat="1" r="151">
      <c t="s" s="9" r="A151">
        <v>129</v>
      </c>
      <c t="s" s="9" r="B151">
        <v>355</v>
      </c>
      <c t="s" s="9" r="C151">
        <v>293</v>
      </c>
      <c t="s" s="9" r="D151">
        <v>266</v>
      </c>
      <c s="5" r="E151"/>
      <c s="5" r="F151"/>
    </row>
    <row s="5" customFormat="1" r="152">
      <c t="s" s="9" r="A152">
        <v>142</v>
      </c>
      <c t="s" s="9" r="B152">
        <v>308</v>
      </c>
      <c t="s" s="9" r="C152">
        <v>293</v>
      </c>
      <c t="s" s="9" r="D152">
        <v>266</v>
      </c>
      <c s="5" r="E152"/>
      <c s="5" r="F152"/>
    </row>
    <row r="153">
      <c t="s" s="9" r="A153">
        <v>155</v>
      </c>
      <c t="s" s="9" r="B153">
        <v>275</v>
      </c>
      <c t="s" s="9" r="C153">
        <v>293</v>
      </c>
      <c t="s" s="9" r="D153">
        <v>266</v>
      </c>
      <c s="5" r="E153"/>
      <c s="5" r="F153"/>
    </row>
    <row r="154">
      <c t="s" s="9" r="A154">
        <v>104</v>
      </c>
      <c t="s" s="9" r="B154">
        <v>271</v>
      </c>
      <c t="s" s="9" r="C154">
        <v>293</v>
      </c>
      <c t="s" s="9" r="D154">
        <v>266</v>
      </c>
      <c s="5" r="E154"/>
      <c s="5" r="F154"/>
    </row>
    <row r="155">
      <c t="s" s="9" r="A155">
        <v>185</v>
      </c>
      <c t="s" s="9" r="B155">
        <v>343</v>
      </c>
      <c t="s" s="9" r="C155">
        <v>293</v>
      </c>
      <c t="s" s="9" r="D155">
        <v>266</v>
      </c>
      <c s="5" r="E155"/>
      <c s="5" r="F155"/>
    </row>
    <row r="156">
      <c t="s" s="9" r="A156">
        <v>192</v>
      </c>
      <c t="s" s="9" r="B156">
        <v>347</v>
      </c>
      <c t="s" s="9" r="C156">
        <v>293</v>
      </c>
      <c t="s" s="9" r="D156">
        <v>266</v>
      </c>
      <c s="5" r="E156"/>
      <c s="5" r="F156"/>
    </row>
    <row r="157">
      <c t="s" s="9" r="A157">
        <v>117</v>
      </c>
      <c t="s" s="9" r="B157">
        <v>335</v>
      </c>
      <c t="s" s="9" r="C157">
        <v>293</v>
      </c>
      <c t="s" s="9" r="D157">
        <v>266</v>
      </c>
      <c s="5" r="E157"/>
      <c s="5" r="F157"/>
    </row>
    <row s="5" customFormat="1" r="158">
      <c t="s" s="9" r="A158">
        <v>187</v>
      </c>
      <c t="s" s="9" r="B158">
        <v>356</v>
      </c>
      <c t="s" s="9" r="C158">
        <v>293</v>
      </c>
      <c t="s" s="9" r="D158">
        <v>266</v>
      </c>
      <c s="3" r="E158"/>
      <c s="5" r="F158"/>
    </row>
    <row r="159">
      <c t="s" s="9" r="A159">
        <v>202</v>
      </c>
      <c t="s" s="9" r="B159">
        <v>311</v>
      </c>
      <c t="s" s="9" r="C159">
        <v>293</v>
      </c>
      <c t="s" s="9" r="D159">
        <v>266</v>
      </c>
      <c s="5" r="E159"/>
      <c s="5" r="F159"/>
    </row>
    <row s="5" customFormat="1" r="160">
      <c t="s" s="9" r="A160">
        <v>209</v>
      </c>
      <c t="s" s="9" r="B160">
        <v>313</v>
      </c>
      <c t="s" s="9" r="C160">
        <v>293</v>
      </c>
      <c t="s" s="9" r="D160">
        <v>266</v>
      </c>
      <c s="5" r="E160"/>
      <c s="5" r="F160"/>
    </row>
    <row s="5" customFormat="1" r="161">
      <c t="s" s="9" r="A161">
        <v>148</v>
      </c>
      <c t="s" s="9" r="B161">
        <v>274</v>
      </c>
      <c t="s" s="9" r="C161">
        <v>293</v>
      </c>
      <c t="s" s="9" r="D161">
        <v>266</v>
      </c>
      <c s="3" r="E161"/>
      <c s="5" r="F161"/>
    </row>
    <row s="5" customFormat="1" r="162">
      <c t="s" s="9" r="A162">
        <v>222</v>
      </c>
      <c s="9" r="B162"/>
      <c t="s" s="9" r="C162">
        <v>293</v>
      </c>
      <c t="s" s="9" r="D162">
        <v>266</v>
      </c>
      <c s="3" r="E162"/>
      <c s="5" r="F162"/>
    </row>
    <row r="163">
      <c t="s" s="9" r="A163">
        <v>225</v>
      </c>
      <c s="9" r="B163"/>
      <c t="s" s="9" r="C163">
        <v>293</v>
      </c>
      <c t="s" s="9" r="D163">
        <v>266</v>
      </c>
      <c s="5" r="E163"/>
      <c s="5" r="F163"/>
    </row>
    <row r="164">
      <c t="s" s="9" r="A164">
        <v>227</v>
      </c>
      <c t="s" s="9" r="B164">
        <v>312</v>
      </c>
      <c t="s" s="9" r="C164">
        <v>293</v>
      </c>
      <c t="s" s="9" r="D164">
        <v>266</v>
      </c>
      <c s="5" r="E164"/>
      <c s="5" r="F164"/>
    </row>
    <row s="5" customFormat="1" r="165">
      <c t="s" s="9" r="A165">
        <v>229</v>
      </c>
      <c t="s" s="9" r="B165">
        <v>357</v>
      </c>
      <c t="s" s="9" r="C165">
        <v>293</v>
      </c>
      <c t="s" s="9" r="D165">
        <v>266</v>
      </c>
      <c s="3" r="E165"/>
      <c s="5" r="F165"/>
    </row>
    <row r="166">
      <c t="s" s="9" r="A166">
        <v>145</v>
      </c>
      <c t="s" s="9" r="B166">
        <v>291</v>
      </c>
      <c t="s" s="9" r="C166">
        <v>293</v>
      </c>
      <c t="s" s="9" r="D166">
        <v>266</v>
      </c>
      <c s="5" r="E166"/>
      <c s="5" r="F166"/>
    </row>
    <row s="5" customFormat="1" r="167">
      <c t="s" s="9" r="A167">
        <v>233</v>
      </c>
      <c t="s" s="9" r="B167">
        <v>271</v>
      </c>
      <c t="s" s="9" r="C167">
        <v>293</v>
      </c>
      <c t="s" s="9" r="D167">
        <v>266</v>
      </c>
      <c s="5" r="E167"/>
      <c s="5" r="F167"/>
    </row>
    <row r="168">
      <c t="s" s="9" r="A168">
        <v>232</v>
      </c>
      <c t="s" s="9" r="B168">
        <v>358</v>
      </c>
      <c s="3" r="C168"/>
      <c t="s" s="9" r="D168">
        <v>270</v>
      </c>
      <c s="5" r="E168"/>
      <c s="5" r="F168"/>
    </row>
    <row r="169">
      <c t="s" s="9" r="A169">
        <v>207</v>
      </c>
      <c t="s" s="9" r="B169">
        <v>291</v>
      </c>
      <c t="s" s="9" r="C169">
        <v>293</v>
      </c>
      <c t="s" s="9" r="D169">
        <v>266</v>
      </c>
      <c s="5" r="E169"/>
      <c s="5" r="F169"/>
    </row>
    <row r="170">
      <c t="s" s="9" r="A170">
        <v>214</v>
      </c>
      <c t="s" s="9" r="B170">
        <v>275</v>
      </c>
      <c t="s" s="9" r="C170">
        <v>293</v>
      </c>
      <c t="s" s="9" r="D170">
        <v>266</v>
      </c>
      <c s="5" r="E170"/>
      <c s="5" r="F170"/>
    </row>
    <row r="171">
      <c t="s" s="9" r="A171">
        <v>219</v>
      </c>
      <c t="s" s="9" r="B171">
        <v>295</v>
      </c>
      <c t="s" s="9" r="C171">
        <v>293</v>
      </c>
      <c t="s" s="9" r="D171">
        <v>266</v>
      </c>
      <c s="5" r="E171"/>
      <c s="5" r="F171"/>
    </row>
    <row s="5" customFormat="1" r="172">
      <c t="s" s="9" r="A172">
        <v>230</v>
      </c>
      <c t="s" s="9" r="B172">
        <v>306</v>
      </c>
      <c t="s" s="9" r="C172">
        <v>293</v>
      </c>
      <c t="s" s="9" r="D172">
        <v>266</v>
      </c>
      <c s="3" r="E172"/>
      <c s="5" r="F172"/>
    </row>
    <row r="173">
      <c t="s" s="9" r="A173">
        <v>223</v>
      </c>
      <c t="s" s="9" r="B173">
        <v>359</v>
      </c>
      <c s="9" r="C173"/>
      <c t="s" s="9" r="D173">
        <v>273</v>
      </c>
      <c s="5" r="E173"/>
      <c s="5" r="F173"/>
    </row>
    <row r="174">
      <c t="s" s="9" r="A174">
        <v>144</v>
      </c>
      <c t="s" s="9" r="B174">
        <v>360</v>
      </c>
      <c t="s" s="9" r="C174">
        <v>293</v>
      </c>
      <c t="s" s="9" r="D174">
        <v>266</v>
      </c>
      <c s="5" r="E174"/>
      <c s="5" r="F174"/>
    </row>
    <row r="175">
      <c s="5" r="A175"/>
      <c s="5" r="B175"/>
      <c s="5" r="C175"/>
      <c s="5" r="D175"/>
      <c s="5" r="E175"/>
      <c s="5" r="F175"/>
    </row>
  </sheetData>
</worksheet>
</file>