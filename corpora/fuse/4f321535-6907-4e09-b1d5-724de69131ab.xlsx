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435" yWindow="18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B161" i="5" l="1"/>
  <c r="B96" i="5"/>
  <c r="B331" i="5"/>
  <c r="B332" i="5"/>
  <c r="M72" i="8"/>
  <c r="B72" i="8"/>
  <c r="N44" i="2"/>
  <c r="B44" i="2"/>
</calcChain>
</file>

<file path=xl/sharedStrings.xml><?xml version="1.0" encoding="utf-8"?>
<sst xmlns="http://schemas.openxmlformats.org/spreadsheetml/2006/main" count="1876" uniqueCount="494">
  <si>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</si>
  <si>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</si>
  <si>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</si>
  <si>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</si>
  <si>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</si>
  <si>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</si>
  <si>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</si>
  <si>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</si>
  <si>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</si>
  <si>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</si>
  <si>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</si>
  <si>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</si>
  <si>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</si>
  <si>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</si>
  <si>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</si>
  <si>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</si>
  <si>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</si>
  <si>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</si>
  <si>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</si>
  <si>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</si>
  <si>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</si>
  <si>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</si>
  <si>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</si>
  <si>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</si>
  <si>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</si>
  <si>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</si>
  <si>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</si>
  <si>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</si>
  <si>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</si>
  <si>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</si>
  <si>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</si>
  <si>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</si>
  <si>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</si>
  <si>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</si>
  <si>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</si>
  <si>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</si>
  <si>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</si>
  <si>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</si>
  <si>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</si>
  <si>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</si>
  <si>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</si>
  <si>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</si>
  <si>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</si>
  <si>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</si>
  <si>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</si>
  <si>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</si>
  <si>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</si>
  <si>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</si>
  <si>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</si>
  <si>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</si>
  <si>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ELEC</t>
  </si>
  <si>
    <t>ARROWHEAD RIDGE</t>
  </si>
  <si>
    <t>AR</t>
  </si>
  <si>
    <t>BARBARA</t>
  </si>
  <si>
    <t>CS</t>
  </si>
  <si>
    <t>F</t>
  </si>
  <si>
    <t>1A</t>
  </si>
  <si>
    <t>GRANDE</t>
  </si>
  <si>
    <t>GS</t>
  </si>
  <si>
    <t>JACKIE</t>
  </si>
  <si>
    <t>H</t>
  </si>
  <si>
    <t>5A</t>
  </si>
  <si>
    <t>NM HIGHWAY 528</t>
  </si>
  <si>
    <t>RIOW</t>
  </si>
  <si>
    <t>A</t>
  </si>
  <si>
    <t>IPW</t>
  </si>
  <si>
    <t>ABP</t>
  </si>
  <si>
    <t>E</t>
  </si>
  <si>
    <t>GN</t>
  </si>
  <si>
    <t>CCCEH</t>
  </si>
  <si>
    <t>4A1</t>
  </si>
  <si>
    <t>SOUTHERN</t>
  </si>
  <si>
    <t>U16</t>
  </si>
  <si>
    <t>WH2</t>
  </si>
  <si>
    <t>OAK</t>
  </si>
  <si>
    <t>2B</t>
  </si>
  <si>
    <t>RRSHOP</t>
  </si>
  <si>
    <t>THE AMERICAN</t>
  </si>
  <si>
    <t>RIOH</t>
  </si>
  <si>
    <t>1A1</t>
  </si>
  <si>
    <t>UNSER</t>
  </si>
  <si>
    <t>U11</t>
  </si>
  <si>
    <t>N</t>
  </si>
  <si>
    <t>36A</t>
  </si>
  <si>
    <t>SP</t>
  </si>
  <si>
    <t>SUP</t>
  </si>
  <si>
    <t>VERANDA</t>
  </si>
  <si>
    <t>U10</t>
  </si>
  <si>
    <t>102A1</t>
  </si>
  <si>
    <t>WELLSPRING</t>
  </si>
  <si>
    <t>ELER</t>
  </si>
  <si>
    <t>ABERDEEN</t>
  </si>
  <si>
    <t>GHR</t>
  </si>
  <si>
    <t>ABRAZO</t>
  </si>
  <si>
    <t>AQUAMARINE</t>
  </si>
  <si>
    <t>VH3</t>
  </si>
  <si>
    <t>ARAPAHOE</t>
  </si>
  <si>
    <t>U17</t>
  </si>
  <si>
    <t>16A</t>
  </si>
  <si>
    <t>ARIZONA SUNSET</t>
  </si>
  <si>
    <t>RH2</t>
  </si>
  <si>
    <t>BAY HILL</t>
  </si>
  <si>
    <t>EST2</t>
  </si>
  <si>
    <t>BUENA VISTA</t>
  </si>
  <si>
    <t>RW</t>
  </si>
  <si>
    <t>CEDRO</t>
  </si>
  <si>
    <t>ADE</t>
  </si>
  <si>
    <t>CEREZA</t>
  </si>
  <si>
    <t>DEL CARMEN</t>
  </si>
  <si>
    <t>EL ALAMO</t>
  </si>
  <si>
    <t>CH</t>
  </si>
  <si>
    <t>EL CAMINO</t>
  </si>
  <si>
    <t>CCRS</t>
  </si>
  <si>
    <t>FOXWOOD</t>
  </si>
  <si>
    <t>RHR</t>
  </si>
  <si>
    <t>FREEMONT HILLS</t>
  </si>
  <si>
    <t>EH7</t>
  </si>
  <si>
    <t>GAY</t>
  </si>
  <si>
    <t>HUNTER</t>
  </si>
  <si>
    <t>WAPR</t>
  </si>
  <si>
    <t>B</t>
  </si>
  <si>
    <t>JINSEN</t>
  </si>
  <si>
    <t>U20</t>
  </si>
  <si>
    <t>LAS MEDANALES</t>
  </si>
  <si>
    <t>LCE3</t>
  </si>
  <si>
    <t>LEPUS</t>
  </si>
  <si>
    <t>STARS</t>
  </si>
  <si>
    <t>MANZANO</t>
  </si>
  <si>
    <t>CN3</t>
  </si>
  <si>
    <t>OSPREY</t>
  </si>
  <si>
    <t>HS33</t>
  </si>
  <si>
    <t>PALMAS ALTAS</t>
  </si>
  <si>
    <t>PLAZA COLINA</t>
  </si>
  <si>
    <t>TC1</t>
  </si>
  <si>
    <t>POLARIS</t>
  </si>
  <si>
    <t>RENAISSANCE</t>
  </si>
  <si>
    <t>REN</t>
  </si>
  <si>
    <t>ROBLE</t>
  </si>
  <si>
    <t>SADDLEWOOD</t>
  </si>
  <si>
    <t>SIERRA VERDE</t>
  </si>
  <si>
    <t>SKAGWAY</t>
  </si>
  <si>
    <t>LE3A</t>
  </si>
  <si>
    <t>SPRING</t>
  </si>
  <si>
    <t>ST. ANDREWS</t>
  </si>
  <si>
    <t>7A</t>
  </si>
  <si>
    <t>3A</t>
  </si>
  <si>
    <t>SUE</t>
  </si>
  <si>
    <t>SUGAR RIDGE</t>
  </si>
  <si>
    <t>SR</t>
  </si>
  <si>
    <t>TETON</t>
  </si>
  <si>
    <t>VIOLETA</t>
  </si>
  <si>
    <t>TOS</t>
  </si>
  <si>
    <t>VISTA DE COLINAS</t>
  </si>
  <si>
    <t>VISTA ESTE</t>
  </si>
  <si>
    <t>WEST ISLAND</t>
  </si>
  <si>
    <t>ENCL</t>
  </si>
  <si>
    <t>WHITE HORSE</t>
  </si>
  <si>
    <t>SHR</t>
  </si>
  <si>
    <t>ZIA</t>
  </si>
  <si>
    <t>NMED15</t>
  </si>
  <si>
    <t>1ST</t>
  </si>
  <si>
    <t>31ST</t>
  </si>
  <si>
    <t>ETMP</t>
  </si>
  <si>
    <t>ETPR</t>
  </si>
  <si>
    <t>GREGG</t>
  </si>
  <si>
    <t>U13</t>
  </si>
  <si>
    <t>KALGAN</t>
  </si>
  <si>
    <t>LANDING</t>
  </si>
  <si>
    <t>C</t>
  </si>
  <si>
    <t>LOS ALTOS</t>
  </si>
  <si>
    <t>PA3</t>
  </si>
  <si>
    <t>MARBLE SKY</t>
  </si>
  <si>
    <t>U12</t>
  </si>
  <si>
    <t>PALO ALTO</t>
  </si>
  <si>
    <t>SANTA FE TRAIL</t>
  </si>
  <si>
    <t>VDSF</t>
  </si>
  <si>
    <t>20TH</t>
  </si>
  <si>
    <t>21ST</t>
  </si>
  <si>
    <t>MECC</t>
  </si>
  <si>
    <t>MECR</t>
  </si>
  <si>
    <t>BRIERWOOD</t>
  </si>
  <si>
    <t>VR</t>
  </si>
  <si>
    <t>CERRO DE ORTEGA</t>
  </si>
  <si>
    <t>CHAPS</t>
  </si>
  <si>
    <t>WH</t>
  </si>
  <si>
    <t>EL HIGO</t>
  </si>
  <si>
    <t>GERALDINE</t>
  </si>
  <si>
    <t>STAR2</t>
  </si>
  <si>
    <t>XX</t>
  </si>
  <si>
    <t>HEWLETT</t>
  </si>
  <si>
    <t>VHW3</t>
  </si>
  <si>
    <t>JUAN ALDAMA</t>
  </si>
  <si>
    <t>KOKOPELLI</t>
  </si>
  <si>
    <t>EH8</t>
  </si>
  <si>
    <t>MEADOWLARK</t>
  </si>
  <si>
    <t>SECR</t>
  </si>
  <si>
    <t>HOME</t>
  </si>
  <si>
    <t>NOME</t>
  </si>
  <si>
    <t>LE3B</t>
  </si>
  <si>
    <t>PA2</t>
  </si>
  <si>
    <t>PINE</t>
  </si>
  <si>
    <t>PUMICE</t>
  </si>
  <si>
    <t>VHW1</t>
  </si>
  <si>
    <t>12A</t>
  </si>
  <si>
    <t>ROSSWOOD</t>
  </si>
  <si>
    <t>PHW</t>
  </si>
  <si>
    <t>SPRUCE MOUNTAIN</t>
  </si>
  <si>
    <t>CN3R1</t>
  </si>
  <si>
    <t>SPUR</t>
  </si>
  <si>
    <t>CEDH</t>
  </si>
  <si>
    <t>VANCOUVER</t>
  </si>
  <si>
    <t>CEDH3</t>
  </si>
  <si>
    <t>WASILLA</t>
  </si>
  <si>
    <t>4TH</t>
  </si>
  <si>
    <t>9TH</t>
  </si>
  <si>
    <t>PLMC</t>
  </si>
  <si>
    <t>IPE</t>
  </si>
  <si>
    <t>SUNDT</t>
  </si>
  <si>
    <t>VH1A</t>
  </si>
  <si>
    <t>UMP</t>
  </si>
  <si>
    <t>CBCM</t>
  </si>
  <si>
    <t>UPVN</t>
  </si>
  <si>
    <t>PLMR</t>
  </si>
  <si>
    <t>AMETHYST</t>
  </si>
  <si>
    <t>ATHENS</t>
  </si>
  <si>
    <t>141A</t>
  </si>
  <si>
    <t>BALTIC</t>
  </si>
  <si>
    <t>SH2R2</t>
  </si>
  <si>
    <t>BENSON PARK</t>
  </si>
  <si>
    <t>SPW</t>
  </si>
  <si>
    <t>BHUTAN</t>
  </si>
  <si>
    <t>BOGIE</t>
  </si>
  <si>
    <t>BOREALIS</t>
  </si>
  <si>
    <t>BRIGHTON HILLS</t>
  </si>
  <si>
    <t>CAMACHO</t>
  </si>
  <si>
    <t>YDE</t>
  </si>
  <si>
    <t>28A</t>
  </si>
  <si>
    <t>CASCADES</t>
  </si>
  <si>
    <t>CHR</t>
  </si>
  <si>
    <t>CASTLE ROCK</t>
  </si>
  <si>
    <t>BHR</t>
  </si>
  <si>
    <t>CHESSMAN</t>
  </si>
  <si>
    <t>CHRISTINE</t>
  </si>
  <si>
    <t>CORTE CASTELLON</t>
  </si>
  <si>
    <t>CRZN</t>
  </si>
  <si>
    <t>COTTONTAIL</t>
  </si>
  <si>
    <t>CN1</t>
  </si>
  <si>
    <t>COUNTRY CLUB</t>
  </si>
  <si>
    <t>CCV</t>
  </si>
  <si>
    <t>FAIR</t>
  </si>
  <si>
    <t>16AM</t>
  </si>
  <si>
    <t>DAKOTA MORNING</t>
  </si>
  <si>
    <t>DARLENE</t>
  </si>
  <si>
    <t>DEER TRAIL</t>
  </si>
  <si>
    <t>LM</t>
  </si>
  <si>
    <t>DEMAVEND</t>
  </si>
  <si>
    <t>DIAMOND PEAK</t>
  </si>
  <si>
    <t>DOVE</t>
  </si>
  <si>
    <t>EL MORRO</t>
  </si>
  <si>
    <t>ESSEX</t>
  </si>
  <si>
    <t>GAZELLE</t>
  </si>
  <si>
    <t>GREEN LAKE</t>
  </si>
  <si>
    <t>GUNPOWDER</t>
  </si>
  <si>
    <t>HARVARD</t>
  </si>
  <si>
    <t>PHN2</t>
  </si>
  <si>
    <t>HIGH DESERT</t>
  </si>
  <si>
    <t>NH14</t>
  </si>
  <si>
    <t>HOLLYBERRY</t>
  </si>
  <si>
    <t>NH02</t>
  </si>
  <si>
    <t>HOOD</t>
  </si>
  <si>
    <t>HUDSON RIVER</t>
  </si>
  <si>
    <t>CN2</t>
  </si>
  <si>
    <t>HURON</t>
  </si>
  <si>
    <t>HUSKY</t>
  </si>
  <si>
    <t>EH13A</t>
  </si>
  <si>
    <t>ISLETA</t>
  </si>
  <si>
    <t>NMED14</t>
  </si>
  <si>
    <t>KIM</t>
  </si>
  <si>
    <t>LEON GRANDE</t>
  </si>
  <si>
    <t>LEONARD</t>
  </si>
  <si>
    <t>LISBON</t>
  </si>
  <si>
    <t>PDS</t>
  </si>
  <si>
    <t>LONGHORN</t>
  </si>
  <si>
    <t>LOS MIRADORES</t>
  </si>
  <si>
    <t>LCE4</t>
  </si>
  <si>
    <t>MANITOU SPRINGS</t>
  </si>
  <si>
    <t>15A</t>
  </si>
  <si>
    <t>MOUNTAIN HAWK</t>
  </si>
  <si>
    <t>NAGOYA</t>
  </si>
  <si>
    <t>NANTUCKET</t>
  </si>
  <si>
    <t>NICKEL</t>
  </si>
  <si>
    <t>VH2</t>
  </si>
  <si>
    <t>NIGHT HAWK</t>
  </si>
  <si>
    <t>EH9</t>
  </si>
  <si>
    <t>23A</t>
  </si>
  <si>
    <t>OCHRE</t>
  </si>
  <si>
    <t>RH</t>
  </si>
  <si>
    <t>ORCHID</t>
  </si>
  <si>
    <t>CEDH5</t>
  </si>
  <si>
    <t>PARKVIEW</t>
  </si>
  <si>
    <t>NH03</t>
  </si>
  <si>
    <t>PEARL</t>
  </si>
  <si>
    <t>PECOS</t>
  </si>
  <si>
    <t>PLUM</t>
  </si>
  <si>
    <t>NH01</t>
  </si>
  <si>
    <t>PRADO HERMOSA</t>
  </si>
  <si>
    <t>PA1</t>
  </si>
  <si>
    <t>RANCHO ORO</t>
  </si>
  <si>
    <t>RORPP2</t>
  </si>
  <si>
    <t>RASPBERRY</t>
  </si>
  <si>
    <t>NH10</t>
  </si>
  <si>
    <t>REDONDO SANTA FE</t>
  </si>
  <si>
    <t>RIO OSO</t>
  </si>
  <si>
    <t>SAGECREST</t>
  </si>
  <si>
    <t>SC</t>
  </si>
  <si>
    <t>SALT CEDAR</t>
  </si>
  <si>
    <t>SAND DUNE</t>
  </si>
  <si>
    <t>SANDOVAL</t>
  </si>
  <si>
    <t>EH11A</t>
  </si>
  <si>
    <t>SARATOGA</t>
  </si>
  <si>
    <t>SHAVANO PEAK</t>
  </si>
  <si>
    <t>SHENANDOAH RIVER</t>
  </si>
  <si>
    <t>CN2A</t>
  </si>
  <si>
    <t>SNOW HEIGHTS</t>
  </si>
  <si>
    <t>NR2</t>
  </si>
  <si>
    <t>SOLANO MEADOWS</t>
  </si>
  <si>
    <t>NMED2</t>
  </si>
  <si>
    <t>SOMMERSET</t>
  </si>
  <si>
    <t>STRAWBERRY</t>
  </si>
  <si>
    <t>NH09</t>
  </si>
  <si>
    <t>SUNDANCE</t>
  </si>
  <si>
    <t>EH10</t>
  </si>
  <si>
    <t>TAHOE</t>
  </si>
  <si>
    <t>TIGRIS</t>
  </si>
  <si>
    <t>TIN CUP</t>
  </si>
  <si>
    <t>NM20B</t>
  </si>
  <si>
    <t>TRAMVIEW</t>
  </si>
  <si>
    <t>TRINITY</t>
  </si>
  <si>
    <t>13A</t>
  </si>
  <si>
    <t>AA</t>
  </si>
  <si>
    <t>35A</t>
  </si>
  <si>
    <t>VERA CRUZ</t>
  </si>
  <si>
    <t>8A</t>
  </si>
  <si>
    <t>VERBENA</t>
  </si>
  <si>
    <t>NH07</t>
  </si>
  <si>
    <t>WEEPING WILLOW</t>
  </si>
  <si>
    <t>WHITE PINE</t>
  </si>
  <si>
    <t>LPN</t>
  </si>
  <si>
    <t>WHITEWATER</t>
  </si>
  <si>
    <t>WILDER</t>
  </si>
  <si>
    <t>RRDG</t>
  </si>
  <si>
    <t>WITHINGTON PEAK</t>
  </si>
  <si>
    <t>11TH</t>
  </si>
  <si>
    <t>3RD</t>
  </si>
  <si>
    <t>35TH</t>
  </si>
  <si>
    <t>7TH</t>
  </si>
  <si>
    <t>CABZ</t>
  </si>
  <si>
    <t>DELICIAS</t>
  </si>
  <si>
    <t>RD</t>
  </si>
  <si>
    <t>SE</t>
  </si>
  <si>
    <t>29A</t>
  </si>
  <si>
    <t>AP</t>
  </si>
  <si>
    <t>DRH SOUTHWEST CONST. INC</t>
  </si>
  <si>
    <t>CIR</t>
  </si>
  <si>
    <t>PULTE DEVELOPMENT NEW MEXICO,</t>
  </si>
  <si>
    <t>DR</t>
  </si>
  <si>
    <t>CC</t>
  </si>
  <si>
    <t>LP</t>
  </si>
  <si>
    <t>NW</t>
  </si>
  <si>
    <t>HD</t>
  </si>
  <si>
    <t>OUT TO BID</t>
  </si>
  <si>
    <t>LC</t>
  </si>
  <si>
    <t>AVE</t>
  </si>
  <si>
    <t>NE</t>
  </si>
  <si>
    <t>CT</t>
  </si>
  <si>
    <t>WY</t>
  </si>
  <si>
    <t>LE</t>
  </si>
  <si>
    <t>RR</t>
  </si>
  <si>
    <t>SLG HOLDINGS</t>
  </si>
  <si>
    <t>SFR</t>
  </si>
  <si>
    <t>LN</t>
  </si>
  <si>
    <t>CHAYOTE</t>
  </si>
  <si>
    <t>PC</t>
  </si>
  <si>
    <t>OWNER BUILDER</t>
  </si>
  <si>
    <t>CASA VERDE BUILDERS</t>
  </si>
  <si>
    <t>TR</t>
  </si>
  <si>
    <t>NACELLE</t>
  </si>
  <si>
    <t>INFINITY HOMES</t>
  </si>
  <si>
    <t>ST</t>
  </si>
  <si>
    <t>SUMMERTREE HOME INC.</t>
  </si>
  <si>
    <t>6TH</t>
  </si>
  <si>
    <t>RNG ENTERPRISES INC.</t>
  </si>
  <si>
    <t>SFR
TOTAL</t>
  </si>
  <si>
    <t>VALUATION
TOTAL</t>
  </si>
  <si>
    <t>CHAPINGO</t>
  </si>
  <si>
    <t>18A</t>
  </si>
  <si>
    <t>CORTINA</t>
  </si>
  <si>
    <t>ATH</t>
  </si>
  <si>
    <t>FULL MEASURE LLC DBA SANDIA SU</t>
  </si>
  <si>
    <t>FOXMOORE</t>
  </si>
  <si>
    <t>25A</t>
  </si>
  <si>
    <t>TOM CHRISTIE CONSTRUCTION COMP</t>
  </si>
  <si>
    <t>GARR</t>
  </si>
  <si>
    <t>REDWOOD</t>
  </si>
  <si>
    <t>SW</t>
  </si>
  <si>
    <t>TDS</t>
  </si>
  <si>
    <t>EDEN INDUSTRIES INC DBA BILT</t>
  </si>
  <si>
    <t>37TH</t>
  </si>
  <si>
    <t>RRF</t>
  </si>
  <si>
    <t>RICARDO CARRILLO CUSTOM HOMES</t>
  </si>
  <si>
    <t>CABEZON</t>
  </si>
  <si>
    <t>CHAMPION WINDOW CO. OF</t>
  </si>
  <si>
    <t>CASCADE</t>
  </si>
  <si>
    <t>RIVER DANCE CONSTRUCTION, LLC</t>
  </si>
  <si>
    <t>CHROMIUM</t>
  </si>
  <si>
    <t>BAC ENTERPRISES</t>
  </si>
  <si>
    <t>ALL WEATHER ROOFING, INC</t>
  </si>
  <si>
    <t>DELAINA</t>
  </si>
  <si>
    <t>EH13B</t>
  </si>
  <si>
    <t>PREMIUM WINDOW INSTALLATION BY</t>
  </si>
  <si>
    <t>OTERO &amp; SONS ROOFING CORP</t>
  </si>
  <si>
    <t>EMERALD</t>
  </si>
  <si>
    <t>GOODRICH ROOFING CO INC</t>
  </si>
  <si>
    <t>GAMBEL QUAIL</t>
  </si>
  <si>
    <t>BUILDERS DIRECT</t>
  </si>
  <si>
    <t>ACCURATE ROOFING</t>
  </si>
  <si>
    <t>GOLF COURSE</t>
  </si>
  <si>
    <t>39A</t>
  </si>
  <si>
    <t>GREG VAN CLEVE BUILDERS &amp; FUTU</t>
  </si>
  <si>
    <t>HERMIT FALLS</t>
  </si>
  <si>
    <t>HRV2</t>
  </si>
  <si>
    <t>DOYLE ROOF MASTERS</t>
  </si>
  <si>
    <t>CHERRY HILLS CONST.</t>
  </si>
  <si>
    <t>HIGH RIDGE</t>
  </si>
  <si>
    <t>YARIS CONSTRUCTION LLC</t>
  </si>
  <si>
    <t>JACK RABBIT</t>
  </si>
  <si>
    <t>LIMESTONE</t>
  </si>
  <si>
    <t>ALLSTATE ROOFING, LLC</t>
  </si>
  <si>
    <t>NICKLAUS</t>
  </si>
  <si>
    <t>ROOFING USA INC.</t>
  </si>
  <si>
    <t>CREGO ROOFING INC</t>
  </si>
  <si>
    <t>PINEWOOD</t>
  </si>
  <si>
    <t>WHITLOCK ENTERPRISES LLC</t>
  </si>
  <si>
    <t>PLATINUM</t>
  </si>
  <si>
    <t>ROCK</t>
  </si>
  <si>
    <t>QUARTZ</t>
  </si>
  <si>
    <t>RIVERS EDGE</t>
  </si>
  <si>
    <t>QUESTON CONSTRUCTION, INC</t>
  </si>
  <si>
    <t>SANDIA VISTA</t>
  </si>
  <si>
    <t>SANDPIPER</t>
  </si>
  <si>
    <t>CN1R2</t>
  </si>
  <si>
    <t>ESP</t>
  </si>
  <si>
    <t>CENTERSPACE LLC</t>
  </si>
  <si>
    <t>2ND</t>
  </si>
  <si>
    <t>U08</t>
  </si>
  <si>
    <t>32ND</t>
  </si>
  <si>
    <t>8B</t>
  </si>
  <si>
    <t>36TH</t>
  </si>
  <si>
    <t>POSITIVE ENERGY INC</t>
  </si>
  <si>
    <t>CONSOLIDATED SOLAR TECHNOLOGIE</t>
  </si>
  <si>
    <t>MONTANA WELLS</t>
  </si>
  <si>
    <t>MUD &amp; SUN CONSTRUCTION</t>
  </si>
  <si>
    <t>ADDITION
TOTAL</t>
  </si>
  <si>
    <t>NCOM</t>
  </si>
  <si>
    <t>NORTHERN</t>
  </si>
  <si>
    <t>BLVD</t>
  </si>
  <si>
    <t>LCE</t>
  </si>
  <si>
    <t>RCOM</t>
  </si>
  <si>
    <t>EWT CONSTRUCTION INC. DBA TRIN</t>
  </si>
  <si>
    <t>CARR</t>
  </si>
  <si>
    <t>SNYDER CONSTRUCTION LLC</t>
  </si>
  <si>
    <t>DAIMON LLC</t>
  </si>
  <si>
    <t>DEBORAH</t>
  </si>
  <si>
    <t>MICK RICH CONTRACTORS, INC</t>
  </si>
  <si>
    <t>HP</t>
  </si>
  <si>
    <t>CCNTR</t>
  </si>
  <si>
    <t>ENTERPRISE BUILDERS CORP</t>
  </si>
  <si>
    <t>A-FEL CONSTRUCTION</t>
  </si>
  <si>
    <t>RRSHO</t>
  </si>
  <si>
    <t>P</t>
  </si>
  <si>
    <t>RESTAURANT</t>
  </si>
  <si>
    <t>TI</t>
  </si>
  <si>
    <t>NOVEMBER</t>
  </si>
  <si>
    <t>ELECTRIC
TOTAL</t>
  </si>
  <si>
    <t>MECHANICAL</t>
  </si>
  <si>
    <t>MECHANICAL
TOTAL</t>
  </si>
  <si>
    <t>PLUMBING</t>
  </si>
  <si>
    <t>PLUMBING
TOTAL</t>
  </si>
  <si>
    <t>TRADES TOTAL</t>
  </si>
  <si>
    <t>NOVEMBER 2013 SINGLE FAMILY RESIDENTIAL STARTS</t>
  </si>
  <si>
    <t>NOVEMBER 2013 RESIDENTIAL ADDITIONS</t>
  </si>
  <si>
    <t>NOVEMBER 2013 NON-RESIDENTIAL DATA</t>
  </si>
  <si>
    <t>NOVEMBER 2013 MULTI-FAMILY</t>
  </si>
  <si>
    <t xml:space="preserve"> NOVEMBER 2013 TRADE PERMITS (ELECTRICAL, MECHANICAL, PLUMBING)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</si>
</sst>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0"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
      <sz val="5"/>
      <name val="Arial"/>
      <family val="2"/>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49998474074526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15">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0" fillId="0" borderId="0" xfId="0" applyFont="1" applyAlignment="1">
      <alignment horizontal="center"/>
    </xf>
    <xf numFmtId="0" fontId="0" fillId="0" borderId="0" xfId="0" applyFont="1"/>
    <xf numFmtId="0" fontId="18"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165" fontId="1" fillId="0" borderId="1" xfId="0" applyNumberFormat="1" applyFont="1" applyBorder="1" applyAlignment="1">
      <alignment horizontal="center"/>
    </xf>
    <xf numFmtId="164" fontId="1" fillId="0" borderId="1" xfId="0" applyNumberFormat="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8" fillId="6" borderId="1" xfId="0" applyFont="1" applyFill="1" applyBorder="1" applyAlignment="1">
      <alignment horizontal="center"/>
    </xf>
    <xf numFmtId="0" fontId="7" fillId="6" borderId="1" xfId="0" applyFont="1" applyFill="1" applyBorder="1" applyAlignment="1">
      <alignment horizontal="center"/>
    </xf>
    <xf numFmtId="0" fontId="19" fillId="6" borderId="1" xfId="0" applyFont="1" applyFill="1" applyBorder="1" applyAlignment="1">
      <alignment horizontal="center"/>
    </xf>
    <xf numFmtId="0" fontId="2" fillId="0" borderId="1" xfId="0" applyFont="1" applyFill="1" applyBorder="1" applyAlignment="1">
      <alignment horizontal="center" wrapText="1"/>
    </xf>
    <xf numFmtId="0" fontId="1" fillId="7" borderId="1" xfId="0" applyFont="1" applyFill="1"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dLbl>
            <c:dLbl>
              <c:idx val="1"/>
              <c:layout>
                <c:manualLayout>
                  <c:xMode val="edge"/>
                  <c:yMode val="edge"/>
                  <c:x val="0.70477247502774698"/>
                  <c:y val="0.53596614950634702"/>
                </c:manualLayout>
              </c:layout>
              <c:dLblPos val="bestFit"/>
              <c:showLegendKey val="1"/>
              <c:showVal val="0"/>
              <c:showCatName val="1"/>
              <c:showSerName val="0"/>
              <c:showPercent val="1"/>
              <c:showBubbleSize val="0"/>
            </c:dLbl>
            <c:dLbl>
              <c:idx val="2"/>
              <c:layout>
                <c:manualLayout>
                  <c:xMode val="edge"/>
                  <c:yMode val="edge"/>
                  <c:x val="0.60155382907880095"/>
                  <c:y val="0.69534555712270796"/>
                </c:manualLayout>
              </c:layout>
              <c:dLblPos val="bestFit"/>
              <c:showLegendKey val="1"/>
              <c:showVal val="0"/>
              <c:showCatName val="1"/>
              <c:showSerName val="0"/>
              <c:showPercent val="1"/>
              <c:showBubbleSize val="0"/>
            </c:dLbl>
            <c:dLbl>
              <c:idx val="3"/>
              <c:layout>
                <c:manualLayout>
                  <c:xMode val="edge"/>
                  <c:yMode val="edge"/>
                  <c:x val="0.13651498335183099"/>
                  <c:y val="0.79548660084626199"/>
                </c:manualLayout>
              </c:layout>
              <c:dLblPos val="bestFit"/>
              <c:showLegendKey val="1"/>
              <c:showVal val="0"/>
              <c:showCatName val="1"/>
              <c:showSerName val="0"/>
              <c:showPercent val="1"/>
              <c:showBubbleSize val="0"/>
            </c:dLbl>
            <c:dLbl>
              <c:idx val="4"/>
              <c:layout>
                <c:manualLayout>
                  <c:xMode val="edge"/>
                  <c:yMode val="edge"/>
                  <c:x val="7.7691453940066602E-2"/>
                  <c:y val="0.349788434414669"/>
                </c:manualLayout>
              </c:layout>
              <c:dLblPos val="bestFit"/>
              <c:showLegendKey val="1"/>
              <c:showVal val="0"/>
              <c:showCatName val="1"/>
              <c:showSerName val="0"/>
              <c:showPercent val="1"/>
              <c:showBubbleSize val="0"/>
            </c:dLbl>
            <c:dLbl>
              <c:idx val="5"/>
              <c:layout>
                <c:manualLayout>
                  <c:xMode val="edge"/>
                  <c:yMode val="edge"/>
                  <c:x val="0.221975582685905"/>
                  <c:y val="0.21438645980253901"/>
                </c:manualLayout>
              </c:layout>
              <c:dLblPos val="bestFit"/>
              <c:showLegendKey val="1"/>
              <c:showVal val="0"/>
              <c:showCatName val="1"/>
              <c:showSerName val="0"/>
              <c:showPercent val="1"/>
              <c:showBubbleSize val="0"/>
            </c:dLbl>
            <c:dLbl>
              <c:idx val="6"/>
              <c:layout>
                <c:manualLayout>
                  <c:xMode val="edge"/>
                  <c:yMode val="edge"/>
                  <c:x val="0.36847946725860198"/>
                  <c:y val="0.20028208744710899"/>
                </c:manualLayout>
              </c:layout>
              <c:dLblPos val="bestFit"/>
              <c:showLegendKey val="1"/>
              <c:showVal val="0"/>
              <c:showCatName val="1"/>
              <c:showSerName val="0"/>
              <c:showPercent val="1"/>
              <c:showBubbleSize val="0"/>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58"/>
  <sheetViews>
    <sheetView tabSelected="1" zoomScale="120" zoomScaleNormal="120" zoomScalePageLayoutView="120" workbookViewId="0">
      <selection activeCell="A6" sqref="A6"/>
    </sheetView>
  </sheetViews>
  <sheetFormatPr defaultColWidth="8.85546875" defaultRowHeight="12.75" x14ac:dyDescent="0.2"/>
  <cols>
    <col min="1" max="1" width="10.28515625" style="1" customWidth="1"/>
    <col min="2" max="2" width="7.42578125" style="1" customWidth="1"/>
    <col min="3" max="3" width="19"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9.42578125" style="3" customWidth="1"/>
    <col min="14" max="14" width="11.28515625" style="44" customWidth="1"/>
    <col min="15" max="15" width="32.8554687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489</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22.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356</v>
      </c>
      <c r="B8" s="8">
        <v>2833</v>
      </c>
      <c r="C8" s="8" t="s">
        <v>357</v>
      </c>
      <c r="D8" s="8" t="s">
        <v>358</v>
      </c>
      <c r="E8" s="8" t="s">
        <v>359</v>
      </c>
      <c r="F8" s="8" t="s">
        <v>235</v>
      </c>
      <c r="G8" s="8">
        <v>4</v>
      </c>
      <c r="H8" s="8" t="s">
        <v>360</v>
      </c>
      <c r="I8" s="8">
        <v>13</v>
      </c>
      <c r="J8" s="8">
        <v>7547</v>
      </c>
      <c r="K8" s="8" t="s">
        <v>361</v>
      </c>
      <c r="L8" s="8">
        <v>131120</v>
      </c>
      <c r="M8" s="101">
        <v>2698</v>
      </c>
      <c r="N8" s="100">
        <v>181333</v>
      </c>
      <c r="O8" s="8" t="s">
        <v>362</v>
      </c>
    </row>
    <row r="9" spans="1:17" s="4" customFormat="1" ht="11.25" x14ac:dyDescent="0.2">
      <c r="A9" s="8" t="s">
        <v>356</v>
      </c>
      <c r="B9" s="8">
        <v>2201</v>
      </c>
      <c r="C9" s="8" t="s">
        <v>150</v>
      </c>
      <c r="D9" s="8" t="s">
        <v>363</v>
      </c>
      <c r="E9" s="8" t="s">
        <v>359</v>
      </c>
      <c r="F9" s="8" t="s">
        <v>151</v>
      </c>
      <c r="G9" s="8">
        <v>9</v>
      </c>
      <c r="H9" s="8">
        <v>15</v>
      </c>
      <c r="I9" s="8">
        <v>13</v>
      </c>
      <c r="J9" s="8">
        <v>7558</v>
      </c>
      <c r="K9" s="8" t="s">
        <v>361</v>
      </c>
      <c r="L9" s="8">
        <v>131120</v>
      </c>
      <c r="M9" s="101">
        <v>1670</v>
      </c>
      <c r="N9" s="100">
        <v>112241</v>
      </c>
      <c r="O9" s="8" t="s">
        <v>364</v>
      </c>
    </row>
    <row r="10" spans="1:17" s="4" customFormat="1" ht="11.25" x14ac:dyDescent="0.2">
      <c r="A10" s="8" t="s">
        <v>356</v>
      </c>
      <c r="B10" s="8">
        <v>2204</v>
      </c>
      <c r="C10" s="8" t="s">
        <v>150</v>
      </c>
      <c r="D10" s="8" t="s">
        <v>363</v>
      </c>
      <c r="E10" s="8" t="s">
        <v>359</v>
      </c>
      <c r="F10" s="8" t="s">
        <v>151</v>
      </c>
      <c r="G10" s="8">
        <v>1</v>
      </c>
      <c r="H10" s="8">
        <v>37</v>
      </c>
      <c r="I10" s="8">
        <v>13</v>
      </c>
      <c r="J10" s="8">
        <v>7438</v>
      </c>
      <c r="K10" s="8" t="s">
        <v>361</v>
      </c>
      <c r="L10" s="8">
        <v>131114</v>
      </c>
      <c r="M10" s="101">
        <v>1858</v>
      </c>
      <c r="N10" s="100">
        <v>124876</v>
      </c>
      <c r="O10" s="8" t="s">
        <v>364</v>
      </c>
    </row>
    <row r="11" spans="1:17" s="4" customFormat="1" ht="11.25" x14ac:dyDescent="0.2">
      <c r="A11" s="8" t="s">
        <v>356</v>
      </c>
      <c r="B11" s="8">
        <v>1623</v>
      </c>
      <c r="C11" s="8" t="s">
        <v>152</v>
      </c>
      <c r="D11" s="8" t="s">
        <v>365</v>
      </c>
      <c r="E11" s="8" t="s">
        <v>359</v>
      </c>
      <c r="F11" s="8" t="s">
        <v>106</v>
      </c>
      <c r="G11" s="8">
        <v>1</v>
      </c>
      <c r="H11" s="8">
        <v>30</v>
      </c>
      <c r="I11" s="8">
        <v>13</v>
      </c>
      <c r="J11" s="8">
        <v>7687</v>
      </c>
      <c r="K11" s="8" t="s">
        <v>361</v>
      </c>
      <c r="L11" s="8">
        <v>131126</v>
      </c>
      <c r="M11" s="101">
        <v>3812</v>
      </c>
      <c r="N11" s="100">
        <v>256205</v>
      </c>
      <c r="O11" s="8" t="s">
        <v>362</v>
      </c>
    </row>
    <row r="12" spans="1:17" s="4" customFormat="1" ht="11.25" x14ac:dyDescent="0.2">
      <c r="A12" s="8" t="s">
        <v>356</v>
      </c>
      <c r="B12" s="8">
        <v>1818</v>
      </c>
      <c r="C12" s="8" t="s">
        <v>152</v>
      </c>
      <c r="D12" s="8" t="s">
        <v>365</v>
      </c>
      <c r="E12" s="8" t="s">
        <v>359</v>
      </c>
      <c r="F12" s="8" t="s">
        <v>106</v>
      </c>
      <c r="G12" s="8">
        <v>3</v>
      </c>
      <c r="H12" s="8">
        <v>3</v>
      </c>
      <c r="I12" s="8">
        <v>13</v>
      </c>
      <c r="J12" s="8">
        <v>7394</v>
      </c>
      <c r="K12" s="8" t="s">
        <v>361</v>
      </c>
      <c r="L12" s="8">
        <v>131113</v>
      </c>
      <c r="M12" s="101">
        <v>4228</v>
      </c>
      <c r="N12" s="100">
        <v>284164</v>
      </c>
      <c r="O12" s="8" t="s">
        <v>362</v>
      </c>
    </row>
    <row r="13" spans="1:17" s="4" customFormat="1" ht="11.25" x14ac:dyDescent="0.2">
      <c r="A13" s="8" t="s">
        <v>366</v>
      </c>
      <c r="B13" s="8">
        <v>5</v>
      </c>
      <c r="C13" s="8" t="s">
        <v>111</v>
      </c>
      <c r="D13" s="8" t="s">
        <v>367</v>
      </c>
      <c r="E13" s="8" t="s">
        <v>368</v>
      </c>
      <c r="F13" s="8" t="s">
        <v>112</v>
      </c>
      <c r="G13" s="8">
        <v>1</v>
      </c>
      <c r="H13" s="8">
        <v>2</v>
      </c>
      <c r="I13" s="8">
        <v>13</v>
      </c>
      <c r="J13" s="8">
        <v>7574</v>
      </c>
      <c r="K13" s="8" t="s">
        <v>369</v>
      </c>
      <c r="L13" s="8">
        <v>131121</v>
      </c>
      <c r="M13" s="101">
        <v>2133</v>
      </c>
      <c r="N13" s="100">
        <v>143359</v>
      </c>
      <c r="O13" s="8" t="s">
        <v>370</v>
      </c>
    </row>
    <row r="14" spans="1:17" s="4" customFormat="1" ht="11.25" x14ac:dyDescent="0.2">
      <c r="A14" s="8" t="s">
        <v>371</v>
      </c>
      <c r="B14" s="8">
        <v>3818</v>
      </c>
      <c r="C14" s="8" t="s">
        <v>169</v>
      </c>
      <c r="D14" s="8" t="s">
        <v>372</v>
      </c>
      <c r="E14" s="8" t="s">
        <v>373</v>
      </c>
      <c r="F14" s="8" t="s">
        <v>170</v>
      </c>
      <c r="G14" s="8">
        <v>3</v>
      </c>
      <c r="H14" s="8">
        <v>5</v>
      </c>
      <c r="I14" s="8">
        <v>13</v>
      </c>
      <c r="J14" s="8">
        <v>7684</v>
      </c>
      <c r="K14" s="8" t="s">
        <v>361</v>
      </c>
      <c r="L14" s="8">
        <v>131126</v>
      </c>
      <c r="M14" s="101">
        <v>2815</v>
      </c>
      <c r="N14" s="100">
        <v>189196</v>
      </c>
      <c r="O14" s="8" t="s">
        <v>364</v>
      </c>
    </row>
    <row r="15" spans="1:17" s="4" customFormat="1" ht="11.25" x14ac:dyDescent="0.2">
      <c r="A15" s="8" t="s">
        <v>371</v>
      </c>
      <c r="B15" s="8">
        <v>3819</v>
      </c>
      <c r="C15" s="8" t="s">
        <v>169</v>
      </c>
      <c r="D15" s="8" t="s">
        <v>372</v>
      </c>
      <c r="E15" s="8" t="s">
        <v>373</v>
      </c>
      <c r="F15" s="8" t="s">
        <v>170</v>
      </c>
      <c r="G15" s="8">
        <v>2</v>
      </c>
      <c r="H15" s="8">
        <v>3</v>
      </c>
      <c r="I15" s="8">
        <v>13</v>
      </c>
      <c r="J15" s="8">
        <v>7559</v>
      </c>
      <c r="K15" s="8" t="s">
        <v>361</v>
      </c>
      <c r="L15" s="8">
        <v>131120</v>
      </c>
      <c r="M15" s="101">
        <v>2824</v>
      </c>
      <c r="N15" s="100">
        <v>189801</v>
      </c>
      <c r="O15" s="8" t="s">
        <v>364</v>
      </c>
    </row>
    <row r="16" spans="1:17" s="4" customFormat="1" ht="11.25" x14ac:dyDescent="0.2">
      <c r="A16" s="8" t="s">
        <v>371</v>
      </c>
      <c r="B16" s="8">
        <v>621</v>
      </c>
      <c r="C16" s="8" t="s">
        <v>173</v>
      </c>
      <c r="D16" s="8" t="s">
        <v>365</v>
      </c>
      <c r="E16" s="8" t="s">
        <v>373</v>
      </c>
      <c r="F16" s="8" t="s">
        <v>170</v>
      </c>
      <c r="G16" s="8">
        <v>1</v>
      </c>
      <c r="H16" s="8">
        <v>2</v>
      </c>
      <c r="I16" s="8">
        <v>13</v>
      </c>
      <c r="J16" s="8">
        <v>7686</v>
      </c>
      <c r="K16" s="8" t="s">
        <v>361</v>
      </c>
      <c r="L16" s="8">
        <v>131126</v>
      </c>
      <c r="M16" s="101">
        <v>2850</v>
      </c>
      <c r="N16" s="100">
        <v>191549</v>
      </c>
      <c r="O16" s="8" t="s">
        <v>364</v>
      </c>
    </row>
    <row r="17" spans="1:15" s="4" customFormat="1" ht="11.25" x14ac:dyDescent="0.2">
      <c r="A17" s="8" t="s">
        <v>371</v>
      </c>
      <c r="B17" s="8">
        <v>753</v>
      </c>
      <c r="C17" s="8" t="s">
        <v>173</v>
      </c>
      <c r="D17" s="8" t="s">
        <v>365</v>
      </c>
      <c r="E17" s="8" t="s">
        <v>373</v>
      </c>
      <c r="F17" s="8" t="s">
        <v>170</v>
      </c>
      <c r="G17" s="8">
        <v>1</v>
      </c>
      <c r="H17" s="8">
        <v>18</v>
      </c>
      <c r="I17" s="8">
        <v>13</v>
      </c>
      <c r="J17" s="8">
        <v>7293</v>
      </c>
      <c r="K17" s="8" t="s">
        <v>361</v>
      </c>
      <c r="L17" s="8">
        <v>131107</v>
      </c>
      <c r="M17" s="101">
        <v>3598</v>
      </c>
      <c r="N17" s="100">
        <v>241822</v>
      </c>
      <c r="O17" s="8" t="s">
        <v>364</v>
      </c>
    </row>
    <row r="18" spans="1:15" s="4" customFormat="1" ht="11.25" x14ac:dyDescent="0.2">
      <c r="A18" s="8" t="s">
        <v>371</v>
      </c>
      <c r="B18" s="8">
        <v>805</v>
      </c>
      <c r="C18" s="8" t="s">
        <v>173</v>
      </c>
      <c r="D18" s="8" t="s">
        <v>365</v>
      </c>
      <c r="E18" s="8" t="s">
        <v>373</v>
      </c>
      <c r="F18" s="8" t="s">
        <v>199</v>
      </c>
      <c r="G18" s="8">
        <v>5</v>
      </c>
      <c r="H18" s="8">
        <v>5</v>
      </c>
      <c r="I18" s="8">
        <v>13</v>
      </c>
      <c r="J18" s="8">
        <v>7685</v>
      </c>
      <c r="K18" s="8" t="s">
        <v>361</v>
      </c>
      <c r="L18" s="8">
        <v>131126</v>
      </c>
      <c r="M18" s="101">
        <v>2751</v>
      </c>
      <c r="N18" s="100">
        <v>184895</v>
      </c>
      <c r="O18" s="8" t="s">
        <v>364</v>
      </c>
    </row>
    <row r="19" spans="1:15" s="4" customFormat="1" ht="11.25" x14ac:dyDescent="0.2">
      <c r="A19" s="8" t="s">
        <v>371</v>
      </c>
      <c r="B19" s="8">
        <v>411</v>
      </c>
      <c r="C19" s="8" t="s">
        <v>305</v>
      </c>
      <c r="D19" s="8" t="s">
        <v>374</v>
      </c>
      <c r="E19" s="8" t="s">
        <v>373</v>
      </c>
      <c r="F19" s="8" t="s">
        <v>306</v>
      </c>
      <c r="G19" s="8">
        <v>2</v>
      </c>
      <c r="H19" s="8">
        <v>9</v>
      </c>
      <c r="I19" s="8">
        <v>13</v>
      </c>
      <c r="J19" s="8">
        <v>7442</v>
      </c>
      <c r="K19" s="8" t="s">
        <v>361</v>
      </c>
      <c r="L19" s="8">
        <v>131114</v>
      </c>
      <c r="M19" s="101">
        <v>3794</v>
      </c>
      <c r="N19" s="100">
        <v>254995</v>
      </c>
      <c r="O19" s="8" t="s">
        <v>364</v>
      </c>
    </row>
    <row r="20" spans="1:15" s="4" customFormat="1" ht="11.25" x14ac:dyDescent="0.2">
      <c r="A20" s="8" t="s">
        <v>371</v>
      </c>
      <c r="B20" s="8">
        <v>600</v>
      </c>
      <c r="C20" s="8" t="s">
        <v>139</v>
      </c>
      <c r="D20" s="8" t="s">
        <v>375</v>
      </c>
      <c r="E20" s="8" t="s">
        <v>373</v>
      </c>
      <c r="F20" s="8" t="s">
        <v>133</v>
      </c>
      <c r="G20" s="8">
        <v>3</v>
      </c>
      <c r="H20" s="8">
        <v>6</v>
      </c>
      <c r="I20" s="8">
        <v>13</v>
      </c>
      <c r="J20" s="8">
        <v>7439</v>
      </c>
      <c r="K20" s="8" t="s">
        <v>361</v>
      </c>
      <c r="L20" s="8">
        <v>131114</v>
      </c>
      <c r="M20" s="101">
        <v>3666</v>
      </c>
      <c r="N20" s="100">
        <v>246392</v>
      </c>
      <c r="O20" s="8" t="s">
        <v>364</v>
      </c>
    </row>
    <row r="21" spans="1:15" s="4" customFormat="1" ht="11.25" x14ac:dyDescent="0.2">
      <c r="A21" s="8" t="s">
        <v>371</v>
      </c>
      <c r="B21" s="8">
        <v>710</v>
      </c>
      <c r="C21" s="8" t="s">
        <v>139</v>
      </c>
      <c r="D21" s="8" t="s">
        <v>375</v>
      </c>
      <c r="E21" s="8" t="s">
        <v>373</v>
      </c>
      <c r="F21" s="8" t="s">
        <v>133</v>
      </c>
      <c r="G21" s="8">
        <v>3</v>
      </c>
      <c r="H21" s="8">
        <v>16</v>
      </c>
      <c r="I21" s="8">
        <v>13</v>
      </c>
      <c r="J21" s="8">
        <v>7440</v>
      </c>
      <c r="K21" s="8" t="s">
        <v>361</v>
      </c>
      <c r="L21" s="8">
        <v>131114</v>
      </c>
      <c r="M21" s="101">
        <v>3786</v>
      </c>
      <c r="N21" s="100">
        <v>254457</v>
      </c>
      <c r="O21" s="8" t="s">
        <v>364</v>
      </c>
    </row>
    <row r="22" spans="1:15" s="4" customFormat="1" ht="11.25" x14ac:dyDescent="0.2">
      <c r="A22" s="8" t="s">
        <v>376</v>
      </c>
      <c r="B22" s="8">
        <v>7120</v>
      </c>
      <c r="C22" s="8" t="s">
        <v>140</v>
      </c>
      <c r="D22" s="8" t="s">
        <v>365</v>
      </c>
      <c r="E22" s="8" t="s">
        <v>373</v>
      </c>
      <c r="F22" s="8" t="s">
        <v>141</v>
      </c>
      <c r="G22" s="8">
        <v>4</v>
      </c>
      <c r="H22" s="8">
        <v>39</v>
      </c>
      <c r="I22" s="8">
        <v>13</v>
      </c>
      <c r="J22" s="8">
        <v>7549</v>
      </c>
      <c r="K22" s="8" t="s">
        <v>361</v>
      </c>
      <c r="L22" s="8">
        <v>131120</v>
      </c>
      <c r="M22" s="101">
        <v>2537</v>
      </c>
      <c r="N22" s="100">
        <v>170512</v>
      </c>
      <c r="O22" s="8" t="s">
        <v>362</v>
      </c>
    </row>
    <row r="23" spans="1:15" s="4" customFormat="1" ht="11.25" x14ac:dyDescent="0.2">
      <c r="A23" s="8" t="s">
        <v>377</v>
      </c>
      <c r="B23" s="8">
        <v>2732</v>
      </c>
      <c r="C23" s="8" t="s">
        <v>349</v>
      </c>
      <c r="D23" s="8" t="s">
        <v>367</v>
      </c>
      <c r="E23" s="8" t="s">
        <v>373</v>
      </c>
      <c r="F23" s="8" t="s">
        <v>350</v>
      </c>
      <c r="G23" s="8">
        <v>2</v>
      </c>
      <c r="H23" s="8">
        <v>6</v>
      </c>
      <c r="I23" s="8">
        <v>13</v>
      </c>
      <c r="J23" s="8">
        <v>7349</v>
      </c>
      <c r="K23" s="8" t="s">
        <v>361</v>
      </c>
      <c r="L23" s="8">
        <v>131112</v>
      </c>
      <c r="M23" s="101">
        <v>1762</v>
      </c>
      <c r="N23" s="100">
        <v>118424</v>
      </c>
      <c r="O23" s="8" t="s">
        <v>378</v>
      </c>
    </row>
    <row r="24" spans="1:15" s="4" customFormat="1" ht="11.25" x14ac:dyDescent="0.2">
      <c r="A24" s="8" t="s">
        <v>377</v>
      </c>
      <c r="B24" s="8">
        <v>2749</v>
      </c>
      <c r="C24" s="8" t="s">
        <v>349</v>
      </c>
      <c r="D24" s="8" t="s">
        <v>367</v>
      </c>
      <c r="E24" s="8" t="s">
        <v>373</v>
      </c>
      <c r="F24" s="8" t="s">
        <v>350</v>
      </c>
      <c r="G24" s="8">
        <v>3</v>
      </c>
      <c r="H24" s="8">
        <v>25</v>
      </c>
      <c r="I24" s="8">
        <v>13</v>
      </c>
      <c r="J24" s="8">
        <v>7683</v>
      </c>
      <c r="K24" s="8" t="s">
        <v>361</v>
      </c>
      <c r="L24" s="8">
        <v>131126</v>
      </c>
      <c r="M24" s="101">
        <v>2616</v>
      </c>
      <c r="N24" s="100">
        <v>175821</v>
      </c>
      <c r="O24" s="8" t="s">
        <v>378</v>
      </c>
    </row>
    <row r="25" spans="1:15" s="4" customFormat="1" ht="11.25" x14ac:dyDescent="0.2">
      <c r="A25" s="8" t="s">
        <v>377</v>
      </c>
      <c r="B25" s="8">
        <v>2817</v>
      </c>
      <c r="C25" s="8" t="s">
        <v>349</v>
      </c>
      <c r="D25" s="8" t="s">
        <v>367</v>
      </c>
      <c r="E25" s="8" t="s">
        <v>373</v>
      </c>
      <c r="F25" s="8" t="s">
        <v>350</v>
      </c>
      <c r="G25" s="8">
        <v>3</v>
      </c>
      <c r="H25" s="8">
        <v>8</v>
      </c>
      <c r="I25" s="8">
        <v>13</v>
      </c>
      <c r="J25" s="8">
        <v>7353</v>
      </c>
      <c r="K25" s="8" t="s">
        <v>361</v>
      </c>
      <c r="L25" s="8">
        <v>131112</v>
      </c>
      <c r="M25" s="101">
        <v>2361</v>
      </c>
      <c r="N25" s="100">
        <v>158683</v>
      </c>
      <c r="O25" s="8" t="s">
        <v>378</v>
      </c>
    </row>
    <row r="26" spans="1:15" s="4" customFormat="1" ht="11.25" x14ac:dyDescent="0.2">
      <c r="A26" s="8" t="s">
        <v>377</v>
      </c>
      <c r="B26" s="8">
        <v>2825</v>
      </c>
      <c r="C26" s="8" t="s">
        <v>349</v>
      </c>
      <c r="D26" s="8" t="s">
        <v>367</v>
      </c>
      <c r="E26" s="8" t="s">
        <v>373</v>
      </c>
      <c r="F26" s="8" t="s">
        <v>350</v>
      </c>
      <c r="G26" s="8">
        <v>3</v>
      </c>
      <c r="H26" s="8">
        <v>6</v>
      </c>
      <c r="I26" s="8">
        <v>13</v>
      </c>
      <c r="J26" s="8">
        <v>7467</v>
      </c>
      <c r="K26" s="8" t="s">
        <v>361</v>
      </c>
      <c r="L26" s="8">
        <v>131115</v>
      </c>
      <c r="M26" s="101">
        <v>3525</v>
      </c>
      <c r="N26" s="100">
        <v>236915</v>
      </c>
      <c r="O26" s="8" t="s">
        <v>378</v>
      </c>
    </row>
    <row r="27" spans="1:15" s="4" customFormat="1" ht="11.25" x14ac:dyDescent="0.2">
      <c r="A27" s="8" t="s">
        <v>377</v>
      </c>
      <c r="B27" s="8">
        <v>2956</v>
      </c>
      <c r="C27" s="8" t="s">
        <v>349</v>
      </c>
      <c r="D27" s="8" t="s">
        <v>367</v>
      </c>
      <c r="E27" s="8" t="s">
        <v>373</v>
      </c>
      <c r="F27" s="8" t="s">
        <v>350</v>
      </c>
      <c r="G27" s="8">
        <v>2</v>
      </c>
      <c r="H27" s="8">
        <v>25</v>
      </c>
      <c r="I27" s="8">
        <v>13</v>
      </c>
      <c r="J27" s="8">
        <v>7346</v>
      </c>
      <c r="K27" s="8" t="s">
        <v>361</v>
      </c>
      <c r="L27" s="8">
        <v>131112</v>
      </c>
      <c r="M27" s="101">
        <v>1762</v>
      </c>
      <c r="N27" s="100">
        <v>118424</v>
      </c>
      <c r="O27" s="8" t="s">
        <v>378</v>
      </c>
    </row>
    <row r="28" spans="1:15" s="4" customFormat="1" ht="11.25" x14ac:dyDescent="0.2">
      <c r="A28" s="8" t="s">
        <v>379</v>
      </c>
      <c r="B28" s="8">
        <v>2829</v>
      </c>
      <c r="C28" s="8" t="s">
        <v>105</v>
      </c>
      <c r="D28" s="8" t="s">
        <v>380</v>
      </c>
      <c r="E28" s="8" t="s">
        <v>359</v>
      </c>
      <c r="F28" s="8" t="s">
        <v>106</v>
      </c>
      <c r="G28" s="8">
        <v>4</v>
      </c>
      <c r="H28" s="8">
        <v>13</v>
      </c>
      <c r="I28" s="8">
        <v>13</v>
      </c>
      <c r="J28" s="8">
        <v>7203</v>
      </c>
      <c r="K28" s="8" t="s">
        <v>361</v>
      </c>
      <c r="L28" s="8">
        <v>131105</v>
      </c>
      <c r="M28" s="101">
        <v>3812</v>
      </c>
      <c r="N28" s="100">
        <v>256205</v>
      </c>
      <c r="O28" s="8" t="s">
        <v>362</v>
      </c>
    </row>
    <row r="29" spans="1:15" s="4" customFormat="1" ht="11.25" x14ac:dyDescent="0.2">
      <c r="A29" s="8" t="s">
        <v>379</v>
      </c>
      <c r="B29" s="8">
        <v>6100</v>
      </c>
      <c r="C29" s="8" t="s">
        <v>381</v>
      </c>
      <c r="D29" s="8" t="s">
        <v>358</v>
      </c>
      <c r="E29" s="8" t="s">
        <v>373</v>
      </c>
      <c r="F29" s="8" t="s">
        <v>97</v>
      </c>
      <c r="G29" s="8">
        <v>83</v>
      </c>
      <c r="H29" s="8" t="s">
        <v>144</v>
      </c>
      <c r="I29" s="8">
        <v>13</v>
      </c>
      <c r="J29" s="8">
        <v>7666</v>
      </c>
      <c r="K29" s="8" t="s">
        <v>382</v>
      </c>
      <c r="L29" s="8">
        <v>131126</v>
      </c>
      <c r="M29" s="101">
        <v>5406</v>
      </c>
      <c r="N29" s="100">
        <v>363337</v>
      </c>
      <c r="O29" s="8" t="s">
        <v>383</v>
      </c>
    </row>
    <row r="30" spans="1:15" s="4" customFormat="1" ht="11.25" x14ac:dyDescent="0.2">
      <c r="A30" s="8" t="s">
        <v>379</v>
      </c>
      <c r="B30" s="8">
        <v>2505</v>
      </c>
      <c r="C30" s="8" t="s">
        <v>241</v>
      </c>
      <c r="D30" s="8" t="s">
        <v>365</v>
      </c>
      <c r="E30" s="8" t="s">
        <v>373</v>
      </c>
      <c r="F30" s="8" t="s">
        <v>165</v>
      </c>
      <c r="G30" s="8">
        <v>126</v>
      </c>
      <c r="H30" s="8">
        <v>2</v>
      </c>
      <c r="I30" s="8">
        <v>13</v>
      </c>
      <c r="J30" s="8">
        <v>7272</v>
      </c>
      <c r="K30" s="8" t="s">
        <v>361</v>
      </c>
      <c r="L30" s="8">
        <v>131107</v>
      </c>
      <c r="M30" s="101">
        <v>2484</v>
      </c>
      <c r="N30" s="100">
        <v>166950</v>
      </c>
      <c r="O30" s="8" t="s">
        <v>384</v>
      </c>
    </row>
    <row r="31" spans="1:15" s="4" customFormat="1" ht="11.25" x14ac:dyDescent="0.2">
      <c r="A31" s="8" t="s">
        <v>379</v>
      </c>
      <c r="B31" s="8">
        <v>252</v>
      </c>
      <c r="C31" s="8" t="s">
        <v>167</v>
      </c>
      <c r="D31" s="8" t="s">
        <v>385</v>
      </c>
      <c r="E31" s="8" t="s">
        <v>373</v>
      </c>
      <c r="F31" s="8" t="s">
        <v>119</v>
      </c>
      <c r="G31" s="8" t="s">
        <v>168</v>
      </c>
      <c r="H31" s="8">
        <v>13</v>
      </c>
      <c r="I31" s="8">
        <v>13</v>
      </c>
      <c r="J31" s="8">
        <v>7543</v>
      </c>
      <c r="K31" s="8" t="s">
        <v>361</v>
      </c>
      <c r="L31" s="8">
        <v>131120</v>
      </c>
      <c r="M31" s="101">
        <v>3490</v>
      </c>
      <c r="N31" s="100">
        <v>234563</v>
      </c>
      <c r="O31" s="8" t="s">
        <v>362</v>
      </c>
    </row>
    <row r="32" spans="1:15" s="4" customFormat="1" ht="11.25" x14ac:dyDescent="0.2">
      <c r="A32" s="8" t="s">
        <v>379</v>
      </c>
      <c r="B32" s="8">
        <v>253</v>
      </c>
      <c r="C32" s="8" t="s">
        <v>167</v>
      </c>
      <c r="D32" s="8" t="s">
        <v>385</v>
      </c>
      <c r="E32" s="8" t="s">
        <v>373</v>
      </c>
      <c r="F32" s="8" t="s">
        <v>119</v>
      </c>
      <c r="G32" s="8" t="s">
        <v>120</v>
      </c>
      <c r="H32" s="8">
        <v>28</v>
      </c>
      <c r="I32" s="8">
        <v>13</v>
      </c>
      <c r="J32" s="8">
        <v>7409</v>
      </c>
      <c r="K32" s="8" t="s">
        <v>361</v>
      </c>
      <c r="L32" s="8">
        <v>131113</v>
      </c>
      <c r="M32" s="101">
        <v>2103</v>
      </c>
      <c r="N32" s="100">
        <v>141343</v>
      </c>
      <c r="O32" s="8" t="s">
        <v>362</v>
      </c>
    </row>
    <row r="33" spans="1:15" s="4" customFormat="1" ht="11.25" x14ac:dyDescent="0.2">
      <c r="A33" s="8" t="s">
        <v>379</v>
      </c>
      <c r="B33" s="8">
        <v>256</v>
      </c>
      <c r="C33" s="8" t="s">
        <v>167</v>
      </c>
      <c r="D33" s="8" t="s">
        <v>385</v>
      </c>
      <c r="E33" s="8" t="s">
        <v>373</v>
      </c>
      <c r="F33" s="8" t="s">
        <v>119</v>
      </c>
      <c r="G33" s="8" t="s">
        <v>168</v>
      </c>
      <c r="H33" s="8">
        <v>14</v>
      </c>
      <c r="I33" s="8">
        <v>13</v>
      </c>
      <c r="J33" s="8">
        <v>7402</v>
      </c>
      <c r="K33" s="8" t="s">
        <v>361</v>
      </c>
      <c r="L33" s="8">
        <v>131113</v>
      </c>
      <c r="M33" s="101">
        <v>2322</v>
      </c>
      <c r="N33" s="100">
        <v>156062</v>
      </c>
      <c r="O33" s="8" t="s">
        <v>362</v>
      </c>
    </row>
    <row r="34" spans="1:15" s="4" customFormat="1" ht="11.25" x14ac:dyDescent="0.2">
      <c r="A34" s="8" t="s">
        <v>379</v>
      </c>
      <c r="B34" s="8">
        <v>260</v>
      </c>
      <c r="C34" s="8" t="s">
        <v>167</v>
      </c>
      <c r="D34" s="8" t="s">
        <v>385</v>
      </c>
      <c r="E34" s="8" t="s">
        <v>373</v>
      </c>
      <c r="F34" s="8" t="s">
        <v>119</v>
      </c>
      <c r="G34" s="8" t="s">
        <v>168</v>
      </c>
      <c r="H34" s="8">
        <v>15</v>
      </c>
      <c r="I34" s="8">
        <v>13</v>
      </c>
      <c r="J34" s="8">
        <v>7410</v>
      </c>
      <c r="K34" s="8" t="s">
        <v>361</v>
      </c>
      <c r="L34" s="8">
        <v>131113</v>
      </c>
      <c r="M34" s="101">
        <v>2595</v>
      </c>
      <c r="N34" s="100">
        <v>174410</v>
      </c>
      <c r="O34" s="8" t="s">
        <v>362</v>
      </c>
    </row>
    <row r="35" spans="1:15" s="4" customFormat="1" ht="11.25" x14ac:dyDescent="0.2">
      <c r="A35" s="8" t="s">
        <v>379</v>
      </c>
      <c r="B35" s="8">
        <v>264</v>
      </c>
      <c r="C35" s="8" t="s">
        <v>167</v>
      </c>
      <c r="D35" s="8" t="s">
        <v>385</v>
      </c>
      <c r="E35" s="8" t="s">
        <v>373</v>
      </c>
      <c r="F35" s="8" t="s">
        <v>119</v>
      </c>
      <c r="G35" s="8" t="s">
        <v>168</v>
      </c>
      <c r="H35" s="8">
        <v>16</v>
      </c>
      <c r="I35" s="8">
        <v>13</v>
      </c>
      <c r="J35" s="8">
        <v>7396</v>
      </c>
      <c r="K35" s="8" t="s">
        <v>361</v>
      </c>
      <c r="L35" s="8">
        <v>131113</v>
      </c>
      <c r="M35" s="101">
        <v>3462</v>
      </c>
      <c r="N35" s="100">
        <v>232681</v>
      </c>
      <c r="O35" s="8" t="s">
        <v>362</v>
      </c>
    </row>
    <row r="36" spans="1:15" s="4" customFormat="1" ht="11.25" x14ac:dyDescent="0.2">
      <c r="A36" s="8" t="s">
        <v>379</v>
      </c>
      <c r="B36" s="8">
        <v>300</v>
      </c>
      <c r="C36" s="8" t="s">
        <v>167</v>
      </c>
      <c r="D36" s="8" t="s">
        <v>385</v>
      </c>
      <c r="E36" s="8" t="s">
        <v>373</v>
      </c>
      <c r="F36" s="8" t="s">
        <v>119</v>
      </c>
      <c r="G36" s="8" t="s">
        <v>168</v>
      </c>
      <c r="H36" s="8">
        <v>18</v>
      </c>
      <c r="I36" s="8">
        <v>13</v>
      </c>
      <c r="J36" s="8">
        <v>7407</v>
      </c>
      <c r="K36" s="8" t="s">
        <v>361</v>
      </c>
      <c r="L36" s="8">
        <v>131113</v>
      </c>
      <c r="M36" s="101">
        <v>3065</v>
      </c>
      <c r="N36" s="100">
        <v>205999</v>
      </c>
      <c r="O36" s="8" t="s">
        <v>362</v>
      </c>
    </row>
    <row r="37" spans="1:15" s="4" customFormat="1" ht="11.25" x14ac:dyDescent="0.2">
      <c r="A37" s="8" t="s">
        <v>379</v>
      </c>
      <c r="B37" s="8">
        <v>6805</v>
      </c>
      <c r="C37" s="8" t="s">
        <v>386</v>
      </c>
      <c r="D37" s="8" t="s">
        <v>358</v>
      </c>
      <c r="E37" s="8" t="s">
        <v>373</v>
      </c>
      <c r="F37" s="8" t="s">
        <v>122</v>
      </c>
      <c r="G37" s="8">
        <v>104</v>
      </c>
      <c r="H37" s="8">
        <v>31</v>
      </c>
      <c r="I37" s="8">
        <v>13</v>
      </c>
      <c r="J37" s="8">
        <v>7274</v>
      </c>
      <c r="K37" s="8" t="s">
        <v>361</v>
      </c>
      <c r="L37" s="8">
        <v>131107</v>
      </c>
      <c r="M37" s="101">
        <v>2444</v>
      </c>
      <c r="N37" s="100">
        <v>164261</v>
      </c>
      <c r="O37" s="8" t="s">
        <v>384</v>
      </c>
    </row>
    <row r="38" spans="1:15" s="4" customFormat="1" ht="11.25" x14ac:dyDescent="0.2">
      <c r="A38" s="8" t="s">
        <v>379</v>
      </c>
      <c r="B38" s="8">
        <v>6873</v>
      </c>
      <c r="C38" s="8" t="s">
        <v>386</v>
      </c>
      <c r="D38" s="8" t="s">
        <v>358</v>
      </c>
      <c r="E38" s="8" t="s">
        <v>373</v>
      </c>
      <c r="F38" s="8" t="s">
        <v>122</v>
      </c>
      <c r="G38" s="8">
        <v>104</v>
      </c>
      <c r="H38" s="8">
        <v>48</v>
      </c>
      <c r="I38" s="8">
        <v>13</v>
      </c>
      <c r="J38" s="8">
        <v>7271</v>
      </c>
      <c r="K38" s="8" t="s">
        <v>361</v>
      </c>
      <c r="L38" s="8">
        <v>131107</v>
      </c>
      <c r="M38" s="101">
        <v>2477</v>
      </c>
      <c r="N38" s="100">
        <v>166479</v>
      </c>
      <c r="O38" s="8" t="s">
        <v>384</v>
      </c>
    </row>
    <row r="39" spans="1:15" s="4" customFormat="1" ht="11.25" x14ac:dyDescent="0.2">
      <c r="A39" s="8" t="s">
        <v>379</v>
      </c>
      <c r="B39" s="8">
        <v>5908</v>
      </c>
      <c r="C39" s="8" t="s">
        <v>312</v>
      </c>
      <c r="D39" s="8" t="s">
        <v>358</v>
      </c>
      <c r="E39" s="8" t="s">
        <v>373</v>
      </c>
      <c r="F39" s="8" t="s">
        <v>97</v>
      </c>
      <c r="G39" s="8">
        <v>166</v>
      </c>
      <c r="H39" s="8">
        <v>13</v>
      </c>
      <c r="I39" s="8">
        <v>13</v>
      </c>
      <c r="J39" s="8">
        <v>7386</v>
      </c>
      <c r="K39" s="8" t="s">
        <v>382</v>
      </c>
      <c r="L39" s="8">
        <v>131113</v>
      </c>
      <c r="M39" s="101">
        <v>4635</v>
      </c>
      <c r="N39" s="100">
        <v>311518</v>
      </c>
      <c r="O39" s="8" t="s">
        <v>387</v>
      </c>
    </row>
    <row r="40" spans="1:15" s="4" customFormat="1" ht="11.25" x14ac:dyDescent="0.2">
      <c r="A40" s="8" t="s">
        <v>379</v>
      </c>
      <c r="B40" s="8">
        <v>1545</v>
      </c>
      <c r="C40" s="8" t="s">
        <v>152</v>
      </c>
      <c r="D40" s="8" t="s">
        <v>365</v>
      </c>
      <c r="E40" s="8" t="s">
        <v>359</v>
      </c>
      <c r="F40" s="8" t="s">
        <v>106</v>
      </c>
      <c r="G40" s="8">
        <v>1</v>
      </c>
      <c r="H40" s="8">
        <v>37</v>
      </c>
      <c r="I40" s="8">
        <v>13</v>
      </c>
      <c r="J40" s="8">
        <v>7236</v>
      </c>
      <c r="K40" s="8" t="s">
        <v>361</v>
      </c>
      <c r="L40" s="8">
        <v>131106</v>
      </c>
      <c r="M40" s="101">
        <v>3812</v>
      </c>
      <c r="N40" s="100">
        <v>256205</v>
      </c>
      <c r="O40" s="8" t="s">
        <v>362</v>
      </c>
    </row>
    <row r="41" spans="1:15" s="4" customFormat="1" ht="11.25" x14ac:dyDescent="0.2">
      <c r="A41" s="8" t="s">
        <v>379</v>
      </c>
      <c r="B41" s="8">
        <v>820</v>
      </c>
      <c r="C41" s="8" t="s">
        <v>160</v>
      </c>
      <c r="D41" s="8" t="s">
        <v>388</v>
      </c>
      <c r="E41" s="8" t="s">
        <v>373</v>
      </c>
      <c r="F41" s="8" t="s">
        <v>81</v>
      </c>
      <c r="G41" s="8">
        <v>2</v>
      </c>
      <c r="H41" s="8">
        <v>34</v>
      </c>
      <c r="I41" s="8">
        <v>13</v>
      </c>
      <c r="J41" s="8">
        <v>7671</v>
      </c>
      <c r="K41" s="8" t="s">
        <v>382</v>
      </c>
      <c r="L41" s="8">
        <v>131126</v>
      </c>
      <c r="M41" s="101">
        <v>2646</v>
      </c>
      <c r="N41" s="100">
        <v>177838</v>
      </c>
      <c r="O41" s="8" t="s">
        <v>389</v>
      </c>
    </row>
    <row r="42" spans="1:15" s="4" customFormat="1" ht="11.25" x14ac:dyDescent="0.2">
      <c r="A42" s="8" t="s">
        <v>379</v>
      </c>
      <c r="B42" s="8">
        <v>1100</v>
      </c>
      <c r="C42" s="8" t="s">
        <v>390</v>
      </c>
      <c r="D42" s="8" t="s">
        <v>388</v>
      </c>
      <c r="E42" s="8" t="s">
        <v>359</v>
      </c>
      <c r="F42" s="8" t="s">
        <v>87</v>
      </c>
      <c r="G42" s="8">
        <v>4</v>
      </c>
      <c r="H42" s="8">
        <v>7</v>
      </c>
      <c r="I42" s="8">
        <v>13</v>
      </c>
      <c r="J42" s="8">
        <v>7227</v>
      </c>
      <c r="K42" s="8" t="s">
        <v>361</v>
      </c>
      <c r="L42" s="8">
        <v>131106</v>
      </c>
      <c r="M42" s="101">
        <v>4554</v>
      </c>
      <c r="N42" s="100">
        <v>306074</v>
      </c>
      <c r="O42" s="8" t="s">
        <v>391</v>
      </c>
    </row>
    <row r="43" spans="1:15" s="4" customFormat="1" ht="11.25" x14ac:dyDescent="0.2">
      <c r="A43" s="1"/>
      <c r="B43" s="1"/>
      <c r="C43" s="1"/>
      <c r="D43" s="1"/>
      <c r="E43" s="1"/>
      <c r="F43" s="1"/>
      <c r="G43" s="1"/>
      <c r="H43" s="1"/>
      <c r="I43" s="1"/>
      <c r="J43" s="1"/>
      <c r="K43" s="3"/>
      <c r="L43" s="18"/>
      <c r="M43" s="3"/>
      <c r="N43" s="44"/>
      <c r="O43" s="5"/>
    </row>
    <row r="44" spans="1:15" s="4" customFormat="1" ht="33.75" x14ac:dyDescent="0.2">
      <c r="A44" s="86" t="s">
        <v>392</v>
      </c>
      <c r="B44" s="102">
        <f>42-7</f>
        <v>35</v>
      </c>
      <c r="C44" s="1"/>
      <c r="D44" s="1"/>
      <c r="E44" s="1"/>
      <c r="F44" s="1"/>
      <c r="G44" s="1"/>
      <c r="H44" s="1"/>
      <c r="I44" s="1"/>
      <c r="J44" s="1"/>
      <c r="K44" s="3"/>
      <c r="L44" s="18"/>
      <c r="M44" s="103" t="s">
        <v>393</v>
      </c>
      <c r="N44" s="104">
        <f>SUM(N8:N42)</f>
        <v>7147989</v>
      </c>
      <c r="O44" s="5"/>
    </row>
    <row r="45" spans="1:15" s="4" customFormat="1" ht="11.25" x14ac:dyDescent="0.2">
      <c r="A45" s="1"/>
      <c r="B45" s="1"/>
      <c r="C45" s="1"/>
      <c r="D45" s="1"/>
      <c r="E45" s="1"/>
      <c r="F45" s="1"/>
      <c r="G45" s="1"/>
      <c r="H45" s="1"/>
      <c r="I45" s="1"/>
      <c r="J45" s="1"/>
      <c r="K45" s="3"/>
      <c r="L45" s="18"/>
      <c r="M45" s="3"/>
      <c r="N45" s="44"/>
      <c r="O45" s="5"/>
    </row>
    <row r="46" spans="1:15" s="4" customFormat="1" ht="11.25" x14ac:dyDescent="0.2">
      <c r="A46" s="1"/>
      <c r="B46" s="1"/>
      <c r="C46" s="1"/>
      <c r="D46" s="1"/>
      <c r="E46" s="1"/>
      <c r="F46" s="1"/>
      <c r="G46" s="1"/>
      <c r="H46" s="1"/>
      <c r="I46" s="1"/>
      <c r="J46" s="1"/>
      <c r="K46" s="3"/>
      <c r="L46" s="18"/>
      <c r="M46" s="3"/>
      <c r="N46" s="44"/>
      <c r="O46" s="5"/>
    </row>
    <row r="47" spans="1:15" s="4" customFormat="1" ht="11.25" x14ac:dyDescent="0.2">
      <c r="A47" s="1"/>
      <c r="B47" s="1"/>
      <c r="C47" s="1"/>
      <c r="D47" s="1"/>
      <c r="E47" s="1"/>
      <c r="F47" s="1"/>
      <c r="G47" s="1"/>
      <c r="H47" s="1"/>
      <c r="I47" s="1"/>
      <c r="J47" s="1"/>
      <c r="K47" s="3"/>
      <c r="L47" s="18"/>
      <c r="M47" s="3"/>
      <c r="N47" s="44"/>
      <c r="O47" s="5"/>
    </row>
    <row r="48" spans="1:15" s="4" customFormat="1" ht="11.25" x14ac:dyDescent="0.2">
      <c r="A48" s="1"/>
      <c r="B48" s="1"/>
      <c r="C48" s="1"/>
      <c r="D48" s="1"/>
      <c r="E48" s="1"/>
      <c r="F48" s="1"/>
      <c r="G48" s="1"/>
      <c r="H48" s="1"/>
      <c r="I48" s="1"/>
      <c r="J48" s="1"/>
      <c r="K48" s="3"/>
      <c r="L48" s="18"/>
      <c r="M48" s="3"/>
      <c r="N48" s="44"/>
      <c r="O48" s="5"/>
    </row>
    <row r="49" spans="1:15" s="4" customFormat="1" ht="11.25" x14ac:dyDescent="0.2">
      <c r="A49" s="1"/>
      <c r="B49" s="1"/>
      <c r="C49" s="1"/>
      <c r="D49" s="1"/>
      <c r="E49" s="1"/>
      <c r="F49" s="1"/>
      <c r="G49" s="1"/>
      <c r="H49" s="1"/>
      <c r="I49" s="1"/>
      <c r="J49" s="1"/>
      <c r="K49" s="3"/>
      <c r="L49" s="18"/>
      <c r="M49" s="3"/>
      <c r="N49" s="44"/>
      <c r="O49" s="5"/>
    </row>
    <row r="50" spans="1:15" s="4" customFormat="1" ht="11.25" x14ac:dyDescent="0.2">
      <c r="A50" s="1"/>
      <c r="B50" s="1"/>
      <c r="C50" s="1"/>
      <c r="D50" s="1"/>
      <c r="E50" s="1"/>
      <c r="F50" s="1"/>
      <c r="G50" s="1"/>
      <c r="H50" s="1"/>
      <c r="I50" s="1"/>
      <c r="J50" s="1"/>
      <c r="K50" s="3"/>
      <c r="L50" s="18"/>
      <c r="M50" s="3"/>
      <c r="N50" s="44"/>
      <c r="O50" s="5"/>
    </row>
    <row r="51" spans="1:15" s="4" customFormat="1" ht="11.25" x14ac:dyDescent="0.2">
      <c r="A51" s="1"/>
      <c r="B51" s="1"/>
      <c r="C51" s="1"/>
      <c r="D51" s="1"/>
      <c r="E51" s="1"/>
      <c r="F51" s="1"/>
      <c r="G51" s="1"/>
      <c r="H51" s="1"/>
      <c r="I51" s="1"/>
      <c r="J51" s="1"/>
      <c r="K51" s="3"/>
      <c r="L51" s="18"/>
      <c r="M51" s="3"/>
      <c r="N51" s="44"/>
      <c r="O51" s="5"/>
    </row>
    <row r="52" spans="1:15" s="4" customFormat="1" ht="11.25" x14ac:dyDescent="0.2">
      <c r="A52" s="1"/>
      <c r="B52" s="1"/>
      <c r="C52" s="1"/>
      <c r="D52" s="1"/>
      <c r="E52" s="1"/>
      <c r="F52" s="1"/>
      <c r="G52" s="1"/>
      <c r="H52" s="1"/>
      <c r="I52" s="1"/>
      <c r="J52" s="1"/>
      <c r="K52" s="3"/>
      <c r="L52" s="18"/>
      <c r="M52" s="3"/>
      <c r="N52" s="44"/>
      <c r="O52" s="5"/>
    </row>
    <row r="53" spans="1:15" s="4" customFormat="1" ht="11.25" x14ac:dyDescent="0.2">
      <c r="A53" s="1"/>
      <c r="B53" s="1"/>
      <c r="C53" s="1"/>
      <c r="D53" s="1"/>
      <c r="E53" s="1"/>
      <c r="F53" s="1"/>
      <c r="G53" s="1"/>
      <c r="H53" s="1"/>
      <c r="I53" s="1"/>
      <c r="J53" s="1"/>
      <c r="K53" s="3"/>
      <c r="L53" s="18"/>
      <c r="M53" s="3"/>
      <c r="N53" s="44"/>
      <c r="O53" s="5"/>
    </row>
    <row r="54" spans="1:15" s="4" customFormat="1" ht="11.25" x14ac:dyDescent="0.2">
      <c r="A54" s="1"/>
      <c r="B54" s="1"/>
      <c r="C54" s="1"/>
      <c r="D54" s="1"/>
      <c r="E54" s="1"/>
      <c r="F54" s="1"/>
      <c r="G54" s="1"/>
      <c r="H54" s="1"/>
      <c r="I54" s="1"/>
      <c r="J54" s="1"/>
      <c r="K54" s="3"/>
      <c r="L54" s="18"/>
      <c r="M54" s="3"/>
      <c r="N54" s="44"/>
      <c r="O54" s="5"/>
    </row>
    <row r="55" spans="1:15" s="4" customFormat="1" ht="11.25" x14ac:dyDescent="0.2">
      <c r="A55" s="1"/>
      <c r="B55" s="1"/>
      <c r="C55" s="1"/>
      <c r="D55" s="1"/>
      <c r="E55" s="1"/>
      <c r="F55" s="1"/>
      <c r="G55" s="1"/>
      <c r="H55" s="1"/>
      <c r="I55" s="1"/>
      <c r="J55" s="1"/>
      <c r="K55" s="3"/>
      <c r="L55" s="18"/>
      <c r="M55" s="3"/>
      <c r="N55" s="44"/>
      <c r="O55" s="5"/>
    </row>
    <row r="56" spans="1:15" s="4" customFormat="1" ht="11.25" x14ac:dyDescent="0.2">
      <c r="A56" s="1"/>
      <c r="B56" s="1"/>
      <c r="C56" s="1"/>
      <c r="D56" s="1"/>
      <c r="E56" s="1"/>
      <c r="F56" s="1"/>
      <c r="G56" s="1"/>
      <c r="H56" s="1"/>
      <c r="I56" s="1"/>
      <c r="J56" s="1"/>
      <c r="K56" s="3"/>
      <c r="L56" s="18"/>
      <c r="M56" s="3"/>
      <c r="N56" s="44"/>
      <c r="O56" s="5"/>
    </row>
    <row r="57" spans="1:15" s="4" customFormat="1" ht="11.25" x14ac:dyDescent="0.2">
      <c r="A57" s="1"/>
      <c r="B57" s="1"/>
      <c r="C57" s="1"/>
      <c r="D57" s="1"/>
      <c r="E57" s="1"/>
      <c r="F57" s="1"/>
      <c r="G57" s="1"/>
      <c r="H57" s="1"/>
      <c r="I57" s="1"/>
      <c r="J57" s="1"/>
      <c r="K57" s="3"/>
      <c r="L57" s="18"/>
      <c r="M57" s="3"/>
      <c r="N57" s="44"/>
      <c r="O57" s="5"/>
    </row>
    <row r="58" spans="1:15" s="4" customFormat="1" ht="11.25" x14ac:dyDescent="0.2">
      <c r="A58" s="1"/>
      <c r="B58" s="1"/>
      <c r="C58" s="1"/>
      <c r="D58" s="1"/>
      <c r="E58" s="1"/>
      <c r="F58" s="1"/>
      <c r="G58" s="1"/>
      <c r="H58" s="1"/>
      <c r="I58" s="1"/>
      <c r="J58" s="1"/>
      <c r="K58" s="3"/>
      <c r="L58" s="18"/>
      <c r="M58" s="3"/>
      <c r="N58" s="44"/>
      <c r="O58" s="5"/>
    </row>
    <row r="59" spans="1:15" s="4" customFormat="1" ht="11.25" x14ac:dyDescent="0.2">
      <c r="A59" s="1"/>
      <c r="B59" s="1"/>
      <c r="C59" s="1"/>
      <c r="D59" s="1"/>
      <c r="E59" s="1"/>
      <c r="F59" s="1"/>
      <c r="G59" s="1"/>
      <c r="H59" s="1"/>
      <c r="I59" s="1"/>
      <c r="J59" s="1"/>
      <c r="K59" s="3"/>
      <c r="L59" s="18"/>
      <c r="M59" s="3"/>
      <c r="N59" s="44"/>
      <c r="O59" s="5"/>
    </row>
    <row r="60" spans="1:15" s="4" customFormat="1" ht="11.25" x14ac:dyDescent="0.2">
      <c r="A60" s="1"/>
      <c r="B60" s="1"/>
      <c r="C60" s="1"/>
      <c r="D60" s="1"/>
      <c r="E60" s="1"/>
      <c r="F60" s="1"/>
      <c r="G60" s="1"/>
      <c r="H60" s="1"/>
      <c r="I60" s="1"/>
      <c r="J60" s="1"/>
      <c r="K60" s="3"/>
      <c r="L60" s="18"/>
      <c r="M60" s="3"/>
      <c r="N60" s="44"/>
      <c r="O60" s="5"/>
    </row>
    <row r="61" spans="1:15" s="4" customFormat="1" ht="11.25" x14ac:dyDescent="0.2">
      <c r="A61" s="1"/>
      <c r="B61" s="1"/>
      <c r="C61" s="1"/>
      <c r="D61" s="1"/>
      <c r="E61" s="1"/>
      <c r="F61" s="1"/>
      <c r="G61" s="1"/>
      <c r="H61" s="1"/>
      <c r="I61" s="1"/>
      <c r="J61" s="1"/>
      <c r="K61" s="3"/>
      <c r="L61" s="18"/>
      <c r="M61" s="3"/>
      <c r="N61" s="44"/>
      <c r="O61" s="5"/>
    </row>
    <row r="62" spans="1:15" s="4" customFormat="1" ht="11.25" x14ac:dyDescent="0.2">
      <c r="A62" s="1"/>
      <c r="B62" s="1"/>
      <c r="C62" s="1"/>
      <c r="D62" s="1"/>
      <c r="E62" s="1"/>
      <c r="F62" s="1"/>
      <c r="G62" s="1"/>
      <c r="H62" s="1"/>
      <c r="I62" s="1"/>
      <c r="J62" s="1"/>
      <c r="K62" s="3"/>
      <c r="L62" s="18"/>
      <c r="M62" s="3"/>
      <c r="N62" s="44"/>
      <c r="O62" s="5"/>
    </row>
    <row r="63" spans="1:15" s="4" customFormat="1" ht="11.25" x14ac:dyDescent="0.2">
      <c r="A63" s="1"/>
      <c r="B63" s="1"/>
      <c r="C63" s="1"/>
      <c r="D63" s="1"/>
      <c r="E63" s="1"/>
      <c r="F63" s="1"/>
      <c r="G63" s="1"/>
      <c r="H63" s="1"/>
      <c r="I63" s="1"/>
      <c r="J63" s="1"/>
      <c r="K63" s="3"/>
      <c r="L63" s="18"/>
      <c r="M63" s="3"/>
      <c r="N63" s="44"/>
      <c r="O63" s="5"/>
    </row>
    <row r="64" spans="1:15" s="4" customFormat="1" ht="11.25" x14ac:dyDescent="0.2">
      <c r="A64" s="1"/>
      <c r="B64" s="1"/>
      <c r="C64" s="1"/>
      <c r="D64" s="1"/>
      <c r="E64" s="1"/>
      <c r="F64" s="1"/>
      <c r="G64" s="1"/>
      <c r="H64" s="1"/>
      <c r="I64" s="1"/>
      <c r="J64" s="1"/>
      <c r="K64" s="3"/>
      <c r="L64" s="18"/>
      <c r="M64" s="3"/>
      <c r="N64" s="44"/>
      <c r="O64" s="5"/>
    </row>
    <row r="65" spans="1:15" s="4" customFormat="1" ht="11.25" x14ac:dyDescent="0.2">
      <c r="A65" s="1"/>
      <c r="B65" s="1"/>
      <c r="C65" s="1"/>
      <c r="D65" s="1"/>
      <c r="E65" s="1"/>
      <c r="F65" s="1"/>
      <c r="G65" s="1"/>
      <c r="H65" s="1"/>
      <c r="I65" s="1"/>
      <c r="J65" s="1"/>
      <c r="K65" s="3"/>
      <c r="L65" s="18"/>
      <c r="M65" s="3"/>
      <c r="N65" s="44"/>
      <c r="O65" s="5"/>
    </row>
    <row r="66" spans="1:15" s="4" customFormat="1" ht="11.25" x14ac:dyDescent="0.2">
      <c r="A66" s="1"/>
      <c r="B66" s="1"/>
      <c r="C66" s="1"/>
      <c r="D66" s="1"/>
      <c r="E66" s="1"/>
      <c r="F66" s="1"/>
      <c r="G66" s="1"/>
      <c r="H66" s="1"/>
      <c r="I66" s="1"/>
      <c r="J66" s="1"/>
      <c r="K66" s="3"/>
      <c r="L66" s="18"/>
      <c r="M66" s="3"/>
      <c r="N66" s="44"/>
      <c r="O66" s="5"/>
    </row>
    <row r="67" spans="1:15" s="4" customFormat="1" ht="11.25" x14ac:dyDescent="0.2">
      <c r="A67" s="1"/>
      <c r="B67" s="1"/>
      <c r="C67" s="1"/>
      <c r="D67" s="1"/>
      <c r="E67" s="1"/>
      <c r="F67" s="1"/>
      <c r="G67" s="1"/>
      <c r="H67" s="1"/>
      <c r="I67" s="1"/>
      <c r="J67" s="1"/>
      <c r="K67" s="3"/>
      <c r="L67" s="18"/>
      <c r="M67" s="3"/>
      <c r="N67" s="44"/>
      <c r="O67" s="5"/>
    </row>
    <row r="68" spans="1:15" s="4" customFormat="1" ht="11.25" x14ac:dyDescent="0.2">
      <c r="A68" s="1"/>
      <c r="B68" s="1"/>
      <c r="C68" s="1"/>
      <c r="D68" s="1"/>
      <c r="E68" s="1"/>
      <c r="F68" s="1"/>
      <c r="G68" s="1"/>
      <c r="H68" s="1"/>
      <c r="I68" s="1"/>
      <c r="J68" s="1"/>
      <c r="K68" s="3"/>
      <c r="L68" s="18"/>
      <c r="M68" s="3"/>
      <c r="N68" s="44"/>
      <c r="O68" s="5"/>
    </row>
    <row r="69" spans="1:15" s="4" customFormat="1" ht="11.25" x14ac:dyDescent="0.2">
      <c r="A69" s="1"/>
      <c r="B69" s="1"/>
      <c r="C69" s="1"/>
      <c r="D69" s="1"/>
      <c r="E69" s="1"/>
      <c r="F69" s="1"/>
      <c r="G69" s="1"/>
      <c r="H69" s="1"/>
      <c r="I69" s="1"/>
      <c r="J69" s="1"/>
      <c r="K69" s="3"/>
      <c r="L69" s="18"/>
      <c r="M69" s="3"/>
      <c r="N69" s="44"/>
      <c r="O69" s="5"/>
    </row>
    <row r="70" spans="1:15" s="4" customFormat="1" ht="11.25" x14ac:dyDescent="0.2">
      <c r="A70" s="1"/>
      <c r="B70" s="1"/>
      <c r="C70" s="1"/>
      <c r="D70" s="1"/>
      <c r="E70" s="1"/>
      <c r="F70" s="1"/>
      <c r="G70" s="1"/>
      <c r="H70" s="1"/>
      <c r="I70" s="1"/>
      <c r="J70" s="1"/>
      <c r="K70" s="3"/>
      <c r="L70" s="18"/>
      <c r="M70" s="3"/>
      <c r="N70" s="44"/>
      <c r="O70" s="5"/>
    </row>
    <row r="71" spans="1:15" s="4" customFormat="1" ht="11.25" x14ac:dyDescent="0.2">
      <c r="A71" s="1"/>
      <c r="B71" s="1"/>
      <c r="C71" s="1"/>
      <c r="D71" s="1"/>
      <c r="E71" s="1"/>
      <c r="F71" s="1"/>
      <c r="G71" s="1"/>
      <c r="H71" s="1"/>
      <c r="I71" s="1"/>
      <c r="J71" s="1"/>
      <c r="K71" s="3"/>
      <c r="L71" s="18"/>
      <c r="M71" s="3"/>
      <c r="N71" s="44"/>
      <c r="O71" s="5"/>
    </row>
    <row r="72" spans="1:15" s="4" customFormat="1" ht="11.25" x14ac:dyDescent="0.2">
      <c r="A72" s="1"/>
      <c r="B72" s="1"/>
      <c r="C72" s="1"/>
      <c r="D72" s="1"/>
      <c r="E72" s="1"/>
      <c r="F72" s="1"/>
      <c r="G72" s="1"/>
      <c r="H72" s="1"/>
      <c r="I72" s="1"/>
      <c r="J72" s="1"/>
      <c r="K72" s="3"/>
      <c r="L72" s="18"/>
      <c r="M72" s="3"/>
      <c r="N72" s="44"/>
      <c r="O72" s="5"/>
    </row>
    <row r="73" spans="1:15" s="4" customFormat="1" ht="11.25" x14ac:dyDescent="0.2">
      <c r="A73" s="1"/>
      <c r="B73" s="1"/>
      <c r="C73" s="1"/>
      <c r="D73" s="1"/>
      <c r="E73" s="1"/>
      <c r="F73" s="1"/>
      <c r="G73" s="1"/>
      <c r="H73" s="1"/>
      <c r="I73" s="1"/>
      <c r="J73" s="1"/>
      <c r="K73" s="3"/>
      <c r="L73" s="18"/>
      <c r="M73" s="3"/>
      <c r="N73" s="44"/>
      <c r="O73" s="5"/>
    </row>
    <row r="74" spans="1:15" s="4" customFormat="1" ht="11.25" x14ac:dyDescent="0.2">
      <c r="A74" s="1"/>
      <c r="B74" s="1"/>
      <c r="C74" s="1"/>
      <c r="D74" s="1"/>
      <c r="E74" s="1"/>
      <c r="F74" s="1"/>
      <c r="G74" s="1"/>
      <c r="H74" s="1"/>
      <c r="I74" s="1"/>
      <c r="J74" s="1"/>
      <c r="K74" s="3"/>
      <c r="L74" s="18"/>
      <c r="M74" s="3"/>
      <c r="N74" s="44"/>
      <c r="O74" s="5"/>
    </row>
    <row r="75" spans="1:15" s="4" customFormat="1" ht="11.25" x14ac:dyDescent="0.2">
      <c r="A75" s="1"/>
      <c r="B75" s="1"/>
      <c r="C75" s="1"/>
      <c r="D75" s="1"/>
      <c r="E75" s="1"/>
      <c r="F75" s="1"/>
      <c r="G75" s="1"/>
      <c r="H75" s="1"/>
      <c r="I75" s="1"/>
      <c r="J75" s="1"/>
      <c r="K75" s="3"/>
      <c r="L75" s="18"/>
      <c r="M75" s="3"/>
      <c r="N75" s="44"/>
      <c r="O75" s="5"/>
    </row>
    <row r="76" spans="1:15" s="4" customFormat="1" ht="11.25" x14ac:dyDescent="0.2">
      <c r="A76" s="1"/>
      <c r="B76" s="1"/>
      <c r="C76" s="1"/>
      <c r="D76" s="1"/>
      <c r="E76" s="1"/>
      <c r="F76" s="1"/>
      <c r="G76" s="1"/>
      <c r="H76" s="1"/>
      <c r="I76" s="1"/>
      <c r="J76" s="1"/>
      <c r="K76" s="3"/>
      <c r="L76" s="18"/>
      <c r="M76" s="3"/>
      <c r="N76" s="44"/>
      <c r="O76" s="5"/>
    </row>
    <row r="77" spans="1:15" s="4" customFormat="1" ht="11.25" x14ac:dyDescent="0.2">
      <c r="A77" s="1"/>
      <c r="B77" s="1"/>
      <c r="C77" s="1"/>
      <c r="D77" s="1"/>
      <c r="E77" s="1"/>
      <c r="F77" s="1"/>
      <c r="G77" s="1"/>
      <c r="H77" s="1"/>
      <c r="I77" s="1"/>
      <c r="J77" s="1"/>
      <c r="K77" s="3"/>
      <c r="L77" s="18"/>
      <c r="M77" s="3"/>
      <c r="N77" s="44"/>
      <c r="O77" s="5"/>
    </row>
    <row r="78" spans="1:15" s="4" customFormat="1" ht="11.25" x14ac:dyDescent="0.2">
      <c r="A78" s="1"/>
      <c r="B78" s="1"/>
      <c r="C78" s="1"/>
      <c r="D78" s="1"/>
      <c r="E78" s="1"/>
      <c r="F78" s="1"/>
      <c r="G78" s="1"/>
      <c r="H78" s="1"/>
      <c r="I78" s="1"/>
      <c r="J78" s="1"/>
      <c r="K78" s="3"/>
      <c r="L78" s="18"/>
      <c r="M78" s="3"/>
      <c r="N78" s="44"/>
      <c r="O78" s="5"/>
    </row>
    <row r="79" spans="1:15" s="4" customFormat="1" ht="11.25" x14ac:dyDescent="0.2">
      <c r="A79" s="1"/>
      <c r="B79" s="1"/>
      <c r="C79" s="1"/>
      <c r="D79" s="1"/>
      <c r="E79" s="1"/>
      <c r="F79" s="1"/>
      <c r="G79" s="1"/>
      <c r="H79" s="1"/>
      <c r="I79" s="1"/>
      <c r="J79" s="1"/>
      <c r="K79" s="3"/>
      <c r="L79" s="18"/>
      <c r="M79" s="3"/>
      <c r="N79" s="44"/>
      <c r="O79" s="5"/>
    </row>
    <row r="80" spans="1:15" s="4" customFormat="1" ht="11.25" x14ac:dyDescent="0.2">
      <c r="A80" s="1"/>
      <c r="B80" s="1"/>
      <c r="C80" s="1"/>
      <c r="D80" s="1"/>
      <c r="E80" s="1"/>
      <c r="F80" s="1"/>
      <c r="G80" s="1"/>
      <c r="H80" s="1"/>
      <c r="I80" s="1"/>
      <c r="J80" s="1"/>
      <c r="K80" s="3"/>
      <c r="L80" s="18"/>
      <c r="M80" s="3"/>
      <c r="N80" s="44"/>
      <c r="O80" s="5"/>
    </row>
    <row r="81" spans="1:15" s="4" customFormat="1" ht="11.25" x14ac:dyDescent="0.2">
      <c r="A81" s="1"/>
      <c r="B81" s="1"/>
      <c r="C81" s="1"/>
      <c r="D81" s="1"/>
      <c r="E81" s="1"/>
      <c r="F81" s="1"/>
      <c r="G81" s="1"/>
      <c r="H81" s="1"/>
      <c r="I81" s="1"/>
      <c r="J81" s="1"/>
      <c r="K81" s="3"/>
      <c r="L81" s="18"/>
      <c r="M81" s="3"/>
      <c r="N81" s="44"/>
      <c r="O81" s="5"/>
    </row>
    <row r="82" spans="1:15" s="4" customFormat="1" ht="11.25" x14ac:dyDescent="0.2">
      <c r="A82" s="1"/>
      <c r="B82" s="1"/>
      <c r="C82" s="1"/>
      <c r="D82" s="1"/>
      <c r="E82" s="1"/>
      <c r="F82" s="1"/>
      <c r="G82" s="1"/>
      <c r="H82" s="1"/>
      <c r="I82" s="1"/>
      <c r="J82" s="1"/>
      <c r="K82" s="3"/>
      <c r="L82" s="18"/>
      <c r="M82" s="3"/>
      <c r="N82" s="44"/>
      <c r="O82" s="5"/>
    </row>
    <row r="83" spans="1:15" s="4" customFormat="1" ht="11.25" x14ac:dyDescent="0.2">
      <c r="A83" s="1"/>
      <c r="B83" s="1"/>
      <c r="C83" s="1"/>
      <c r="D83" s="1"/>
      <c r="E83" s="1"/>
      <c r="F83" s="1"/>
      <c r="G83" s="1"/>
      <c r="H83" s="1"/>
      <c r="I83" s="1"/>
      <c r="J83" s="1"/>
      <c r="K83" s="3"/>
      <c r="L83" s="18"/>
      <c r="M83" s="3"/>
      <c r="N83" s="44"/>
      <c r="O83" s="5"/>
    </row>
    <row r="84" spans="1:15" s="4" customFormat="1" ht="11.25" x14ac:dyDescent="0.2">
      <c r="A84" s="1"/>
      <c r="B84" s="1"/>
      <c r="C84" s="1"/>
      <c r="D84" s="1"/>
      <c r="E84" s="1"/>
      <c r="F84" s="1"/>
      <c r="G84" s="1"/>
      <c r="H84" s="1"/>
      <c r="I84" s="1"/>
      <c r="J84" s="1"/>
      <c r="K84" s="3"/>
      <c r="L84" s="18"/>
      <c r="M84" s="3"/>
      <c r="N84" s="44"/>
      <c r="O84" s="5"/>
    </row>
    <row r="85" spans="1:15" s="4" customFormat="1" ht="11.25" x14ac:dyDescent="0.2">
      <c r="A85" s="1"/>
      <c r="B85" s="1"/>
      <c r="C85" s="1"/>
      <c r="D85" s="1"/>
      <c r="E85" s="1"/>
      <c r="F85" s="1"/>
      <c r="G85" s="1"/>
      <c r="H85" s="1"/>
      <c r="I85" s="1"/>
      <c r="J85" s="1"/>
      <c r="K85" s="3"/>
      <c r="L85" s="18"/>
      <c r="M85" s="3"/>
      <c r="N85" s="44"/>
      <c r="O85" s="5"/>
    </row>
    <row r="86" spans="1:15" s="4" customFormat="1" ht="11.25" x14ac:dyDescent="0.2">
      <c r="A86" s="1"/>
      <c r="B86" s="1"/>
      <c r="C86" s="1"/>
      <c r="D86" s="1"/>
      <c r="E86" s="1"/>
      <c r="F86" s="1"/>
      <c r="G86" s="1"/>
      <c r="H86" s="1"/>
      <c r="I86" s="1"/>
      <c r="J86" s="1"/>
      <c r="K86" s="3"/>
      <c r="L86" s="18"/>
      <c r="M86" s="3"/>
      <c r="N86" s="44"/>
      <c r="O86" s="5"/>
    </row>
    <row r="87" spans="1:15" s="4" customFormat="1" ht="11.25" x14ac:dyDescent="0.2">
      <c r="A87" s="1"/>
      <c r="B87" s="1"/>
      <c r="C87" s="1"/>
      <c r="D87" s="1"/>
      <c r="E87" s="1"/>
      <c r="F87" s="1"/>
      <c r="G87" s="1"/>
      <c r="H87" s="1"/>
      <c r="I87" s="1"/>
      <c r="J87" s="1"/>
      <c r="K87" s="3"/>
      <c r="L87" s="18"/>
      <c r="M87" s="3"/>
      <c r="N87" s="44"/>
      <c r="O87" s="5"/>
    </row>
    <row r="88" spans="1:15" s="4" customFormat="1" ht="11.25" x14ac:dyDescent="0.2">
      <c r="A88" s="1"/>
      <c r="B88" s="1"/>
      <c r="C88" s="1"/>
      <c r="D88" s="1"/>
      <c r="E88" s="1"/>
      <c r="F88" s="1"/>
      <c r="G88" s="1"/>
      <c r="H88" s="1"/>
      <c r="I88" s="1"/>
      <c r="J88" s="1"/>
      <c r="K88" s="3"/>
      <c r="L88" s="18"/>
      <c r="M88" s="3"/>
      <c r="N88" s="44"/>
      <c r="O88" s="5"/>
    </row>
    <row r="89" spans="1:15" s="4" customFormat="1" ht="11.25" x14ac:dyDescent="0.2">
      <c r="A89" s="1"/>
      <c r="B89" s="1"/>
      <c r="C89" s="1"/>
      <c r="D89" s="1"/>
      <c r="E89" s="1"/>
      <c r="F89" s="1"/>
      <c r="G89" s="1"/>
      <c r="H89" s="1"/>
      <c r="I89" s="1"/>
      <c r="J89" s="1"/>
      <c r="K89" s="3"/>
      <c r="L89" s="18"/>
      <c r="M89" s="3"/>
      <c r="N89" s="44"/>
      <c r="O89" s="5"/>
    </row>
    <row r="90" spans="1:15" s="4" customFormat="1" ht="11.25" x14ac:dyDescent="0.2">
      <c r="A90" s="1"/>
      <c r="B90" s="1"/>
      <c r="C90" s="1"/>
      <c r="D90" s="1"/>
      <c r="E90" s="1"/>
      <c r="F90" s="1"/>
      <c r="G90" s="1"/>
      <c r="H90" s="1"/>
      <c r="I90" s="1"/>
      <c r="J90" s="1"/>
      <c r="K90" s="3"/>
      <c r="L90" s="18"/>
      <c r="M90" s="3"/>
      <c r="N90" s="44"/>
      <c r="O90" s="5"/>
    </row>
    <row r="91" spans="1:15" s="4" customFormat="1" ht="11.25" x14ac:dyDescent="0.2">
      <c r="A91" s="1"/>
      <c r="B91" s="1"/>
      <c r="C91" s="1"/>
      <c r="D91" s="1"/>
      <c r="E91" s="1"/>
      <c r="F91" s="1"/>
      <c r="G91" s="1"/>
      <c r="H91" s="1"/>
      <c r="I91" s="1"/>
      <c r="J91" s="1"/>
      <c r="K91" s="3"/>
      <c r="L91" s="18"/>
      <c r="M91" s="3"/>
      <c r="N91" s="44"/>
      <c r="O91" s="5"/>
    </row>
    <row r="92" spans="1:15" s="4" customFormat="1" ht="11.25" x14ac:dyDescent="0.2">
      <c r="A92" s="1"/>
      <c r="B92" s="1"/>
      <c r="C92" s="1"/>
      <c r="D92" s="1"/>
      <c r="E92" s="1"/>
      <c r="F92" s="1"/>
      <c r="G92" s="1"/>
      <c r="H92" s="1"/>
      <c r="I92" s="1"/>
      <c r="J92" s="1"/>
      <c r="K92" s="3"/>
      <c r="L92" s="18"/>
      <c r="M92" s="3"/>
      <c r="N92" s="44"/>
      <c r="O92" s="5"/>
    </row>
    <row r="93" spans="1:15" s="4" customFormat="1" ht="11.25" x14ac:dyDescent="0.2">
      <c r="A93" s="1"/>
      <c r="B93" s="1"/>
      <c r="C93" s="1"/>
      <c r="D93" s="1"/>
      <c r="E93" s="1"/>
      <c r="F93" s="1"/>
      <c r="G93" s="1"/>
      <c r="H93" s="1"/>
      <c r="I93" s="1"/>
      <c r="J93" s="1"/>
      <c r="K93" s="3"/>
      <c r="L93" s="18"/>
      <c r="M93" s="3"/>
      <c r="N93" s="44"/>
      <c r="O93" s="5"/>
    </row>
    <row r="94" spans="1:15" s="4" customFormat="1" ht="11.25" x14ac:dyDescent="0.2">
      <c r="A94" s="1"/>
      <c r="B94" s="1"/>
      <c r="C94" s="1"/>
      <c r="D94" s="1"/>
      <c r="E94" s="1"/>
      <c r="F94" s="1"/>
      <c r="G94" s="1"/>
      <c r="H94" s="1"/>
      <c r="I94" s="1"/>
      <c r="J94" s="1"/>
      <c r="K94" s="3"/>
      <c r="L94" s="18"/>
      <c r="M94" s="3"/>
      <c r="N94" s="44"/>
      <c r="O94" s="5"/>
    </row>
    <row r="95" spans="1:15" s="4" customFormat="1" ht="11.25" x14ac:dyDescent="0.2">
      <c r="A95" s="1"/>
      <c r="B95" s="1"/>
      <c r="C95" s="1"/>
      <c r="D95" s="1"/>
      <c r="E95" s="1"/>
      <c r="F95" s="1"/>
      <c r="G95" s="1"/>
      <c r="H95" s="1"/>
      <c r="I95" s="1"/>
      <c r="J95" s="1"/>
      <c r="K95" s="3"/>
      <c r="L95" s="18"/>
      <c r="M95" s="3"/>
      <c r="N95" s="44"/>
      <c r="O95" s="5"/>
    </row>
    <row r="96" spans="1:15" s="4" customFormat="1" ht="11.25" x14ac:dyDescent="0.2">
      <c r="A96" s="1"/>
      <c r="B96" s="1"/>
      <c r="C96" s="1"/>
      <c r="D96" s="1"/>
      <c r="E96" s="1"/>
      <c r="F96" s="1"/>
      <c r="G96" s="1"/>
      <c r="H96" s="1"/>
      <c r="I96" s="1"/>
      <c r="J96" s="1"/>
      <c r="K96" s="3"/>
      <c r="L96" s="18"/>
      <c r="M96" s="3"/>
      <c r="N96" s="44"/>
      <c r="O96" s="5"/>
    </row>
    <row r="97" spans="1:15" s="4" customFormat="1" ht="11.25" x14ac:dyDescent="0.2">
      <c r="A97" s="1"/>
      <c r="B97" s="1"/>
      <c r="C97" s="1"/>
      <c r="D97" s="1"/>
      <c r="E97" s="1"/>
      <c r="F97" s="1"/>
      <c r="G97" s="1"/>
      <c r="H97" s="1"/>
      <c r="I97" s="1"/>
      <c r="J97" s="1"/>
      <c r="K97" s="3"/>
      <c r="L97" s="18"/>
      <c r="M97" s="3"/>
      <c r="N97" s="44"/>
      <c r="O97" s="5"/>
    </row>
    <row r="98" spans="1:15" s="4" customFormat="1" ht="11.25" x14ac:dyDescent="0.2">
      <c r="A98" s="1"/>
      <c r="B98" s="1"/>
      <c r="C98" s="1"/>
      <c r="D98" s="1"/>
      <c r="E98" s="1"/>
      <c r="F98" s="1"/>
      <c r="G98" s="1"/>
      <c r="H98" s="1"/>
      <c r="I98" s="1"/>
      <c r="J98" s="1"/>
      <c r="K98" s="3"/>
      <c r="L98" s="18"/>
      <c r="M98" s="3"/>
      <c r="N98" s="44"/>
      <c r="O98" s="5"/>
    </row>
    <row r="99" spans="1:15" s="4" customFormat="1" ht="11.25" x14ac:dyDescent="0.2">
      <c r="A99" s="1"/>
      <c r="B99" s="1"/>
      <c r="C99" s="1"/>
      <c r="D99" s="1"/>
      <c r="E99" s="1"/>
      <c r="F99" s="1"/>
      <c r="G99" s="1"/>
      <c r="H99" s="1"/>
      <c r="I99" s="1"/>
      <c r="J99" s="1"/>
      <c r="K99" s="3"/>
      <c r="L99" s="18"/>
      <c r="M99" s="3"/>
      <c r="N99" s="44"/>
      <c r="O99" s="5"/>
    </row>
    <row r="100" spans="1:15" s="4" customFormat="1" ht="11.25" x14ac:dyDescent="0.2">
      <c r="A100" s="1"/>
      <c r="B100" s="1"/>
      <c r="C100" s="1"/>
      <c r="D100" s="1"/>
      <c r="E100" s="1"/>
      <c r="F100" s="1"/>
      <c r="G100" s="1"/>
      <c r="H100" s="1"/>
      <c r="I100" s="1"/>
      <c r="J100" s="1"/>
      <c r="K100" s="3"/>
      <c r="L100" s="18"/>
      <c r="M100" s="3"/>
      <c r="N100" s="44"/>
      <c r="O100" s="5"/>
    </row>
    <row r="101" spans="1:15" s="4" customFormat="1" ht="11.25" x14ac:dyDescent="0.2">
      <c r="A101" s="1"/>
      <c r="B101" s="1"/>
      <c r="C101" s="1"/>
      <c r="D101" s="1"/>
      <c r="E101" s="1"/>
      <c r="F101" s="1"/>
      <c r="G101" s="1"/>
      <c r="H101" s="1"/>
      <c r="I101" s="1"/>
      <c r="J101" s="1"/>
      <c r="K101" s="3"/>
      <c r="L101" s="18"/>
      <c r="M101" s="3"/>
      <c r="N101" s="44"/>
      <c r="O101" s="5"/>
    </row>
    <row r="102" spans="1:15" s="4" customFormat="1" ht="11.25" x14ac:dyDescent="0.2">
      <c r="A102" s="1"/>
      <c r="B102" s="1"/>
      <c r="C102" s="1"/>
      <c r="D102" s="1"/>
      <c r="E102" s="1"/>
      <c r="F102" s="1"/>
      <c r="G102" s="1"/>
      <c r="H102" s="1"/>
      <c r="I102" s="1"/>
      <c r="J102" s="1"/>
      <c r="K102" s="3"/>
      <c r="L102" s="18"/>
      <c r="M102" s="3"/>
      <c r="N102" s="44"/>
      <c r="O102" s="5"/>
    </row>
    <row r="103" spans="1:15" s="4" customFormat="1" ht="11.25" x14ac:dyDescent="0.2">
      <c r="A103" s="1"/>
      <c r="B103" s="1"/>
      <c r="C103" s="1"/>
      <c r="D103" s="1"/>
      <c r="E103" s="1"/>
      <c r="F103" s="1"/>
      <c r="G103" s="1"/>
      <c r="H103" s="1"/>
      <c r="I103" s="1"/>
      <c r="J103" s="1"/>
      <c r="K103" s="3"/>
      <c r="L103" s="18"/>
      <c r="M103" s="3"/>
      <c r="N103" s="44"/>
      <c r="O103" s="5"/>
    </row>
    <row r="104" spans="1:15" s="4" customFormat="1" ht="11.25" x14ac:dyDescent="0.2">
      <c r="A104" s="1"/>
      <c r="B104" s="1"/>
      <c r="C104" s="1"/>
      <c r="D104" s="1"/>
      <c r="E104" s="1"/>
      <c r="F104" s="1"/>
      <c r="G104" s="1"/>
      <c r="H104" s="1"/>
      <c r="I104" s="1"/>
      <c r="J104" s="1"/>
      <c r="K104" s="3"/>
      <c r="L104" s="18"/>
      <c r="M104" s="3"/>
      <c r="N104" s="44"/>
      <c r="O104" s="5"/>
    </row>
    <row r="105" spans="1:15" s="4" customFormat="1" ht="11.25" x14ac:dyDescent="0.2">
      <c r="A105" s="1"/>
      <c r="B105" s="1"/>
      <c r="C105" s="1"/>
      <c r="D105" s="1"/>
      <c r="E105" s="1"/>
      <c r="F105" s="1"/>
      <c r="G105" s="1"/>
      <c r="H105" s="1"/>
      <c r="I105" s="1"/>
      <c r="J105" s="1"/>
      <c r="K105" s="3"/>
      <c r="L105" s="18"/>
      <c r="M105" s="3"/>
      <c r="N105" s="44"/>
      <c r="O105" s="5"/>
    </row>
    <row r="106" spans="1:15" s="4" customFormat="1" ht="11.25" x14ac:dyDescent="0.2">
      <c r="A106" s="1"/>
      <c r="B106" s="1"/>
      <c r="C106" s="1"/>
      <c r="D106" s="1"/>
      <c r="E106" s="1"/>
      <c r="F106" s="1"/>
      <c r="G106" s="1"/>
      <c r="H106" s="1"/>
      <c r="I106" s="1"/>
      <c r="J106" s="1"/>
      <c r="K106" s="3"/>
      <c r="L106" s="18"/>
      <c r="M106" s="3"/>
      <c r="N106" s="44"/>
      <c r="O106" s="5"/>
    </row>
    <row r="107" spans="1:15" s="4" customFormat="1" ht="11.25" x14ac:dyDescent="0.2">
      <c r="A107" s="1"/>
      <c r="B107" s="1"/>
      <c r="C107" s="1"/>
      <c r="D107" s="1"/>
      <c r="E107" s="1"/>
      <c r="F107" s="1"/>
      <c r="G107" s="1"/>
      <c r="H107" s="1"/>
      <c r="I107" s="1"/>
      <c r="J107" s="1"/>
      <c r="K107" s="3"/>
      <c r="L107" s="18"/>
      <c r="M107" s="3"/>
      <c r="N107" s="44"/>
      <c r="O107" s="5"/>
    </row>
    <row r="108" spans="1:15" s="4" customFormat="1" ht="11.25" x14ac:dyDescent="0.2">
      <c r="A108" s="1"/>
      <c r="B108" s="1"/>
      <c r="C108" s="1"/>
      <c r="D108" s="1"/>
      <c r="E108" s="1"/>
      <c r="F108" s="1"/>
      <c r="G108" s="1"/>
      <c r="H108" s="1"/>
      <c r="I108" s="1"/>
      <c r="J108" s="1"/>
      <c r="K108" s="3"/>
      <c r="L108" s="18"/>
      <c r="M108" s="3"/>
      <c r="N108" s="44"/>
      <c r="O108" s="5"/>
    </row>
    <row r="109" spans="1:15" s="4" customFormat="1" ht="11.25" x14ac:dyDescent="0.2">
      <c r="A109" s="1"/>
      <c r="B109" s="1"/>
      <c r="C109" s="1"/>
      <c r="D109" s="1"/>
      <c r="E109" s="1"/>
      <c r="F109" s="1"/>
      <c r="G109" s="1"/>
      <c r="H109" s="1"/>
      <c r="I109" s="1"/>
      <c r="J109" s="1"/>
      <c r="K109" s="3"/>
      <c r="L109" s="18"/>
      <c r="M109" s="3"/>
      <c r="N109" s="44"/>
      <c r="O109" s="5"/>
    </row>
    <row r="110" spans="1:15" s="4" customFormat="1" ht="11.25" x14ac:dyDescent="0.2">
      <c r="A110" s="1"/>
      <c r="B110" s="1"/>
      <c r="C110" s="1"/>
      <c r="D110" s="1"/>
      <c r="E110" s="1"/>
      <c r="F110" s="1"/>
      <c r="G110" s="1"/>
      <c r="H110" s="1"/>
      <c r="I110" s="1"/>
      <c r="J110" s="1"/>
      <c r="K110" s="3"/>
      <c r="L110" s="18"/>
      <c r="M110" s="3"/>
      <c r="N110" s="44"/>
      <c r="O110" s="5"/>
    </row>
    <row r="111" spans="1:15" s="4" customFormat="1" ht="11.25" x14ac:dyDescent="0.2">
      <c r="A111" s="1"/>
      <c r="B111" s="1"/>
      <c r="C111" s="1"/>
      <c r="D111" s="1"/>
      <c r="E111" s="1"/>
      <c r="F111" s="1"/>
      <c r="G111" s="1"/>
      <c r="H111" s="1"/>
      <c r="I111" s="1"/>
      <c r="J111" s="1"/>
      <c r="K111" s="3"/>
      <c r="L111" s="18"/>
      <c r="M111" s="3"/>
      <c r="N111" s="44"/>
      <c r="O111" s="5"/>
    </row>
    <row r="112" spans="1:15" s="4" customFormat="1" ht="11.25" x14ac:dyDescent="0.2">
      <c r="A112" s="1"/>
      <c r="B112" s="1"/>
      <c r="C112" s="1"/>
      <c r="D112" s="1"/>
      <c r="E112" s="1"/>
      <c r="F112" s="1"/>
      <c r="G112" s="1"/>
      <c r="H112" s="1"/>
      <c r="I112" s="1"/>
      <c r="J112" s="1"/>
      <c r="K112" s="3"/>
      <c r="L112" s="18"/>
      <c r="M112" s="3"/>
      <c r="N112" s="44"/>
      <c r="O112" s="5"/>
    </row>
    <row r="113" spans="1:15" s="4" customFormat="1" ht="11.25" x14ac:dyDescent="0.2">
      <c r="A113" s="1"/>
      <c r="B113" s="1"/>
      <c r="C113" s="1"/>
      <c r="D113" s="1"/>
      <c r="E113" s="1"/>
      <c r="F113" s="1"/>
      <c r="G113" s="1"/>
      <c r="H113" s="1"/>
      <c r="I113" s="1"/>
      <c r="J113" s="1"/>
      <c r="K113" s="3"/>
      <c r="L113" s="18"/>
      <c r="M113" s="3"/>
      <c r="N113" s="44"/>
      <c r="O113" s="5"/>
    </row>
    <row r="114" spans="1:15" s="4" customFormat="1" ht="11.25" x14ac:dyDescent="0.2">
      <c r="A114" s="1"/>
      <c r="B114" s="1"/>
      <c r="C114" s="1"/>
      <c r="D114" s="1"/>
      <c r="E114" s="1"/>
      <c r="F114" s="1"/>
      <c r="G114" s="1"/>
      <c r="H114" s="1"/>
      <c r="I114" s="1"/>
      <c r="J114" s="1"/>
      <c r="K114" s="3"/>
      <c r="L114" s="18"/>
      <c r="M114" s="3"/>
      <c r="N114" s="44"/>
      <c r="O114" s="5"/>
    </row>
    <row r="115" spans="1:15" s="4" customFormat="1" ht="11.25" x14ac:dyDescent="0.2">
      <c r="A115" s="1"/>
      <c r="B115" s="1"/>
      <c r="C115" s="1"/>
      <c r="D115" s="1"/>
      <c r="E115" s="1"/>
      <c r="F115" s="1"/>
      <c r="G115" s="1"/>
      <c r="H115" s="1"/>
      <c r="I115" s="1"/>
      <c r="J115" s="1"/>
      <c r="K115" s="3"/>
      <c r="L115" s="18"/>
      <c r="M115" s="3"/>
      <c r="N115" s="44"/>
      <c r="O115" s="5"/>
    </row>
    <row r="116" spans="1:15" s="4" customFormat="1" ht="11.25" x14ac:dyDescent="0.2">
      <c r="A116" s="1"/>
      <c r="B116" s="1"/>
      <c r="C116" s="1"/>
      <c r="D116" s="1"/>
      <c r="E116" s="1"/>
      <c r="F116" s="1"/>
      <c r="G116" s="1"/>
      <c r="H116" s="1"/>
      <c r="I116" s="1"/>
      <c r="J116" s="1"/>
      <c r="K116" s="3"/>
      <c r="L116" s="18"/>
      <c r="M116" s="3"/>
      <c r="N116" s="44"/>
      <c r="O116" s="5"/>
    </row>
    <row r="117" spans="1:15" s="4" customFormat="1" ht="11.25" x14ac:dyDescent="0.2">
      <c r="A117" s="1"/>
      <c r="B117" s="1"/>
      <c r="C117" s="1"/>
      <c r="D117" s="1"/>
      <c r="E117" s="1"/>
      <c r="F117" s="1"/>
      <c r="G117" s="1"/>
      <c r="H117" s="1"/>
      <c r="I117" s="1"/>
      <c r="J117" s="1"/>
      <c r="K117" s="3"/>
      <c r="L117" s="18"/>
      <c r="M117" s="3"/>
      <c r="N117" s="44"/>
      <c r="O117" s="5"/>
    </row>
    <row r="118" spans="1:15" s="4" customFormat="1" ht="11.25" x14ac:dyDescent="0.2">
      <c r="A118" s="1"/>
      <c r="B118" s="1"/>
      <c r="C118" s="1"/>
      <c r="D118" s="1"/>
      <c r="E118" s="1"/>
      <c r="F118" s="1"/>
      <c r="G118" s="1"/>
      <c r="H118" s="1"/>
      <c r="I118" s="1"/>
      <c r="J118" s="1"/>
      <c r="K118" s="3"/>
      <c r="L118" s="18"/>
      <c r="M118" s="3"/>
      <c r="N118" s="44"/>
      <c r="O118" s="5"/>
    </row>
    <row r="119" spans="1:15" s="4" customFormat="1" ht="11.25" x14ac:dyDescent="0.2">
      <c r="A119" s="1"/>
      <c r="B119" s="1"/>
      <c r="C119" s="1"/>
      <c r="D119" s="1"/>
      <c r="E119" s="1"/>
      <c r="F119" s="1"/>
      <c r="G119" s="1"/>
      <c r="H119" s="1"/>
      <c r="I119" s="1"/>
      <c r="J119" s="1"/>
      <c r="K119" s="3"/>
      <c r="L119" s="18"/>
      <c r="M119" s="3"/>
      <c r="N119" s="44"/>
      <c r="O119" s="5"/>
    </row>
    <row r="120" spans="1:15" s="4" customFormat="1" ht="11.25" x14ac:dyDescent="0.2">
      <c r="A120" s="1"/>
      <c r="B120" s="1"/>
      <c r="C120" s="1"/>
      <c r="D120" s="1"/>
      <c r="E120" s="1"/>
      <c r="F120" s="1"/>
      <c r="G120" s="1"/>
      <c r="H120" s="1"/>
      <c r="I120" s="1"/>
      <c r="J120" s="1"/>
      <c r="K120" s="3"/>
      <c r="L120" s="18"/>
      <c r="M120" s="3"/>
      <c r="N120" s="44"/>
      <c r="O120" s="5"/>
    </row>
    <row r="121" spans="1:15" s="4" customFormat="1" ht="11.25" x14ac:dyDescent="0.2">
      <c r="A121" s="1"/>
      <c r="B121" s="1"/>
      <c r="C121" s="1"/>
      <c r="D121" s="1"/>
      <c r="E121" s="1"/>
      <c r="F121" s="1"/>
      <c r="G121" s="1"/>
      <c r="H121" s="1"/>
      <c r="I121" s="1"/>
      <c r="J121" s="1"/>
      <c r="K121" s="3"/>
      <c r="L121" s="18"/>
      <c r="M121" s="3"/>
      <c r="N121" s="44"/>
      <c r="O121" s="5"/>
    </row>
    <row r="122" spans="1:15" s="4" customFormat="1" ht="11.25" x14ac:dyDescent="0.2">
      <c r="A122" s="1"/>
      <c r="B122" s="1"/>
      <c r="C122" s="1"/>
      <c r="D122" s="1"/>
      <c r="E122" s="1"/>
      <c r="F122" s="1"/>
      <c r="G122" s="1"/>
      <c r="H122" s="1"/>
      <c r="I122" s="1"/>
      <c r="J122" s="1"/>
      <c r="K122" s="3"/>
      <c r="L122" s="18"/>
      <c r="M122" s="3"/>
      <c r="N122" s="44"/>
      <c r="O122" s="5"/>
    </row>
    <row r="123" spans="1:15" s="4" customFormat="1" ht="11.25" x14ac:dyDescent="0.2">
      <c r="A123" s="1"/>
      <c r="B123" s="1"/>
      <c r="C123" s="1"/>
      <c r="D123" s="1"/>
      <c r="E123" s="1"/>
      <c r="F123" s="1"/>
      <c r="G123" s="1"/>
      <c r="H123" s="1"/>
      <c r="I123" s="1"/>
      <c r="J123" s="1"/>
      <c r="K123" s="3"/>
      <c r="L123" s="18"/>
      <c r="M123" s="3"/>
      <c r="N123" s="44"/>
      <c r="O123" s="5"/>
    </row>
    <row r="124" spans="1:15" s="4" customFormat="1" ht="11.25" x14ac:dyDescent="0.2">
      <c r="A124" s="1"/>
      <c r="B124" s="1"/>
      <c r="C124" s="1"/>
      <c r="D124" s="1"/>
      <c r="E124" s="1"/>
      <c r="F124" s="1"/>
      <c r="G124" s="1"/>
      <c r="H124" s="1"/>
      <c r="I124" s="1"/>
      <c r="J124" s="1"/>
      <c r="K124" s="3"/>
      <c r="L124" s="18"/>
      <c r="M124" s="3"/>
      <c r="N124" s="44"/>
      <c r="O124" s="5"/>
    </row>
    <row r="125" spans="1:15" s="4" customFormat="1" ht="11.25" x14ac:dyDescent="0.2">
      <c r="A125" s="1"/>
      <c r="B125" s="1"/>
      <c r="C125" s="1"/>
      <c r="D125" s="1"/>
      <c r="E125" s="1"/>
      <c r="F125" s="1"/>
      <c r="G125" s="1"/>
      <c r="H125" s="1"/>
      <c r="I125" s="1"/>
      <c r="J125" s="1"/>
      <c r="K125" s="3"/>
      <c r="L125" s="18"/>
      <c r="M125" s="3"/>
      <c r="N125" s="44"/>
      <c r="O125" s="5"/>
    </row>
    <row r="126" spans="1:15" s="4" customFormat="1" ht="11.25" x14ac:dyDescent="0.2">
      <c r="A126" s="1"/>
      <c r="B126" s="1"/>
      <c r="C126" s="1"/>
      <c r="D126" s="1"/>
      <c r="E126" s="1"/>
      <c r="F126" s="1"/>
      <c r="G126" s="1"/>
      <c r="H126" s="1"/>
      <c r="I126" s="1"/>
      <c r="J126" s="1"/>
      <c r="K126" s="3"/>
      <c r="L126" s="18"/>
      <c r="M126" s="3"/>
      <c r="N126" s="44"/>
      <c r="O126" s="5"/>
    </row>
    <row r="127" spans="1:15" s="4" customFormat="1" ht="11.25" x14ac:dyDescent="0.2">
      <c r="A127" s="1"/>
      <c r="B127" s="1"/>
      <c r="C127" s="1"/>
      <c r="D127" s="1"/>
      <c r="E127" s="1"/>
      <c r="F127" s="1"/>
      <c r="G127" s="1"/>
      <c r="H127" s="1"/>
      <c r="I127" s="1"/>
      <c r="J127" s="1"/>
      <c r="K127" s="3"/>
      <c r="L127" s="18"/>
      <c r="M127" s="3"/>
      <c r="N127" s="44"/>
      <c r="O127" s="5"/>
    </row>
    <row r="128" spans="1:15" s="4" customFormat="1" ht="11.25" x14ac:dyDescent="0.2">
      <c r="A128" s="1"/>
      <c r="B128" s="1"/>
      <c r="C128" s="1"/>
      <c r="D128" s="1"/>
      <c r="E128" s="1"/>
      <c r="F128" s="1"/>
      <c r="G128" s="1"/>
      <c r="H128" s="1"/>
      <c r="I128" s="1"/>
      <c r="J128" s="1"/>
      <c r="K128" s="3"/>
      <c r="L128" s="18"/>
      <c r="M128" s="3"/>
      <c r="N128" s="44"/>
      <c r="O128" s="5"/>
    </row>
    <row r="129" spans="1:15" s="4" customFormat="1" ht="11.25" x14ac:dyDescent="0.2">
      <c r="A129" s="1"/>
      <c r="B129" s="1"/>
      <c r="C129" s="1"/>
      <c r="D129" s="1"/>
      <c r="E129" s="1"/>
      <c r="F129" s="1"/>
      <c r="G129" s="1"/>
      <c r="H129" s="1"/>
      <c r="I129" s="1"/>
      <c r="J129" s="1"/>
      <c r="K129" s="3"/>
      <c r="L129" s="18"/>
      <c r="M129" s="3"/>
      <c r="N129" s="44"/>
      <c r="O129" s="5"/>
    </row>
    <row r="130" spans="1:15" s="4" customFormat="1" ht="11.25" x14ac:dyDescent="0.2">
      <c r="A130" s="1"/>
      <c r="B130" s="1"/>
      <c r="C130" s="1"/>
      <c r="D130" s="1"/>
      <c r="E130" s="1"/>
      <c r="F130" s="1"/>
      <c r="G130" s="1"/>
      <c r="H130" s="1"/>
      <c r="I130" s="1"/>
      <c r="J130" s="1"/>
      <c r="K130" s="3"/>
      <c r="L130" s="18"/>
      <c r="M130" s="3"/>
      <c r="N130" s="44"/>
      <c r="O130" s="5"/>
    </row>
    <row r="131" spans="1:15" s="4" customFormat="1" ht="11.25" x14ac:dyDescent="0.2">
      <c r="A131" s="1"/>
      <c r="B131" s="1"/>
      <c r="C131" s="1"/>
      <c r="D131" s="1"/>
      <c r="E131" s="1"/>
      <c r="F131" s="1"/>
      <c r="G131" s="1"/>
      <c r="H131" s="1"/>
      <c r="I131" s="1"/>
      <c r="J131" s="1"/>
      <c r="K131" s="3"/>
      <c r="L131" s="18"/>
      <c r="M131" s="3"/>
      <c r="N131" s="44"/>
      <c r="O131" s="5"/>
    </row>
    <row r="132" spans="1:15" s="4" customFormat="1" ht="11.25" x14ac:dyDescent="0.2">
      <c r="A132" s="1"/>
      <c r="B132" s="1"/>
      <c r="C132" s="1"/>
      <c r="D132" s="1"/>
      <c r="E132" s="1"/>
      <c r="F132" s="1"/>
      <c r="G132" s="1"/>
      <c r="H132" s="1"/>
      <c r="I132" s="1"/>
      <c r="J132" s="1"/>
      <c r="K132" s="3"/>
      <c r="L132" s="18"/>
      <c r="M132" s="3"/>
      <c r="N132" s="44"/>
      <c r="O132" s="5"/>
    </row>
    <row r="133" spans="1:15" s="4" customFormat="1" ht="11.25" x14ac:dyDescent="0.2">
      <c r="A133" s="1"/>
      <c r="B133" s="1"/>
      <c r="C133" s="1"/>
      <c r="D133" s="1"/>
      <c r="E133" s="1"/>
      <c r="F133" s="1"/>
      <c r="G133" s="1"/>
      <c r="H133" s="1"/>
      <c r="I133" s="1"/>
      <c r="J133" s="1"/>
      <c r="K133" s="3"/>
      <c r="L133" s="18"/>
      <c r="M133" s="3"/>
      <c r="N133" s="44"/>
      <c r="O133" s="5"/>
    </row>
    <row r="134" spans="1:15" s="4" customFormat="1" ht="11.25" x14ac:dyDescent="0.2">
      <c r="A134" s="1"/>
      <c r="B134" s="1"/>
      <c r="C134" s="1"/>
      <c r="D134" s="1"/>
      <c r="E134" s="1"/>
      <c r="F134" s="1"/>
      <c r="G134" s="1"/>
      <c r="H134" s="1"/>
      <c r="I134" s="1"/>
      <c r="J134" s="1"/>
      <c r="K134" s="3"/>
      <c r="L134" s="18"/>
      <c r="M134" s="3"/>
      <c r="N134" s="44"/>
      <c r="O134" s="5"/>
    </row>
    <row r="135" spans="1:15" s="4" customFormat="1" ht="11.25" x14ac:dyDescent="0.2">
      <c r="A135" s="1"/>
      <c r="B135" s="1"/>
      <c r="C135" s="1"/>
      <c r="D135" s="1"/>
      <c r="E135" s="1"/>
      <c r="F135" s="1"/>
      <c r="G135" s="1"/>
      <c r="H135" s="1"/>
      <c r="I135" s="1"/>
      <c r="J135" s="1"/>
      <c r="K135" s="3"/>
      <c r="L135" s="18"/>
      <c r="M135" s="3"/>
      <c r="N135" s="44"/>
      <c r="O135" s="5"/>
    </row>
    <row r="136" spans="1:15" s="4" customFormat="1" ht="11.25" x14ac:dyDescent="0.2">
      <c r="A136" s="1"/>
      <c r="B136" s="1"/>
      <c r="C136" s="1"/>
      <c r="D136" s="1"/>
      <c r="E136" s="1"/>
      <c r="F136" s="1"/>
      <c r="G136" s="1"/>
      <c r="H136" s="1"/>
      <c r="I136" s="1"/>
      <c r="J136" s="1"/>
      <c r="K136" s="3"/>
      <c r="L136" s="18"/>
      <c r="M136" s="3"/>
      <c r="N136" s="44"/>
      <c r="O136" s="5"/>
    </row>
    <row r="137" spans="1:15" s="4" customFormat="1" ht="11.25" x14ac:dyDescent="0.2">
      <c r="A137" s="1"/>
      <c r="B137" s="1"/>
      <c r="C137" s="1"/>
      <c r="D137" s="1"/>
      <c r="E137" s="1"/>
      <c r="F137" s="1"/>
      <c r="G137" s="1"/>
      <c r="H137" s="1"/>
      <c r="I137" s="1"/>
      <c r="J137" s="1"/>
      <c r="K137" s="3"/>
      <c r="L137" s="18"/>
      <c r="M137" s="3"/>
      <c r="N137" s="44"/>
      <c r="O137" s="5"/>
    </row>
    <row r="138" spans="1:15" s="4" customFormat="1" ht="11.25" x14ac:dyDescent="0.2">
      <c r="A138" s="1"/>
      <c r="B138" s="1"/>
      <c r="C138" s="1"/>
      <c r="D138" s="1"/>
      <c r="E138" s="1"/>
      <c r="F138" s="1"/>
      <c r="G138" s="1"/>
      <c r="H138" s="1"/>
      <c r="I138" s="1"/>
      <c r="J138" s="1"/>
      <c r="K138" s="3"/>
      <c r="L138" s="18"/>
      <c r="M138" s="3"/>
      <c r="N138" s="44"/>
      <c r="O138" s="5"/>
    </row>
    <row r="139" spans="1:15" s="4" customFormat="1" ht="11.25" x14ac:dyDescent="0.2">
      <c r="A139" s="1"/>
      <c r="B139" s="1"/>
      <c r="C139" s="1"/>
      <c r="D139" s="1"/>
      <c r="E139" s="1"/>
      <c r="F139" s="1"/>
      <c r="G139" s="1"/>
      <c r="H139" s="1"/>
      <c r="I139" s="1"/>
      <c r="J139" s="1"/>
      <c r="K139" s="3"/>
      <c r="L139" s="18"/>
      <c r="M139" s="3"/>
      <c r="N139" s="44"/>
      <c r="O139" s="5"/>
    </row>
    <row r="140" spans="1:15" s="4" customFormat="1" ht="11.25" x14ac:dyDescent="0.2">
      <c r="A140" s="1"/>
      <c r="B140" s="1"/>
      <c r="C140" s="1"/>
      <c r="D140" s="1"/>
      <c r="E140" s="1"/>
      <c r="F140" s="1"/>
      <c r="G140" s="1"/>
      <c r="H140" s="1"/>
      <c r="I140" s="1"/>
      <c r="J140" s="1"/>
      <c r="K140" s="3"/>
      <c r="L140" s="18"/>
      <c r="M140" s="3"/>
      <c r="N140" s="44"/>
      <c r="O140" s="5"/>
    </row>
    <row r="141" spans="1:15" s="4" customFormat="1" ht="11.25" x14ac:dyDescent="0.2">
      <c r="A141" s="1"/>
      <c r="B141" s="1"/>
      <c r="C141" s="1"/>
      <c r="D141" s="1"/>
      <c r="E141" s="1"/>
      <c r="F141" s="1"/>
      <c r="G141" s="1"/>
      <c r="H141" s="1"/>
      <c r="I141" s="1"/>
      <c r="J141" s="1"/>
      <c r="K141" s="3"/>
      <c r="L141" s="18"/>
      <c r="M141" s="3"/>
      <c r="N141" s="44"/>
      <c r="O141" s="5"/>
    </row>
    <row r="142" spans="1:15" s="4" customFormat="1" ht="11.25" x14ac:dyDescent="0.2">
      <c r="A142" s="1"/>
      <c r="B142" s="1"/>
      <c r="C142" s="1"/>
      <c r="D142" s="1"/>
      <c r="E142" s="1"/>
      <c r="F142" s="1"/>
      <c r="G142" s="1"/>
      <c r="H142" s="1"/>
      <c r="I142" s="1"/>
      <c r="J142" s="1"/>
      <c r="K142" s="3"/>
      <c r="L142" s="18"/>
      <c r="M142" s="3"/>
      <c r="N142" s="44"/>
      <c r="O142" s="5"/>
    </row>
    <row r="143" spans="1:15" s="4" customFormat="1" ht="11.25" x14ac:dyDescent="0.2">
      <c r="A143" s="1"/>
      <c r="B143" s="1"/>
      <c r="C143" s="1"/>
      <c r="D143" s="1"/>
      <c r="E143" s="1"/>
      <c r="F143" s="1"/>
      <c r="G143" s="1"/>
      <c r="H143" s="1"/>
      <c r="I143" s="1"/>
      <c r="J143" s="1"/>
      <c r="K143" s="3"/>
      <c r="L143" s="18"/>
      <c r="M143" s="3"/>
      <c r="N143" s="44"/>
      <c r="O143" s="5"/>
    </row>
    <row r="144" spans="1:15" s="4" customFormat="1" ht="11.25" x14ac:dyDescent="0.2">
      <c r="A144" s="1"/>
      <c r="B144" s="1"/>
      <c r="C144" s="1"/>
      <c r="D144" s="1"/>
      <c r="E144" s="1"/>
      <c r="F144" s="1"/>
      <c r="G144" s="1"/>
      <c r="H144" s="1"/>
      <c r="I144" s="1"/>
      <c r="J144" s="1"/>
      <c r="K144" s="3"/>
      <c r="L144" s="18"/>
      <c r="M144" s="3"/>
      <c r="N144" s="44"/>
      <c r="O144" s="5"/>
    </row>
    <row r="145" spans="1:15" s="4" customFormat="1" ht="11.25" x14ac:dyDescent="0.2">
      <c r="A145" s="1"/>
      <c r="B145" s="1"/>
      <c r="C145" s="1"/>
      <c r="D145" s="1"/>
      <c r="E145" s="1"/>
      <c r="F145" s="1"/>
      <c r="G145" s="1"/>
      <c r="H145" s="1"/>
      <c r="I145" s="1"/>
      <c r="J145" s="1"/>
      <c r="K145" s="3"/>
      <c r="L145" s="18"/>
      <c r="M145" s="3"/>
      <c r="N145" s="44"/>
      <c r="O145" s="5"/>
    </row>
    <row r="146" spans="1:15" s="4" customFormat="1" ht="11.25" x14ac:dyDescent="0.2">
      <c r="A146" s="1"/>
      <c r="B146" s="1"/>
      <c r="C146" s="1"/>
      <c r="D146" s="1"/>
      <c r="E146" s="1"/>
      <c r="F146" s="1"/>
      <c r="G146" s="1"/>
      <c r="H146" s="1"/>
      <c r="I146" s="1"/>
      <c r="J146" s="1"/>
      <c r="K146" s="3"/>
      <c r="L146" s="18"/>
      <c r="M146" s="3"/>
      <c r="N146" s="44"/>
      <c r="O146" s="5"/>
    </row>
    <row r="147" spans="1:15" s="4" customFormat="1" ht="11.25" x14ac:dyDescent="0.2">
      <c r="A147" s="1"/>
      <c r="B147" s="1"/>
      <c r="C147" s="1"/>
      <c r="D147" s="1"/>
      <c r="E147" s="1"/>
      <c r="F147" s="1"/>
      <c r="G147" s="1"/>
      <c r="H147" s="1"/>
      <c r="I147" s="1"/>
      <c r="J147" s="1"/>
      <c r="K147" s="3"/>
      <c r="L147" s="18"/>
      <c r="M147" s="3"/>
      <c r="N147" s="44"/>
      <c r="O147" s="5"/>
    </row>
    <row r="148" spans="1:15" s="4" customFormat="1" ht="11.25" x14ac:dyDescent="0.2">
      <c r="A148" s="1"/>
      <c r="B148" s="1"/>
      <c r="C148" s="1"/>
      <c r="D148" s="1"/>
      <c r="E148" s="1"/>
      <c r="F148" s="1"/>
      <c r="G148" s="1"/>
      <c r="H148" s="1"/>
      <c r="I148" s="1"/>
      <c r="J148" s="1"/>
      <c r="K148" s="3"/>
      <c r="L148" s="18"/>
      <c r="M148" s="3"/>
      <c r="N148" s="44"/>
      <c r="O148" s="5"/>
    </row>
    <row r="149" spans="1:15" s="4" customFormat="1" ht="11.25" x14ac:dyDescent="0.2">
      <c r="A149" s="1"/>
      <c r="B149" s="1"/>
      <c r="C149" s="1"/>
      <c r="D149" s="1"/>
      <c r="E149" s="1"/>
      <c r="F149" s="1"/>
      <c r="G149" s="1"/>
      <c r="H149" s="1"/>
      <c r="I149" s="1"/>
      <c r="J149" s="1"/>
      <c r="K149" s="3"/>
      <c r="L149" s="18"/>
      <c r="M149" s="3"/>
      <c r="N149" s="44"/>
      <c r="O149" s="5"/>
    </row>
    <row r="150" spans="1:15" s="4" customFormat="1" ht="11.25" x14ac:dyDescent="0.2">
      <c r="A150" s="1"/>
      <c r="B150" s="1"/>
      <c r="C150" s="1"/>
      <c r="D150" s="1"/>
      <c r="E150" s="1"/>
      <c r="F150" s="1"/>
      <c r="G150" s="1"/>
      <c r="H150" s="1"/>
      <c r="I150" s="1"/>
      <c r="J150" s="1"/>
      <c r="K150" s="3"/>
      <c r="L150" s="18"/>
      <c r="M150" s="3"/>
      <c r="N150" s="44"/>
      <c r="O150" s="5"/>
    </row>
    <row r="151" spans="1:15" s="4" customFormat="1" ht="11.25" x14ac:dyDescent="0.2">
      <c r="A151" s="1"/>
      <c r="B151" s="1"/>
      <c r="C151" s="1"/>
      <c r="D151" s="1"/>
      <c r="E151" s="1"/>
      <c r="F151" s="1"/>
      <c r="G151" s="1"/>
      <c r="H151" s="1"/>
      <c r="I151" s="1"/>
      <c r="J151" s="1"/>
      <c r="K151" s="3"/>
      <c r="L151" s="18"/>
      <c r="M151" s="3"/>
      <c r="N151" s="44"/>
      <c r="O151" s="5"/>
    </row>
    <row r="152" spans="1:15" s="4" customFormat="1" ht="11.25" x14ac:dyDescent="0.2">
      <c r="A152" s="1"/>
      <c r="B152" s="1"/>
      <c r="C152" s="1"/>
      <c r="D152" s="1"/>
      <c r="E152" s="1"/>
      <c r="F152" s="1"/>
      <c r="G152" s="1"/>
      <c r="H152" s="1"/>
      <c r="I152" s="1"/>
      <c r="J152" s="1"/>
      <c r="K152" s="3"/>
      <c r="L152" s="18"/>
      <c r="M152" s="3"/>
      <c r="N152" s="44"/>
      <c r="O152" s="5"/>
    </row>
    <row r="153" spans="1:15" s="4" customFormat="1" ht="11.25" x14ac:dyDescent="0.2">
      <c r="A153" s="1"/>
      <c r="B153" s="1"/>
      <c r="C153" s="1"/>
      <c r="D153" s="1"/>
      <c r="E153" s="1"/>
      <c r="F153" s="1"/>
      <c r="G153" s="1"/>
      <c r="H153" s="1"/>
      <c r="I153" s="1"/>
      <c r="J153" s="1"/>
      <c r="K153" s="3"/>
      <c r="L153" s="18"/>
      <c r="M153" s="3"/>
      <c r="N153" s="44"/>
      <c r="O153" s="5"/>
    </row>
    <row r="154" spans="1:15" s="4" customFormat="1" ht="11.25" x14ac:dyDescent="0.2">
      <c r="A154" s="1"/>
      <c r="B154" s="1"/>
      <c r="C154" s="1"/>
      <c r="D154" s="1"/>
      <c r="E154" s="1"/>
      <c r="F154" s="1"/>
      <c r="G154" s="1"/>
      <c r="H154" s="1"/>
      <c r="I154" s="1"/>
      <c r="J154" s="1"/>
      <c r="K154" s="3"/>
      <c r="L154" s="18"/>
      <c r="M154" s="3"/>
      <c r="N154" s="44"/>
      <c r="O154" s="5"/>
    </row>
    <row r="155" spans="1:15" s="4" customFormat="1" ht="11.25" x14ac:dyDescent="0.2">
      <c r="A155" s="1"/>
      <c r="B155" s="1"/>
      <c r="C155" s="1"/>
      <c r="D155" s="1"/>
      <c r="E155" s="1"/>
      <c r="F155" s="1"/>
      <c r="G155" s="1"/>
      <c r="H155" s="1"/>
      <c r="I155" s="1"/>
      <c r="J155" s="1"/>
      <c r="K155" s="3"/>
      <c r="L155" s="18"/>
      <c r="M155" s="3"/>
      <c r="N155" s="44"/>
      <c r="O155" s="5"/>
    </row>
    <row r="156" spans="1:15" s="4" customFormat="1" ht="11.25" x14ac:dyDescent="0.2">
      <c r="A156" s="1"/>
      <c r="B156" s="1"/>
      <c r="C156" s="1"/>
      <c r="D156" s="1"/>
      <c r="E156" s="1"/>
      <c r="F156" s="1"/>
      <c r="G156" s="1"/>
      <c r="H156" s="1"/>
      <c r="I156" s="1"/>
      <c r="J156" s="1"/>
      <c r="K156" s="3"/>
      <c r="L156" s="18"/>
      <c r="M156" s="3"/>
      <c r="N156" s="44"/>
      <c r="O156" s="5"/>
    </row>
    <row r="157" spans="1:15" s="4" customFormat="1" ht="11.25" x14ac:dyDescent="0.2">
      <c r="A157" s="1"/>
      <c r="B157" s="1"/>
      <c r="C157" s="1"/>
      <c r="D157" s="1"/>
      <c r="E157" s="1"/>
      <c r="F157" s="1"/>
      <c r="G157" s="1"/>
      <c r="H157" s="1"/>
      <c r="I157" s="1"/>
      <c r="J157" s="1"/>
      <c r="K157" s="3"/>
      <c r="L157" s="18"/>
      <c r="M157" s="3"/>
      <c r="N157" s="44"/>
      <c r="O157" s="5"/>
    </row>
    <row r="158" spans="1:15" s="4" customFormat="1" ht="11.25" x14ac:dyDescent="0.2">
      <c r="A158" s="1"/>
      <c r="B158" s="1"/>
      <c r="C158" s="1"/>
      <c r="D158" s="1"/>
      <c r="E158" s="1"/>
      <c r="F158" s="1"/>
      <c r="G158" s="1"/>
      <c r="H158" s="1"/>
      <c r="I158" s="1"/>
      <c r="J158" s="1"/>
      <c r="K158" s="3"/>
      <c r="L158" s="18"/>
      <c r="M158" s="3"/>
      <c r="N158" s="44"/>
      <c r="O158" s="5"/>
    </row>
  </sheetData>
  <phoneticPr fontId="1" type="noConversion"/>
  <pageMargins left="0.25" right="0.25" top="0.5" bottom="0.5" header="0.5" footer="0.5"/>
  <pageSetup scale="72" orientation="landscape"/>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B227"/>
  <sheetViews>
    <sheetView zoomScale="125" zoomScaleNormal="125"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15.8554687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7" style="1" customWidth="1"/>
    <col min="11" max="11" width="7.42578125" style="18" customWidth="1"/>
    <col min="12" max="12" width="9.140625" style="28" customWidth="1"/>
    <col min="13" max="13" width="10.85546875" style="44" customWidth="1"/>
    <col min="14" max="14" width="32"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490</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8"/>
      <c r="J4" s="9" t="s">
        <v>2</v>
      </c>
      <c r="K4" s="9" t="s">
        <v>3</v>
      </c>
      <c r="L4" s="11" t="s">
        <v>4</v>
      </c>
      <c r="M4" s="19" t="s">
        <v>5</v>
      </c>
      <c r="N4" s="54"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2"/>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3"/>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s="4" customFormat="1" ht="11.25" x14ac:dyDescent="0.2">
      <c r="A7" s="8" t="s">
        <v>52</v>
      </c>
      <c r="B7" s="8">
        <v>6917</v>
      </c>
      <c r="C7" s="8" t="s">
        <v>394</v>
      </c>
      <c r="D7" s="8" t="s">
        <v>358</v>
      </c>
      <c r="E7" s="8" t="s">
        <v>373</v>
      </c>
      <c r="F7" s="8" t="s">
        <v>97</v>
      </c>
      <c r="G7" s="8">
        <v>93</v>
      </c>
      <c r="H7" s="8" t="s">
        <v>395</v>
      </c>
      <c r="I7" s="8">
        <v>13</v>
      </c>
      <c r="J7" s="8">
        <v>7636</v>
      </c>
      <c r="K7" s="8">
        <v>131125</v>
      </c>
      <c r="L7" s="101">
        <v>780</v>
      </c>
      <c r="M7" s="100">
        <v>75000</v>
      </c>
      <c r="N7" s="8" t="s">
        <v>383</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4" s="4" customFormat="1" ht="11.25" x14ac:dyDescent="0.2">
      <c r="A8" s="8" t="s">
        <v>52</v>
      </c>
      <c r="B8" s="8">
        <v>2344</v>
      </c>
      <c r="C8" s="8" t="s">
        <v>396</v>
      </c>
      <c r="D8" s="8" t="s">
        <v>367</v>
      </c>
      <c r="E8" s="8" t="s">
        <v>359</v>
      </c>
      <c r="F8" s="8" t="s">
        <v>397</v>
      </c>
      <c r="G8" s="8">
        <v>6</v>
      </c>
      <c r="H8" s="8">
        <v>11</v>
      </c>
      <c r="I8" s="8">
        <v>13</v>
      </c>
      <c r="J8" s="8">
        <v>7253</v>
      </c>
      <c r="K8" s="8">
        <v>131107</v>
      </c>
      <c r="L8" s="101">
        <v>120</v>
      </c>
      <c r="M8" s="100">
        <v>6550</v>
      </c>
      <c r="N8" s="8" t="s">
        <v>398</v>
      </c>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row>
    <row r="9" spans="1:54" s="4" customFormat="1" ht="11.25" x14ac:dyDescent="0.2">
      <c r="A9" s="8" t="s">
        <v>52</v>
      </c>
      <c r="B9" s="8">
        <v>4917</v>
      </c>
      <c r="C9" s="8" t="s">
        <v>399</v>
      </c>
      <c r="D9" s="8" t="s">
        <v>374</v>
      </c>
      <c r="E9" s="8" t="s">
        <v>373</v>
      </c>
      <c r="F9" s="8" t="s">
        <v>331</v>
      </c>
      <c r="G9" s="8">
        <v>1</v>
      </c>
      <c r="H9" s="8" t="s">
        <v>400</v>
      </c>
      <c r="I9" s="8">
        <v>13</v>
      </c>
      <c r="J9" s="8">
        <v>7627</v>
      </c>
      <c r="K9" s="8">
        <v>131125</v>
      </c>
      <c r="L9" s="101">
        <v>366</v>
      </c>
      <c r="M9" s="100">
        <v>60000</v>
      </c>
      <c r="N9" s="8" t="s">
        <v>370</v>
      </c>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row>
    <row r="10" spans="1:54" s="4" customFormat="1" ht="11.25" x14ac:dyDescent="0.2">
      <c r="A10" s="8" t="s">
        <v>52</v>
      </c>
      <c r="B10" s="8">
        <v>1529</v>
      </c>
      <c r="C10" s="8" t="s">
        <v>152</v>
      </c>
      <c r="D10" s="8" t="s">
        <v>365</v>
      </c>
      <c r="E10" s="8" t="s">
        <v>359</v>
      </c>
      <c r="F10" s="8" t="s">
        <v>106</v>
      </c>
      <c r="G10" s="8">
        <v>10</v>
      </c>
      <c r="H10" s="8">
        <v>9</v>
      </c>
      <c r="I10" s="8">
        <v>13</v>
      </c>
      <c r="J10" s="8">
        <v>7316</v>
      </c>
      <c r="K10" s="8">
        <v>131108</v>
      </c>
      <c r="L10" s="101">
        <v>238</v>
      </c>
      <c r="M10" s="100">
        <v>7000</v>
      </c>
      <c r="N10" s="8" t="s">
        <v>383</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4" s="4" customFormat="1" ht="11.25" x14ac:dyDescent="0.2">
      <c r="A11" s="8" t="s">
        <v>52</v>
      </c>
      <c r="B11" s="8">
        <v>1020</v>
      </c>
      <c r="C11" s="8" t="s">
        <v>352</v>
      </c>
      <c r="D11" s="8" t="s">
        <v>388</v>
      </c>
      <c r="E11" s="8" t="s">
        <v>359</v>
      </c>
      <c r="F11" s="8" t="s">
        <v>87</v>
      </c>
      <c r="G11" s="8">
        <v>9</v>
      </c>
      <c r="H11" s="8">
        <v>14</v>
      </c>
      <c r="I11" s="8">
        <v>13</v>
      </c>
      <c r="J11" s="8">
        <v>7519</v>
      </c>
      <c r="K11" s="8">
        <v>131119</v>
      </c>
      <c r="L11" s="101">
        <v>196</v>
      </c>
      <c r="M11" s="100">
        <v>28000</v>
      </c>
      <c r="N11" s="8" t="s">
        <v>401</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4" s="4" customFormat="1" ht="11.25" x14ac:dyDescent="0.2">
      <c r="A12" s="8" t="s">
        <v>402</v>
      </c>
      <c r="B12" s="8">
        <v>684</v>
      </c>
      <c r="C12" s="8" t="s">
        <v>280</v>
      </c>
      <c r="D12" s="8" t="s">
        <v>372</v>
      </c>
      <c r="E12" s="8" t="s">
        <v>359</v>
      </c>
      <c r="F12" s="8" t="s">
        <v>281</v>
      </c>
      <c r="G12" s="8">
        <v>3</v>
      </c>
      <c r="H12" s="8">
        <v>8</v>
      </c>
      <c r="I12" s="8">
        <v>13</v>
      </c>
      <c r="J12" s="8">
        <v>7651</v>
      </c>
      <c r="K12" s="8">
        <v>131126</v>
      </c>
      <c r="L12" s="101">
        <v>960</v>
      </c>
      <c r="M12" s="100">
        <v>22253</v>
      </c>
      <c r="N12" s="8" t="s">
        <v>383</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4" s="4" customFormat="1" ht="11.25" x14ac:dyDescent="0.2">
      <c r="A13" s="8" t="s">
        <v>402</v>
      </c>
      <c r="B13" s="8">
        <v>903</v>
      </c>
      <c r="C13" s="8" t="s">
        <v>131</v>
      </c>
      <c r="D13" s="8" t="s">
        <v>365</v>
      </c>
      <c r="E13" s="8" t="s">
        <v>359</v>
      </c>
      <c r="F13" s="8" t="s">
        <v>110</v>
      </c>
      <c r="G13" s="8">
        <v>12</v>
      </c>
      <c r="H13" s="8">
        <v>76</v>
      </c>
      <c r="I13" s="8">
        <v>13</v>
      </c>
      <c r="J13" s="8">
        <v>7184</v>
      </c>
      <c r="K13" s="8">
        <v>131104</v>
      </c>
      <c r="L13" s="101">
        <v>420</v>
      </c>
      <c r="M13" s="100">
        <v>12800</v>
      </c>
      <c r="N13" s="8" t="s">
        <v>383</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4" s="4" customFormat="1" ht="11.25" x14ac:dyDescent="0.2">
      <c r="A14" s="8" t="s">
        <v>402</v>
      </c>
      <c r="B14" s="8">
        <v>602</v>
      </c>
      <c r="C14" s="8" t="s">
        <v>403</v>
      </c>
      <c r="D14" s="8" t="s">
        <v>388</v>
      </c>
      <c r="E14" s="8" t="s">
        <v>404</v>
      </c>
      <c r="F14" s="8" t="s">
        <v>405</v>
      </c>
      <c r="G14" s="8">
        <v>1</v>
      </c>
      <c r="H14" s="8">
        <v>1</v>
      </c>
      <c r="I14" s="8">
        <v>13</v>
      </c>
      <c r="J14" s="8">
        <v>7279</v>
      </c>
      <c r="K14" s="8">
        <v>131107</v>
      </c>
      <c r="L14" s="101">
        <v>400</v>
      </c>
      <c r="M14" s="100">
        <v>9272</v>
      </c>
      <c r="N14" s="8" t="s">
        <v>406</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4" s="4" customFormat="1" ht="11.25" x14ac:dyDescent="0.2">
      <c r="A15" s="8" t="s">
        <v>402</v>
      </c>
      <c r="B15" s="8">
        <v>805</v>
      </c>
      <c r="C15" s="8" t="s">
        <v>353</v>
      </c>
      <c r="D15" s="8" t="s">
        <v>388</v>
      </c>
      <c r="E15" s="8" t="s">
        <v>373</v>
      </c>
      <c r="F15" s="8" t="s">
        <v>81</v>
      </c>
      <c r="G15" s="8">
        <v>3</v>
      </c>
      <c r="H15" s="8">
        <v>52</v>
      </c>
      <c r="I15" s="8">
        <v>13</v>
      </c>
      <c r="J15" s="8">
        <v>7527</v>
      </c>
      <c r="K15" s="8">
        <v>131120</v>
      </c>
      <c r="L15" s="101">
        <v>1000</v>
      </c>
      <c r="M15" s="100">
        <v>23180</v>
      </c>
      <c r="N15" s="8" t="s">
        <v>383</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4" s="4" customFormat="1" ht="11.25" x14ac:dyDescent="0.2">
      <c r="A16" s="8" t="s">
        <v>402</v>
      </c>
      <c r="B16" s="8">
        <v>1513</v>
      </c>
      <c r="C16" s="8" t="s">
        <v>407</v>
      </c>
      <c r="D16" s="8" t="s">
        <v>388</v>
      </c>
      <c r="E16" s="8" t="s">
        <v>359</v>
      </c>
      <c r="F16" s="8" t="s">
        <v>72</v>
      </c>
      <c r="G16" s="8" t="s">
        <v>56</v>
      </c>
      <c r="H16" s="8">
        <v>14</v>
      </c>
      <c r="I16" s="8">
        <v>13</v>
      </c>
      <c r="J16" s="8">
        <v>7560</v>
      </c>
      <c r="K16" s="8">
        <v>131120</v>
      </c>
      <c r="L16" s="101">
        <v>1200</v>
      </c>
      <c r="M16" s="100">
        <v>27816</v>
      </c>
      <c r="N16" s="8" t="s">
        <v>406</v>
      </c>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4" customFormat="1" ht="11.25" x14ac:dyDescent="0.2">
      <c r="A17" s="8" t="s">
        <v>402</v>
      </c>
      <c r="B17" s="8">
        <v>1100</v>
      </c>
      <c r="C17" s="8" t="s">
        <v>390</v>
      </c>
      <c r="D17" s="8" t="s">
        <v>388</v>
      </c>
      <c r="E17" s="8" t="s">
        <v>359</v>
      </c>
      <c r="F17" s="8" t="s">
        <v>87</v>
      </c>
      <c r="G17" s="8">
        <v>4</v>
      </c>
      <c r="H17" s="8">
        <v>7</v>
      </c>
      <c r="I17" s="8">
        <v>13</v>
      </c>
      <c r="J17" s="8">
        <v>7228</v>
      </c>
      <c r="K17" s="8">
        <v>131106</v>
      </c>
      <c r="L17" s="101">
        <v>576</v>
      </c>
      <c r="M17" s="100">
        <v>16000</v>
      </c>
      <c r="N17" s="8" t="s">
        <v>391</v>
      </c>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4" customFormat="1" ht="11.25" x14ac:dyDescent="0.2">
      <c r="A18" s="8" t="s">
        <v>408</v>
      </c>
      <c r="B18" s="8">
        <v>4845</v>
      </c>
      <c r="C18" s="8" t="s">
        <v>94</v>
      </c>
      <c r="D18" s="8" t="s">
        <v>365</v>
      </c>
      <c r="E18" s="8" t="s">
        <v>373</v>
      </c>
      <c r="F18" s="8" t="s">
        <v>95</v>
      </c>
      <c r="G18" s="8">
        <v>12</v>
      </c>
      <c r="H18" s="8">
        <v>5</v>
      </c>
      <c r="I18" s="8">
        <v>13</v>
      </c>
      <c r="J18" s="8">
        <v>7441</v>
      </c>
      <c r="K18" s="8">
        <v>131114</v>
      </c>
      <c r="L18" s="101">
        <v>1480</v>
      </c>
      <c r="M18" s="100">
        <v>3100</v>
      </c>
      <c r="N18" s="8" t="s">
        <v>409</v>
      </c>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s="4" customFormat="1" ht="11.25" x14ac:dyDescent="0.2">
      <c r="A19" s="8" t="s">
        <v>408</v>
      </c>
      <c r="B19" s="8">
        <v>2304</v>
      </c>
      <c r="C19" s="8" t="s">
        <v>410</v>
      </c>
      <c r="D19" s="8" t="s">
        <v>365</v>
      </c>
      <c r="E19" s="8" t="s">
        <v>373</v>
      </c>
      <c r="F19" s="8" t="s">
        <v>128</v>
      </c>
      <c r="G19" s="8">
        <v>19</v>
      </c>
      <c r="H19" s="8">
        <v>11</v>
      </c>
      <c r="I19" s="8">
        <v>13</v>
      </c>
      <c r="J19" s="8">
        <v>7533</v>
      </c>
      <c r="K19" s="8">
        <v>131120</v>
      </c>
      <c r="L19" s="101">
        <v>2786</v>
      </c>
      <c r="M19" s="100">
        <v>14520</v>
      </c>
      <c r="N19" s="8" t="s">
        <v>411</v>
      </c>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s="4" customFormat="1" ht="11.25" x14ac:dyDescent="0.2">
      <c r="A20" s="8" t="s">
        <v>408</v>
      </c>
      <c r="B20" s="8">
        <v>1043</v>
      </c>
      <c r="C20" s="8" t="s">
        <v>412</v>
      </c>
      <c r="D20" s="8" t="s">
        <v>358</v>
      </c>
      <c r="E20" s="8" t="s">
        <v>359</v>
      </c>
      <c r="F20" s="8" t="s">
        <v>281</v>
      </c>
      <c r="G20" s="8">
        <v>2</v>
      </c>
      <c r="H20" s="8">
        <v>3</v>
      </c>
      <c r="I20" s="8">
        <v>13</v>
      </c>
      <c r="J20" s="8">
        <v>7222</v>
      </c>
      <c r="K20" s="8">
        <v>131105</v>
      </c>
      <c r="L20" s="101">
        <v>2900</v>
      </c>
      <c r="M20" s="100">
        <v>6810</v>
      </c>
      <c r="N20" s="8" t="s">
        <v>413</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s="4" customFormat="1" ht="11.25" x14ac:dyDescent="0.2">
      <c r="A21" s="8" t="s">
        <v>408</v>
      </c>
      <c r="B21" s="8">
        <v>775</v>
      </c>
      <c r="C21" s="8" t="s">
        <v>183</v>
      </c>
      <c r="D21" s="8" t="s">
        <v>358</v>
      </c>
      <c r="E21" s="8" t="s">
        <v>359</v>
      </c>
      <c r="F21" s="8" t="s">
        <v>184</v>
      </c>
      <c r="G21" s="8">
        <v>9</v>
      </c>
      <c r="H21" s="8">
        <v>20</v>
      </c>
      <c r="I21" s="8">
        <v>13</v>
      </c>
      <c r="J21" s="8">
        <v>7706</v>
      </c>
      <c r="K21" s="8">
        <v>131127</v>
      </c>
      <c r="L21" s="101">
        <v>1134</v>
      </c>
      <c r="M21" s="100">
        <v>2640</v>
      </c>
      <c r="N21" s="8" t="s">
        <v>413</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s="4" customFormat="1" ht="11.25" x14ac:dyDescent="0.2">
      <c r="A22" s="8" t="s">
        <v>408</v>
      </c>
      <c r="B22" s="8">
        <v>4985</v>
      </c>
      <c r="C22" s="8" t="s">
        <v>414</v>
      </c>
      <c r="D22" s="8" t="s">
        <v>365</v>
      </c>
      <c r="E22" s="8" t="s">
        <v>373</v>
      </c>
      <c r="F22" s="8" t="s">
        <v>95</v>
      </c>
      <c r="G22" s="8">
        <v>1</v>
      </c>
      <c r="H22" s="8">
        <v>33</v>
      </c>
      <c r="I22" s="8">
        <v>13</v>
      </c>
      <c r="J22" s="8">
        <v>7647</v>
      </c>
      <c r="K22" s="8">
        <v>131126</v>
      </c>
      <c r="L22" s="101">
        <v>1600</v>
      </c>
      <c r="M22" s="100">
        <v>2608</v>
      </c>
      <c r="N22" s="8" t="s">
        <v>383</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s="4" customFormat="1" ht="11.25" x14ac:dyDescent="0.2">
      <c r="A23" s="8" t="s">
        <v>408</v>
      </c>
      <c r="B23" s="8">
        <v>2372</v>
      </c>
      <c r="C23" s="8" t="s">
        <v>396</v>
      </c>
      <c r="D23" s="8" t="s">
        <v>367</v>
      </c>
      <c r="E23" s="8" t="s">
        <v>359</v>
      </c>
      <c r="F23" s="8" t="s">
        <v>397</v>
      </c>
      <c r="G23" s="8">
        <v>6</v>
      </c>
      <c r="H23" s="8">
        <v>4</v>
      </c>
      <c r="I23" s="8">
        <v>13</v>
      </c>
      <c r="J23" s="8">
        <v>7383</v>
      </c>
      <c r="K23" s="8">
        <v>131113</v>
      </c>
      <c r="L23" s="101">
        <v>972</v>
      </c>
      <c r="M23" s="100">
        <v>8360</v>
      </c>
      <c r="N23" s="8" t="s">
        <v>415</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s="4" customFormat="1" ht="11.25" x14ac:dyDescent="0.2">
      <c r="A24" s="8" t="s">
        <v>408</v>
      </c>
      <c r="B24" s="8">
        <v>6062</v>
      </c>
      <c r="C24" s="8" t="s">
        <v>245</v>
      </c>
      <c r="D24" s="8" t="s">
        <v>358</v>
      </c>
      <c r="E24" s="8" t="s">
        <v>373</v>
      </c>
      <c r="F24" s="8" t="s">
        <v>246</v>
      </c>
      <c r="G24" s="8">
        <v>27</v>
      </c>
      <c r="H24" s="8">
        <v>4</v>
      </c>
      <c r="I24" s="8">
        <v>13</v>
      </c>
      <c r="J24" s="8">
        <v>7503</v>
      </c>
      <c r="K24" s="8">
        <v>131118</v>
      </c>
      <c r="L24" s="101">
        <v>0</v>
      </c>
      <c r="M24" s="100">
        <v>0</v>
      </c>
      <c r="N24" s="8" t="s">
        <v>416</v>
      </c>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s="4" customFormat="1" ht="11.25" x14ac:dyDescent="0.2">
      <c r="A25" s="8" t="s">
        <v>408</v>
      </c>
      <c r="B25" s="8">
        <v>6063</v>
      </c>
      <c r="C25" s="8" t="s">
        <v>245</v>
      </c>
      <c r="D25" s="8" t="s">
        <v>358</v>
      </c>
      <c r="E25" s="8" t="s">
        <v>373</v>
      </c>
      <c r="F25" s="8" t="s">
        <v>246</v>
      </c>
      <c r="G25" s="8">
        <v>25</v>
      </c>
      <c r="H25" s="8">
        <v>11</v>
      </c>
      <c r="I25" s="8">
        <v>13</v>
      </c>
      <c r="J25" s="8">
        <v>7133</v>
      </c>
      <c r="K25" s="8">
        <v>131101</v>
      </c>
      <c r="L25" s="101">
        <v>3033</v>
      </c>
      <c r="M25" s="100">
        <v>7686</v>
      </c>
      <c r="N25" s="8" t="s">
        <v>416</v>
      </c>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s="4" customFormat="1" ht="11.25" x14ac:dyDescent="0.2">
      <c r="A26" s="8" t="s">
        <v>408</v>
      </c>
      <c r="B26" s="8">
        <v>6147</v>
      </c>
      <c r="C26" s="8" t="s">
        <v>245</v>
      </c>
      <c r="D26" s="8" t="s">
        <v>358</v>
      </c>
      <c r="E26" s="8" t="s">
        <v>373</v>
      </c>
      <c r="F26" s="8" t="s">
        <v>246</v>
      </c>
      <c r="G26" s="8">
        <v>23</v>
      </c>
      <c r="H26" s="8">
        <v>10</v>
      </c>
      <c r="I26" s="8">
        <v>13</v>
      </c>
      <c r="J26" s="8">
        <v>7502</v>
      </c>
      <c r="K26" s="8">
        <v>131118</v>
      </c>
      <c r="L26" s="101">
        <v>0</v>
      </c>
      <c r="M26" s="100">
        <v>0</v>
      </c>
      <c r="N26" s="8" t="s">
        <v>416</v>
      </c>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s="4" customFormat="1" ht="11.25" x14ac:dyDescent="0.2">
      <c r="A27" s="8" t="s">
        <v>408</v>
      </c>
      <c r="B27" s="8">
        <v>6162</v>
      </c>
      <c r="C27" s="8" t="s">
        <v>245</v>
      </c>
      <c r="D27" s="8" t="s">
        <v>358</v>
      </c>
      <c r="E27" s="8" t="s">
        <v>373</v>
      </c>
      <c r="F27" s="8" t="s">
        <v>246</v>
      </c>
      <c r="G27" s="8">
        <v>22</v>
      </c>
      <c r="H27" s="8">
        <v>12</v>
      </c>
      <c r="I27" s="8">
        <v>13</v>
      </c>
      <c r="J27" s="8">
        <v>7501</v>
      </c>
      <c r="K27" s="8">
        <v>131118</v>
      </c>
      <c r="L27" s="101">
        <v>0</v>
      </c>
      <c r="M27" s="100">
        <v>0</v>
      </c>
      <c r="N27" s="8" t="s">
        <v>416</v>
      </c>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s="4" customFormat="1" ht="11.25" x14ac:dyDescent="0.2">
      <c r="A28" s="8" t="s">
        <v>408</v>
      </c>
      <c r="B28" s="8">
        <v>4764</v>
      </c>
      <c r="C28" s="8" t="s">
        <v>417</v>
      </c>
      <c r="D28" s="8" t="s">
        <v>365</v>
      </c>
      <c r="E28" s="8" t="s">
        <v>373</v>
      </c>
      <c r="F28" s="8" t="s">
        <v>418</v>
      </c>
      <c r="G28" s="8">
        <v>4</v>
      </c>
      <c r="H28" s="8">
        <v>18</v>
      </c>
      <c r="I28" s="8">
        <v>13</v>
      </c>
      <c r="J28" s="8">
        <v>7189</v>
      </c>
      <c r="K28" s="8">
        <v>131105</v>
      </c>
      <c r="L28" s="101">
        <v>76</v>
      </c>
      <c r="M28" s="100">
        <v>3478</v>
      </c>
      <c r="N28" s="8" t="s">
        <v>419</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s="4" customFormat="1" ht="11.25" x14ac:dyDescent="0.2">
      <c r="A29" s="8" t="s">
        <v>408</v>
      </c>
      <c r="B29" s="8">
        <v>6513</v>
      </c>
      <c r="C29" s="8" t="s">
        <v>257</v>
      </c>
      <c r="D29" s="8" t="s">
        <v>374</v>
      </c>
      <c r="E29" s="8" t="s">
        <v>373</v>
      </c>
      <c r="F29" s="8" t="s">
        <v>246</v>
      </c>
      <c r="G29" s="8">
        <v>22</v>
      </c>
      <c r="H29" s="8">
        <v>42</v>
      </c>
      <c r="I29" s="8">
        <v>13</v>
      </c>
      <c r="J29" s="8">
        <v>7331</v>
      </c>
      <c r="K29" s="8">
        <v>131112</v>
      </c>
      <c r="L29" s="101">
        <v>3703</v>
      </c>
      <c r="M29" s="100">
        <v>9303</v>
      </c>
      <c r="N29" s="8" t="s">
        <v>420</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s="4" customFormat="1" ht="11.25" x14ac:dyDescent="0.2">
      <c r="A30" s="8" t="s">
        <v>408</v>
      </c>
      <c r="B30" s="8">
        <v>632</v>
      </c>
      <c r="C30" s="8" t="s">
        <v>421</v>
      </c>
      <c r="D30" s="8" t="s">
        <v>365</v>
      </c>
      <c r="E30" s="8" t="s">
        <v>373</v>
      </c>
      <c r="F30" s="8" t="s">
        <v>95</v>
      </c>
      <c r="G30" s="8">
        <v>7</v>
      </c>
      <c r="H30" s="8">
        <v>9</v>
      </c>
      <c r="I30" s="8">
        <v>13</v>
      </c>
      <c r="J30" s="8">
        <v>7655</v>
      </c>
      <c r="K30" s="8">
        <v>131126</v>
      </c>
      <c r="L30" s="101">
        <v>0</v>
      </c>
      <c r="M30" s="100">
        <v>0</v>
      </c>
      <c r="N30" s="8" t="s">
        <v>422</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s="4" customFormat="1" ht="11.25" x14ac:dyDescent="0.2">
      <c r="A31" s="8" t="s">
        <v>408</v>
      </c>
      <c r="B31" s="8">
        <v>6480</v>
      </c>
      <c r="C31" s="8" t="s">
        <v>423</v>
      </c>
      <c r="D31" s="8" t="s">
        <v>358</v>
      </c>
      <c r="E31" s="8" t="s">
        <v>373</v>
      </c>
      <c r="F31" s="8" t="s">
        <v>246</v>
      </c>
      <c r="G31" s="8">
        <v>5</v>
      </c>
      <c r="H31" s="8">
        <v>1</v>
      </c>
      <c r="I31" s="8">
        <v>13</v>
      </c>
      <c r="J31" s="8">
        <v>7325</v>
      </c>
      <c r="K31" s="8">
        <v>131112</v>
      </c>
      <c r="L31" s="101">
        <v>1500</v>
      </c>
      <c r="M31" s="100">
        <v>3700</v>
      </c>
      <c r="N31" s="8" t="s">
        <v>424</v>
      </c>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s="4" customFormat="1" ht="11.25" x14ac:dyDescent="0.2">
      <c r="A32" s="8" t="s">
        <v>408</v>
      </c>
      <c r="B32" s="8">
        <v>6501</v>
      </c>
      <c r="C32" s="8" t="s">
        <v>423</v>
      </c>
      <c r="D32" s="8" t="s">
        <v>358</v>
      </c>
      <c r="E32" s="8" t="s">
        <v>373</v>
      </c>
      <c r="F32" s="8" t="s">
        <v>246</v>
      </c>
      <c r="G32" s="8">
        <v>4</v>
      </c>
      <c r="H32" s="8">
        <v>15</v>
      </c>
      <c r="I32" s="8">
        <v>13</v>
      </c>
      <c r="J32" s="8">
        <v>7366</v>
      </c>
      <c r="K32" s="8">
        <v>131112</v>
      </c>
      <c r="L32" s="101">
        <v>0</v>
      </c>
      <c r="M32" s="100">
        <v>0</v>
      </c>
      <c r="N32" s="8" t="s">
        <v>416</v>
      </c>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s="4" customFormat="1" ht="11.25" x14ac:dyDescent="0.2">
      <c r="A33" s="8" t="s">
        <v>408</v>
      </c>
      <c r="B33" s="8">
        <v>311</v>
      </c>
      <c r="C33" s="8" t="s">
        <v>186</v>
      </c>
      <c r="D33" s="8" t="s">
        <v>358</v>
      </c>
      <c r="E33" s="8" t="s">
        <v>359</v>
      </c>
      <c r="F33" s="8" t="s">
        <v>187</v>
      </c>
      <c r="G33" s="8" t="s">
        <v>188</v>
      </c>
      <c r="H33" s="8">
        <v>4</v>
      </c>
      <c r="I33" s="8">
        <v>13</v>
      </c>
      <c r="J33" s="8">
        <v>7358</v>
      </c>
      <c r="K33" s="8">
        <v>131112</v>
      </c>
      <c r="L33" s="101">
        <v>2400</v>
      </c>
      <c r="M33" s="100">
        <v>12600</v>
      </c>
      <c r="N33" s="8" t="s">
        <v>425</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s="4" customFormat="1" ht="11.25" x14ac:dyDescent="0.2">
      <c r="A34" s="8" t="s">
        <v>408</v>
      </c>
      <c r="B34" s="8">
        <v>2001</v>
      </c>
      <c r="C34" s="8" t="s">
        <v>426</v>
      </c>
      <c r="D34" s="8" t="s">
        <v>358</v>
      </c>
      <c r="E34" s="8" t="s">
        <v>359</v>
      </c>
      <c r="F34" s="8" t="s">
        <v>72</v>
      </c>
      <c r="G34" s="8">
        <v>59</v>
      </c>
      <c r="H34" s="8" t="s">
        <v>427</v>
      </c>
      <c r="I34" s="8">
        <v>13</v>
      </c>
      <c r="J34" s="8">
        <v>7688</v>
      </c>
      <c r="K34" s="8">
        <v>131127</v>
      </c>
      <c r="L34" s="101">
        <v>5400</v>
      </c>
      <c r="M34" s="100">
        <v>16000</v>
      </c>
      <c r="N34" s="8" t="s">
        <v>428</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s="4" customFormat="1" ht="11.25" x14ac:dyDescent="0.2">
      <c r="A35" s="8" t="s">
        <v>408</v>
      </c>
      <c r="B35" s="8">
        <v>548</v>
      </c>
      <c r="C35" s="8" t="s">
        <v>429</v>
      </c>
      <c r="D35" s="8" t="s">
        <v>365</v>
      </c>
      <c r="E35" s="8" t="s">
        <v>359</v>
      </c>
      <c r="F35" s="8" t="s">
        <v>430</v>
      </c>
      <c r="G35" s="8">
        <v>4</v>
      </c>
      <c r="H35" s="8">
        <v>13</v>
      </c>
      <c r="I35" s="8">
        <v>13</v>
      </c>
      <c r="J35" s="8">
        <v>7359</v>
      </c>
      <c r="K35" s="8">
        <v>131112</v>
      </c>
      <c r="L35" s="101">
        <v>1340</v>
      </c>
      <c r="M35" s="100">
        <v>5400</v>
      </c>
      <c r="N35" s="8" t="s">
        <v>431</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s="4" customFormat="1" ht="11.25" x14ac:dyDescent="0.2">
      <c r="A36" s="8" t="s">
        <v>408</v>
      </c>
      <c r="B36" s="8">
        <v>563</v>
      </c>
      <c r="C36" s="8" t="s">
        <v>429</v>
      </c>
      <c r="D36" s="8" t="s">
        <v>365</v>
      </c>
      <c r="E36" s="8" t="s">
        <v>359</v>
      </c>
      <c r="F36" s="8" t="s">
        <v>430</v>
      </c>
      <c r="G36" s="8">
        <v>5</v>
      </c>
      <c r="H36" s="8">
        <v>10</v>
      </c>
      <c r="I36" s="8">
        <v>13</v>
      </c>
      <c r="J36" s="8">
        <v>7451</v>
      </c>
      <c r="K36" s="8">
        <v>131115</v>
      </c>
      <c r="L36" s="101">
        <v>0</v>
      </c>
      <c r="M36" s="100">
        <v>318</v>
      </c>
      <c r="N36" s="8" t="s">
        <v>432</v>
      </c>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s="4" customFormat="1" ht="11.25" x14ac:dyDescent="0.2">
      <c r="A37" s="8" t="s">
        <v>408</v>
      </c>
      <c r="B37" s="8">
        <v>136</v>
      </c>
      <c r="C37" s="8" t="s">
        <v>433</v>
      </c>
      <c r="D37" s="8" t="s">
        <v>385</v>
      </c>
      <c r="E37" s="8" t="s">
        <v>359</v>
      </c>
      <c r="F37" s="8" t="s">
        <v>240</v>
      </c>
      <c r="G37" s="8">
        <v>5</v>
      </c>
      <c r="H37" s="8">
        <v>9</v>
      </c>
      <c r="I37" s="8">
        <v>13</v>
      </c>
      <c r="J37" s="8">
        <v>7326</v>
      </c>
      <c r="K37" s="8">
        <v>131112</v>
      </c>
      <c r="L37" s="101">
        <v>4000</v>
      </c>
      <c r="M37" s="100">
        <v>11000</v>
      </c>
      <c r="N37" s="8" t="s">
        <v>434</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s="4" customFormat="1" ht="11.25" x14ac:dyDescent="0.2">
      <c r="A38" s="8" t="s">
        <v>408</v>
      </c>
      <c r="B38" s="8">
        <v>149</v>
      </c>
      <c r="C38" s="8" t="s">
        <v>433</v>
      </c>
      <c r="D38" s="8" t="s">
        <v>385</v>
      </c>
      <c r="E38" s="8" t="s">
        <v>359</v>
      </c>
      <c r="F38" s="8" t="s">
        <v>240</v>
      </c>
      <c r="G38" s="8">
        <v>6</v>
      </c>
      <c r="H38" s="8">
        <v>9</v>
      </c>
      <c r="I38" s="8">
        <v>13</v>
      </c>
      <c r="J38" s="8">
        <v>7129</v>
      </c>
      <c r="K38" s="8">
        <v>131101</v>
      </c>
      <c r="L38" s="101">
        <v>0</v>
      </c>
      <c r="M38" s="100">
        <v>0</v>
      </c>
      <c r="N38" s="8" t="s">
        <v>431</v>
      </c>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s="4" customFormat="1" ht="11.25" x14ac:dyDescent="0.2">
      <c r="A39" s="8" t="s">
        <v>408</v>
      </c>
      <c r="B39" s="8">
        <v>6083</v>
      </c>
      <c r="C39" s="8" t="s">
        <v>435</v>
      </c>
      <c r="D39" s="8" t="s">
        <v>358</v>
      </c>
      <c r="E39" s="8" t="s">
        <v>373</v>
      </c>
      <c r="F39" s="8" t="s">
        <v>246</v>
      </c>
      <c r="G39" s="8">
        <v>24</v>
      </c>
      <c r="H39" s="8">
        <v>29</v>
      </c>
      <c r="I39" s="8">
        <v>13</v>
      </c>
      <c r="J39" s="8">
        <v>7134</v>
      </c>
      <c r="K39" s="8">
        <v>131101</v>
      </c>
      <c r="L39" s="101">
        <v>3800</v>
      </c>
      <c r="M39" s="100">
        <v>10650</v>
      </c>
      <c r="N39" s="8" t="s">
        <v>416</v>
      </c>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s="4" customFormat="1" ht="11.25" x14ac:dyDescent="0.2">
      <c r="A40" s="8" t="s">
        <v>408</v>
      </c>
      <c r="B40" s="8">
        <v>5780</v>
      </c>
      <c r="C40" s="8" t="s">
        <v>277</v>
      </c>
      <c r="D40" s="8" t="s">
        <v>358</v>
      </c>
      <c r="E40" s="8" t="s">
        <v>373</v>
      </c>
      <c r="F40" s="8" t="s">
        <v>97</v>
      </c>
      <c r="G40" s="8">
        <v>129</v>
      </c>
      <c r="H40" s="8">
        <v>3</v>
      </c>
      <c r="I40" s="8">
        <v>13</v>
      </c>
      <c r="J40" s="8">
        <v>7618</v>
      </c>
      <c r="K40" s="8">
        <v>131125</v>
      </c>
      <c r="L40" s="101">
        <v>1500</v>
      </c>
      <c r="M40" s="100">
        <v>3202</v>
      </c>
      <c r="N40" s="8" t="s">
        <v>383</v>
      </c>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4" customFormat="1" ht="11.25" x14ac:dyDescent="0.2">
      <c r="A41" s="8" t="s">
        <v>408</v>
      </c>
      <c r="B41" s="8">
        <v>4788</v>
      </c>
      <c r="C41" s="8" t="s">
        <v>436</v>
      </c>
      <c r="D41" s="8" t="s">
        <v>365</v>
      </c>
      <c r="E41" s="8" t="s">
        <v>373</v>
      </c>
      <c r="F41" s="8" t="s">
        <v>291</v>
      </c>
      <c r="G41" s="8">
        <v>12</v>
      </c>
      <c r="H41" s="8">
        <v>14</v>
      </c>
      <c r="I41" s="8">
        <v>13</v>
      </c>
      <c r="J41" s="8">
        <v>7289</v>
      </c>
      <c r="K41" s="8">
        <v>131107</v>
      </c>
      <c r="L41" s="101">
        <v>0</v>
      </c>
      <c r="M41" s="100">
        <v>0</v>
      </c>
      <c r="N41" s="8" t="s">
        <v>437</v>
      </c>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4" customFormat="1" ht="11.25" x14ac:dyDescent="0.2">
      <c r="A42" s="8" t="s">
        <v>408</v>
      </c>
      <c r="B42" s="8">
        <v>571</v>
      </c>
      <c r="C42" s="8" t="s">
        <v>438</v>
      </c>
      <c r="D42" s="8" t="s">
        <v>365</v>
      </c>
      <c r="E42" s="8" t="s">
        <v>359</v>
      </c>
      <c r="F42" s="8" t="s">
        <v>205</v>
      </c>
      <c r="G42" s="8">
        <v>8</v>
      </c>
      <c r="H42" s="8">
        <v>16</v>
      </c>
      <c r="I42" s="8">
        <v>13</v>
      </c>
      <c r="J42" s="8">
        <v>7322</v>
      </c>
      <c r="K42" s="8">
        <v>131112</v>
      </c>
      <c r="L42" s="101">
        <v>3300</v>
      </c>
      <c r="M42" s="100">
        <v>9900</v>
      </c>
      <c r="N42" s="8" t="s">
        <v>439</v>
      </c>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4" customFormat="1" ht="11.25" x14ac:dyDescent="0.2">
      <c r="A43" s="8" t="s">
        <v>408</v>
      </c>
      <c r="B43" s="8">
        <v>612</v>
      </c>
      <c r="C43" s="8" t="s">
        <v>131</v>
      </c>
      <c r="D43" s="8" t="s">
        <v>365</v>
      </c>
      <c r="E43" s="8" t="s">
        <v>359</v>
      </c>
      <c r="F43" s="8" t="s">
        <v>110</v>
      </c>
      <c r="G43" s="8">
        <v>13</v>
      </c>
      <c r="H43" s="8">
        <v>19</v>
      </c>
      <c r="I43" s="8">
        <v>13</v>
      </c>
      <c r="J43" s="8">
        <v>7324</v>
      </c>
      <c r="K43" s="8">
        <v>131112</v>
      </c>
      <c r="L43" s="101">
        <v>2600</v>
      </c>
      <c r="M43" s="100">
        <v>6000</v>
      </c>
      <c r="N43" s="8" t="s">
        <v>440</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4" customFormat="1" ht="11.25" x14ac:dyDescent="0.2">
      <c r="A44" s="8" t="s">
        <v>408</v>
      </c>
      <c r="B44" s="8">
        <v>2740</v>
      </c>
      <c r="C44" s="8" t="s">
        <v>441</v>
      </c>
      <c r="D44" s="8" t="s">
        <v>365</v>
      </c>
      <c r="E44" s="8" t="s">
        <v>359</v>
      </c>
      <c r="F44" s="8" t="s">
        <v>264</v>
      </c>
      <c r="G44" s="8">
        <v>15</v>
      </c>
      <c r="H44" s="8">
        <v>3</v>
      </c>
      <c r="I44" s="8">
        <v>13</v>
      </c>
      <c r="J44" s="8">
        <v>7339</v>
      </c>
      <c r="K44" s="8">
        <v>131112</v>
      </c>
      <c r="L44" s="101">
        <v>2333</v>
      </c>
      <c r="M44" s="100">
        <v>7258</v>
      </c>
      <c r="N44" s="8" t="s">
        <v>442</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4" customFormat="1" ht="11.25" x14ac:dyDescent="0.2">
      <c r="A45" s="8" t="s">
        <v>408</v>
      </c>
      <c r="B45" s="8">
        <v>4588</v>
      </c>
      <c r="C45" s="8" t="s">
        <v>443</v>
      </c>
      <c r="D45" s="8" t="s">
        <v>365</v>
      </c>
      <c r="E45" s="8" t="s">
        <v>373</v>
      </c>
      <c r="F45" s="8" t="s">
        <v>444</v>
      </c>
      <c r="G45" s="8">
        <v>1</v>
      </c>
      <c r="H45" s="8">
        <v>43</v>
      </c>
      <c r="I45" s="8">
        <v>13</v>
      </c>
      <c r="J45" s="8">
        <v>7224</v>
      </c>
      <c r="K45" s="8">
        <v>131106</v>
      </c>
      <c r="L45" s="101">
        <v>2900</v>
      </c>
      <c r="M45" s="100">
        <v>9993</v>
      </c>
      <c r="N45" s="8" t="s">
        <v>434</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4" customFormat="1" ht="11.25" x14ac:dyDescent="0.2">
      <c r="A46" s="8" t="s">
        <v>408</v>
      </c>
      <c r="B46" s="8">
        <v>4777</v>
      </c>
      <c r="C46" s="8" t="s">
        <v>443</v>
      </c>
      <c r="D46" s="8" t="s">
        <v>365</v>
      </c>
      <c r="E46" s="8" t="s">
        <v>373</v>
      </c>
      <c r="F46" s="8" t="s">
        <v>95</v>
      </c>
      <c r="G46" s="8">
        <v>10</v>
      </c>
      <c r="H46" s="8">
        <v>11</v>
      </c>
      <c r="I46" s="8">
        <v>13</v>
      </c>
      <c r="J46" s="8">
        <v>7367</v>
      </c>
      <c r="K46" s="8">
        <v>131112</v>
      </c>
      <c r="L46" s="101">
        <v>0</v>
      </c>
      <c r="M46" s="100">
        <v>0</v>
      </c>
      <c r="N46" s="8" t="s">
        <v>416</v>
      </c>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4" customFormat="1" ht="11.25" x14ac:dyDescent="0.2">
      <c r="A47" s="8" t="s">
        <v>408</v>
      </c>
      <c r="B47" s="8">
        <v>4517</v>
      </c>
      <c r="C47" s="8" t="s">
        <v>445</v>
      </c>
      <c r="D47" s="8" t="s">
        <v>365</v>
      </c>
      <c r="E47" s="8" t="s">
        <v>373</v>
      </c>
      <c r="F47" s="8" t="s">
        <v>202</v>
      </c>
      <c r="G47" s="8">
        <v>6</v>
      </c>
      <c r="H47" s="8">
        <v>13</v>
      </c>
      <c r="I47" s="8">
        <v>13</v>
      </c>
      <c r="J47" s="8">
        <v>7482</v>
      </c>
      <c r="K47" s="8">
        <v>131118</v>
      </c>
      <c r="L47" s="101">
        <v>41000</v>
      </c>
      <c r="M47" s="100">
        <v>13000</v>
      </c>
      <c r="N47" s="8" t="s">
        <v>420</v>
      </c>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4" customFormat="1" ht="11.25" x14ac:dyDescent="0.2">
      <c r="A48" s="8" t="s">
        <v>408</v>
      </c>
      <c r="B48" s="8">
        <v>593</v>
      </c>
      <c r="C48" s="8" t="s">
        <v>135</v>
      </c>
      <c r="D48" s="8" t="s">
        <v>367</v>
      </c>
      <c r="E48" s="8" t="s">
        <v>359</v>
      </c>
      <c r="F48" s="8" t="s">
        <v>136</v>
      </c>
      <c r="G48" s="8">
        <v>1</v>
      </c>
      <c r="H48" s="8">
        <v>26</v>
      </c>
      <c r="I48" s="8">
        <v>13</v>
      </c>
      <c r="J48" s="8">
        <v>7695</v>
      </c>
      <c r="K48" s="8">
        <v>131127</v>
      </c>
      <c r="L48" s="101">
        <v>1200</v>
      </c>
      <c r="M48" s="100">
        <v>3202</v>
      </c>
      <c r="N48" s="8" t="s">
        <v>431</v>
      </c>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4" customFormat="1" ht="11.25" x14ac:dyDescent="0.2">
      <c r="A49" s="8" t="s">
        <v>408</v>
      </c>
      <c r="B49" s="8">
        <v>2066</v>
      </c>
      <c r="C49" s="8" t="s">
        <v>446</v>
      </c>
      <c r="D49" s="8" t="s">
        <v>365</v>
      </c>
      <c r="E49" s="8" t="s">
        <v>373</v>
      </c>
      <c r="F49" s="8" t="s">
        <v>271</v>
      </c>
      <c r="G49" s="8">
        <v>11</v>
      </c>
      <c r="H49" s="8">
        <v>29</v>
      </c>
      <c r="I49" s="8">
        <v>13</v>
      </c>
      <c r="J49" s="8">
        <v>7436</v>
      </c>
      <c r="K49" s="8">
        <v>131114</v>
      </c>
      <c r="L49" s="101">
        <v>1200</v>
      </c>
      <c r="M49" s="100">
        <v>6234</v>
      </c>
      <c r="N49" s="8" t="s">
        <v>447</v>
      </c>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4" customFormat="1" ht="11.25" x14ac:dyDescent="0.2">
      <c r="A50" s="8" t="s">
        <v>408</v>
      </c>
      <c r="B50" s="8">
        <v>4213</v>
      </c>
      <c r="C50" s="8" t="s">
        <v>138</v>
      </c>
      <c r="D50" s="8" t="s">
        <v>385</v>
      </c>
      <c r="E50" s="8" t="s">
        <v>359</v>
      </c>
      <c r="F50" s="8" t="s">
        <v>114</v>
      </c>
      <c r="G50" s="8">
        <v>6</v>
      </c>
      <c r="H50" s="8">
        <v>18</v>
      </c>
      <c r="I50" s="8">
        <v>13</v>
      </c>
      <c r="J50" s="8">
        <v>7385</v>
      </c>
      <c r="K50" s="8">
        <v>131113</v>
      </c>
      <c r="L50" s="101">
        <v>0</v>
      </c>
      <c r="M50" s="100">
        <v>0</v>
      </c>
      <c r="N50" s="8" t="s">
        <v>415</v>
      </c>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4" customFormat="1" ht="11.25" x14ac:dyDescent="0.2">
      <c r="A51" s="8" t="s">
        <v>408</v>
      </c>
      <c r="B51" s="8">
        <v>6200</v>
      </c>
      <c r="C51" s="8" t="s">
        <v>315</v>
      </c>
      <c r="D51" s="8" t="s">
        <v>358</v>
      </c>
      <c r="E51" s="8" t="s">
        <v>373</v>
      </c>
      <c r="F51" s="8" t="s">
        <v>246</v>
      </c>
      <c r="G51" s="8">
        <v>18</v>
      </c>
      <c r="H51" s="8">
        <v>1</v>
      </c>
      <c r="I51" s="8">
        <v>13</v>
      </c>
      <c r="J51" s="8">
        <v>7550</v>
      </c>
      <c r="K51" s="8">
        <v>131120</v>
      </c>
      <c r="L51" s="101">
        <v>2800</v>
      </c>
      <c r="M51" s="100">
        <v>6766</v>
      </c>
      <c r="N51" s="8" t="s">
        <v>416</v>
      </c>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4" customFormat="1" ht="11.25" x14ac:dyDescent="0.2">
      <c r="A52" s="8" t="s">
        <v>408</v>
      </c>
      <c r="B52" s="8">
        <v>6225</v>
      </c>
      <c r="C52" s="8" t="s">
        <v>315</v>
      </c>
      <c r="D52" s="8" t="s">
        <v>358</v>
      </c>
      <c r="E52" s="8" t="s">
        <v>373</v>
      </c>
      <c r="F52" s="8" t="s">
        <v>246</v>
      </c>
      <c r="G52" s="8">
        <v>17</v>
      </c>
      <c r="H52" s="8">
        <v>10</v>
      </c>
      <c r="I52" s="8">
        <v>13</v>
      </c>
      <c r="J52" s="8">
        <v>7500</v>
      </c>
      <c r="K52" s="8">
        <v>131118</v>
      </c>
      <c r="L52" s="101">
        <v>0</v>
      </c>
      <c r="M52" s="100">
        <v>0</v>
      </c>
      <c r="N52" s="8" t="s">
        <v>416</v>
      </c>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4" customFormat="1" ht="11.25" x14ac:dyDescent="0.2">
      <c r="A53" s="8" t="s">
        <v>408</v>
      </c>
      <c r="B53" s="8">
        <v>1033</v>
      </c>
      <c r="C53" s="8" t="s">
        <v>448</v>
      </c>
      <c r="D53" s="8" t="s">
        <v>358</v>
      </c>
      <c r="E53" s="8" t="s">
        <v>373</v>
      </c>
      <c r="F53" s="8" t="s">
        <v>246</v>
      </c>
      <c r="G53" s="8">
        <v>21</v>
      </c>
      <c r="H53" s="8">
        <v>19</v>
      </c>
      <c r="I53" s="8">
        <v>13</v>
      </c>
      <c r="J53" s="8">
        <v>7314</v>
      </c>
      <c r="K53" s="8">
        <v>131108</v>
      </c>
      <c r="L53" s="101">
        <v>2705</v>
      </c>
      <c r="M53" s="100">
        <v>8848</v>
      </c>
      <c r="N53" s="8" t="s">
        <v>383</v>
      </c>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4" customFormat="1" ht="11.25" x14ac:dyDescent="0.2">
      <c r="A54" s="8" t="s">
        <v>408</v>
      </c>
      <c r="B54" s="8">
        <v>1056</v>
      </c>
      <c r="C54" s="8" t="s">
        <v>448</v>
      </c>
      <c r="D54" s="8" t="s">
        <v>358</v>
      </c>
      <c r="E54" s="8" t="s">
        <v>373</v>
      </c>
      <c r="F54" s="8" t="s">
        <v>246</v>
      </c>
      <c r="G54" s="8">
        <v>24</v>
      </c>
      <c r="H54" s="8">
        <v>15</v>
      </c>
      <c r="I54" s="8">
        <v>13</v>
      </c>
      <c r="J54" s="8">
        <v>7250</v>
      </c>
      <c r="K54" s="8">
        <v>131106</v>
      </c>
      <c r="L54" s="101">
        <v>3125</v>
      </c>
      <c r="M54" s="100">
        <v>8455</v>
      </c>
      <c r="N54" s="8" t="s">
        <v>416</v>
      </c>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4" customFormat="1" ht="11.25" x14ac:dyDescent="0.2">
      <c r="A55" s="8" t="s">
        <v>408</v>
      </c>
      <c r="B55" s="8">
        <v>6370</v>
      </c>
      <c r="C55" s="8" t="s">
        <v>449</v>
      </c>
      <c r="D55" s="8" t="s">
        <v>385</v>
      </c>
      <c r="E55" s="8" t="s">
        <v>373</v>
      </c>
      <c r="F55" s="8" t="s">
        <v>450</v>
      </c>
      <c r="G55" s="8">
        <v>3</v>
      </c>
      <c r="H55" s="8">
        <v>6</v>
      </c>
      <c r="I55" s="8">
        <v>13</v>
      </c>
      <c r="J55" s="8">
        <v>7280</v>
      </c>
      <c r="K55" s="8">
        <v>131107</v>
      </c>
      <c r="L55" s="101">
        <v>2757</v>
      </c>
      <c r="M55" s="100">
        <v>6490</v>
      </c>
      <c r="N55" s="8" t="s">
        <v>420</v>
      </c>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4" customFormat="1" ht="11.25" x14ac:dyDescent="0.2">
      <c r="A56" s="8" t="s">
        <v>408</v>
      </c>
      <c r="B56" s="8">
        <v>310</v>
      </c>
      <c r="C56" s="8" t="s">
        <v>142</v>
      </c>
      <c r="D56" s="8" t="s">
        <v>365</v>
      </c>
      <c r="E56" s="8" t="s">
        <v>359</v>
      </c>
      <c r="F56" s="8" t="s">
        <v>296</v>
      </c>
      <c r="G56" s="8">
        <v>15</v>
      </c>
      <c r="H56" s="8">
        <v>7</v>
      </c>
      <c r="I56" s="8">
        <v>13</v>
      </c>
      <c r="J56" s="8">
        <v>7458</v>
      </c>
      <c r="K56" s="8">
        <v>131115</v>
      </c>
      <c r="L56" s="101">
        <v>3750</v>
      </c>
      <c r="M56" s="100">
        <v>2800</v>
      </c>
      <c r="N56" s="8" t="s">
        <v>420</v>
      </c>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4" customFormat="1" ht="11.25" x14ac:dyDescent="0.2">
      <c r="A57" s="8" t="s">
        <v>408</v>
      </c>
      <c r="B57" s="8">
        <v>940</v>
      </c>
      <c r="C57" s="8" t="s">
        <v>208</v>
      </c>
      <c r="D57" s="8" t="s">
        <v>358</v>
      </c>
      <c r="E57" s="8" t="s">
        <v>359</v>
      </c>
      <c r="F57" s="8" t="s">
        <v>209</v>
      </c>
      <c r="G57" s="8">
        <v>18</v>
      </c>
      <c r="H57" s="8">
        <v>9</v>
      </c>
      <c r="I57" s="8">
        <v>13</v>
      </c>
      <c r="J57" s="8">
        <v>7298</v>
      </c>
      <c r="K57" s="8">
        <v>131108</v>
      </c>
      <c r="L57" s="101">
        <v>1800</v>
      </c>
      <c r="M57" s="100">
        <v>6072</v>
      </c>
      <c r="N57" s="8" t="s">
        <v>431</v>
      </c>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4" customFormat="1" ht="11.25" x14ac:dyDescent="0.2">
      <c r="A58" s="8" t="s">
        <v>408</v>
      </c>
      <c r="B58" s="8">
        <v>3316</v>
      </c>
      <c r="C58" s="8" t="s">
        <v>143</v>
      </c>
      <c r="D58" s="8" t="s">
        <v>365</v>
      </c>
      <c r="E58" s="8" t="s">
        <v>359</v>
      </c>
      <c r="F58" s="8" t="s">
        <v>451</v>
      </c>
      <c r="G58" s="8" t="s">
        <v>56</v>
      </c>
      <c r="H58" s="8">
        <v>18</v>
      </c>
      <c r="I58" s="8">
        <v>13</v>
      </c>
      <c r="J58" s="8">
        <v>7384</v>
      </c>
      <c r="K58" s="8">
        <v>131113</v>
      </c>
      <c r="L58" s="101">
        <v>0</v>
      </c>
      <c r="M58" s="100">
        <v>0</v>
      </c>
      <c r="N58" s="8" t="s">
        <v>415</v>
      </c>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4" customFormat="1" ht="11.25" x14ac:dyDescent="0.2">
      <c r="A59" s="8" t="s">
        <v>408</v>
      </c>
      <c r="B59" s="8">
        <v>1205</v>
      </c>
      <c r="C59" s="8" t="s">
        <v>345</v>
      </c>
      <c r="D59" s="8" t="s">
        <v>374</v>
      </c>
      <c r="E59" s="8" t="s">
        <v>373</v>
      </c>
      <c r="F59" s="8" t="s">
        <v>246</v>
      </c>
      <c r="G59" s="8">
        <v>16</v>
      </c>
      <c r="H59" s="8">
        <v>5</v>
      </c>
      <c r="I59" s="8">
        <v>13</v>
      </c>
      <c r="J59" s="8">
        <v>7301</v>
      </c>
      <c r="K59" s="8">
        <v>131108</v>
      </c>
      <c r="L59" s="101">
        <v>2081</v>
      </c>
      <c r="M59" s="100">
        <v>6097</v>
      </c>
      <c r="N59" s="8" t="s">
        <v>416</v>
      </c>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s="4" customFormat="1" ht="11.25" x14ac:dyDescent="0.2">
      <c r="A60" s="8" t="s">
        <v>408</v>
      </c>
      <c r="B60" s="8">
        <v>1209</v>
      </c>
      <c r="C60" s="8" t="s">
        <v>345</v>
      </c>
      <c r="D60" s="8" t="s">
        <v>374</v>
      </c>
      <c r="E60" s="8" t="s">
        <v>373</v>
      </c>
      <c r="F60" s="8" t="s">
        <v>246</v>
      </c>
      <c r="G60" s="8">
        <v>16</v>
      </c>
      <c r="H60" s="8">
        <v>6</v>
      </c>
      <c r="I60" s="8">
        <v>13</v>
      </c>
      <c r="J60" s="8">
        <v>7148</v>
      </c>
      <c r="K60" s="8">
        <v>131101</v>
      </c>
      <c r="L60" s="101">
        <v>2100</v>
      </c>
      <c r="M60" s="100">
        <v>3000</v>
      </c>
      <c r="N60" s="8" t="s">
        <v>452</v>
      </c>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s="4" customFormat="1" ht="11.25" x14ac:dyDescent="0.2">
      <c r="A61" s="8" t="s">
        <v>408</v>
      </c>
      <c r="B61" s="8">
        <v>517</v>
      </c>
      <c r="C61" s="8" t="s">
        <v>453</v>
      </c>
      <c r="D61" s="8" t="s">
        <v>388</v>
      </c>
      <c r="E61" s="8" t="s">
        <v>404</v>
      </c>
      <c r="F61" s="8" t="s">
        <v>454</v>
      </c>
      <c r="G61" s="8">
        <v>76</v>
      </c>
      <c r="H61" s="8">
        <v>27</v>
      </c>
      <c r="I61" s="8">
        <v>13</v>
      </c>
      <c r="J61" s="8">
        <v>7391</v>
      </c>
      <c r="K61" s="8">
        <v>131113</v>
      </c>
      <c r="L61" s="101">
        <v>2966</v>
      </c>
      <c r="M61" s="100">
        <v>9956</v>
      </c>
      <c r="N61" s="8" t="s">
        <v>442</v>
      </c>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s="4" customFormat="1" ht="11.25" x14ac:dyDescent="0.2">
      <c r="A62" s="8" t="s">
        <v>408</v>
      </c>
      <c r="B62" s="8">
        <v>3807</v>
      </c>
      <c r="C62" s="8" t="s">
        <v>455</v>
      </c>
      <c r="D62" s="8" t="s">
        <v>363</v>
      </c>
      <c r="E62" s="8" t="s">
        <v>359</v>
      </c>
      <c r="F62" s="8" t="s">
        <v>72</v>
      </c>
      <c r="G62" s="8" t="s">
        <v>456</v>
      </c>
      <c r="H62" s="8">
        <v>6</v>
      </c>
      <c r="I62" s="8">
        <v>13</v>
      </c>
      <c r="J62" s="8">
        <v>7483</v>
      </c>
      <c r="K62" s="8">
        <v>131118</v>
      </c>
      <c r="L62" s="101">
        <v>1722</v>
      </c>
      <c r="M62" s="100">
        <v>5632</v>
      </c>
      <c r="N62" s="8" t="s">
        <v>422</v>
      </c>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s="4" customFormat="1" ht="11.25" x14ac:dyDescent="0.2">
      <c r="A63" s="8" t="s">
        <v>408</v>
      </c>
      <c r="B63" s="8">
        <v>1521</v>
      </c>
      <c r="C63" s="8" t="s">
        <v>457</v>
      </c>
      <c r="D63" s="8" t="s">
        <v>363</v>
      </c>
      <c r="E63" s="8" t="s">
        <v>359</v>
      </c>
      <c r="F63" s="8" t="s">
        <v>72</v>
      </c>
      <c r="G63" s="8">
        <v>27</v>
      </c>
      <c r="H63" s="8">
        <v>22</v>
      </c>
      <c r="I63" s="8">
        <v>13</v>
      </c>
      <c r="J63" s="8">
        <v>7518</v>
      </c>
      <c r="K63" s="8">
        <v>131119</v>
      </c>
      <c r="L63" s="101">
        <v>2800</v>
      </c>
      <c r="M63" s="100">
        <v>7800</v>
      </c>
      <c r="N63" s="8" t="s">
        <v>420</v>
      </c>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s="4" customFormat="1" ht="11.25" x14ac:dyDescent="0.2">
      <c r="A64" s="8" t="s">
        <v>148</v>
      </c>
      <c r="B64" s="8">
        <v>2940</v>
      </c>
      <c r="C64" s="8" t="s">
        <v>91</v>
      </c>
      <c r="D64" s="8" t="s">
        <v>365</v>
      </c>
      <c r="E64" s="8" t="s">
        <v>359</v>
      </c>
      <c r="F64" s="8" t="s">
        <v>92</v>
      </c>
      <c r="G64" s="8">
        <v>6</v>
      </c>
      <c r="H64" s="8">
        <v>25</v>
      </c>
      <c r="I64" s="8">
        <v>13</v>
      </c>
      <c r="J64" s="8">
        <v>7415</v>
      </c>
      <c r="K64" s="8">
        <v>131113</v>
      </c>
      <c r="L64" s="101">
        <v>263</v>
      </c>
      <c r="M64" s="100">
        <v>24406</v>
      </c>
      <c r="N64" s="8" t="s">
        <v>458</v>
      </c>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s="4" customFormat="1" ht="11.25" x14ac:dyDescent="0.2">
      <c r="A65" s="8" t="s">
        <v>148</v>
      </c>
      <c r="B65" s="8">
        <v>198</v>
      </c>
      <c r="C65" s="8" t="s">
        <v>103</v>
      </c>
      <c r="D65" s="8" t="s">
        <v>374</v>
      </c>
      <c r="E65" s="8" t="s">
        <v>359</v>
      </c>
      <c r="F65" s="8" t="s">
        <v>54</v>
      </c>
      <c r="G65" s="8" t="s">
        <v>104</v>
      </c>
      <c r="H65" s="8">
        <v>119</v>
      </c>
      <c r="I65" s="8">
        <v>13</v>
      </c>
      <c r="J65" s="8">
        <v>7137</v>
      </c>
      <c r="K65" s="8">
        <v>131101</v>
      </c>
      <c r="L65" s="101">
        <v>211</v>
      </c>
      <c r="M65" s="100">
        <v>5300</v>
      </c>
      <c r="N65" s="8" t="s">
        <v>459</v>
      </c>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s="4" customFormat="1" ht="11.25" x14ac:dyDescent="0.2">
      <c r="A66" s="8" t="s">
        <v>148</v>
      </c>
      <c r="B66" s="8">
        <v>6219</v>
      </c>
      <c r="C66" s="8" t="s">
        <v>108</v>
      </c>
      <c r="D66" s="8" t="s">
        <v>358</v>
      </c>
      <c r="E66" s="8" t="s">
        <v>373</v>
      </c>
      <c r="F66" s="8" t="s">
        <v>97</v>
      </c>
      <c r="G66" s="8">
        <v>114</v>
      </c>
      <c r="H66" s="8">
        <v>38</v>
      </c>
      <c r="I66" s="8">
        <v>13</v>
      </c>
      <c r="J66" s="8">
        <v>7135</v>
      </c>
      <c r="K66" s="8">
        <v>131101</v>
      </c>
      <c r="L66" s="101">
        <v>862</v>
      </c>
      <c r="M66" s="100">
        <v>31200</v>
      </c>
      <c r="N66" s="8" t="s">
        <v>459</v>
      </c>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s="4" customFormat="1" ht="11.25" x14ac:dyDescent="0.2">
      <c r="A67" s="8" t="s">
        <v>148</v>
      </c>
      <c r="B67" s="8">
        <v>109</v>
      </c>
      <c r="C67" s="8" t="s">
        <v>460</v>
      </c>
      <c r="D67" s="8" t="s">
        <v>358</v>
      </c>
      <c r="E67" s="8" t="s">
        <v>373</v>
      </c>
      <c r="F67" s="8" t="s">
        <v>296</v>
      </c>
      <c r="G67" s="8">
        <v>2</v>
      </c>
      <c r="H67" s="8">
        <v>24</v>
      </c>
      <c r="I67" s="8">
        <v>13</v>
      </c>
      <c r="J67" s="8">
        <v>7249</v>
      </c>
      <c r="K67" s="8">
        <v>131106</v>
      </c>
      <c r="L67" s="101">
        <v>600</v>
      </c>
      <c r="M67" s="100">
        <v>30000</v>
      </c>
      <c r="N67" s="8" t="s">
        <v>461</v>
      </c>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s="4" customFormat="1" ht="11.25" x14ac:dyDescent="0.2">
      <c r="A68" s="8" t="s">
        <v>148</v>
      </c>
      <c r="B68" s="8">
        <v>3505</v>
      </c>
      <c r="C68" s="8" t="s">
        <v>156</v>
      </c>
      <c r="D68" s="8" t="s">
        <v>365</v>
      </c>
      <c r="E68" s="8" t="s">
        <v>359</v>
      </c>
      <c r="F68" s="8" t="s">
        <v>157</v>
      </c>
      <c r="G68" s="8">
        <v>3</v>
      </c>
      <c r="H68" s="8">
        <v>8</v>
      </c>
      <c r="I68" s="8">
        <v>13</v>
      </c>
      <c r="J68" s="8">
        <v>7575</v>
      </c>
      <c r="K68" s="8">
        <v>131121</v>
      </c>
      <c r="L68" s="101">
        <v>421</v>
      </c>
      <c r="M68" s="100">
        <v>22500</v>
      </c>
      <c r="N68" s="8" t="s">
        <v>459</v>
      </c>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69" spans="1:52" s="4" customFormat="1" ht="11.25" x14ac:dyDescent="0.2">
      <c r="A69" s="8" t="s">
        <v>148</v>
      </c>
      <c r="B69" s="8">
        <v>1303</v>
      </c>
      <c r="C69" s="8" t="s">
        <v>161</v>
      </c>
      <c r="D69" s="8" t="s">
        <v>388</v>
      </c>
      <c r="E69" s="8" t="s">
        <v>359</v>
      </c>
      <c r="F69" s="8" t="s">
        <v>72</v>
      </c>
      <c r="G69" s="8">
        <v>35</v>
      </c>
      <c r="H69" s="8">
        <v>20</v>
      </c>
      <c r="I69" s="8">
        <v>13</v>
      </c>
      <c r="J69" s="8">
        <v>7191</v>
      </c>
      <c r="K69" s="8">
        <v>131105</v>
      </c>
      <c r="L69" s="101">
        <v>638</v>
      </c>
      <c r="M69" s="100">
        <v>23100</v>
      </c>
      <c r="N69" s="8" t="s">
        <v>459</v>
      </c>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row>
    <row r="70" spans="1:52" s="4" customFormat="1" ht="11.25" x14ac:dyDescent="0.2">
      <c r="A70" s="8" t="s">
        <v>148</v>
      </c>
      <c r="B70" s="8">
        <v>1306</v>
      </c>
      <c r="C70" s="8" t="s">
        <v>161</v>
      </c>
      <c r="D70" s="8" t="s">
        <v>388</v>
      </c>
      <c r="E70" s="8" t="s">
        <v>359</v>
      </c>
      <c r="F70" s="8" t="s">
        <v>72</v>
      </c>
      <c r="G70" s="8">
        <v>32</v>
      </c>
      <c r="H70" s="8">
        <v>1</v>
      </c>
      <c r="I70" s="8">
        <v>13</v>
      </c>
      <c r="J70" s="8">
        <v>7193</v>
      </c>
      <c r="K70" s="8">
        <v>131105</v>
      </c>
      <c r="L70" s="101">
        <v>444</v>
      </c>
      <c r="M70" s="100">
        <v>23000</v>
      </c>
      <c r="N70" s="8" t="s">
        <v>459</v>
      </c>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row>
    <row r="71" spans="1:52" s="4" customFormat="1" ht="11.25" x14ac:dyDescent="0.2">
      <c r="A71" s="1"/>
      <c r="B71" s="1"/>
      <c r="C71" s="1"/>
      <c r="D71" s="1"/>
      <c r="E71" s="1"/>
      <c r="F71" s="1"/>
      <c r="G71" s="1"/>
      <c r="H71" s="1"/>
      <c r="I71" s="1"/>
      <c r="J71" s="1"/>
      <c r="K71" s="18"/>
      <c r="L71" s="28"/>
      <c r="M71" s="44"/>
      <c r="N71" s="5"/>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row>
    <row r="72" spans="1:52" s="4" customFormat="1" ht="33.75" x14ac:dyDescent="0.2">
      <c r="A72" s="86" t="s">
        <v>462</v>
      </c>
      <c r="B72" s="102">
        <f>70-6</f>
        <v>64</v>
      </c>
      <c r="C72" s="1"/>
      <c r="D72" s="1"/>
      <c r="E72" s="1"/>
      <c r="F72" s="1"/>
      <c r="G72" s="1"/>
      <c r="H72" s="1"/>
      <c r="I72" s="1"/>
      <c r="J72" s="1"/>
      <c r="K72" s="18"/>
      <c r="L72" s="103" t="s">
        <v>393</v>
      </c>
      <c r="M72" s="104">
        <f>SUM(M7:M70)</f>
        <v>696255</v>
      </c>
      <c r="N72" s="5"/>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row>
    <row r="73" spans="1:52" s="4" customFormat="1" ht="11.25" x14ac:dyDescent="0.2">
      <c r="A73" s="1"/>
      <c r="B73" s="1"/>
      <c r="C73" s="1"/>
      <c r="D73" s="1"/>
      <c r="E73" s="1"/>
      <c r="F73" s="1"/>
      <c r="G73" s="1"/>
      <c r="H73" s="1"/>
      <c r="I73" s="1"/>
      <c r="J73" s="1"/>
      <c r="K73" s="18"/>
      <c r="L73" s="28"/>
      <c r="M73" s="44"/>
      <c r="N73" s="5"/>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row>
    <row r="74" spans="1:52" s="4" customFormat="1" ht="11.25" x14ac:dyDescent="0.2">
      <c r="A74" s="1"/>
      <c r="B74" s="1"/>
      <c r="C74" s="1"/>
      <c r="D74" s="1"/>
      <c r="E74" s="1"/>
      <c r="F74" s="1"/>
      <c r="G74" s="1"/>
      <c r="H74" s="1"/>
      <c r="I74" s="1"/>
      <c r="J74" s="1"/>
      <c r="K74" s="18"/>
      <c r="L74" s="28"/>
      <c r="M74" s="44"/>
      <c r="N74" s="5"/>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row>
    <row r="75" spans="1:52" s="4" customFormat="1" ht="11.25" x14ac:dyDescent="0.2">
      <c r="A75" s="1"/>
      <c r="B75" s="1"/>
      <c r="C75" s="1"/>
      <c r="D75" s="1"/>
      <c r="E75" s="1"/>
      <c r="F75" s="1"/>
      <c r="G75" s="1"/>
      <c r="H75" s="1"/>
      <c r="I75" s="1"/>
      <c r="J75" s="1"/>
      <c r="K75" s="18"/>
      <c r="L75" s="28"/>
      <c r="M75" s="44"/>
      <c r="N75" s="5"/>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row>
    <row r="76" spans="1:52" s="4" customFormat="1" ht="11.25" x14ac:dyDescent="0.2">
      <c r="A76" s="1"/>
      <c r="B76" s="1"/>
      <c r="C76" s="1"/>
      <c r="D76" s="1"/>
      <c r="E76" s="1"/>
      <c r="F76" s="1"/>
      <c r="G76" s="1"/>
      <c r="H76" s="1"/>
      <c r="I76" s="1"/>
      <c r="J76" s="1"/>
      <c r="K76" s="18"/>
      <c r="L76" s="28"/>
      <c r="M76" s="44"/>
      <c r="N76" s="5"/>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row>
    <row r="77" spans="1:52" s="4" customFormat="1" ht="11.25" x14ac:dyDescent="0.2">
      <c r="A77" s="1"/>
      <c r="B77" s="1"/>
      <c r="C77" s="1"/>
      <c r="D77" s="1"/>
      <c r="E77" s="1"/>
      <c r="F77" s="1"/>
      <c r="G77" s="1"/>
      <c r="H77" s="1"/>
      <c r="I77" s="1"/>
      <c r="J77" s="1"/>
      <c r="K77" s="18"/>
      <c r="L77" s="28"/>
      <c r="M77" s="44"/>
      <c r="N77" s="5"/>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row>
    <row r="78" spans="1:52" s="4" customFormat="1" ht="11.25" x14ac:dyDescent="0.2">
      <c r="A78" s="1"/>
      <c r="B78" s="1"/>
      <c r="C78" s="1"/>
      <c r="D78" s="1"/>
      <c r="E78" s="1"/>
      <c r="F78" s="1"/>
      <c r="G78" s="1"/>
      <c r="H78" s="1"/>
      <c r="I78" s="1"/>
      <c r="J78" s="1"/>
      <c r="K78" s="18"/>
      <c r="L78" s="28"/>
      <c r="M78" s="44"/>
      <c r="N78" s="5"/>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row>
    <row r="79" spans="1:52" s="4" customFormat="1" ht="11.25" x14ac:dyDescent="0.2">
      <c r="A79" s="1"/>
      <c r="B79" s="1"/>
      <c r="C79" s="1"/>
      <c r="D79" s="1"/>
      <c r="E79" s="1"/>
      <c r="F79" s="1"/>
      <c r="G79" s="1"/>
      <c r="H79" s="1"/>
      <c r="I79" s="1"/>
      <c r="J79" s="1"/>
      <c r="K79" s="18"/>
      <c r="L79" s="28"/>
      <c r="M79" s="44"/>
      <c r="N79" s="5"/>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row>
    <row r="80" spans="1:52" s="4" customFormat="1" ht="11.25" x14ac:dyDescent="0.2">
      <c r="A80" s="1"/>
      <c r="B80" s="1"/>
      <c r="C80" s="1"/>
      <c r="D80" s="1"/>
      <c r="E80" s="1"/>
      <c r="F80" s="1"/>
      <c r="G80" s="1"/>
      <c r="H80" s="1"/>
      <c r="I80" s="1"/>
      <c r="J80" s="1"/>
      <c r="K80" s="18"/>
      <c r="L80" s="28"/>
      <c r="M80" s="44"/>
      <c r="N80" s="5"/>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row>
    <row r="81" spans="1:52" s="4" customFormat="1" ht="11.25" x14ac:dyDescent="0.2">
      <c r="A81" s="1"/>
      <c r="B81" s="1"/>
      <c r="C81" s="1"/>
      <c r="D81" s="1"/>
      <c r="E81" s="1"/>
      <c r="F81" s="1"/>
      <c r="G81" s="1"/>
      <c r="H81" s="1"/>
      <c r="I81" s="1"/>
      <c r="J81" s="1"/>
      <c r="K81" s="18"/>
      <c r="L81" s="28"/>
      <c r="M81" s="44"/>
      <c r="N81" s="5"/>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row>
    <row r="82" spans="1:52" s="4" customFormat="1" ht="11.25" x14ac:dyDescent="0.2">
      <c r="A82" s="1"/>
      <c r="B82" s="1"/>
      <c r="C82" s="1"/>
      <c r="D82" s="1"/>
      <c r="E82" s="1"/>
      <c r="F82" s="1"/>
      <c r="G82" s="1"/>
      <c r="H82" s="1"/>
      <c r="I82" s="1"/>
      <c r="J82" s="1"/>
      <c r="K82" s="18"/>
      <c r="L82" s="28"/>
      <c r="M82" s="44"/>
      <c r="N82" s="5"/>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row>
    <row r="83" spans="1:52" s="4" customFormat="1" ht="11.25" x14ac:dyDescent="0.2">
      <c r="A83" s="1"/>
      <c r="B83" s="1"/>
      <c r="C83" s="1"/>
      <c r="D83" s="1"/>
      <c r="E83" s="1"/>
      <c r="F83" s="1"/>
      <c r="G83" s="1"/>
      <c r="H83" s="1"/>
      <c r="I83" s="1"/>
      <c r="J83" s="1"/>
      <c r="K83" s="18"/>
      <c r="L83" s="28"/>
      <c r="M83" s="44"/>
      <c r="N83" s="5"/>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row>
    <row r="84" spans="1:52" s="4" customFormat="1" ht="11.25" x14ac:dyDescent="0.2">
      <c r="A84" s="1"/>
      <c r="B84" s="1"/>
      <c r="C84" s="1"/>
      <c r="D84" s="1"/>
      <c r="E84" s="1"/>
      <c r="F84" s="1"/>
      <c r="G84" s="1"/>
      <c r="H84" s="1"/>
      <c r="I84" s="1"/>
      <c r="J84" s="1"/>
      <c r="K84" s="18"/>
      <c r="L84" s="28"/>
      <c r="M84" s="44"/>
      <c r="N84" s="5"/>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row>
    <row r="85" spans="1:52" s="4" customFormat="1" ht="11.25" x14ac:dyDescent="0.2">
      <c r="A85" s="1"/>
      <c r="B85" s="1"/>
      <c r="C85" s="1"/>
      <c r="D85" s="1"/>
      <c r="E85" s="1"/>
      <c r="F85" s="1"/>
      <c r="G85" s="1"/>
      <c r="H85" s="1"/>
      <c r="I85" s="1"/>
      <c r="J85" s="1"/>
      <c r="K85" s="18"/>
      <c r="L85" s="28"/>
      <c r="M85" s="44"/>
      <c r="N85" s="5"/>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row>
    <row r="86" spans="1:52" s="4" customFormat="1" ht="11.25" x14ac:dyDescent="0.2">
      <c r="A86" s="1"/>
      <c r="B86" s="1"/>
      <c r="C86" s="1"/>
      <c r="D86" s="1"/>
      <c r="E86" s="1"/>
      <c r="F86" s="1"/>
      <c r="G86" s="1"/>
      <c r="H86" s="1"/>
      <c r="I86" s="1"/>
      <c r="J86" s="1"/>
      <c r="K86" s="18"/>
      <c r="L86" s="28"/>
      <c r="M86" s="44"/>
      <c r="N86" s="5"/>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row>
    <row r="87" spans="1:52" s="4" customFormat="1" ht="11.25" x14ac:dyDescent="0.2">
      <c r="A87" s="1"/>
      <c r="B87" s="1"/>
      <c r="C87" s="1"/>
      <c r="D87" s="1"/>
      <c r="E87" s="1"/>
      <c r="F87" s="1"/>
      <c r="G87" s="1"/>
      <c r="H87" s="1"/>
      <c r="I87" s="1"/>
      <c r="J87" s="1"/>
      <c r="K87" s="18"/>
      <c r="L87" s="28"/>
      <c r="M87" s="44"/>
      <c r="N87" s="5"/>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row>
    <row r="88" spans="1:52" s="4" customFormat="1" ht="11.25" x14ac:dyDescent="0.2">
      <c r="A88" s="1"/>
      <c r="B88" s="1"/>
      <c r="C88" s="1"/>
      <c r="D88" s="1"/>
      <c r="E88" s="1"/>
      <c r="F88" s="1"/>
      <c r="G88" s="1"/>
      <c r="H88" s="1"/>
      <c r="I88" s="1"/>
      <c r="J88" s="1"/>
      <c r="K88" s="18"/>
      <c r="L88" s="28"/>
      <c r="M88" s="44"/>
      <c r="N88" s="5"/>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row>
    <row r="89" spans="1:52" s="4" customFormat="1" ht="11.25" x14ac:dyDescent="0.2">
      <c r="A89" s="1"/>
      <c r="B89" s="1"/>
      <c r="C89" s="1"/>
      <c r="D89" s="1"/>
      <c r="E89" s="1"/>
      <c r="F89" s="1"/>
      <c r="G89" s="1"/>
      <c r="H89" s="1"/>
      <c r="I89" s="1"/>
      <c r="J89" s="1"/>
      <c r="K89" s="18"/>
      <c r="L89" s="28"/>
      <c r="M89" s="44"/>
      <c r="N89" s="5"/>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row>
    <row r="90" spans="1:52" s="4" customFormat="1" ht="11.25" x14ac:dyDescent="0.2">
      <c r="A90" s="1"/>
      <c r="B90" s="1"/>
      <c r="C90" s="1"/>
      <c r="D90" s="1"/>
      <c r="E90" s="1"/>
      <c r="F90" s="1"/>
      <c r="G90" s="1"/>
      <c r="H90" s="1"/>
      <c r="I90" s="1"/>
      <c r="J90" s="1"/>
      <c r="K90" s="18"/>
      <c r="L90" s="28"/>
      <c r="M90" s="44"/>
      <c r="N90" s="5"/>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row>
    <row r="91" spans="1:52" s="4" customFormat="1" ht="11.25" x14ac:dyDescent="0.2">
      <c r="A91" s="1"/>
      <c r="B91" s="1"/>
      <c r="C91" s="1"/>
      <c r="D91" s="1"/>
      <c r="E91" s="1"/>
      <c r="F91" s="1"/>
      <c r="G91" s="1"/>
      <c r="H91" s="1"/>
      <c r="I91" s="1"/>
      <c r="J91" s="1"/>
      <c r="K91" s="18"/>
      <c r="L91" s="28"/>
      <c r="M91" s="44"/>
      <c r="N91" s="5"/>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row>
    <row r="92" spans="1:52" s="4" customFormat="1" ht="11.25" x14ac:dyDescent="0.2">
      <c r="A92" s="1"/>
      <c r="B92" s="1"/>
      <c r="C92" s="1"/>
      <c r="D92" s="1"/>
      <c r="E92" s="1"/>
      <c r="F92" s="1"/>
      <c r="G92" s="1"/>
      <c r="H92" s="1"/>
      <c r="I92" s="1"/>
      <c r="J92" s="1"/>
      <c r="K92" s="18"/>
      <c r="L92" s="28"/>
      <c r="M92" s="44"/>
      <c r="N92" s="5"/>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row>
    <row r="93" spans="1:52" s="4" customFormat="1" ht="11.25" x14ac:dyDescent="0.2">
      <c r="A93" s="1"/>
      <c r="B93" s="1"/>
      <c r="C93" s="1"/>
      <c r="D93" s="1"/>
      <c r="E93" s="1"/>
      <c r="F93" s="1"/>
      <c r="G93" s="1"/>
      <c r="H93" s="1"/>
      <c r="I93" s="1"/>
      <c r="J93" s="1"/>
      <c r="K93" s="18"/>
      <c r="L93" s="28"/>
      <c r="M93" s="44"/>
      <c r="N93" s="5"/>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row>
    <row r="94" spans="1:52" s="4" customFormat="1" ht="11.25" x14ac:dyDescent="0.2">
      <c r="A94" s="1"/>
      <c r="B94" s="1"/>
      <c r="C94" s="1"/>
      <c r="D94" s="1"/>
      <c r="E94" s="1"/>
      <c r="F94" s="1"/>
      <c r="G94" s="1"/>
      <c r="H94" s="1"/>
      <c r="I94" s="1"/>
      <c r="J94" s="1"/>
      <c r="K94" s="18"/>
      <c r="L94" s="28"/>
      <c r="M94" s="44"/>
      <c r="N94" s="5"/>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row>
    <row r="95" spans="1:52" s="4" customFormat="1" ht="11.25" x14ac:dyDescent="0.2">
      <c r="A95" s="1"/>
      <c r="B95" s="1"/>
      <c r="C95" s="1"/>
      <c r="D95" s="1"/>
      <c r="E95" s="1"/>
      <c r="F95" s="1"/>
      <c r="G95" s="1"/>
      <c r="H95" s="1"/>
      <c r="I95" s="1"/>
      <c r="J95" s="1"/>
      <c r="K95" s="18"/>
      <c r="L95" s="28"/>
      <c r="M95" s="44"/>
      <c r="N95" s="5"/>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row>
    <row r="96" spans="1:52" s="4" customFormat="1" ht="11.25" x14ac:dyDescent="0.2">
      <c r="A96" s="1"/>
      <c r="B96" s="1"/>
      <c r="C96" s="1"/>
      <c r="D96" s="1"/>
      <c r="E96" s="1"/>
      <c r="F96" s="1"/>
      <c r="G96" s="1"/>
      <c r="H96" s="1"/>
      <c r="I96" s="1"/>
      <c r="J96" s="1"/>
      <c r="K96" s="18"/>
      <c r="L96" s="28"/>
      <c r="M96" s="44"/>
      <c r="N96" s="5"/>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row>
    <row r="97" spans="1:52" s="4" customFormat="1" ht="11.25" x14ac:dyDescent="0.2">
      <c r="A97" s="1"/>
      <c r="B97" s="1"/>
      <c r="C97" s="1"/>
      <c r="D97" s="1"/>
      <c r="E97" s="1"/>
      <c r="F97" s="1"/>
      <c r="G97" s="1"/>
      <c r="H97" s="1"/>
      <c r="I97" s="1"/>
      <c r="J97" s="1"/>
      <c r="K97" s="18"/>
      <c r="L97" s="28"/>
      <c r="M97" s="44"/>
      <c r="N97" s="5"/>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row>
    <row r="98" spans="1:52" s="4" customFormat="1" ht="11.25" x14ac:dyDescent="0.2">
      <c r="A98" s="1"/>
      <c r="B98" s="1"/>
      <c r="C98" s="1"/>
      <c r="D98" s="1"/>
      <c r="E98" s="1"/>
      <c r="F98" s="1"/>
      <c r="G98" s="1"/>
      <c r="H98" s="1"/>
      <c r="I98" s="1"/>
      <c r="J98" s="1"/>
      <c r="K98" s="18"/>
      <c r="L98" s="28"/>
      <c r="M98" s="44"/>
      <c r="N98" s="5"/>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row>
    <row r="99" spans="1:52" s="4" customFormat="1" ht="11.25" x14ac:dyDescent="0.2">
      <c r="A99" s="1"/>
      <c r="B99" s="1"/>
      <c r="C99" s="1"/>
      <c r="D99" s="1"/>
      <c r="E99" s="1"/>
      <c r="F99" s="1"/>
      <c r="G99" s="1"/>
      <c r="H99" s="1"/>
      <c r="I99" s="1"/>
      <c r="J99" s="1"/>
      <c r="K99" s="18"/>
      <c r="L99" s="28"/>
      <c r="M99" s="44"/>
      <c r="N99" s="5"/>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row>
    <row r="100" spans="1:52" s="4" customFormat="1" ht="11.25" x14ac:dyDescent="0.2">
      <c r="A100" s="1"/>
      <c r="B100" s="1"/>
      <c r="C100" s="1"/>
      <c r="D100" s="1"/>
      <c r="E100" s="1"/>
      <c r="F100" s="1"/>
      <c r="G100" s="1"/>
      <c r="H100" s="1"/>
      <c r="I100" s="1"/>
      <c r="J100" s="1"/>
      <c r="K100" s="18"/>
      <c r="L100" s="28"/>
      <c r="M100" s="44"/>
      <c r="N100" s="5"/>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row>
    <row r="101" spans="1:52" s="4" customFormat="1" ht="11.25" x14ac:dyDescent="0.2">
      <c r="A101" s="1"/>
      <c r="B101" s="1"/>
      <c r="C101" s="1"/>
      <c r="D101" s="1"/>
      <c r="E101" s="1"/>
      <c r="F101" s="1"/>
      <c r="G101" s="1"/>
      <c r="H101" s="1"/>
      <c r="I101" s="1"/>
      <c r="J101" s="1"/>
      <c r="K101" s="18"/>
      <c r="L101" s="28"/>
      <c r="M101" s="44"/>
      <c r="N101" s="5"/>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row>
    <row r="102" spans="1:52" s="4" customFormat="1" ht="11.25" x14ac:dyDescent="0.2">
      <c r="A102" s="1"/>
      <c r="B102" s="1"/>
      <c r="C102" s="1"/>
      <c r="D102" s="1"/>
      <c r="E102" s="1"/>
      <c r="F102" s="1"/>
      <c r="G102" s="1"/>
      <c r="H102" s="1"/>
      <c r="I102" s="1"/>
      <c r="J102" s="1"/>
      <c r="K102" s="18"/>
      <c r="L102" s="28"/>
      <c r="M102" s="44"/>
      <c r="N102" s="5"/>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row>
    <row r="103" spans="1:52" s="4" customFormat="1" ht="11.25" x14ac:dyDescent="0.2">
      <c r="A103" s="1"/>
      <c r="B103" s="1"/>
      <c r="C103" s="1"/>
      <c r="D103" s="1"/>
      <c r="E103" s="1"/>
      <c r="F103" s="1"/>
      <c r="G103" s="1"/>
      <c r="H103" s="1"/>
      <c r="I103" s="1"/>
      <c r="J103" s="1"/>
      <c r="K103" s="18"/>
      <c r="L103" s="28"/>
      <c r="M103" s="44"/>
      <c r="N103" s="5"/>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row>
    <row r="104" spans="1:52" s="4" customFormat="1" ht="11.25" x14ac:dyDescent="0.2">
      <c r="A104" s="1"/>
      <c r="B104" s="1"/>
      <c r="C104" s="1"/>
      <c r="D104" s="1"/>
      <c r="E104" s="1"/>
      <c r="F104" s="1"/>
      <c r="G104" s="1"/>
      <c r="H104" s="1"/>
      <c r="I104" s="1"/>
      <c r="J104" s="1"/>
      <c r="K104" s="18"/>
      <c r="L104" s="28"/>
      <c r="M104" s="44"/>
      <c r="N104" s="5"/>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row>
    <row r="105" spans="1:52" s="4" customFormat="1" ht="11.25" x14ac:dyDescent="0.2">
      <c r="A105" s="1"/>
      <c r="B105" s="1"/>
      <c r="C105" s="1"/>
      <c r="D105" s="1"/>
      <c r="E105" s="1"/>
      <c r="F105" s="1"/>
      <c r="G105" s="1"/>
      <c r="H105" s="1"/>
      <c r="I105" s="1"/>
      <c r="J105" s="1"/>
      <c r="K105" s="18"/>
      <c r="L105" s="28"/>
      <c r="M105" s="44"/>
      <c r="N105" s="5"/>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row>
    <row r="106" spans="1:52" s="4" customFormat="1" ht="11.25" x14ac:dyDescent="0.2">
      <c r="A106" s="1"/>
      <c r="B106" s="1"/>
      <c r="C106" s="1"/>
      <c r="D106" s="1"/>
      <c r="E106" s="1"/>
      <c r="F106" s="1"/>
      <c r="G106" s="1"/>
      <c r="H106" s="1"/>
      <c r="I106" s="1"/>
      <c r="J106" s="1"/>
      <c r="K106" s="18"/>
      <c r="L106" s="28"/>
      <c r="M106" s="44"/>
      <c r="N106" s="5"/>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row>
    <row r="107" spans="1:52" s="4" customFormat="1" ht="11.25" x14ac:dyDescent="0.2">
      <c r="A107" s="1"/>
      <c r="B107" s="1"/>
      <c r="C107" s="1"/>
      <c r="D107" s="1"/>
      <c r="E107" s="1"/>
      <c r="F107" s="1"/>
      <c r="G107" s="1"/>
      <c r="H107" s="1"/>
      <c r="I107" s="1"/>
      <c r="J107" s="1"/>
      <c r="K107" s="18"/>
      <c r="L107" s="28"/>
      <c r="M107" s="44"/>
      <c r="N107" s="5"/>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row>
    <row r="108" spans="1:52" s="4" customFormat="1" ht="11.25" x14ac:dyDescent="0.2">
      <c r="A108" s="1"/>
      <c r="B108" s="1"/>
      <c r="C108" s="1"/>
      <c r="D108" s="1"/>
      <c r="E108" s="1"/>
      <c r="F108" s="1"/>
      <c r="G108" s="1"/>
      <c r="H108" s="1"/>
      <c r="I108" s="1"/>
      <c r="J108" s="1"/>
      <c r="K108" s="18"/>
      <c r="L108" s="28"/>
      <c r="M108" s="44"/>
      <c r="N108" s="5"/>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row>
    <row r="109" spans="1:52" s="4" customFormat="1" ht="11.25" x14ac:dyDescent="0.2">
      <c r="A109" s="1"/>
      <c r="B109" s="1"/>
      <c r="C109" s="1"/>
      <c r="D109" s="1"/>
      <c r="E109" s="1"/>
      <c r="F109" s="1"/>
      <c r="G109" s="1"/>
      <c r="H109" s="1"/>
      <c r="I109" s="1"/>
      <c r="J109" s="1"/>
      <c r="K109" s="18"/>
      <c r="L109" s="28"/>
      <c r="M109" s="44"/>
      <c r="N109" s="5"/>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row>
    <row r="110" spans="1:52" s="4" customFormat="1" ht="11.25" x14ac:dyDescent="0.2">
      <c r="A110" s="1"/>
      <c r="B110" s="1"/>
      <c r="C110" s="1"/>
      <c r="D110" s="1"/>
      <c r="E110" s="1"/>
      <c r="F110" s="1"/>
      <c r="G110" s="1"/>
      <c r="H110" s="1"/>
      <c r="I110" s="1"/>
      <c r="J110" s="1"/>
      <c r="K110" s="18"/>
      <c r="L110" s="28"/>
      <c r="M110" s="44"/>
      <c r="N110" s="5"/>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row>
    <row r="111" spans="1:52" s="4" customFormat="1" ht="11.25" x14ac:dyDescent="0.2">
      <c r="A111" s="1"/>
      <c r="B111" s="1"/>
      <c r="C111" s="1"/>
      <c r="D111" s="1"/>
      <c r="E111" s="1"/>
      <c r="F111" s="1"/>
      <c r="G111" s="1"/>
      <c r="H111" s="1"/>
      <c r="I111" s="1"/>
      <c r="J111" s="1"/>
      <c r="K111" s="18"/>
      <c r="L111" s="28"/>
      <c r="M111" s="44"/>
      <c r="N111" s="5"/>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row>
    <row r="112" spans="1:52" s="4" customFormat="1" ht="11.25" x14ac:dyDescent="0.2">
      <c r="A112" s="1"/>
      <c r="B112" s="1"/>
      <c r="C112" s="1"/>
      <c r="D112" s="1"/>
      <c r="E112" s="1"/>
      <c r="F112" s="1"/>
      <c r="G112" s="1"/>
      <c r="H112" s="1"/>
      <c r="I112" s="1"/>
      <c r="J112" s="1"/>
      <c r="K112" s="18"/>
      <c r="L112" s="28"/>
      <c r="M112" s="44"/>
      <c r="N112" s="5"/>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row>
    <row r="113" spans="1:52" s="4" customFormat="1" ht="11.25" x14ac:dyDescent="0.2">
      <c r="A113" s="1"/>
      <c r="B113" s="1"/>
      <c r="C113" s="1"/>
      <c r="D113" s="1"/>
      <c r="E113" s="1"/>
      <c r="F113" s="1"/>
      <c r="G113" s="1"/>
      <c r="H113" s="1"/>
      <c r="I113" s="1"/>
      <c r="J113" s="1"/>
      <c r="K113" s="18"/>
      <c r="L113" s="28"/>
      <c r="M113" s="44"/>
      <c r="N113" s="5"/>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row>
    <row r="114" spans="1:52" s="4" customFormat="1" ht="11.25" x14ac:dyDescent="0.2">
      <c r="A114" s="1"/>
      <c r="B114" s="1"/>
      <c r="C114" s="1"/>
      <c r="D114" s="1"/>
      <c r="E114" s="1"/>
      <c r="F114" s="1"/>
      <c r="G114" s="1"/>
      <c r="H114" s="1"/>
      <c r="I114" s="1"/>
      <c r="J114" s="1"/>
      <c r="K114" s="18"/>
      <c r="L114" s="28"/>
      <c r="M114" s="44"/>
      <c r="N114" s="5"/>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row>
    <row r="115" spans="1:52" s="4" customFormat="1" ht="11.25" x14ac:dyDescent="0.2">
      <c r="A115" s="1"/>
      <c r="B115" s="1"/>
      <c r="C115" s="1"/>
      <c r="D115" s="1"/>
      <c r="E115" s="1"/>
      <c r="F115" s="1"/>
      <c r="G115" s="1"/>
      <c r="H115" s="1"/>
      <c r="I115" s="1"/>
      <c r="J115" s="1"/>
      <c r="K115" s="18"/>
      <c r="L115" s="28"/>
      <c r="M115" s="44"/>
      <c r="N115" s="5"/>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row>
    <row r="116" spans="1:52" s="4" customFormat="1" ht="11.25" x14ac:dyDescent="0.2">
      <c r="A116" s="1"/>
      <c r="B116" s="1"/>
      <c r="C116" s="1"/>
      <c r="D116" s="1"/>
      <c r="E116" s="1"/>
      <c r="F116" s="1"/>
      <c r="G116" s="1"/>
      <c r="H116" s="1"/>
      <c r="I116" s="1"/>
      <c r="J116" s="1"/>
      <c r="K116" s="18"/>
      <c r="L116" s="28"/>
      <c r="M116" s="44"/>
      <c r="N116" s="5"/>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row>
    <row r="117" spans="1:52" s="4" customFormat="1" ht="11.25" x14ac:dyDescent="0.2">
      <c r="A117" s="1"/>
      <c r="B117" s="1"/>
      <c r="C117" s="1"/>
      <c r="D117" s="1"/>
      <c r="E117" s="1"/>
      <c r="F117" s="1"/>
      <c r="G117" s="1"/>
      <c r="H117" s="1"/>
      <c r="I117" s="1"/>
      <c r="J117" s="1"/>
      <c r="K117" s="18"/>
      <c r="L117" s="28"/>
      <c r="M117" s="44"/>
      <c r="N117" s="5"/>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row>
    <row r="118" spans="1:52" s="4" customFormat="1" ht="11.25" x14ac:dyDescent="0.2">
      <c r="A118" s="1"/>
      <c r="B118" s="1"/>
      <c r="C118" s="1"/>
      <c r="D118" s="1"/>
      <c r="E118" s="1"/>
      <c r="F118" s="1"/>
      <c r="G118" s="1"/>
      <c r="H118" s="1"/>
      <c r="I118" s="1"/>
      <c r="J118" s="1"/>
      <c r="K118" s="18"/>
      <c r="L118" s="28"/>
      <c r="M118" s="44"/>
      <c r="N118" s="5"/>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row>
    <row r="119" spans="1:52" s="4" customFormat="1" ht="11.25" x14ac:dyDescent="0.2">
      <c r="A119" s="1"/>
      <c r="B119" s="1"/>
      <c r="C119" s="1"/>
      <c r="D119" s="1"/>
      <c r="E119" s="1"/>
      <c r="F119" s="1"/>
      <c r="G119" s="1"/>
      <c r="H119" s="1"/>
      <c r="I119" s="1"/>
      <c r="J119" s="1"/>
      <c r="K119" s="18"/>
      <c r="L119" s="28"/>
      <c r="M119" s="44"/>
      <c r="N119" s="5"/>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row>
    <row r="120" spans="1:52" s="4" customFormat="1" ht="11.25" x14ac:dyDescent="0.2">
      <c r="A120" s="1"/>
      <c r="B120" s="1"/>
      <c r="C120" s="1"/>
      <c r="D120" s="1"/>
      <c r="E120" s="1"/>
      <c r="F120" s="1"/>
      <c r="G120" s="1"/>
      <c r="H120" s="1"/>
      <c r="I120" s="1"/>
      <c r="J120" s="1"/>
      <c r="K120" s="18"/>
      <c r="L120" s="28"/>
      <c r="M120" s="44"/>
      <c r="N120" s="5"/>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row>
    <row r="121" spans="1:52" s="4" customFormat="1" ht="11.25" x14ac:dyDescent="0.2">
      <c r="A121" s="1"/>
      <c r="B121" s="1"/>
      <c r="C121" s="1"/>
      <c r="D121" s="1"/>
      <c r="E121" s="1"/>
      <c r="F121" s="1"/>
      <c r="G121" s="1"/>
      <c r="H121" s="1"/>
      <c r="I121" s="1"/>
      <c r="J121" s="1"/>
      <c r="K121" s="18"/>
      <c r="L121" s="28"/>
      <c r="M121" s="44"/>
      <c r="N121" s="5"/>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row>
    <row r="122" spans="1:52" s="4" customFormat="1" ht="11.25" x14ac:dyDescent="0.2">
      <c r="A122" s="1"/>
      <c r="B122" s="1"/>
      <c r="C122" s="1"/>
      <c r="D122" s="1"/>
      <c r="E122" s="1"/>
      <c r="F122" s="1"/>
      <c r="G122" s="1"/>
      <c r="H122" s="1"/>
      <c r="I122" s="1"/>
      <c r="J122" s="1"/>
      <c r="K122" s="18"/>
      <c r="L122" s="28"/>
      <c r="M122" s="44"/>
      <c r="N122" s="5"/>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row>
    <row r="123" spans="1:52" s="4" customFormat="1" ht="11.25" x14ac:dyDescent="0.2">
      <c r="A123" s="1"/>
      <c r="B123" s="1"/>
      <c r="C123" s="1"/>
      <c r="D123" s="1"/>
      <c r="E123" s="1"/>
      <c r="F123" s="1"/>
      <c r="G123" s="1"/>
      <c r="H123" s="1"/>
      <c r="I123" s="1"/>
      <c r="J123" s="1"/>
      <c r="K123" s="18"/>
      <c r="L123" s="28"/>
      <c r="M123" s="44"/>
      <c r="N123" s="5"/>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row>
    <row r="124" spans="1:52" s="4" customFormat="1" ht="11.25" x14ac:dyDescent="0.2">
      <c r="A124" s="1"/>
      <c r="B124" s="1"/>
      <c r="C124" s="1"/>
      <c r="D124" s="1"/>
      <c r="E124" s="1"/>
      <c r="F124" s="1"/>
      <c r="G124" s="1"/>
      <c r="H124" s="1"/>
      <c r="I124" s="1"/>
      <c r="J124" s="1"/>
      <c r="K124" s="18"/>
      <c r="L124" s="28"/>
      <c r="M124" s="44"/>
      <c r="N124" s="5"/>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row>
    <row r="125" spans="1:52" s="4" customFormat="1" ht="11.25" x14ac:dyDescent="0.2">
      <c r="A125" s="1"/>
      <c r="B125" s="1"/>
      <c r="C125" s="1"/>
      <c r="D125" s="1"/>
      <c r="E125" s="1"/>
      <c r="F125" s="1"/>
      <c r="G125" s="1"/>
      <c r="H125" s="1"/>
      <c r="I125" s="1"/>
      <c r="J125" s="1"/>
      <c r="K125" s="18"/>
      <c r="L125" s="28"/>
      <c r="M125" s="44"/>
      <c r="N125" s="5"/>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row>
    <row r="126" spans="1:52" s="4" customFormat="1" ht="11.25" x14ac:dyDescent="0.2">
      <c r="A126" s="1"/>
      <c r="B126" s="1"/>
      <c r="C126" s="1"/>
      <c r="D126" s="1"/>
      <c r="E126" s="1"/>
      <c r="F126" s="1"/>
      <c r="G126" s="1"/>
      <c r="H126" s="1"/>
      <c r="I126" s="1"/>
      <c r="J126" s="1"/>
      <c r="K126" s="18"/>
      <c r="L126" s="28"/>
      <c r="M126" s="44"/>
      <c r="N126" s="5"/>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row>
    <row r="127" spans="1:52" s="4" customFormat="1" ht="11.25" x14ac:dyDescent="0.2">
      <c r="A127" s="1"/>
      <c r="B127" s="1"/>
      <c r="C127" s="1"/>
      <c r="D127" s="1"/>
      <c r="E127" s="1"/>
      <c r="F127" s="1"/>
      <c r="G127" s="1"/>
      <c r="H127" s="1"/>
      <c r="I127" s="1"/>
      <c r="J127" s="1"/>
      <c r="K127" s="18"/>
      <c r="L127" s="28"/>
      <c r="M127" s="44"/>
      <c r="N127" s="5"/>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row>
    <row r="128" spans="1:52" s="4" customFormat="1" ht="11.25" x14ac:dyDescent="0.2">
      <c r="A128" s="1"/>
      <c r="B128" s="1"/>
      <c r="C128" s="1"/>
      <c r="D128" s="1"/>
      <c r="E128" s="1"/>
      <c r="F128" s="1"/>
      <c r="G128" s="1"/>
      <c r="H128" s="1"/>
      <c r="I128" s="1"/>
      <c r="J128" s="1"/>
      <c r="K128" s="18"/>
      <c r="L128" s="28"/>
      <c r="M128" s="44"/>
      <c r="N128" s="5"/>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row>
    <row r="129" spans="1:52" s="4" customFormat="1" ht="11.25" x14ac:dyDescent="0.2">
      <c r="A129" s="1"/>
      <c r="B129" s="1"/>
      <c r="C129" s="1"/>
      <c r="D129" s="1"/>
      <c r="E129" s="1"/>
      <c r="F129" s="1"/>
      <c r="G129" s="1"/>
      <c r="H129" s="1"/>
      <c r="I129" s="1"/>
      <c r="J129" s="1"/>
      <c r="K129" s="18"/>
      <c r="L129" s="28"/>
      <c r="M129" s="44"/>
      <c r="N129" s="5"/>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row>
    <row r="130" spans="1:52" s="4" customFormat="1" ht="11.25" x14ac:dyDescent="0.2">
      <c r="A130" s="1"/>
      <c r="B130" s="1"/>
      <c r="C130" s="1"/>
      <c r="D130" s="1"/>
      <c r="E130" s="1"/>
      <c r="F130" s="1"/>
      <c r="G130" s="1"/>
      <c r="H130" s="1"/>
      <c r="I130" s="1"/>
      <c r="J130" s="1"/>
      <c r="K130" s="18"/>
      <c r="L130" s="28"/>
      <c r="M130" s="44"/>
      <c r="N130" s="5"/>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row>
    <row r="131" spans="1:52" s="4" customFormat="1" ht="11.25" x14ac:dyDescent="0.2">
      <c r="A131" s="1"/>
      <c r="B131" s="1"/>
      <c r="C131" s="1"/>
      <c r="D131" s="1"/>
      <c r="E131" s="1"/>
      <c r="F131" s="1"/>
      <c r="G131" s="1"/>
      <c r="H131" s="1"/>
      <c r="I131" s="1"/>
      <c r="J131" s="1"/>
      <c r="K131" s="18"/>
      <c r="L131" s="28"/>
      <c r="M131" s="44"/>
      <c r="N131" s="5"/>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row>
    <row r="132" spans="1:52" s="4" customFormat="1" ht="11.25" x14ac:dyDescent="0.2">
      <c r="A132" s="1"/>
      <c r="B132" s="1"/>
      <c r="C132" s="1"/>
      <c r="D132" s="1"/>
      <c r="E132" s="1"/>
      <c r="F132" s="1"/>
      <c r="G132" s="1"/>
      <c r="H132" s="1"/>
      <c r="I132" s="1"/>
      <c r="J132" s="1"/>
      <c r="K132" s="18"/>
      <c r="L132" s="28"/>
      <c r="M132" s="44"/>
      <c r="N132" s="5"/>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row>
    <row r="133" spans="1:52" s="4" customFormat="1" ht="11.25" x14ac:dyDescent="0.2">
      <c r="A133" s="1"/>
      <c r="B133" s="1"/>
      <c r="C133" s="1"/>
      <c r="D133" s="1"/>
      <c r="E133" s="1"/>
      <c r="F133" s="1"/>
      <c r="G133" s="1"/>
      <c r="H133" s="1"/>
      <c r="I133" s="1"/>
      <c r="J133" s="1"/>
      <c r="K133" s="18"/>
      <c r="L133" s="28"/>
      <c r="M133" s="44"/>
      <c r="N133" s="5"/>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row>
    <row r="134" spans="1:52" s="4" customFormat="1" ht="11.25" x14ac:dyDescent="0.2">
      <c r="A134" s="1"/>
      <c r="B134" s="1"/>
      <c r="C134" s="1"/>
      <c r="D134" s="1"/>
      <c r="E134" s="1"/>
      <c r="F134" s="1"/>
      <c r="G134" s="1"/>
      <c r="H134" s="1"/>
      <c r="I134" s="1"/>
      <c r="J134" s="1"/>
      <c r="K134" s="18"/>
      <c r="L134" s="28"/>
      <c r="M134" s="44"/>
      <c r="N134" s="5"/>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row>
    <row r="135" spans="1:52" s="4" customFormat="1" ht="11.25" x14ac:dyDescent="0.2">
      <c r="A135" s="1"/>
      <c r="B135" s="1"/>
      <c r="C135" s="1"/>
      <c r="D135" s="1"/>
      <c r="E135" s="1"/>
      <c r="F135" s="1"/>
      <c r="G135" s="1"/>
      <c r="H135" s="1"/>
      <c r="I135" s="1"/>
      <c r="J135" s="1"/>
      <c r="K135" s="18"/>
      <c r="L135" s="28"/>
      <c r="M135" s="44"/>
      <c r="N135" s="5"/>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row>
    <row r="136" spans="1:52" s="4" customFormat="1" ht="11.25" x14ac:dyDescent="0.2">
      <c r="A136" s="1"/>
      <c r="B136" s="1"/>
      <c r="C136" s="1"/>
      <c r="D136" s="1"/>
      <c r="E136" s="1"/>
      <c r="F136" s="1"/>
      <c r="G136" s="1"/>
      <c r="H136" s="1"/>
      <c r="I136" s="1"/>
      <c r="J136" s="1"/>
      <c r="K136" s="18"/>
      <c r="L136" s="28"/>
      <c r="M136" s="44"/>
      <c r="N136" s="5"/>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row>
    <row r="137" spans="1:52" s="4" customFormat="1" ht="11.25" x14ac:dyDescent="0.2">
      <c r="A137" s="1"/>
      <c r="B137" s="1"/>
      <c r="C137" s="1"/>
      <c r="D137" s="1"/>
      <c r="E137" s="1"/>
      <c r="F137" s="1"/>
      <c r="G137" s="1"/>
      <c r="H137" s="1"/>
      <c r="I137" s="1"/>
      <c r="J137" s="1"/>
      <c r="K137" s="18"/>
      <c r="L137" s="28"/>
      <c r="M137" s="44"/>
      <c r="N137" s="5"/>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row>
    <row r="138" spans="1:52" s="4" customFormat="1" ht="11.25" x14ac:dyDescent="0.2">
      <c r="A138" s="1"/>
      <c r="B138" s="1"/>
      <c r="C138" s="1"/>
      <c r="D138" s="1"/>
      <c r="E138" s="1"/>
      <c r="F138" s="1"/>
      <c r="G138" s="1"/>
      <c r="H138" s="1"/>
      <c r="I138" s="1"/>
      <c r="J138" s="1"/>
      <c r="K138" s="18"/>
      <c r="L138" s="28"/>
      <c r="M138" s="44"/>
      <c r="N138" s="5"/>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row>
    <row r="139" spans="1:52" s="4" customFormat="1" ht="11.25" x14ac:dyDescent="0.2">
      <c r="A139" s="1"/>
      <c r="B139" s="1"/>
      <c r="C139" s="1"/>
      <c r="D139" s="1"/>
      <c r="E139" s="1"/>
      <c r="F139" s="1"/>
      <c r="G139" s="1"/>
      <c r="H139" s="1"/>
      <c r="I139" s="1"/>
      <c r="J139" s="1"/>
      <c r="K139" s="18"/>
      <c r="L139" s="28"/>
      <c r="M139" s="44"/>
      <c r="N139" s="5"/>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row>
    <row r="140" spans="1:52" s="4" customFormat="1" ht="11.25" x14ac:dyDescent="0.2">
      <c r="A140" s="1"/>
      <c r="B140" s="1"/>
      <c r="C140" s="1"/>
      <c r="D140" s="1"/>
      <c r="E140" s="1"/>
      <c r="F140" s="1"/>
      <c r="G140" s="1"/>
      <c r="H140" s="1"/>
      <c r="I140" s="1"/>
      <c r="J140" s="1"/>
      <c r="K140" s="18"/>
      <c r="L140" s="28"/>
      <c r="M140" s="44"/>
      <c r="N140" s="5"/>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row>
    <row r="141" spans="1:52" s="4" customFormat="1" ht="11.25" x14ac:dyDescent="0.2">
      <c r="A141" s="1"/>
      <c r="B141" s="1"/>
      <c r="C141" s="1"/>
      <c r="D141" s="1"/>
      <c r="E141" s="1"/>
      <c r="F141" s="1"/>
      <c r="G141" s="1"/>
      <c r="H141" s="1"/>
      <c r="I141" s="1"/>
      <c r="J141" s="1"/>
      <c r="K141" s="18"/>
      <c r="L141" s="28"/>
      <c r="M141" s="44"/>
      <c r="N141" s="5"/>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row>
    <row r="142" spans="1:52" s="4" customFormat="1" ht="11.25" x14ac:dyDescent="0.2">
      <c r="A142" s="1"/>
      <c r="B142" s="1"/>
      <c r="C142" s="1"/>
      <c r="D142" s="1"/>
      <c r="E142" s="1"/>
      <c r="F142" s="1"/>
      <c r="G142" s="1"/>
      <c r="H142" s="1"/>
      <c r="I142" s="1"/>
      <c r="J142" s="1"/>
      <c r="K142" s="18"/>
      <c r="L142" s="28"/>
      <c r="M142" s="44"/>
      <c r="N142" s="5"/>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row>
    <row r="143" spans="1:52" s="4" customFormat="1" ht="11.25" x14ac:dyDescent="0.2">
      <c r="A143" s="1"/>
      <c r="B143" s="1"/>
      <c r="C143" s="1"/>
      <c r="D143" s="1"/>
      <c r="E143" s="1"/>
      <c r="F143" s="1"/>
      <c r="G143" s="1"/>
      <c r="H143" s="1"/>
      <c r="I143" s="1"/>
      <c r="J143" s="1"/>
      <c r="K143" s="18"/>
      <c r="L143" s="28"/>
      <c r="M143" s="44"/>
      <c r="N143" s="5"/>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row>
    <row r="144" spans="1:52" s="4" customFormat="1" ht="11.25" x14ac:dyDescent="0.2">
      <c r="A144" s="1"/>
      <c r="B144" s="1"/>
      <c r="C144" s="1"/>
      <c r="D144" s="1"/>
      <c r="E144" s="1"/>
      <c r="F144" s="1"/>
      <c r="G144" s="1"/>
      <c r="H144" s="1"/>
      <c r="I144" s="1"/>
      <c r="J144" s="1"/>
      <c r="K144" s="18"/>
      <c r="L144" s="28"/>
      <c r="M144" s="44"/>
      <c r="N144" s="5"/>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row>
    <row r="145" spans="1:52" s="4" customFormat="1" ht="11.25" x14ac:dyDescent="0.2">
      <c r="A145" s="1"/>
      <c r="B145" s="1"/>
      <c r="C145" s="1"/>
      <c r="D145" s="1"/>
      <c r="E145" s="1"/>
      <c r="F145" s="1"/>
      <c r="G145" s="1"/>
      <c r="H145" s="1"/>
      <c r="I145" s="1"/>
      <c r="J145" s="1"/>
      <c r="K145" s="18"/>
      <c r="L145" s="28"/>
      <c r="M145" s="44"/>
      <c r="N145" s="5"/>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row>
    <row r="146" spans="1:52" s="4" customFormat="1" ht="11.25" x14ac:dyDescent="0.2">
      <c r="A146" s="1"/>
      <c r="B146" s="1"/>
      <c r="C146" s="1"/>
      <c r="D146" s="1"/>
      <c r="E146" s="1"/>
      <c r="F146" s="1"/>
      <c r="G146" s="1"/>
      <c r="H146" s="1"/>
      <c r="I146" s="1"/>
      <c r="J146" s="1"/>
      <c r="K146" s="18"/>
      <c r="L146" s="28"/>
      <c r="M146" s="44"/>
      <c r="N146" s="5"/>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row>
    <row r="147" spans="1:52" s="4" customFormat="1" ht="11.25" x14ac:dyDescent="0.2">
      <c r="A147" s="1"/>
      <c r="B147" s="1"/>
      <c r="C147" s="1"/>
      <c r="D147" s="1"/>
      <c r="E147" s="1"/>
      <c r="F147" s="1"/>
      <c r="G147" s="1"/>
      <c r="H147" s="1"/>
      <c r="I147" s="1"/>
      <c r="J147" s="1"/>
      <c r="K147" s="18"/>
      <c r="L147" s="28"/>
      <c r="M147" s="44"/>
      <c r="N147" s="5"/>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row>
    <row r="148" spans="1:52" s="4" customFormat="1" ht="11.25" x14ac:dyDescent="0.2">
      <c r="A148" s="1"/>
      <c r="B148" s="1"/>
      <c r="C148" s="1"/>
      <c r="D148" s="1"/>
      <c r="E148" s="1"/>
      <c r="F148" s="1"/>
      <c r="G148" s="1"/>
      <c r="H148" s="1"/>
      <c r="I148" s="1"/>
      <c r="J148" s="1"/>
      <c r="K148" s="18"/>
      <c r="L148" s="28"/>
      <c r="M148" s="44"/>
      <c r="N148" s="5"/>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row>
    <row r="149" spans="1:52" s="4" customFormat="1" ht="11.25" x14ac:dyDescent="0.2">
      <c r="A149" s="1"/>
      <c r="B149" s="1"/>
      <c r="C149" s="1"/>
      <c r="D149" s="1"/>
      <c r="E149" s="1"/>
      <c r="F149" s="1"/>
      <c r="G149" s="1"/>
      <c r="H149" s="1"/>
      <c r="I149" s="1"/>
      <c r="J149" s="1"/>
      <c r="K149" s="18"/>
      <c r="L149" s="28"/>
      <c r="M149" s="44"/>
      <c r="N149" s="5"/>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row>
    <row r="150" spans="1:52" s="4" customFormat="1" ht="11.25" x14ac:dyDescent="0.2">
      <c r="A150" s="1"/>
      <c r="B150" s="1"/>
      <c r="C150" s="1"/>
      <c r="D150" s="1"/>
      <c r="E150" s="1"/>
      <c r="F150" s="1"/>
      <c r="G150" s="1"/>
      <c r="H150" s="1"/>
      <c r="I150" s="1"/>
      <c r="J150" s="1"/>
      <c r="K150" s="18"/>
      <c r="L150" s="28"/>
      <c r="M150" s="44"/>
      <c r="N150" s="5"/>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row>
    <row r="151" spans="1:52" s="4" customFormat="1" ht="11.25" x14ac:dyDescent="0.2">
      <c r="A151" s="1"/>
      <c r="B151" s="1"/>
      <c r="C151" s="1"/>
      <c r="D151" s="1"/>
      <c r="E151" s="1"/>
      <c r="F151" s="1"/>
      <c r="G151" s="1"/>
      <c r="H151" s="1"/>
      <c r="I151" s="1"/>
      <c r="J151" s="1"/>
      <c r="K151" s="18"/>
      <c r="L151" s="28"/>
      <c r="M151" s="44"/>
      <c r="N151" s="5"/>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row>
    <row r="152" spans="1:52" s="4" customFormat="1" ht="11.25" x14ac:dyDescent="0.2">
      <c r="A152" s="1"/>
      <c r="B152" s="1"/>
      <c r="C152" s="1"/>
      <c r="D152" s="1"/>
      <c r="E152" s="1"/>
      <c r="F152" s="1"/>
      <c r="G152" s="1"/>
      <c r="H152" s="1"/>
      <c r="I152" s="1"/>
      <c r="J152" s="1"/>
      <c r="K152" s="18"/>
      <c r="L152" s="28"/>
      <c r="M152" s="44"/>
      <c r="N152" s="5"/>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row>
    <row r="153" spans="1:52" s="4" customFormat="1" ht="11.25" x14ac:dyDescent="0.2">
      <c r="A153" s="1"/>
      <c r="B153" s="1"/>
      <c r="C153" s="1"/>
      <c r="D153" s="1"/>
      <c r="E153" s="1"/>
      <c r="F153" s="1"/>
      <c r="G153" s="1"/>
      <c r="H153" s="1"/>
      <c r="I153" s="1"/>
      <c r="J153" s="1"/>
      <c r="K153" s="18"/>
      <c r="L153" s="28"/>
      <c r="M153" s="44"/>
      <c r="N153" s="5"/>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row>
    <row r="154" spans="1:52" s="4" customFormat="1" ht="11.25" x14ac:dyDescent="0.2">
      <c r="A154" s="1"/>
      <c r="B154" s="1"/>
      <c r="C154" s="1"/>
      <c r="D154" s="1"/>
      <c r="E154" s="1"/>
      <c r="F154" s="1"/>
      <c r="G154" s="1"/>
      <c r="H154" s="1"/>
      <c r="I154" s="1"/>
      <c r="J154" s="1"/>
      <c r="K154" s="18"/>
      <c r="L154" s="28"/>
      <c r="M154" s="44"/>
      <c r="N154" s="5"/>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row>
    <row r="155" spans="1:52" s="4" customFormat="1" ht="11.25" x14ac:dyDescent="0.2">
      <c r="A155" s="1"/>
      <c r="B155" s="1"/>
      <c r="C155" s="1"/>
      <c r="D155" s="1"/>
      <c r="E155" s="1"/>
      <c r="F155" s="1"/>
      <c r="G155" s="1"/>
      <c r="H155" s="1"/>
      <c r="I155" s="1"/>
      <c r="J155" s="1"/>
      <c r="K155" s="18"/>
      <c r="L155" s="28"/>
      <c r="M155" s="44"/>
      <c r="N155" s="5"/>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row>
    <row r="156" spans="1:52" s="4" customFormat="1" ht="11.25" x14ac:dyDescent="0.2">
      <c r="A156" s="1"/>
      <c r="B156" s="1"/>
      <c r="C156" s="1"/>
      <c r="D156" s="1"/>
      <c r="E156" s="1"/>
      <c r="F156" s="1"/>
      <c r="G156" s="1"/>
      <c r="H156" s="1"/>
      <c r="I156" s="1"/>
      <c r="J156" s="1"/>
      <c r="K156" s="18"/>
      <c r="L156" s="28"/>
      <c r="M156" s="44"/>
      <c r="N156" s="5"/>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row>
    <row r="157" spans="1:52" s="4" customFormat="1" ht="11.25" x14ac:dyDescent="0.2">
      <c r="A157" s="1"/>
      <c r="B157" s="1"/>
      <c r="C157" s="1"/>
      <c r="D157" s="1"/>
      <c r="E157" s="1"/>
      <c r="F157" s="1"/>
      <c r="G157" s="1"/>
      <c r="H157" s="1"/>
      <c r="I157" s="1"/>
      <c r="J157" s="1"/>
      <c r="K157" s="18"/>
      <c r="L157" s="28"/>
      <c r="M157" s="44"/>
      <c r="N157" s="5"/>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row>
    <row r="158" spans="1:52" s="4" customFormat="1" ht="11.25" x14ac:dyDescent="0.2">
      <c r="A158" s="1"/>
      <c r="B158" s="1"/>
      <c r="C158" s="1"/>
      <c r="D158" s="1"/>
      <c r="E158" s="1"/>
      <c r="F158" s="1"/>
      <c r="G158" s="1"/>
      <c r="H158" s="1"/>
      <c r="I158" s="1"/>
      <c r="J158" s="1"/>
      <c r="K158" s="18"/>
      <c r="L158" s="28"/>
      <c r="M158" s="44"/>
      <c r="N158" s="5"/>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row>
    <row r="159" spans="1:52" s="4" customFormat="1" ht="11.25" x14ac:dyDescent="0.2">
      <c r="A159" s="1"/>
      <c r="B159" s="1"/>
      <c r="C159" s="1"/>
      <c r="D159" s="1"/>
      <c r="E159" s="1"/>
      <c r="F159" s="1"/>
      <c r="G159" s="1"/>
      <c r="H159" s="1"/>
      <c r="I159" s="1"/>
      <c r="J159" s="1"/>
      <c r="K159" s="18"/>
      <c r="L159" s="28"/>
      <c r="M159" s="44"/>
      <c r="N159" s="5"/>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row>
    <row r="160" spans="1:52" s="4" customFormat="1" ht="11.25" x14ac:dyDescent="0.2">
      <c r="A160" s="1"/>
      <c r="B160" s="1"/>
      <c r="C160" s="1"/>
      <c r="D160" s="1"/>
      <c r="E160" s="1"/>
      <c r="F160" s="1"/>
      <c r="G160" s="1"/>
      <c r="H160" s="1"/>
      <c r="I160" s="1"/>
      <c r="J160" s="1"/>
      <c r="K160" s="18"/>
      <c r="L160" s="28"/>
      <c r="M160" s="44"/>
      <c r="N160" s="5"/>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row>
    <row r="161" spans="1:52" s="4" customFormat="1" ht="11.25" x14ac:dyDescent="0.2">
      <c r="A161" s="1"/>
      <c r="B161" s="1"/>
      <c r="C161" s="1"/>
      <c r="D161" s="1"/>
      <c r="E161" s="1"/>
      <c r="F161" s="1"/>
      <c r="G161" s="1"/>
      <c r="H161" s="1"/>
      <c r="I161" s="1"/>
      <c r="J161" s="1"/>
      <c r="K161" s="18"/>
      <c r="L161" s="28"/>
      <c r="M161" s="44"/>
      <c r="N161" s="5"/>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row>
    <row r="162" spans="1:52" s="4" customFormat="1" ht="11.25" x14ac:dyDescent="0.2">
      <c r="A162" s="1"/>
      <c r="B162" s="1"/>
      <c r="C162" s="1"/>
      <c r="D162" s="1"/>
      <c r="E162" s="1"/>
      <c r="F162" s="1"/>
      <c r="G162" s="1"/>
      <c r="H162" s="1"/>
      <c r="I162" s="1"/>
      <c r="J162" s="1"/>
      <c r="K162" s="18"/>
      <c r="L162" s="28"/>
      <c r="M162" s="44"/>
      <c r="N162" s="5"/>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row>
    <row r="163" spans="1:52" s="4" customFormat="1" ht="11.25" x14ac:dyDescent="0.2">
      <c r="A163" s="1"/>
      <c r="B163" s="1"/>
      <c r="C163" s="1"/>
      <c r="D163" s="1"/>
      <c r="E163" s="1"/>
      <c r="F163" s="1"/>
      <c r="G163" s="1"/>
      <c r="H163" s="1"/>
      <c r="I163" s="1"/>
      <c r="J163" s="1"/>
      <c r="K163" s="18"/>
      <c r="L163" s="28"/>
      <c r="M163" s="44"/>
      <c r="N163" s="5"/>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row>
    <row r="164" spans="1:52" s="4" customFormat="1" ht="11.25" x14ac:dyDescent="0.2">
      <c r="A164" s="1"/>
      <c r="B164" s="1"/>
      <c r="C164" s="1"/>
      <c r="D164" s="1"/>
      <c r="E164" s="1"/>
      <c r="F164" s="1"/>
      <c r="G164" s="1"/>
      <c r="H164" s="1"/>
      <c r="I164" s="1"/>
      <c r="J164" s="1"/>
      <c r="K164" s="18"/>
      <c r="L164" s="28"/>
      <c r="M164" s="44"/>
      <c r="N164" s="5"/>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row>
    <row r="165" spans="1:52" s="4" customFormat="1" ht="11.25" x14ac:dyDescent="0.2">
      <c r="A165" s="1"/>
      <c r="B165" s="1"/>
      <c r="C165" s="1"/>
      <c r="D165" s="1"/>
      <c r="E165" s="1"/>
      <c r="F165" s="1"/>
      <c r="G165" s="1"/>
      <c r="H165" s="1"/>
      <c r="I165" s="1"/>
      <c r="J165" s="1"/>
      <c r="K165" s="18"/>
      <c r="L165" s="28"/>
      <c r="M165" s="44"/>
      <c r="N165" s="5"/>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row>
    <row r="166" spans="1:52" s="4" customFormat="1" ht="11.25" x14ac:dyDescent="0.2">
      <c r="A166" s="1"/>
      <c r="B166" s="1"/>
      <c r="C166" s="1"/>
      <c r="D166" s="1"/>
      <c r="E166" s="1"/>
      <c r="F166" s="1"/>
      <c r="G166" s="1"/>
      <c r="H166" s="1"/>
      <c r="I166" s="1"/>
      <c r="J166" s="1"/>
      <c r="K166" s="18"/>
      <c r="L166" s="28"/>
      <c r="M166" s="44"/>
      <c r="N166" s="5"/>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row>
    <row r="167" spans="1:52" s="4" customFormat="1" ht="11.25" x14ac:dyDescent="0.2">
      <c r="A167" s="1"/>
      <c r="B167" s="1"/>
      <c r="C167" s="1"/>
      <c r="D167" s="1"/>
      <c r="E167" s="1"/>
      <c r="F167" s="1"/>
      <c r="G167" s="1"/>
      <c r="H167" s="1"/>
      <c r="I167" s="1"/>
      <c r="J167" s="1"/>
      <c r="K167" s="18"/>
      <c r="L167" s="28"/>
      <c r="M167" s="44"/>
      <c r="N167" s="5"/>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row>
    <row r="168" spans="1:52" s="4" customFormat="1" ht="11.25" x14ac:dyDescent="0.2">
      <c r="A168" s="1"/>
      <c r="B168" s="1"/>
      <c r="C168" s="1"/>
      <c r="D168" s="1"/>
      <c r="E168" s="1"/>
      <c r="F168" s="1"/>
      <c r="G168" s="1"/>
      <c r="H168" s="1"/>
      <c r="I168" s="1"/>
      <c r="J168" s="1"/>
      <c r="K168" s="18"/>
      <c r="L168" s="28"/>
      <c r="M168" s="44"/>
      <c r="N168" s="5"/>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row>
    <row r="169" spans="1:52" s="4" customFormat="1" ht="11.25" x14ac:dyDescent="0.2">
      <c r="A169" s="1"/>
      <c r="B169" s="1"/>
      <c r="C169" s="1"/>
      <c r="D169" s="1"/>
      <c r="E169" s="1"/>
      <c r="F169" s="1"/>
      <c r="G169" s="1"/>
      <c r="H169" s="1"/>
      <c r="I169" s="1"/>
      <c r="J169" s="1"/>
      <c r="K169" s="18"/>
      <c r="L169" s="28"/>
      <c r="M169" s="44"/>
      <c r="N169" s="5"/>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row>
    <row r="170" spans="1:52" s="4" customFormat="1" ht="11.25" x14ac:dyDescent="0.2">
      <c r="A170" s="1"/>
      <c r="B170" s="1"/>
      <c r="C170" s="1"/>
      <c r="D170" s="1"/>
      <c r="E170" s="1"/>
      <c r="F170" s="1"/>
      <c r="G170" s="1"/>
      <c r="H170" s="1"/>
      <c r="I170" s="1"/>
      <c r="J170" s="1"/>
      <c r="K170" s="18"/>
      <c r="L170" s="28"/>
      <c r="M170" s="44"/>
      <c r="N170" s="5"/>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row>
    <row r="171" spans="1:52" s="4" customFormat="1" ht="11.25" x14ac:dyDescent="0.2">
      <c r="A171" s="1"/>
      <c r="B171" s="1"/>
      <c r="C171" s="1"/>
      <c r="D171" s="1"/>
      <c r="E171" s="1"/>
      <c r="F171" s="1"/>
      <c r="G171" s="1"/>
      <c r="H171" s="1"/>
      <c r="I171" s="1"/>
      <c r="J171" s="1"/>
      <c r="K171" s="18"/>
      <c r="L171" s="28"/>
      <c r="M171" s="44"/>
      <c r="N171" s="5"/>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row>
    <row r="172" spans="1:52" s="4" customFormat="1" ht="11.25" x14ac:dyDescent="0.2">
      <c r="A172" s="1"/>
      <c r="B172" s="1"/>
      <c r="C172" s="1"/>
      <c r="D172" s="1"/>
      <c r="E172" s="1"/>
      <c r="F172" s="1"/>
      <c r="G172" s="1"/>
      <c r="H172" s="1"/>
      <c r="I172" s="1"/>
      <c r="J172" s="1"/>
      <c r="K172" s="18"/>
      <c r="L172" s="28"/>
      <c r="M172" s="44"/>
      <c r="N172" s="5"/>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row>
    <row r="173" spans="1:52" s="4" customFormat="1" ht="11.25" x14ac:dyDescent="0.2">
      <c r="A173" s="1"/>
      <c r="B173" s="1"/>
      <c r="C173" s="1"/>
      <c r="D173" s="1"/>
      <c r="E173" s="1"/>
      <c r="F173" s="1"/>
      <c r="G173" s="1"/>
      <c r="H173" s="1"/>
      <c r="I173" s="1"/>
      <c r="J173" s="1"/>
      <c r="K173" s="18"/>
      <c r="L173" s="28"/>
      <c r="M173" s="44"/>
      <c r="N173" s="5"/>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row>
    <row r="174" spans="1:52" s="4" customFormat="1" ht="11.25" x14ac:dyDescent="0.2">
      <c r="A174" s="1"/>
      <c r="B174" s="1"/>
      <c r="C174" s="1"/>
      <c r="D174" s="1"/>
      <c r="E174" s="1"/>
      <c r="F174" s="1"/>
      <c r="G174" s="1"/>
      <c r="H174" s="1"/>
      <c r="I174" s="1"/>
      <c r="J174" s="1"/>
      <c r="K174" s="18"/>
      <c r="L174" s="28"/>
      <c r="M174" s="44"/>
      <c r="N174" s="5"/>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row>
    <row r="175" spans="1:52" s="4" customFormat="1" ht="11.25" x14ac:dyDescent="0.2">
      <c r="A175" s="1"/>
      <c r="B175" s="1"/>
      <c r="C175" s="1"/>
      <c r="D175" s="1"/>
      <c r="E175" s="1"/>
      <c r="F175" s="1"/>
      <c r="G175" s="1"/>
      <c r="H175" s="1"/>
      <c r="I175" s="1"/>
      <c r="J175" s="1"/>
      <c r="K175" s="18"/>
      <c r="L175" s="28"/>
      <c r="M175" s="44"/>
      <c r="N175" s="5"/>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row>
    <row r="176" spans="1:52" s="4" customFormat="1" ht="11.25" x14ac:dyDescent="0.2">
      <c r="A176" s="1"/>
      <c r="B176" s="1"/>
      <c r="C176" s="1"/>
      <c r="D176" s="1"/>
      <c r="E176" s="1"/>
      <c r="F176" s="1"/>
      <c r="G176" s="1"/>
      <c r="H176" s="1"/>
      <c r="I176" s="1"/>
      <c r="J176" s="1"/>
      <c r="K176" s="18"/>
      <c r="L176" s="28"/>
      <c r="M176" s="44"/>
      <c r="N176" s="5"/>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row>
    <row r="177" spans="1:52" s="4" customFormat="1" ht="11.25" x14ac:dyDescent="0.2">
      <c r="A177" s="1"/>
      <c r="B177" s="1"/>
      <c r="C177" s="1"/>
      <c r="D177" s="1"/>
      <c r="E177" s="1"/>
      <c r="F177" s="1"/>
      <c r="G177" s="1"/>
      <c r="H177" s="1"/>
      <c r="I177" s="1"/>
      <c r="J177" s="1"/>
      <c r="K177" s="18"/>
      <c r="L177" s="28"/>
      <c r="M177" s="44"/>
      <c r="N177" s="5"/>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row>
    <row r="178" spans="1:52" s="4" customFormat="1" ht="11.25" x14ac:dyDescent="0.2">
      <c r="A178" s="1"/>
      <c r="B178" s="1"/>
      <c r="C178" s="1"/>
      <c r="D178" s="1"/>
      <c r="E178" s="1"/>
      <c r="F178" s="1"/>
      <c r="G178" s="1"/>
      <c r="H178" s="1"/>
      <c r="I178" s="1"/>
      <c r="J178" s="1"/>
      <c r="K178" s="18"/>
      <c r="L178" s="28"/>
      <c r="M178" s="44"/>
      <c r="N178" s="5"/>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row>
    <row r="179" spans="1:52" s="4" customFormat="1" ht="11.25" x14ac:dyDescent="0.2">
      <c r="A179" s="1"/>
      <c r="B179" s="1"/>
      <c r="C179" s="1"/>
      <c r="D179" s="1"/>
      <c r="E179" s="1"/>
      <c r="F179" s="1"/>
      <c r="G179" s="1"/>
      <c r="H179" s="1"/>
      <c r="I179" s="1"/>
      <c r="J179" s="1"/>
      <c r="K179" s="18"/>
      <c r="L179" s="28"/>
      <c r="M179" s="44"/>
      <c r="N179" s="5"/>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row>
    <row r="180" spans="1:52" s="4" customFormat="1" ht="11.25" x14ac:dyDescent="0.2">
      <c r="A180" s="1"/>
      <c r="B180" s="1"/>
      <c r="C180" s="1"/>
      <c r="D180" s="1"/>
      <c r="E180" s="1"/>
      <c r="F180" s="1"/>
      <c r="G180" s="1"/>
      <c r="H180" s="1"/>
      <c r="I180" s="1"/>
      <c r="J180" s="1"/>
      <c r="K180" s="18"/>
      <c r="L180" s="28"/>
      <c r="M180" s="44"/>
      <c r="N180" s="5"/>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row>
    <row r="181" spans="1:52" s="4" customFormat="1" ht="11.25" x14ac:dyDescent="0.2">
      <c r="A181" s="1"/>
      <c r="B181" s="1"/>
      <c r="C181" s="1"/>
      <c r="D181" s="1"/>
      <c r="E181" s="1"/>
      <c r="F181" s="1"/>
      <c r="G181" s="1"/>
      <c r="H181" s="1"/>
      <c r="I181" s="1"/>
      <c r="J181" s="1"/>
      <c r="K181" s="18"/>
      <c r="L181" s="28"/>
      <c r="M181" s="44"/>
      <c r="N181" s="5"/>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row>
    <row r="182" spans="1:52" s="4" customFormat="1" ht="11.25" x14ac:dyDescent="0.2">
      <c r="A182" s="1"/>
      <c r="B182" s="1"/>
      <c r="C182" s="1"/>
      <c r="D182" s="1"/>
      <c r="E182" s="1"/>
      <c r="F182" s="1"/>
      <c r="G182" s="1"/>
      <c r="H182" s="1"/>
      <c r="I182" s="1"/>
      <c r="J182" s="1"/>
      <c r="K182" s="18"/>
      <c r="L182" s="28"/>
      <c r="M182" s="44"/>
      <c r="N182" s="5"/>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row>
    <row r="183" spans="1:52" s="4" customFormat="1" ht="11.25" x14ac:dyDescent="0.2">
      <c r="A183" s="1"/>
      <c r="B183" s="1"/>
      <c r="C183" s="1"/>
      <c r="D183" s="1"/>
      <c r="E183" s="1"/>
      <c r="F183" s="1"/>
      <c r="G183" s="1"/>
      <c r="H183" s="1"/>
      <c r="I183" s="1"/>
      <c r="J183" s="1"/>
      <c r="K183" s="18"/>
      <c r="L183" s="28"/>
      <c r="M183" s="44"/>
      <c r="N183" s="5"/>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row>
    <row r="184" spans="1:52" s="4" customFormat="1" ht="11.25" x14ac:dyDescent="0.2">
      <c r="A184" s="1"/>
      <c r="B184" s="1"/>
      <c r="C184" s="1"/>
      <c r="D184" s="1"/>
      <c r="E184" s="1"/>
      <c r="F184" s="1"/>
      <c r="G184" s="1"/>
      <c r="H184" s="1"/>
      <c r="I184" s="1"/>
      <c r="J184" s="1"/>
      <c r="K184" s="18"/>
      <c r="L184" s="28"/>
      <c r="M184" s="44"/>
      <c r="N184" s="5"/>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row>
    <row r="185" spans="1:52" s="4" customFormat="1" ht="11.25" x14ac:dyDescent="0.2">
      <c r="A185" s="1"/>
      <c r="B185" s="1"/>
      <c r="C185" s="1"/>
      <c r="D185" s="1"/>
      <c r="E185" s="1"/>
      <c r="F185" s="1"/>
      <c r="G185" s="1"/>
      <c r="H185" s="1"/>
      <c r="I185" s="1"/>
      <c r="J185" s="1"/>
      <c r="K185" s="18"/>
      <c r="L185" s="28"/>
      <c r="M185" s="44"/>
      <c r="N185" s="5"/>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row>
    <row r="186" spans="1:52" s="4" customFormat="1" ht="11.25" x14ac:dyDescent="0.2">
      <c r="A186" s="1"/>
      <c r="B186" s="1"/>
      <c r="C186" s="1"/>
      <c r="D186" s="1"/>
      <c r="E186" s="1"/>
      <c r="F186" s="1"/>
      <c r="G186" s="1"/>
      <c r="H186" s="1"/>
      <c r="I186" s="1"/>
      <c r="J186" s="1"/>
      <c r="K186" s="18"/>
      <c r="L186" s="28"/>
      <c r="M186" s="44"/>
      <c r="N186" s="5"/>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row>
    <row r="187" spans="1:52" s="4" customFormat="1" ht="11.25" x14ac:dyDescent="0.2">
      <c r="A187" s="1"/>
      <c r="B187" s="1"/>
      <c r="C187" s="1"/>
      <c r="D187" s="1"/>
      <c r="E187" s="1"/>
      <c r="F187" s="1"/>
      <c r="G187" s="1"/>
      <c r="H187" s="1"/>
      <c r="I187" s="1"/>
      <c r="J187" s="1"/>
      <c r="K187" s="18"/>
      <c r="L187" s="28"/>
      <c r="M187" s="44"/>
      <c r="N187" s="5"/>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row>
    <row r="188" spans="1:52" s="4" customFormat="1" ht="11.25" x14ac:dyDescent="0.2">
      <c r="A188" s="1"/>
      <c r="B188" s="1"/>
      <c r="C188" s="1"/>
      <c r="D188" s="1"/>
      <c r="E188" s="1"/>
      <c r="F188" s="1"/>
      <c r="G188" s="1"/>
      <c r="H188" s="1"/>
      <c r="I188" s="1"/>
      <c r="J188" s="1"/>
      <c r="K188" s="18"/>
      <c r="L188" s="28"/>
      <c r="M188" s="44"/>
      <c r="N188" s="5"/>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row>
    <row r="189" spans="1:52" s="4" customFormat="1" ht="11.25" x14ac:dyDescent="0.2">
      <c r="A189" s="1"/>
      <c r="B189" s="1"/>
      <c r="C189" s="1"/>
      <c r="D189" s="1"/>
      <c r="E189" s="1"/>
      <c r="F189" s="1"/>
      <c r="G189" s="1"/>
      <c r="H189" s="1"/>
      <c r="I189" s="1"/>
      <c r="J189" s="1"/>
      <c r="K189" s="18"/>
      <c r="L189" s="28"/>
      <c r="M189" s="44"/>
      <c r="N189" s="5"/>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row>
    <row r="190" spans="1:52" s="4" customFormat="1" ht="11.25" x14ac:dyDescent="0.2">
      <c r="A190" s="1"/>
      <c r="B190" s="1"/>
      <c r="C190" s="1"/>
      <c r="D190" s="1"/>
      <c r="E190" s="1"/>
      <c r="F190" s="1"/>
      <c r="G190" s="1"/>
      <c r="H190" s="1"/>
      <c r="I190" s="1"/>
      <c r="J190" s="1"/>
      <c r="K190" s="18"/>
      <c r="L190" s="28"/>
      <c r="M190" s="44"/>
      <c r="N190" s="5"/>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row>
    <row r="191" spans="1:52" s="4" customFormat="1" ht="11.25" x14ac:dyDescent="0.2">
      <c r="A191" s="1"/>
      <c r="B191" s="1"/>
      <c r="C191" s="1"/>
      <c r="D191" s="1"/>
      <c r="E191" s="1"/>
      <c r="F191" s="1"/>
      <c r="G191" s="1"/>
      <c r="H191" s="1"/>
      <c r="I191" s="1"/>
      <c r="J191" s="1"/>
      <c r="K191" s="18"/>
      <c r="L191" s="28"/>
      <c r="M191" s="44"/>
      <c r="N191" s="5"/>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row>
    <row r="192" spans="1:52" s="4" customFormat="1" ht="11.25" x14ac:dyDescent="0.2">
      <c r="A192" s="1"/>
      <c r="B192" s="1"/>
      <c r="C192" s="1"/>
      <c r="D192" s="1"/>
      <c r="E192" s="1"/>
      <c r="F192" s="1"/>
      <c r="G192" s="1"/>
      <c r="H192" s="1"/>
      <c r="I192" s="1"/>
      <c r="J192" s="1"/>
      <c r="K192" s="18"/>
      <c r="L192" s="28"/>
      <c r="M192" s="44"/>
      <c r="N192" s="5"/>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row>
    <row r="193" spans="1:52" s="4" customFormat="1" ht="11.25" x14ac:dyDescent="0.2">
      <c r="A193" s="1"/>
      <c r="B193" s="1"/>
      <c r="C193" s="1"/>
      <c r="D193" s="1"/>
      <c r="E193" s="1"/>
      <c r="F193" s="1"/>
      <c r="G193" s="1"/>
      <c r="H193" s="1"/>
      <c r="I193" s="1"/>
      <c r="J193" s="1"/>
      <c r="K193" s="18"/>
      <c r="L193" s="28"/>
      <c r="M193" s="44"/>
      <c r="N193" s="5"/>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row>
    <row r="194" spans="1:52" s="4" customFormat="1" ht="11.25" x14ac:dyDescent="0.2">
      <c r="A194" s="1"/>
      <c r="B194" s="1"/>
      <c r="C194" s="1"/>
      <c r="D194" s="1"/>
      <c r="E194" s="1"/>
      <c r="F194" s="1"/>
      <c r="G194" s="1"/>
      <c r="H194" s="1"/>
      <c r="I194" s="1"/>
      <c r="J194" s="1"/>
      <c r="K194" s="18"/>
      <c r="L194" s="28"/>
      <c r="M194" s="44"/>
      <c r="N194" s="5"/>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row>
    <row r="195" spans="1:52" s="4" customFormat="1" ht="11.25" x14ac:dyDescent="0.2">
      <c r="A195" s="1"/>
      <c r="B195" s="1"/>
      <c r="C195" s="1"/>
      <c r="D195" s="1"/>
      <c r="E195" s="1"/>
      <c r="F195" s="1"/>
      <c r="G195" s="1"/>
      <c r="H195" s="1"/>
      <c r="I195" s="1"/>
      <c r="J195" s="1"/>
      <c r="K195" s="18"/>
      <c r="L195" s="28"/>
      <c r="M195" s="44"/>
      <c r="N195" s="5"/>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row>
    <row r="196" spans="1:52" s="4" customFormat="1" ht="11.25" x14ac:dyDescent="0.2">
      <c r="A196" s="1"/>
      <c r="B196" s="1"/>
      <c r="C196" s="1"/>
      <c r="D196" s="1"/>
      <c r="E196" s="1"/>
      <c r="F196" s="1"/>
      <c r="G196" s="1"/>
      <c r="H196" s="1"/>
      <c r="I196" s="1"/>
      <c r="J196" s="1"/>
      <c r="K196" s="18"/>
      <c r="L196" s="28"/>
      <c r="M196" s="44"/>
      <c r="N196" s="5"/>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row>
    <row r="197" spans="1:52" s="4" customFormat="1" ht="11.25" x14ac:dyDescent="0.2">
      <c r="A197" s="1"/>
      <c r="B197" s="1"/>
      <c r="C197" s="1"/>
      <c r="D197" s="1"/>
      <c r="E197" s="1"/>
      <c r="F197" s="1"/>
      <c r="G197" s="1"/>
      <c r="H197" s="1"/>
      <c r="I197" s="1"/>
      <c r="J197" s="1"/>
      <c r="K197" s="18"/>
      <c r="L197" s="28"/>
      <c r="M197" s="44"/>
      <c r="N197" s="5"/>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row>
    <row r="198" spans="1:52" s="4" customFormat="1" ht="11.25" x14ac:dyDescent="0.2">
      <c r="A198" s="1"/>
      <c r="B198" s="1"/>
      <c r="C198" s="1"/>
      <c r="D198" s="1"/>
      <c r="E198" s="1"/>
      <c r="F198" s="1"/>
      <c r="G198" s="1"/>
      <c r="H198" s="1"/>
      <c r="I198" s="1"/>
      <c r="J198" s="1"/>
      <c r="K198" s="18"/>
      <c r="L198" s="28"/>
      <c r="M198" s="44"/>
      <c r="N198" s="5"/>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row>
    <row r="199" spans="1:52" s="4" customFormat="1" ht="11.25" x14ac:dyDescent="0.2">
      <c r="A199" s="1"/>
      <c r="B199" s="1"/>
      <c r="C199" s="1"/>
      <c r="D199" s="1"/>
      <c r="E199" s="1"/>
      <c r="F199" s="1"/>
      <c r="G199" s="1"/>
      <c r="H199" s="1"/>
      <c r="I199" s="1"/>
      <c r="J199" s="1"/>
      <c r="K199" s="18"/>
      <c r="L199" s="28"/>
      <c r="M199" s="44"/>
      <c r="N199" s="5"/>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row>
    <row r="200" spans="1:52" s="4" customFormat="1" ht="11.25" x14ac:dyDescent="0.2">
      <c r="A200" s="1"/>
      <c r="B200" s="1"/>
      <c r="C200" s="1"/>
      <c r="D200" s="1"/>
      <c r="E200" s="1"/>
      <c r="F200" s="1"/>
      <c r="G200" s="1"/>
      <c r="H200" s="1"/>
      <c r="I200" s="1"/>
      <c r="J200" s="1"/>
      <c r="K200" s="18"/>
      <c r="L200" s="28"/>
      <c r="M200" s="44"/>
      <c r="N200" s="5"/>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row>
    <row r="201" spans="1:52" s="4" customFormat="1" ht="11.25" x14ac:dyDescent="0.2">
      <c r="A201" s="1"/>
      <c r="B201" s="1"/>
      <c r="C201" s="1"/>
      <c r="D201" s="1"/>
      <c r="E201" s="1"/>
      <c r="F201" s="1"/>
      <c r="G201" s="1"/>
      <c r="H201" s="1"/>
      <c r="I201" s="1"/>
      <c r="J201" s="1"/>
      <c r="K201" s="18"/>
      <c r="L201" s="28"/>
      <c r="M201" s="44"/>
      <c r="N201" s="5"/>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row>
    <row r="202" spans="1:52" s="4" customFormat="1" ht="11.25" x14ac:dyDescent="0.2">
      <c r="A202" s="1"/>
      <c r="B202" s="1"/>
      <c r="C202" s="1"/>
      <c r="D202" s="1"/>
      <c r="E202" s="1"/>
      <c r="F202" s="1"/>
      <c r="G202" s="1"/>
      <c r="H202" s="1"/>
      <c r="I202" s="1"/>
      <c r="J202" s="1"/>
      <c r="K202" s="18"/>
      <c r="L202" s="28"/>
      <c r="M202" s="44"/>
      <c r="N202" s="5"/>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row>
    <row r="203" spans="1:52" s="4" customFormat="1" ht="11.25" x14ac:dyDescent="0.2">
      <c r="A203" s="1"/>
      <c r="B203" s="1"/>
      <c r="C203" s="1"/>
      <c r="D203" s="1"/>
      <c r="E203" s="1"/>
      <c r="F203" s="1"/>
      <c r="G203" s="1"/>
      <c r="H203" s="1"/>
      <c r="I203" s="1"/>
      <c r="J203" s="1"/>
      <c r="K203" s="18"/>
      <c r="L203" s="28"/>
      <c r="M203" s="44"/>
      <c r="N203" s="5"/>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row>
    <row r="204" spans="1:52" s="4" customFormat="1" ht="11.25" x14ac:dyDescent="0.2">
      <c r="A204" s="1"/>
      <c r="B204" s="1"/>
      <c r="C204" s="1"/>
      <c r="D204" s="1"/>
      <c r="E204" s="1"/>
      <c r="F204" s="1"/>
      <c r="G204" s="1"/>
      <c r="H204" s="1"/>
      <c r="I204" s="1"/>
      <c r="J204" s="1"/>
      <c r="K204" s="18"/>
      <c r="L204" s="28"/>
      <c r="M204" s="44"/>
      <c r="N204" s="5"/>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row>
    <row r="205" spans="1:52" s="4" customFormat="1" ht="11.25" x14ac:dyDescent="0.2">
      <c r="A205" s="1"/>
      <c r="B205" s="1"/>
      <c r="C205" s="1"/>
      <c r="D205" s="1"/>
      <c r="E205" s="1"/>
      <c r="F205" s="1"/>
      <c r="G205" s="1"/>
      <c r="H205" s="1"/>
      <c r="I205" s="1"/>
      <c r="J205" s="1"/>
      <c r="K205" s="18"/>
      <c r="L205" s="28"/>
      <c r="M205" s="44"/>
      <c r="N205" s="5"/>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row>
    <row r="206" spans="1:52" s="4" customFormat="1" ht="11.25" x14ac:dyDescent="0.2">
      <c r="A206" s="1"/>
      <c r="B206" s="1"/>
      <c r="C206" s="1"/>
      <c r="D206" s="1"/>
      <c r="E206" s="1"/>
      <c r="F206" s="1"/>
      <c r="G206" s="1"/>
      <c r="H206" s="1"/>
      <c r="I206" s="1"/>
      <c r="J206" s="1"/>
      <c r="K206" s="18"/>
      <c r="L206" s="28"/>
      <c r="M206" s="44"/>
      <c r="N206" s="5"/>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row>
    <row r="207" spans="1:52" s="4" customFormat="1" ht="11.25" x14ac:dyDescent="0.2">
      <c r="A207" s="1"/>
      <c r="B207" s="1"/>
      <c r="C207" s="1"/>
      <c r="D207" s="1"/>
      <c r="E207" s="1"/>
      <c r="F207" s="1"/>
      <c r="G207" s="1"/>
      <c r="H207" s="1"/>
      <c r="I207" s="1"/>
      <c r="J207" s="1"/>
      <c r="K207" s="18"/>
      <c r="L207" s="28"/>
      <c r="M207" s="44"/>
      <c r="N207" s="5"/>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row>
    <row r="208" spans="1:52" s="4" customFormat="1" ht="11.25" x14ac:dyDescent="0.2">
      <c r="A208" s="1"/>
      <c r="B208" s="1"/>
      <c r="C208" s="1"/>
      <c r="D208" s="1"/>
      <c r="E208" s="1"/>
      <c r="F208" s="1"/>
      <c r="G208" s="1"/>
      <c r="H208" s="1"/>
      <c r="I208" s="1"/>
      <c r="J208" s="1"/>
      <c r="K208" s="18"/>
      <c r="L208" s="28"/>
      <c r="M208" s="44"/>
      <c r="N208" s="5"/>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row>
    <row r="209" spans="1:52" s="4" customFormat="1" ht="11.25" x14ac:dyDescent="0.2">
      <c r="A209" s="1"/>
      <c r="B209" s="1"/>
      <c r="C209" s="1"/>
      <c r="D209" s="1"/>
      <c r="E209" s="1"/>
      <c r="F209" s="1"/>
      <c r="G209" s="1"/>
      <c r="H209" s="1"/>
      <c r="I209" s="1"/>
      <c r="J209" s="1"/>
      <c r="K209" s="18"/>
      <c r="L209" s="28"/>
      <c r="M209" s="44"/>
      <c r="N209" s="5"/>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row>
    <row r="210" spans="1:52" s="4" customFormat="1" ht="11.25" x14ac:dyDescent="0.2">
      <c r="A210" s="1"/>
      <c r="B210" s="1"/>
      <c r="C210" s="1"/>
      <c r="D210" s="1"/>
      <c r="E210" s="1"/>
      <c r="F210" s="1"/>
      <c r="G210" s="1"/>
      <c r="H210" s="1"/>
      <c r="I210" s="1"/>
      <c r="J210" s="1"/>
      <c r="K210" s="18"/>
      <c r="L210" s="28"/>
      <c r="M210" s="44"/>
      <c r="N210" s="5"/>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row>
    <row r="211" spans="1:52" s="4" customFormat="1" ht="11.25" x14ac:dyDescent="0.2">
      <c r="A211" s="1"/>
      <c r="B211" s="1"/>
      <c r="C211" s="1"/>
      <c r="D211" s="1"/>
      <c r="E211" s="1"/>
      <c r="F211" s="1"/>
      <c r="G211" s="1"/>
      <c r="H211" s="1"/>
      <c r="I211" s="1"/>
      <c r="J211" s="1"/>
      <c r="K211" s="18"/>
      <c r="L211" s="28"/>
      <c r="M211" s="44"/>
      <c r="N211" s="5"/>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row>
    <row r="212" spans="1:52" s="4" customFormat="1" ht="11.25" x14ac:dyDescent="0.2">
      <c r="A212" s="1"/>
      <c r="B212" s="1"/>
      <c r="C212" s="1"/>
      <c r="D212" s="1"/>
      <c r="E212" s="1"/>
      <c r="F212" s="1"/>
      <c r="G212" s="1"/>
      <c r="H212" s="1"/>
      <c r="I212" s="1"/>
      <c r="J212" s="1"/>
      <c r="K212" s="18"/>
      <c r="L212" s="28"/>
      <c r="M212" s="44"/>
      <c r="N212" s="5"/>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row>
    <row r="213" spans="1:52" s="4" customFormat="1" ht="11.25" x14ac:dyDescent="0.2">
      <c r="A213" s="1"/>
      <c r="B213" s="1"/>
      <c r="C213" s="1"/>
      <c r="D213" s="1"/>
      <c r="E213" s="1"/>
      <c r="F213" s="1"/>
      <c r="G213" s="1"/>
      <c r="H213" s="1"/>
      <c r="I213" s="1"/>
      <c r="J213" s="1"/>
      <c r="K213" s="18"/>
      <c r="L213" s="28"/>
      <c r="M213" s="44"/>
      <c r="N213" s="5"/>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row>
    <row r="214" spans="1:52" s="4" customFormat="1" ht="11.25" x14ac:dyDescent="0.2">
      <c r="A214" s="1"/>
      <c r="B214" s="1"/>
      <c r="C214" s="1"/>
      <c r="D214" s="1"/>
      <c r="E214" s="1"/>
      <c r="F214" s="1"/>
      <c r="G214" s="1"/>
      <c r="H214" s="1"/>
      <c r="I214" s="1"/>
      <c r="J214" s="1"/>
      <c r="K214" s="18"/>
      <c r="L214" s="28"/>
      <c r="M214" s="44"/>
      <c r="N214" s="5"/>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row>
    <row r="215" spans="1:52" s="4" customFormat="1" ht="11.25" x14ac:dyDescent="0.2">
      <c r="A215" s="1"/>
      <c r="B215" s="1"/>
      <c r="C215" s="1"/>
      <c r="D215" s="1"/>
      <c r="E215" s="1"/>
      <c r="F215" s="1"/>
      <c r="G215" s="1"/>
      <c r="H215" s="1"/>
      <c r="I215" s="1"/>
      <c r="J215" s="1"/>
      <c r="K215" s="18"/>
      <c r="L215" s="28"/>
      <c r="M215" s="44"/>
      <c r="N215" s="5"/>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row>
    <row r="216" spans="1:52" s="4" customFormat="1" ht="11.25" x14ac:dyDescent="0.2">
      <c r="A216" s="1"/>
      <c r="B216" s="1"/>
      <c r="C216" s="1"/>
      <c r="D216" s="1"/>
      <c r="E216" s="1"/>
      <c r="F216" s="1"/>
      <c r="G216" s="1"/>
      <c r="H216" s="1"/>
      <c r="I216" s="1"/>
      <c r="J216" s="1"/>
      <c r="K216" s="18"/>
      <c r="L216" s="28"/>
      <c r="M216" s="44"/>
      <c r="N216" s="5"/>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row>
    <row r="217" spans="1:52" s="4" customFormat="1" ht="11.25" x14ac:dyDescent="0.2">
      <c r="A217" s="1"/>
      <c r="B217" s="1"/>
      <c r="C217" s="1"/>
      <c r="D217" s="1"/>
      <c r="E217" s="1"/>
      <c r="F217" s="1"/>
      <c r="G217" s="1"/>
      <c r="H217" s="1"/>
      <c r="I217" s="1"/>
      <c r="J217" s="1"/>
      <c r="K217" s="18"/>
      <c r="L217" s="28"/>
      <c r="M217" s="44"/>
      <c r="N217" s="5"/>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row>
    <row r="218" spans="1:52" s="4" customFormat="1" ht="11.25" x14ac:dyDescent="0.2">
      <c r="A218" s="1"/>
      <c r="B218" s="1"/>
      <c r="C218" s="1"/>
      <c r="D218" s="1"/>
      <c r="E218" s="1"/>
      <c r="F218" s="1"/>
      <c r="G218" s="1"/>
      <c r="H218" s="1"/>
      <c r="I218" s="1"/>
      <c r="J218" s="1"/>
      <c r="K218" s="18"/>
      <c r="L218" s="28"/>
      <c r="M218" s="44"/>
      <c r="N218" s="5"/>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row>
    <row r="219" spans="1:52" s="4" customFormat="1" ht="11.25" x14ac:dyDescent="0.2">
      <c r="A219" s="1"/>
      <c r="B219" s="1"/>
      <c r="C219" s="1"/>
      <c r="D219" s="1"/>
      <c r="E219" s="1"/>
      <c r="F219" s="1"/>
      <c r="G219" s="1"/>
      <c r="H219" s="1"/>
      <c r="I219" s="1"/>
      <c r="J219" s="1"/>
      <c r="K219" s="18"/>
      <c r="L219" s="28"/>
      <c r="M219" s="44"/>
      <c r="N219" s="5"/>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row>
    <row r="220" spans="1:52" s="4" customFormat="1" ht="11.25" x14ac:dyDescent="0.2">
      <c r="A220" s="1"/>
      <c r="B220" s="1"/>
      <c r="C220" s="1"/>
      <c r="D220" s="1"/>
      <c r="E220" s="1"/>
      <c r="F220" s="1"/>
      <c r="G220" s="1"/>
      <c r="H220" s="1"/>
      <c r="I220" s="1"/>
      <c r="J220" s="1"/>
      <c r="K220" s="18"/>
      <c r="L220" s="28"/>
      <c r="M220" s="44"/>
      <c r="N220" s="5"/>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row>
    <row r="221" spans="1:52" s="4" customFormat="1" ht="11.25" x14ac:dyDescent="0.2">
      <c r="A221" s="1"/>
      <c r="B221" s="1"/>
      <c r="C221" s="1"/>
      <c r="D221" s="1"/>
      <c r="E221" s="1"/>
      <c r="F221" s="1"/>
      <c r="G221" s="1"/>
      <c r="H221" s="1"/>
      <c r="I221" s="1"/>
      <c r="J221" s="1"/>
      <c r="K221" s="18"/>
      <c r="L221" s="28"/>
      <c r="M221" s="44"/>
      <c r="N221" s="5"/>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row>
    <row r="222" spans="1:52" s="4" customFormat="1" ht="11.25" x14ac:dyDescent="0.2">
      <c r="A222" s="1"/>
      <c r="B222" s="1"/>
      <c r="C222" s="1"/>
      <c r="D222" s="1"/>
      <c r="E222" s="1"/>
      <c r="F222" s="1"/>
      <c r="G222" s="1"/>
      <c r="H222" s="1"/>
      <c r="I222" s="1"/>
      <c r="J222" s="1"/>
      <c r="K222" s="18"/>
      <c r="L222" s="28"/>
      <c r="M222" s="44"/>
      <c r="N222" s="5"/>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row>
    <row r="223" spans="1:52" s="4" customFormat="1" ht="11.25" x14ac:dyDescent="0.2">
      <c r="A223" s="1"/>
      <c r="B223" s="1"/>
      <c r="C223" s="1"/>
      <c r="D223" s="1"/>
      <c r="E223" s="1"/>
      <c r="F223" s="1"/>
      <c r="G223" s="1"/>
      <c r="H223" s="1"/>
      <c r="I223" s="1"/>
      <c r="J223" s="1"/>
      <c r="K223" s="18"/>
      <c r="L223" s="28"/>
      <c r="M223" s="44"/>
      <c r="N223" s="5"/>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row>
    <row r="224" spans="1:52" s="4" customFormat="1" ht="11.25" x14ac:dyDescent="0.2">
      <c r="A224" s="1"/>
      <c r="B224" s="1"/>
      <c r="C224" s="1"/>
      <c r="D224" s="1"/>
      <c r="E224" s="1"/>
      <c r="F224" s="1"/>
      <c r="G224" s="1"/>
      <c r="H224" s="1"/>
      <c r="I224" s="1"/>
      <c r="J224" s="1"/>
      <c r="K224" s="18"/>
      <c r="L224" s="28"/>
      <c r="M224" s="44"/>
      <c r="N224" s="5"/>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row>
    <row r="225" spans="1:52" s="4" customFormat="1" ht="11.25" x14ac:dyDescent="0.2">
      <c r="A225" s="1"/>
      <c r="B225" s="1"/>
      <c r="C225" s="1"/>
      <c r="D225" s="1"/>
      <c r="E225" s="1"/>
      <c r="F225" s="1"/>
      <c r="G225" s="1"/>
      <c r="H225" s="1"/>
      <c r="I225" s="1"/>
      <c r="J225" s="1"/>
      <c r="K225" s="18"/>
      <c r="L225" s="28"/>
      <c r="M225" s="44"/>
      <c r="N225" s="5"/>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row>
    <row r="226" spans="1:52" s="4" customFormat="1" ht="11.25" x14ac:dyDescent="0.2">
      <c r="A226" s="1"/>
      <c r="B226" s="1"/>
      <c r="C226" s="1"/>
      <c r="D226" s="1"/>
      <c r="E226" s="1"/>
      <c r="F226" s="1"/>
      <c r="G226" s="1"/>
      <c r="H226" s="1"/>
      <c r="I226" s="1"/>
      <c r="J226" s="1"/>
      <c r="K226" s="18"/>
      <c r="L226" s="28"/>
      <c r="M226" s="44"/>
      <c r="N226" s="5"/>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row>
    <row r="227" spans="1:52" s="4" customFormat="1" ht="11.25" x14ac:dyDescent="0.2">
      <c r="A227" s="1"/>
      <c r="B227" s="1"/>
      <c r="C227" s="1"/>
      <c r="D227" s="1"/>
      <c r="E227" s="1"/>
      <c r="F227" s="1"/>
      <c r="G227" s="1"/>
      <c r="H227" s="1"/>
      <c r="I227" s="1"/>
      <c r="J227" s="1"/>
      <c r="K227" s="18"/>
      <c r="L227" s="28"/>
      <c r="M227" s="44"/>
      <c r="N227" s="5"/>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row>
  </sheetData>
  <phoneticPr fontId="1" type="noConversion"/>
  <pageMargins left="0.45" right="0.45" top="0.5" bottom="0.5" header="0.3" footer="0.3"/>
  <pageSetup paperSize="5" fitToHeight="0" orientation="landscape"/>
  <headerFooter alignWithMargins="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8"/>
  <sheetViews>
    <sheetView zoomScale="125" zoomScaleNormal="125" zoomScalePageLayoutView="125" workbookViewId="0">
      <selection activeCell="B30" sqref="B30"/>
    </sheetView>
  </sheetViews>
  <sheetFormatPr defaultColWidth="8.85546875" defaultRowHeight="12.75" x14ac:dyDescent="0.2"/>
  <cols>
    <col min="1" max="1" width="11.28515625" style="59" customWidth="1"/>
    <col min="2" max="2" width="8" style="59" customWidth="1"/>
    <col min="3" max="3" width="15.85546875" style="59" customWidth="1"/>
    <col min="4" max="4" width="8" style="59" customWidth="1"/>
    <col min="5" max="6" width="8.85546875" style="59"/>
    <col min="7" max="8" width="7.42578125" style="59" customWidth="1"/>
    <col min="9" max="9" width="5.7109375" style="59" customWidth="1"/>
    <col min="10" max="10" width="8.85546875" style="59"/>
    <col min="11" max="11" width="8.42578125" style="59" customWidth="1"/>
    <col min="12" max="12" width="8.85546875" style="59"/>
    <col min="13" max="13" width="10.42578125" style="60" customWidth="1"/>
    <col min="14" max="14" width="12.42578125" style="56" customWidth="1"/>
    <col min="15" max="15" width="28.28515625" style="59" customWidth="1"/>
    <col min="16" max="16" width="11" style="1" hidden="1" customWidth="1"/>
    <col min="17" max="17" width="16.140625" style="47" customWidth="1"/>
  </cols>
  <sheetData>
    <row r="1" spans="1:17" s="4" customFormat="1" ht="11.25" x14ac:dyDescent="0.2">
      <c r="A1" s="59"/>
      <c r="B1" s="59"/>
      <c r="C1" s="59"/>
      <c r="D1" s="59"/>
      <c r="E1" s="59"/>
      <c r="F1" s="59"/>
      <c r="G1" s="59"/>
      <c r="H1" s="59"/>
      <c r="I1" s="58" t="s">
        <v>30</v>
      </c>
      <c r="J1" s="59"/>
      <c r="K1" s="59"/>
      <c r="L1" s="59"/>
      <c r="M1" s="60"/>
      <c r="N1" s="56"/>
      <c r="O1" s="59"/>
      <c r="P1" s="1"/>
      <c r="Q1" s="47"/>
    </row>
    <row r="2" spans="1:17" s="4" customFormat="1" ht="11.25" x14ac:dyDescent="0.2">
      <c r="A2" s="59"/>
      <c r="B2" s="59"/>
      <c r="C2" s="59"/>
      <c r="D2" s="59"/>
      <c r="E2" s="59"/>
      <c r="F2" s="59"/>
      <c r="G2" s="59"/>
      <c r="H2" s="59"/>
      <c r="I2" s="2" t="s">
        <v>491</v>
      </c>
      <c r="J2" s="59"/>
      <c r="K2" s="59"/>
      <c r="L2" s="59"/>
      <c r="M2" s="60"/>
      <c r="N2" s="56"/>
      <c r="O2" s="59"/>
      <c r="P2" s="1"/>
      <c r="Q2" s="47"/>
    </row>
    <row r="3" spans="1:17" s="4" customFormat="1" ht="11.25" x14ac:dyDescent="0.2">
      <c r="A3" s="59"/>
      <c r="B3" s="59"/>
      <c r="C3" s="59"/>
      <c r="D3" s="59"/>
      <c r="E3" s="59"/>
      <c r="F3" s="59"/>
      <c r="G3" s="59"/>
      <c r="H3" s="59"/>
      <c r="I3" s="61"/>
      <c r="J3" s="59"/>
      <c r="K3" s="59"/>
      <c r="L3" s="59"/>
      <c r="M3" s="60"/>
      <c r="N3" s="56"/>
      <c r="O3" s="59"/>
      <c r="P3" s="1"/>
      <c r="Q3" s="47"/>
    </row>
    <row r="4" spans="1:17" s="4" customFormat="1" ht="11.25" x14ac:dyDescent="0.2">
      <c r="A4" s="59"/>
      <c r="B4" s="59"/>
      <c r="C4" s="59"/>
      <c r="D4" s="59"/>
      <c r="E4" s="59"/>
      <c r="F4" s="59"/>
      <c r="G4" s="59"/>
      <c r="H4" s="59"/>
      <c r="I4" s="61"/>
      <c r="J4" s="59"/>
      <c r="K4" s="59"/>
      <c r="L4" s="59"/>
      <c r="M4" s="60"/>
      <c r="N4" s="56"/>
      <c r="O4" s="59"/>
      <c r="P4" s="1"/>
      <c r="Q4" s="47"/>
    </row>
    <row r="5" spans="1:17" s="4" customFormat="1" ht="33.75" x14ac:dyDescent="0.2">
      <c r="A5" s="62" t="s">
        <v>10</v>
      </c>
      <c r="B5" s="55"/>
      <c r="C5" s="54" t="s">
        <v>0</v>
      </c>
      <c r="D5" s="54"/>
      <c r="E5" s="54"/>
      <c r="F5" s="55"/>
      <c r="G5" s="54" t="s">
        <v>1</v>
      </c>
      <c r="H5" s="55"/>
      <c r="I5" s="55"/>
      <c r="J5" s="54" t="s">
        <v>2</v>
      </c>
      <c r="K5" s="55"/>
      <c r="L5" s="55"/>
      <c r="M5" s="63" t="s">
        <v>4</v>
      </c>
      <c r="N5" s="87" t="s">
        <v>5</v>
      </c>
      <c r="O5" s="54" t="s">
        <v>26</v>
      </c>
      <c r="P5" s="9" t="s">
        <v>17</v>
      </c>
      <c r="Q5" s="105" t="s">
        <v>35</v>
      </c>
    </row>
    <row r="6" spans="1:17" s="4" customFormat="1" ht="22.5" x14ac:dyDescent="0.2">
      <c r="A6" s="64"/>
      <c r="B6" s="65" t="s">
        <v>11</v>
      </c>
      <c r="C6" s="65" t="s">
        <v>12</v>
      </c>
      <c r="D6" s="65" t="s">
        <v>32</v>
      </c>
      <c r="E6" s="65" t="s">
        <v>33</v>
      </c>
      <c r="F6" s="66" t="s">
        <v>13</v>
      </c>
      <c r="G6" s="65" t="s">
        <v>14</v>
      </c>
      <c r="H6" s="65" t="s">
        <v>15</v>
      </c>
      <c r="I6" s="65" t="s">
        <v>6</v>
      </c>
      <c r="J6" s="65" t="s">
        <v>16</v>
      </c>
      <c r="K6" s="65" t="s">
        <v>8</v>
      </c>
      <c r="L6" s="65" t="s">
        <v>9</v>
      </c>
      <c r="M6" s="67"/>
      <c r="N6" s="88"/>
      <c r="O6" s="68"/>
      <c r="P6" s="8"/>
      <c r="Q6" s="106"/>
    </row>
    <row r="7" spans="1:17" s="16" customFormat="1" ht="11.25" x14ac:dyDescent="0.2">
      <c r="A7" s="69"/>
      <c r="B7" s="69"/>
      <c r="C7" s="69"/>
      <c r="D7" s="69"/>
      <c r="E7" s="69"/>
      <c r="F7" s="69"/>
      <c r="G7" s="69"/>
      <c r="H7" s="69"/>
      <c r="I7" s="69"/>
      <c r="J7" s="69"/>
      <c r="K7" s="69"/>
      <c r="L7" s="69"/>
      <c r="M7" s="70"/>
      <c r="N7" s="89"/>
      <c r="O7" s="69"/>
      <c r="P7" s="51"/>
      <c r="Q7" s="106"/>
    </row>
    <row r="8" spans="1:17" s="91" customFormat="1" x14ac:dyDescent="0.2">
      <c r="A8" s="8" t="s">
        <v>463</v>
      </c>
      <c r="B8" s="8">
        <v>3736</v>
      </c>
      <c r="C8" s="8" t="s">
        <v>464</v>
      </c>
      <c r="D8" s="8" t="s">
        <v>465</v>
      </c>
      <c r="E8" s="8" t="s">
        <v>373</v>
      </c>
      <c r="F8" s="8" t="s">
        <v>466</v>
      </c>
      <c r="G8" s="8"/>
      <c r="H8" s="8"/>
      <c r="I8" s="8">
        <v>13</v>
      </c>
      <c r="J8" s="8">
        <v>7514</v>
      </c>
      <c r="K8" s="8" t="s">
        <v>382</v>
      </c>
      <c r="L8" s="8">
        <v>131119</v>
      </c>
      <c r="M8" s="101">
        <v>4393</v>
      </c>
      <c r="N8" s="100">
        <v>432754</v>
      </c>
      <c r="O8" s="8" t="s">
        <v>370</v>
      </c>
      <c r="P8" s="90"/>
      <c r="Q8" s="107" t="s">
        <v>480</v>
      </c>
    </row>
    <row r="9" spans="1:17" x14ac:dyDescent="0.2">
      <c r="A9" s="8" t="s">
        <v>467</v>
      </c>
      <c r="B9" s="8">
        <v>4500</v>
      </c>
      <c r="C9" s="8" t="s">
        <v>51</v>
      </c>
      <c r="D9" s="8" t="s">
        <v>365</v>
      </c>
      <c r="E9" s="8" t="s">
        <v>359</v>
      </c>
      <c r="F9" s="8" t="s">
        <v>52</v>
      </c>
      <c r="G9" s="8"/>
      <c r="H9" s="8"/>
      <c r="I9" s="8">
        <v>13</v>
      </c>
      <c r="J9" s="8">
        <v>7382</v>
      </c>
      <c r="K9" s="8" t="s">
        <v>361</v>
      </c>
      <c r="L9" s="8">
        <v>131113</v>
      </c>
      <c r="M9" s="101">
        <v>2955</v>
      </c>
      <c r="N9" s="100">
        <v>20000</v>
      </c>
      <c r="O9" s="8" t="s">
        <v>468</v>
      </c>
      <c r="Q9" s="107" t="s">
        <v>481</v>
      </c>
    </row>
    <row r="10" spans="1:17" x14ac:dyDescent="0.2">
      <c r="A10" s="8" t="s">
        <v>467</v>
      </c>
      <c r="B10" s="8">
        <v>7800</v>
      </c>
      <c r="C10" s="8" t="s">
        <v>469</v>
      </c>
      <c r="D10" s="8" t="s">
        <v>375</v>
      </c>
      <c r="E10" s="8" t="s">
        <v>373</v>
      </c>
      <c r="F10" s="8" t="s">
        <v>69</v>
      </c>
      <c r="G10" s="8" t="s">
        <v>67</v>
      </c>
      <c r="H10" s="8" t="s">
        <v>56</v>
      </c>
      <c r="I10" s="8">
        <v>13</v>
      </c>
      <c r="J10" s="8">
        <v>7570</v>
      </c>
      <c r="K10" s="8" t="s">
        <v>382</v>
      </c>
      <c r="L10" s="8">
        <v>131121</v>
      </c>
      <c r="M10" s="101">
        <v>1602</v>
      </c>
      <c r="N10" s="100">
        <v>157813</v>
      </c>
      <c r="O10" s="8" t="s">
        <v>470</v>
      </c>
      <c r="Q10" s="107" t="s">
        <v>481</v>
      </c>
    </row>
    <row r="11" spans="1:17" x14ac:dyDescent="0.2">
      <c r="A11" s="8" t="s">
        <v>467</v>
      </c>
      <c r="B11" s="8">
        <v>7800</v>
      </c>
      <c r="C11" s="8" t="s">
        <v>469</v>
      </c>
      <c r="D11" s="8" t="s">
        <v>375</v>
      </c>
      <c r="E11" s="8" t="s">
        <v>373</v>
      </c>
      <c r="F11" s="8" t="s">
        <v>69</v>
      </c>
      <c r="G11" s="8" t="s">
        <v>67</v>
      </c>
      <c r="H11" s="8" t="s">
        <v>56</v>
      </c>
      <c r="I11" s="8">
        <v>13</v>
      </c>
      <c r="J11" s="8">
        <v>7541</v>
      </c>
      <c r="K11" s="8" t="s">
        <v>361</v>
      </c>
      <c r="L11" s="8">
        <v>131120</v>
      </c>
      <c r="M11" s="101">
        <v>1400</v>
      </c>
      <c r="N11" s="100">
        <v>80000</v>
      </c>
      <c r="O11" s="8" t="s">
        <v>471</v>
      </c>
      <c r="Q11" s="107" t="s">
        <v>481</v>
      </c>
    </row>
    <row r="12" spans="1:17" x14ac:dyDescent="0.2">
      <c r="A12" s="8" t="s">
        <v>467</v>
      </c>
      <c r="B12" s="8">
        <v>1424</v>
      </c>
      <c r="C12" s="8" t="s">
        <v>472</v>
      </c>
      <c r="D12" s="8" t="s">
        <v>358</v>
      </c>
      <c r="E12" s="8" t="s">
        <v>359</v>
      </c>
      <c r="F12" s="8" t="s">
        <v>54</v>
      </c>
      <c r="G12" s="8" t="s">
        <v>55</v>
      </c>
      <c r="H12" s="8">
        <v>17</v>
      </c>
      <c r="I12" s="8">
        <v>13</v>
      </c>
      <c r="J12" s="8">
        <v>7645</v>
      </c>
      <c r="K12" s="8" t="s">
        <v>382</v>
      </c>
      <c r="L12" s="8">
        <v>131126</v>
      </c>
      <c r="M12" s="101">
        <v>50</v>
      </c>
      <c r="N12" s="100">
        <v>7000</v>
      </c>
      <c r="O12" s="8" t="s">
        <v>473</v>
      </c>
      <c r="Q12" s="107" t="s">
        <v>481</v>
      </c>
    </row>
    <row r="13" spans="1:17" x14ac:dyDescent="0.2">
      <c r="A13" s="8" t="s">
        <v>467</v>
      </c>
      <c r="B13" s="8">
        <v>2351</v>
      </c>
      <c r="C13" s="8" t="s">
        <v>474</v>
      </c>
      <c r="D13" s="8" t="s">
        <v>375</v>
      </c>
      <c r="E13" s="8" t="s">
        <v>373</v>
      </c>
      <c r="F13" s="8" t="s">
        <v>475</v>
      </c>
      <c r="G13" s="8"/>
      <c r="H13" s="8"/>
      <c r="I13" s="8">
        <v>13</v>
      </c>
      <c r="J13" s="8">
        <v>7152</v>
      </c>
      <c r="K13" s="8" t="s">
        <v>361</v>
      </c>
      <c r="L13" s="8">
        <v>131101</v>
      </c>
      <c r="M13" s="101">
        <v>2500</v>
      </c>
      <c r="N13" s="100">
        <v>250000</v>
      </c>
      <c r="O13" s="8" t="s">
        <v>476</v>
      </c>
      <c r="Q13" s="107" t="s">
        <v>481</v>
      </c>
    </row>
    <row r="14" spans="1:17" x14ac:dyDescent="0.2">
      <c r="A14" s="8" t="s">
        <v>467</v>
      </c>
      <c r="B14" s="8">
        <v>1751</v>
      </c>
      <c r="C14" s="8" t="s">
        <v>62</v>
      </c>
      <c r="D14" s="8"/>
      <c r="E14" s="8" t="s">
        <v>359</v>
      </c>
      <c r="F14" s="8" t="s">
        <v>68</v>
      </c>
      <c r="G14" s="8"/>
      <c r="H14" s="8"/>
      <c r="I14" s="8">
        <v>13</v>
      </c>
      <c r="J14" s="8">
        <v>7393</v>
      </c>
      <c r="K14" s="8" t="s">
        <v>361</v>
      </c>
      <c r="L14" s="8">
        <v>131113</v>
      </c>
      <c r="M14" s="101">
        <v>1215</v>
      </c>
      <c r="N14" s="100">
        <v>15000</v>
      </c>
      <c r="O14" s="8" t="s">
        <v>477</v>
      </c>
      <c r="Q14" s="107" t="s">
        <v>481</v>
      </c>
    </row>
    <row r="15" spans="1:17" x14ac:dyDescent="0.2">
      <c r="A15" s="8" t="s">
        <v>467</v>
      </c>
      <c r="B15" s="8">
        <v>4100</v>
      </c>
      <c r="C15" s="8" t="s">
        <v>71</v>
      </c>
      <c r="D15" s="8" t="s">
        <v>465</v>
      </c>
      <c r="E15" s="8" t="s">
        <v>359</v>
      </c>
      <c r="F15" s="8" t="s">
        <v>478</v>
      </c>
      <c r="G15" s="8" t="s">
        <v>479</v>
      </c>
      <c r="H15" s="8"/>
      <c r="I15" s="8">
        <v>13</v>
      </c>
      <c r="J15" s="8">
        <v>7198</v>
      </c>
      <c r="K15" s="8" t="s">
        <v>361</v>
      </c>
      <c r="L15" s="8">
        <v>131105</v>
      </c>
      <c r="M15" s="101">
        <v>1272</v>
      </c>
      <c r="N15" s="100">
        <v>15000</v>
      </c>
      <c r="O15" s="8" t="s">
        <v>370</v>
      </c>
      <c r="Q15" s="107" t="s">
        <v>481</v>
      </c>
    </row>
    <row r="16" spans="1:17" x14ac:dyDescent="0.2">
      <c r="A16" s="8" t="s">
        <v>467</v>
      </c>
      <c r="B16" s="8">
        <v>950</v>
      </c>
      <c r="C16" s="8" t="s">
        <v>80</v>
      </c>
      <c r="D16" s="8" t="s">
        <v>465</v>
      </c>
      <c r="E16" s="8" t="s">
        <v>359</v>
      </c>
      <c r="F16" s="8" t="s">
        <v>84</v>
      </c>
      <c r="G16" s="8"/>
      <c r="H16" s="8"/>
      <c r="I16" s="8">
        <v>13</v>
      </c>
      <c r="J16" s="8">
        <v>7261</v>
      </c>
      <c r="K16" s="8" t="s">
        <v>361</v>
      </c>
      <c r="L16" s="8">
        <v>131107</v>
      </c>
      <c r="M16" s="101">
        <v>2220</v>
      </c>
      <c r="N16" s="100">
        <v>45000</v>
      </c>
      <c r="O16" s="8" t="s">
        <v>470</v>
      </c>
      <c r="Q16" s="107" t="s">
        <v>481</v>
      </c>
    </row>
    <row r="18" spans="1:1" x14ac:dyDescent="0.2">
      <c r="A18" s="1" t="s">
        <v>31</v>
      </c>
    </row>
  </sheetData>
  <phoneticPr fontId="1" type="noConversion"/>
  <pageMargins left="0.25" right="0.25" top="0.5" bottom="0.5" header="0.5" footer="0.5"/>
  <pageSetup scale="69" fitToHeight="0" orientation="landscape"/>
  <headerFooter alignWithMargins="0"/>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12"/>
  <sheetViews>
    <sheetView zoomScale="125" zoomScaleNormal="125" zoomScalePageLayoutView="125" workbookViewId="0"/>
  </sheetViews>
  <sheetFormatPr defaultColWidth="8.85546875" defaultRowHeight="12.75" x14ac:dyDescent="0.2"/>
  <cols>
    <col min="1" max="1" width="11.85546875" style="59" customWidth="1"/>
    <col min="2" max="7" width="8.85546875" style="59"/>
    <col min="8" max="8" width="11.140625" style="59" customWidth="1"/>
    <col min="9" max="11" width="8.85546875" style="59"/>
    <col min="12" max="12" width="11.42578125" style="59" customWidth="1"/>
    <col min="13" max="13" width="8.140625" style="59" customWidth="1"/>
    <col min="14" max="15" width="8.85546875" style="71"/>
  </cols>
  <sheetData>
    <row r="1" spans="1:15" s="4" customFormat="1" ht="11.25" x14ac:dyDescent="0.2">
      <c r="A1" s="82"/>
      <c r="B1" s="82"/>
      <c r="C1" s="82"/>
      <c r="D1" s="82"/>
      <c r="E1" s="82"/>
      <c r="F1" s="82"/>
      <c r="G1" s="82"/>
      <c r="H1" s="82"/>
      <c r="I1" s="82"/>
      <c r="J1" s="82"/>
      <c r="K1" s="82"/>
      <c r="L1" s="82"/>
      <c r="M1" s="82"/>
      <c r="N1" s="71"/>
      <c r="O1" s="71"/>
    </row>
    <row r="2" spans="1:15" s="4" customFormat="1" ht="11.25" x14ac:dyDescent="0.2">
      <c r="A2" s="59"/>
      <c r="B2" s="59"/>
      <c r="C2" s="59"/>
      <c r="D2" s="59"/>
      <c r="E2" s="59"/>
      <c r="F2" s="59"/>
      <c r="G2" s="59"/>
      <c r="H2" s="59"/>
      <c r="I2" s="59"/>
      <c r="J2" s="59"/>
      <c r="K2" s="57" t="s">
        <v>31</v>
      </c>
      <c r="L2" s="56" t="s">
        <v>31</v>
      </c>
      <c r="M2" s="59"/>
      <c r="N2" s="71"/>
      <c r="O2" s="71"/>
    </row>
    <row r="3" spans="1:15" s="4" customFormat="1" ht="11.25" x14ac:dyDescent="0.2">
      <c r="A3" s="57" t="s">
        <v>31</v>
      </c>
      <c r="B3" s="59" t="s">
        <v>31</v>
      </c>
      <c r="C3" s="59" t="s">
        <v>31</v>
      </c>
      <c r="D3" s="59"/>
      <c r="E3" s="59"/>
      <c r="F3" s="59"/>
      <c r="G3" s="59"/>
      <c r="H3" s="59"/>
      <c r="I3" s="59"/>
      <c r="J3" s="59"/>
      <c r="K3" s="59"/>
      <c r="L3" s="59" t="s">
        <v>31</v>
      </c>
      <c r="M3" s="59"/>
      <c r="N3" s="71"/>
      <c r="O3" s="71"/>
    </row>
    <row r="4" spans="1:15" x14ac:dyDescent="0.2">
      <c r="D4" s="58" t="s">
        <v>30</v>
      </c>
    </row>
    <row r="5" spans="1:15" x14ac:dyDescent="0.2">
      <c r="D5" s="2" t="s">
        <v>492</v>
      </c>
    </row>
    <row r="7" spans="1:15" ht="33.75" x14ac:dyDescent="0.2">
      <c r="A7" s="62" t="s">
        <v>10</v>
      </c>
      <c r="B7" s="110" t="s">
        <v>0</v>
      </c>
      <c r="C7" s="111"/>
      <c r="D7" s="111"/>
      <c r="E7" s="112"/>
      <c r="F7" s="110" t="s">
        <v>37</v>
      </c>
      <c r="G7" s="111"/>
      <c r="H7" s="112"/>
      <c r="I7" s="113" t="s">
        <v>38</v>
      </c>
      <c r="J7" s="114"/>
      <c r="K7" s="72" t="s">
        <v>8</v>
      </c>
      <c r="L7" s="72" t="s">
        <v>9</v>
      </c>
      <c r="M7" s="62" t="s">
        <v>4</v>
      </c>
      <c r="N7" s="54" t="s">
        <v>5</v>
      </c>
      <c r="O7" s="62" t="s">
        <v>29</v>
      </c>
    </row>
    <row r="8" spans="1:15" ht="22.5" x14ac:dyDescent="0.2">
      <c r="A8" s="64"/>
      <c r="B8" s="65" t="s">
        <v>11</v>
      </c>
      <c r="C8" s="65" t="s">
        <v>12</v>
      </c>
      <c r="D8" s="73" t="s">
        <v>32</v>
      </c>
      <c r="E8" s="73" t="s">
        <v>39</v>
      </c>
      <c r="F8" s="66" t="s">
        <v>13</v>
      </c>
      <c r="G8" s="65" t="s">
        <v>14</v>
      </c>
      <c r="H8" s="65" t="s">
        <v>15</v>
      </c>
      <c r="I8" s="65" t="s">
        <v>6</v>
      </c>
      <c r="J8" s="65" t="s">
        <v>16</v>
      </c>
      <c r="K8" s="74"/>
      <c r="L8" s="74"/>
      <c r="M8" s="68"/>
      <c r="N8" s="74"/>
      <c r="O8" s="74"/>
    </row>
    <row r="9" spans="1:15" x14ac:dyDescent="0.2">
      <c r="A9" s="75"/>
      <c r="B9" s="76"/>
      <c r="C9" s="76"/>
      <c r="D9" s="77"/>
      <c r="E9" s="76"/>
      <c r="F9" s="76"/>
      <c r="G9" s="76"/>
      <c r="H9" s="76"/>
      <c r="I9" s="76"/>
      <c r="J9" s="76"/>
      <c r="K9" s="78"/>
      <c r="L9" s="78"/>
      <c r="M9" s="79"/>
      <c r="N9" s="80"/>
      <c r="O9" s="81"/>
    </row>
    <row r="11" spans="1:15" ht="13.5" thickBot="1" x14ac:dyDescent="0.25"/>
    <row r="12" spans="1:15" ht="13.5" thickBot="1" x14ac:dyDescent="0.25">
      <c r="D12" s="83" t="s">
        <v>40</v>
      </c>
      <c r="E12" s="84" t="s">
        <v>41</v>
      </c>
      <c r="F12" s="84" t="s">
        <v>482</v>
      </c>
      <c r="G12" s="85">
        <v>2013</v>
      </c>
    </row>
  </sheetData>
  <mergeCells count="3">
    <mergeCell ref="B7:E7"/>
    <mergeCell ref="F7:H7"/>
    <mergeCell ref="I7:J7"/>
  </mergeCells>
  <phoneticPr fontId="1" type="noConversion"/>
  <pageMargins left="0.5" right="0.5" top="0.5" bottom="0.5" header="0.5" footer="0.5"/>
  <pageSetup scale="85" fitToHeight="0" orientation="landscape"/>
  <headerFooter alignWithMargins="0"/>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332"/>
  <sheetViews>
    <sheetView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30</v>
      </c>
      <c r="F1" s="1"/>
      <c r="G1" s="1"/>
      <c r="H1" s="1"/>
      <c r="I1" s="1"/>
      <c r="J1" s="16"/>
    </row>
    <row r="2" spans="1:744" s="4" customFormat="1" ht="11.25" x14ac:dyDescent="0.2">
      <c r="A2" s="1"/>
      <c r="B2" s="1"/>
      <c r="C2" s="1"/>
      <c r="D2" s="2"/>
      <c r="E2" s="6" t="s">
        <v>493</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6" t="s">
        <v>31</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108" t="s">
        <v>34</v>
      </c>
      <c r="B7" s="50"/>
      <c r="C7" s="50"/>
      <c r="D7" s="50"/>
      <c r="E7" s="50"/>
      <c r="F7" s="50"/>
      <c r="G7" s="50"/>
      <c r="H7" s="50"/>
      <c r="I7" s="50"/>
      <c r="J7" s="22"/>
    </row>
    <row r="8" spans="1:744" s="4" customFormat="1" ht="11.25" x14ac:dyDescent="0.2">
      <c r="A8" s="8" t="s">
        <v>50</v>
      </c>
      <c r="B8" s="8">
        <v>4529</v>
      </c>
      <c r="C8" s="8" t="s">
        <v>51</v>
      </c>
      <c r="D8" s="8" t="s">
        <v>52</v>
      </c>
      <c r="E8" s="8"/>
      <c r="F8" s="8"/>
      <c r="G8" s="8">
        <v>13</v>
      </c>
      <c r="H8" s="8">
        <v>7238</v>
      </c>
      <c r="I8" s="8">
        <v>131106</v>
      </c>
      <c r="J8" s="16"/>
    </row>
    <row r="9" spans="1:744" s="4" customFormat="1" ht="11.25" x14ac:dyDescent="0.2">
      <c r="A9" s="8" t="s">
        <v>50</v>
      </c>
      <c r="B9" s="8">
        <v>1530</v>
      </c>
      <c r="C9" s="8" t="s">
        <v>53</v>
      </c>
      <c r="D9" s="8" t="s">
        <v>54</v>
      </c>
      <c r="E9" s="8" t="s">
        <v>55</v>
      </c>
      <c r="F9" s="8" t="s">
        <v>56</v>
      </c>
      <c r="G9" s="8">
        <v>13</v>
      </c>
      <c r="H9" s="8">
        <v>7257</v>
      </c>
      <c r="I9" s="8">
        <v>131107</v>
      </c>
      <c r="J9" s="16"/>
    </row>
    <row r="10" spans="1:744" s="4" customFormat="1" ht="11.25" x14ac:dyDescent="0.2">
      <c r="A10" s="8" t="s">
        <v>50</v>
      </c>
      <c r="B10" s="8">
        <v>2240</v>
      </c>
      <c r="C10" s="8" t="s">
        <v>57</v>
      </c>
      <c r="D10" s="8" t="s">
        <v>58</v>
      </c>
      <c r="E10" s="8"/>
      <c r="F10" s="8"/>
      <c r="G10" s="8">
        <v>13</v>
      </c>
      <c r="H10" s="8">
        <v>7245</v>
      </c>
      <c r="I10" s="8">
        <v>131106</v>
      </c>
      <c r="J10" s="16"/>
    </row>
    <row r="11" spans="1:744" s="4" customFormat="1" ht="11.25" x14ac:dyDescent="0.2">
      <c r="A11" s="8" t="s">
        <v>50</v>
      </c>
      <c r="B11" s="8">
        <v>1400</v>
      </c>
      <c r="C11" s="8" t="s">
        <v>59</v>
      </c>
      <c r="D11" s="8" t="s">
        <v>54</v>
      </c>
      <c r="E11" s="8" t="s">
        <v>60</v>
      </c>
      <c r="F11" s="8" t="s">
        <v>61</v>
      </c>
      <c r="G11" s="8">
        <v>13</v>
      </c>
      <c r="H11" s="8">
        <v>7485</v>
      </c>
      <c r="I11" s="8">
        <v>131118</v>
      </c>
      <c r="J11" s="16"/>
    </row>
    <row r="12" spans="1:744" s="4" customFormat="1" ht="11.25" x14ac:dyDescent="0.2">
      <c r="A12" s="8" t="s">
        <v>50</v>
      </c>
      <c r="B12" s="8">
        <v>103</v>
      </c>
      <c r="C12" s="8" t="s">
        <v>62</v>
      </c>
      <c r="D12" s="8" t="s">
        <v>63</v>
      </c>
      <c r="E12" s="8" t="s">
        <v>64</v>
      </c>
      <c r="F12" s="8" t="s">
        <v>56</v>
      </c>
      <c r="G12" s="8">
        <v>13</v>
      </c>
      <c r="H12" s="8">
        <v>7178</v>
      </c>
      <c r="I12" s="8">
        <v>131104</v>
      </c>
      <c r="J12" s="16"/>
    </row>
    <row r="13" spans="1:744" s="4" customFormat="1" ht="11.25" x14ac:dyDescent="0.2">
      <c r="A13" s="8" t="s">
        <v>50</v>
      </c>
      <c r="B13" s="8">
        <v>221</v>
      </c>
      <c r="C13" s="8" t="s">
        <v>62</v>
      </c>
      <c r="D13" s="8" t="s">
        <v>65</v>
      </c>
      <c r="E13" s="8"/>
      <c r="F13" s="8"/>
      <c r="G13" s="8">
        <v>13</v>
      </c>
      <c r="H13" s="8">
        <v>7209</v>
      </c>
      <c r="I13" s="8">
        <v>131105</v>
      </c>
      <c r="J13" s="16"/>
    </row>
    <row r="14" spans="1:744" s="4" customFormat="1" ht="11.25" x14ac:dyDescent="0.2">
      <c r="A14" s="8" t="s">
        <v>50</v>
      </c>
      <c r="B14" s="8">
        <v>409</v>
      </c>
      <c r="C14" s="8" t="s">
        <v>62</v>
      </c>
      <c r="D14" s="8" t="s">
        <v>66</v>
      </c>
      <c r="E14" s="8" t="s">
        <v>67</v>
      </c>
      <c r="F14" s="8">
        <v>2</v>
      </c>
      <c r="G14" s="8">
        <v>13</v>
      </c>
      <c r="H14" s="8">
        <v>7340</v>
      </c>
      <c r="I14" s="8">
        <v>131112</v>
      </c>
      <c r="J14" s="16"/>
    </row>
    <row r="15" spans="1:744" s="4" customFormat="1" ht="11.25" x14ac:dyDescent="0.2">
      <c r="A15" s="8" t="s">
        <v>50</v>
      </c>
      <c r="B15" s="8">
        <v>1751</v>
      </c>
      <c r="C15" s="8" t="s">
        <v>62</v>
      </c>
      <c r="D15" s="8" t="s">
        <v>68</v>
      </c>
      <c r="E15" s="8"/>
      <c r="F15" s="8"/>
      <c r="G15" s="8">
        <v>13</v>
      </c>
      <c r="H15" s="8">
        <v>7499</v>
      </c>
      <c r="I15" s="8">
        <v>131118</v>
      </c>
      <c r="J15" s="16"/>
    </row>
    <row r="16" spans="1:744" s="4" customFormat="1" ht="11.25" x14ac:dyDescent="0.2">
      <c r="A16" s="8" t="s">
        <v>50</v>
      </c>
      <c r="B16" s="8">
        <v>3777</v>
      </c>
      <c r="C16" s="8" t="s">
        <v>62</v>
      </c>
      <c r="D16" s="8" t="s">
        <v>69</v>
      </c>
      <c r="E16" s="8" t="s">
        <v>67</v>
      </c>
      <c r="F16" s="8" t="s">
        <v>70</v>
      </c>
      <c r="G16" s="8">
        <v>13</v>
      </c>
      <c r="H16" s="8">
        <v>7646</v>
      </c>
      <c r="I16" s="8">
        <v>131126</v>
      </c>
      <c r="J16" s="16"/>
    </row>
    <row r="17" spans="1:10" s="4" customFormat="1" ht="11.25" x14ac:dyDescent="0.2">
      <c r="A17" s="8" t="s">
        <v>50</v>
      </c>
      <c r="B17" s="8">
        <v>2018</v>
      </c>
      <c r="C17" s="8" t="s">
        <v>71</v>
      </c>
      <c r="D17" s="8" t="s">
        <v>72</v>
      </c>
      <c r="E17" s="8" t="s">
        <v>55</v>
      </c>
      <c r="F17" s="8">
        <v>10</v>
      </c>
      <c r="G17" s="8">
        <v>13</v>
      </c>
      <c r="H17" s="8">
        <v>7260</v>
      </c>
      <c r="I17" s="8">
        <v>131107</v>
      </c>
      <c r="J17" s="16"/>
    </row>
    <row r="18" spans="1:10" s="4" customFormat="1" ht="11.25" x14ac:dyDescent="0.2">
      <c r="A18" s="8" t="s">
        <v>50</v>
      </c>
      <c r="B18" s="8">
        <v>2345</v>
      </c>
      <c r="C18" s="8" t="s">
        <v>71</v>
      </c>
      <c r="D18" s="8" t="s">
        <v>73</v>
      </c>
      <c r="E18" s="8"/>
      <c r="F18" s="8"/>
      <c r="G18" s="8">
        <v>13</v>
      </c>
      <c r="H18" s="8">
        <v>7372</v>
      </c>
      <c r="I18" s="8">
        <v>131112</v>
      </c>
      <c r="J18" s="16"/>
    </row>
    <row r="19" spans="1:10" s="4" customFormat="1" ht="11.25" x14ac:dyDescent="0.2">
      <c r="A19" s="8" t="s">
        <v>50</v>
      </c>
      <c r="B19" s="8">
        <v>3901</v>
      </c>
      <c r="C19" s="8" t="s">
        <v>71</v>
      </c>
      <c r="D19" s="8" t="s">
        <v>74</v>
      </c>
      <c r="E19" s="8" t="s">
        <v>75</v>
      </c>
      <c r="F19" s="8"/>
      <c r="G19" s="8">
        <v>13</v>
      </c>
      <c r="H19" s="8">
        <v>7373</v>
      </c>
      <c r="I19" s="8">
        <v>131112</v>
      </c>
      <c r="J19" s="16"/>
    </row>
    <row r="20" spans="1:10" s="4" customFormat="1" ht="11.25" x14ac:dyDescent="0.2">
      <c r="A20" s="8" t="s">
        <v>50</v>
      </c>
      <c r="B20" s="8">
        <v>4100</v>
      </c>
      <c r="C20" s="8" t="s">
        <v>71</v>
      </c>
      <c r="D20" s="8" t="s">
        <v>76</v>
      </c>
      <c r="E20" s="8"/>
      <c r="F20" s="8"/>
      <c r="G20" s="8">
        <v>13</v>
      </c>
      <c r="H20" s="8">
        <v>7374</v>
      </c>
      <c r="I20" s="8">
        <v>131112</v>
      </c>
      <c r="J20" s="16"/>
    </row>
    <row r="21" spans="1:10" s="4" customFormat="1" ht="11.25" x14ac:dyDescent="0.2">
      <c r="A21" s="8" t="s">
        <v>50</v>
      </c>
      <c r="B21" s="8">
        <v>2603</v>
      </c>
      <c r="C21" s="8" t="s">
        <v>77</v>
      </c>
      <c r="D21" s="8" t="s">
        <v>78</v>
      </c>
      <c r="E21" s="8">
        <v>2</v>
      </c>
      <c r="F21" s="8" t="s">
        <v>79</v>
      </c>
      <c r="G21" s="8">
        <v>13</v>
      </c>
      <c r="H21" s="8">
        <v>7370</v>
      </c>
      <c r="I21" s="8">
        <v>131112</v>
      </c>
      <c r="J21" s="16"/>
    </row>
    <row r="22" spans="1:10" s="4" customFormat="1" ht="11.25" x14ac:dyDescent="0.2">
      <c r="A22" s="8" t="s">
        <v>50</v>
      </c>
      <c r="B22" s="8">
        <v>373</v>
      </c>
      <c r="C22" s="8" t="s">
        <v>80</v>
      </c>
      <c r="D22" s="8" t="s">
        <v>81</v>
      </c>
      <c r="E22" s="8" t="s">
        <v>82</v>
      </c>
      <c r="F22" s="8" t="s">
        <v>83</v>
      </c>
      <c r="G22" s="8">
        <v>13</v>
      </c>
      <c r="H22" s="8">
        <v>7371</v>
      </c>
      <c r="I22" s="8">
        <v>131112</v>
      </c>
      <c r="J22" s="16"/>
    </row>
    <row r="23" spans="1:10" s="4" customFormat="1" ht="11.25" x14ac:dyDescent="0.2">
      <c r="A23" s="8" t="s">
        <v>50</v>
      </c>
      <c r="B23" s="8">
        <v>950</v>
      </c>
      <c r="C23" s="8" t="s">
        <v>80</v>
      </c>
      <c r="D23" s="8" t="s">
        <v>84</v>
      </c>
      <c r="E23" s="8"/>
      <c r="F23" s="8"/>
      <c r="G23" s="8">
        <v>13</v>
      </c>
      <c r="H23" s="8">
        <v>7605</v>
      </c>
      <c r="I23" s="8">
        <v>131122</v>
      </c>
      <c r="J23" s="16"/>
    </row>
    <row r="24" spans="1:10" s="4" customFormat="1" ht="11.25" x14ac:dyDescent="0.2">
      <c r="A24" s="8" t="s">
        <v>50</v>
      </c>
      <c r="B24" s="8">
        <v>1101</v>
      </c>
      <c r="C24" s="8" t="s">
        <v>80</v>
      </c>
      <c r="D24" s="8" t="s">
        <v>85</v>
      </c>
      <c r="E24" s="8" t="s">
        <v>64</v>
      </c>
      <c r="F24" s="8">
        <v>10</v>
      </c>
      <c r="G24" s="8">
        <v>13</v>
      </c>
      <c r="H24" s="8">
        <v>7578</v>
      </c>
      <c r="I24" s="8">
        <v>131121</v>
      </c>
      <c r="J24" s="16"/>
    </row>
    <row r="25" spans="1:10" s="4" customFormat="1" ht="11.25" x14ac:dyDescent="0.2">
      <c r="A25" s="8" t="s">
        <v>50</v>
      </c>
      <c r="B25" s="8">
        <v>1101</v>
      </c>
      <c r="C25" s="8" t="s">
        <v>86</v>
      </c>
      <c r="D25" s="8" t="s">
        <v>87</v>
      </c>
      <c r="E25" s="8">
        <v>33</v>
      </c>
      <c r="F25" s="8" t="s">
        <v>88</v>
      </c>
      <c r="G25" s="8">
        <v>13</v>
      </c>
      <c r="H25" s="8">
        <v>7256</v>
      </c>
      <c r="I25" s="8">
        <v>131107</v>
      </c>
      <c r="J25" s="16"/>
    </row>
    <row r="26" spans="1:10" s="4" customFormat="1" ht="11.25" x14ac:dyDescent="0.2">
      <c r="A26" s="8" t="s">
        <v>50</v>
      </c>
      <c r="B26" s="8">
        <v>1908</v>
      </c>
      <c r="C26" s="8" t="s">
        <v>89</v>
      </c>
      <c r="D26" s="8"/>
      <c r="E26" s="8"/>
      <c r="F26" s="8"/>
      <c r="G26" s="8">
        <v>13</v>
      </c>
      <c r="H26" s="8">
        <v>7168</v>
      </c>
      <c r="I26" s="8">
        <v>131104</v>
      </c>
      <c r="J26" s="16"/>
    </row>
    <row r="27" spans="1:10" s="4" customFormat="1" ht="11.25" x14ac:dyDescent="0.2">
      <c r="A27" s="8" t="s">
        <v>90</v>
      </c>
      <c r="B27" s="8">
        <v>2940</v>
      </c>
      <c r="C27" s="8" t="s">
        <v>91</v>
      </c>
      <c r="D27" s="8" t="s">
        <v>92</v>
      </c>
      <c r="E27" s="8">
        <v>6</v>
      </c>
      <c r="F27" s="8">
        <v>25</v>
      </c>
      <c r="G27" s="8">
        <v>13</v>
      </c>
      <c r="H27" s="8">
        <v>7416</v>
      </c>
      <c r="I27" s="8">
        <v>131113</v>
      </c>
      <c r="J27" s="16"/>
    </row>
    <row r="28" spans="1:10" s="4" customFormat="1" ht="11.25" x14ac:dyDescent="0.2">
      <c r="A28" s="8" t="s">
        <v>90</v>
      </c>
      <c r="B28" s="8">
        <v>1102</v>
      </c>
      <c r="C28" s="8" t="s">
        <v>93</v>
      </c>
      <c r="D28" s="8" t="s">
        <v>81</v>
      </c>
      <c r="E28" s="8">
        <v>35</v>
      </c>
      <c r="F28" s="8">
        <v>5</v>
      </c>
      <c r="G28" s="8">
        <v>13</v>
      </c>
      <c r="H28" s="8">
        <v>7594</v>
      </c>
      <c r="I28" s="8">
        <v>131122</v>
      </c>
      <c r="J28" s="16"/>
    </row>
    <row r="29" spans="1:10" s="4" customFormat="1" ht="11.25" x14ac:dyDescent="0.2">
      <c r="A29" s="8" t="s">
        <v>90</v>
      </c>
      <c r="B29" s="8">
        <v>1102</v>
      </c>
      <c r="C29" s="8" t="s">
        <v>93</v>
      </c>
      <c r="D29" s="8" t="s">
        <v>81</v>
      </c>
      <c r="E29" s="8">
        <v>35</v>
      </c>
      <c r="F29" s="8">
        <v>5</v>
      </c>
      <c r="G29" s="8">
        <v>13</v>
      </c>
      <c r="H29" s="8">
        <v>7593</v>
      </c>
      <c r="I29" s="8">
        <v>131122</v>
      </c>
      <c r="J29" s="16"/>
    </row>
    <row r="30" spans="1:10" s="4" customFormat="1" ht="11.25" x14ac:dyDescent="0.2">
      <c r="A30" s="8" t="s">
        <v>90</v>
      </c>
      <c r="B30" s="8">
        <v>4845</v>
      </c>
      <c r="C30" s="8" t="s">
        <v>94</v>
      </c>
      <c r="D30" s="8" t="s">
        <v>95</v>
      </c>
      <c r="E30" s="8">
        <v>12</v>
      </c>
      <c r="F30" s="8">
        <v>5</v>
      </c>
      <c r="G30" s="8">
        <v>13</v>
      </c>
      <c r="H30" s="8">
        <v>7205</v>
      </c>
      <c r="I30" s="8">
        <v>131105</v>
      </c>
      <c r="J30" s="16"/>
    </row>
    <row r="31" spans="1:10" s="4" customFormat="1" ht="11.25" x14ac:dyDescent="0.2">
      <c r="A31" s="8" t="s">
        <v>90</v>
      </c>
      <c r="B31" s="8">
        <v>4201</v>
      </c>
      <c r="C31" s="8" t="s">
        <v>96</v>
      </c>
      <c r="D31" s="8" t="s">
        <v>97</v>
      </c>
      <c r="E31" s="8">
        <v>44</v>
      </c>
      <c r="F31" s="8" t="s">
        <v>98</v>
      </c>
      <c r="G31" s="8">
        <v>13</v>
      </c>
      <c r="H31" s="8">
        <v>7434</v>
      </c>
      <c r="I31" s="8">
        <v>131114</v>
      </c>
      <c r="J31" s="16"/>
    </row>
    <row r="32" spans="1:10" s="4" customFormat="1" ht="11.25" x14ac:dyDescent="0.2">
      <c r="A32" s="8" t="s">
        <v>90</v>
      </c>
      <c r="B32" s="8">
        <v>81</v>
      </c>
      <c r="C32" s="8" t="s">
        <v>99</v>
      </c>
      <c r="D32" s="8" t="s">
        <v>100</v>
      </c>
      <c r="E32" s="8">
        <v>6</v>
      </c>
      <c r="F32" s="8">
        <v>42</v>
      </c>
      <c r="G32" s="8">
        <v>13</v>
      </c>
      <c r="H32" s="8">
        <v>7362</v>
      </c>
      <c r="I32" s="8">
        <v>131112</v>
      </c>
      <c r="J32" s="16"/>
    </row>
    <row r="33" spans="1:10" s="4" customFormat="1" ht="11.25" x14ac:dyDescent="0.2">
      <c r="A33" s="8" t="s">
        <v>90</v>
      </c>
      <c r="B33" s="8">
        <v>3929</v>
      </c>
      <c r="C33" s="8" t="s">
        <v>101</v>
      </c>
      <c r="D33" s="8" t="s">
        <v>102</v>
      </c>
      <c r="E33" s="8">
        <v>3</v>
      </c>
      <c r="F33" s="8">
        <v>5</v>
      </c>
      <c r="G33" s="8">
        <v>13</v>
      </c>
      <c r="H33" s="8">
        <v>7595</v>
      </c>
      <c r="I33" s="8">
        <v>131122</v>
      </c>
      <c r="J33" s="16"/>
    </row>
    <row r="34" spans="1:10" s="4" customFormat="1" ht="11.25" x14ac:dyDescent="0.2">
      <c r="A34" s="8" t="s">
        <v>90</v>
      </c>
      <c r="B34" s="8">
        <v>198</v>
      </c>
      <c r="C34" s="8" t="s">
        <v>103</v>
      </c>
      <c r="D34" s="8" t="s">
        <v>54</v>
      </c>
      <c r="E34" s="8" t="s">
        <v>104</v>
      </c>
      <c r="F34" s="8">
        <v>119</v>
      </c>
      <c r="G34" s="8">
        <v>13</v>
      </c>
      <c r="H34" s="8">
        <v>7138</v>
      </c>
      <c r="I34" s="8">
        <v>131101</v>
      </c>
      <c r="J34" s="16"/>
    </row>
    <row r="35" spans="1:10" s="4" customFormat="1" ht="11.25" x14ac:dyDescent="0.2">
      <c r="A35" s="8" t="s">
        <v>90</v>
      </c>
      <c r="B35" s="8">
        <v>2825</v>
      </c>
      <c r="C35" s="8" t="s">
        <v>105</v>
      </c>
      <c r="D35" s="8" t="s">
        <v>106</v>
      </c>
      <c r="E35" s="8">
        <v>4</v>
      </c>
      <c r="F35" s="8">
        <v>14</v>
      </c>
      <c r="G35" s="8">
        <v>13</v>
      </c>
      <c r="H35" s="8">
        <v>7480</v>
      </c>
      <c r="I35" s="8">
        <v>131118</v>
      </c>
      <c r="J35" s="16"/>
    </row>
    <row r="36" spans="1:10" s="4" customFormat="1" ht="11.25" x14ac:dyDescent="0.2">
      <c r="A36" s="8" t="s">
        <v>90</v>
      </c>
      <c r="B36" s="8">
        <v>2825</v>
      </c>
      <c r="C36" s="8" t="s">
        <v>105</v>
      </c>
      <c r="D36" s="8" t="s">
        <v>106</v>
      </c>
      <c r="E36" s="8">
        <v>4</v>
      </c>
      <c r="F36" s="8">
        <v>14</v>
      </c>
      <c r="G36" s="8">
        <v>13</v>
      </c>
      <c r="H36" s="8">
        <v>7586</v>
      </c>
      <c r="I36" s="8">
        <v>131121</v>
      </c>
      <c r="J36" s="16"/>
    </row>
    <row r="37" spans="1:10" s="4" customFormat="1" ht="11.25" x14ac:dyDescent="0.2">
      <c r="A37" s="8" t="s">
        <v>90</v>
      </c>
      <c r="B37" s="8">
        <v>1630</v>
      </c>
      <c r="C37" s="8" t="s">
        <v>107</v>
      </c>
      <c r="D37" s="8" t="s">
        <v>106</v>
      </c>
      <c r="E37" s="8">
        <v>13</v>
      </c>
      <c r="F37" s="8">
        <v>2</v>
      </c>
      <c r="G37" s="8">
        <v>13</v>
      </c>
      <c r="H37" s="8">
        <v>7287</v>
      </c>
      <c r="I37" s="8">
        <v>131107</v>
      </c>
      <c r="J37" s="16"/>
    </row>
    <row r="38" spans="1:10" s="4" customFormat="1" ht="11.25" x14ac:dyDescent="0.2">
      <c r="A38" s="8" t="s">
        <v>90</v>
      </c>
      <c r="B38" s="8">
        <v>6219</v>
      </c>
      <c r="C38" s="8" t="s">
        <v>108</v>
      </c>
      <c r="D38" s="8" t="s">
        <v>97</v>
      </c>
      <c r="E38" s="8">
        <v>114</v>
      </c>
      <c r="F38" s="8">
        <v>38</v>
      </c>
      <c r="G38" s="8">
        <v>13</v>
      </c>
      <c r="H38" s="8">
        <v>7136</v>
      </c>
      <c r="I38" s="8">
        <v>131101</v>
      </c>
      <c r="J38" s="16"/>
    </row>
    <row r="39" spans="1:10" s="4" customFormat="1" ht="11.25" x14ac:dyDescent="0.2">
      <c r="A39" s="8" t="s">
        <v>90</v>
      </c>
      <c r="B39" s="8">
        <v>4710</v>
      </c>
      <c r="C39" s="8" t="s">
        <v>109</v>
      </c>
      <c r="D39" s="8" t="s">
        <v>110</v>
      </c>
      <c r="E39" s="8">
        <v>10</v>
      </c>
      <c r="F39" s="8">
        <v>44</v>
      </c>
      <c r="G39" s="8">
        <v>13</v>
      </c>
      <c r="H39" s="8">
        <v>7418</v>
      </c>
      <c r="I39" s="8">
        <v>131113</v>
      </c>
      <c r="J39" s="16"/>
    </row>
    <row r="40" spans="1:10" s="4" customFormat="1" ht="11.25" x14ac:dyDescent="0.2">
      <c r="A40" s="8" t="s">
        <v>90</v>
      </c>
      <c r="B40" s="8">
        <v>225</v>
      </c>
      <c r="C40" s="8" t="s">
        <v>111</v>
      </c>
      <c r="D40" s="8" t="s">
        <v>112</v>
      </c>
      <c r="E40" s="8">
        <v>2</v>
      </c>
      <c r="F40" s="8">
        <v>55</v>
      </c>
      <c r="G40" s="8">
        <v>13</v>
      </c>
      <c r="H40" s="8">
        <v>7478</v>
      </c>
      <c r="I40" s="8">
        <v>131118</v>
      </c>
      <c r="J40" s="16"/>
    </row>
    <row r="41" spans="1:10" s="4" customFormat="1" ht="11.25" x14ac:dyDescent="0.2">
      <c r="A41" s="8" t="s">
        <v>90</v>
      </c>
      <c r="B41" s="8">
        <v>232</v>
      </c>
      <c r="C41" s="8" t="s">
        <v>111</v>
      </c>
      <c r="D41" s="8" t="s">
        <v>112</v>
      </c>
      <c r="E41" s="8">
        <v>8</v>
      </c>
      <c r="F41" s="8">
        <v>166</v>
      </c>
      <c r="G41" s="8">
        <v>13</v>
      </c>
      <c r="H41" s="8">
        <v>7597</v>
      </c>
      <c r="I41" s="8">
        <v>131122</v>
      </c>
      <c r="J41" s="16"/>
    </row>
    <row r="42" spans="1:10" s="4" customFormat="1" ht="11.25" x14ac:dyDescent="0.2">
      <c r="A42" s="8" t="s">
        <v>90</v>
      </c>
      <c r="B42" s="8">
        <v>4009</v>
      </c>
      <c r="C42" s="8" t="s">
        <v>113</v>
      </c>
      <c r="D42" s="8" t="s">
        <v>114</v>
      </c>
      <c r="E42" s="8">
        <v>1</v>
      </c>
      <c r="F42" s="8">
        <v>12</v>
      </c>
      <c r="G42" s="8">
        <v>13</v>
      </c>
      <c r="H42" s="8">
        <v>7470</v>
      </c>
      <c r="I42" s="8">
        <v>131115</v>
      </c>
      <c r="J42" s="16"/>
    </row>
    <row r="43" spans="1:10" s="4" customFormat="1" ht="11.25" x14ac:dyDescent="0.2">
      <c r="A43" s="8" t="s">
        <v>90</v>
      </c>
      <c r="B43" s="8">
        <v>6561</v>
      </c>
      <c r="C43" s="8" t="s">
        <v>115</v>
      </c>
      <c r="D43" s="8" t="s">
        <v>116</v>
      </c>
      <c r="E43" s="8">
        <v>6</v>
      </c>
      <c r="F43" s="8">
        <v>13</v>
      </c>
      <c r="G43" s="8">
        <v>13</v>
      </c>
      <c r="H43" s="8">
        <v>7507</v>
      </c>
      <c r="I43" s="8">
        <v>131118</v>
      </c>
      <c r="J43" s="16"/>
    </row>
    <row r="44" spans="1:10" s="4" customFormat="1" ht="11.25" x14ac:dyDescent="0.2">
      <c r="A44" s="8" t="s">
        <v>90</v>
      </c>
      <c r="B44" s="8">
        <v>3101</v>
      </c>
      <c r="C44" s="8" t="s">
        <v>117</v>
      </c>
      <c r="D44" s="8" t="s">
        <v>72</v>
      </c>
      <c r="E44" s="8">
        <v>40</v>
      </c>
      <c r="F44" s="8">
        <v>12</v>
      </c>
      <c r="G44" s="8">
        <v>13</v>
      </c>
      <c r="H44" s="8">
        <v>7652</v>
      </c>
      <c r="I44" s="8">
        <v>131126</v>
      </c>
      <c r="J44" s="16"/>
    </row>
    <row r="45" spans="1:10" s="4" customFormat="1" ht="11.25" x14ac:dyDescent="0.2">
      <c r="A45" s="8" t="s">
        <v>90</v>
      </c>
      <c r="B45" s="8">
        <v>915</v>
      </c>
      <c r="C45" s="8" t="s">
        <v>118</v>
      </c>
      <c r="D45" s="8" t="s">
        <v>119</v>
      </c>
      <c r="E45" s="8" t="s">
        <v>120</v>
      </c>
      <c r="F45" s="8">
        <v>33</v>
      </c>
      <c r="G45" s="8">
        <v>13</v>
      </c>
      <c r="H45" s="8">
        <v>7484</v>
      </c>
      <c r="I45" s="8">
        <v>131118</v>
      </c>
      <c r="J45" s="16"/>
    </row>
    <row r="46" spans="1:10" s="4" customFormat="1" ht="11.25" x14ac:dyDescent="0.2">
      <c r="A46" s="8" t="s">
        <v>90</v>
      </c>
      <c r="B46" s="8">
        <v>915</v>
      </c>
      <c r="C46" s="8" t="s">
        <v>118</v>
      </c>
      <c r="D46" s="8" t="s">
        <v>119</v>
      </c>
      <c r="E46" s="8" t="s">
        <v>120</v>
      </c>
      <c r="F46" s="8">
        <v>33</v>
      </c>
      <c r="G46" s="8">
        <v>13</v>
      </c>
      <c r="H46" s="8">
        <v>7540</v>
      </c>
      <c r="I46" s="8">
        <v>131120</v>
      </c>
      <c r="J46" s="16"/>
    </row>
    <row r="47" spans="1:10" s="4" customFormat="1" ht="11.25" x14ac:dyDescent="0.2">
      <c r="A47" s="8" t="s">
        <v>90</v>
      </c>
      <c r="B47" s="8">
        <v>3400</v>
      </c>
      <c r="C47" s="8" t="s">
        <v>121</v>
      </c>
      <c r="D47" s="8" t="s">
        <v>122</v>
      </c>
      <c r="E47" s="8">
        <v>102</v>
      </c>
      <c r="F47" s="8">
        <v>5</v>
      </c>
      <c r="G47" s="8">
        <v>13</v>
      </c>
      <c r="H47" s="8">
        <v>7244</v>
      </c>
      <c r="I47" s="8">
        <v>131106</v>
      </c>
      <c r="J47" s="16"/>
    </row>
    <row r="48" spans="1:10" s="4" customFormat="1" ht="11.25" x14ac:dyDescent="0.2">
      <c r="A48" s="8" t="s">
        <v>90</v>
      </c>
      <c r="B48" s="8">
        <v>114</v>
      </c>
      <c r="C48" s="8" t="s">
        <v>123</v>
      </c>
      <c r="D48" s="8" t="s">
        <v>124</v>
      </c>
      <c r="E48" s="8">
        <v>4</v>
      </c>
      <c r="F48" s="8">
        <v>7</v>
      </c>
      <c r="G48" s="8">
        <v>13</v>
      </c>
      <c r="H48" s="8">
        <v>7477</v>
      </c>
      <c r="I48" s="8">
        <v>131118</v>
      </c>
      <c r="J48" s="16"/>
    </row>
    <row r="49" spans="1:10" s="4" customFormat="1" ht="11.25" x14ac:dyDescent="0.2">
      <c r="A49" s="8" t="s">
        <v>90</v>
      </c>
      <c r="B49" s="8">
        <v>850</v>
      </c>
      <c r="C49" s="8" t="s">
        <v>125</v>
      </c>
      <c r="D49" s="8" t="s">
        <v>126</v>
      </c>
      <c r="E49" s="8">
        <v>1</v>
      </c>
      <c r="F49" s="8">
        <v>66</v>
      </c>
      <c r="G49" s="8">
        <v>13</v>
      </c>
      <c r="H49" s="8">
        <v>7389</v>
      </c>
      <c r="I49" s="8">
        <v>131113</v>
      </c>
      <c r="J49" s="16"/>
    </row>
    <row r="50" spans="1:10" s="4" customFormat="1" ht="11.25" x14ac:dyDescent="0.2">
      <c r="A50" s="8" t="s">
        <v>90</v>
      </c>
      <c r="B50" s="8">
        <v>2345</v>
      </c>
      <c r="C50" s="8" t="s">
        <v>127</v>
      </c>
      <c r="D50" s="8" t="s">
        <v>128</v>
      </c>
      <c r="E50" s="8">
        <v>27</v>
      </c>
      <c r="F50" s="8">
        <v>23</v>
      </c>
      <c r="G50" s="8">
        <v>13</v>
      </c>
      <c r="H50" s="8">
        <v>7199</v>
      </c>
      <c r="I50" s="8">
        <v>131105</v>
      </c>
      <c r="J50" s="16"/>
    </row>
    <row r="51" spans="1:10" s="4" customFormat="1" ht="11.25" x14ac:dyDescent="0.2">
      <c r="A51" s="8" t="s">
        <v>90</v>
      </c>
      <c r="B51" s="8">
        <v>6528</v>
      </c>
      <c r="C51" s="8" t="s">
        <v>129</v>
      </c>
      <c r="D51" s="8" t="s">
        <v>130</v>
      </c>
      <c r="E51" s="8">
        <v>8</v>
      </c>
      <c r="F51" s="8">
        <v>26</v>
      </c>
      <c r="G51" s="8">
        <v>13</v>
      </c>
      <c r="H51" s="8">
        <v>7200</v>
      </c>
      <c r="I51" s="8">
        <v>131105</v>
      </c>
      <c r="J51" s="16"/>
    </row>
    <row r="52" spans="1:10" s="4" customFormat="1" ht="11.25" x14ac:dyDescent="0.2">
      <c r="A52" s="8" t="s">
        <v>90</v>
      </c>
      <c r="B52" s="8">
        <v>903</v>
      </c>
      <c r="C52" s="8" t="s">
        <v>131</v>
      </c>
      <c r="D52" s="8" t="s">
        <v>110</v>
      </c>
      <c r="E52" s="8">
        <v>12</v>
      </c>
      <c r="F52" s="8">
        <v>76</v>
      </c>
      <c r="G52" s="8">
        <v>13</v>
      </c>
      <c r="H52" s="8">
        <v>7580</v>
      </c>
      <c r="I52" s="8">
        <v>131121</v>
      </c>
      <c r="J52" s="16"/>
    </row>
    <row r="53" spans="1:10" s="4" customFormat="1" ht="11.25" x14ac:dyDescent="0.2">
      <c r="A53" s="8" t="s">
        <v>90</v>
      </c>
      <c r="B53" s="8">
        <v>4027</v>
      </c>
      <c r="C53" s="8" t="s">
        <v>132</v>
      </c>
      <c r="D53" s="8" t="s">
        <v>133</v>
      </c>
      <c r="E53" s="8">
        <v>2</v>
      </c>
      <c r="F53" s="8">
        <v>2</v>
      </c>
      <c r="G53" s="8">
        <v>13</v>
      </c>
      <c r="H53" s="8">
        <v>7155</v>
      </c>
      <c r="I53" s="8">
        <v>131104</v>
      </c>
      <c r="J53" s="16"/>
    </row>
    <row r="54" spans="1:10" s="4" customFormat="1" ht="11.25" x14ac:dyDescent="0.2">
      <c r="A54" s="8" t="s">
        <v>90</v>
      </c>
      <c r="B54" s="8">
        <v>825</v>
      </c>
      <c r="C54" s="8" t="s">
        <v>134</v>
      </c>
      <c r="D54" s="8" t="s">
        <v>126</v>
      </c>
      <c r="E54" s="8">
        <v>13</v>
      </c>
      <c r="F54" s="8">
        <v>31</v>
      </c>
      <c r="G54" s="8">
        <v>13</v>
      </c>
      <c r="H54" s="8">
        <v>7464</v>
      </c>
      <c r="I54" s="8">
        <v>131115</v>
      </c>
      <c r="J54" s="16"/>
    </row>
    <row r="55" spans="1:10" s="4" customFormat="1" ht="11.25" x14ac:dyDescent="0.2">
      <c r="A55" s="8" t="s">
        <v>90</v>
      </c>
      <c r="B55" s="8">
        <v>700</v>
      </c>
      <c r="C55" s="8" t="s">
        <v>135</v>
      </c>
      <c r="D55" s="8" t="s">
        <v>136</v>
      </c>
      <c r="E55" s="8">
        <v>5</v>
      </c>
      <c r="F55" s="8">
        <v>9</v>
      </c>
      <c r="G55" s="8">
        <v>13</v>
      </c>
      <c r="H55" s="8">
        <v>7296</v>
      </c>
      <c r="I55" s="8">
        <v>131108</v>
      </c>
      <c r="J55" s="16"/>
    </row>
    <row r="56" spans="1:10" s="4" customFormat="1" ht="11.25" x14ac:dyDescent="0.2">
      <c r="A56" s="8" t="s">
        <v>90</v>
      </c>
      <c r="B56" s="8">
        <v>1621</v>
      </c>
      <c r="C56" s="8" t="s">
        <v>137</v>
      </c>
      <c r="D56" s="8" t="s">
        <v>106</v>
      </c>
      <c r="E56" s="8">
        <v>13</v>
      </c>
      <c r="F56" s="8">
        <v>6</v>
      </c>
      <c r="G56" s="8">
        <v>13</v>
      </c>
      <c r="H56" s="8">
        <v>7511</v>
      </c>
      <c r="I56" s="8">
        <v>131119</v>
      </c>
      <c r="J56" s="16"/>
    </row>
    <row r="57" spans="1:10" s="4" customFormat="1" ht="11.25" x14ac:dyDescent="0.2">
      <c r="A57" s="8" t="s">
        <v>90</v>
      </c>
      <c r="B57" s="8">
        <v>4213</v>
      </c>
      <c r="C57" s="8" t="s">
        <v>138</v>
      </c>
      <c r="D57" s="8" t="s">
        <v>114</v>
      </c>
      <c r="E57" s="8">
        <v>6</v>
      </c>
      <c r="F57" s="8">
        <v>18</v>
      </c>
      <c r="G57" s="8">
        <v>13</v>
      </c>
      <c r="H57" s="8">
        <v>7173</v>
      </c>
      <c r="I57" s="8">
        <v>131104</v>
      </c>
      <c r="J57" s="16"/>
    </row>
    <row r="58" spans="1:10" s="4" customFormat="1" ht="11.25" x14ac:dyDescent="0.2">
      <c r="A58" s="8" t="s">
        <v>90</v>
      </c>
      <c r="B58" s="8">
        <v>601</v>
      </c>
      <c r="C58" s="8" t="s">
        <v>139</v>
      </c>
      <c r="D58" s="8" t="s">
        <v>133</v>
      </c>
      <c r="E58" s="8">
        <v>3</v>
      </c>
      <c r="F58" s="8">
        <v>5</v>
      </c>
      <c r="G58" s="8">
        <v>13</v>
      </c>
      <c r="H58" s="8">
        <v>7156</v>
      </c>
      <c r="I58" s="8">
        <v>131104</v>
      </c>
      <c r="J58" s="16"/>
    </row>
    <row r="59" spans="1:10" s="4" customFormat="1" ht="11.25" x14ac:dyDescent="0.2">
      <c r="A59" s="8" t="s">
        <v>90</v>
      </c>
      <c r="B59" s="8">
        <v>698</v>
      </c>
      <c r="C59" s="8" t="s">
        <v>139</v>
      </c>
      <c r="D59" s="8" t="s">
        <v>133</v>
      </c>
      <c r="E59" s="8">
        <v>3</v>
      </c>
      <c r="F59" s="8">
        <v>13</v>
      </c>
      <c r="G59" s="8">
        <v>13</v>
      </c>
      <c r="H59" s="8">
        <v>7157</v>
      </c>
      <c r="I59" s="8">
        <v>131104</v>
      </c>
      <c r="J59" s="16"/>
    </row>
    <row r="60" spans="1:10" s="4" customFormat="1" ht="11.25" x14ac:dyDescent="0.2">
      <c r="A60" s="8" t="s">
        <v>90</v>
      </c>
      <c r="B60" s="8">
        <v>7116</v>
      </c>
      <c r="C60" s="8" t="s">
        <v>140</v>
      </c>
      <c r="D60" s="8" t="s">
        <v>141</v>
      </c>
      <c r="E60" s="8">
        <v>4</v>
      </c>
      <c r="F60" s="8">
        <v>40</v>
      </c>
      <c r="G60" s="8">
        <v>13</v>
      </c>
      <c r="H60" s="8">
        <v>7693</v>
      </c>
      <c r="I60" s="8">
        <v>131127</v>
      </c>
      <c r="J60" s="16"/>
    </row>
    <row r="61" spans="1:10" s="4" customFormat="1" ht="11.25" x14ac:dyDescent="0.2">
      <c r="A61" s="8" t="s">
        <v>90</v>
      </c>
      <c r="B61" s="8">
        <v>89</v>
      </c>
      <c r="C61" s="8" t="s">
        <v>142</v>
      </c>
      <c r="D61" s="8" t="s">
        <v>100</v>
      </c>
      <c r="E61" s="8">
        <v>5</v>
      </c>
      <c r="F61" s="8">
        <v>62</v>
      </c>
      <c r="G61" s="8">
        <v>13</v>
      </c>
      <c r="H61" s="8">
        <v>7141</v>
      </c>
      <c r="I61" s="8">
        <v>131101</v>
      </c>
      <c r="J61" s="16"/>
    </row>
    <row r="62" spans="1:10" s="4" customFormat="1" ht="11.25" x14ac:dyDescent="0.2">
      <c r="A62" s="8" t="s">
        <v>90</v>
      </c>
      <c r="B62" s="8">
        <v>3705</v>
      </c>
      <c r="C62" s="8" t="s">
        <v>143</v>
      </c>
      <c r="D62" s="8" t="s">
        <v>74</v>
      </c>
      <c r="E62" s="8" t="s">
        <v>144</v>
      </c>
      <c r="F62" s="8">
        <v>54</v>
      </c>
      <c r="G62" s="8">
        <v>13</v>
      </c>
      <c r="H62" s="8">
        <v>7556</v>
      </c>
      <c r="I62" s="8">
        <v>131120</v>
      </c>
      <c r="J62" s="16"/>
    </row>
    <row r="63" spans="1:10" s="4" customFormat="1" ht="11.25" x14ac:dyDescent="0.2">
      <c r="A63" s="8" t="s">
        <v>90</v>
      </c>
      <c r="B63" s="8">
        <v>3706</v>
      </c>
      <c r="C63" s="8" t="s">
        <v>143</v>
      </c>
      <c r="D63" s="8" t="s">
        <v>74</v>
      </c>
      <c r="E63" s="8" t="s">
        <v>145</v>
      </c>
      <c r="F63" s="8">
        <v>19</v>
      </c>
      <c r="G63" s="8">
        <v>13</v>
      </c>
      <c r="H63" s="8">
        <v>7431</v>
      </c>
      <c r="I63" s="8">
        <v>131114</v>
      </c>
      <c r="J63" s="16"/>
    </row>
    <row r="64" spans="1:10" s="4" customFormat="1" ht="11.25" x14ac:dyDescent="0.2">
      <c r="A64" s="8" t="s">
        <v>90</v>
      </c>
      <c r="B64" s="8">
        <v>3213</v>
      </c>
      <c r="C64" s="8" t="s">
        <v>146</v>
      </c>
      <c r="D64" s="8" t="s">
        <v>72</v>
      </c>
      <c r="E64" s="8">
        <v>37</v>
      </c>
      <c r="F64" s="8">
        <v>32</v>
      </c>
      <c r="G64" s="8">
        <v>13</v>
      </c>
      <c r="H64" s="8">
        <v>7493</v>
      </c>
      <c r="I64" s="8">
        <v>131118</v>
      </c>
      <c r="J64" s="16"/>
    </row>
    <row r="65" spans="1:10" s="4" customFormat="1" ht="11.25" x14ac:dyDescent="0.2">
      <c r="A65" s="8" t="s">
        <v>90</v>
      </c>
      <c r="B65" s="8">
        <v>1101</v>
      </c>
      <c r="C65" s="8" t="s">
        <v>147</v>
      </c>
      <c r="D65" s="8" t="s">
        <v>148</v>
      </c>
      <c r="E65" s="8">
        <v>1</v>
      </c>
      <c r="F65" s="8">
        <v>3</v>
      </c>
      <c r="G65" s="8">
        <v>13</v>
      </c>
      <c r="H65" s="8">
        <v>7354</v>
      </c>
      <c r="I65" s="8">
        <v>131112</v>
      </c>
      <c r="J65" s="16"/>
    </row>
    <row r="66" spans="1:10" s="4" customFormat="1" ht="11.25" x14ac:dyDescent="0.2">
      <c r="A66" s="8" t="s">
        <v>90</v>
      </c>
      <c r="B66" s="8">
        <v>5520</v>
      </c>
      <c r="C66" s="8" t="s">
        <v>149</v>
      </c>
      <c r="D66" s="8" t="s">
        <v>97</v>
      </c>
      <c r="E66" s="8">
        <v>76</v>
      </c>
      <c r="F66" s="8">
        <v>7</v>
      </c>
      <c r="G66" s="8">
        <v>13</v>
      </c>
      <c r="H66" s="8">
        <v>7634</v>
      </c>
      <c r="I66" s="8">
        <v>131125</v>
      </c>
      <c r="J66" s="16"/>
    </row>
    <row r="67" spans="1:10" s="4" customFormat="1" ht="11.25" x14ac:dyDescent="0.2">
      <c r="A67" s="8" t="s">
        <v>90</v>
      </c>
      <c r="B67" s="8">
        <v>2216</v>
      </c>
      <c r="C67" s="8" t="s">
        <v>150</v>
      </c>
      <c r="D67" s="8" t="s">
        <v>151</v>
      </c>
      <c r="E67" s="8">
        <v>1</v>
      </c>
      <c r="F67" s="8">
        <v>40</v>
      </c>
      <c r="G67" s="8">
        <v>13</v>
      </c>
      <c r="H67" s="8">
        <v>7579</v>
      </c>
      <c r="I67" s="8">
        <v>131121</v>
      </c>
      <c r="J67" s="16"/>
    </row>
    <row r="68" spans="1:10" s="4" customFormat="1" ht="11.25" x14ac:dyDescent="0.2">
      <c r="A68" s="8" t="s">
        <v>90</v>
      </c>
      <c r="B68" s="8">
        <v>2249</v>
      </c>
      <c r="C68" s="8" t="s">
        <v>150</v>
      </c>
      <c r="D68" s="8" t="s">
        <v>151</v>
      </c>
      <c r="E68" s="8">
        <v>10</v>
      </c>
      <c r="F68" s="8">
        <v>1</v>
      </c>
      <c r="G68" s="8">
        <v>13</v>
      </c>
      <c r="H68" s="8">
        <v>7153</v>
      </c>
      <c r="I68" s="8">
        <v>131104</v>
      </c>
      <c r="J68" s="16"/>
    </row>
    <row r="69" spans="1:10" s="4" customFormat="1" ht="11.25" x14ac:dyDescent="0.2">
      <c r="A69" s="8" t="s">
        <v>90</v>
      </c>
      <c r="B69" s="8">
        <v>2308</v>
      </c>
      <c r="C69" s="8" t="s">
        <v>150</v>
      </c>
      <c r="D69" s="8" t="s">
        <v>151</v>
      </c>
      <c r="E69" s="8">
        <v>1</v>
      </c>
      <c r="F69" s="8">
        <v>52</v>
      </c>
      <c r="G69" s="8">
        <v>13</v>
      </c>
      <c r="H69" s="8">
        <v>7487</v>
      </c>
      <c r="I69" s="8">
        <v>131118</v>
      </c>
      <c r="J69" s="16"/>
    </row>
    <row r="70" spans="1:10" s="4" customFormat="1" ht="11.25" x14ac:dyDescent="0.2">
      <c r="A70" s="8" t="s">
        <v>90</v>
      </c>
      <c r="B70" s="8">
        <v>1549</v>
      </c>
      <c r="C70" s="8" t="s">
        <v>152</v>
      </c>
      <c r="D70" s="8" t="s">
        <v>106</v>
      </c>
      <c r="E70" s="8">
        <v>1</v>
      </c>
      <c r="F70" s="8">
        <v>36</v>
      </c>
      <c r="G70" s="8">
        <v>13</v>
      </c>
      <c r="H70" s="8">
        <v>7368</v>
      </c>
      <c r="I70" s="8">
        <v>131112</v>
      </c>
      <c r="J70" s="16"/>
    </row>
    <row r="71" spans="1:10" s="4" customFormat="1" ht="11.25" x14ac:dyDescent="0.2">
      <c r="A71" s="8" t="s">
        <v>90</v>
      </c>
      <c r="B71" s="8">
        <v>1549</v>
      </c>
      <c r="C71" s="8" t="s">
        <v>152</v>
      </c>
      <c r="D71" s="8" t="s">
        <v>106</v>
      </c>
      <c r="E71" s="8">
        <v>1</v>
      </c>
      <c r="F71" s="8">
        <v>36</v>
      </c>
      <c r="G71" s="8">
        <v>13</v>
      </c>
      <c r="H71" s="8">
        <v>7269</v>
      </c>
      <c r="I71" s="8">
        <v>131107</v>
      </c>
      <c r="J71" s="16"/>
    </row>
    <row r="72" spans="1:10" s="4" customFormat="1" ht="11.25" x14ac:dyDescent="0.2">
      <c r="A72" s="8" t="s">
        <v>90</v>
      </c>
      <c r="B72" s="8">
        <v>623</v>
      </c>
      <c r="C72" s="8" t="s">
        <v>153</v>
      </c>
      <c r="D72" s="8" t="s">
        <v>133</v>
      </c>
      <c r="E72" s="8">
        <v>1</v>
      </c>
      <c r="F72" s="8">
        <v>6</v>
      </c>
      <c r="G72" s="8">
        <v>13</v>
      </c>
      <c r="H72" s="8">
        <v>7552</v>
      </c>
      <c r="I72" s="8">
        <v>131120</v>
      </c>
      <c r="J72" s="16"/>
    </row>
    <row r="73" spans="1:10" s="4" customFormat="1" ht="11.25" x14ac:dyDescent="0.2">
      <c r="A73" s="8" t="s">
        <v>90</v>
      </c>
      <c r="B73" s="8">
        <v>2820</v>
      </c>
      <c r="C73" s="8" t="s">
        <v>154</v>
      </c>
      <c r="D73" s="8" t="s">
        <v>155</v>
      </c>
      <c r="E73" s="8" t="s">
        <v>64</v>
      </c>
      <c r="F73" s="8">
        <v>6</v>
      </c>
      <c r="G73" s="8">
        <v>13</v>
      </c>
      <c r="H73" s="8">
        <v>7395</v>
      </c>
      <c r="I73" s="8">
        <v>131113</v>
      </c>
      <c r="J73" s="16"/>
    </row>
    <row r="74" spans="1:10" s="4" customFormat="1" ht="11.25" x14ac:dyDescent="0.2">
      <c r="A74" s="8" t="s">
        <v>90</v>
      </c>
      <c r="B74" s="8">
        <v>3505</v>
      </c>
      <c r="C74" s="8" t="s">
        <v>156</v>
      </c>
      <c r="D74" s="8" t="s">
        <v>157</v>
      </c>
      <c r="E74" s="8">
        <v>3</v>
      </c>
      <c r="F74" s="8">
        <v>8</v>
      </c>
      <c r="G74" s="8">
        <v>13</v>
      </c>
      <c r="H74" s="8">
        <v>7576</v>
      </c>
      <c r="I74" s="8">
        <v>131121</v>
      </c>
      <c r="J74" s="16"/>
    </row>
    <row r="75" spans="1:10" s="4" customFormat="1" ht="11.25" x14ac:dyDescent="0.2">
      <c r="A75" s="8" t="s">
        <v>90</v>
      </c>
      <c r="B75" s="8">
        <v>3023</v>
      </c>
      <c r="C75" s="8" t="s">
        <v>158</v>
      </c>
      <c r="D75" s="8" t="s">
        <v>159</v>
      </c>
      <c r="E75" s="8"/>
      <c r="F75" s="8">
        <v>85</v>
      </c>
      <c r="G75" s="8">
        <v>13</v>
      </c>
      <c r="H75" s="8">
        <v>7696</v>
      </c>
      <c r="I75" s="8">
        <v>131127</v>
      </c>
      <c r="J75" s="16"/>
    </row>
    <row r="76" spans="1:10" s="4" customFormat="1" ht="11.25" x14ac:dyDescent="0.2">
      <c r="A76" s="8" t="s">
        <v>90</v>
      </c>
      <c r="B76" s="8">
        <v>728</v>
      </c>
      <c r="C76" s="8" t="s">
        <v>160</v>
      </c>
      <c r="D76" s="8" t="s">
        <v>81</v>
      </c>
      <c r="E76" s="8">
        <v>2</v>
      </c>
      <c r="F76" s="8">
        <v>28</v>
      </c>
      <c r="G76" s="8">
        <v>13</v>
      </c>
      <c r="H76" s="8">
        <v>7424</v>
      </c>
      <c r="I76" s="8">
        <v>131114</v>
      </c>
      <c r="J76" s="16"/>
    </row>
    <row r="77" spans="1:10" s="4" customFormat="1" ht="11.25" x14ac:dyDescent="0.2">
      <c r="A77" s="8" t="s">
        <v>90</v>
      </c>
      <c r="B77" s="8">
        <v>1303</v>
      </c>
      <c r="C77" s="8" t="s">
        <v>161</v>
      </c>
      <c r="D77" s="8" t="s">
        <v>72</v>
      </c>
      <c r="E77" s="8">
        <v>35</v>
      </c>
      <c r="F77" s="8">
        <v>20</v>
      </c>
      <c r="G77" s="8">
        <v>13</v>
      </c>
      <c r="H77" s="8">
        <v>7192</v>
      </c>
      <c r="I77" s="8">
        <v>131105</v>
      </c>
      <c r="J77" s="16"/>
    </row>
    <row r="78" spans="1:10" s="4" customFormat="1" ht="11.25" x14ac:dyDescent="0.2">
      <c r="A78" s="8" t="s">
        <v>90</v>
      </c>
      <c r="B78" s="8">
        <v>1306</v>
      </c>
      <c r="C78" s="8" t="s">
        <v>161</v>
      </c>
      <c r="D78" s="8" t="s">
        <v>72</v>
      </c>
      <c r="E78" s="8">
        <v>32</v>
      </c>
      <c r="F78" s="8">
        <v>1</v>
      </c>
      <c r="G78" s="8">
        <v>13</v>
      </c>
      <c r="H78" s="8">
        <v>7194</v>
      </c>
      <c r="I78" s="8">
        <v>131105</v>
      </c>
      <c r="J78" s="16"/>
    </row>
    <row r="79" spans="1:10" s="4" customFormat="1" ht="11.25" x14ac:dyDescent="0.2">
      <c r="A79" s="8" t="s">
        <v>90</v>
      </c>
      <c r="B79" s="8">
        <v>1525</v>
      </c>
      <c r="C79" s="8" t="s">
        <v>161</v>
      </c>
      <c r="D79" s="8" t="s">
        <v>72</v>
      </c>
      <c r="E79" s="8">
        <v>35</v>
      </c>
      <c r="F79" s="8">
        <v>34</v>
      </c>
      <c r="G79" s="8">
        <v>13</v>
      </c>
      <c r="H79" s="8">
        <v>7207</v>
      </c>
      <c r="I79" s="8">
        <v>131105</v>
      </c>
      <c r="J79" s="16"/>
    </row>
    <row r="80" spans="1:10" s="4" customFormat="1" ht="11.25" x14ac:dyDescent="0.2">
      <c r="A80" s="8" t="s">
        <v>162</v>
      </c>
      <c r="B80" s="8">
        <v>3777</v>
      </c>
      <c r="C80" s="8" t="s">
        <v>62</v>
      </c>
      <c r="D80" s="8" t="s">
        <v>69</v>
      </c>
      <c r="E80" s="8" t="s">
        <v>67</v>
      </c>
      <c r="F80" s="8" t="s">
        <v>70</v>
      </c>
      <c r="G80" s="8">
        <v>13</v>
      </c>
      <c r="H80" s="8">
        <v>7607</v>
      </c>
      <c r="I80" s="8">
        <v>131122</v>
      </c>
      <c r="J80" s="16"/>
    </row>
    <row r="81" spans="1:10" s="4" customFormat="1" ht="11.25" x14ac:dyDescent="0.2">
      <c r="A81" s="8" t="s">
        <v>163</v>
      </c>
      <c r="B81" s="8">
        <v>4201</v>
      </c>
      <c r="C81" s="8" t="s">
        <v>96</v>
      </c>
      <c r="D81" s="8" t="s">
        <v>97</v>
      </c>
      <c r="E81" s="8">
        <v>44</v>
      </c>
      <c r="F81" s="8" t="s">
        <v>98</v>
      </c>
      <c r="G81" s="8">
        <v>13</v>
      </c>
      <c r="H81" s="8">
        <v>7433</v>
      </c>
      <c r="I81" s="8">
        <v>131114</v>
      </c>
      <c r="J81" s="16"/>
    </row>
    <row r="82" spans="1:10" s="4" customFormat="1" ht="11.25" x14ac:dyDescent="0.2">
      <c r="A82" s="8" t="s">
        <v>163</v>
      </c>
      <c r="B82" s="8">
        <v>700</v>
      </c>
      <c r="C82" s="8" t="s">
        <v>164</v>
      </c>
      <c r="D82" s="8" t="s">
        <v>165</v>
      </c>
      <c r="E82" s="8">
        <v>134</v>
      </c>
      <c r="F82" s="8">
        <v>16</v>
      </c>
      <c r="G82" s="8">
        <v>13</v>
      </c>
      <c r="H82" s="8">
        <v>7147</v>
      </c>
      <c r="I82" s="8">
        <v>131101</v>
      </c>
      <c r="J82" s="16"/>
    </row>
    <row r="83" spans="1:10" s="4" customFormat="1" ht="11.25" x14ac:dyDescent="0.2">
      <c r="A83" s="8" t="s">
        <v>163</v>
      </c>
      <c r="B83" s="8">
        <v>6505</v>
      </c>
      <c r="C83" s="8" t="s">
        <v>166</v>
      </c>
      <c r="D83" s="8" t="s">
        <v>122</v>
      </c>
      <c r="E83" s="8">
        <v>108</v>
      </c>
      <c r="F83" s="8">
        <v>50</v>
      </c>
      <c r="G83" s="8">
        <v>13</v>
      </c>
      <c r="H83" s="8">
        <v>7672</v>
      </c>
      <c r="I83" s="8">
        <v>131126</v>
      </c>
      <c r="J83" s="16"/>
    </row>
    <row r="84" spans="1:10" s="4" customFormat="1" ht="11.25" x14ac:dyDescent="0.2">
      <c r="A84" s="8" t="s">
        <v>163</v>
      </c>
      <c r="B84" s="8">
        <v>252</v>
      </c>
      <c r="C84" s="8" t="s">
        <v>167</v>
      </c>
      <c r="D84" s="8" t="s">
        <v>119</v>
      </c>
      <c r="E84" s="8" t="s">
        <v>168</v>
      </c>
      <c r="F84" s="8">
        <v>13</v>
      </c>
      <c r="G84" s="8">
        <v>13</v>
      </c>
      <c r="H84" s="8">
        <v>7419</v>
      </c>
      <c r="I84" s="8">
        <v>131113</v>
      </c>
      <c r="J84" s="16"/>
    </row>
    <row r="85" spans="1:10" s="4" customFormat="1" ht="11.25" x14ac:dyDescent="0.2">
      <c r="A85" s="8" t="s">
        <v>163</v>
      </c>
      <c r="B85" s="8">
        <v>253</v>
      </c>
      <c r="C85" s="8" t="s">
        <v>167</v>
      </c>
      <c r="D85" s="8" t="s">
        <v>119</v>
      </c>
      <c r="E85" s="8" t="s">
        <v>120</v>
      </c>
      <c r="F85" s="8">
        <v>28</v>
      </c>
      <c r="G85" s="8">
        <v>13</v>
      </c>
      <c r="H85" s="8">
        <v>7420</v>
      </c>
      <c r="I85" s="8">
        <v>131113</v>
      </c>
      <c r="J85" s="16"/>
    </row>
    <row r="86" spans="1:10" s="4" customFormat="1" ht="11.25" x14ac:dyDescent="0.2">
      <c r="A86" s="8" t="s">
        <v>163</v>
      </c>
      <c r="B86" s="8">
        <v>3822</v>
      </c>
      <c r="C86" s="8" t="s">
        <v>169</v>
      </c>
      <c r="D86" s="8" t="s">
        <v>170</v>
      </c>
      <c r="E86" s="8">
        <v>3</v>
      </c>
      <c r="F86" s="8">
        <v>6</v>
      </c>
      <c r="G86" s="8">
        <v>13</v>
      </c>
      <c r="H86" s="8">
        <v>7554</v>
      </c>
      <c r="I86" s="8">
        <v>131120</v>
      </c>
      <c r="J86" s="16"/>
    </row>
    <row r="87" spans="1:10" s="4" customFormat="1" ht="11.25" x14ac:dyDescent="0.2">
      <c r="A87" s="8" t="s">
        <v>163</v>
      </c>
      <c r="B87" s="8">
        <v>800</v>
      </c>
      <c r="C87" s="8" t="s">
        <v>171</v>
      </c>
      <c r="D87" s="8" t="s">
        <v>172</v>
      </c>
      <c r="E87" s="8">
        <v>35</v>
      </c>
      <c r="F87" s="8">
        <v>10</v>
      </c>
      <c r="G87" s="8">
        <v>13</v>
      </c>
      <c r="H87" s="8">
        <v>7589</v>
      </c>
      <c r="I87" s="8">
        <v>131121</v>
      </c>
      <c r="J87" s="16"/>
    </row>
    <row r="88" spans="1:10" s="4" customFormat="1" ht="11.25" x14ac:dyDescent="0.2">
      <c r="A88" s="8" t="s">
        <v>163</v>
      </c>
      <c r="B88" s="8">
        <v>753</v>
      </c>
      <c r="C88" s="8" t="s">
        <v>173</v>
      </c>
      <c r="D88" s="8" t="s">
        <v>170</v>
      </c>
      <c r="E88" s="8">
        <v>1</v>
      </c>
      <c r="F88" s="8">
        <v>18</v>
      </c>
      <c r="G88" s="8">
        <v>13</v>
      </c>
      <c r="H88" s="8">
        <v>7553</v>
      </c>
      <c r="I88" s="8">
        <v>131120</v>
      </c>
      <c r="J88" s="16"/>
    </row>
    <row r="89" spans="1:10" s="4" customFormat="1" ht="11.25" x14ac:dyDescent="0.2">
      <c r="A89" s="8" t="s">
        <v>163</v>
      </c>
      <c r="B89" s="8">
        <v>4023</v>
      </c>
      <c r="C89" s="8" t="s">
        <v>132</v>
      </c>
      <c r="D89" s="8" t="s">
        <v>133</v>
      </c>
      <c r="E89" s="8">
        <v>2</v>
      </c>
      <c r="F89" s="8">
        <v>3</v>
      </c>
      <c r="G89" s="8">
        <v>13</v>
      </c>
      <c r="H89" s="8">
        <v>7352</v>
      </c>
      <c r="I89" s="8">
        <v>131112</v>
      </c>
      <c r="J89" s="16"/>
    </row>
    <row r="90" spans="1:10" s="4" customFormat="1" ht="11.25" x14ac:dyDescent="0.2">
      <c r="A90" s="8" t="s">
        <v>163</v>
      </c>
      <c r="B90" s="8">
        <v>6104</v>
      </c>
      <c r="C90" s="8" t="s">
        <v>174</v>
      </c>
      <c r="D90" s="8" t="s">
        <v>175</v>
      </c>
      <c r="E90" s="8">
        <v>6</v>
      </c>
      <c r="F90" s="8">
        <v>2</v>
      </c>
      <c r="G90" s="8">
        <v>13</v>
      </c>
      <c r="H90" s="8">
        <v>7149</v>
      </c>
      <c r="I90" s="8">
        <v>131101</v>
      </c>
      <c r="J90" s="16"/>
    </row>
    <row r="91" spans="1:10" s="4" customFormat="1" ht="11.25" x14ac:dyDescent="0.2">
      <c r="A91" s="8" t="s">
        <v>163</v>
      </c>
      <c r="B91" s="8">
        <v>2212</v>
      </c>
      <c r="C91" s="8" t="s">
        <v>150</v>
      </c>
      <c r="D91" s="8" t="s">
        <v>151</v>
      </c>
      <c r="E91" s="8">
        <v>1</v>
      </c>
      <c r="F91" s="8">
        <v>39</v>
      </c>
      <c r="G91" s="8">
        <v>13</v>
      </c>
      <c r="H91" s="8">
        <v>7190</v>
      </c>
      <c r="I91" s="8">
        <v>131105</v>
      </c>
      <c r="J91" s="16"/>
    </row>
    <row r="92" spans="1:10" s="4" customFormat="1" ht="11.25" x14ac:dyDescent="0.2">
      <c r="A92" s="8" t="s">
        <v>163</v>
      </c>
      <c r="B92" s="8">
        <v>1623</v>
      </c>
      <c r="C92" s="8" t="s">
        <v>152</v>
      </c>
      <c r="D92" s="8" t="s">
        <v>106</v>
      </c>
      <c r="E92" s="8">
        <v>1</v>
      </c>
      <c r="F92" s="8">
        <v>30</v>
      </c>
      <c r="G92" s="8">
        <v>13</v>
      </c>
      <c r="H92" s="8">
        <v>7267</v>
      </c>
      <c r="I92" s="8">
        <v>131107</v>
      </c>
      <c r="J92" s="16"/>
    </row>
    <row r="93" spans="1:10" s="4" customFormat="1" ht="11.25" x14ac:dyDescent="0.2">
      <c r="A93" s="8" t="s">
        <v>163</v>
      </c>
      <c r="B93" s="8">
        <v>1818</v>
      </c>
      <c r="C93" s="8" t="s">
        <v>152</v>
      </c>
      <c r="D93" s="8" t="s">
        <v>106</v>
      </c>
      <c r="E93" s="8">
        <v>3</v>
      </c>
      <c r="F93" s="8">
        <v>3</v>
      </c>
      <c r="G93" s="8">
        <v>13</v>
      </c>
      <c r="H93" s="8">
        <v>7268</v>
      </c>
      <c r="I93" s="8">
        <v>131107</v>
      </c>
      <c r="J93" s="16"/>
    </row>
    <row r="94" spans="1:10" s="4" customFormat="1" ht="11.25" x14ac:dyDescent="0.2">
      <c r="A94" s="8" t="s">
        <v>163</v>
      </c>
      <c r="B94" s="8">
        <v>1317</v>
      </c>
      <c r="C94" s="8" t="s">
        <v>176</v>
      </c>
      <c r="D94" s="8" t="s">
        <v>87</v>
      </c>
      <c r="E94" s="8">
        <v>22</v>
      </c>
      <c r="F94" s="8">
        <v>25</v>
      </c>
      <c r="G94" s="8">
        <v>13</v>
      </c>
      <c r="H94" s="8">
        <v>7611</v>
      </c>
      <c r="I94" s="8">
        <v>131125</v>
      </c>
      <c r="J94" s="16"/>
    </row>
    <row r="95" spans="1:10" s="4" customFormat="1" ht="11.25" x14ac:dyDescent="0.2">
      <c r="A95" s="8" t="s">
        <v>163</v>
      </c>
      <c r="B95" s="8">
        <v>1812</v>
      </c>
      <c r="C95" s="8" t="s">
        <v>177</v>
      </c>
      <c r="D95" s="8" t="s">
        <v>87</v>
      </c>
      <c r="E95" s="8">
        <v>25</v>
      </c>
      <c r="F95" s="8">
        <v>22</v>
      </c>
      <c r="G95" s="8">
        <v>13</v>
      </c>
      <c r="H95" s="8">
        <v>7656</v>
      </c>
      <c r="I95" s="8">
        <v>131126</v>
      </c>
      <c r="J95" s="16"/>
    </row>
    <row r="96" spans="1:10" s="4" customFormat="1" ht="22.5" x14ac:dyDescent="0.2">
      <c r="A96" s="86" t="s">
        <v>483</v>
      </c>
      <c r="B96" s="102">
        <f>95-7</f>
        <v>88</v>
      </c>
      <c r="C96" s="109"/>
      <c r="D96" s="109"/>
      <c r="E96" s="109"/>
      <c r="F96" s="109"/>
      <c r="G96" s="109"/>
      <c r="H96" s="109"/>
      <c r="I96" s="109"/>
      <c r="J96" s="16"/>
    </row>
    <row r="97" spans="1:10" s="4" customFormat="1" ht="11.25" x14ac:dyDescent="0.2">
      <c r="A97" s="7" t="s">
        <v>484</v>
      </c>
      <c r="B97" s="109"/>
      <c r="C97" s="109"/>
      <c r="D97" s="109"/>
      <c r="E97" s="109"/>
      <c r="F97" s="109"/>
      <c r="G97" s="109"/>
      <c r="H97" s="109"/>
      <c r="I97" s="109"/>
      <c r="J97" s="16"/>
    </row>
    <row r="98" spans="1:10" s="4" customFormat="1" ht="11.25" x14ac:dyDescent="0.2">
      <c r="A98" s="8" t="s">
        <v>178</v>
      </c>
      <c r="B98" s="8">
        <v>2240</v>
      </c>
      <c r="C98" s="8" t="s">
        <v>57</v>
      </c>
      <c r="D98" s="8" t="s">
        <v>58</v>
      </c>
      <c r="E98" s="8"/>
      <c r="F98" s="8"/>
      <c r="G98" s="8">
        <v>13</v>
      </c>
      <c r="H98" s="8">
        <v>7571</v>
      </c>
      <c r="I98" s="8">
        <v>131121</v>
      </c>
      <c r="J98" s="16"/>
    </row>
    <row r="99" spans="1:10" s="4" customFormat="1" ht="11.25" x14ac:dyDescent="0.2">
      <c r="A99" s="8" t="s">
        <v>178</v>
      </c>
      <c r="B99" s="8">
        <v>950</v>
      </c>
      <c r="C99" s="8" t="s">
        <v>80</v>
      </c>
      <c r="D99" s="8" t="s">
        <v>84</v>
      </c>
      <c r="E99" s="8"/>
      <c r="F99" s="8"/>
      <c r="G99" s="8">
        <v>13</v>
      </c>
      <c r="H99" s="8">
        <v>7667</v>
      </c>
      <c r="I99" s="8">
        <v>131126</v>
      </c>
      <c r="J99" s="16"/>
    </row>
    <row r="100" spans="1:10" s="4" customFormat="1" ht="11.25" x14ac:dyDescent="0.2">
      <c r="A100" s="8" t="s">
        <v>178</v>
      </c>
      <c r="B100" s="8">
        <v>1101</v>
      </c>
      <c r="C100" s="8" t="s">
        <v>80</v>
      </c>
      <c r="D100" s="8" t="s">
        <v>85</v>
      </c>
      <c r="E100" s="8" t="s">
        <v>64</v>
      </c>
      <c r="F100" s="8">
        <v>10</v>
      </c>
      <c r="G100" s="8">
        <v>13</v>
      </c>
      <c r="H100" s="8">
        <v>7284</v>
      </c>
      <c r="I100" s="8">
        <v>131107</v>
      </c>
      <c r="J100" s="16"/>
    </row>
    <row r="101" spans="1:10" s="4" customFormat="1" ht="11.25" x14ac:dyDescent="0.2">
      <c r="A101" s="8" t="s">
        <v>178</v>
      </c>
      <c r="B101" s="8">
        <v>1908</v>
      </c>
      <c r="C101" s="8" t="s">
        <v>89</v>
      </c>
      <c r="D101" s="8"/>
      <c r="E101" s="8"/>
      <c r="F101" s="8"/>
      <c r="G101" s="8">
        <v>13</v>
      </c>
      <c r="H101" s="8">
        <v>7195</v>
      </c>
      <c r="I101" s="8">
        <v>131105</v>
      </c>
      <c r="J101" s="16"/>
    </row>
    <row r="102" spans="1:10" s="4" customFormat="1" ht="11.25" x14ac:dyDescent="0.2">
      <c r="A102" s="8" t="s">
        <v>178</v>
      </c>
      <c r="B102" s="8">
        <v>1908</v>
      </c>
      <c r="C102" s="8" t="s">
        <v>89</v>
      </c>
      <c r="D102" s="8"/>
      <c r="E102" s="8"/>
      <c r="F102" s="8"/>
      <c r="G102" s="8">
        <v>13</v>
      </c>
      <c r="H102" s="8">
        <v>7615</v>
      </c>
      <c r="I102" s="8">
        <v>131125</v>
      </c>
      <c r="J102" s="16"/>
    </row>
    <row r="103" spans="1:10" s="4" customFormat="1" ht="11.25" x14ac:dyDescent="0.2">
      <c r="A103" s="8" t="s">
        <v>178</v>
      </c>
      <c r="B103" s="8">
        <v>1908</v>
      </c>
      <c r="C103" s="8" t="s">
        <v>89</v>
      </c>
      <c r="D103" s="8"/>
      <c r="E103" s="8"/>
      <c r="F103" s="8"/>
      <c r="G103" s="8">
        <v>13</v>
      </c>
      <c r="H103" s="8">
        <v>7512</v>
      </c>
      <c r="I103" s="8">
        <v>131119</v>
      </c>
      <c r="J103" s="16"/>
    </row>
    <row r="104" spans="1:10" s="4" customFormat="1" ht="11.25" x14ac:dyDescent="0.2">
      <c r="A104" s="8" t="s">
        <v>179</v>
      </c>
      <c r="B104" s="8">
        <v>1451</v>
      </c>
      <c r="C104" s="8" t="s">
        <v>180</v>
      </c>
      <c r="D104" s="8" t="s">
        <v>181</v>
      </c>
      <c r="E104" s="8">
        <v>10</v>
      </c>
      <c r="F104" s="8">
        <v>5</v>
      </c>
      <c r="G104" s="8">
        <v>13</v>
      </c>
      <c r="H104" s="8">
        <v>7432</v>
      </c>
      <c r="I104" s="8">
        <v>131114</v>
      </c>
      <c r="J104" s="16"/>
    </row>
    <row r="105" spans="1:10" s="4" customFormat="1" ht="11.25" x14ac:dyDescent="0.2">
      <c r="A105" s="8" t="s">
        <v>179</v>
      </c>
      <c r="B105" s="8">
        <v>2825</v>
      </c>
      <c r="C105" s="8" t="s">
        <v>105</v>
      </c>
      <c r="D105" s="8" t="s">
        <v>106</v>
      </c>
      <c r="E105" s="8">
        <v>4</v>
      </c>
      <c r="F105" s="8">
        <v>14</v>
      </c>
      <c r="G105" s="8">
        <v>13</v>
      </c>
      <c r="H105" s="8">
        <v>7408</v>
      </c>
      <c r="I105" s="8">
        <v>131113</v>
      </c>
      <c r="J105" s="16"/>
    </row>
    <row r="106" spans="1:10" s="4" customFormat="1" ht="11.25" x14ac:dyDescent="0.2">
      <c r="A106" s="8" t="s">
        <v>179</v>
      </c>
      <c r="B106" s="8">
        <v>2829</v>
      </c>
      <c r="C106" s="8" t="s">
        <v>105</v>
      </c>
      <c r="D106" s="8" t="s">
        <v>106</v>
      </c>
      <c r="E106" s="8">
        <v>4</v>
      </c>
      <c r="F106" s="8">
        <v>13</v>
      </c>
      <c r="G106" s="8">
        <v>13</v>
      </c>
      <c r="H106" s="8">
        <v>7336</v>
      </c>
      <c r="I106" s="8">
        <v>131112</v>
      </c>
      <c r="J106" s="16"/>
    </row>
    <row r="107" spans="1:10" s="4" customFormat="1" ht="11.25" x14ac:dyDescent="0.2">
      <c r="A107" s="8" t="s">
        <v>179</v>
      </c>
      <c r="B107" s="8">
        <v>1630</v>
      </c>
      <c r="C107" s="8" t="s">
        <v>107</v>
      </c>
      <c r="D107" s="8" t="s">
        <v>106</v>
      </c>
      <c r="E107" s="8">
        <v>13</v>
      </c>
      <c r="F107" s="8">
        <v>2</v>
      </c>
      <c r="G107" s="8">
        <v>13</v>
      </c>
      <c r="H107" s="8">
        <v>7240</v>
      </c>
      <c r="I107" s="8">
        <v>131106</v>
      </c>
      <c r="J107" s="16"/>
    </row>
    <row r="108" spans="1:10" s="4" customFormat="1" ht="11.25" x14ac:dyDescent="0.2">
      <c r="A108" s="8" t="s">
        <v>179</v>
      </c>
      <c r="B108" s="8">
        <v>1630</v>
      </c>
      <c r="C108" s="8" t="s">
        <v>107</v>
      </c>
      <c r="D108" s="8" t="s">
        <v>106</v>
      </c>
      <c r="E108" s="8">
        <v>13</v>
      </c>
      <c r="F108" s="8">
        <v>2</v>
      </c>
      <c r="G108" s="8">
        <v>13</v>
      </c>
      <c r="H108" s="8">
        <v>7243</v>
      </c>
      <c r="I108" s="8">
        <v>131106</v>
      </c>
      <c r="J108" s="16"/>
    </row>
    <row r="109" spans="1:10" s="4" customFormat="1" ht="11.25" x14ac:dyDescent="0.2">
      <c r="A109" s="8" t="s">
        <v>179</v>
      </c>
      <c r="B109" s="8">
        <v>710</v>
      </c>
      <c r="C109" s="8" t="s">
        <v>182</v>
      </c>
      <c r="D109" s="8" t="s">
        <v>110</v>
      </c>
      <c r="E109" s="8">
        <v>3</v>
      </c>
      <c r="F109" s="8">
        <v>6</v>
      </c>
      <c r="G109" s="8">
        <v>13</v>
      </c>
      <c r="H109" s="8">
        <v>7621</v>
      </c>
      <c r="I109" s="8">
        <v>131125</v>
      </c>
      <c r="J109" s="16"/>
    </row>
    <row r="110" spans="1:10" s="4" customFormat="1" ht="11.25" x14ac:dyDescent="0.2">
      <c r="A110" s="8" t="s">
        <v>179</v>
      </c>
      <c r="B110" s="8">
        <v>712</v>
      </c>
      <c r="C110" s="8" t="s">
        <v>183</v>
      </c>
      <c r="D110" s="8" t="s">
        <v>184</v>
      </c>
      <c r="E110" s="8">
        <v>8</v>
      </c>
      <c r="F110" s="8">
        <v>8</v>
      </c>
      <c r="G110" s="8">
        <v>13</v>
      </c>
      <c r="H110" s="8">
        <v>7146</v>
      </c>
      <c r="I110" s="8">
        <v>131101</v>
      </c>
      <c r="J110" s="16"/>
    </row>
    <row r="111" spans="1:10" s="4" customFormat="1" ht="11.25" x14ac:dyDescent="0.2">
      <c r="A111" s="8" t="s">
        <v>179</v>
      </c>
      <c r="B111" s="8">
        <v>4905</v>
      </c>
      <c r="C111" s="8" t="s">
        <v>185</v>
      </c>
      <c r="D111" s="8" t="s">
        <v>110</v>
      </c>
      <c r="E111" s="8">
        <v>12</v>
      </c>
      <c r="F111" s="8">
        <v>37</v>
      </c>
      <c r="G111" s="8">
        <v>13</v>
      </c>
      <c r="H111" s="8">
        <v>7347</v>
      </c>
      <c r="I111" s="8">
        <v>131112</v>
      </c>
      <c r="J111" s="16"/>
    </row>
    <row r="112" spans="1:10" s="4" customFormat="1" ht="11.25" x14ac:dyDescent="0.2">
      <c r="A112" s="8" t="s">
        <v>179</v>
      </c>
      <c r="B112" s="8">
        <v>311</v>
      </c>
      <c r="C112" s="8" t="s">
        <v>186</v>
      </c>
      <c r="D112" s="8" t="s">
        <v>187</v>
      </c>
      <c r="E112" s="8" t="s">
        <v>188</v>
      </c>
      <c r="F112" s="8">
        <v>4</v>
      </c>
      <c r="G112" s="8">
        <v>13</v>
      </c>
      <c r="H112" s="8">
        <v>7323</v>
      </c>
      <c r="I112" s="8">
        <v>131112</v>
      </c>
      <c r="J112" s="16"/>
    </row>
    <row r="113" spans="1:10" s="4" customFormat="1" ht="11.25" x14ac:dyDescent="0.2">
      <c r="A113" s="8" t="s">
        <v>179</v>
      </c>
      <c r="B113" s="8">
        <v>558</v>
      </c>
      <c r="C113" s="8" t="s">
        <v>189</v>
      </c>
      <c r="D113" s="8" t="s">
        <v>190</v>
      </c>
      <c r="E113" s="8">
        <v>5</v>
      </c>
      <c r="F113" s="8">
        <v>18</v>
      </c>
      <c r="G113" s="8">
        <v>13</v>
      </c>
      <c r="H113" s="8">
        <v>7658</v>
      </c>
      <c r="I113" s="8">
        <v>131126</v>
      </c>
      <c r="J113" s="16"/>
    </row>
    <row r="114" spans="1:10" s="4" customFormat="1" ht="11.25" x14ac:dyDescent="0.2">
      <c r="A114" s="8" t="s">
        <v>179</v>
      </c>
      <c r="B114" s="8">
        <v>907</v>
      </c>
      <c r="C114" s="8" t="s">
        <v>118</v>
      </c>
      <c r="D114" s="8" t="s">
        <v>119</v>
      </c>
      <c r="E114" s="8" t="s">
        <v>120</v>
      </c>
      <c r="F114" s="8">
        <v>35</v>
      </c>
      <c r="G114" s="8">
        <v>13</v>
      </c>
      <c r="H114" s="8">
        <v>7448</v>
      </c>
      <c r="I114" s="8">
        <v>131115</v>
      </c>
      <c r="J114" s="16"/>
    </row>
    <row r="115" spans="1:10" s="4" customFormat="1" ht="11.25" x14ac:dyDescent="0.2">
      <c r="A115" s="8" t="s">
        <v>179</v>
      </c>
      <c r="B115" s="8">
        <v>911</v>
      </c>
      <c r="C115" s="8" t="s">
        <v>118</v>
      </c>
      <c r="D115" s="8" t="s">
        <v>119</v>
      </c>
      <c r="E115" s="8" t="s">
        <v>120</v>
      </c>
      <c r="F115" s="8">
        <v>34</v>
      </c>
      <c r="G115" s="8">
        <v>13</v>
      </c>
      <c r="H115" s="8">
        <v>7531</v>
      </c>
      <c r="I115" s="8">
        <v>131120</v>
      </c>
      <c r="J115" s="16"/>
    </row>
    <row r="116" spans="1:10" s="4" customFormat="1" ht="11.25" x14ac:dyDescent="0.2">
      <c r="A116" s="8" t="s">
        <v>179</v>
      </c>
      <c r="B116" s="8">
        <v>915</v>
      </c>
      <c r="C116" s="8" t="s">
        <v>118</v>
      </c>
      <c r="D116" s="8" t="s">
        <v>119</v>
      </c>
      <c r="E116" s="8" t="s">
        <v>120</v>
      </c>
      <c r="F116" s="8">
        <v>33</v>
      </c>
      <c r="G116" s="8">
        <v>13</v>
      </c>
      <c r="H116" s="8">
        <v>7229</v>
      </c>
      <c r="I116" s="8">
        <v>131106</v>
      </c>
      <c r="J116" s="16"/>
    </row>
    <row r="117" spans="1:10" s="4" customFormat="1" ht="11.25" x14ac:dyDescent="0.2">
      <c r="A117" s="8" t="s">
        <v>179</v>
      </c>
      <c r="B117" s="8">
        <v>4301</v>
      </c>
      <c r="C117" s="8" t="s">
        <v>191</v>
      </c>
      <c r="D117" s="8" t="s">
        <v>110</v>
      </c>
      <c r="E117" s="8">
        <v>26</v>
      </c>
      <c r="F117" s="8">
        <v>12</v>
      </c>
      <c r="G117" s="8">
        <v>13</v>
      </c>
      <c r="H117" s="8">
        <v>7644</v>
      </c>
      <c r="I117" s="8">
        <v>131125</v>
      </c>
      <c r="J117" s="16"/>
    </row>
    <row r="118" spans="1:10" s="4" customFormat="1" ht="11.25" x14ac:dyDescent="0.2">
      <c r="A118" s="8" t="s">
        <v>179</v>
      </c>
      <c r="B118" s="8">
        <v>4981</v>
      </c>
      <c r="C118" s="8" t="s">
        <v>192</v>
      </c>
      <c r="D118" s="8" t="s">
        <v>193</v>
      </c>
      <c r="E118" s="8">
        <v>6</v>
      </c>
      <c r="F118" s="8">
        <v>42</v>
      </c>
      <c r="G118" s="8">
        <v>13</v>
      </c>
      <c r="H118" s="8">
        <v>7210</v>
      </c>
      <c r="I118" s="8">
        <v>131105</v>
      </c>
      <c r="J118" s="16"/>
    </row>
    <row r="119" spans="1:10" s="4" customFormat="1" ht="11.25" x14ac:dyDescent="0.2">
      <c r="A119" s="8" t="s">
        <v>179</v>
      </c>
      <c r="B119" s="8">
        <v>245</v>
      </c>
      <c r="C119" s="8" t="s">
        <v>167</v>
      </c>
      <c r="D119" s="8" t="s">
        <v>119</v>
      </c>
      <c r="E119" s="8" t="s">
        <v>120</v>
      </c>
      <c r="F119" s="8">
        <v>26</v>
      </c>
      <c r="G119" s="8">
        <v>13</v>
      </c>
      <c r="H119" s="8">
        <v>7233</v>
      </c>
      <c r="I119" s="8">
        <v>131106</v>
      </c>
      <c r="J119" s="16"/>
    </row>
    <row r="120" spans="1:10" s="4" customFormat="1" ht="11.25" x14ac:dyDescent="0.2">
      <c r="A120" s="8" t="s">
        <v>179</v>
      </c>
      <c r="B120" s="8">
        <v>257</v>
      </c>
      <c r="C120" s="8" t="s">
        <v>167</v>
      </c>
      <c r="D120" s="8" t="s">
        <v>119</v>
      </c>
      <c r="E120" s="8" t="s">
        <v>120</v>
      </c>
      <c r="F120" s="8">
        <v>29</v>
      </c>
      <c r="G120" s="8">
        <v>13</v>
      </c>
      <c r="H120" s="8">
        <v>7327</v>
      </c>
      <c r="I120" s="8">
        <v>131112</v>
      </c>
      <c r="J120" s="16"/>
    </row>
    <row r="121" spans="1:10" s="4" customFormat="1" ht="11.25" x14ac:dyDescent="0.2">
      <c r="A121" s="8" t="s">
        <v>179</v>
      </c>
      <c r="B121" s="8">
        <v>114</v>
      </c>
      <c r="C121" s="8" t="s">
        <v>123</v>
      </c>
      <c r="D121" s="8" t="s">
        <v>124</v>
      </c>
      <c r="E121" s="8">
        <v>4</v>
      </c>
      <c r="F121" s="8">
        <v>7</v>
      </c>
      <c r="G121" s="8">
        <v>13</v>
      </c>
      <c r="H121" s="8">
        <v>7403</v>
      </c>
      <c r="I121" s="8">
        <v>131113</v>
      </c>
      <c r="J121" s="16"/>
    </row>
    <row r="122" spans="1:10" s="4" customFormat="1" ht="11.25" x14ac:dyDescent="0.2">
      <c r="A122" s="8" t="s">
        <v>179</v>
      </c>
      <c r="B122" s="8">
        <v>850</v>
      </c>
      <c r="C122" s="8" t="s">
        <v>125</v>
      </c>
      <c r="D122" s="8" t="s">
        <v>126</v>
      </c>
      <c r="E122" s="8">
        <v>1</v>
      </c>
      <c r="F122" s="8">
        <v>66</v>
      </c>
      <c r="G122" s="8">
        <v>13</v>
      </c>
      <c r="H122" s="8">
        <v>7251</v>
      </c>
      <c r="I122" s="8">
        <v>131107</v>
      </c>
      <c r="J122" s="16"/>
    </row>
    <row r="123" spans="1:10" s="4" customFormat="1" ht="11.25" x14ac:dyDescent="0.2">
      <c r="A123" s="8" t="s">
        <v>179</v>
      </c>
      <c r="B123" s="8">
        <v>2345</v>
      </c>
      <c r="C123" s="8" t="s">
        <v>127</v>
      </c>
      <c r="D123" s="8" t="s">
        <v>128</v>
      </c>
      <c r="E123" s="8">
        <v>27</v>
      </c>
      <c r="F123" s="8">
        <v>23</v>
      </c>
      <c r="G123" s="8">
        <v>13</v>
      </c>
      <c r="H123" s="8">
        <v>7127</v>
      </c>
      <c r="I123" s="8">
        <v>131101</v>
      </c>
      <c r="J123" s="16"/>
    </row>
    <row r="124" spans="1:10" s="4" customFormat="1" ht="11.25" x14ac:dyDescent="0.2">
      <c r="A124" s="8" t="s">
        <v>179</v>
      </c>
      <c r="B124" s="8">
        <v>800</v>
      </c>
      <c r="C124" s="8" t="s">
        <v>171</v>
      </c>
      <c r="D124" s="8" t="s">
        <v>172</v>
      </c>
      <c r="E124" s="8">
        <v>35</v>
      </c>
      <c r="F124" s="8">
        <v>10</v>
      </c>
      <c r="G124" s="8">
        <v>13</v>
      </c>
      <c r="H124" s="8">
        <v>7457</v>
      </c>
      <c r="I124" s="8">
        <v>131115</v>
      </c>
      <c r="J124" s="16"/>
    </row>
    <row r="125" spans="1:10" s="4" customFormat="1" ht="11.25" x14ac:dyDescent="0.2">
      <c r="A125" s="8" t="s">
        <v>179</v>
      </c>
      <c r="B125" s="8">
        <v>800</v>
      </c>
      <c r="C125" s="8" t="s">
        <v>171</v>
      </c>
      <c r="D125" s="8" t="s">
        <v>172</v>
      </c>
      <c r="E125" s="8">
        <v>35</v>
      </c>
      <c r="F125" s="8">
        <v>10</v>
      </c>
      <c r="G125" s="8">
        <v>13</v>
      </c>
      <c r="H125" s="8">
        <v>7456</v>
      </c>
      <c r="I125" s="8">
        <v>131115</v>
      </c>
      <c r="J125" s="16"/>
    </row>
    <row r="126" spans="1:10" s="4" customFormat="1" ht="11.25" x14ac:dyDescent="0.2">
      <c r="A126" s="8" t="s">
        <v>179</v>
      </c>
      <c r="B126" s="8">
        <v>4101</v>
      </c>
      <c r="C126" s="8" t="s">
        <v>194</v>
      </c>
      <c r="D126" s="8" t="s">
        <v>54</v>
      </c>
      <c r="E126" s="8" t="s">
        <v>195</v>
      </c>
      <c r="F126" s="8" t="s">
        <v>196</v>
      </c>
      <c r="G126" s="8">
        <v>13</v>
      </c>
      <c r="H126" s="8">
        <v>7342</v>
      </c>
      <c r="I126" s="8">
        <v>131112</v>
      </c>
      <c r="J126" s="16"/>
    </row>
    <row r="127" spans="1:10" s="4" customFormat="1" ht="11.25" x14ac:dyDescent="0.2">
      <c r="A127" s="8" t="s">
        <v>179</v>
      </c>
      <c r="B127" s="8">
        <v>7300</v>
      </c>
      <c r="C127" s="8" t="s">
        <v>197</v>
      </c>
      <c r="D127" s="8" t="s">
        <v>198</v>
      </c>
      <c r="E127" s="8">
        <v>1</v>
      </c>
      <c r="F127" s="8">
        <v>1</v>
      </c>
      <c r="G127" s="8">
        <v>13</v>
      </c>
      <c r="H127" s="8">
        <v>7254</v>
      </c>
      <c r="I127" s="8">
        <v>131107</v>
      </c>
      <c r="J127" s="16"/>
    </row>
    <row r="128" spans="1:10" s="4" customFormat="1" ht="11.25" x14ac:dyDescent="0.2">
      <c r="A128" s="8" t="s">
        <v>179</v>
      </c>
      <c r="B128" s="8">
        <v>617</v>
      </c>
      <c r="C128" s="8" t="s">
        <v>173</v>
      </c>
      <c r="D128" s="8" t="s">
        <v>170</v>
      </c>
      <c r="E128" s="8">
        <v>1</v>
      </c>
      <c r="F128" s="8">
        <v>1</v>
      </c>
      <c r="G128" s="8">
        <v>13</v>
      </c>
      <c r="H128" s="8">
        <v>7678</v>
      </c>
      <c r="I128" s="8">
        <v>131126</v>
      </c>
      <c r="J128" s="16"/>
    </row>
    <row r="129" spans="1:10" s="4" customFormat="1" ht="11.25" x14ac:dyDescent="0.2">
      <c r="A129" s="8" t="s">
        <v>179</v>
      </c>
      <c r="B129" s="8">
        <v>809</v>
      </c>
      <c r="C129" s="8" t="s">
        <v>173</v>
      </c>
      <c r="D129" s="8" t="s">
        <v>199</v>
      </c>
      <c r="E129" s="8">
        <v>5</v>
      </c>
      <c r="F129" s="8">
        <v>4</v>
      </c>
      <c r="G129" s="8">
        <v>13</v>
      </c>
      <c r="H129" s="8">
        <v>7404</v>
      </c>
      <c r="I129" s="8">
        <v>131113</v>
      </c>
      <c r="J129" s="16"/>
    </row>
    <row r="130" spans="1:10" s="4" customFormat="1" ht="11.25" x14ac:dyDescent="0.2">
      <c r="A130" s="8" t="s">
        <v>179</v>
      </c>
      <c r="B130" s="8">
        <v>117</v>
      </c>
      <c r="C130" s="8" t="s">
        <v>200</v>
      </c>
      <c r="D130" s="8" t="s">
        <v>114</v>
      </c>
      <c r="E130" s="8">
        <v>7</v>
      </c>
      <c r="F130" s="8">
        <v>29</v>
      </c>
      <c r="G130" s="8">
        <v>13</v>
      </c>
      <c r="H130" s="8">
        <v>7648</v>
      </c>
      <c r="I130" s="8">
        <v>131126</v>
      </c>
      <c r="J130" s="16"/>
    </row>
    <row r="131" spans="1:10" s="4" customFormat="1" ht="11.25" x14ac:dyDescent="0.2">
      <c r="A131" s="8" t="s">
        <v>179</v>
      </c>
      <c r="B131" s="8">
        <v>4015</v>
      </c>
      <c r="C131" s="8" t="s">
        <v>132</v>
      </c>
      <c r="D131" s="8" t="s">
        <v>133</v>
      </c>
      <c r="E131" s="8">
        <v>2</v>
      </c>
      <c r="F131" s="8">
        <v>5</v>
      </c>
      <c r="G131" s="8">
        <v>13</v>
      </c>
      <c r="H131" s="8">
        <v>7405</v>
      </c>
      <c r="I131" s="8">
        <v>131113</v>
      </c>
      <c r="J131" s="16"/>
    </row>
    <row r="132" spans="1:10" s="4" customFormat="1" ht="11.25" x14ac:dyDescent="0.2">
      <c r="A132" s="8" t="s">
        <v>179</v>
      </c>
      <c r="B132" s="8">
        <v>4023</v>
      </c>
      <c r="C132" s="8" t="s">
        <v>132</v>
      </c>
      <c r="D132" s="8" t="s">
        <v>133</v>
      </c>
      <c r="E132" s="8">
        <v>2</v>
      </c>
      <c r="F132" s="8">
        <v>3</v>
      </c>
      <c r="G132" s="8">
        <v>13</v>
      </c>
      <c r="H132" s="8">
        <v>7406</v>
      </c>
      <c r="I132" s="8">
        <v>131113</v>
      </c>
      <c r="J132" s="16"/>
    </row>
    <row r="133" spans="1:10" s="4" customFormat="1" ht="11.25" x14ac:dyDescent="0.2">
      <c r="A133" s="8" t="s">
        <v>179</v>
      </c>
      <c r="B133" s="8">
        <v>4027</v>
      </c>
      <c r="C133" s="8" t="s">
        <v>132</v>
      </c>
      <c r="D133" s="8" t="s">
        <v>133</v>
      </c>
      <c r="E133" s="8">
        <v>2</v>
      </c>
      <c r="F133" s="8">
        <v>2</v>
      </c>
      <c r="G133" s="8">
        <v>13</v>
      </c>
      <c r="H133" s="8">
        <v>7329</v>
      </c>
      <c r="I133" s="8">
        <v>131112</v>
      </c>
      <c r="J133" s="16"/>
    </row>
    <row r="134" spans="1:10" s="4" customFormat="1" ht="11.25" x14ac:dyDescent="0.2">
      <c r="A134" s="8" t="s">
        <v>179</v>
      </c>
      <c r="B134" s="8">
        <v>825</v>
      </c>
      <c r="C134" s="8" t="s">
        <v>134</v>
      </c>
      <c r="D134" s="8" t="s">
        <v>126</v>
      </c>
      <c r="E134" s="8">
        <v>13</v>
      </c>
      <c r="F134" s="8">
        <v>31</v>
      </c>
      <c r="G134" s="8">
        <v>13</v>
      </c>
      <c r="H134" s="8">
        <v>7390</v>
      </c>
      <c r="I134" s="8">
        <v>131113</v>
      </c>
      <c r="J134" s="16"/>
    </row>
    <row r="135" spans="1:10" s="4" customFormat="1" ht="11.25" x14ac:dyDescent="0.2">
      <c r="A135" s="8" t="s">
        <v>179</v>
      </c>
      <c r="B135" s="8">
        <v>131</v>
      </c>
      <c r="C135" s="8" t="s">
        <v>201</v>
      </c>
      <c r="D135" s="8" t="s">
        <v>202</v>
      </c>
      <c r="E135" s="8" t="s">
        <v>203</v>
      </c>
      <c r="F135" s="8">
        <v>28</v>
      </c>
      <c r="G135" s="8">
        <v>13</v>
      </c>
      <c r="H135" s="8">
        <v>7196</v>
      </c>
      <c r="I135" s="8">
        <v>131105</v>
      </c>
      <c r="J135" s="16"/>
    </row>
    <row r="136" spans="1:10" s="4" customFormat="1" ht="11.25" x14ac:dyDescent="0.2">
      <c r="A136" s="8" t="s">
        <v>179</v>
      </c>
      <c r="B136" s="8">
        <v>709</v>
      </c>
      <c r="C136" s="8" t="s">
        <v>135</v>
      </c>
      <c r="D136" s="8" t="s">
        <v>136</v>
      </c>
      <c r="E136" s="8">
        <v>1</v>
      </c>
      <c r="F136" s="8">
        <v>6</v>
      </c>
      <c r="G136" s="8">
        <v>13</v>
      </c>
      <c r="H136" s="8">
        <v>7305</v>
      </c>
      <c r="I136" s="8">
        <v>131108</v>
      </c>
      <c r="J136" s="16"/>
    </row>
    <row r="137" spans="1:10" s="4" customFormat="1" ht="11.25" x14ac:dyDescent="0.2">
      <c r="A137" s="8" t="s">
        <v>179</v>
      </c>
      <c r="B137" s="8">
        <v>1621</v>
      </c>
      <c r="C137" s="8" t="s">
        <v>137</v>
      </c>
      <c r="D137" s="8" t="s">
        <v>106</v>
      </c>
      <c r="E137" s="8">
        <v>13</v>
      </c>
      <c r="F137" s="8">
        <v>6</v>
      </c>
      <c r="G137" s="8">
        <v>13</v>
      </c>
      <c r="H137" s="8">
        <v>7428</v>
      </c>
      <c r="I137" s="8">
        <v>131114</v>
      </c>
      <c r="J137" s="16"/>
    </row>
    <row r="138" spans="1:10" s="4" customFormat="1" ht="11.25" x14ac:dyDescent="0.2">
      <c r="A138" s="8" t="s">
        <v>179</v>
      </c>
      <c r="B138" s="8">
        <v>1625</v>
      </c>
      <c r="C138" s="8" t="s">
        <v>137</v>
      </c>
      <c r="D138" s="8" t="s">
        <v>106</v>
      </c>
      <c r="E138" s="8">
        <v>13</v>
      </c>
      <c r="F138" s="8">
        <v>7</v>
      </c>
      <c r="G138" s="8">
        <v>13</v>
      </c>
      <c r="H138" s="8">
        <v>7692</v>
      </c>
      <c r="I138" s="8">
        <v>131127</v>
      </c>
      <c r="J138" s="16"/>
    </row>
    <row r="139" spans="1:10" s="4" customFormat="1" ht="11.25" x14ac:dyDescent="0.2">
      <c r="A139" s="8" t="s">
        <v>179</v>
      </c>
      <c r="B139" s="8">
        <v>2639</v>
      </c>
      <c r="C139" s="8" t="s">
        <v>204</v>
      </c>
      <c r="D139" s="8" t="s">
        <v>205</v>
      </c>
      <c r="E139" s="8">
        <v>15</v>
      </c>
      <c r="F139" s="8">
        <v>5</v>
      </c>
      <c r="G139" s="8">
        <v>13</v>
      </c>
      <c r="H139" s="8">
        <v>7131</v>
      </c>
      <c r="I139" s="8">
        <v>131101</v>
      </c>
      <c r="J139" s="16"/>
    </row>
    <row r="140" spans="1:10" s="4" customFormat="1" ht="11.25" x14ac:dyDescent="0.2">
      <c r="A140" s="8" t="s">
        <v>179</v>
      </c>
      <c r="B140" s="8">
        <v>4213</v>
      </c>
      <c r="C140" s="8" t="s">
        <v>138</v>
      </c>
      <c r="D140" s="8" t="s">
        <v>114</v>
      </c>
      <c r="E140" s="8">
        <v>6</v>
      </c>
      <c r="F140" s="8">
        <v>18</v>
      </c>
      <c r="G140" s="8">
        <v>13</v>
      </c>
      <c r="H140" s="8">
        <v>7172</v>
      </c>
      <c r="I140" s="8">
        <v>131104</v>
      </c>
      <c r="J140" s="16"/>
    </row>
    <row r="141" spans="1:10" s="4" customFormat="1" ht="11.25" x14ac:dyDescent="0.2">
      <c r="A141" s="8" t="s">
        <v>179</v>
      </c>
      <c r="B141" s="8">
        <v>698</v>
      </c>
      <c r="C141" s="8" t="s">
        <v>139</v>
      </c>
      <c r="D141" s="8" t="s">
        <v>133</v>
      </c>
      <c r="E141" s="8">
        <v>3</v>
      </c>
      <c r="F141" s="8">
        <v>13</v>
      </c>
      <c r="G141" s="8">
        <v>13</v>
      </c>
      <c r="H141" s="8">
        <v>7163</v>
      </c>
      <c r="I141" s="8">
        <v>131104</v>
      </c>
      <c r="J141" s="16"/>
    </row>
    <row r="142" spans="1:10" s="4" customFormat="1" ht="11.25" x14ac:dyDescent="0.2">
      <c r="A142" s="8" t="s">
        <v>179</v>
      </c>
      <c r="B142" s="8">
        <v>7108</v>
      </c>
      <c r="C142" s="8" t="s">
        <v>140</v>
      </c>
      <c r="D142" s="8" t="s">
        <v>141</v>
      </c>
      <c r="E142" s="8">
        <v>4</v>
      </c>
      <c r="F142" s="8">
        <v>42</v>
      </c>
      <c r="G142" s="8">
        <v>13</v>
      </c>
      <c r="H142" s="8">
        <v>7234</v>
      </c>
      <c r="I142" s="8">
        <v>131106</v>
      </c>
      <c r="J142" s="16"/>
    </row>
    <row r="143" spans="1:10" s="4" customFormat="1" ht="11.25" x14ac:dyDescent="0.2">
      <c r="A143" s="8" t="s">
        <v>179</v>
      </c>
      <c r="B143" s="8">
        <v>7112</v>
      </c>
      <c r="C143" s="8" t="s">
        <v>140</v>
      </c>
      <c r="D143" s="8" t="s">
        <v>141</v>
      </c>
      <c r="E143" s="8">
        <v>4</v>
      </c>
      <c r="F143" s="8">
        <v>41</v>
      </c>
      <c r="G143" s="8">
        <v>13</v>
      </c>
      <c r="H143" s="8">
        <v>7232</v>
      </c>
      <c r="I143" s="8">
        <v>131106</v>
      </c>
      <c r="J143" s="16"/>
    </row>
    <row r="144" spans="1:10" s="4" customFormat="1" ht="11.25" x14ac:dyDescent="0.2">
      <c r="A144" s="8" t="s">
        <v>179</v>
      </c>
      <c r="B144" s="8">
        <v>7116</v>
      </c>
      <c r="C144" s="8" t="s">
        <v>140</v>
      </c>
      <c r="D144" s="8" t="s">
        <v>141</v>
      </c>
      <c r="E144" s="8">
        <v>4</v>
      </c>
      <c r="F144" s="8">
        <v>40</v>
      </c>
      <c r="G144" s="8">
        <v>13</v>
      </c>
      <c r="H144" s="8">
        <v>7235</v>
      </c>
      <c r="I144" s="8">
        <v>131106</v>
      </c>
      <c r="J144" s="16"/>
    </row>
    <row r="145" spans="1:10" s="4" customFormat="1" ht="11.25" x14ac:dyDescent="0.2">
      <c r="A145" s="8" t="s">
        <v>179</v>
      </c>
      <c r="B145" s="8">
        <v>7220</v>
      </c>
      <c r="C145" s="8" t="s">
        <v>206</v>
      </c>
      <c r="D145" s="8" t="s">
        <v>207</v>
      </c>
      <c r="E145" s="8">
        <v>2</v>
      </c>
      <c r="F145" s="8">
        <v>6</v>
      </c>
      <c r="G145" s="8">
        <v>13</v>
      </c>
      <c r="H145" s="8">
        <v>7365</v>
      </c>
      <c r="I145" s="8">
        <v>131112</v>
      </c>
      <c r="J145" s="16"/>
    </row>
    <row r="146" spans="1:10" s="4" customFormat="1" ht="11.25" x14ac:dyDescent="0.2">
      <c r="A146" s="8" t="s">
        <v>179</v>
      </c>
      <c r="B146" s="8">
        <v>1231</v>
      </c>
      <c r="C146" s="8" t="s">
        <v>208</v>
      </c>
      <c r="D146" s="8" t="s">
        <v>209</v>
      </c>
      <c r="E146" s="8">
        <v>1</v>
      </c>
      <c r="F146" s="8" t="s">
        <v>203</v>
      </c>
      <c r="G146" s="8">
        <v>13</v>
      </c>
      <c r="H146" s="8">
        <v>7282</v>
      </c>
      <c r="I146" s="8">
        <v>131107</v>
      </c>
      <c r="J146" s="16"/>
    </row>
    <row r="147" spans="1:10" s="4" customFormat="1" ht="11.25" x14ac:dyDescent="0.2">
      <c r="A147" s="8" t="s">
        <v>179</v>
      </c>
      <c r="B147" s="8">
        <v>1400</v>
      </c>
      <c r="C147" s="8" t="s">
        <v>208</v>
      </c>
      <c r="D147" s="8" t="s">
        <v>209</v>
      </c>
      <c r="E147" s="8">
        <v>3</v>
      </c>
      <c r="F147" s="8">
        <v>5</v>
      </c>
      <c r="G147" s="8">
        <v>13</v>
      </c>
      <c r="H147" s="8">
        <v>7375</v>
      </c>
      <c r="I147" s="8">
        <v>131112</v>
      </c>
      <c r="J147" s="16"/>
    </row>
    <row r="148" spans="1:10" s="4" customFormat="1" ht="11.25" x14ac:dyDescent="0.2">
      <c r="A148" s="8" t="s">
        <v>179</v>
      </c>
      <c r="B148" s="8">
        <v>5520</v>
      </c>
      <c r="C148" s="8" t="s">
        <v>149</v>
      </c>
      <c r="D148" s="8" t="s">
        <v>97</v>
      </c>
      <c r="E148" s="8">
        <v>76</v>
      </c>
      <c r="F148" s="8">
        <v>7</v>
      </c>
      <c r="G148" s="8">
        <v>13</v>
      </c>
      <c r="H148" s="8">
        <v>7635</v>
      </c>
      <c r="I148" s="8">
        <v>131125</v>
      </c>
      <c r="J148" s="16"/>
    </row>
    <row r="149" spans="1:10" s="4" customFormat="1" ht="11.25" x14ac:dyDescent="0.2">
      <c r="A149" s="8" t="s">
        <v>179</v>
      </c>
      <c r="B149" s="8">
        <v>695</v>
      </c>
      <c r="C149" s="8" t="s">
        <v>210</v>
      </c>
      <c r="D149" s="8" t="s">
        <v>211</v>
      </c>
      <c r="E149" s="8">
        <v>19</v>
      </c>
      <c r="F149" s="8">
        <v>16</v>
      </c>
      <c r="G149" s="8">
        <v>13</v>
      </c>
      <c r="H149" s="8">
        <v>7174</v>
      </c>
      <c r="I149" s="8">
        <v>131104</v>
      </c>
      <c r="J149" s="16"/>
    </row>
    <row r="150" spans="1:10" s="4" customFormat="1" ht="11.25" x14ac:dyDescent="0.2">
      <c r="A150" s="8" t="s">
        <v>179</v>
      </c>
      <c r="B150" s="8">
        <v>2200</v>
      </c>
      <c r="C150" s="8" t="s">
        <v>150</v>
      </c>
      <c r="D150" s="8" t="s">
        <v>151</v>
      </c>
      <c r="E150" s="8">
        <v>1</v>
      </c>
      <c r="F150" s="8">
        <v>36</v>
      </c>
      <c r="G150" s="8">
        <v>13</v>
      </c>
      <c r="H150" s="8">
        <v>7266</v>
      </c>
      <c r="I150" s="8">
        <v>131107</v>
      </c>
      <c r="J150" s="16"/>
    </row>
    <row r="151" spans="1:10" s="4" customFormat="1" ht="11.25" x14ac:dyDescent="0.2">
      <c r="A151" s="8" t="s">
        <v>179</v>
      </c>
      <c r="B151" s="8">
        <v>2201</v>
      </c>
      <c r="C151" s="8" t="s">
        <v>150</v>
      </c>
      <c r="D151" s="8" t="s">
        <v>151</v>
      </c>
      <c r="E151" s="8">
        <v>9</v>
      </c>
      <c r="F151" s="8">
        <v>15</v>
      </c>
      <c r="G151" s="8">
        <v>13</v>
      </c>
      <c r="H151" s="8">
        <v>7668</v>
      </c>
      <c r="I151" s="8">
        <v>131126</v>
      </c>
      <c r="J151" s="16"/>
    </row>
    <row r="152" spans="1:10" s="4" customFormat="1" ht="11.25" x14ac:dyDescent="0.2">
      <c r="A152" s="8" t="s">
        <v>179</v>
      </c>
      <c r="B152" s="8">
        <v>2204</v>
      </c>
      <c r="C152" s="8" t="s">
        <v>150</v>
      </c>
      <c r="D152" s="8" t="s">
        <v>151</v>
      </c>
      <c r="E152" s="8">
        <v>1</v>
      </c>
      <c r="F152" s="8">
        <v>37</v>
      </c>
      <c r="G152" s="8">
        <v>13</v>
      </c>
      <c r="H152" s="8">
        <v>7669</v>
      </c>
      <c r="I152" s="8">
        <v>131126</v>
      </c>
      <c r="J152" s="16"/>
    </row>
    <row r="153" spans="1:10" s="4" customFormat="1" ht="11.25" x14ac:dyDescent="0.2">
      <c r="A153" s="8" t="s">
        <v>179</v>
      </c>
      <c r="B153" s="8">
        <v>1545</v>
      </c>
      <c r="C153" s="8" t="s">
        <v>152</v>
      </c>
      <c r="D153" s="8" t="s">
        <v>106</v>
      </c>
      <c r="E153" s="8">
        <v>1</v>
      </c>
      <c r="F153" s="8">
        <v>37</v>
      </c>
      <c r="G153" s="8">
        <v>13</v>
      </c>
      <c r="H153" s="8">
        <v>7665</v>
      </c>
      <c r="I153" s="8">
        <v>131126</v>
      </c>
      <c r="J153" s="16"/>
    </row>
    <row r="154" spans="1:10" s="4" customFormat="1" ht="11.25" x14ac:dyDescent="0.2">
      <c r="A154" s="8" t="s">
        <v>179</v>
      </c>
      <c r="B154" s="8">
        <v>1549</v>
      </c>
      <c r="C154" s="8" t="s">
        <v>152</v>
      </c>
      <c r="D154" s="8" t="s">
        <v>106</v>
      </c>
      <c r="E154" s="8">
        <v>1</v>
      </c>
      <c r="F154" s="8">
        <v>36</v>
      </c>
      <c r="G154" s="8">
        <v>13</v>
      </c>
      <c r="H154" s="8">
        <v>7297</v>
      </c>
      <c r="I154" s="8">
        <v>131108</v>
      </c>
      <c r="J154" s="16"/>
    </row>
    <row r="155" spans="1:10" s="4" customFormat="1" ht="11.25" x14ac:dyDescent="0.2">
      <c r="A155" s="8" t="s">
        <v>179</v>
      </c>
      <c r="B155" s="8">
        <v>623</v>
      </c>
      <c r="C155" s="8" t="s">
        <v>153</v>
      </c>
      <c r="D155" s="8" t="s">
        <v>133</v>
      </c>
      <c r="E155" s="8">
        <v>1</v>
      </c>
      <c r="F155" s="8">
        <v>6</v>
      </c>
      <c r="G155" s="8">
        <v>13</v>
      </c>
      <c r="H155" s="8">
        <v>7330</v>
      </c>
      <c r="I155" s="8">
        <v>131112</v>
      </c>
      <c r="J155" s="16"/>
    </row>
    <row r="156" spans="1:10" s="4" customFormat="1" ht="11.25" x14ac:dyDescent="0.2">
      <c r="A156" s="8" t="s">
        <v>179</v>
      </c>
      <c r="B156" s="8">
        <v>7115</v>
      </c>
      <c r="C156" s="8" t="s">
        <v>212</v>
      </c>
      <c r="D156" s="8" t="s">
        <v>141</v>
      </c>
      <c r="E156" s="8">
        <v>4</v>
      </c>
      <c r="F156" s="8">
        <v>4</v>
      </c>
      <c r="G156" s="8">
        <v>13</v>
      </c>
      <c r="H156" s="8">
        <v>7230</v>
      </c>
      <c r="I156" s="8">
        <v>131106</v>
      </c>
      <c r="J156" s="16"/>
    </row>
    <row r="157" spans="1:10" s="4" customFormat="1" ht="11.25" x14ac:dyDescent="0.2">
      <c r="A157" s="8" t="s">
        <v>179</v>
      </c>
      <c r="B157" s="8">
        <v>2820</v>
      </c>
      <c r="C157" s="8" t="s">
        <v>154</v>
      </c>
      <c r="D157" s="8" t="s">
        <v>155</v>
      </c>
      <c r="E157" s="8" t="s">
        <v>64</v>
      </c>
      <c r="F157" s="8">
        <v>6</v>
      </c>
      <c r="G157" s="8">
        <v>13</v>
      </c>
      <c r="H157" s="8">
        <v>7481</v>
      </c>
      <c r="I157" s="8">
        <v>131118</v>
      </c>
      <c r="J157" s="16"/>
    </row>
    <row r="158" spans="1:10" s="4" customFormat="1" ht="11.25" x14ac:dyDescent="0.2">
      <c r="A158" s="8" t="s">
        <v>179</v>
      </c>
      <c r="B158" s="8">
        <v>1612</v>
      </c>
      <c r="C158" s="8" t="s">
        <v>161</v>
      </c>
      <c r="D158" s="8" t="s">
        <v>72</v>
      </c>
      <c r="E158" s="8">
        <v>16</v>
      </c>
      <c r="F158" s="8">
        <v>18</v>
      </c>
      <c r="G158" s="8">
        <v>13</v>
      </c>
      <c r="H158" s="8">
        <v>7341</v>
      </c>
      <c r="I158" s="8">
        <v>131112</v>
      </c>
      <c r="J158" s="16"/>
    </row>
    <row r="159" spans="1:10" s="4" customFormat="1" ht="11.25" x14ac:dyDescent="0.2">
      <c r="A159" s="8" t="s">
        <v>179</v>
      </c>
      <c r="B159" s="8">
        <v>336</v>
      </c>
      <c r="C159" s="8" t="s">
        <v>213</v>
      </c>
      <c r="D159" s="8" t="s">
        <v>202</v>
      </c>
      <c r="E159" s="8">
        <v>1</v>
      </c>
      <c r="F159" s="8">
        <v>38</v>
      </c>
      <c r="G159" s="8">
        <v>13</v>
      </c>
      <c r="H159" s="8">
        <v>7601</v>
      </c>
      <c r="I159" s="8">
        <v>131122</v>
      </c>
      <c r="J159" s="16"/>
    </row>
    <row r="160" spans="1:10" s="4" customFormat="1" ht="11.25" x14ac:dyDescent="0.2">
      <c r="A160" s="8" t="s">
        <v>179</v>
      </c>
      <c r="B160" s="8">
        <v>813</v>
      </c>
      <c r="C160" s="8" t="s">
        <v>214</v>
      </c>
      <c r="D160" s="8" t="s">
        <v>81</v>
      </c>
      <c r="E160" s="8">
        <v>9</v>
      </c>
      <c r="F160" s="8">
        <v>50</v>
      </c>
      <c r="G160" s="8">
        <v>13</v>
      </c>
      <c r="H160" s="8">
        <v>7145</v>
      </c>
      <c r="I160" s="8">
        <v>131101</v>
      </c>
      <c r="J160" s="16"/>
    </row>
    <row r="161" spans="1:10" s="4" customFormat="1" ht="22.5" x14ac:dyDescent="0.2">
      <c r="A161" s="86" t="s">
        <v>485</v>
      </c>
      <c r="B161" s="102">
        <f>160-97</f>
        <v>63</v>
      </c>
      <c r="C161" s="109"/>
      <c r="D161" s="109"/>
      <c r="E161" s="109"/>
      <c r="F161" s="109"/>
      <c r="G161" s="109"/>
      <c r="H161" s="109"/>
      <c r="I161" s="109"/>
      <c r="J161" s="16"/>
    </row>
    <row r="162" spans="1:10" s="4" customFormat="1" ht="11.25" x14ac:dyDescent="0.2">
      <c r="A162" s="9" t="s">
        <v>486</v>
      </c>
      <c r="B162" s="109"/>
      <c r="C162" s="109"/>
      <c r="D162" s="109"/>
      <c r="E162" s="109"/>
      <c r="F162" s="109"/>
      <c r="G162" s="109"/>
      <c r="H162" s="109"/>
      <c r="I162" s="109"/>
      <c r="J162" s="16"/>
    </row>
    <row r="163" spans="1:10" s="4" customFormat="1" ht="11.25" x14ac:dyDescent="0.2">
      <c r="A163" s="8" t="s">
        <v>215</v>
      </c>
      <c r="B163" s="8">
        <v>100</v>
      </c>
      <c r="C163" s="8" t="s">
        <v>62</v>
      </c>
      <c r="D163" s="8" t="s">
        <v>216</v>
      </c>
      <c r="E163" s="8" t="s">
        <v>168</v>
      </c>
      <c r="F163" s="8" t="s">
        <v>56</v>
      </c>
      <c r="G163" s="8">
        <v>13</v>
      </c>
      <c r="H163" s="8">
        <v>7179</v>
      </c>
      <c r="I163" s="8">
        <v>131104</v>
      </c>
      <c r="J163" s="16"/>
    </row>
    <row r="164" spans="1:10" s="4" customFormat="1" ht="11.25" x14ac:dyDescent="0.2">
      <c r="A164" s="8" t="s">
        <v>215</v>
      </c>
      <c r="B164" s="8">
        <v>1751</v>
      </c>
      <c r="C164" s="8" t="s">
        <v>62</v>
      </c>
      <c r="D164" s="8" t="s">
        <v>68</v>
      </c>
      <c r="E164" s="8"/>
      <c r="F164" s="8"/>
      <c r="G164" s="8">
        <v>13</v>
      </c>
      <c r="H164" s="8">
        <v>7504</v>
      </c>
      <c r="I164" s="8">
        <v>131118</v>
      </c>
      <c r="J164" s="16"/>
    </row>
    <row r="165" spans="1:10" s="4" customFormat="1" ht="11.25" x14ac:dyDescent="0.2">
      <c r="A165" s="8" t="s">
        <v>215</v>
      </c>
      <c r="B165" s="8">
        <v>3777</v>
      </c>
      <c r="C165" s="8" t="s">
        <v>62</v>
      </c>
      <c r="D165" s="8" t="s">
        <v>69</v>
      </c>
      <c r="E165" s="8" t="s">
        <v>67</v>
      </c>
      <c r="F165" s="8" t="s">
        <v>70</v>
      </c>
      <c r="G165" s="8">
        <v>13</v>
      </c>
      <c r="H165" s="8">
        <v>7602</v>
      </c>
      <c r="I165" s="8">
        <v>131122</v>
      </c>
      <c r="J165" s="16"/>
    </row>
    <row r="166" spans="1:10" s="4" customFormat="1" ht="11.25" x14ac:dyDescent="0.2">
      <c r="A166" s="8" t="s">
        <v>215</v>
      </c>
      <c r="B166" s="8">
        <v>4100</v>
      </c>
      <c r="C166" s="8" t="s">
        <v>71</v>
      </c>
      <c r="D166" s="8" t="s">
        <v>76</v>
      </c>
      <c r="E166" s="8"/>
      <c r="F166" s="8"/>
      <c r="G166" s="8">
        <v>13</v>
      </c>
      <c r="H166" s="8">
        <v>7444</v>
      </c>
      <c r="I166" s="8">
        <v>131114</v>
      </c>
      <c r="J166" s="16"/>
    </row>
    <row r="167" spans="1:10" s="4" customFormat="1" ht="11.25" x14ac:dyDescent="0.2">
      <c r="A167" s="8" t="s">
        <v>215</v>
      </c>
      <c r="B167" s="8">
        <v>4600</v>
      </c>
      <c r="C167" s="8" t="s">
        <v>217</v>
      </c>
      <c r="D167" s="8" t="s">
        <v>218</v>
      </c>
      <c r="E167" s="8" t="s">
        <v>64</v>
      </c>
      <c r="F167" s="8" t="s">
        <v>56</v>
      </c>
      <c r="G167" s="8">
        <v>13</v>
      </c>
      <c r="H167" s="8">
        <v>7226</v>
      </c>
      <c r="I167" s="8">
        <v>131106</v>
      </c>
      <c r="J167" s="16"/>
    </row>
    <row r="168" spans="1:10" s="4" customFormat="1" ht="11.25" x14ac:dyDescent="0.2">
      <c r="A168" s="8" t="s">
        <v>215</v>
      </c>
      <c r="B168" s="8">
        <v>365</v>
      </c>
      <c r="C168" s="8" t="s">
        <v>80</v>
      </c>
      <c r="D168" s="8" t="s">
        <v>81</v>
      </c>
      <c r="E168" s="8" t="s">
        <v>82</v>
      </c>
      <c r="F168" s="8" t="s">
        <v>83</v>
      </c>
      <c r="G168" s="8">
        <v>13</v>
      </c>
      <c r="H168" s="8">
        <v>7529</v>
      </c>
      <c r="I168" s="8">
        <v>131120</v>
      </c>
      <c r="J168" s="16"/>
    </row>
    <row r="169" spans="1:10" s="4" customFormat="1" ht="11.25" x14ac:dyDescent="0.2">
      <c r="A169" s="8" t="s">
        <v>215</v>
      </c>
      <c r="B169" s="8">
        <v>373</v>
      </c>
      <c r="C169" s="8" t="s">
        <v>80</v>
      </c>
      <c r="D169" s="8" t="s">
        <v>81</v>
      </c>
      <c r="E169" s="8" t="s">
        <v>82</v>
      </c>
      <c r="F169" s="8" t="s">
        <v>83</v>
      </c>
      <c r="G169" s="8">
        <v>13</v>
      </c>
      <c r="H169" s="8">
        <v>7530</v>
      </c>
      <c r="I169" s="8">
        <v>131120</v>
      </c>
      <c r="J169" s="16"/>
    </row>
    <row r="170" spans="1:10" s="4" customFormat="1" ht="11.25" x14ac:dyDescent="0.2">
      <c r="A170" s="8" t="s">
        <v>215</v>
      </c>
      <c r="B170" s="8">
        <v>851</v>
      </c>
      <c r="C170" s="8" t="s">
        <v>80</v>
      </c>
      <c r="D170" s="8" t="s">
        <v>219</v>
      </c>
      <c r="E170" s="8"/>
      <c r="F170" s="8" t="s">
        <v>145</v>
      </c>
      <c r="G170" s="8">
        <v>13</v>
      </c>
      <c r="H170" s="8">
        <v>7401</v>
      </c>
      <c r="I170" s="8">
        <v>131113</v>
      </c>
      <c r="J170" s="16"/>
    </row>
    <row r="171" spans="1:10" s="4" customFormat="1" ht="11.25" x14ac:dyDescent="0.2">
      <c r="A171" s="8" t="s">
        <v>215</v>
      </c>
      <c r="B171" s="8">
        <v>950</v>
      </c>
      <c r="C171" s="8" t="s">
        <v>80</v>
      </c>
      <c r="D171" s="8" t="s">
        <v>84</v>
      </c>
      <c r="E171" s="8"/>
      <c r="F171" s="8"/>
      <c r="G171" s="8">
        <v>13</v>
      </c>
      <c r="H171" s="8">
        <v>7612</v>
      </c>
      <c r="I171" s="8">
        <v>131125</v>
      </c>
      <c r="J171" s="16"/>
    </row>
    <row r="172" spans="1:10" s="4" customFormat="1" ht="11.25" x14ac:dyDescent="0.2">
      <c r="A172" s="8" t="s">
        <v>215</v>
      </c>
      <c r="B172" s="8">
        <v>1101</v>
      </c>
      <c r="C172" s="8" t="s">
        <v>80</v>
      </c>
      <c r="D172" s="8" t="s">
        <v>85</v>
      </c>
      <c r="E172" s="8" t="s">
        <v>64</v>
      </c>
      <c r="F172" s="8">
        <v>10</v>
      </c>
      <c r="G172" s="8">
        <v>13</v>
      </c>
      <c r="H172" s="8">
        <v>7283</v>
      </c>
      <c r="I172" s="8">
        <v>131107</v>
      </c>
      <c r="J172" s="16"/>
    </row>
    <row r="173" spans="1:10" s="4" customFormat="1" ht="11.25" x14ac:dyDescent="0.2">
      <c r="A173" s="8" t="s">
        <v>215</v>
      </c>
      <c r="B173" s="8">
        <v>1534</v>
      </c>
      <c r="C173" s="8" t="s">
        <v>80</v>
      </c>
      <c r="D173" s="8" t="s">
        <v>220</v>
      </c>
      <c r="E173" s="8" t="s">
        <v>64</v>
      </c>
      <c r="F173" s="8">
        <v>1</v>
      </c>
      <c r="G173" s="8">
        <v>13</v>
      </c>
      <c r="H173" s="8">
        <v>7223</v>
      </c>
      <c r="I173" s="8">
        <v>131105</v>
      </c>
      <c r="J173" s="16"/>
    </row>
    <row r="174" spans="1:10" s="4" customFormat="1" ht="11.25" x14ac:dyDescent="0.2">
      <c r="A174" s="8" t="s">
        <v>215</v>
      </c>
      <c r="B174" s="8">
        <v>1908</v>
      </c>
      <c r="C174" s="8" t="s">
        <v>89</v>
      </c>
      <c r="D174" s="8"/>
      <c r="E174" s="8"/>
      <c r="F174" s="8"/>
      <c r="G174" s="8">
        <v>13</v>
      </c>
      <c r="H174" s="8">
        <v>7526</v>
      </c>
      <c r="I174" s="8">
        <v>131119</v>
      </c>
      <c r="J174" s="16"/>
    </row>
    <row r="175" spans="1:10" s="4" customFormat="1" ht="11.25" x14ac:dyDescent="0.2">
      <c r="A175" s="8" t="s">
        <v>215</v>
      </c>
      <c r="B175" s="8">
        <v>1908</v>
      </c>
      <c r="C175" s="8" t="s">
        <v>89</v>
      </c>
      <c r="D175" s="8"/>
      <c r="E175" s="8"/>
      <c r="F175" s="8"/>
      <c r="G175" s="8">
        <v>13</v>
      </c>
      <c r="H175" s="8">
        <v>7675</v>
      </c>
      <c r="I175" s="8">
        <v>131126</v>
      </c>
      <c r="J175" s="16"/>
    </row>
    <row r="176" spans="1:10" s="4" customFormat="1" ht="11.25" x14ac:dyDescent="0.2">
      <c r="A176" s="8" t="s">
        <v>215</v>
      </c>
      <c r="B176" s="8">
        <v>1908</v>
      </c>
      <c r="C176" s="8" t="s">
        <v>89</v>
      </c>
      <c r="D176" s="8" t="s">
        <v>221</v>
      </c>
      <c r="E176" s="8"/>
      <c r="F176" s="8">
        <v>1</v>
      </c>
      <c r="G176" s="8">
        <v>13</v>
      </c>
      <c r="H176" s="8">
        <v>7510</v>
      </c>
      <c r="I176" s="8">
        <v>131119</v>
      </c>
      <c r="J176" s="16"/>
    </row>
    <row r="177" spans="1:10" s="4" customFormat="1" ht="11.25" x14ac:dyDescent="0.2">
      <c r="A177" s="8" t="s">
        <v>222</v>
      </c>
      <c r="B177" s="8">
        <v>880</v>
      </c>
      <c r="C177" s="8" t="s">
        <v>223</v>
      </c>
      <c r="D177" s="8" t="s">
        <v>95</v>
      </c>
      <c r="E177" s="8">
        <v>1</v>
      </c>
      <c r="F177" s="8">
        <v>13</v>
      </c>
      <c r="G177" s="8">
        <v>13</v>
      </c>
      <c r="H177" s="8">
        <v>7414</v>
      </c>
      <c r="I177" s="8">
        <v>131113</v>
      </c>
      <c r="J177" s="16"/>
    </row>
    <row r="178" spans="1:10" s="4" customFormat="1" ht="11.25" x14ac:dyDescent="0.2">
      <c r="A178" s="8" t="s">
        <v>222</v>
      </c>
      <c r="B178" s="8">
        <v>81</v>
      </c>
      <c r="C178" s="8" t="s">
        <v>99</v>
      </c>
      <c r="D178" s="8" t="s">
        <v>100</v>
      </c>
      <c r="E178" s="8">
        <v>6</v>
      </c>
      <c r="F178" s="8">
        <v>42</v>
      </c>
      <c r="G178" s="8">
        <v>13</v>
      </c>
      <c r="H178" s="8">
        <v>7361</v>
      </c>
      <c r="I178" s="8">
        <v>131112</v>
      </c>
      <c r="J178" s="16"/>
    </row>
    <row r="179" spans="1:10" s="4" customFormat="1" ht="11.25" x14ac:dyDescent="0.2">
      <c r="A179" s="8" t="s">
        <v>222</v>
      </c>
      <c r="B179" s="8">
        <v>35</v>
      </c>
      <c r="C179" s="8" t="s">
        <v>224</v>
      </c>
      <c r="D179" s="8" t="s">
        <v>81</v>
      </c>
      <c r="E179" s="8" t="s">
        <v>225</v>
      </c>
      <c r="F179" s="8">
        <v>37</v>
      </c>
      <c r="G179" s="8">
        <v>13</v>
      </c>
      <c r="H179" s="8">
        <v>7151</v>
      </c>
      <c r="I179" s="8">
        <v>131101</v>
      </c>
      <c r="J179" s="16"/>
    </row>
    <row r="180" spans="1:10" s="4" customFormat="1" ht="11.25" x14ac:dyDescent="0.2">
      <c r="A180" s="8" t="s">
        <v>222</v>
      </c>
      <c r="B180" s="8">
        <v>672</v>
      </c>
      <c r="C180" s="8" t="s">
        <v>226</v>
      </c>
      <c r="D180" s="8" t="s">
        <v>227</v>
      </c>
      <c r="E180" s="8">
        <v>2</v>
      </c>
      <c r="F180" s="8">
        <v>14</v>
      </c>
      <c r="G180" s="8">
        <v>13</v>
      </c>
      <c r="H180" s="8">
        <v>7313</v>
      </c>
      <c r="I180" s="8">
        <v>131108</v>
      </c>
      <c r="J180" s="16"/>
    </row>
    <row r="181" spans="1:10" s="4" customFormat="1" ht="11.25" x14ac:dyDescent="0.2">
      <c r="A181" s="8" t="s">
        <v>222</v>
      </c>
      <c r="B181" s="8">
        <v>825</v>
      </c>
      <c r="C181" s="8" t="s">
        <v>228</v>
      </c>
      <c r="D181" s="8" t="s">
        <v>229</v>
      </c>
      <c r="E181" s="8">
        <v>1</v>
      </c>
      <c r="F181" s="8">
        <v>44</v>
      </c>
      <c r="G181" s="8">
        <v>13</v>
      </c>
      <c r="H181" s="8">
        <v>7538</v>
      </c>
      <c r="I181" s="8">
        <v>131120</v>
      </c>
      <c r="J181" s="16"/>
    </row>
    <row r="182" spans="1:10" s="4" customFormat="1" ht="11.25" x14ac:dyDescent="0.2">
      <c r="A182" s="8" t="s">
        <v>222</v>
      </c>
      <c r="B182" s="8">
        <v>672</v>
      </c>
      <c r="C182" s="8" t="s">
        <v>230</v>
      </c>
      <c r="D182" s="8" t="s">
        <v>211</v>
      </c>
      <c r="E182" s="8">
        <v>19</v>
      </c>
      <c r="F182" s="8">
        <v>10</v>
      </c>
      <c r="G182" s="8">
        <v>13</v>
      </c>
      <c r="H182" s="8">
        <v>7429</v>
      </c>
      <c r="I182" s="8">
        <v>131114</v>
      </c>
      <c r="J182" s="16"/>
    </row>
    <row r="183" spans="1:10" s="4" customFormat="1" ht="11.25" x14ac:dyDescent="0.2">
      <c r="A183" s="8" t="s">
        <v>222</v>
      </c>
      <c r="B183" s="8">
        <v>686</v>
      </c>
      <c r="C183" s="8" t="s">
        <v>230</v>
      </c>
      <c r="D183" s="8" t="s">
        <v>211</v>
      </c>
      <c r="E183" s="8">
        <v>19</v>
      </c>
      <c r="F183" s="8">
        <v>13</v>
      </c>
      <c r="G183" s="8">
        <v>13</v>
      </c>
      <c r="H183" s="8">
        <v>7183</v>
      </c>
      <c r="I183" s="8">
        <v>131104</v>
      </c>
      <c r="J183" s="16"/>
    </row>
    <row r="184" spans="1:10" s="4" customFormat="1" ht="11.25" x14ac:dyDescent="0.2">
      <c r="A184" s="8" t="s">
        <v>222</v>
      </c>
      <c r="B184" s="8">
        <v>2517</v>
      </c>
      <c r="C184" s="8" t="s">
        <v>231</v>
      </c>
      <c r="D184" s="8" t="s">
        <v>184</v>
      </c>
      <c r="E184" s="8">
        <v>26</v>
      </c>
      <c r="F184" s="8">
        <v>6</v>
      </c>
      <c r="G184" s="8">
        <v>13</v>
      </c>
      <c r="H184" s="8">
        <v>7495</v>
      </c>
      <c r="I184" s="8">
        <v>131118</v>
      </c>
      <c r="J184" s="16"/>
    </row>
    <row r="185" spans="1:10" s="4" customFormat="1" ht="11.25" x14ac:dyDescent="0.2">
      <c r="A185" s="8" t="s">
        <v>222</v>
      </c>
      <c r="B185" s="8">
        <v>1720</v>
      </c>
      <c r="C185" s="8" t="s">
        <v>232</v>
      </c>
      <c r="D185" s="8" t="s">
        <v>126</v>
      </c>
      <c r="E185" s="8">
        <v>11</v>
      </c>
      <c r="F185" s="8">
        <v>14</v>
      </c>
      <c r="G185" s="8">
        <v>13</v>
      </c>
      <c r="H185" s="8">
        <v>7528</v>
      </c>
      <c r="I185" s="8">
        <v>131120</v>
      </c>
      <c r="J185" s="16"/>
    </row>
    <row r="186" spans="1:10" s="4" customFormat="1" ht="11.25" x14ac:dyDescent="0.2">
      <c r="A186" s="8" t="s">
        <v>222</v>
      </c>
      <c r="B186" s="8">
        <v>1451</v>
      </c>
      <c r="C186" s="8" t="s">
        <v>180</v>
      </c>
      <c r="D186" s="8" t="s">
        <v>181</v>
      </c>
      <c r="E186" s="8">
        <v>10</v>
      </c>
      <c r="F186" s="8">
        <v>5</v>
      </c>
      <c r="G186" s="8">
        <v>13</v>
      </c>
      <c r="H186" s="8">
        <v>7435</v>
      </c>
      <c r="I186" s="8">
        <v>131114</v>
      </c>
      <c r="J186" s="16"/>
    </row>
    <row r="187" spans="1:10" s="4" customFormat="1" ht="11.25" x14ac:dyDescent="0.2">
      <c r="A187" s="8" t="s">
        <v>222</v>
      </c>
      <c r="B187" s="8">
        <v>5009</v>
      </c>
      <c r="C187" s="8" t="s">
        <v>233</v>
      </c>
      <c r="D187" s="8" t="s">
        <v>116</v>
      </c>
      <c r="E187" s="8">
        <v>1</v>
      </c>
      <c r="F187" s="8">
        <v>3</v>
      </c>
      <c r="G187" s="8">
        <v>13</v>
      </c>
      <c r="H187" s="8">
        <v>7307</v>
      </c>
      <c r="I187" s="8">
        <v>131108</v>
      </c>
      <c r="J187" s="16"/>
    </row>
    <row r="188" spans="1:10" s="4" customFormat="1" ht="11.25" x14ac:dyDescent="0.2">
      <c r="A188" s="8" t="s">
        <v>222</v>
      </c>
      <c r="B188" s="8">
        <v>2831</v>
      </c>
      <c r="C188" s="8" t="s">
        <v>234</v>
      </c>
      <c r="D188" s="8" t="s">
        <v>235</v>
      </c>
      <c r="E188" s="8">
        <v>5</v>
      </c>
      <c r="F188" s="8" t="s">
        <v>236</v>
      </c>
      <c r="G188" s="8">
        <v>13</v>
      </c>
      <c r="H188" s="8">
        <v>7626</v>
      </c>
      <c r="I188" s="8">
        <v>131125</v>
      </c>
      <c r="J188" s="16"/>
    </row>
    <row r="189" spans="1:10" s="4" customFormat="1" ht="11.25" x14ac:dyDescent="0.2">
      <c r="A189" s="8" t="s">
        <v>222</v>
      </c>
      <c r="B189" s="8">
        <v>3104</v>
      </c>
      <c r="C189" s="8" t="s">
        <v>237</v>
      </c>
      <c r="D189" s="8" t="s">
        <v>238</v>
      </c>
      <c r="E189" s="8">
        <v>3</v>
      </c>
      <c r="F189" s="8">
        <v>2</v>
      </c>
      <c r="G189" s="8">
        <v>13</v>
      </c>
      <c r="H189" s="8">
        <v>7572</v>
      </c>
      <c r="I189" s="8">
        <v>131121</v>
      </c>
      <c r="J189" s="16"/>
    </row>
    <row r="190" spans="1:10" s="4" customFormat="1" ht="11.25" x14ac:dyDescent="0.2">
      <c r="A190" s="8" t="s">
        <v>222</v>
      </c>
      <c r="B190" s="8">
        <v>73</v>
      </c>
      <c r="C190" s="8" t="s">
        <v>239</v>
      </c>
      <c r="D190" s="8" t="s">
        <v>240</v>
      </c>
      <c r="E190" s="8">
        <v>8</v>
      </c>
      <c r="F190" s="8">
        <v>12</v>
      </c>
      <c r="G190" s="8">
        <v>13</v>
      </c>
      <c r="H190" s="8">
        <v>7225</v>
      </c>
      <c r="I190" s="8">
        <v>131106</v>
      </c>
      <c r="J190" s="16"/>
    </row>
    <row r="191" spans="1:10" s="4" customFormat="1" ht="11.25" x14ac:dyDescent="0.2">
      <c r="A191" s="8" t="s">
        <v>222</v>
      </c>
      <c r="B191" s="8">
        <v>2829</v>
      </c>
      <c r="C191" s="8" t="s">
        <v>105</v>
      </c>
      <c r="D191" s="8" t="s">
        <v>106</v>
      </c>
      <c r="E191" s="8">
        <v>4</v>
      </c>
      <c r="F191" s="8">
        <v>13</v>
      </c>
      <c r="G191" s="8">
        <v>13</v>
      </c>
      <c r="H191" s="8">
        <v>7335</v>
      </c>
      <c r="I191" s="8">
        <v>131112</v>
      </c>
      <c r="J191" s="16"/>
    </row>
    <row r="192" spans="1:10" s="4" customFormat="1" ht="11.25" x14ac:dyDescent="0.2">
      <c r="A192" s="8" t="s">
        <v>222</v>
      </c>
      <c r="B192" s="8">
        <v>2513</v>
      </c>
      <c r="C192" s="8" t="s">
        <v>241</v>
      </c>
      <c r="D192" s="8" t="s">
        <v>165</v>
      </c>
      <c r="E192" s="8">
        <v>126</v>
      </c>
      <c r="F192" s="8">
        <v>4</v>
      </c>
      <c r="G192" s="8">
        <v>13</v>
      </c>
      <c r="H192" s="8">
        <v>7460</v>
      </c>
      <c r="I192" s="8">
        <v>131115</v>
      </c>
      <c r="J192" s="16"/>
    </row>
    <row r="193" spans="1:10" s="4" customFormat="1" ht="11.25" x14ac:dyDescent="0.2">
      <c r="A193" s="8" t="s">
        <v>222</v>
      </c>
      <c r="B193" s="8">
        <v>537</v>
      </c>
      <c r="C193" s="8" t="s">
        <v>242</v>
      </c>
      <c r="D193" s="8" t="s">
        <v>190</v>
      </c>
      <c r="E193" s="8">
        <v>4</v>
      </c>
      <c r="F193" s="8">
        <v>8</v>
      </c>
      <c r="G193" s="8">
        <v>13</v>
      </c>
      <c r="H193" s="8">
        <v>7674</v>
      </c>
      <c r="I193" s="8">
        <v>131126</v>
      </c>
      <c r="J193" s="16"/>
    </row>
    <row r="194" spans="1:10" s="4" customFormat="1" ht="11.25" x14ac:dyDescent="0.2">
      <c r="A194" s="8" t="s">
        <v>222</v>
      </c>
      <c r="B194" s="8">
        <v>581</v>
      </c>
      <c r="C194" s="8" t="s">
        <v>242</v>
      </c>
      <c r="D194" s="8" t="s">
        <v>190</v>
      </c>
      <c r="E194" s="8">
        <v>2</v>
      </c>
      <c r="F194" s="8">
        <v>9</v>
      </c>
      <c r="G194" s="8">
        <v>13</v>
      </c>
      <c r="H194" s="8">
        <v>7312</v>
      </c>
      <c r="I194" s="8">
        <v>131108</v>
      </c>
      <c r="J194" s="16"/>
    </row>
    <row r="195" spans="1:10" s="4" customFormat="1" ht="11.25" x14ac:dyDescent="0.2">
      <c r="A195" s="8" t="s">
        <v>222</v>
      </c>
      <c r="B195" s="8">
        <v>2603</v>
      </c>
      <c r="C195" s="8" t="s">
        <v>243</v>
      </c>
      <c r="D195" s="8" t="s">
        <v>244</v>
      </c>
      <c r="E195" s="8">
        <v>4</v>
      </c>
      <c r="F195" s="8">
        <v>21</v>
      </c>
      <c r="G195" s="8">
        <v>13</v>
      </c>
      <c r="H195" s="8">
        <v>7187</v>
      </c>
      <c r="I195" s="8">
        <v>131105</v>
      </c>
      <c r="J195" s="16"/>
    </row>
    <row r="196" spans="1:10" s="4" customFormat="1" ht="11.25" x14ac:dyDescent="0.2">
      <c r="A196" s="8" t="s">
        <v>222</v>
      </c>
      <c r="B196" s="8">
        <v>6175</v>
      </c>
      <c r="C196" s="8" t="s">
        <v>245</v>
      </c>
      <c r="D196" s="8" t="s">
        <v>246</v>
      </c>
      <c r="E196" s="8">
        <v>23</v>
      </c>
      <c r="F196" s="8">
        <v>3</v>
      </c>
      <c r="G196" s="8">
        <v>13</v>
      </c>
      <c r="H196" s="8">
        <v>7237</v>
      </c>
      <c r="I196" s="8">
        <v>131106</v>
      </c>
      <c r="J196" s="16"/>
    </row>
    <row r="197" spans="1:10" s="4" customFormat="1" ht="11.25" x14ac:dyDescent="0.2">
      <c r="A197" s="8" t="s">
        <v>222</v>
      </c>
      <c r="B197" s="8">
        <v>803</v>
      </c>
      <c r="C197" s="8" t="s">
        <v>247</v>
      </c>
      <c r="D197" s="8" t="s">
        <v>248</v>
      </c>
      <c r="E197" s="8"/>
      <c r="F197" s="8">
        <v>3</v>
      </c>
      <c r="G197" s="8">
        <v>13</v>
      </c>
      <c r="H197" s="8">
        <v>7622</v>
      </c>
      <c r="I197" s="8">
        <v>131125</v>
      </c>
      <c r="J197" s="16"/>
    </row>
    <row r="198" spans="1:10" s="4" customFormat="1" ht="11.25" x14ac:dyDescent="0.2">
      <c r="A198" s="8" t="s">
        <v>222</v>
      </c>
      <c r="B198" s="8">
        <v>803</v>
      </c>
      <c r="C198" s="8" t="s">
        <v>247</v>
      </c>
      <c r="D198" s="8" t="s">
        <v>248</v>
      </c>
      <c r="E198" s="8"/>
      <c r="F198" s="8">
        <v>3</v>
      </c>
      <c r="G198" s="8">
        <v>13</v>
      </c>
      <c r="H198" s="8">
        <v>7623</v>
      </c>
      <c r="I198" s="8">
        <v>131125</v>
      </c>
      <c r="J198" s="16"/>
    </row>
    <row r="199" spans="1:10" s="4" customFormat="1" ht="11.25" x14ac:dyDescent="0.2">
      <c r="A199" s="8" t="s">
        <v>222</v>
      </c>
      <c r="B199" s="8">
        <v>935</v>
      </c>
      <c r="C199" s="8" t="s">
        <v>247</v>
      </c>
      <c r="D199" s="8" t="s">
        <v>249</v>
      </c>
      <c r="E199" s="8"/>
      <c r="F199" s="8" t="s">
        <v>250</v>
      </c>
      <c r="G199" s="8">
        <v>13</v>
      </c>
      <c r="H199" s="8">
        <v>7548</v>
      </c>
      <c r="I199" s="8">
        <v>131120</v>
      </c>
      <c r="J199" s="16"/>
    </row>
    <row r="200" spans="1:10" s="4" customFormat="1" ht="11.25" x14ac:dyDescent="0.2">
      <c r="A200" s="8" t="s">
        <v>222</v>
      </c>
      <c r="B200" s="8">
        <v>110</v>
      </c>
      <c r="C200" s="8" t="s">
        <v>251</v>
      </c>
      <c r="D200" s="8" t="s">
        <v>100</v>
      </c>
      <c r="E200" s="8">
        <v>7</v>
      </c>
      <c r="F200" s="8">
        <v>16</v>
      </c>
      <c r="G200" s="8">
        <v>13</v>
      </c>
      <c r="H200" s="8">
        <v>7413</v>
      </c>
      <c r="I200" s="8">
        <v>131113</v>
      </c>
      <c r="J200" s="16"/>
    </row>
    <row r="201" spans="1:10" s="4" customFormat="1" ht="11.25" x14ac:dyDescent="0.2">
      <c r="A201" s="8" t="s">
        <v>222</v>
      </c>
      <c r="B201" s="8">
        <v>1780</v>
      </c>
      <c r="C201" s="8" t="s">
        <v>252</v>
      </c>
      <c r="D201" s="8" t="s">
        <v>187</v>
      </c>
      <c r="E201" s="8">
        <v>177</v>
      </c>
      <c r="F201" s="8">
        <v>11</v>
      </c>
      <c r="G201" s="8">
        <v>13</v>
      </c>
      <c r="H201" s="8">
        <v>7608</v>
      </c>
      <c r="I201" s="8">
        <v>131122</v>
      </c>
      <c r="J201" s="16"/>
    </row>
    <row r="202" spans="1:10" s="4" customFormat="1" ht="11.25" x14ac:dyDescent="0.2">
      <c r="A202" s="8" t="s">
        <v>222</v>
      </c>
      <c r="B202" s="8">
        <v>2225</v>
      </c>
      <c r="C202" s="8" t="s">
        <v>253</v>
      </c>
      <c r="D202" s="8" t="s">
        <v>254</v>
      </c>
      <c r="E202" s="8">
        <v>8</v>
      </c>
      <c r="F202" s="8">
        <v>11</v>
      </c>
      <c r="G202" s="8">
        <v>13</v>
      </c>
      <c r="H202" s="8">
        <v>7661</v>
      </c>
      <c r="I202" s="8">
        <v>131126</v>
      </c>
      <c r="J202" s="16"/>
    </row>
    <row r="203" spans="1:10" s="4" customFormat="1" ht="11.25" x14ac:dyDescent="0.2">
      <c r="A203" s="8" t="s">
        <v>222</v>
      </c>
      <c r="B203" s="8">
        <v>3205</v>
      </c>
      <c r="C203" s="8" t="s">
        <v>255</v>
      </c>
      <c r="D203" s="8" t="s">
        <v>122</v>
      </c>
      <c r="E203" s="8">
        <v>107</v>
      </c>
      <c r="F203" s="8">
        <v>87</v>
      </c>
      <c r="G203" s="8">
        <v>13</v>
      </c>
      <c r="H203" s="8">
        <v>7505</v>
      </c>
      <c r="I203" s="8">
        <v>131118</v>
      </c>
      <c r="J203" s="16"/>
    </row>
    <row r="204" spans="1:10" s="4" customFormat="1" ht="11.25" x14ac:dyDescent="0.2">
      <c r="A204" s="8" t="s">
        <v>222</v>
      </c>
      <c r="B204" s="8">
        <v>2575</v>
      </c>
      <c r="C204" s="8" t="s">
        <v>256</v>
      </c>
      <c r="D204" s="8" t="s">
        <v>128</v>
      </c>
      <c r="E204" s="8">
        <v>6</v>
      </c>
      <c r="F204" s="8">
        <v>8</v>
      </c>
      <c r="G204" s="8">
        <v>13</v>
      </c>
      <c r="H204" s="8">
        <v>7308</v>
      </c>
      <c r="I204" s="8">
        <v>131108</v>
      </c>
      <c r="J204" s="16"/>
    </row>
    <row r="205" spans="1:10" s="4" customFormat="1" ht="11.25" x14ac:dyDescent="0.2">
      <c r="A205" s="8" t="s">
        <v>222</v>
      </c>
      <c r="B205" s="8">
        <v>6521</v>
      </c>
      <c r="C205" s="8" t="s">
        <v>257</v>
      </c>
      <c r="D205" s="8" t="s">
        <v>246</v>
      </c>
      <c r="E205" s="8">
        <v>22</v>
      </c>
      <c r="F205" s="8">
        <v>40</v>
      </c>
      <c r="G205" s="8">
        <v>13</v>
      </c>
      <c r="H205" s="8">
        <v>7255</v>
      </c>
      <c r="I205" s="8">
        <v>131107</v>
      </c>
      <c r="J205" s="16"/>
    </row>
    <row r="206" spans="1:10" s="4" customFormat="1" ht="11.25" x14ac:dyDescent="0.2">
      <c r="A206" s="8" t="s">
        <v>222</v>
      </c>
      <c r="B206" s="8">
        <v>216</v>
      </c>
      <c r="C206" s="8" t="s">
        <v>111</v>
      </c>
      <c r="D206" s="8" t="s">
        <v>112</v>
      </c>
      <c r="E206" s="8">
        <v>8</v>
      </c>
      <c r="F206" s="8">
        <v>162</v>
      </c>
      <c r="G206" s="8">
        <v>13</v>
      </c>
      <c r="H206" s="8">
        <v>7212</v>
      </c>
      <c r="I206" s="8">
        <v>131105</v>
      </c>
      <c r="J206" s="16"/>
    </row>
    <row r="207" spans="1:10" s="4" customFormat="1" ht="11.25" x14ac:dyDescent="0.2">
      <c r="A207" s="8" t="s">
        <v>222</v>
      </c>
      <c r="B207" s="8">
        <v>229</v>
      </c>
      <c r="C207" s="8" t="s">
        <v>111</v>
      </c>
      <c r="D207" s="8" t="s">
        <v>112</v>
      </c>
      <c r="E207" s="8">
        <v>2</v>
      </c>
      <c r="F207" s="8">
        <v>56</v>
      </c>
      <c r="G207" s="8">
        <v>13</v>
      </c>
      <c r="H207" s="8">
        <v>7213</v>
      </c>
      <c r="I207" s="8">
        <v>131105</v>
      </c>
      <c r="J207" s="16"/>
    </row>
    <row r="208" spans="1:10" s="4" customFormat="1" ht="11.25" x14ac:dyDescent="0.2">
      <c r="A208" s="8" t="s">
        <v>222</v>
      </c>
      <c r="B208" s="8">
        <v>237</v>
      </c>
      <c r="C208" s="8" t="s">
        <v>111</v>
      </c>
      <c r="D208" s="8" t="s">
        <v>112</v>
      </c>
      <c r="E208" s="8">
        <v>2</v>
      </c>
      <c r="F208" s="8">
        <v>58</v>
      </c>
      <c r="G208" s="8">
        <v>13</v>
      </c>
      <c r="H208" s="8">
        <v>7214</v>
      </c>
      <c r="I208" s="8">
        <v>131105</v>
      </c>
      <c r="J208" s="16"/>
    </row>
    <row r="209" spans="1:10" s="4" customFormat="1" ht="11.25" x14ac:dyDescent="0.2">
      <c r="A209" s="8" t="s">
        <v>222</v>
      </c>
      <c r="B209" s="8">
        <v>273</v>
      </c>
      <c r="C209" s="8" t="s">
        <v>111</v>
      </c>
      <c r="D209" s="8" t="s">
        <v>112</v>
      </c>
      <c r="E209" s="8">
        <v>9</v>
      </c>
      <c r="F209" s="8">
        <v>174</v>
      </c>
      <c r="G209" s="8">
        <v>13</v>
      </c>
      <c r="H209" s="8">
        <v>7551</v>
      </c>
      <c r="I209" s="8">
        <v>131120</v>
      </c>
      <c r="J209" s="16"/>
    </row>
    <row r="210" spans="1:10" s="4" customFormat="1" ht="11.25" x14ac:dyDescent="0.2">
      <c r="A210" s="8" t="s">
        <v>222</v>
      </c>
      <c r="B210" s="8">
        <v>801</v>
      </c>
      <c r="C210" s="8" t="s">
        <v>258</v>
      </c>
      <c r="D210" s="8" t="s">
        <v>211</v>
      </c>
      <c r="E210" s="8">
        <v>4</v>
      </c>
      <c r="F210" s="8">
        <v>4</v>
      </c>
      <c r="G210" s="8">
        <v>13</v>
      </c>
      <c r="H210" s="8">
        <v>7292</v>
      </c>
      <c r="I210" s="8">
        <v>131107</v>
      </c>
      <c r="J210" s="16"/>
    </row>
    <row r="211" spans="1:10" s="4" customFormat="1" ht="11.25" x14ac:dyDescent="0.2">
      <c r="A211" s="8" t="s">
        <v>222</v>
      </c>
      <c r="B211" s="8">
        <v>967</v>
      </c>
      <c r="C211" s="8" t="s">
        <v>258</v>
      </c>
      <c r="D211" s="8" t="s">
        <v>211</v>
      </c>
      <c r="E211" s="8">
        <v>4</v>
      </c>
      <c r="F211" s="8">
        <v>13</v>
      </c>
      <c r="G211" s="8">
        <v>13</v>
      </c>
      <c r="H211" s="8">
        <v>7682</v>
      </c>
      <c r="I211" s="8">
        <v>131126</v>
      </c>
      <c r="J211" s="16"/>
    </row>
    <row r="212" spans="1:10" s="4" customFormat="1" ht="11.25" x14ac:dyDescent="0.2">
      <c r="A212" s="8" t="s">
        <v>222</v>
      </c>
      <c r="B212" s="8">
        <v>616</v>
      </c>
      <c r="C212" s="8" t="s">
        <v>259</v>
      </c>
      <c r="D212" s="8" t="s">
        <v>165</v>
      </c>
      <c r="E212" s="8">
        <v>136</v>
      </c>
      <c r="F212" s="8">
        <v>36</v>
      </c>
      <c r="G212" s="8">
        <v>13</v>
      </c>
      <c r="H212" s="8">
        <v>7624</v>
      </c>
      <c r="I212" s="8">
        <v>131125</v>
      </c>
      <c r="J212" s="16"/>
    </row>
    <row r="213" spans="1:10" s="4" customFormat="1" ht="11.25" x14ac:dyDescent="0.2">
      <c r="A213" s="8" t="s">
        <v>222</v>
      </c>
      <c r="B213" s="8">
        <v>4009</v>
      </c>
      <c r="C213" s="8" t="s">
        <v>113</v>
      </c>
      <c r="D213" s="8" t="s">
        <v>114</v>
      </c>
      <c r="E213" s="8">
        <v>1</v>
      </c>
      <c r="F213" s="8">
        <v>12</v>
      </c>
      <c r="G213" s="8">
        <v>13</v>
      </c>
      <c r="H213" s="8">
        <v>7583</v>
      </c>
      <c r="I213" s="8">
        <v>131121</v>
      </c>
      <c r="J213" s="16"/>
    </row>
    <row r="214" spans="1:10" s="4" customFormat="1" ht="11.25" x14ac:dyDescent="0.2">
      <c r="A214" s="8" t="s">
        <v>222</v>
      </c>
      <c r="B214" s="8">
        <v>2167</v>
      </c>
      <c r="C214" s="8" t="s">
        <v>260</v>
      </c>
      <c r="D214" s="8" t="s">
        <v>165</v>
      </c>
      <c r="E214" s="8">
        <v>132</v>
      </c>
      <c r="F214" s="8">
        <v>20</v>
      </c>
      <c r="G214" s="8">
        <v>13</v>
      </c>
      <c r="H214" s="8">
        <v>7182</v>
      </c>
      <c r="I214" s="8">
        <v>131104</v>
      </c>
      <c r="J214" s="16"/>
    </row>
    <row r="215" spans="1:10" s="4" customFormat="1" ht="11.25" x14ac:dyDescent="0.2">
      <c r="A215" s="8" t="s">
        <v>222</v>
      </c>
      <c r="B215" s="8">
        <v>2412</v>
      </c>
      <c r="C215" s="8" t="s">
        <v>261</v>
      </c>
      <c r="D215" s="8" t="s">
        <v>100</v>
      </c>
      <c r="E215" s="8">
        <v>5</v>
      </c>
      <c r="F215" s="8">
        <v>29</v>
      </c>
      <c r="G215" s="8">
        <v>13</v>
      </c>
      <c r="H215" s="8">
        <v>7465</v>
      </c>
      <c r="I215" s="8">
        <v>131115</v>
      </c>
      <c r="J215" s="16"/>
    </row>
    <row r="216" spans="1:10" s="4" customFormat="1" ht="11.25" x14ac:dyDescent="0.2">
      <c r="A216" s="8" t="s">
        <v>222</v>
      </c>
      <c r="B216" s="8">
        <v>700</v>
      </c>
      <c r="C216" s="8" t="s">
        <v>164</v>
      </c>
      <c r="D216" s="8" t="s">
        <v>165</v>
      </c>
      <c r="E216" s="8">
        <v>134</v>
      </c>
      <c r="F216" s="8">
        <v>16</v>
      </c>
      <c r="G216" s="8">
        <v>13</v>
      </c>
      <c r="H216" s="8">
        <v>7587</v>
      </c>
      <c r="I216" s="8">
        <v>131121</v>
      </c>
      <c r="J216" s="16"/>
    </row>
    <row r="217" spans="1:10" s="4" customFormat="1" ht="11.25" x14ac:dyDescent="0.2">
      <c r="A217" s="8" t="s">
        <v>222</v>
      </c>
      <c r="B217" s="8">
        <v>905</v>
      </c>
      <c r="C217" s="8" t="s">
        <v>262</v>
      </c>
      <c r="D217" s="8" t="s">
        <v>119</v>
      </c>
      <c r="E217" s="8" t="s">
        <v>120</v>
      </c>
      <c r="F217" s="8">
        <v>47</v>
      </c>
      <c r="G217" s="8">
        <v>13</v>
      </c>
      <c r="H217" s="8">
        <v>7562</v>
      </c>
      <c r="I217" s="8">
        <v>131121</v>
      </c>
      <c r="J217" s="16"/>
    </row>
    <row r="218" spans="1:10" s="4" customFormat="1" ht="11.25" x14ac:dyDescent="0.2">
      <c r="A218" s="8" t="s">
        <v>222</v>
      </c>
      <c r="B218" s="8">
        <v>2643</v>
      </c>
      <c r="C218" s="8" t="s">
        <v>263</v>
      </c>
      <c r="D218" s="8" t="s">
        <v>264</v>
      </c>
      <c r="E218" s="8">
        <v>7</v>
      </c>
      <c r="F218" s="8">
        <v>25</v>
      </c>
      <c r="G218" s="8">
        <v>13</v>
      </c>
      <c r="H218" s="8">
        <v>7202</v>
      </c>
      <c r="I218" s="8">
        <v>131105</v>
      </c>
      <c r="J218" s="16"/>
    </row>
    <row r="219" spans="1:10" s="4" customFormat="1" ht="11.25" x14ac:dyDescent="0.2">
      <c r="A219" s="8" t="s">
        <v>222</v>
      </c>
      <c r="B219" s="8">
        <v>2104</v>
      </c>
      <c r="C219" s="8" t="s">
        <v>265</v>
      </c>
      <c r="D219" s="8" t="s">
        <v>266</v>
      </c>
      <c r="E219" s="8">
        <v>6</v>
      </c>
      <c r="F219" s="8">
        <v>7</v>
      </c>
      <c r="G219" s="8">
        <v>13</v>
      </c>
      <c r="H219" s="8">
        <v>7167</v>
      </c>
      <c r="I219" s="8">
        <v>131104</v>
      </c>
      <c r="J219" s="16"/>
    </row>
    <row r="220" spans="1:10" s="4" customFormat="1" ht="11.25" x14ac:dyDescent="0.2">
      <c r="A220" s="8" t="s">
        <v>222</v>
      </c>
      <c r="B220" s="8">
        <v>2244</v>
      </c>
      <c r="C220" s="8" t="s">
        <v>265</v>
      </c>
      <c r="D220" s="8" t="s">
        <v>266</v>
      </c>
      <c r="E220" s="8">
        <v>2</v>
      </c>
      <c r="F220" s="8">
        <v>15</v>
      </c>
      <c r="G220" s="8">
        <v>13</v>
      </c>
      <c r="H220" s="8">
        <v>7355</v>
      </c>
      <c r="I220" s="8">
        <v>131112</v>
      </c>
      <c r="J220" s="16"/>
    </row>
    <row r="221" spans="1:10" s="4" customFormat="1" ht="11.25" x14ac:dyDescent="0.2">
      <c r="A221" s="8" t="s">
        <v>222</v>
      </c>
      <c r="B221" s="8">
        <v>1680</v>
      </c>
      <c r="C221" s="8" t="s">
        <v>267</v>
      </c>
      <c r="D221" s="8" t="s">
        <v>268</v>
      </c>
      <c r="E221" s="8">
        <v>8</v>
      </c>
      <c r="F221" s="8">
        <v>8</v>
      </c>
      <c r="G221" s="8">
        <v>13</v>
      </c>
      <c r="H221" s="8">
        <v>7302</v>
      </c>
      <c r="I221" s="8">
        <v>131108</v>
      </c>
      <c r="J221" s="16"/>
    </row>
    <row r="222" spans="1:10" s="4" customFormat="1" ht="11.25" x14ac:dyDescent="0.2">
      <c r="A222" s="8" t="s">
        <v>222</v>
      </c>
      <c r="B222" s="8">
        <v>700</v>
      </c>
      <c r="C222" s="8" t="s">
        <v>269</v>
      </c>
      <c r="D222" s="8" t="s">
        <v>209</v>
      </c>
      <c r="E222" s="8">
        <v>8</v>
      </c>
      <c r="F222" s="8">
        <v>17</v>
      </c>
      <c r="G222" s="8">
        <v>13</v>
      </c>
      <c r="H222" s="8">
        <v>7150</v>
      </c>
      <c r="I222" s="8">
        <v>131101</v>
      </c>
      <c r="J222" s="16"/>
    </row>
    <row r="223" spans="1:10" s="4" customFormat="1" ht="11.25" x14ac:dyDescent="0.2">
      <c r="A223" s="8" t="s">
        <v>222</v>
      </c>
      <c r="B223" s="8">
        <v>907</v>
      </c>
      <c r="C223" s="8" t="s">
        <v>269</v>
      </c>
      <c r="D223" s="8" t="s">
        <v>209</v>
      </c>
      <c r="E223" s="8">
        <v>16</v>
      </c>
      <c r="F223" s="8">
        <v>2</v>
      </c>
      <c r="G223" s="8">
        <v>13</v>
      </c>
      <c r="H223" s="8">
        <v>7537</v>
      </c>
      <c r="I223" s="8">
        <v>131120</v>
      </c>
      <c r="J223" s="16"/>
    </row>
    <row r="224" spans="1:10" s="4" customFormat="1" ht="11.25" x14ac:dyDescent="0.2">
      <c r="A224" s="8" t="s">
        <v>222</v>
      </c>
      <c r="B224" s="8">
        <v>1761</v>
      </c>
      <c r="C224" s="8" t="s">
        <v>270</v>
      </c>
      <c r="D224" s="8" t="s">
        <v>271</v>
      </c>
      <c r="E224" s="8">
        <v>19</v>
      </c>
      <c r="F224" s="8">
        <v>13</v>
      </c>
      <c r="G224" s="8">
        <v>13</v>
      </c>
      <c r="H224" s="8">
        <v>7513</v>
      </c>
      <c r="I224" s="8">
        <v>131119</v>
      </c>
      <c r="J224" s="16"/>
    </row>
    <row r="225" spans="1:10" s="4" customFormat="1" ht="11.25" x14ac:dyDescent="0.2">
      <c r="A225" s="8" t="s">
        <v>222</v>
      </c>
      <c r="B225" s="8">
        <v>907</v>
      </c>
      <c r="C225" s="8" t="s">
        <v>118</v>
      </c>
      <c r="D225" s="8" t="s">
        <v>119</v>
      </c>
      <c r="E225" s="8" t="s">
        <v>120</v>
      </c>
      <c r="F225" s="8">
        <v>35</v>
      </c>
      <c r="G225" s="8">
        <v>13</v>
      </c>
      <c r="H225" s="8">
        <v>7422</v>
      </c>
      <c r="I225" s="8">
        <v>131114</v>
      </c>
      <c r="J225" s="16"/>
    </row>
    <row r="226" spans="1:10" s="4" customFormat="1" ht="11.25" x14ac:dyDescent="0.2">
      <c r="A226" s="8" t="s">
        <v>222</v>
      </c>
      <c r="B226" s="8">
        <v>911</v>
      </c>
      <c r="C226" s="8" t="s">
        <v>118</v>
      </c>
      <c r="D226" s="8" t="s">
        <v>119</v>
      </c>
      <c r="E226" s="8" t="s">
        <v>120</v>
      </c>
      <c r="F226" s="8">
        <v>34</v>
      </c>
      <c r="G226" s="8">
        <v>13</v>
      </c>
      <c r="H226" s="8">
        <v>7581</v>
      </c>
      <c r="I226" s="8">
        <v>131121</v>
      </c>
      <c r="J226" s="16"/>
    </row>
    <row r="227" spans="1:10" s="4" customFormat="1" ht="11.25" x14ac:dyDescent="0.2">
      <c r="A227" s="8" t="s">
        <v>222</v>
      </c>
      <c r="B227" s="8">
        <v>919</v>
      </c>
      <c r="C227" s="8" t="s">
        <v>118</v>
      </c>
      <c r="D227" s="8" t="s">
        <v>119</v>
      </c>
      <c r="E227" s="8" t="s">
        <v>120</v>
      </c>
      <c r="F227" s="8">
        <v>32</v>
      </c>
      <c r="G227" s="8">
        <v>13</v>
      </c>
      <c r="H227" s="8">
        <v>7360</v>
      </c>
      <c r="I227" s="8">
        <v>131112</v>
      </c>
      <c r="J227" s="16"/>
    </row>
    <row r="228" spans="1:10" s="4" customFormat="1" ht="11.25" x14ac:dyDescent="0.2">
      <c r="A228" s="8" t="s">
        <v>222</v>
      </c>
      <c r="B228" s="8">
        <v>4537</v>
      </c>
      <c r="C228" s="8" t="s">
        <v>272</v>
      </c>
      <c r="D228" s="8" t="s">
        <v>97</v>
      </c>
      <c r="E228" s="8">
        <v>38</v>
      </c>
      <c r="F228" s="8">
        <v>27</v>
      </c>
      <c r="G228" s="8">
        <v>13</v>
      </c>
      <c r="H228" s="8">
        <v>7616</v>
      </c>
      <c r="I228" s="8">
        <v>131125</v>
      </c>
      <c r="J228" s="16"/>
    </row>
    <row r="229" spans="1:10" s="4" customFormat="1" ht="11.25" x14ac:dyDescent="0.2">
      <c r="A229" s="8" t="s">
        <v>222</v>
      </c>
      <c r="B229" s="8">
        <v>7112</v>
      </c>
      <c r="C229" s="8" t="s">
        <v>273</v>
      </c>
      <c r="D229" s="8" t="s">
        <v>274</v>
      </c>
      <c r="E229" s="8">
        <v>1</v>
      </c>
      <c r="F229" s="8">
        <v>105</v>
      </c>
      <c r="G229" s="8">
        <v>13</v>
      </c>
      <c r="H229" s="8">
        <v>7663</v>
      </c>
      <c r="I229" s="8">
        <v>131126</v>
      </c>
      <c r="J229" s="16"/>
    </row>
    <row r="230" spans="1:10" s="4" customFormat="1" ht="11.25" x14ac:dyDescent="0.2">
      <c r="A230" s="8" t="s">
        <v>222</v>
      </c>
      <c r="B230" s="8">
        <v>7132</v>
      </c>
      <c r="C230" s="8" t="s">
        <v>273</v>
      </c>
      <c r="D230" s="8" t="s">
        <v>274</v>
      </c>
      <c r="E230" s="8">
        <v>1</v>
      </c>
      <c r="F230" s="8">
        <v>101</v>
      </c>
      <c r="G230" s="8">
        <v>13</v>
      </c>
      <c r="H230" s="8">
        <v>7659</v>
      </c>
      <c r="I230" s="8">
        <v>131126</v>
      </c>
      <c r="J230" s="16"/>
    </row>
    <row r="231" spans="1:10" s="4" customFormat="1" ht="11.25" x14ac:dyDescent="0.2">
      <c r="A231" s="8" t="s">
        <v>222</v>
      </c>
      <c r="B231" s="8">
        <v>1433</v>
      </c>
      <c r="C231" s="8" t="s">
        <v>275</v>
      </c>
      <c r="D231" s="8" t="s">
        <v>276</v>
      </c>
      <c r="E231" s="8"/>
      <c r="F231" s="8">
        <v>99</v>
      </c>
      <c r="G231" s="8">
        <v>13</v>
      </c>
      <c r="H231" s="8">
        <v>7356</v>
      </c>
      <c r="I231" s="8">
        <v>131112</v>
      </c>
      <c r="J231" s="16"/>
    </row>
    <row r="232" spans="1:10" s="4" customFormat="1" ht="11.25" x14ac:dyDescent="0.2">
      <c r="A232" s="8" t="s">
        <v>222</v>
      </c>
      <c r="B232" s="8">
        <v>4301</v>
      </c>
      <c r="C232" s="8" t="s">
        <v>191</v>
      </c>
      <c r="D232" s="8" t="s">
        <v>110</v>
      </c>
      <c r="E232" s="8">
        <v>26</v>
      </c>
      <c r="F232" s="8">
        <v>12</v>
      </c>
      <c r="G232" s="8">
        <v>13</v>
      </c>
      <c r="H232" s="8">
        <v>7640</v>
      </c>
      <c r="I232" s="8">
        <v>131125</v>
      </c>
      <c r="J232" s="16"/>
    </row>
    <row r="233" spans="1:10" s="4" customFormat="1" ht="11.25" x14ac:dyDescent="0.2">
      <c r="A233" s="8" t="s">
        <v>222</v>
      </c>
      <c r="B233" s="8">
        <v>5001</v>
      </c>
      <c r="C233" s="8" t="s">
        <v>277</v>
      </c>
      <c r="D233" s="8" t="s">
        <v>97</v>
      </c>
      <c r="E233" s="8">
        <v>55</v>
      </c>
      <c r="F233" s="8">
        <v>38</v>
      </c>
      <c r="G233" s="8">
        <v>13</v>
      </c>
      <c r="H233" s="8">
        <v>7217</v>
      </c>
      <c r="I233" s="8">
        <v>131105</v>
      </c>
      <c r="J233" s="16"/>
    </row>
    <row r="234" spans="1:10" s="4" customFormat="1" ht="11.25" x14ac:dyDescent="0.2">
      <c r="A234" s="8" t="s">
        <v>222</v>
      </c>
      <c r="B234" s="8">
        <v>245</v>
      </c>
      <c r="C234" s="8" t="s">
        <v>167</v>
      </c>
      <c r="D234" s="8" t="s">
        <v>119</v>
      </c>
      <c r="E234" s="8" t="s">
        <v>120</v>
      </c>
      <c r="F234" s="8">
        <v>26</v>
      </c>
      <c r="G234" s="8">
        <v>13</v>
      </c>
      <c r="H234" s="8">
        <v>7332</v>
      </c>
      <c r="I234" s="8">
        <v>131112</v>
      </c>
      <c r="J234" s="16"/>
    </row>
    <row r="235" spans="1:10" s="4" customFormat="1" ht="11.25" x14ac:dyDescent="0.2">
      <c r="A235" s="8" t="s">
        <v>222</v>
      </c>
      <c r="B235" s="8">
        <v>257</v>
      </c>
      <c r="C235" s="8" t="s">
        <v>167</v>
      </c>
      <c r="D235" s="8" t="s">
        <v>119</v>
      </c>
      <c r="E235" s="8" t="s">
        <v>120</v>
      </c>
      <c r="F235" s="8">
        <v>29</v>
      </c>
      <c r="G235" s="8">
        <v>13</v>
      </c>
      <c r="H235" s="8">
        <v>7333</v>
      </c>
      <c r="I235" s="8">
        <v>131112</v>
      </c>
      <c r="J235" s="16"/>
    </row>
    <row r="236" spans="1:10" s="4" customFormat="1" ht="11.25" x14ac:dyDescent="0.2">
      <c r="A236" s="8" t="s">
        <v>222</v>
      </c>
      <c r="B236" s="8">
        <v>268</v>
      </c>
      <c r="C236" s="8" t="s">
        <v>167</v>
      </c>
      <c r="D236" s="8" t="s">
        <v>119</v>
      </c>
      <c r="E236" s="8" t="s">
        <v>168</v>
      </c>
      <c r="F236" s="8">
        <v>17</v>
      </c>
      <c r="G236" s="8">
        <v>13</v>
      </c>
      <c r="H236" s="8">
        <v>7561</v>
      </c>
      <c r="I236" s="8">
        <v>131121</v>
      </c>
      <c r="J236" s="16"/>
    </row>
    <row r="237" spans="1:10" s="4" customFormat="1" ht="11.25" x14ac:dyDescent="0.2">
      <c r="A237" s="8" t="s">
        <v>222</v>
      </c>
      <c r="B237" s="8">
        <v>4803</v>
      </c>
      <c r="C237" s="8" t="s">
        <v>278</v>
      </c>
      <c r="D237" s="8" t="s">
        <v>110</v>
      </c>
      <c r="E237" s="8">
        <v>19</v>
      </c>
      <c r="F237" s="8">
        <v>34</v>
      </c>
      <c r="G237" s="8">
        <v>13</v>
      </c>
      <c r="H237" s="8">
        <v>7461</v>
      </c>
      <c r="I237" s="8">
        <v>131115</v>
      </c>
      <c r="J237" s="16"/>
    </row>
    <row r="238" spans="1:10" s="4" customFormat="1" ht="11.25" x14ac:dyDescent="0.2">
      <c r="A238" s="8" t="s">
        <v>222</v>
      </c>
      <c r="B238" s="8">
        <v>2105</v>
      </c>
      <c r="C238" s="8" t="s">
        <v>279</v>
      </c>
      <c r="D238" s="8" t="s">
        <v>72</v>
      </c>
      <c r="E238" s="8">
        <v>20</v>
      </c>
      <c r="F238" s="8">
        <v>99</v>
      </c>
      <c r="G238" s="8">
        <v>13</v>
      </c>
      <c r="H238" s="8">
        <v>7545</v>
      </c>
      <c r="I238" s="8">
        <v>131120</v>
      </c>
      <c r="J238" s="16"/>
    </row>
    <row r="239" spans="1:10" s="4" customFormat="1" ht="11.25" x14ac:dyDescent="0.2">
      <c r="A239" s="8" t="s">
        <v>222</v>
      </c>
      <c r="B239" s="8">
        <v>850</v>
      </c>
      <c r="C239" s="8" t="s">
        <v>125</v>
      </c>
      <c r="D239" s="8" t="s">
        <v>126</v>
      </c>
      <c r="E239" s="8">
        <v>1</v>
      </c>
      <c r="F239" s="8">
        <v>66</v>
      </c>
      <c r="G239" s="8">
        <v>13</v>
      </c>
      <c r="H239" s="8">
        <v>7252</v>
      </c>
      <c r="I239" s="8">
        <v>131107</v>
      </c>
      <c r="J239" s="16"/>
    </row>
    <row r="240" spans="1:10" s="4" customFormat="1" ht="11.25" x14ac:dyDescent="0.2">
      <c r="A240" s="8" t="s">
        <v>222</v>
      </c>
      <c r="B240" s="8">
        <v>683</v>
      </c>
      <c r="C240" s="8" t="s">
        <v>280</v>
      </c>
      <c r="D240" s="8" t="s">
        <v>281</v>
      </c>
      <c r="E240" s="8">
        <v>4</v>
      </c>
      <c r="F240" s="8">
        <v>8</v>
      </c>
      <c r="G240" s="8">
        <v>13</v>
      </c>
      <c r="H240" s="8">
        <v>7392</v>
      </c>
      <c r="I240" s="8">
        <v>131113</v>
      </c>
      <c r="J240" s="16"/>
    </row>
    <row r="241" spans="1:10" s="4" customFormat="1" ht="11.25" x14ac:dyDescent="0.2">
      <c r="A241" s="8" t="s">
        <v>222</v>
      </c>
      <c r="B241" s="8">
        <v>810</v>
      </c>
      <c r="C241" s="8" t="s">
        <v>282</v>
      </c>
      <c r="D241" s="8" t="s">
        <v>184</v>
      </c>
      <c r="E241" s="8">
        <v>6</v>
      </c>
      <c r="F241" s="8">
        <v>20</v>
      </c>
      <c r="G241" s="8">
        <v>13</v>
      </c>
      <c r="H241" s="8">
        <v>7197</v>
      </c>
      <c r="I241" s="8">
        <v>131105</v>
      </c>
      <c r="J241" s="16"/>
    </row>
    <row r="242" spans="1:10" s="4" customFormat="1" ht="11.25" x14ac:dyDescent="0.2">
      <c r="A242" s="8" t="s">
        <v>222</v>
      </c>
      <c r="B242" s="8">
        <v>3822</v>
      </c>
      <c r="C242" s="8" t="s">
        <v>169</v>
      </c>
      <c r="D242" s="8" t="s">
        <v>170</v>
      </c>
      <c r="E242" s="8">
        <v>3</v>
      </c>
      <c r="F242" s="8">
        <v>6</v>
      </c>
      <c r="G242" s="8">
        <v>13</v>
      </c>
      <c r="H242" s="8">
        <v>7523</v>
      </c>
      <c r="I242" s="8">
        <v>131119</v>
      </c>
      <c r="J242" s="16"/>
    </row>
    <row r="243" spans="1:10" s="4" customFormat="1" ht="11.25" x14ac:dyDescent="0.2">
      <c r="A243" s="8" t="s">
        <v>222</v>
      </c>
      <c r="B243" s="8">
        <v>120</v>
      </c>
      <c r="C243" s="8" t="s">
        <v>283</v>
      </c>
      <c r="D243" s="8" t="s">
        <v>284</v>
      </c>
      <c r="E243" s="8">
        <v>2</v>
      </c>
      <c r="F243" s="8">
        <v>2</v>
      </c>
      <c r="G243" s="8">
        <v>13</v>
      </c>
      <c r="H243" s="8">
        <v>7681</v>
      </c>
      <c r="I243" s="8">
        <v>131126</v>
      </c>
      <c r="J243" s="16"/>
    </row>
    <row r="244" spans="1:10" s="4" customFormat="1" ht="11.25" x14ac:dyDescent="0.2">
      <c r="A244" s="8" t="s">
        <v>222</v>
      </c>
      <c r="B244" s="8">
        <v>2773</v>
      </c>
      <c r="C244" s="8" t="s">
        <v>285</v>
      </c>
      <c r="D244" s="8" t="s">
        <v>240</v>
      </c>
      <c r="E244" s="8">
        <v>10</v>
      </c>
      <c r="F244" s="8" t="s">
        <v>286</v>
      </c>
      <c r="G244" s="8">
        <v>13</v>
      </c>
      <c r="H244" s="8">
        <v>7204</v>
      </c>
      <c r="I244" s="8">
        <v>131105</v>
      </c>
      <c r="J244" s="16"/>
    </row>
    <row r="245" spans="1:10" s="4" customFormat="1" ht="11.25" x14ac:dyDescent="0.2">
      <c r="A245" s="8" t="s">
        <v>222</v>
      </c>
      <c r="B245" s="8">
        <v>2396</v>
      </c>
      <c r="C245" s="8" t="s">
        <v>127</v>
      </c>
      <c r="D245" s="8" t="s">
        <v>128</v>
      </c>
      <c r="E245" s="8">
        <v>24</v>
      </c>
      <c r="F245" s="8">
        <v>10</v>
      </c>
      <c r="G245" s="8">
        <v>13</v>
      </c>
      <c r="H245" s="8">
        <v>7620</v>
      </c>
      <c r="I245" s="8">
        <v>131125</v>
      </c>
      <c r="J245" s="16"/>
    </row>
    <row r="246" spans="1:10" s="4" customFormat="1" ht="11.25" x14ac:dyDescent="0.2">
      <c r="A246" s="8" t="s">
        <v>222</v>
      </c>
      <c r="B246" s="8">
        <v>800</v>
      </c>
      <c r="C246" s="8" t="s">
        <v>171</v>
      </c>
      <c r="D246" s="8" t="s">
        <v>172</v>
      </c>
      <c r="E246" s="8">
        <v>35</v>
      </c>
      <c r="F246" s="8">
        <v>10</v>
      </c>
      <c r="G246" s="8">
        <v>13</v>
      </c>
      <c r="H246" s="8">
        <v>7455</v>
      </c>
      <c r="I246" s="8">
        <v>131115</v>
      </c>
      <c r="J246" s="16"/>
    </row>
    <row r="247" spans="1:10" s="4" customFormat="1" ht="11.25" x14ac:dyDescent="0.2">
      <c r="A247" s="8" t="s">
        <v>222</v>
      </c>
      <c r="B247" s="8">
        <v>6509</v>
      </c>
      <c r="C247" s="8" t="s">
        <v>287</v>
      </c>
      <c r="D247" s="8" t="s">
        <v>130</v>
      </c>
      <c r="E247" s="8">
        <v>1</v>
      </c>
      <c r="F247" s="8">
        <v>16</v>
      </c>
      <c r="G247" s="8">
        <v>13</v>
      </c>
      <c r="H247" s="8">
        <v>7242</v>
      </c>
      <c r="I247" s="8">
        <v>131106</v>
      </c>
      <c r="J247" s="16"/>
    </row>
    <row r="248" spans="1:10" s="4" customFormat="1" ht="11.25" x14ac:dyDescent="0.2">
      <c r="A248" s="8" t="s">
        <v>222</v>
      </c>
      <c r="B248" s="8">
        <v>6565</v>
      </c>
      <c r="C248" s="8" t="s">
        <v>287</v>
      </c>
      <c r="D248" s="8" t="s">
        <v>130</v>
      </c>
      <c r="E248" s="8">
        <v>1</v>
      </c>
      <c r="F248" s="8">
        <v>29</v>
      </c>
      <c r="G248" s="8">
        <v>13</v>
      </c>
      <c r="H248" s="8">
        <v>7450</v>
      </c>
      <c r="I248" s="8">
        <v>131115</v>
      </c>
      <c r="J248" s="16"/>
    </row>
    <row r="249" spans="1:10" s="4" customFormat="1" ht="11.25" x14ac:dyDescent="0.2">
      <c r="A249" s="8" t="s">
        <v>222</v>
      </c>
      <c r="B249" s="8">
        <v>7104</v>
      </c>
      <c r="C249" s="8" t="s">
        <v>288</v>
      </c>
      <c r="D249" s="8" t="s">
        <v>122</v>
      </c>
      <c r="E249" s="8">
        <v>116</v>
      </c>
      <c r="F249" s="8">
        <v>2</v>
      </c>
      <c r="G249" s="8">
        <v>13</v>
      </c>
      <c r="H249" s="8">
        <v>7176</v>
      </c>
      <c r="I249" s="8">
        <v>131104</v>
      </c>
      <c r="J249" s="16"/>
    </row>
    <row r="250" spans="1:10" s="4" customFormat="1" ht="11.25" x14ac:dyDescent="0.2">
      <c r="A250" s="8" t="s">
        <v>222</v>
      </c>
      <c r="B250" s="8">
        <v>7104</v>
      </c>
      <c r="C250" s="8" t="s">
        <v>288</v>
      </c>
      <c r="D250" s="8" t="s">
        <v>122</v>
      </c>
      <c r="E250" s="8">
        <v>116</v>
      </c>
      <c r="F250" s="8">
        <v>2</v>
      </c>
      <c r="G250" s="8">
        <v>13</v>
      </c>
      <c r="H250" s="8">
        <v>7175</v>
      </c>
      <c r="I250" s="8">
        <v>131104</v>
      </c>
      <c r="J250" s="16"/>
    </row>
    <row r="251" spans="1:10" s="4" customFormat="1" ht="11.25" x14ac:dyDescent="0.2">
      <c r="A251" s="8" t="s">
        <v>222</v>
      </c>
      <c r="B251" s="8">
        <v>2495</v>
      </c>
      <c r="C251" s="8" t="s">
        <v>289</v>
      </c>
      <c r="D251" s="8" t="s">
        <v>100</v>
      </c>
      <c r="E251" s="8">
        <v>5</v>
      </c>
      <c r="F251" s="8">
        <v>35</v>
      </c>
      <c r="G251" s="8">
        <v>13</v>
      </c>
      <c r="H251" s="8">
        <v>7303</v>
      </c>
      <c r="I251" s="8">
        <v>131108</v>
      </c>
      <c r="J251" s="16"/>
    </row>
    <row r="252" spans="1:10" s="4" customFormat="1" ht="11.25" x14ac:dyDescent="0.2">
      <c r="A252" s="8" t="s">
        <v>222</v>
      </c>
      <c r="B252" s="8">
        <v>4906</v>
      </c>
      <c r="C252" s="8" t="s">
        <v>290</v>
      </c>
      <c r="D252" s="8" t="s">
        <v>291</v>
      </c>
      <c r="E252" s="8">
        <v>5</v>
      </c>
      <c r="F252" s="8">
        <v>8</v>
      </c>
      <c r="G252" s="8">
        <v>13</v>
      </c>
      <c r="H252" s="8">
        <v>7515</v>
      </c>
      <c r="I252" s="8">
        <v>131119</v>
      </c>
      <c r="J252" s="16"/>
    </row>
    <row r="253" spans="1:10" s="4" customFormat="1" ht="11.25" x14ac:dyDescent="0.2">
      <c r="A253" s="8" t="s">
        <v>222</v>
      </c>
      <c r="B253" s="8">
        <v>4928</v>
      </c>
      <c r="C253" s="8" t="s">
        <v>292</v>
      </c>
      <c r="D253" s="8" t="s">
        <v>293</v>
      </c>
      <c r="E253" s="8">
        <v>1</v>
      </c>
      <c r="F253" s="8" t="s">
        <v>294</v>
      </c>
      <c r="G253" s="8">
        <v>13</v>
      </c>
      <c r="H253" s="8">
        <v>7475</v>
      </c>
      <c r="I253" s="8">
        <v>131118</v>
      </c>
      <c r="J253" s="16"/>
    </row>
    <row r="254" spans="1:10" s="4" customFormat="1" ht="11.25" x14ac:dyDescent="0.2">
      <c r="A254" s="8" t="s">
        <v>222</v>
      </c>
      <c r="B254" s="8">
        <v>7336</v>
      </c>
      <c r="C254" s="8" t="s">
        <v>197</v>
      </c>
      <c r="D254" s="8" t="s">
        <v>198</v>
      </c>
      <c r="E254" s="8">
        <v>1</v>
      </c>
      <c r="F254" s="8">
        <v>6</v>
      </c>
      <c r="G254" s="8">
        <v>13</v>
      </c>
      <c r="H254" s="8">
        <v>7158</v>
      </c>
      <c r="I254" s="8">
        <v>131104</v>
      </c>
      <c r="J254" s="16"/>
    </row>
    <row r="255" spans="1:10" s="4" customFormat="1" ht="11.25" x14ac:dyDescent="0.2">
      <c r="A255" s="8" t="s">
        <v>222</v>
      </c>
      <c r="B255" s="8">
        <v>7352</v>
      </c>
      <c r="C255" s="8" t="s">
        <v>197</v>
      </c>
      <c r="D255" s="8" t="s">
        <v>198</v>
      </c>
      <c r="E255" s="8">
        <v>1</v>
      </c>
      <c r="F255" s="8">
        <v>10</v>
      </c>
      <c r="G255" s="8">
        <v>13</v>
      </c>
      <c r="H255" s="8">
        <v>7573</v>
      </c>
      <c r="I255" s="8">
        <v>131121</v>
      </c>
      <c r="J255" s="16"/>
    </row>
    <row r="256" spans="1:10" s="4" customFormat="1" ht="11.25" x14ac:dyDescent="0.2">
      <c r="A256" s="8" t="s">
        <v>222</v>
      </c>
      <c r="B256" s="8">
        <v>75</v>
      </c>
      <c r="C256" s="8" t="s">
        <v>295</v>
      </c>
      <c r="D256" s="8" t="s">
        <v>296</v>
      </c>
      <c r="E256" s="8">
        <v>6</v>
      </c>
      <c r="F256" s="8">
        <v>17</v>
      </c>
      <c r="G256" s="8">
        <v>13</v>
      </c>
      <c r="H256" s="8">
        <v>7694</v>
      </c>
      <c r="I256" s="8">
        <v>131127</v>
      </c>
      <c r="J256" s="16"/>
    </row>
    <row r="257" spans="1:10" s="4" customFormat="1" ht="11.25" x14ac:dyDescent="0.2">
      <c r="A257" s="8" t="s">
        <v>222</v>
      </c>
      <c r="B257" s="8">
        <v>670</v>
      </c>
      <c r="C257" s="8" t="s">
        <v>297</v>
      </c>
      <c r="D257" s="8" t="s">
        <v>298</v>
      </c>
      <c r="E257" s="8">
        <v>5</v>
      </c>
      <c r="F257" s="8">
        <v>23</v>
      </c>
      <c r="G257" s="8">
        <v>13</v>
      </c>
      <c r="H257" s="8">
        <v>7462</v>
      </c>
      <c r="I257" s="8">
        <v>131115</v>
      </c>
      <c r="J257" s="16"/>
    </row>
    <row r="258" spans="1:10" s="4" customFormat="1" ht="11.25" x14ac:dyDescent="0.2">
      <c r="A258" s="8" t="s">
        <v>222</v>
      </c>
      <c r="B258" s="8">
        <v>6528</v>
      </c>
      <c r="C258" s="8" t="s">
        <v>129</v>
      </c>
      <c r="D258" s="8" t="s">
        <v>130</v>
      </c>
      <c r="E258" s="8">
        <v>8</v>
      </c>
      <c r="F258" s="8">
        <v>26</v>
      </c>
      <c r="G258" s="8">
        <v>13</v>
      </c>
      <c r="H258" s="8">
        <v>7516</v>
      </c>
      <c r="I258" s="8">
        <v>131119</v>
      </c>
      <c r="J258" s="16"/>
    </row>
    <row r="259" spans="1:10" s="4" customFormat="1" ht="11.25" x14ac:dyDescent="0.2">
      <c r="A259" s="8" t="s">
        <v>222</v>
      </c>
      <c r="B259" s="8">
        <v>617</v>
      </c>
      <c r="C259" s="8" t="s">
        <v>173</v>
      </c>
      <c r="D259" s="8" t="s">
        <v>170</v>
      </c>
      <c r="E259" s="8">
        <v>1</v>
      </c>
      <c r="F259" s="8">
        <v>1</v>
      </c>
      <c r="G259" s="8">
        <v>13</v>
      </c>
      <c r="H259" s="8">
        <v>7309</v>
      </c>
      <c r="I259" s="8">
        <v>131108</v>
      </c>
      <c r="J259" s="16"/>
    </row>
    <row r="260" spans="1:10" s="4" customFormat="1" ht="11.25" x14ac:dyDescent="0.2">
      <c r="A260" s="8" t="s">
        <v>222</v>
      </c>
      <c r="B260" s="8">
        <v>753</v>
      </c>
      <c r="C260" s="8" t="s">
        <v>173</v>
      </c>
      <c r="D260" s="8" t="s">
        <v>170</v>
      </c>
      <c r="E260" s="8">
        <v>1</v>
      </c>
      <c r="F260" s="8">
        <v>18</v>
      </c>
      <c r="G260" s="8">
        <v>13</v>
      </c>
      <c r="H260" s="8">
        <v>7524</v>
      </c>
      <c r="I260" s="8">
        <v>131119</v>
      </c>
      <c r="J260" s="16"/>
    </row>
    <row r="261" spans="1:10" s="4" customFormat="1" ht="11.25" x14ac:dyDescent="0.2">
      <c r="A261" s="8" t="s">
        <v>222</v>
      </c>
      <c r="B261" s="8">
        <v>809</v>
      </c>
      <c r="C261" s="8" t="s">
        <v>173</v>
      </c>
      <c r="D261" s="8" t="s">
        <v>199</v>
      </c>
      <c r="E261" s="8">
        <v>5</v>
      </c>
      <c r="F261" s="8">
        <v>4</v>
      </c>
      <c r="G261" s="8">
        <v>13</v>
      </c>
      <c r="H261" s="8">
        <v>7471</v>
      </c>
      <c r="I261" s="8">
        <v>131115</v>
      </c>
      <c r="J261" s="16"/>
    </row>
    <row r="262" spans="1:10" s="4" customFormat="1" ht="11.25" x14ac:dyDescent="0.2">
      <c r="A262" s="8" t="s">
        <v>222</v>
      </c>
      <c r="B262" s="8">
        <v>1701</v>
      </c>
      <c r="C262" s="8" t="s">
        <v>299</v>
      </c>
      <c r="D262" s="8" t="s">
        <v>300</v>
      </c>
      <c r="E262" s="8">
        <v>3</v>
      </c>
      <c r="F262" s="8">
        <v>6</v>
      </c>
      <c r="G262" s="8">
        <v>13</v>
      </c>
      <c r="H262" s="8">
        <v>7430</v>
      </c>
      <c r="I262" s="8">
        <v>131114</v>
      </c>
      <c r="J262" s="16"/>
    </row>
    <row r="263" spans="1:10" s="4" customFormat="1" ht="11.25" x14ac:dyDescent="0.2">
      <c r="A263" s="8" t="s">
        <v>222</v>
      </c>
      <c r="B263" s="8">
        <v>324</v>
      </c>
      <c r="C263" s="8" t="s">
        <v>301</v>
      </c>
      <c r="D263" s="8" t="s">
        <v>291</v>
      </c>
      <c r="E263" s="8">
        <v>4</v>
      </c>
      <c r="F263" s="8">
        <v>5</v>
      </c>
      <c r="G263" s="8">
        <v>13</v>
      </c>
      <c r="H263" s="8">
        <v>7180</v>
      </c>
      <c r="I263" s="8">
        <v>131104</v>
      </c>
      <c r="J263" s="16"/>
    </row>
    <row r="264" spans="1:10" s="4" customFormat="1" ht="11.25" x14ac:dyDescent="0.2">
      <c r="A264" s="8" t="s">
        <v>222</v>
      </c>
      <c r="B264" s="8">
        <v>536</v>
      </c>
      <c r="C264" s="8" t="s">
        <v>302</v>
      </c>
      <c r="D264" s="8" t="s">
        <v>211</v>
      </c>
      <c r="E264" s="8">
        <v>23</v>
      </c>
      <c r="F264" s="8">
        <v>5</v>
      </c>
      <c r="G264" s="8">
        <v>13</v>
      </c>
      <c r="H264" s="8">
        <v>7532</v>
      </c>
      <c r="I264" s="8">
        <v>131120</v>
      </c>
      <c r="J264" s="16"/>
    </row>
    <row r="265" spans="1:10" s="4" customFormat="1" ht="11.25" x14ac:dyDescent="0.2">
      <c r="A265" s="8" t="s">
        <v>222</v>
      </c>
      <c r="B265" s="8">
        <v>117</v>
      </c>
      <c r="C265" s="8" t="s">
        <v>200</v>
      </c>
      <c r="D265" s="8" t="s">
        <v>114</v>
      </c>
      <c r="E265" s="8">
        <v>7</v>
      </c>
      <c r="F265" s="8">
        <v>29</v>
      </c>
      <c r="G265" s="8">
        <v>13</v>
      </c>
      <c r="H265" s="8">
        <v>7649</v>
      </c>
      <c r="I265" s="8">
        <v>131126</v>
      </c>
      <c r="J265" s="16"/>
    </row>
    <row r="266" spans="1:10" s="4" customFormat="1" ht="11.25" x14ac:dyDescent="0.2">
      <c r="A266" s="8" t="s">
        <v>222</v>
      </c>
      <c r="B266" s="8">
        <v>4015</v>
      </c>
      <c r="C266" s="8" t="s">
        <v>132</v>
      </c>
      <c r="D266" s="8" t="s">
        <v>133</v>
      </c>
      <c r="E266" s="8">
        <v>2</v>
      </c>
      <c r="F266" s="8">
        <v>5</v>
      </c>
      <c r="G266" s="8">
        <v>13</v>
      </c>
      <c r="H266" s="8">
        <v>7472</v>
      </c>
      <c r="I266" s="8">
        <v>131115</v>
      </c>
      <c r="J266" s="16"/>
    </row>
    <row r="267" spans="1:10" s="4" customFormat="1" ht="11.25" x14ac:dyDescent="0.2">
      <c r="A267" s="8" t="s">
        <v>222</v>
      </c>
      <c r="B267" s="8">
        <v>4023</v>
      </c>
      <c r="C267" s="8" t="s">
        <v>132</v>
      </c>
      <c r="D267" s="8" t="s">
        <v>133</v>
      </c>
      <c r="E267" s="8">
        <v>2</v>
      </c>
      <c r="F267" s="8">
        <v>3</v>
      </c>
      <c r="G267" s="8">
        <v>13</v>
      </c>
      <c r="H267" s="8">
        <v>7473</v>
      </c>
      <c r="I267" s="8">
        <v>131115</v>
      </c>
      <c r="J267" s="16"/>
    </row>
    <row r="268" spans="1:10" s="4" customFormat="1" ht="11.25" x14ac:dyDescent="0.2">
      <c r="A268" s="8" t="s">
        <v>222</v>
      </c>
      <c r="B268" s="8">
        <v>4031</v>
      </c>
      <c r="C268" s="8" t="s">
        <v>132</v>
      </c>
      <c r="D268" s="8" t="s">
        <v>133</v>
      </c>
      <c r="E268" s="8">
        <v>2</v>
      </c>
      <c r="F268" s="8">
        <v>1</v>
      </c>
      <c r="G268" s="8">
        <v>13</v>
      </c>
      <c r="H268" s="8">
        <v>7310</v>
      </c>
      <c r="I268" s="8">
        <v>131108</v>
      </c>
      <c r="J268" s="16"/>
    </row>
    <row r="269" spans="1:10" s="4" customFormat="1" ht="11.25" x14ac:dyDescent="0.2">
      <c r="A269" s="8" t="s">
        <v>222</v>
      </c>
      <c r="B269" s="8">
        <v>1632</v>
      </c>
      <c r="C269" s="8" t="s">
        <v>303</v>
      </c>
      <c r="D269" s="8" t="s">
        <v>304</v>
      </c>
      <c r="E269" s="8">
        <v>1</v>
      </c>
      <c r="F269" s="8">
        <v>9</v>
      </c>
      <c r="G269" s="8">
        <v>13</v>
      </c>
      <c r="H269" s="8">
        <v>7544</v>
      </c>
      <c r="I269" s="8">
        <v>131120</v>
      </c>
      <c r="J269" s="16"/>
    </row>
    <row r="270" spans="1:10" s="4" customFormat="1" ht="11.25" x14ac:dyDescent="0.2">
      <c r="A270" s="8" t="s">
        <v>222</v>
      </c>
      <c r="B270" s="8">
        <v>411</v>
      </c>
      <c r="C270" s="8" t="s">
        <v>305</v>
      </c>
      <c r="D270" s="8" t="s">
        <v>306</v>
      </c>
      <c r="E270" s="8">
        <v>2</v>
      </c>
      <c r="F270" s="8">
        <v>9</v>
      </c>
      <c r="G270" s="8">
        <v>13</v>
      </c>
      <c r="H270" s="8">
        <v>7703</v>
      </c>
      <c r="I270" s="8">
        <v>131127</v>
      </c>
      <c r="J270" s="16"/>
    </row>
    <row r="271" spans="1:10" s="4" customFormat="1" ht="11.25" x14ac:dyDescent="0.2">
      <c r="A271" s="8" t="s">
        <v>222</v>
      </c>
      <c r="B271" s="8">
        <v>2204</v>
      </c>
      <c r="C271" s="8" t="s">
        <v>307</v>
      </c>
      <c r="D271" s="8" t="s">
        <v>308</v>
      </c>
      <c r="E271" s="8">
        <v>1</v>
      </c>
      <c r="F271" s="8">
        <v>37</v>
      </c>
      <c r="G271" s="8">
        <v>13</v>
      </c>
      <c r="H271" s="8">
        <v>7517</v>
      </c>
      <c r="I271" s="8">
        <v>131119</v>
      </c>
      <c r="J271" s="16"/>
    </row>
    <row r="272" spans="1:10" s="4" customFormat="1" ht="11.25" x14ac:dyDescent="0.2">
      <c r="A272" s="8" t="s">
        <v>222</v>
      </c>
      <c r="B272" s="8">
        <v>1877</v>
      </c>
      <c r="C272" s="8" t="s">
        <v>309</v>
      </c>
      <c r="D272" s="8" t="s">
        <v>310</v>
      </c>
      <c r="E272" s="8"/>
      <c r="F272" s="8">
        <v>11</v>
      </c>
      <c r="G272" s="8">
        <v>13</v>
      </c>
      <c r="H272" s="8">
        <v>7426</v>
      </c>
      <c r="I272" s="8">
        <v>131114</v>
      </c>
      <c r="J272" s="16"/>
    </row>
    <row r="273" spans="1:10" s="4" customFormat="1" ht="11.25" x14ac:dyDescent="0.2">
      <c r="A273" s="8" t="s">
        <v>222</v>
      </c>
      <c r="B273" s="8">
        <v>2634</v>
      </c>
      <c r="C273" s="8" t="s">
        <v>311</v>
      </c>
      <c r="D273" s="8" t="s">
        <v>175</v>
      </c>
      <c r="E273" s="8">
        <v>5</v>
      </c>
      <c r="F273" s="8">
        <v>9</v>
      </c>
      <c r="G273" s="8">
        <v>13</v>
      </c>
      <c r="H273" s="8">
        <v>7630</v>
      </c>
      <c r="I273" s="8">
        <v>131125</v>
      </c>
      <c r="J273" s="16"/>
    </row>
    <row r="274" spans="1:10" s="4" customFormat="1" ht="11.25" x14ac:dyDescent="0.2">
      <c r="A274" s="8" t="s">
        <v>222</v>
      </c>
      <c r="B274" s="8">
        <v>709</v>
      </c>
      <c r="C274" s="8" t="s">
        <v>135</v>
      </c>
      <c r="D274" s="8" t="s">
        <v>136</v>
      </c>
      <c r="E274" s="8">
        <v>1</v>
      </c>
      <c r="F274" s="8">
        <v>6</v>
      </c>
      <c r="G274" s="8">
        <v>13</v>
      </c>
      <c r="H274" s="8">
        <v>7128</v>
      </c>
      <c r="I274" s="8">
        <v>131101</v>
      </c>
      <c r="J274" s="16"/>
    </row>
    <row r="275" spans="1:10" s="4" customFormat="1" ht="11.25" x14ac:dyDescent="0.2">
      <c r="A275" s="8" t="s">
        <v>222</v>
      </c>
      <c r="B275" s="8">
        <v>5801</v>
      </c>
      <c r="C275" s="8" t="s">
        <v>312</v>
      </c>
      <c r="D275" s="8" t="s">
        <v>97</v>
      </c>
      <c r="E275" s="8">
        <v>160</v>
      </c>
      <c r="F275" s="8">
        <v>13</v>
      </c>
      <c r="G275" s="8">
        <v>13</v>
      </c>
      <c r="H275" s="8">
        <v>7185</v>
      </c>
      <c r="I275" s="8">
        <v>131105</v>
      </c>
      <c r="J275" s="16"/>
    </row>
    <row r="276" spans="1:10" s="4" customFormat="1" ht="11.25" x14ac:dyDescent="0.2">
      <c r="A276" s="8" t="s">
        <v>222</v>
      </c>
      <c r="B276" s="8">
        <v>4213</v>
      </c>
      <c r="C276" s="8" t="s">
        <v>138</v>
      </c>
      <c r="D276" s="8" t="s">
        <v>114</v>
      </c>
      <c r="E276" s="8">
        <v>6</v>
      </c>
      <c r="F276" s="8">
        <v>18</v>
      </c>
      <c r="G276" s="8">
        <v>13</v>
      </c>
      <c r="H276" s="8">
        <v>7171</v>
      </c>
      <c r="I276" s="8">
        <v>131104</v>
      </c>
      <c r="J276" s="16"/>
    </row>
    <row r="277" spans="1:10" s="4" customFormat="1" ht="11.25" x14ac:dyDescent="0.2">
      <c r="A277" s="8" t="s">
        <v>222</v>
      </c>
      <c r="B277" s="8">
        <v>2136</v>
      </c>
      <c r="C277" s="8" t="s">
        <v>313</v>
      </c>
      <c r="D277" s="8" t="s">
        <v>314</v>
      </c>
      <c r="E277" s="8">
        <v>2</v>
      </c>
      <c r="F277" s="8">
        <v>19</v>
      </c>
      <c r="G277" s="8">
        <v>13</v>
      </c>
      <c r="H277" s="8">
        <v>7542</v>
      </c>
      <c r="I277" s="8">
        <v>131120</v>
      </c>
      <c r="J277" s="16"/>
    </row>
    <row r="278" spans="1:10" s="4" customFormat="1" ht="11.25" x14ac:dyDescent="0.2">
      <c r="A278" s="8" t="s">
        <v>222</v>
      </c>
      <c r="B278" s="8">
        <v>1063</v>
      </c>
      <c r="C278" s="8" t="s">
        <v>316</v>
      </c>
      <c r="D278" s="8" t="s">
        <v>266</v>
      </c>
      <c r="E278" s="8">
        <v>3</v>
      </c>
      <c r="F278" s="8">
        <v>21</v>
      </c>
      <c r="G278" s="8">
        <v>13</v>
      </c>
      <c r="H278" s="8">
        <v>7443</v>
      </c>
      <c r="I278" s="8">
        <v>131114</v>
      </c>
      <c r="J278" s="16"/>
    </row>
    <row r="279" spans="1:10" s="4" customFormat="1" ht="11.25" x14ac:dyDescent="0.2">
      <c r="A279" s="8" t="s">
        <v>222</v>
      </c>
      <c r="B279" s="8">
        <v>5517</v>
      </c>
      <c r="C279" s="8" t="s">
        <v>317</v>
      </c>
      <c r="D279" s="8" t="s">
        <v>318</v>
      </c>
      <c r="E279" s="8">
        <v>7</v>
      </c>
      <c r="F279" s="8">
        <v>11</v>
      </c>
      <c r="G279" s="8">
        <v>13</v>
      </c>
      <c r="H279" s="8">
        <v>7348</v>
      </c>
      <c r="I279" s="8">
        <v>131112</v>
      </c>
      <c r="J279" s="16"/>
    </row>
    <row r="280" spans="1:10" s="4" customFormat="1" ht="11.25" x14ac:dyDescent="0.2">
      <c r="A280" s="8" t="s">
        <v>222</v>
      </c>
      <c r="B280" s="8">
        <v>1580</v>
      </c>
      <c r="C280" s="8" t="s">
        <v>319</v>
      </c>
      <c r="D280" s="8" t="s">
        <v>97</v>
      </c>
      <c r="E280" s="8">
        <v>136</v>
      </c>
      <c r="F280" s="8">
        <v>1</v>
      </c>
      <c r="G280" s="8">
        <v>13</v>
      </c>
      <c r="H280" s="8">
        <v>7166</v>
      </c>
      <c r="I280" s="8">
        <v>131104</v>
      </c>
      <c r="J280" s="16"/>
    </row>
    <row r="281" spans="1:10" s="4" customFormat="1" ht="11.25" x14ac:dyDescent="0.2">
      <c r="A281" s="8" t="s">
        <v>222</v>
      </c>
      <c r="B281" s="8">
        <v>2558</v>
      </c>
      <c r="C281" s="8" t="s">
        <v>320</v>
      </c>
      <c r="D281" s="8" t="s">
        <v>128</v>
      </c>
      <c r="E281" s="8">
        <v>4</v>
      </c>
      <c r="F281" s="8">
        <v>41</v>
      </c>
      <c r="G281" s="8">
        <v>13</v>
      </c>
      <c r="H281" s="8">
        <v>7690</v>
      </c>
      <c r="I281" s="8">
        <v>131127</v>
      </c>
      <c r="J281" s="16"/>
    </row>
    <row r="282" spans="1:10" s="4" customFormat="1" ht="11.25" x14ac:dyDescent="0.2">
      <c r="A282" s="8" t="s">
        <v>222</v>
      </c>
      <c r="B282" s="8">
        <v>6641</v>
      </c>
      <c r="C282" s="8" t="s">
        <v>321</v>
      </c>
      <c r="D282" s="8" t="s">
        <v>322</v>
      </c>
      <c r="E282" s="8">
        <v>1</v>
      </c>
      <c r="F282" s="8">
        <v>21</v>
      </c>
      <c r="G282" s="8">
        <v>13</v>
      </c>
      <c r="H282" s="8">
        <v>7215</v>
      </c>
      <c r="I282" s="8">
        <v>131105</v>
      </c>
      <c r="J282" s="16"/>
    </row>
    <row r="283" spans="1:10" s="4" customFormat="1" ht="11.25" x14ac:dyDescent="0.2">
      <c r="A283" s="8" t="s">
        <v>222</v>
      </c>
      <c r="B283" s="8">
        <v>600</v>
      </c>
      <c r="C283" s="8" t="s">
        <v>139</v>
      </c>
      <c r="D283" s="8" t="s">
        <v>133</v>
      </c>
      <c r="E283" s="8">
        <v>3</v>
      </c>
      <c r="F283" s="8">
        <v>6</v>
      </c>
      <c r="G283" s="8">
        <v>13</v>
      </c>
      <c r="H283" s="8">
        <v>7629</v>
      </c>
      <c r="I283" s="8">
        <v>131125</v>
      </c>
      <c r="J283" s="16"/>
    </row>
    <row r="284" spans="1:10" s="4" customFormat="1" ht="11.25" x14ac:dyDescent="0.2">
      <c r="A284" s="8" t="s">
        <v>222</v>
      </c>
      <c r="B284" s="8">
        <v>706</v>
      </c>
      <c r="C284" s="8" t="s">
        <v>139</v>
      </c>
      <c r="D284" s="8" t="s">
        <v>133</v>
      </c>
      <c r="E284" s="8">
        <v>3</v>
      </c>
      <c r="F284" s="8">
        <v>15</v>
      </c>
      <c r="G284" s="8">
        <v>13</v>
      </c>
      <c r="H284" s="8">
        <v>7534</v>
      </c>
      <c r="I284" s="8">
        <v>131120</v>
      </c>
      <c r="J284" s="16"/>
    </row>
    <row r="285" spans="1:10" s="4" customFormat="1" ht="11.25" x14ac:dyDescent="0.2">
      <c r="A285" s="8" t="s">
        <v>222</v>
      </c>
      <c r="B285" s="8">
        <v>710</v>
      </c>
      <c r="C285" s="8" t="s">
        <v>139</v>
      </c>
      <c r="D285" s="8" t="s">
        <v>133</v>
      </c>
      <c r="E285" s="8">
        <v>3</v>
      </c>
      <c r="F285" s="8">
        <v>16</v>
      </c>
      <c r="G285" s="8">
        <v>13</v>
      </c>
      <c r="H285" s="8">
        <v>7702</v>
      </c>
      <c r="I285" s="8">
        <v>131127</v>
      </c>
      <c r="J285" s="16"/>
    </row>
    <row r="286" spans="1:10" s="4" customFormat="1" ht="11.25" x14ac:dyDescent="0.2">
      <c r="A286" s="8" t="s">
        <v>222</v>
      </c>
      <c r="B286" s="8">
        <v>7112</v>
      </c>
      <c r="C286" s="8" t="s">
        <v>140</v>
      </c>
      <c r="D286" s="8" t="s">
        <v>141</v>
      </c>
      <c r="E286" s="8">
        <v>4</v>
      </c>
      <c r="F286" s="8">
        <v>41</v>
      </c>
      <c r="G286" s="8">
        <v>13</v>
      </c>
      <c r="H286" s="8">
        <v>7291</v>
      </c>
      <c r="I286" s="8">
        <v>131107</v>
      </c>
      <c r="J286" s="16"/>
    </row>
    <row r="287" spans="1:10" s="4" customFormat="1" ht="11.25" x14ac:dyDescent="0.2">
      <c r="A287" s="8" t="s">
        <v>222</v>
      </c>
      <c r="B287" s="8">
        <v>4388</v>
      </c>
      <c r="C287" s="8" t="s">
        <v>323</v>
      </c>
      <c r="D287" s="8" t="s">
        <v>324</v>
      </c>
      <c r="E287" s="8"/>
      <c r="F287" s="8">
        <v>58</v>
      </c>
      <c r="G287" s="8">
        <v>13</v>
      </c>
      <c r="H287" s="8">
        <v>7509</v>
      </c>
      <c r="I287" s="8">
        <v>131118</v>
      </c>
      <c r="J287" s="16"/>
    </row>
    <row r="288" spans="1:10" s="4" customFormat="1" ht="11.25" x14ac:dyDescent="0.2">
      <c r="A288" s="8" t="s">
        <v>222</v>
      </c>
      <c r="B288" s="8">
        <v>3113</v>
      </c>
      <c r="C288" s="8" t="s">
        <v>325</v>
      </c>
      <c r="D288" s="8" t="s">
        <v>326</v>
      </c>
      <c r="E288" s="8">
        <v>2</v>
      </c>
      <c r="F288" s="8">
        <v>9</v>
      </c>
      <c r="G288" s="8">
        <v>13</v>
      </c>
      <c r="H288" s="8">
        <v>7452</v>
      </c>
      <c r="I288" s="8">
        <v>131115</v>
      </c>
      <c r="J288" s="16"/>
    </row>
    <row r="289" spans="1:10" s="4" customFormat="1" ht="11.25" x14ac:dyDescent="0.2">
      <c r="A289" s="8" t="s">
        <v>222</v>
      </c>
      <c r="B289" s="8">
        <v>170</v>
      </c>
      <c r="C289" s="8" t="s">
        <v>327</v>
      </c>
      <c r="D289" s="8" t="s">
        <v>211</v>
      </c>
      <c r="E289" s="8">
        <v>13</v>
      </c>
      <c r="F289" s="8">
        <v>3</v>
      </c>
      <c r="G289" s="8">
        <v>13</v>
      </c>
      <c r="H289" s="8">
        <v>7169</v>
      </c>
      <c r="I289" s="8">
        <v>131104</v>
      </c>
      <c r="J289" s="16"/>
    </row>
    <row r="290" spans="1:10" s="4" customFormat="1" ht="11.25" x14ac:dyDescent="0.2">
      <c r="A290" s="8" t="s">
        <v>222</v>
      </c>
      <c r="B290" s="8">
        <v>89</v>
      </c>
      <c r="C290" s="8" t="s">
        <v>142</v>
      </c>
      <c r="D290" s="8" t="s">
        <v>100</v>
      </c>
      <c r="E290" s="8">
        <v>5</v>
      </c>
      <c r="F290" s="8">
        <v>62</v>
      </c>
      <c r="G290" s="8">
        <v>13</v>
      </c>
      <c r="H290" s="8">
        <v>7397</v>
      </c>
      <c r="I290" s="8">
        <v>131113</v>
      </c>
      <c r="J290" s="16"/>
    </row>
    <row r="291" spans="1:10" s="4" customFormat="1" ht="11.25" x14ac:dyDescent="0.2">
      <c r="A291" s="8" t="s">
        <v>222</v>
      </c>
      <c r="B291" s="8">
        <v>1789</v>
      </c>
      <c r="C291" s="8" t="s">
        <v>328</v>
      </c>
      <c r="D291" s="8" t="s">
        <v>329</v>
      </c>
      <c r="E291" s="8"/>
      <c r="F291" s="8">
        <v>43</v>
      </c>
      <c r="G291" s="8">
        <v>13</v>
      </c>
      <c r="H291" s="8">
        <v>7463</v>
      </c>
      <c r="I291" s="8">
        <v>131115</v>
      </c>
      <c r="J291" s="16"/>
    </row>
    <row r="292" spans="1:10" s="4" customFormat="1" ht="11.25" x14ac:dyDescent="0.2">
      <c r="A292" s="8" t="s">
        <v>222</v>
      </c>
      <c r="B292" s="8">
        <v>1101</v>
      </c>
      <c r="C292" s="8" t="s">
        <v>147</v>
      </c>
      <c r="D292" s="8" t="s">
        <v>148</v>
      </c>
      <c r="E292" s="8">
        <v>1</v>
      </c>
      <c r="F292" s="8">
        <v>3</v>
      </c>
      <c r="G292" s="8">
        <v>13</v>
      </c>
      <c r="H292" s="8">
        <v>7454</v>
      </c>
      <c r="I292" s="8">
        <v>131115</v>
      </c>
      <c r="J292" s="16"/>
    </row>
    <row r="293" spans="1:10" s="4" customFormat="1" ht="11.25" x14ac:dyDescent="0.2">
      <c r="A293" s="8" t="s">
        <v>222</v>
      </c>
      <c r="B293" s="8">
        <v>4909</v>
      </c>
      <c r="C293" s="8" t="s">
        <v>330</v>
      </c>
      <c r="D293" s="8" t="s">
        <v>331</v>
      </c>
      <c r="E293" s="8">
        <v>1</v>
      </c>
      <c r="F293" s="8">
        <v>11</v>
      </c>
      <c r="G293" s="8">
        <v>13</v>
      </c>
      <c r="H293" s="8">
        <v>7208</v>
      </c>
      <c r="I293" s="8">
        <v>131105</v>
      </c>
      <c r="J293" s="16"/>
    </row>
    <row r="294" spans="1:10" s="4" customFormat="1" ht="11.25" x14ac:dyDescent="0.2">
      <c r="A294" s="8" t="s">
        <v>222</v>
      </c>
      <c r="B294" s="8">
        <v>332</v>
      </c>
      <c r="C294" s="8" t="s">
        <v>217</v>
      </c>
      <c r="D294" s="8" t="s">
        <v>202</v>
      </c>
      <c r="E294" s="8">
        <v>11</v>
      </c>
      <c r="F294" s="8">
        <v>47</v>
      </c>
      <c r="G294" s="8">
        <v>13</v>
      </c>
      <c r="H294" s="8">
        <v>7139</v>
      </c>
      <c r="I294" s="8">
        <v>131101</v>
      </c>
      <c r="J294" s="16"/>
    </row>
    <row r="295" spans="1:10" s="4" customFormat="1" ht="11.25" x14ac:dyDescent="0.2">
      <c r="A295" s="8" t="s">
        <v>222</v>
      </c>
      <c r="B295" s="8">
        <v>1401</v>
      </c>
      <c r="C295" s="8" t="s">
        <v>332</v>
      </c>
      <c r="D295" s="8" t="s">
        <v>209</v>
      </c>
      <c r="E295" s="8">
        <v>3</v>
      </c>
      <c r="F295" s="8">
        <v>15</v>
      </c>
      <c r="G295" s="8">
        <v>13</v>
      </c>
      <c r="H295" s="8">
        <v>7170</v>
      </c>
      <c r="I295" s="8">
        <v>131104</v>
      </c>
      <c r="J295" s="16"/>
    </row>
    <row r="296" spans="1:10" s="4" customFormat="1" ht="11.25" x14ac:dyDescent="0.2">
      <c r="A296" s="8" t="s">
        <v>222</v>
      </c>
      <c r="B296" s="8">
        <v>288</v>
      </c>
      <c r="C296" s="8" t="s">
        <v>333</v>
      </c>
      <c r="D296" s="8" t="s">
        <v>202</v>
      </c>
      <c r="E296" s="8">
        <v>16</v>
      </c>
      <c r="F296" s="8">
        <v>16</v>
      </c>
      <c r="G296" s="8">
        <v>13</v>
      </c>
      <c r="H296" s="8">
        <v>7521</v>
      </c>
      <c r="I296" s="8">
        <v>131119</v>
      </c>
      <c r="J296" s="16"/>
    </row>
    <row r="297" spans="1:10" s="4" customFormat="1" ht="11.25" x14ac:dyDescent="0.2">
      <c r="A297" s="8" t="s">
        <v>222</v>
      </c>
      <c r="B297" s="8">
        <v>3300</v>
      </c>
      <c r="C297" s="8" t="s">
        <v>334</v>
      </c>
      <c r="D297" s="8" t="s">
        <v>335</v>
      </c>
      <c r="E297" s="8">
        <v>2</v>
      </c>
      <c r="F297" s="8">
        <v>8</v>
      </c>
      <c r="G297" s="8">
        <v>13</v>
      </c>
      <c r="H297" s="8">
        <v>7459</v>
      </c>
      <c r="I297" s="8">
        <v>131115</v>
      </c>
      <c r="J297" s="16"/>
    </row>
    <row r="298" spans="1:10" s="4" customFormat="1" ht="11.25" x14ac:dyDescent="0.2">
      <c r="A298" s="8" t="s">
        <v>222</v>
      </c>
      <c r="B298" s="8">
        <v>1723</v>
      </c>
      <c r="C298" s="8" t="s">
        <v>336</v>
      </c>
      <c r="D298" s="8" t="s">
        <v>300</v>
      </c>
      <c r="E298" s="8">
        <v>1</v>
      </c>
      <c r="F298" s="8">
        <v>10</v>
      </c>
      <c r="G298" s="8">
        <v>13</v>
      </c>
      <c r="H298" s="8">
        <v>7490</v>
      </c>
      <c r="I298" s="8">
        <v>131118</v>
      </c>
      <c r="J298" s="16"/>
    </row>
    <row r="299" spans="1:10" s="4" customFormat="1" ht="11.25" x14ac:dyDescent="0.2">
      <c r="A299" s="8" t="s">
        <v>222</v>
      </c>
      <c r="B299" s="8">
        <v>296</v>
      </c>
      <c r="C299" s="8" t="s">
        <v>337</v>
      </c>
      <c r="D299" s="8" t="s">
        <v>202</v>
      </c>
      <c r="E299" s="8" t="s">
        <v>338</v>
      </c>
      <c r="F299" s="8">
        <v>12</v>
      </c>
      <c r="G299" s="8">
        <v>13</v>
      </c>
      <c r="H299" s="8">
        <v>7188</v>
      </c>
      <c r="I299" s="8">
        <v>131105</v>
      </c>
      <c r="J299" s="16"/>
    </row>
    <row r="300" spans="1:10" s="4" customFormat="1" ht="11.25" x14ac:dyDescent="0.2">
      <c r="A300" s="8" t="s">
        <v>222</v>
      </c>
      <c r="B300" s="8">
        <v>521</v>
      </c>
      <c r="C300" s="8" t="s">
        <v>210</v>
      </c>
      <c r="D300" s="8" t="s">
        <v>81</v>
      </c>
      <c r="E300" s="8" t="s">
        <v>339</v>
      </c>
      <c r="F300" s="8" t="s">
        <v>340</v>
      </c>
      <c r="G300" s="8">
        <v>13</v>
      </c>
      <c r="H300" s="8">
        <v>7522</v>
      </c>
      <c r="I300" s="8">
        <v>131119</v>
      </c>
      <c r="J300" s="16"/>
    </row>
    <row r="301" spans="1:10" s="4" customFormat="1" ht="11.25" x14ac:dyDescent="0.2">
      <c r="A301" s="8" t="s">
        <v>222</v>
      </c>
      <c r="B301" s="8">
        <v>5528</v>
      </c>
      <c r="C301" s="8" t="s">
        <v>341</v>
      </c>
      <c r="D301" s="8" t="s">
        <v>97</v>
      </c>
      <c r="E301" s="8">
        <v>146</v>
      </c>
      <c r="F301" s="8" t="s">
        <v>342</v>
      </c>
      <c r="G301" s="8">
        <v>13</v>
      </c>
      <c r="H301" s="8">
        <v>7304</v>
      </c>
      <c r="I301" s="8">
        <v>131108</v>
      </c>
      <c r="J301" s="16"/>
    </row>
    <row r="302" spans="1:10" s="4" customFormat="1" ht="11.25" x14ac:dyDescent="0.2">
      <c r="A302" s="8" t="s">
        <v>222</v>
      </c>
      <c r="B302" s="8">
        <v>1913</v>
      </c>
      <c r="C302" s="8" t="s">
        <v>343</v>
      </c>
      <c r="D302" s="8" t="s">
        <v>344</v>
      </c>
      <c r="E302" s="8">
        <v>3</v>
      </c>
      <c r="F302" s="8">
        <v>4</v>
      </c>
      <c r="G302" s="8">
        <v>13</v>
      </c>
      <c r="H302" s="8">
        <v>7680</v>
      </c>
      <c r="I302" s="8">
        <v>131126</v>
      </c>
      <c r="J302" s="16"/>
    </row>
    <row r="303" spans="1:10" s="4" customFormat="1" ht="11.25" x14ac:dyDescent="0.2">
      <c r="A303" s="8" t="s">
        <v>222</v>
      </c>
      <c r="B303" s="8">
        <v>2149</v>
      </c>
      <c r="C303" s="8" t="s">
        <v>150</v>
      </c>
      <c r="D303" s="8" t="s">
        <v>151</v>
      </c>
      <c r="E303" s="8">
        <v>9</v>
      </c>
      <c r="F303" s="8">
        <v>17</v>
      </c>
      <c r="G303" s="8">
        <v>13</v>
      </c>
      <c r="H303" s="8">
        <v>7211</v>
      </c>
      <c r="I303" s="8">
        <v>131105</v>
      </c>
      <c r="J303" s="16"/>
    </row>
    <row r="304" spans="1:10" s="4" customFormat="1" ht="11.25" x14ac:dyDescent="0.2">
      <c r="A304" s="8" t="s">
        <v>222</v>
      </c>
      <c r="B304" s="8">
        <v>2200</v>
      </c>
      <c r="C304" s="8" t="s">
        <v>150</v>
      </c>
      <c r="D304" s="8" t="s">
        <v>151</v>
      </c>
      <c r="E304" s="8">
        <v>1</v>
      </c>
      <c r="F304" s="8">
        <v>36</v>
      </c>
      <c r="G304" s="8">
        <v>13</v>
      </c>
      <c r="H304" s="8">
        <v>7219</v>
      </c>
      <c r="I304" s="8">
        <v>131105</v>
      </c>
      <c r="J304" s="16"/>
    </row>
    <row r="305" spans="1:10" s="4" customFormat="1" ht="11.25" x14ac:dyDescent="0.2">
      <c r="A305" s="8" t="s">
        <v>222</v>
      </c>
      <c r="B305" s="8">
        <v>2208</v>
      </c>
      <c r="C305" s="8" t="s">
        <v>150</v>
      </c>
      <c r="D305" s="8" t="s">
        <v>151</v>
      </c>
      <c r="E305" s="8">
        <v>1</v>
      </c>
      <c r="F305" s="8">
        <v>38</v>
      </c>
      <c r="G305" s="8">
        <v>13</v>
      </c>
      <c r="H305" s="8">
        <v>7218</v>
      </c>
      <c r="I305" s="8">
        <v>131105</v>
      </c>
      <c r="J305" s="16"/>
    </row>
    <row r="306" spans="1:10" s="4" customFormat="1" ht="11.25" x14ac:dyDescent="0.2">
      <c r="A306" s="8" t="s">
        <v>222</v>
      </c>
      <c r="B306" s="8">
        <v>2212</v>
      </c>
      <c r="C306" s="8" t="s">
        <v>150</v>
      </c>
      <c r="D306" s="8" t="s">
        <v>151</v>
      </c>
      <c r="E306" s="8">
        <v>1</v>
      </c>
      <c r="F306" s="8">
        <v>39</v>
      </c>
      <c r="G306" s="8">
        <v>13</v>
      </c>
      <c r="H306" s="8">
        <v>7220</v>
      </c>
      <c r="I306" s="8">
        <v>131105</v>
      </c>
      <c r="J306" s="16"/>
    </row>
    <row r="307" spans="1:10" s="4" customFormat="1" ht="11.25" x14ac:dyDescent="0.2">
      <c r="A307" s="8" t="s">
        <v>222</v>
      </c>
      <c r="B307" s="8">
        <v>1545</v>
      </c>
      <c r="C307" s="8" t="s">
        <v>152</v>
      </c>
      <c r="D307" s="8" t="s">
        <v>106</v>
      </c>
      <c r="E307" s="8">
        <v>1</v>
      </c>
      <c r="F307" s="8">
        <v>37</v>
      </c>
      <c r="G307" s="8">
        <v>13</v>
      </c>
      <c r="H307" s="8">
        <v>7664</v>
      </c>
      <c r="I307" s="8">
        <v>131126</v>
      </c>
      <c r="J307" s="16"/>
    </row>
    <row r="308" spans="1:10" s="4" customFormat="1" ht="11.25" x14ac:dyDescent="0.2">
      <c r="A308" s="8" t="s">
        <v>222</v>
      </c>
      <c r="B308" s="8">
        <v>1631</v>
      </c>
      <c r="C308" s="8" t="s">
        <v>152</v>
      </c>
      <c r="D308" s="8" t="s">
        <v>106</v>
      </c>
      <c r="E308" s="8">
        <v>1</v>
      </c>
      <c r="F308" s="8">
        <v>28</v>
      </c>
      <c r="G308" s="8">
        <v>13</v>
      </c>
      <c r="H308" s="8">
        <v>7241</v>
      </c>
      <c r="I308" s="8">
        <v>131106</v>
      </c>
      <c r="J308" s="16"/>
    </row>
    <row r="309" spans="1:10" s="4" customFormat="1" ht="11.25" x14ac:dyDescent="0.2">
      <c r="A309" s="8" t="s">
        <v>222</v>
      </c>
      <c r="B309" s="8">
        <v>607</v>
      </c>
      <c r="C309" s="8" t="s">
        <v>153</v>
      </c>
      <c r="D309" s="8" t="s">
        <v>133</v>
      </c>
      <c r="E309" s="8">
        <v>1</v>
      </c>
      <c r="F309" s="8">
        <v>2</v>
      </c>
      <c r="G309" s="8">
        <v>13</v>
      </c>
      <c r="H309" s="8">
        <v>7328</v>
      </c>
      <c r="I309" s="8">
        <v>131112</v>
      </c>
      <c r="J309" s="16"/>
    </row>
    <row r="310" spans="1:10" s="4" customFormat="1" ht="11.25" x14ac:dyDescent="0.2">
      <c r="A310" s="8" t="s">
        <v>222</v>
      </c>
      <c r="B310" s="8">
        <v>610</v>
      </c>
      <c r="C310" s="8" t="s">
        <v>153</v>
      </c>
      <c r="D310" s="8" t="s">
        <v>133</v>
      </c>
      <c r="E310" s="8">
        <v>2</v>
      </c>
      <c r="F310" s="8">
        <v>12</v>
      </c>
      <c r="G310" s="8">
        <v>13</v>
      </c>
      <c r="H310" s="8">
        <v>7535</v>
      </c>
      <c r="I310" s="8">
        <v>131120</v>
      </c>
      <c r="J310" s="16"/>
    </row>
    <row r="311" spans="1:10" s="4" customFormat="1" ht="11.25" x14ac:dyDescent="0.2">
      <c r="A311" s="8" t="s">
        <v>222</v>
      </c>
      <c r="B311" s="8">
        <v>614</v>
      </c>
      <c r="C311" s="8" t="s">
        <v>153</v>
      </c>
      <c r="D311" s="8" t="s">
        <v>133</v>
      </c>
      <c r="E311" s="8">
        <v>2</v>
      </c>
      <c r="F311" s="8">
        <v>11</v>
      </c>
      <c r="G311" s="8">
        <v>13</v>
      </c>
      <c r="H311" s="8">
        <v>7377</v>
      </c>
      <c r="I311" s="8">
        <v>131112</v>
      </c>
      <c r="J311" s="16"/>
    </row>
    <row r="312" spans="1:10" s="4" customFormat="1" ht="11.25" x14ac:dyDescent="0.2">
      <c r="A312" s="8" t="s">
        <v>222</v>
      </c>
      <c r="B312" s="8">
        <v>615</v>
      </c>
      <c r="C312" s="8" t="s">
        <v>153</v>
      </c>
      <c r="D312" s="8" t="s">
        <v>133</v>
      </c>
      <c r="E312" s="8">
        <v>1</v>
      </c>
      <c r="F312" s="8">
        <v>4</v>
      </c>
      <c r="G312" s="8">
        <v>13</v>
      </c>
      <c r="H312" s="8">
        <v>7598</v>
      </c>
      <c r="I312" s="8">
        <v>131122</v>
      </c>
      <c r="J312" s="16"/>
    </row>
    <row r="313" spans="1:10" s="4" customFormat="1" ht="11.25" x14ac:dyDescent="0.2">
      <c r="A313" s="8" t="s">
        <v>222</v>
      </c>
      <c r="B313" s="8">
        <v>619</v>
      </c>
      <c r="C313" s="8" t="s">
        <v>153</v>
      </c>
      <c r="D313" s="8" t="s">
        <v>133</v>
      </c>
      <c r="E313" s="8">
        <v>1</v>
      </c>
      <c r="F313" s="8">
        <v>5</v>
      </c>
      <c r="G313" s="8">
        <v>13</v>
      </c>
      <c r="H313" s="8">
        <v>7536</v>
      </c>
      <c r="I313" s="8">
        <v>131120</v>
      </c>
      <c r="J313" s="16"/>
    </row>
    <row r="314" spans="1:10" s="4" customFormat="1" ht="11.25" x14ac:dyDescent="0.2">
      <c r="A314" s="8" t="s">
        <v>222</v>
      </c>
      <c r="B314" s="8">
        <v>627</v>
      </c>
      <c r="C314" s="8" t="s">
        <v>153</v>
      </c>
      <c r="D314" s="8" t="s">
        <v>133</v>
      </c>
      <c r="E314" s="8">
        <v>1</v>
      </c>
      <c r="F314" s="8">
        <v>7</v>
      </c>
      <c r="G314" s="8">
        <v>13</v>
      </c>
      <c r="H314" s="8">
        <v>7599</v>
      </c>
      <c r="I314" s="8">
        <v>131122</v>
      </c>
      <c r="J314" s="16"/>
    </row>
    <row r="315" spans="1:10" s="4" customFormat="1" ht="11.25" x14ac:dyDescent="0.2">
      <c r="A315" s="8" t="s">
        <v>222</v>
      </c>
      <c r="B315" s="8">
        <v>7107</v>
      </c>
      <c r="C315" s="8" t="s">
        <v>212</v>
      </c>
      <c r="D315" s="8" t="s">
        <v>141</v>
      </c>
      <c r="E315" s="8">
        <v>4</v>
      </c>
      <c r="F315" s="8">
        <v>2</v>
      </c>
      <c r="G315" s="8">
        <v>13</v>
      </c>
      <c r="H315" s="8">
        <v>7423</v>
      </c>
      <c r="I315" s="8">
        <v>131114</v>
      </c>
      <c r="J315" s="16"/>
    </row>
    <row r="316" spans="1:10" s="4" customFormat="1" ht="11.25" x14ac:dyDescent="0.2">
      <c r="A316" s="8" t="s">
        <v>222</v>
      </c>
      <c r="B316" s="8">
        <v>7115</v>
      </c>
      <c r="C316" s="8" t="s">
        <v>212</v>
      </c>
      <c r="D316" s="8" t="s">
        <v>141</v>
      </c>
      <c r="E316" s="8">
        <v>4</v>
      </c>
      <c r="F316" s="8">
        <v>4</v>
      </c>
      <c r="G316" s="8">
        <v>13</v>
      </c>
      <c r="H316" s="8">
        <v>7290</v>
      </c>
      <c r="I316" s="8">
        <v>131107</v>
      </c>
      <c r="J316" s="16"/>
    </row>
    <row r="317" spans="1:10" s="4" customFormat="1" ht="11.25" x14ac:dyDescent="0.2">
      <c r="A317" s="8" t="s">
        <v>222</v>
      </c>
      <c r="B317" s="8">
        <v>1204</v>
      </c>
      <c r="C317" s="8" t="s">
        <v>345</v>
      </c>
      <c r="D317" s="8" t="s">
        <v>246</v>
      </c>
      <c r="E317" s="8">
        <v>16</v>
      </c>
      <c r="F317" s="8">
        <v>7</v>
      </c>
      <c r="G317" s="8">
        <v>13</v>
      </c>
      <c r="H317" s="8">
        <v>7508</v>
      </c>
      <c r="I317" s="8">
        <v>131118</v>
      </c>
      <c r="J317" s="16"/>
    </row>
    <row r="318" spans="1:10" s="4" customFormat="1" ht="11.25" x14ac:dyDescent="0.2">
      <c r="A318" s="8" t="s">
        <v>222</v>
      </c>
      <c r="B318" s="8">
        <v>1543</v>
      </c>
      <c r="C318" s="8" t="s">
        <v>346</v>
      </c>
      <c r="D318" s="8" t="s">
        <v>347</v>
      </c>
      <c r="E318" s="8">
        <v>2</v>
      </c>
      <c r="F318" s="8">
        <v>34</v>
      </c>
      <c r="G318" s="8">
        <v>13</v>
      </c>
      <c r="H318" s="8">
        <v>7610</v>
      </c>
      <c r="I318" s="8">
        <v>131125</v>
      </c>
      <c r="J318" s="16"/>
    </row>
    <row r="319" spans="1:10" s="4" customFormat="1" ht="11.25" x14ac:dyDescent="0.2">
      <c r="A319" s="8" t="s">
        <v>222</v>
      </c>
      <c r="B319" s="8">
        <v>1941</v>
      </c>
      <c r="C319" s="8" t="s">
        <v>348</v>
      </c>
      <c r="D319" s="8" t="s">
        <v>271</v>
      </c>
      <c r="E319" s="8">
        <v>5</v>
      </c>
      <c r="F319" s="8">
        <v>13</v>
      </c>
      <c r="G319" s="8">
        <v>13</v>
      </c>
      <c r="H319" s="8">
        <v>7132</v>
      </c>
      <c r="I319" s="8">
        <v>131101</v>
      </c>
      <c r="J319" s="16"/>
    </row>
    <row r="320" spans="1:10" s="4" customFormat="1" ht="11.25" x14ac:dyDescent="0.2">
      <c r="A320" s="8" t="s">
        <v>222</v>
      </c>
      <c r="B320" s="8">
        <v>2832</v>
      </c>
      <c r="C320" s="8" t="s">
        <v>349</v>
      </c>
      <c r="D320" s="8" t="s">
        <v>350</v>
      </c>
      <c r="E320" s="8">
        <v>2</v>
      </c>
      <c r="F320" s="8">
        <v>48</v>
      </c>
      <c r="G320" s="8">
        <v>13</v>
      </c>
      <c r="H320" s="8">
        <v>7216</v>
      </c>
      <c r="I320" s="8">
        <v>131105</v>
      </c>
      <c r="J320" s="16"/>
    </row>
    <row r="321" spans="1:10" s="4" customFormat="1" ht="11.25" x14ac:dyDescent="0.2">
      <c r="A321" s="8" t="s">
        <v>222</v>
      </c>
      <c r="B321" s="8">
        <v>2840</v>
      </c>
      <c r="C321" s="8" t="s">
        <v>349</v>
      </c>
      <c r="D321" s="8" t="s">
        <v>350</v>
      </c>
      <c r="E321" s="8">
        <v>2</v>
      </c>
      <c r="F321" s="8">
        <v>46</v>
      </c>
      <c r="G321" s="8">
        <v>13</v>
      </c>
      <c r="H321" s="8">
        <v>7449</v>
      </c>
      <c r="I321" s="8">
        <v>131115</v>
      </c>
      <c r="J321" s="16"/>
    </row>
    <row r="322" spans="1:10" s="4" customFormat="1" ht="11.25" x14ac:dyDescent="0.2">
      <c r="A322" s="8" t="s">
        <v>222</v>
      </c>
      <c r="B322" s="8">
        <v>2956</v>
      </c>
      <c r="C322" s="8" t="s">
        <v>349</v>
      </c>
      <c r="D322" s="8" t="s">
        <v>350</v>
      </c>
      <c r="E322" s="8">
        <v>2</v>
      </c>
      <c r="F322" s="8">
        <v>25</v>
      </c>
      <c r="G322" s="8">
        <v>13</v>
      </c>
      <c r="H322" s="8">
        <v>7691</v>
      </c>
      <c r="I322" s="8">
        <v>131127</v>
      </c>
      <c r="J322" s="16"/>
    </row>
    <row r="323" spans="1:10" s="4" customFormat="1" ht="11.25" x14ac:dyDescent="0.2">
      <c r="A323" s="8" t="s">
        <v>222</v>
      </c>
      <c r="B323" s="8">
        <v>2550</v>
      </c>
      <c r="C323" s="8" t="s">
        <v>351</v>
      </c>
      <c r="D323" s="8" t="s">
        <v>128</v>
      </c>
      <c r="E323" s="8">
        <v>6</v>
      </c>
      <c r="F323" s="8">
        <v>23</v>
      </c>
      <c r="G323" s="8">
        <v>13</v>
      </c>
      <c r="H323" s="8">
        <v>7206</v>
      </c>
      <c r="I323" s="8">
        <v>131105</v>
      </c>
      <c r="J323" s="16"/>
    </row>
    <row r="324" spans="1:10" s="4" customFormat="1" ht="11.25" x14ac:dyDescent="0.2">
      <c r="A324" s="8" t="s">
        <v>222</v>
      </c>
      <c r="B324" s="8">
        <v>1121</v>
      </c>
      <c r="C324" s="8" t="s">
        <v>352</v>
      </c>
      <c r="D324" s="8" t="s">
        <v>87</v>
      </c>
      <c r="E324" s="8">
        <v>8</v>
      </c>
      <c r="F324" s="8">
        <v>16</v>
      </c>
      <c r="G324" s="8">
        <v>13</v>
      </c>
      <c r="H324" s="8">
        <v>7387</v>
      </c>
      <c r="I324" s="8">
        <v>131113</v>
      </c>
      <c r="J324" s="16"/>
    </row>
    <row r="325" spans="1:10" s="4" customFormat="1" ht="11.25" x14ac:dyDescent="0.2">
      <c r="A325" s="8" t="s">
        <v>222</v>
      </c>
      <c r="B325" s="8">
        <v>1914</v>
      </c>
      <c r="C325" s="8" t="s">
        <v>352</v>
      </c>
      <c r="D325" s="8" t="s">
        <v>87</v>
      </c>
      <c r="E325" s="8">
        <v>39</v>
      </c>
      <c r="F325" s="8">
        <v>10</v>
      </c>
      <c r="G325" s="8">
        <v>13</v>
      </c>
      <c r="H325" s="8">
        <v>7295</v>
      </c>
      <c r="I325" s="8">
        <v>131108</v>
      </c>
      <c r="J325" s="16"/>
    </row>
    <row r="326" spans="1:10" s="4" customFormat="1" ht="11.25" x14ac:dyDescent="0.2">
      <c r="A326" s="8" t="s">
        <v>222</v>
      </c>
      <c r="B326" s="8">
        <v>413</v>
      </c>
      <c r="C326" s="8" t="s">
        <v>353</v>
      </c>
      <c r="D326" s="8" t="s">
        <v>81</v>
      </c>
      <c r="E326" s="8">
        <v>3</v>
      </c>
      <c r="F326" s="8">
        <v>77</v>
      </c>
      <c r="G326" s="8">
        <v>13</v>
      </c>
      <c r="H326" s="8">
        <v>7276</v>
      </c>
      <c r="I326" s="8">
        <v>131107</v>
      </c>
      <c r="J326" s="16"/>
    </row>
    <row r="327" spans="1:10" s="4" customFormat="1" ht="11.25" x14ac:dyDescent="0.2">
      <c r="A327" s="8" t="s">
        <v>222</v>
      </c>
      <c r="B327" s="8">
        <v>1512</v>
      </c>
      <c r="C327" s="8" t="s">
        <v>354</v>
      </c>
      <c r="D327" s="8" t="s">
        <v>72</v>
      </c>
      <c r="E327" s="8">
        <v>27</v>
      </c>
      <c r="F327" s="8">
        <v>7</v>
      </c>
      <c r="G327" s="8">
        <v>13</v>
      </c>
      <c r="H327" s="8">
        <v>7496</v>
      </c>
      <c r="I327" s="8">
        <v>131118</v>
      </c>
      <c r="J327" s="16"/>
    </row>
    <row r="328" spans="1:10" s="4" customFormat="1" ht="11.25" x14ac:dyDescent="0.2">
      <c r="A328" s="8" t="s">
        <v>222</v>
      </c>
      <c r="B328" s="8">
        <v>521</v>
      </c>
      <c r="C328" s="8" t="s">
        <v>355</v>
      </c>
      <c r="D328" s="8" t="s">
        <v>190</v>
      </c>
      <c r="E328" s="8">
        <v>7</v>
      </c>
      <c r="F328" s="8">
        <v>6</v>
      </c>
      <c r="G328" s="8">
        <v>13</v>
      </c>
      <c r="H328" s="8">
        <v>7673</v>
      </c>
      <c r="I328" s="8">
        <v>131126</v>
      </c>
      <c r="J328" s="16"/>
    </row>
    <row r="329" spans="1:10" s="4" customFormat="1" ht="11.25" x14ac:dyDescent="0.2">
      <c r="A329" s="8" t="s">
        <v>222</v>
      </c>
      <c r="B329" s="8">
        <v>521</v>
      </c>
      <c r="C329" s="8" t="s">
        <v>355</v>
      </c>
      <c r="D329" s="8" t="s">
        <v>190</v>
      </c>
      <c r="E329" s="8">
        <v>7</v>
      </c>
      <c r="F329" s="8">
        <v>6</v>
      </c>
      <c r="G329" s="8">
        <v>13</v>
      </c>
      <c r="H329" s="8">
        <v>7494</v>
      </c>
      <c r="I329" s="8">
        <v>131118</v>
      </c>
      <c r="J329" s="16"/>
    </row>
    <row r="330" spans="1:10" s="4" customFormat="1" ht="11.25" x14ac:dyDescent="0.2">
      <c r="A330" s="8" t="s">
        <v>222</v>
      </c>
      <c r="B330" s="8">
        <v>813</v>
      </c>
      <c r="C330" s="8" t="s">
        <v>214</v>
      </c>
      <c r="D330" s="8" t="s">
        <v>81</v>
      </c>
      <c r="E330" s="8">
        <v>9</v>
      </c>
      <c r="F330" s="8">
        <v>50</v>
      </c>
      <c r="G330" s="8">
        <v>13</v>
      </c>
      <c r="H330" s="8">
        <v>7144</v>
      </c>
      <c r="I330" s="8">
        <v>131101</v>
      </c>
      <c r="J330" s="16"/>
    </row>
    <row r="331" spans="1:10" s="4" customFormat="1" ht="22.5" x14ac:dyDescent="0.2">
      <c r="A331" s="86" t="s">
        <v>487</v>
      </c>
      <c r="B331" s="102">
        <f>330-162</f>
        <v>168</v>
      </c>
      <c r="C331" s="1"/>
      <c r="D331" s="1"/>
      <c r="E331" s="1"/>
      <c r="F331" s="1"/>
      <c r="G331" s="1"/>
      <c r="H331" s="1"/>
      <c r="I331" s="1"/>
      <c r="J331" s="16"/>
    </row>
    <row r="332" spans="1:10" s="4" customFormat="1" ht="11.25" x14ac:dyDescent="0.2">
      <c r="A332" s="102" t="s">
        <v>488</v>
      </c>
      <c r="B332" s="102">
        <f>SUM(B96+B161+B331)</f>
        <v>319</v>
      </c>
      <c r="C332" s="1"/>
      <c r="D332" s="1"/>
      <c r="E332" s="1"/>
      <c r="F332" s="1"/>
      <c r="G332" s="1"/>
      <c r="H332" s="1"/>
      <c r="I332" s="1"/>
      <c r="J332" s="16"/>
    </row>
  </sheetData>
  <phoneticPr fontId="1" type="noConversion"/>
  <pageMargins left="0.5" right="0.5" top="0.5" bottom="0.5" header="0.5" footer="0.5"/>
  <pageSetup orientation="landscape"/>
  <headerFooter alignWithMargins="0"/>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2" t="s">
        <v>42</v>
      </c>
      <c r="C1" s="92"/>
      <c r="D1" s="96"/>
      <c r="E1" s="96"/>
      <c r="F1" s="96"/>
    </row>
    <row r="2" spans="2:6" x14ac:dyDescent="0.2">
      <c r="B2" s="92" t="s">
        <v>43</v>
      </c>
      <c r="C2" s="92"/>
      <c r="D2" s="96"/>
      <c r="E2" s="96"/>
      <c r="F2" s="96"/>
    </row>
    <row r="3" spans="2:6" x14ac:dyDescent="0.2">
      <c r="B3" s="93"/>
      <c r="C3" s="93"/>
      <c r="D3" s="97"/>
      <c r="E3" s="97"/>
      <c r="F3" s="97"/>
    </row>
    <row r="4" spans="2:6" ht="51" x14ac:dyDescent="0.2">
      <c r="B4" s="93" t="s">
        <v>44</v>
      </c>
      <c r="C4" s="93"/>
      <c r="D4" s="97"/>
      <c r="E4" s="97"/>
      <c r="F4" s="97"/>
    </row>
    <row r="5" spans="2:6" x14ac:dyDescent="0.2">
      <c r="B5" s="93"/>
      <c r="C5" s="93"/>
      <c r="D5" s="97"/>
      <c r="E5" s="97"/>
      <c r="F5" s="97"/>
    </row>
    <row r="6" spans="2:6" x14ac:dyDescent="0.2">
      <c r="B6" s="92" t="s">
        <v>45</v>
      </c>
      <c r="C6" s="92"/>
      <c r="D6" s="96"/>
      <c r="E6" s="96" t="s">
        <v>46</v>
      </c>
      <c r="F6" s="96" t="s">
        <v>47</v>
      </c>
    </row>
    <row r="7" spans="2:6" ht="13.5" thickBot="1" x14ac:dyDescent="0.25">
      <c r="B7" s="93"/>
      <c r="C7" s="93"/>
      <c r="D7" s="97"/>
      <c r="E7" s="97"/>
      <c r="F7" s="97"/>
    </row>
    <row r="8" spans="2:6" ht="39" thickBot="1" x14ac:dyDescent="0.25">
      <c r="B8" s="94" t="s">
        <v>48</v>
      </c>
      <c r="C8" s="95"/>
      <c r="D8" s="98"/>
      <c r="E8" s="98">
        <v>1</v>
      </c>
      <c r="F8" s="99" t="s">
        <v>49</v>
      </c>
    </row>
    <row r="9" spans="2:6" x14ac:dyDescent="0.2">
      <c r="B9" s="93"/>
      <c r="C9" s="93"/>
      <c r="D9" s="97"/>
      <c r="E9" s="97"/>
      <c r="F9" s="97"/>
    </row>
    <row r="10" spans="2:6" x14ac:dyDescent="0.2">
      <c r="B10" s="93"/>
      <c r="C10" s="93"/>
      <c r="D10" s="97"/>
      <c r="E10" s="97"/>
      <c r="F10" s="97"/>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 IN DSD</cp:lastModifiedBy>
  <cp:lastPrinted>2013-09-01T03:13:39Z</cp:lastPrinted>
  <dcterms:created xsi:type="dcterms:W3CDTF">2006-02-03T14:45:36Z</dcterms:created>
  <dcterms:modified xsi:type="dcterms:W3CDTF">2013-12-09T17:17:37Z</dcterms:modified>
</cp:coreProperties>
</file>