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PAF User Group\4-30-14\"/>
    </mc:Choice>
  </mc:AlternateContent>
  <bookViews>
    <workbookView xWindow="480" yWindow="540" windowWidth="19440" windowHeight="13950" tabRatio="931"/>
  </bookViews>
  <sheets>
    <sheet name="Begin" sheetId="13" r:id="rId1"/>
    <sheet name="Approvals-TH" sheetId="10" r:id="rId2"/>
    <sheet name="Approvals-BA" sheetId="1" r:id="rId3"/>
    <sheet name="Deferred Pay" sheetId="20" r:id="rId4"/>
    <sheet name="PERSI-T1" sheetId="2" r:id="rId5"/>
    <sheet name="Non Student-T4" sheetId="4" r:id="rId6"/>
    <sheet name="Student-ST" sheetId="3" r:id="rId7"/>
    <sheet name="Work-Study &amp; Other" sheetId="5" r:id="rId8"/>
    <sheet name="Employee Class" sheetId="7" r:id="rId9"/>
    <sheet name="Job Change Reason" sheetId="8" r:id="rId10"/>
    <sheet name="Suffix-PCN Acct-Desc" sheetId="15" r:id="rId11"/>
    <sheet name="Working Title Abbrev." sheetId="21" r:id="rId12"/>
    <sheet name="Calendars" sheetId="16" r:id="rId13"/>
    <sheet name="FY 2015 Deadlines" sheetId="22" r:id="rId14"/>
    <sheet name="FY 2014 Deadlines" sheetId="17" r:id="rId15"/>
    <sheet name="3-Yr Calendar - FY15" sheetId="23" r:id="rId16"/>
    <sheet name="3-Yr Calendar - FY14" sheetId="18" r:id="rId17"/>
    <sheet name="Dates - FY15" sheetId="24" r:id="rId18"/>
    <sheet name="Dates - FY14" sheetId="19" r:id="rId19"/>
    <sheet name="Pay Period" sheetId="14" r:id="rId20"/>
  </sheets>
  <definedNames>
    <definedName name="_xlnm.Print_Area" localSheetId="15">'3-Yr Calendar - FY15'!$A$1:$AA$85</definedName>
    <definedName name="_xlnm.Print_Area" localSheetId="2">'Approvals-BA'!$A$1:$D$123</definedName>
    <definedName name="_xlnm.Print_Area" localSheetId="1">'Approvals-TH'!$A$1:$C$43</definedName>
    <definedName name="_xlnm.Print_Area" localSheetId="0">Begin!$A$1:$O$29</definedName>
    <definedName name="_xlnm.Print_Area" localSheetId="18">'Dates - FY14'!$A$1:$I$37</definedName>
    <definedName name="_xlnm.Print_Area" localSheetId="17">'Dates - FY15'!$A$1:$H$47</definedName>
    <definedName name="_xlnm.Print_Area" localSheetId="8">'Employee Class'!$A$1:$D$40</definedName>
    <definedName name="_xlnm.Print_Area" localSheetId="14">'FY 2014 Deadlines'!$A$1:$H$32</definedName>
    <definedName name="_xlnm.Print_Area" localSheetId="9">'Job Change Reason'!$A$1:$F$32</definedName>
    <definedName name="_xlnm.Print_Area" localSheetId="5">'Non Student-T4'!$A$1:$F$16</definedName>
    <definedName name="_xlnm.Print_Area" localSheetId="4">'PERSI-T1'!$A$1:$I$19</definedName>
    <definedName name="_xlnm.Print_Area" localSheetId="6">'Student-ST'!$A$1:$F$16</definedName>
    <definedName name="_xlnm.Print_Area" localSheetId="10">'Suffix-PCN Acct-Desc'!$A$1:$C$28</definedName>
    <definedName name="_xlnm.Print_Area" localSheetId="11">'Working Title Abbrev.'!$A$1:$I$58</definedName>
    <definedName name="_xlnm.Print_Area" localSheetId="7">'Work-Study &amp; Other'!$A$1:$F$19</definedName>
    <definedName name="_xlnm.Print_Titles" localSheetId="2">'Approvals-BA'!$1:$2</definedName>
    <definedName name="_xlnm.Print_Titles" localSheetId="11">'Working Title Abbrev.'!$1:$2</definedName>
  </definedNames>
  <calcPr calcId="152511"/>
</workbook>
</file>

<file path=xl/calcChain.xml><?xml version="1.0" encoding="utf-8"?>
<calcChain xmlns="http://schemas.openxmlformats.org/spreadsheetml/2006/main">
  <c r="X75" i="23" l="1"/>
  <c r="Y75" i="23"/>
  <c r="Z75" i="23"/>
  <c r="T77" i="23"/>
  <c r="U77" i="23"/>
  <c r="V77" i="23"/>
  <c r="W77" i="23"/>
  <c r="X77" i="23"/>
  <c r="Y77" i="23"/>
  <c r="Z77" i="23"/>
  <c r="T78" i="23"/>
  <c r="U78" i="23"/>
  <c r="V78" i="23"/>
  <c r="W78" i="23"/>
  <c r="X78" i="23"/>
  <c r="Y78" i="23"/>
  <c r="Z78" i="23"/>
  <c r="O75" i="23"/>
  <c r="P75" i="23"/>
  <c r="Q75" i="23"/>
  <c r="K77" i="23"/>
  <c r="L77" i="23"/>
  <c r="M77" i="23"/>
  <c r="N77" i="23"/>
  <c r="O77" i="23"/>
  <c r="P77" i="23"/>
  <c r="Q77" i="23"/>
  <c r="K78" i="23"/>
  <c r="L78" i="23"/>
  <c r="M78" i="23"/>
  <c r="N78" i="23"/>
  <c r="O78" i="23"/>
  <c r="P78" i="23"/>
  <c r="Q78" i="23"/>
  <c r="N75" i="23"/>
  <c r="M75" i="23"/>
  <c r="F75" i="23"/>
  <c r="G75" i="23"/>
  <c r="H75" i="23"/>
  <c r="B77" i="23"/>
  <c r="C77" i="23"/>
  <c r="D77" i="23"/>
  <c r="E77" i="23"/>
  <c r="F77" i="23"/>
  <c r="G77" i="23"/>
  <c r="H77" i="23"/>
  <c r="B78" i="23"/>
  <c r="C78" i="23"/>
  <c r="D78" i="23"/>
  <c r="E78" i="23"/>
  <c r="F78" i="23"/>
  <c r="G78" i="23"/>
  <c r="H78" i="23"/>
  <c r="C75" i="23"/>
  <c r="D75" i="23"/>
  <c r="E75" i="23"/>
  <c r="V72" i="23"/>
  <c r="W72" i="23"/>
  <c r="X72" i="23"/>
  <c r="Y72" i="23"/>
  <c r="Z72" i="23"/>
  <c r="U72" i="23"/>
  <c r="L72" i="23"/>
  <c r="M72" i="23"/>
  <c r="N72" i="23"/>
  <c r="O72" i="23"/>
  <c r="P72" i="23"/>
  <c r="Q72" i="23"/>
  <c r="D72" i="23"/>
  <c r="E72" i="23"/>
  <c r="F72" i="23"/>
  <c r="G72" i="23"/>
  <c r="H72" i="23"/>
  <c r="C72" i="23"/>
  <c r="Y69" i="23"/>
  <c r="Z69" i="23"/>
  <c r="T71" i="23"/>
  <c r="U71" i="23"/>
  <c r="V71" i="23"/>
  <c r="W71" i="23"/>
  <c r="X71" i="23"/>
  <c r="Y71" i="23"/>
  <c r="Z71" i="23"/>
  <c r="V69" i="23"/>
  <c r="W69" i="23"/>
  <c r="X69" i="23"/>
  <c r="U69" i="23"/>
  <c r="N69" i="23"/>
  <c r="O69" i="23"/>
  <c r="P69" i="23"/>
  <c r="Q69" i="23"/>
  <c r="K71" i="23"/>
  <c r="L71" i="23"/>
  <c r="M71" i="23"/>
  <c r="N71" i="23"/>
  <c r="O71" i="23"/>
  <c r="P71" i="23"/>
  <c r="Q71" i="23"/>
  <c r="E69" i="23"/>
  <c r="F69" i="23"/>
  <c r="G69" i="23"/>
  <c r="H69" i="23"/>
  <c r="B71" i="23"/>
  <c r="C71" i="23"/>
  <c r="D71" i="23"/>
  <c r="E71" i="23"/>
  <c r="F71" i="23"/>
  <c r="G71" i="23"/>
  <c r="H71" i="23"/>
  <c r="D69" i="23"/>
  <c r="Q68" i="23"/>
  <c r="K69" i="23"/>
  <c r="L69" i="23"/>
  <c r="M69" i="23"/>
  <c r="H68" i="23"/>
  <c r="B69" i="23"/>
  <c r="C69" i="23"/>
  <c r="G68" i="23"/>
  <c r="X66" i="23"/>
  <c r="Y66" i="23"/>
  <c r="Z66" i="23"/>
  <c r="T68" i="23"/>
  <c r="U68" i="23"/>
  <c r="V68" i="23"/>
  <c r="W68" i="23"/>
  <c r="O66" i="23"/>
  <c r="P66" i="23"/>
  <c r="Q66" i="23"/>
  <c r="N66" i="23"/>
  <c r="E66" i="23"/>
  <c r="F66" i="23"/>
  <c r="G66" i="23"/>
  <c r="H66" i="23"/>
  <c r="D65" i="23"/>
  <c r="E65" i="23"/>
  <c r="F65" i="23"/>
  <c r="G65" i="23"/>
  <c r="H65" i="23"/>
  <c r="N63" i="23"/>
  <c r="O63" i="23"/>
  <c r="P63" i="23"/>
  <c r="Q63" i="23"/>
  <c r="K65" i="23"/>
  <c r="L65" i="23"/>
  <c r="M65" i="23"/>
  <c r="N65" i="23"/>
  <c r="O65" i="23"/>
  <c r="P65" i="23"/>
  <c r="Q65" i="23"/>
  <c r="K63" i="23"/>
  <c r="L63" i="23"/>
  <c r="M63" i="23"/>
  <c r="Z62" i="23"/>
  <c r="T63" i="23"/>
  <c r="U63" i="23"/>
  <c r="V63" i="23"/>
  <c r="W63" i="23"/>
  <c r="X63" i="23"/>
  <c r="Y63" i="23"/>
  <c r="Z63" i="23"/>
  <c r="T65" i="23"/>
  <c r="U65" i="23"/>
  <c r="V65" i="23"/>
  <c r="W65" i="23"/>
  <c r="X65" i="23"/>
  <c r="Y65" i="23"/>
  <c r="Z65" i="23"/>
  <c r="X62" i="23"/>
  <c r="O62" i="23"/>
  <c r="P62" i="23"/>
  <c r="Q62" i="23"/>
  <c r="E62" i="23"/>
  <c r="F62" i="23"/>
  <c r="G62" i="23"/>
  <c r="H62" i="23"/>
  <c r="B63" i="23"/>
  <c r="C63" i="23"/>
  <c r="D63" i="23"/>
  <c r="E63" i="23"/>
  <c r="F63" i="23"/>
  <c r="G63" i="23"/>
  <c r="H63" i="23"/>
  <c r="B65" i="23"/>
  <c r="C65" i="23"/>
  <c r="Z56" i="23"/>
  <c r="T57" i="23"/>
  <c r="U57" i="23"/>
  <c r="V57" i="23"/>
  <c r="W57" i="23"/>
  <c r="X57" i="23"/>
  <c r="Y57" i="23"/>
  <c r="Z57" i="23"/>
  <c r="T59" i="23"/>
  <c r="U59" i="23"/>
  <c r="V59" i="23"/>
  <c r="W59" i="23"/>
  <c r="X59" i="23"/>
  <c r="Y59" i="23"/>
  <c r="Z59" i="23"/>
  <c r="T60" i="23"/>
  <c r="U60" i="23"/>
  <c r="V60" i="23"/>
  <c r="W60" i="23"/>
  <c r="X60" i="23"/>
  <c r="Y60" i="23"/>
  <c r="Z60" i="23"/>
  <c r="Y56" i="23"/>
  <c r="W56" i="23"/>
  <c r="X56" i="23"/>
  <c r="P56" i="23"/>
  <c r="Q56" i="23"/>
  <c r="K57" i="23"/>
  <c r="L57" i="23"/>
  <c r="M57" i="23"/>
  <c r="N57" i="23"/>
  <c r="O57" i="23"/>
  <c r="P57" i="23"/>
  <c r="Q57" i="23"/>
  <c r="K59" i="23"/>
  <c r="L59" i="23"/>
  <c r="M59" i="23"/>
  <c r="N59" i="23"/>
  <c r="O59" i="23"/>
  <c r="P59" i="23"/>
  <c r="Q59" i="23"/>
  <c r="K60" i="23"/>
  <c r="L60" i="23"/>
  <c r="M60" i="23"/>
  <c r="N60" i="23"/>
  <c r="O60" i="23"/>
  <c r="P60" i="23"/>
  <c r="Q60" i="23"/>
  <c r="M56" i="23"/>
  <c r="N56" i="23"/>
  <c r="O56" i="23"/>
  <c r="L56" i="23"/>
  <c r="E56" i="23"/>
  <c r="F56" i="23"/>
  <c r="G56" i="23"/>
  <c r="H56" i="23"/>
  <c r="B57" i="23"/>
  <c r="C57" i="23"/>
  <c r="D57" i="23"/>
  <c r="E57" i="23"/>
  <c r="F57" i="23"/>
  <c r="G57" i="23"/>
  <c r="H57" i="23"/>
  <c r="B59" i="23"/>
  <c r="C59" i="23"/>
  <c r="D59" i="23"/>
  <c r="E59" i="23"/>
  <c r="F59" i="23"/>
  <c r="G59" i="23"/>
  <c r="H59" i="23"/>
  <c r="B60" i="23"/>
  <c r="C60" i="23"/>
  <c r="D60" i="23"/>
  <c r="E60" i="23"/>
  <c r="F60" i="23"/>
  <c r="G60" i="23"/>
  <c r="H60" i="23"/>
  <c r="B56" i="23"/>
  <c r="C56" i="23"/>
  <c r="D56" i="23"/>
  <c r="V53" i="23"/>
  <c r="W53" i="23"/>
  <c r="X53" i="23"/>
  <c r="Y53" i="23"/>
  <c r="Z53" i="23"/>
  <c r="T54" i="23"/>
  <c r="U54" i="23"/>
  <c r="V54" i="23"/>
  <c r="W54" i="23"/>
  <c r="X54" i="23"/>
  <c r="W50" i="23"/>
  <c r="X50" i="23"/>
  <c r="Y50" i="23"/>
  <c r="Z50" i="23"/>
  <c r="T51" i="23"/>
  <c r="U51" i="23"/>
  <c r="V51" i="23"/>
  <c r="W51" i="23"/>
  <c r="X51" i="23"/>
  <c r="Y51" i="23"/>
  <c r="Z51" i="23"/>
  <c r="T53" i="23"/>
  <c r="U53" i="23"/>
  <c r="V50" i="23"/>
  <c r="L50" i="23"/>
  <c r="M50" i="23"/>
  <c r="N50" i="23"/>
  <c r="O50" i="23"/>
  <c r="P50" i="23"/>
  <c r="Q50" i="23"/>
  <c r="K51" i="23"/>
  <c r="L51" i="23"/>
  <c r="M51" i="23"/>
  <c r="N51" i="23"/>
  <c r="O51" i="23"/>
  <c r="P51" i="23"/>
  <c r="Q51" i="23"/>
  <c r="K53" i="23"/>
  <c r="L53" i="23"/>
  <c r="M53" i="23"/>
  <c r="N53" i="23"/>
  <c r="O53" i="23"/>
  <c r="P53" i="23"/>
  <c r="Q53" i="23"/>
  <c r="K54" i="23"/>
  <c r="L54" i="23"/>
  <c r="M54" i="23"/>
  <c r="N54" i="23"/>
  <c r="O54" i="23"/>
  <c r="D50" i="23"/>
  <c r="E50" i="23"/>
  <c r="F50" i="23"/>
  <c r="G50" i="23"/>
  <c r="H50" i="23"/>
  <c r="B51" i="23"/>
  <c r="C51" i="23"/>
  <c r="D51" i="23"/>
  <c r="E51" i="23"/>
  <c r="F51" i="23"/>
  <c r="G51" i="23"/>
  <c r="H51" i="23"/>
  <c r="B53" i="23"/>
  <c r="C53" i="23"/>
  <c r="D53" i="23"/>
  <c r="E53" i="23"/>
  <c r="F53" i="23"/>
  <c r="G53" i="23"/>
  <c r="H53" i="23"/>
  <c r="B54" i="23"/>
  <c r="C54" i="23"/>
  <c r="D54" i="23"/>
  <c r="E54" i="23"/>
  <c r="F54" i="23"/>
  <c r="B50" i="23"/>
  <c r="C50" i="23"/>
  <c r="Z47" i="23"/>
  <c r="T48" i="23"/>
  <c r="U48" i="23"/>
  <c r="V48" i="23"/>
  <c r="W48" i="23"/>
  <c r="X48" i="23"/>
  <c r="W47" i="23"/>
  <c r="X47" i="23"/>
  <c r="Y47" i="23"/>
  <c r="V47" i="23"/>
  <c r="O47" i="23"/>
  <c r="P47" i="23"/>
  <c r="Q47" i="23"/>
  <c r="N47" i="23"/>
  <c r="M47" i="23"/>
  <c r="D47" i="23"/>
  <c r="E47" i="23"/>
  <c r="F47" i="23"/>
  <c r="G47" i="23"/>
  <c r="H47" i="23"/>
  <c r="W44" i="23"/>
  <c r="X44" i="23"/>
  <c r="Y44" i="23"/>
  <c r="Z44" i="23"/>
  <c r="T45" i="23"/>
  <c r="U45" i="23"/>
  <c r="V45" i="23"/>
  <c r="W45" i="23"/>
  <c r="V44" i="23"/>
  <c r="Z42" i="23"/>
  <c r="T44" i="23"/>
  <c r="U44" i="23"/>
  <c r="Q42" i="23"/>
  <c r="K44" i="23"/>
  <c r="L44" i="23"/>
  <c r="M44" i="23"/>
  <c r="N44" i="23"/>
  <c r="O44" i="23"/>
  <c r="P44" i="23"/>
  <c r="Q44" i="23"/>
  <c r="K45" i="23"/>
  <c r="L45" i="23"/>
  <c r="M45" i="23"/>
  <c r="N45" i="23"/>
  <c r="P42" i="23"/>
  <c r="F42" i="23"/>
  <c r="G42" i="23"/>
  <c r="H42" i="23"/>
  <c r="B44" i="23"/>
  <c r="C44" i="23"/>
  <c r="D44" i="23"/>
  <c r="E44" i="23"/>
  <c r="F44" i="23"/>
  <c r="G44" i="23"/>
  <c r="H44" i="23"/>
  <c r="B45" i="23"/>
  <c r="C45" i="23"/>
  <c r="D45" i="23"/>
  <c r="E45" i="23"/>
  <c r="C42" i="23"/>
  <c r="W39" i="23"/>
  <c r="X39" i="23"/>
  <c r="Y39" i="23"/>
  <c r="Z39" i="23"/>
  <c r="T41" i="23"/>
  <c r="U41" i="23"/>
  <c r="V41" i="23"/>
  <c r="W41" i="23"/>
  <c r="X41" i="23"/>
  <c r="Y41" i="23"/>
  <c r="Z41" i="23"/>
  <c r="T42" i="23"/>
  <c r="U42" i="23"/>
  <c r="W36" i="23"/>
  <c r="X36" i="23"/>
  <c r="Y36" i="23"/>
  <c r="Z36" i="23"/>
  <c r="T38" i="23"/>
  <c r="U38" i="23"/>
  <c r="V38" i="23"/>
  <c r="W38" i="23"/>
  <c r="X38" i="23"/>
  <c r="Y38" i="23"/>
  <c r="Z38" i="23"/>
  <c r="T39" i="23"/>
  <c r="U39" i="23"/>
  <c r="V39" i="23"/>
  <c r="M36" i="23"/>
  <c r="N36" i="23"/>
  <c r="O36" i="23"/>
  <c r="P36" i="23"/>
  <c r="Q36" i="23"/>
  <c r="K38" i="23"/>
  <c r="L38" i="23"/>
  <c r="M38" i="23"/>
  <c r="N38" i="23"/>
  <c r="O38" i="23"/>
  <c r="P38" i="23"/>
  <c r="Q38" i="23"/>
  <c r="K39" i="23"/>
  <c r="L39" i="23"/>
  <c r="M39" i="23"/>
  <c r="N39" i="23"/>
  <c r="O39" i="23"/>
  <c r="P39" i="23"/>
  <c r="Q39" i="23"/>
  <c r="K41" i="23"/>
  <c r="L41" i="23"/>
  <c r="M41" i="23"/>
  <c r="N41" i="23"/>
  <c r="O41" i="23"/>
  <c r="P41" i="23"/>
  <c r="H36" i="23"/>
  <c r="B38" i="23"/>
  <c r="C38" i="23"/>
  <c r="D38" i="23"/>
  <c r="E38" i="23"/>
  <c r="F38" i="23"/>
  <c r="G38" i="23"/>
  <c r="H38" i="23"/>
  <c r="B39" i="23"/>
  <c r="C39" i="23"/>
  <c r="D39" i="23"/>
  <c r="E39" i="23"/>
  <c r="F39" i="23"/>
  <c r="G39" i="23"/>
  <c r="H39" i="23"/>
  <c r="B41" i="23"/>
  <c r="C41" i="23"/>
  <c r="D41" i="23"/>
  <c r="E41" i="23"/>
  <c r="F41" i="23"/>
  <c r="G41" i="23"/>
  <c r="D36" i="23"/>
  <c r="E36" i="23"/>
  <c r="F36" i="23"/>
  <c r="G36" i="23"/>
  <c r="C36" i="23"/>
  <c r="K35" i="23"/>
  <c r="M33" i="23"/>
  <c r="N33" i="23"/>
  <c r="O33" i="23"/>
  <c r="P33" i="23"/>
  <c r="Q33" i="23"/>
  <c r="L33" i="23"/>
  <c r="C33" i="23"/>
  <c r="D33" i="23"/>
  <c r="E33" i="23"/>
  <c r="F33" i="23"/>
  <c r="G33" i="23"/>
  <c r="H33" i="23"/>
  <c r="B35" i="23"/>
  <c r="N32" i="23"/>
  <c r="O32" i="23"/>
  <c r="U30" i="23"/>
  <c r="V30" i="23"/>
  <c r="W30" i="23"/>
  <c r="X30" i="23"/>
  <c r="Y30" i="23"/>
  <c r="Z30" i="23"/>
  <c r="T32" i="23"/>
  <c r="U32" i="23"/>
  <c r="V32" i="23"/>
  <c r="W32" i="23"/>
  <c r="X32" i="23"/>
  <c r="Y32" i="23"/>
  <c r="Z32" i="23"/>
  <c r="T33" i="23"/>
  <c r="U33" i="23"/>
  <c r="V33" i="23"/>
  <c r="W33" i="23"/>
  <c r="X33" i="23"/>
  <c r="Y33" i="23"/>
  <c r="Z33" i="23"/>
  <c r="T35" i="23"/>
  <c r="Q30" i="23"/>
  <c r="K32" i="23"/>
  <c r="L32" i="23"/>
  <c r="M32" i="23"/>
  <c r="L30" i="23"/>
  <c r="M30" i="23"/>
  <c r="N30" i="23"/>
  <c r="O30" i="23"/>
  <c r="P30" i="23"/>
  <c r="K30" i="23"/>
  <c r="B30" i="23"/>
  <c r="C30" i="23"/>
  <c r="D30" i="23"/>
  <c r="E30" i="23"/>
  <c r="F30" i="23"/>
  <c r="G30" i="23"/>
  <c r="H30" i="23"/>
  <c r="B32" i="23"/>
  <c r="C32" i="23"/>
  <c r="D32" i="23"/>
  <c r="E32" i="23"/>
  <c r="F32" i="23"/>
  <c r="H29" i="23"/>
  <c r="Y24" i="23"/>
  <c r="Z24" i="23"/>
  <c r="T26" i="23"/>
  <c r="U26" i="23"/>
  <c r="V26" i="23"/>
  <c r="W26" i="23"/>
  <c r="X26" i="23"/>
  <c r="Y26" i="23"/>
  <c r="Z26" i="23"/>
  <c r="T27" i="23"/>
  <c r="U27" i="23"/>
  <c r="V27" i="23"/>
  <c r="W27" i="23"/>
  <c r="X27" i="23"/>
  <c r="Y27" i="23"/>
  <c r="Z27" i="23"/>
  <c r="T29" i="23"/>
  <c r="U29" i="23"/>
  <c r="V29" i="23"/>
  <c r="W29" i="23"/>
  <c r="X29" i="23"/>
  <c r="Z23" i="23"/>
  <c r="T24" i="23"/>
  <c r="U24" i="23"/>
  <c r="V24" i="23"/>
  <c r="W24" i="23"/>
  <c r="X24" i="23"/>
  <c r="Y23" i="23"/>
  <c r="O23" i="23"/>
  <c r="P23" i="23"/>
  <c r="Q23" i="23"/>
  <c r="K24" i="23"/>
  <c r="L24" i="23"/>
  <c r="M24" i="23"/>
  <c r="N24" i="23"/>
  <c r="O24" i="23"/>
  <c r="P24" i="23"/>
  <c r="Q24" i="23"/>
  <c r="K26" i="23"/>
  <c r="L26" i="23"/>
  <c r="M26" i="23"/>
  <c r="N26" i="23"/>
  <c r="O26" i="23"/>
  <c r="P26" i="23"/>
  <c r="Q26" i="23"/>
  <c r="K27" i="23"/>
  <c r="L27" i="23"/>
  <c r="M27" i="23"/>
  <c r="N27" i="23"/>
  <c r="O27" i="23"/>
  <c r="P27" i="23"/>
  <c r="Q27" i="23"/>
  <c r="K29" i="23"/>
  <c r="L29" i="23"/>
  <c r="M29" i="23"/>
  <c r="N29" i="23"/>
  <c r="O29" i="23"/>
  <c r="F23" i="23"/>
  <c r="G23" i="23"/>
  <c r="H23" i="23"/>
  <c r="B24" i="23"/>
  <c r="C24" i="23"/>
  <c r="D24" i="23"/>
  <c r="E24" i="23"/>
  <c r="F24" i="23"/>
  <c r="G24" i="23"/>
  <c r="H24" i="23"/>
  <c r="B26" i="23"/>
  <c r="C26" i="23"/>
  <c r="D26" i="23"/>
  <c r="E26" i="23"/>
  <c r="F26" i="23"/>
  <c r="G26" i="23"/>
  <c r="H26" i="23"/>
  <c r="B27" i="23"/>
  <c r="C27" i="23"/>
  <c r="D27" i="23"/>
  <c r="E27" i="23"/>
  <c r="F27" i="23"/>
  <c r="G27" i="23"/>
  <c r="H27" i="23"/>
  <c r="B29" i="23"/>
  <c r="C29" i="23"/>
  <c r="D29" i="23"/>
  <c r="E29" i="23"/>
  <c r="F29" i="23"/>
  <c r="E23" i="23"/>
  <c r="X17" i="23"/>
  <c r="Y17" i="23"/>
  <c r="Z17" i="23"/>
  <c r="T18" i="23"/>
  <c r="U18" i="23"/>
  <c r="V18" i="23"/>
  <c r="W18" i="23"/>
  <c r="X18" i="23"/>
  <c r="Y18" i="23"/>
  <c r="Z18" i="23"/>
  <c r="T20" i="23"/>
  <c r="U20" i="23"/>
  <c r="V20" i="23"/>
  <c r="W20" i="23"/>
  <c r="X20" i="23"/>
  <c r="Y20" i="23"/>
  <c r="Z20" i="23"/>
  <c r="T21" i="23"/>
  <c r="U21" i="23"/>
  <c r="V21" i="23"/>
  <c r="W21" i="23"/>
  <c r="X21" i="23"/>
  <c r="Y21" i="23"/>
  <c r="Z21" i="23"/>
  <c r="T23" i="23"/>
  <c r="U23" i="23"/>
  <c r="V23" i="23"/>
  <c r="W17" i="23"/>
  <c r="N17" i="23"/>
  <c r="O17" i="23"/>
  <c r="P17" i="23"/>
  <c r="Q17" i="23"/>
  <c r="K18" i="23"/>
  <c r="L18" i="23"/>
  <c r="M18" i="23"/>
  <c r="N18" i="23"/>
  <c r="O18" i="23"/>
  <c r="P18" i="23"/>
  <c r="Q18" i="23"/>
  <c r="K20" i="23"/>
  <c r="L20" i="23"/>
  <c r="M20" i="23"/>
  <c r="N20" i="23"/>
  <c r="O20" i="23"/>
  <c r="P20" i="23"/>
  <c r="Q20" i="23"/>
  <c r="K21" i="23"/>
  <c r="L21" i="23"/>
  <c r="M21" i="23"/>
  <c r="N21" i="23"/>
  <c r="O21" i="23"/>
  <c r="P21" i="23"/>
  <c r="Q21" i="23"/>
  <c r="K23" i="23"/>
  <c r="M17" i="23"/>
  <c r="C17" i="23"/>
  <c r="D17" i="23"/>
  <c r="E17" i="23"/>
  <c r="F17" i="23"/>
  <c r="G17" i="23"/>
  <c r="H17" i="23"/>
  <c r="B18" i="23"/>
  <c r="C18" i="23"/>
  <c r="D18" i="23"/>
  <c r="E18" i="23"/>
  <c r="F18" i="23"/>
  <c r="G18" i="23"/>
  <c r="H18" i="23"/>
  <c r="B20" i="23"/>
  <c r="C20" i="23"/>
  <c r="D20" i="23"/>
  <c r="E20" i="23"/>
  <c r="F20" i="23"/>
  <c r="G20" i="23"/>
  <c r="H20" i="23"/>
  <c r="B21" i="23"/>
  <c r="C21" i="23"/>
  <c r="D21" i="23"/>
  <c r="E21" i="23"/>
  <c r="F21" i="23"/>
  <c r="G21" i="23"/>
  <c r="H21" i="23"/>
  <c r="B23" i="23"/>
  <c r="T11" i="23"/>
  <c r="U11" i="23"/>
  <c r="V11" i="23"/>
  <c r="W11" i="23"/>
  <c r="X11" i="23"/>
  <c r="Y11" i="23"/>
  <c r="Z11" i="23"/>
  <c r="T12" i="23"/>
  <c r="U12" i="23"/>
  <c r="V12" i="23"/>
  <c r="W12" i="23"/>
  <c r="X12" i="23"/>
  <c r="Y12" i="23"/>
  <c r="Z12" i="23"/>
  <c r="T14" i="23"/>
  <c r="U14" i="23"/>
  <c r="V14" i="23"/>
  <c r="W14" i="23"/>
  <c r="X14" i="23"/>
  <c r="Y14" i="23"/>
  <c r="Z14" i="23"/>
  <c r="T15" i="23"/>
  <c r="U15" i="23"/>
  <c r="V15" i="23"/>
  <c r="W15" i="23"/>
  <c r="X15" i="23"/>
  <c r="Y15" i="23"/>
  <c r="Z15" i="23"/>
  <c r="M11" i="23"/>
  <c r="N11" i="23"/>
  <c r="O11" i="23"/>
  <c r="P11" i="23"/>
  <c r="Q11" i="23"/>
  <c r="K12" i="23"/>
  <c r="L12" i="23"/>
  <c r="M12" i="23"/>
  <c r="N12" i="23"/>
  <c r="O12" i="23"/>
  <c r="P12" i="23"/>
  <c r="Q12" i="23"/>
  <c r="K14" i="23"/>
  <c r="L14" i="23"/>
  <c r="M14" i="23"/>
  <c r="N14" i="23"/>
  <c r="O14" i="23"/>
  <c r="P14" i="23"/>
  <c r="Q14" i="23"/>
  <c r="Q9" i="23"/>
  <c r="K11" i="23"/>
  <c r="L11" i="23"/>
  <c r="M9" i="23"/>
  <c r="G9" i="23"/>
  <c r="H9" i="23"/>
  <c r="B11" i="23"/>
  <c r="C11" i="23"/>
  <c r="D11" i="23"/>
  <c r="E11" i="23"/>
  <c r="F11" i="23"/>
  <c r="G11" i="23"/>
  <c r="H11" i="23"/>
  <c r="B12" i="23"/>
  <c r="C12" i="23"/>
  <c r="D12" i="23"/>
  <c r="E12" i="23"/>
  <c r="F12" i="23"/>
  <c r="G12" i="23"/>
  <c r="H12" i="23"/>
  <c r="B14" i="23"/>
  <c r="C14" i="23"/>
  <c r="D14" i="23"/>
  <c r="E14" i="23"/>
  <c r="F14" i="23"/>
  <c r="G14" i="23"/>
  <c r="H14" i="23"/>
  <c r="D9" i="23"/>
  <c r="X3" i="23"/>
  <c r="Y3" i="23"/>
  <c r="Z3" i="23"/>
  <c r="T5" i="23"/>
  <c r="U5" i="23"/>
  <c r="V5" i="23"/>
  <c r="W5" i="23"/>
  <c r="X5" i="23"/>
  <c r="Y5" i="23"/>
  <c r="Z5" i="23"/>
  <c r="T6" i="23"/>
  <c r="U6" i="23"/>
  <c r="V6" i="23"/>
  <c r="W6" i="23"/>
  <c r="X6" i="23"/>
  <c r="Y6" i="23"/>
  <c r="Z6" i="23"/>
  <c r="T8" i="23"/>
  <c r="U8" i="23"/>
  <c r="V8" i="23"/>
  <c r="W8" i="23"/>
  <c r="X8" i="23"/>
  <c r="Y8" i="23"/>
  <c r="Z8" i="23"/>
  <c r="T9" i="23"/>
  <c r="U9" i="23"/>
  <c r="V9" i="23"/>
  <c r="N3" i="23"/>
  <c r="O3" i="23"/>
  <c r="P3" i="23"/>
  <c r="Q3" i="23"/>
  <c r="K5" i="23"/>
  <c r="L5" i="23"/>
  <c r="M5" i="23"/>
  <c r="N5" i="23"/>
  <c r="O5" i="23"/>
  <c r="P5" i="23"/>
  <c r="Q5" i="23"/>
  <c r="K6" i="23"/>
  <c r="L6" i="23"/>
  <c r="M6" i="23"/>
  <c r="N6" i="23"/>
  <c r="O6" i="23"/>
  <c r="P6" i="23"/>
  <c r="Q6" i="23"/>
  <c r="K8" i="23"/>
  <c r="L8" i="23"/>
  <c r="M8" i="23"/>
  <c r="N8" i="23"/>
  <c r="O8" i="23"/>
  <c r="P8" i="23"/>
  <c r="Q8" i="23"/>
  <c r="D3" i="23"/>
  <c r="E3" i="23"/>
  <c r="F3" i="23"/>
  <c r="G3" i="23"/>
  <c r="H3" i="23"/>
  <c r="B5" i="23"/>
  <c r="C5" i="23"/>
  <c r="D5" i="23"/>
  <c r="E5" i="23"/>
  <c r="F5" i="23"/>
  <c r="G5" i="23"/>
  <c r="H5" i="23"/>
  <c r="B6" i="23"/>
  <c r="C6" i="23"/>
  <c r="D6" i="23"/>
  <c r="E6" i="23"/>
  <c r="F6" i="23"/>
  <c r="G6" i="23"/>
  <c r="H6" i="23"/>
  <c r="B8" i="23"/>
  <c r="C8" i="23"/>
  <c r="D8" i="23"/>
  <c r="E8" i="23"/>
  <c r="F8" i="23"/>
  <c r="G8" i="23"/>
  <c r="H8" i="23"/>
  <c r="X2" i="23"/>
  <c r="Y2" i="23"/>
  <c r="Z2" i="23"/>
  <c r="W2" i="23"/>
  <c r="V2" i="23"/>
  <c r="O2" i="23"/>
  <c r="P2" i="23"/>
  <c r="Q2" i="23"/>
  <c r="M2" i="23"/>
  <c r="N2" i="23"/>
  <c r="D2" i="23"/>
  <c r="E2" i="23"/>
  <c r="F2" i="23"/>
  <c r="G2" i="23"/>
  <c r="H2" i="23"/>
  <c r="C2" i="23"/>
  <c r="G4" i="22"/>
  <c r="D4" i="22"/>
  <c r="F4" i="22"/>
  <c r="H4" i="22"/>
  <c r="E4" i="22"/>
  <c r="B5" i="22"/>
  <c r="D5" i="22"/>
  <c r="G5" i="22"/>
  <c r="H5" i="22"/>
  <c r="F5" i="22"/>
  <c r="B6" i="22"/>
  <c r="E5" i="22"/>
  <c r="Y77" i="18"/>
  <c r="Z77" i="18"/>
  <c r="T78" i="18"/>
  <c r="U78" i="18"/>
  <c r="V78" i="18"/>
  <c r="W78" i="18"/>
  <c r="X78" i="18"/>
  <c r="Y78" i="18"/>
  <c r="Z78" i="18"/>
  <c r="O77" i="18"/>
  <c r="P77" i="18"/>
  <c r="Q77" i="18"/>
  <c r="K78" i="18"/>
  <c r="L78" i="18"/>
  <c r="M78" i="18"/>
  <c r="N78" i="18"/>
  <c r="O78" i="18"/>
  <c r="P78" i="18"/>
  <c r="Q78" i="18"/>
  <c r="V75" i="18"/>
  <c r="W75" i="18"/>
  <c r="X75" i="18"/>
  <c r="Y75" i="18"/>
  <c r="Z75" i="18"/>
  <c r="T77" i="18"/>
  <c r="U77" i="18"/>
  <c r="V77" i="18"/>
  <c r="W77" i="18"/>
  <c r="X77" i="18"/>
  <c r="L75" i="18"/>
  <c r="M75" i="18"/>
  <c r="N75" i="18"/>
  <c r="O75" i="18"/>
  <c r="P75" i="18"/>
  <c r="Q75" i="18"/>
  <c r="K77" i="18"/>
  <c r="L77" i="18"/>
  <c r="M77" i="18"/>
  <c r="N77" i="18"/>
  <c r="B75" i="18"/>
  <c r="C75" i="18"/>
  <c r="D75" i="18"/>
  <c r="E75" i="18"/>
  <c r="F75" i="18"/>
  <c r="G75" i="18"/>
  <c r="H75" i="18"/>
  <c r="B77" i="18"/>
  <c r="C77" i="18"/>
  <c r="D77" i="18"/>
  <c r="E77" i="18"/>
  <c r="F77" i="18"/>
  <c r="G77" i="18"/>
  <c r="H77" i="18"/>
  <c r="B78" i="18"/>
  <c r="C78" i="18"/>
  <c r="D78" i="18"/>
  <c r="E78" i="18"/>
  <c r="F78" i="18"/>
  <c r="G78" i="18"/>
  <c r="H78" i="18"/>
  <c r="F74" i="18"/>
  <c r="U72" i="18"/>
  <c r="V72" i="18"/>
  <c r="W72" i="18"/>
  <c r="X72" i="18"/>
  <c r="Y72" i="18"/>
  <c r="Z72" i="18"/>
  <c r="L72" i="18"/>
  <c r="M72" i="18"/>
  <c r="N72" i="18"/>
  <c r="O72" i="18"/>
  <c r="P72" i="18"/>
  <c r="Q72" i="18"/>
  <c r="E72" i="18"/>
  <c r="F72" i="18"/>
  <c r="G72" i="18"/>
  <c r="H72" i="18"/>
  <c r="C72" i="18"/>
  <c r="D72" i="18"/>
  <c r="Z68" i="18"/>
  <c r="T69" i="18"/>
  <c r="U69" i="18"/>
  <c r="V69" i="18"/>
  <c r="W69" i="18"/>
  <c r="X69" i="18"/>
  <c r="Y69" i="18"/>
  <c r="Z69" i="18"/>
  <c r="T71" i="18"/>
  <c r="U71" i="18"/>
  <c r="V71" i="18"/>
  <c r="W71" i="18"/>
  <c r="X71" i="18"/>
  <c r="Y71" i="18"/>
  <c r="Z71" i="18"/>
  <c r="Q68" i="18"/>
  <c r="K69" i="18"/>
  <c r="L69" i="18"/>
  <c r="M69" i="18"/>
  <c r="N69" i="18"/>
  <c r="O69" i="18"/>
  <c r="P69" i="18"/>
  <c r="Q69" i="18"/>
  <c r="K71" i="18"/>
  <c r="L71" i="18"/>
  <c r="M71" i="18"/>
  <c r="N71" i="18"/>
  <c r="O71" i="18"/>
  <c r="P71" i="18"/>
  <c r="Q71" i="18"/>
  <c r="P68" i="18"/>
  <c r="F68" i="18"/>
  <c r="G68" i="18"/>
  <c r="H68" i="18"/>
  <c r="B69" i="18"/>
  <c r="C69" i="18"/>
  <c r="D69" i="18"/>
  <c r="E69" i="18"/>
  <c r="F69" i="18"/>
  <c r="G69" i="18"/>
  <c r="H69" i="18"/>
  <c r="B71" i="18"/>
  <c r="C71" i="18"/>
  <c r="D71" i="18"/>
  <c r="E71" i="18"/>
  <c r="F71" i="18"/>
  <c r="W66" i="18"/>
  <c r="X66" i="18"/>
  <c r="Y66" i="18"/>
  <c r="Z66" i="18"/>
  <c r="N66" i="18"/>
  <c r="O66" i="18"/>
  <c r="P66" i="18"/>
  <c r="Q66" i="18"/>
  <c r="D66" i="18"/>
  <c r="E66" i="18"/>
  <c r="E65" i="18"/>
  <c r="F65" i="18"/>
  <c r="G65" i="18"/>
  <c r="H65" i="18"/>
  <c r="K63" i="18"/>
  <c r="L63" i="18"/>
  <c r="M63" i="18"/>
  <c r="N63" i="18"/>
  <c r="O63" i="18"/>
  <c r="P63" i="18"/>
  <c r="Q63" i="18"/>
  <c r="K65" i="18"/>
  <c r="L65" i="18"/>
  <c r="M65" i="18"/>
  <c r="N65" i="18"/>
  <c r="O65" i="18"/>
  <c r="P65" i="18"/>
  <c r="Q65" i="18"/>
  <c r="Z62" i="18"/>
  <c r="T63" i="18"/>
  <c r="U63" i="18"/>
  <c r="V63" i="18"/>
  <c r="W63" i="18"/>
  <c r="X63" i="18"/>
  <c r="Y63" i="18"/>
  <c r="Z63" i="18"/>
  <c r="T65" i="18"/>
  <c r="U65" i="18"/>
  <c r="V65" i="18"/>
  <c r="W65" i="18"/>
  <c r="X65" i="18"/>
  <c r="Y65" i="18"/>
  <c r="Z65" i="18"/>
  <c r="X62" i="18"/>
  <c r="Y62" i="18"/>
  <c r="N62" i="18"/>
  <c r="O62" i="18"/>
  <c r="P62" i="18"/>
  <c r="Q62" i="18"/>
  <c r="E62" i="18"/>
  <c r="F62" i="18"/>
  <c r="G62" i="18"/>
  <c r="H62" i="18"/>
  <c r="B63" i="18"/>
  <c r="C63" i="18"/>
  <c r="D63" i="18"/>
  <c r="E63" i="18"/>
  <c r="F63" i="18"/>
  <c r="G63" i="18"/>
  <c r="H63" i="18"/>
  <c r="B65" i="18"/>
  <c r="C65" i="18"/>
  <c r="D62" i="18"/>
  <c r="U56" i="18"/>
  <c r="V56" i="18"/>
  <c r="W56" i="18"/>
  <c r="X56" i="18"/>
  <c r="Y56" i="18"/>
  <c r="Z56" i="18"/>
  <c r="T57" i="18"/>
  <c r="U57" i="18"/>
  <c r="V57" i="18"/>
  <c r="W57" i="18"/>
  <c r="X57" i="18"/>
  <c r="Y57" i="18"/>
  <c r="Z57" i="18"/>
  <c r="T59" i="18"/>
  <c r="U59" i="18"/>
  <c r="V59" i="18"/>
  <c r="W59" i="18"/>
  <c r="X59" i="18"/>
  <c r="Y59" i="18"/>
  <c r="Z59" i="18"/>
  <c r="T60" i="18"/>
  <c r="U60" i="18"/>
  <c r="V60" i="18"/>
  <c r="W60" i="18"/>
  <c r="X60" i="18"/>
  <c r="Y60" i="18"/>
  <c r="Z60" i="18"/>
  <c r="K56" i="18"/>
  <c r="L56" i="18"/>
  <c r="M56" i="18"/>
  <c r="N56" i="18"/>
  <c r="O56" i="18"/>
  <c r="P56" i="18"/>
  <c r="Q56" i="18"/>
  <c r="K57" i="18"/>
  <c r="L57" i="18"/>
  <c r="M57" i="18"/>
  <c r="N57" i="18"/>
  <c r="O57" i="18"/>
  <c r="P57" i="18"/>
  <c r="Q57" i="18"/>
  <c r="K59" i="18"/>
  <c r="L59" i="18"/>
  <c r="M59" i="18"/>
  <c r="N59" i="18"/>
  <c r="O59" i="18"/>
  <c r="P59" i="18"/>
  <c r="Q59" i="18"/>
  <c r="K60" i="18"/>
  <c r="L60" i="18"/>
  <c r="M60" i="18"/>
  <c r="N60" i="18"/>
  <c r="O60" i="18"/>
  <c r="P60" i="18"/>
  <c r="Q60" i="18"/>
  <c r="H54" i="18"/>
  <c r="B56" i="18"/>
  <c r="C56" i="18"/>
  <c r="D56" i="18"/>
  <c r="E56" i="18"/>
  <c r="F56" i="18"/>
  <c r="G56" i="18"/>
  <c r="H56" i="18"/>
  <c r="B57" i="18"/>
  <c r="C57" i="18"/>
  <c r="D57" i="18"/>
  <c r="E57" i="18"/>
  <c r="F57" i="18"/>
  <c r="G57" i="18"/>
  <c r="H57" i="18"/>
  <c r="B59" i="18"/>
  <c r="C59" i="18"/>
  <c r="D59" i="18"/>
  <c r="E59" i="18"/>
  <c r="F59" i="18"/>
  <c r="G59" i="18"/>
  <c r="H59" i="18"/>
  <c r="B60" i="18"/>
  <c r="C60" i="18"/>
  <c r="B53" i="18"/>
  <c r="C53" i="18"/>
  <c r="D53" i="18"/>
  <c r="E53" i="18"/>
  <c r="F53" i="18"/>
  <c r="G53" i="18"/>
  <c r="H53" i="18"/>
  <c r="B54" i="18"/>
  <c r="C54" i="18"/>
  <c r="U50" i="18"/>
  <c r="V50" i="18"/>
  <c r="W50" i="18"/>
  <c r="X50" i="18"/>
  <c r="Y50" i="18"/>
  <c r="Z50" i="18"/>
  <c r="T51" i="18"/>
  <c r="U51" i="18"/>
  <c r="V51" i="18"/>
  <c r="W51" i="18"/>
  <c r="X51" i="18"/>
  <c r="Y51" i="18"/>
  <c r="Z51" i="18"/>
  <c r="T53" i="18"/>
  <c r="U53" i="18"/>
  <c r="V53" i="18"/>
  <c r="W53" i="18"/>
  <c r="X53" i="18"/>
  <c r="Y53" i="18"/>
  <c r="Z53" i="18"/>
  <c r="T54" i="18"/>
  <c r="U54" i="18"/>
  <c r="V54" i="18"/>
  <c r="W54" i="18"/>
  <c r="X54" i="18"/>
  <c r="K50" i="18"/>
  <c r="L50" i="18"/>
  <c r="M50" i="18"/>
  <c r="N50" i="18"/>
  <c r="O50" i="18"/>
  <c r="P50" i="18"/>
  <c r="Q50" i="18"/>
  <c r="K51" i="18"/>
  <c r="L51" i="18"/>
  <c r="M51" i="18"/>
  <c r="N51" i="18"/>
  <c r="O51" i="18"/>
  <c r="P51" i="18"/>
  <c r="Q51" i="18"/>
  <c r="K53" i="18"/>
  <c r="L53" i="18"/>
  <c r="M53" i="18"/>
  <c r="N53" i="18"/>
  <c r="O53" i="18"/>
  <c r="P53" i="18"/>
  <c r="Q53" i="18"/>
  <c r="K54" i="18"/>
  <c r="L54" i="18"/>
  <c r="M54" i="18"/>
  <c r="N54" i="18"/>
  <c r="O54" i="18"/>
  <c r="H48" i="18"/>
  <c r="B50" i="18"/>
  <c r="C50" i="18"/>
  <c r="D50" i="18"/>
  <c r="E50" i="18"/>
  <c r="F50" i="18"/>
  <c r="G50" i="18"/>
  <c r="H50" i="18"/>
  <c r="B51" i="18"/>
  <c r="C51" i="18"/>
  <c r="D51" i="18"/>
  <c r="E51" i="18"/>
  <c r="V47" i="18"/>
  <c r="W47" i="18"/>
  <c r="X47" i="18"/>
  <c r="Y47" i="18"/>
  <c r="Z47" i="18"/>
  <c r="M47" i="18"/>
  <c r="N47" i="18"/>
  <c r="O47" i="18"/>
  <c r="P47" i="18"/>
  <c r="Q47" i="18"/>
  <c r="D47" i="18"/>
  <c r="E47" i="18"/>
  <c r="F47" i="18"/>
  <c r="L44" i="18"/>
  <c r="M44" i="18"/>
  <c r="N44" i="18"/>
  <c r="O44" i="18"/>
  <c r="P44" i="18"/>
  <c r="Q44" i="18"/>
  <c r="K45" i="18"/>
  <c r="L45" i="18"/>
  <c r="M45" i="18"/>
  <c r="N45" i="18"/>
  <c r="Y42" i="18"/>
  <c r="Z42" i="18"/>
  <c r="T44" i="18"/>
  <c r="U44" i="18"/>
  <c r="V44" i="18"/>
  <c r="W44" i="18"/>
  <c r="X44" i="18"/>
  <c r="Y44" i="18"/>
  <c r="Z44" i="18"/>
  <c r="T45" i="18"/>
  <c r="U45" i="18"/>
  <c r="V45" i="18"/>
  <c r="W45" i="18"/>
  <c r="O42" i="18"/>
  <c r="P42" i="18"/>
  <c r="Q42" i="18"/>
  <c r="K44" i="18"/>
  <c r="L42" i="18"/>
  <c r="F42" i="18"/>
  <c r="G42" i="18"/>
  <c r="H42" i="18"/>
  <c r="B44" i="18"/>
  <c r="C44" i="18"/>
  <c r="D44" i="18"/>
  <c r="E44" i="18"/>
  <c r="F44" i="18"/>
  <c r="G44" i="18"/>
  <c r="H44" i="18"/>
  <c r="B45" i="18"/>
  <c r="C45" i="18"/>
  <c r="D45" i="18"/>
  <c r="E45" i="18"/>
  <c r="E42" i="18"/>
  <c r="V36" i="18"/>
  <c r="W36" i="18"/>
  <c r="X36" i="18"/>
  <c r="Y36" i="18"/>
  <c r="Z36" i="18"/>
  <c r="T38" i="18"/>
  <c r="U38" i="18"/>
  <c r="V38" i="18"/>
  <c r="W38" i="18"/>
  <c r="X38" i="18"/>
  <c r="Y38" i="18"/>
  <c r="Z38" i="18"/>
  <c r="T39" i="18"/>
  <c r="U39" i="18"/>
  <c r="V39" i="18"/>
  <c r="W39" i="18"/>
  <c r="X39" i="18"/>
  <c r="Y39" i="18"/>
  <c r="Z39" i="18"/>
  <c r="T41" i="18"/>
  <c r="U41" i="18"/>
  <c r="V41" i="18"/>
  <c r="W41" i="18"/>
  <c r="X41" i="18"/>
  <c r="Y41" i="18"/>
  <c r="P36" i="18"/>
  <c r="Q36" i="18"/>
  <c r="K38" i="18"/>
  <c r="L38" i="18"/>
  <c r="M38" i="18"/>
  <c r="N38" i="18"/>
  <c r="O38" i="18"/>
  <c r="P38" i="18"/>
  <c r="Q38" i="18"/>
  <c r="K39" i="18"/>
  <c r="L39" i="18"/>
  <c r="M39" i="18"/>
  <c r="N39" i="18"/>
  <c r="O39" i="18"/>
  <c r="P39" i="18"/>
  <c r="Q39" i="18"/>
  <c r="K41" i="18"/>
  <c r="L41" i="18"/>
  <c r="M41" i="18"/>
  <c r="N41" i="18"/>
  <c r="O41" i="18"/>
  <c r="P41" i="18"/>
  <c r="L36" i="18"/>
  <c r="M36" i="18"/>
  <c r="N36" i="18"/>
  <c r="O36" i="18"/>
  <c r="B36" i="18"/>
  <c r="C36" i="18"/>
  <c r="D36" i="18"/>
  <c r="E36" i="18"/>
  <c r="F36" i="18"/>
  <c r="G36" i="18"/>
  <c r="H36" i="18"/>
  <c r="B38" i="18"/>
  <c r="C38" i="18"/>
  <c r="D38" i="18"/>
  <c r="E38" i="18"/>
  <c r="F38" i="18"/>
  <c r="G38" i="18"/>
  <c r="H38" i="18"/>
  <c r="B39" i="18"/>
  <c r="C39" i="18"/>
  <c r="D39" i="18"/>
  <c r="E39" i="18"/>
  <c r="F39" i="18"/>
  <c r="G39" i="18"/>
  <c r="H39" i="18"/>
  <c r="B41" i="18"/>
  <c r="C41" i="18"/>
  <c r="D41" i="18"/>
  <c r="E41" i="18"/>
  <c r="F41" i="18"/>
  <c r="G41" i="18"/>
  <c r="G35" i="18"/>
  <c r="U33" i="18"/>
  <c r="V33" i="18"/>
  <c r="W33" i="18"/>
  <c r="X33" i="18"/>
  <c r="Y33" i="18"/>
  <c r="Z33" i="18"/>
  <c r="T35" i="18"/>
  <c r="L33" i="18"/>
  <c r="M33" i="18"/>
  <c r="N33" i="18"/>
  <c r="O33" i="18"/>
  <c r="P33" i="18"/>
  <c r="Q33" i="18"/>
  <c r="K35" i="18"/>
  <c r="B33" i="18"/>
  <c r="C33" i="18"/>
  <c r="D33" i="18"/>
  <c r="E33" i="18"/>
  <c r="F33" i="18"/>
  <c r="G33" i="18"/>
  <c r="H33" i="18"/>
  <c r="B35" i="18"/>
  <c r="T30" i="18"/>
  <c r="U30" i="18"/>
  <c r="V30" i="18"/>
  <c r="W30" i="18"/>
  <c r="X30" i="18"/>
  <c r="Y30" i="18"/>
  <c r="Z30" i="18"/>
  <c r="T32" i="18"/>
  <c r="U32" i="18"/>
  <c r="V32" i="18"/>
  <c r="W32" i="18"/>
  <c r="X32" i="18"/>
  <c r="Q29" i="18"/>
  <c r="K30" i="18"/>
  <c r="L30" i="18"/>
  <c r="M30" i="18"/>
  <c r="N30" i="18"/>
  <c r="O30" i="18"/>
  <c r="P30" i="18"/>
  <c r="Q30" i="18"/>
  <c r="K32" i="18"/>
  <c r="L32" i="18"/>
  <c r="M32" i="18"/>
  <c r="N32" i="18"/>
  <c r="O32" i="18"/>
  <c r="G29" i="18"/>
  <c r="H29" i="18"/>
  <c r="B30" i="18"/>
  <c r="C30" i="18"/>
  <c r="D30" i="18"/>
  <c r="E30" i="18"/>
  <c r="F30" i="18"/>
  <c r="G30" i="18"/>
  <c r="H30" i="18"/>
  <c r="B32" i="18"/>
  <c r="C32" i="18"/>
  <c r="D32" i="18"/>
  <c r="E32" i="18"/>
  <c r="F32" i="18"/>
  <c r="C27" i="18"/>
  <c r="D27" i="18"/>
  <c r="E27" i="18"/>
  <c r="F27" i="18"/>
  <c r="G27" i="18"/>
  <c r="H27" i="18"/>
  <c r="X23" i="18"/>
  <c r="Y23" i="18"/>
  <c r="Z23" i="18"/>
  <c r="T24" i="18"/>
  <c r="U24" i="18"/>
  <c r="V24" i="18"/>
  <c r="W24" i="18"/>
  <c r="X24" i="18"/>
  <c r="Y24" i="18"/>
  <c r="Z24" i="18"/>
  <c r="T26" i="18"/>
  <c r="U26" i="18"/>
  <c r="V26" i="18"/>
  <c r="W26" i="18"/>
  <c r="X26" i="18"/>
  <c r="Y26" i="18"/>
  <c r="Z26" i="18"/>
  <c r="T27" i="18"/>
  <c r="U27" i="18"/>
  <c r="V27" i="18"/>
  <c r="W27" i="18"/>
  <c r="X27" i="18"/>
  <c r="Y27" i="18"/>
  <c r="Z27" i="18"/>
  <c r="T29" i="18"/>
  <c r="U29" i="18"/>
  <c r="V29" i="18"/>
  <c r="W29" i="18"/>
  <c r="X29" i="18"/>
  <c r="N23" i="18"/>
  <c r="O23" i="18"/>
  <c r="P23" i="18"/>
  <c r="Q23" i="18"/>
  <c r="K24" i="18"/>
  <c r="L24" i="18"/>
  <c r="M24" i="18"/>
  <c r="N24" i="18"/>
  <c r="O24" i="18"/>
  <c r="P24" i="18"/>
  <c r="Q24" i="18"/>
  <c r="K26" i="18"/>
  <c r="L26" i="18"/>
  <c r="M26" i="18"/>
  <c r="N26" i="18"/>
  <c r="O26" i="18"/>
  <c r="P26" i="18"/>
  <c r="Q26" i="18"/>
  <c r="K27" i="18"/>
  <c r="L27" i="18"/>
  <c r="M27" i="18"/>
  <c r="N27" i="18"/>
  <c r="O27" i="18"/>
  <c r="P27" i="18"/>
  <c r="Q27" i="18"/>
  <c r="K29" i="18"/>
  <c r="L29" i="18"/>
  <c r="M29" i="18"/>
  <c r="N29" i="18"/>
  <c r="O29" i="18"/>
  <c r="D23" i="18"/>
  <c r="E23" i="18"/>
  <c r="F23" i="18"/>
  <c r="G23" i="18"/>
  <c r="H23" i="18"/>
  <c r="B24" i="18"/>
  <c r="C24" i="18"/>
  <c r="D24" i="18"/>
  <c r="E24" i="18"/>
  <c r="F24" i="18"/>
  <c r="G24" i="18"/>
  <c r="H24" i="18"/>
  <c r="B26" i="18"/>
  <c r="C26" i="18"/>
  <c r="D26" i="18"/>
  <c r="D20" i="18"/>
  <c r="E20" i="18"/>
  <c r="F20" i="18"/>
  <c r="G20" i="18"/>
  <c r="H20" i="18"/>
  <c r="B21" i="18"/>
  <c r="C21" i="18"/>
  <c r="D21" i="18"/>
  <c r="E21" i="18"/>
  <c r="F21" i="18"/>
  <c r="G21" i="18"/>
  <c r="H21" i="18"/>
  <c r="B23" i="18"/>
  <c r="V17" i="18"/>
  <c r="W17" i="18"/>
  <c r="X17" i="18"/>
  <c r="Y17" i="18"/>
  <c r="Z17" i="18"/>
  <c r="T18" i="18"/>
  <c r="U18" i="18"/>
  <c r="V18" i="18"/>
  <c r="W18" i="18"/>
  <c r="X18" i="18"/>
  <c r="Y18" i="18"/>
  <c r="Z18" i="18"/>
  <c r="T20" i="18"/>
  <c r="U20" i="18"/>
  <c r="V20" i="18"/>
  <c r="W20" i="18"/>
  <c r="X20" i="18"/>
  <c r="Y20" i="18"/>
  <c r="Z20" i="18"/>
  <c r="T21" i="18"/>
  <c r="U21" i="18"/>
  <c r="V21" i="18"/>
  <c r="W21" i="18"/>
  <c r="X21" i="18"/>
  <c r="Y21" i="18"/>
  <c r="Z21" i="18"/>
  <c r="T23" i="18"/>
  <c r="L17" i="18"/>
  <c r="M17" i="18"/>
  <c r="N17" i="18"/>
  <c r="O17" i="18"/>
  <c r="P17" i="18"/>
  <c r="Q17" i="18"/>
  <c r="K18" i="18"/>
  <c r="L18" i="18"/>
  <c r="M18" i="18"/>
  <c r="N18" i="18"/>
  <c r="O18" i="18"/>
  <c r="P18" i="18"/>
  <c r="Q18" i="18"/>
  <c r="K20" i="18"/>
  <c r="L20" i="18"/>
  <c r="M20" i="18"/>
  <c r="N20" i="18"/>
  <c r="O20" i="18"/>
  <c r="P20" i="18"/>
  <c r="Q20" i="18"/>
  <c r="K21" i="18"/>
  <c r="L21" i="18"/>
  <c r="M21" i="18"/>
  <c r="N21" i="18"/>
  <c r="O21" i="18"/>
  <c r="P21" i="18"/>
  <c r="Q21" i="18"/>
  <c r="K23" i="18"/>
  <c r="C17" i="18"/>
  <c r="D17" i="18"/>
  <c r="E17" i="18"/>
  <c r="F17" i="18"/>
  <c r="G17" i="18"/>
  <c r="H17" i="18"/>
  <c r="B18" i="18"/>
  <c r="C18" i="18"/>
  <c r="D18" i="18"/>
  <c r="E18" i="18"/>
  <c r="F18" i="18"/>
  <c r="G18" i="18"/>
  <c r="H18" i="18"/>
  <c r="B20" i="18"/>
  <c r="B17" i="18"/>
  <c r="Z9" i="18"/>
  <c r="T11" i="18"/>
  <c r="U11" i="18"/>
  <c r="V11" i="18"/>
  <c r="W11" i="18"/>
  <c r="X11" i="18"/>
  <c r="Y11" i="18"/>
  <c r="Z11" i="18"/>
  <c r="T12" i="18"/>
  <c r="U12" i="18"/>
  <c r="V12" i="18"/>
  <c r="W12" i="18"/>
  <c r="X12" i="18"/>
  <c r="Y12" i="18"/>
  <c r="Z12" i="18"/>
  <c r="T14" i="18"/>
  <c r="U14" i="18"/>
  <c r="V14" i="18"/>
  <c r="W14" i="18"/>
  <c r="X14" i="18"/>
  <c r="Y14" i="18"/>
  <c r="Z14" i="18"/>
  <c r="V9" i="18"/>
  <c r="Q9" i="18"/>
  <c r="K11" i="18"/>
  <c r="L11" i="18"/>
  <c r="M11" i="18"/>
  <c r="N11" i="18"/>
  <c r="O11" i="18"/>
  <c r="P11" i="18"/>
  <c r="Q11" i="18"/>
  <c r="K12" i="18"/>
  <c r="L12" i="18"/>
  <c r="M12" i="18"/>
  <c r="N12" i="18"/>
  <c r="O12" i="18"/>
  <c r="P12" i="18"/>
  <c r="Q12" i="18"/>
  <c r="K14" i="18"/>
  <c r="L14" i="18"/>
  <c r="M14" i="18"/>
  <c r="N14" i="18"/>
  <c r="O14" i="18"/>
  <c r="P14" i="18"/>
  <c r="Q14" i="18"/>
  <c r="P9" i="18"/>
  <c r="M9" i="18"/>
  <c r="F9" i="18"/>
  <c r="G9" i="18"/>
  <c r="H9" i="18"/>
  <c r="B11" i="18"/>
  <c r="C11" i="18"/>
  <c r="D11" i="18"/>
  <c r="E11" i="18"/>
  <c r="F11" i="18"/>
  <c r="G11" i="18"/>
  <c r="H11" i="18"/>
  <c r="B12" i="18"/>
  <c r="C12" i="18"/>
  <c r="D12" i="18"/>
  <c r="E12" i="18"/>
  <c r="F12" i="18"/>
  <c r="G12" i="18"/>
  <c r="H12" i="18"/>
  <c r="B14" i="18"/>
  <c r="C14" i="18"/>
  <c r="D14" i="18"/>
  <c r="E14" i="18"/>
  <c r="F14" i="18"/>
  <c r="G14" i="18"/>
  <c r="D9" i="18"/>
  <c r="C8" i="18"/>
  <c r="D8" i="18"/>
  <c r="E8" i="18"/>
  <c r="F8" i="18"/>
  <c r="G8" i="18"/>
  <c r="H8" i="18"/>
  <c r="W3" i="18"/>
  <c r="X3" i="18"/>
  <c r="Y3" i="18"/>
  <c r="Z3" i="18"/>
  <c r="T5" i="18"/>
  <c r="U5" i="18"/>
  <c r="V5" i="18"/>
  <c r="W5" i="18"/>
  <c r="X5" i="18"/>
  <c r="Y5" i="18"/>
  <c r="Z5" i="18"/>
  <c r="T6" i="18"/>
  <c r="U6" i="18"/>
  <c r="V6" i="18"/>
  <c r="W6" i="18"/>
  <c r="X6" i="18"/>
  <c r="Y6" i="18"/>
  <c r="Z6" i="18"/>
  <c r="T8" i="18"/>
  <c r="U8" i="18"/>
  <c r="V8" i="18"/>
  <c r="W8" i="18"/>
  <c r="X8" i="18"/>
  <c r="Y8" i="18"/>
  <c r="Z8" i="18"/>
  <c r="N3" i="18"/>
  <c r="O3" i="18"/>
  <c r="P3" i="18"/>
  <c r="Q3" i="18"/>
  <c r="K5" i="18"/>
  <c r="L5" i="18"/>
  <c r="M5" i="18"/>
  <c r="N5" i="18"/>
  <c r="O5" i="18"/>
  <c r="P5" i="18"/>
  <c r="Q5" i="18"/>
  <c r="K6" i="18"/>
  <c r="L6" i="18"/>
  <c r="M6" i="18"/>
  <c r="N6" i="18"/>
  <c r="O6" i="18"/>
  <c r="P6" i="18"/>
  <c r="Q6" i="18"/>
  <c r="K8" i="18"/>
  <c r="L8" i="18"/>
  <c r="M8" i="18"/>
  <c r="N8" i="18"/>
  <c r="O8" i="18"/>
  <c r="P8" i="18"/>
  <c r="Q8" i="18"/>
  <c r="M3" i="18"/>
  <c r="C3" i="18"/>
  <c r="D3" i="18"/>
  <c r="E3" i="18"/>
  <c r="F3" i="18"/>
  <c r="G3" i="18"/>
  <c r="H3" i="18"/>
  <c r="B5" i="18"/>
  <c r="C5" i="18"/>
  <c r="D5" i="18"/>
  <c r="E5" i="18"/>
  <c r="F5" i="18"/>
  <c r="G5" i="18"/>
  <c r="H5" i="18"/>
  <c r="B6" i="18"/>
  <c r="C6" i="18"/>
  <c r="V2" i="18"/>
  <c r="W2" i="18"/>
  <c r="X2" i="18"/>
  <c r="Y2" i="18"/>
  <c r="Z2" i="18"/>
  <c r="L2" i="18"/>
  <c r="M2" i="18"/>
  <c r="N2" i="18"/>
  <c r="O2" i="18"/>
  <c r="P2" i="18"/>
  <c r="Q2" i="18"/>
  <c r="H2" i="18"/>
  <c r="G4" i="17"/>
  <c r="D4" i="17"/>
  <c r="B5" i="17"/>
  <c r="D6" i="22"/>
  <c r="G6" i="22"/>
  <c r="G5" i="17"/>
  <c r="D5" i="17"/>
  <c r="F4" i="17"/>
  <c r="H4" i="17"/>
  <c r="E4" i="17"/>
  <c r="F6" i="22"/>
  <c r="H6" i="22"/>
  <c r="B7" i="22"/>
  <c r="E6" i="22"/>
  <c r="F5" i="17"/>
  <c r="B6" i="17"/>
  <c r="E5" i="17"/>
  <c r="H5" i="17"/>
  <c r="D7" i="22"/>
  <c r="G7" i="22"/>
  <c r="D6" i="17"/>
  <c r="G6" i="17"/>
  <c r="H7" i="22"/>
  <c r="F7" i="22"/>
  <c r="B8" i="22"/>
  <c r="E7" i="22"/>
  <c r="B7" i="17"/>
  <c r="E6" i="17"/>
  <c r="H6" i="17"/>
  <c r="F6" i="17"/>
  <c r="D8" i="22"/>
  <c r="G8" i="22"/>
  <c r="G7" i="17"/>
  <c r="D7" i="17"/>
  <c r="F8" i="22"/>
  <c r="B9" i="22"/>
  <c r="E8" i="22"/>
  <c r="H8" i="22"/>
  <c r="F7" i="17"/>
  <c r="B8" i="17"/>
  <c r="E7" i="17"/>
  <c r="H7" i="17"/>
  <c r="D9" i="22"/>
  <c r="G9" i="22"/>
  <c r="D8" i="17"/>
  <c r="G8" i="17"/>
  <c r="H9" i="22"/>
  <c r="F9" i="22"/>
  <c r="E9" i="22"/>
  <c r="B10" i="22"/>
  <c r="B9" i="17"/>
  <c r="E8" i="17"/>
  <c r="H8" i="17"/>
  <c r="F8" i="17"/>
  <c r="G10" i="22"/>
  <c r="D10" i="22"/>
  <c r="G9" i="17"/>
  <c r="D9" i="17"/>
  <c r="F10" i="22"/>
  <c r="H10" i="22"/>
  <c r="B11" i="22"/>
  <c r="E10" i="22"/>
  <c r="F9" i="17"/>
  <c r="B10" i="17"/>
  <c r="E9" i="17"/>
  <c r="H9" i="17"/>
  <c r="D11" i="22"/>
  <c r="G11" i="22"/>
  <c r="D10" i="17"/>
  <c r="G10" i="17"/>
  <c r="H11" i="22"/>
  <c r="B12" i="22"/>
  <c r="F11" i="22"/>
  <c r="E11" i="22"/>
  <c r="B11" i="17"/>
  <c r="E10" i="17"/>
  <c r="H10" i="17"/>
  <c r="F10" i="17"/>
  <c r="D12" i="22"/>
  <c r="G12" i="22"/>
  <c r="G11" i="17"/>
  <c r="D11" i="17"/>
  <c r="F12" i="22"/>
  <c r="B13" i="22"/>
  <c r="E12" i="22"/>
  <c r="H12" i="22"/>
  <c r="F11" i="17"/>
  <c r="B12" i="17"/>
  <c r="E11" i="17"/>
  <c r="H11" i="17"/>
  <c r="D13" i="22"/>
  <c r="G13" i="22"/>
  <c r="D12" i="17"/>
  <c r="G12" i="17"/>
  <c r="H13" i="22"/>
  <c r="F13" i="22"/>
  <c r="E13" i="22"/>
  <c r="B14" i="22"/>
  <c r="B13" i="17"/>
  <c r="E12" i="17"/>
  <c r="H12" i="17"/>
  <c r="F12" i="17"/>
  <c r="D14" i="22"/>
  <c r="G14" i="22"/>
  <c r="G13" i="17"/>
  <c r="D13" i="17"/>
  <c r="F14" i="22"/>
  <c r="H14" i="22"/>
  <c r="B15" i="22"/>
  <c r="E14" i="22"/>
  <c r="F13" i="17"/>
  <c r="B14" i="17"/>
  <c r="E13" i="17"/>
  <c r="H13" i="17"/>
  <c r="D15" i="22"/>
  <c r="G15" i="22"/>
  <c r="D14" i="17"/>
  <c r="G14" i="17"/>
  <c r="H15" i="22"/>
  <c r="F15" i="22"/>
  <c r="B16" i="22"/>
  <c r="E15" i="22"/>
  <c r="B15" i="17"/>
  <c r="E14" i="17"/>
  <c r="H14" i="17"/>
  <c r="F14" i="17"/>
  <c r="D16" i="22"/>
  <c r="G16" i="22"/>
  <c r="G15" i="17"/>
  <c r="D15" i="17"/>
  <c r="F16" i="22"/>
  <c r="B17" i="22"/>
  <c r="E16" i="22"/>
  <c r="H16" i="22"/>
  <c r="F15" i="17"/>
  <c r="B16" i="17"/>
  <c r="E15" i="17"/>
  <c r="H15" i="17"/>
  <c r="D17" i="22"/>
  <c r="G17" i="22"/>
  <c r="D16" i="17"/>
  <c r="G16" i="17"/>
  <c r="H17" i="22"/>
  <c r="F17" i="22"/>
  <c r="B18" i="22"/>
  <c r="E17" i="22"/>
  <c r="B17" i="17"/>
  <c r="E16" i="17"/>
  <c r="H16" i="17"/>
  <c r="F16" i="17"/>
  <c r="D18" i="22"/>
  <c r="G18" i="22"/>
  <c r="G17" i="17"/>
  <c r="D17" i="17"/>
  <c r="F18" i="22"/>
  <c r="H18" i="22"/>
  <c r="B19" i="22"/>
  <c r="E18" i="22"/>
  <c r="F17" i="17"/>
  <c r="B18" i="17"/>
  <c r="E17" i="17"/>
  <c r="H17" i="17"/>
  <c r="D19" i="22"/>
  <c r="G19" i="22"/>
  <c r="D18" i="17"/>
  <c r="G18" i="17"/>
  <c r="H19" i="22"/>
  <c r="F19" i="22"/>
  <c r="B20" i="22"/>
  <c r="E19" i="22"/>
  <c r="B19" i="17"/>
  <c r="E18" i="17"/>
  <c r="H18" i="17"/>
  <c r="F18" i="17"/>
  <c r="D20" i="22"/>
  <c r="G20" i="22"/>
  <c r="G19" i="17"/>
  <c r="D19" i="17"/>
  <c r="F20" i="22"/>
  <c r="B21" i="22"/>
  <c r="E20" i="22"/>
  <c r="H20" i="22"/>
  <c r="F19" i="17"/>
  <c r="B20" i="17"/>
  <c r="E19" i="17"/>
  <c r="H19" i="17"/>
  <c r="D21" i="22"/>
  <c r="G21" i="22"/>
  <c r="D20" i="17"/>
  <c r="G20" i="17"/>
  <c r="H21" i="22"/>
  <c r="F21" i="22"/>
  <c r="B22" i="22"/>
  <c r="E21" i="22"/>
  <c r="B21" i="17"/>
  <c r="E20" i="17"/>
  <c r="H20" i="17"/>
  <c r="F20" i="17"/>
  <c r="D22" i="22"/>
  <c r="G22" i="22"/>
  <c r="G21" i="17"/>
  <c r="D21" i="17"/>
  <c r="F22" i="22"/>
  <c r="H22" i="22"/>
  <c r="B23" i="22"/>
  <c r="E22" i="22"/>
  <c r="F21" i="17"/>
  <c r="B22" i="17"/>
  <c r="E21" i="17"/>
  <c r="H21" i="17"/>
  <c r="D23" i="22"/>
  <c r="G23" i="22"/>
  <c r="D22" i="17"/>
  <c r="G22" i="17"/>
  <c r="H23" i="22"/>
  <c r="F23" i="22"/>
  <c r="B24" i="22"/>
  <c r="E23" i="22"/>
  <c r="B23" i="17"/>
  <c r="E22" i="17"/>
  <c r="H22" i="17"/>
  <c r="F22" i="17"/>
  <c r="D24" i="22"/>
  <c r="G24" i="22"/>
  <c r="G23" i="17"/>
  <c r="D23" i="17"/>
  <c r="F24" i="22"/>
  <c r="B25" i="22"/>
  <c r="E24" i="22"/>
  <c r="H24" i="22"/>
  <c r="F23" i="17"/>
  <c r="B24" i="17"/>
  <c r="E23" i="17"/>
  <c r="H23" i="17"/>
  <c r="D25" i="22"/>
  <c r="G25" i="22"/>
  <c r="D24" i="17"/>
  <c r="G24" i="17"/>
  <c r="H25" i="22"/>
  <c r="F25" i="22"/>
  <c r="B26" i="22"/>
  <c r="E25" i="22"/>
  <c r="B25" i="17"/>
  <c r="E24" i="17"/>
  <c r="H24" i="17"/>
  <c r="F24" i="17"/>
  <c r="D26" i="22"/>
  <c r="G26" i="22"/>
  <c r="G25" i="17"/>
  <c r="D25" i="17"/>
  <c r="F26" i="22"/>
  <c r="H26" i="22"/>
  <c r="B27" i="22"/>
  <c r="E26" i="22"/>
  <c r="F25" i="17"/>
  <c r="B26" i="17"/>
  <c r="E25" i="17"/>
  <c r="H25" i="17"/>
  <c r="D27" i="22"/>
  <c r="G27" i="22"/>
  <c r="D26" i="17"/>
  <c r="G26" i="17"/>
  <c r="H27" i="22"/>
  <c r="F27" i="22"/>
  <c r="B28" i="22"/>
  <c r="E27" i="22"/>
  <c r="B27" i="17"/>
  <c r="E26" i="17"/>
  <c r="H26" i="17"/>
  <c r="F26" i="17"/>
  <c r="D28" i="22"/>
  <c r="G28" i="22"/>
  <c r="G27" i="17"/>
  <c r="D27" i="17"/>
  <c r="F28" i="22"/>
  <c r="H28" i="22"/>
  <c r="B29" i="22"/>
  <c r="E28" i="22"/>
  <c r="F27" i="17"/>
  <c r="B28" i="17"/>
  <c r="E27" i="17"/>
  <c r="H27" i="17"/>
  <c r="D29" i="22"/>
  <c r="G29" i="22"/>
  <c r="D28" i="17"/>
  <c r="G28" i="17"/>
  <c r="H29" i="22"/>
  <c r="F29" i="22"/>
  <c r="E29" i="22"/>
  <c r="B29" i="17"/>
  <c r="E28" i="17"/>
  <c r="H28" i="17"/>
  <c r="F28" i="17"/>
  <c r="G29" i="17"/>
  <c r="D29" i="17"/>
  <c r="F29" i="17"/>
  <c r="E29" i="17"/>
  <c r="H29" i="17"/>
</calcChain>
</file>

<file path=xl/sharedStrings.xml><?xml version="1.0" encoding="utf-8"?>
<sst xmlns="http://schemas.openxmlformats.org/spreadsheetml/2006/main" count="1644" uniqueCount="988">
  <si>
    <t>TEMPORARY HELP NON-PERSI STUDENT/NON STUDENT</t>
  </si>
  <si>
    <t>IHFOAP</t>
  </si>
  <si>
    <t>IHFRSP</t>
  </si>
  <si>
    <t>IHFRDP</t>
  </si>
  <si>
    <t>IHFAAP</t>
  </si>
  <si>
    <t>IHAAPP</t>
  </si>
  <si>
    <t>IHCNPS</t>
  </si>
  <si>
    <t>COMMON TO TEMPORARY HELP NON-PERSI STUDENT/NON STUDENT</t>
  </si>
  <si>
    <t>IHCPAY</t>
  </si>
  <si>
    <t>IHLDST</t>
  </si>
  <si>
    <t>IHMISC</t>
  </si>
  <si>
    <t>IHTRMJ</t>
  </si>
  <si>
    <t>TEMPORARY HELP PERSI ELIGIBLE</t>
  </si>
  <si>
    <t>IPFOAP</t>
  </si>
  <si>
    <t>T1 PERSI Original Appointment</t>
  </si>
  <si>
    <t>IPFRSP</t>
  </si>
  <si>
    <t>IPFRDP</t>
  </si>
  <si>
    <t>IPFAAP</t>
  </si>
  <si>
    <t>IPAAPP</t>
  </si>
  <si>
    <t>IPCNPS</t>
  </si>
  <si>
    <t>COMMON TO TEMPORARY HELP PERSI ELIGIBLE</t>
  </si>
  <si>
    <t>IPCPAY</t>
  </si>
  <si>
    <t>T1 PERSI Change of Pay</t>
  </si>
  <si>
    <t>IPLDST</t>
  </si>
  <si>
    <t>IPMISC</t>
  </si>
  <si>
    <t>IPTRMJ</t>
  </si>
  <si>
    <t>T1 PERSI Termination of Job</t>
  </si>
  <si>
    <t>WORK STUDY</t>
  </si>
  <si>
    <t>WSOAPT</t>
  </si>
  <si>
    <t>WSRESP</t>
  </si>
  <si>
    <t>WSAANP</t>
  </si>
  <si>
    <t>WSAAPP</t>
  </si>
  <si>
    <t>WSTRMJ</t>
  </si>
  <si>
    <t>Work Study Termination of Job</t>
  </si>
  <si>
    <t>WSCPAY</t>
  </si>
  <si>
    <t>Work Study Change of Pay</t>
  </si>
  <si>
    <t>Approval Categories - Temporary Help</t>
  </si>
  <si>
    <t>T1 PERSI Labor Distribution Change</t>
  </si>
  <si>
    <t>T1 PERSI Miscellaneous Change</t>
  </si>
  <si>
    <t>PCN#</t>
  </si>
  <si>
    <t>Suffix</t>
  </si>
  <si>
    <t>Employee Class</t>
  </si>
  <si>
    <t>Title</t>
  </si>
  <si>
    <t>Account Code</t>
  </si>
  <si>
    <t>**9900</t>
  </si>
  <si>
    <t>XX9600</t>
  </si>
  <si>
    <t>XX9800</t>
  </si>
  <si>
    <t>XX9840</t>
  </si>
  <si>
    <t>XX9860</t>
  </si>
  <si>
    <t>T1</t>
  </si>
  <si>
    <t>TH-Clerical/Tutors</t>
  </si>
  <si>
    <t>E4110</t>
  </si>
  <si>
    <t>**9901</t>
  </si>
  <si>
    <t>XX9601</t>
  </si>
  <si>
    <t>XX9801</t>
  </si>
  <si>
    <t>XX9841</t>
  </si>
  <si>
    <t>XX9861</t>
  </si>
  <si>
    <t>TH-Instructor/Coach</t>
  </si>
  <si>
    <t>**9902</t>
  </si>
  <si>
    <t>XX9602</t>
  </si>
  <si>
    <t>XX9802</t>
  </si>
  <si>
    <t>XX9842</t>
  </si>
  <si>
    <t>XX9862</t>
  </si>
  <si>
    <t>TH-Laborer</t>
  </si>
  <si>
    <t>**9903</t>
  </si>
  <si>
    <t>XX9603</t>
  </si>
  <si>
    <t>XX9803</t>
  </si>
  <si>
    <t>XX9843</t>
  </si>
  <si>
    <t>XX9863</t>
  </si>
  <si>
    <t>TH-Childcare Provider</t>
  </si>
  <si>
    <t>**9904</t>
  </si>
  <si>
    <t>XX9604</t>
  </si>
  <si>
    <t>XX9804</t>
  </si>
  <si>
    <t>XX9844</t>
  </si>
  <si>
    <t>XX9864</t>
  </si>
  <si>
    <t>TH-Logging</t>
  </si>
  <si>
    <t>**9905</t>
  </si>
  <si>
    <t>XX9605</t>
  </si>
  <si>
    <t>XX9805</t>
  </si>
  <si>
    <t>XX9845</t>
  </si>
  <si>
    <t>XX9865</t>
  </si>
  <si>
    <t>TH-Dairy</t>
  </si>
  <si>
    <t>**9906</t>
  </si>
  <si>
    <t>XX9606</t>
  </si>
  <si>
    <t>XX9806</t>
  </si>
  <si>
    <t>XX9846</t>
  </si>
  <si>
    <t>XX9866</t>
  </si>
  <si>
    <t>TH-Farming</t>
  </si>
  <si>
    <t>**9907</t>
  </si>
  <si>
    <t>XX9607</t>
  </si>
  <si>
    <t>XX9807</t>
  </si>
  <si>
    <t>XX9847</t>
  </si>
  <si>
    <t>XX9867</t>
  </si>
  <si>
    <t>TH-Cattle/Sheep</t>
  </si>
  <si>
    <t>**9908</t>
  </si>
  <si>
    <t>XX9608</t>
  </si>
  <si>
    <t>XX9808</t>
  </si>
  <si>
    <t>XX9848</t>
  </si>
  <si>
    <t>XX9868</t>
  </si>
  <si>
    <t>TH-Drivers</t>
  </si>
  <si>
    <t>**9909</t>
  </si>
  <si>
    <t>XX9609</t>
  </si>
  <si>
    <t>XX9809</t>
  </si>
  <si>
    <t>XX9849</t>
  </si>
  <si>
    <t>XX9869</t>
  </si>
  <si>
    <t>TH-Research-Lab</t>
  </si>
  <si>
    <t>**9910</t>
  </si>
  <si>
    <t>XX9610</t>
  </si>
  <si>
    <t>XX9810</t>
  </si>
  <si>
    <t>XX9850</t>
  </si>
  <si>
    <t>XX9870</t>
  </si>
  <si>
    <t>TH-Research-Non-Lab</t>
  </si>
  <si>
    <t xml:space="preserve">** Replace with the first 2 letters of department budget. </t>
  </si>
  <si>
    <t>05</t>
  </si>
  <si>
    <t>**9950</t>
  </si>
  <si>
    <t>06, 16, 26…</t>
  </si>
  <si>
    <t>ST</t>
  </si>
  <si>
    <t>E4135</t>
  </si>
  <si>
    <t>**9951</t>
  </si>
  <si>
    <t>**9952</t>
  </si>
  <si>
    <t>**9953</t>
  </si>
  <si>
    <t>**9954</t>
  </si>
  <si>
    <t>**9955</t>
  </si>
  <si>
    <t>**9956</t>
  </si>
  <si>
    <t>**9957</t>
  </si>
  <si>
    <t>**9958</t>
  </si>
  <si>
    <t>**9959</t>
  </si>
  <si>
    <t>**9960</t>
  </si>
  <si>
    <t>05, 15, 25…</t>
  </si>
  <si>
    <t>T4</t>
  </si>
  <si>
    <t>05, 15, 25..</t>
  </si>
  <si>
    <t>Financial Aid assigns</t>
  </si>
  <si>
    <t>SF (Federal)</t>
  </si>
  <si>
    <t>SI (State)</t>
  </si>
  <si>
    <t>009020</t>
  </si>
  <si>
    <t>009021</t>
  </si>
  <si>
    <t>XX9715</t>
  </si>
  <si>
    <t>XX9716</t>
  </si>
  <si>
    <t>WSREDP</t>
  </si>
  <si>
    <t>Work Study Original Appointment</t>
  </si>
  <si>
    <t xml:space="preserve">UNIT PAY </t>
  </si>
  <si>
    <t>IHUPOA</t>
  </si>
  <si>
    <t>Unit Pay Original Appointment</t>
  </si>
  <si>
    <t>IHUPAN</t>
  </si>
  <si>
    <t>IHUPAP</t>
  </si>
  <si>
    <t>IHUPRN</t>
  </si>
  <si>
    <t>IHUPRP</t>
  </si>
  <si>
    <t>Approval Categories - Board Appointed</t>
  </si>
  <si>
    <t>COMMON TO FACULTY, EXEMPT OR CLASSIFIED EMPLOYEES</t>
  </si>
  <si>
    <t>GTMJOB</t>
  </si>
  <si>
    <t>Common Termination of Job</t>
  </si>
  <si>
    <t>GTRMRT</t>
  </si>
  <si>
    <t>Common Termination-Retirement</t>
  </si>
  <si>
    <t>GLBDST</t>
  </si>
  <si>
    <t>Common Labor Distribution Change</t>
  </si>
  <si>
    <t>GOADCP</t>
  </si>
  <si>
    <t>Common Additional Compensation - Original</t>
  </si>
  <si>
    <t>GRADCP</t>
  </si>
  <si>
    <t>Common Additional Compensation Repeat</t>
  </si>
  <si>
    <t>GLVWOA</t>
  </si>
  <si>
    <t>Common Leave w/o Accrual; Spread Pay</t>
  </si>
  <si>
    <t>GLVWOP</t>
  </si>
  <si>
    <t>Common Leave without Pay with Benefits</t>
  </si>
  <si>
    <t>GLWOPB</t>
  </si>
  <si>
    <t>Common Leave without Pay without Benefits</t>
  </si>
  <si>
    <t>GLWPAY</t>
  </si>
  <si>
    <t>Common Leave with Pay and Benefits</t>
  </si>
  <si>
    <t>GALPAY</t>
  </si>
  <si>
    <t>Common Administrative Leave With Pay</t>
  </si>
  <si>
    <t>GRFMLV</t>
  </si>
  <si>
    <t>Common Return from Leave w/o Pay</t>
  </si>
  <si>
    <t>NCHTTL</t>
  </si>
  <si>
    <t>Common Change of Title</t>
  </si>
  <si>
    <t>NCHAPT</t>
  </si>
  <si>
    <t>Common Change of Appointment Status</t>
  </si>
  <si>
    <t>NMSCCH</t>
  </si>
  <si>
    <t>NRECLS</t>
  </si>
  <si>
    <t>COMMON TO CLASSIFIED EMPLOYEES</t>
  </si>
  <si>
    <t>CLMISC</t>
  </si>
  <si>
    <t>Classified Miscellaneous Change</t>
  </si>
  <si>
    <t>CCHGPY</t>
  </si>
  <si>
    <t>Classified Change of Pay</t>
  </si>
  <si>
    <t>CRECLS</t>
  </si>
  <si>
    <t>Classified Reclassification</t>
  </si>
  <si>
    <t>COMMON TO ALL EMPLOYEES</t>
  </si>
  <si>
    <t>GSHCHG</t>
  </si>
  <si>
    <t>Common Shift Change</t>
  </si>
  <si>
    <t>GTSORG</t>
  </si>
  <si>
    <t>Common Change of Time Sheet Org</t>
  </si>
  <si>
    <t>AFFILIATE MEMBERS</t>
  </si>
  <si>
    <t>MFOAPT</t>
  </si>
  <si>
    <t>Affiliate Member Appointment</t>
  </si>
  <si>
    <t>MFOSUP</t>
  </si>
  <si>
    <t>Affiliate Member Appointment – Supervisory Role</t>
  </si>
  <si>
    <t>MFTERM</t>
  </si>
  <si>
    <t>MFTRMS</t>
  </si>
  <si>
    <t>CPPOAT</t>
  </si>
  <si>
    <t>Classified Permanent Original Appointment</t>
  </si>
  <si>
    <t>CPPAAT</t>
  </si>
  <si>
    <t>Classified Permanent Additional Appointment</t>
  </si>
  <si>
    <t>CPPRDT</t>
  </si>
  <si>
    <t>CPPRST</t>
  </si>
  <si>
    <t>CPPCPT</t>
  </si>
  <si>
    <t>CPPPRT</t>
  </si>
  <si>
    <t>CTPOAP</t>
  </si>
  <si>
    <t>Classified Temporary, Original Appointment</t>
  </si>
  <si>
    <t>CTPAAP</t>
  </si>
  <si>
    <t>CTPRDP</t>
  </si>
  <si>
    <t>CTPRSP</t>
  </si>
  <si>
    <t>CTPCPN</t>
  </si>
  <si>
    <t>CTPPRM</t>
  </si>
  <si>
    <t>EPPOAT</t>
  </si>
  <si>
    <t>Exempt Permanent Original Appointment</t>
  </si>
  <si>
    <t>EPPAAP</t>
  </si>
  <si>
    <t>EPPAAT</t>
  </si>
  <si>
    <t>EPPRST</t>
  </si>
  <si>
    <t>EPPRDT</t>
  </si>
  <si>
    <t>EPPCPT</t>
  </si>
  <si>
    <t>EPPCPP</t>
  </si>
  <si>
    <t>EPPPRT</t>
  </si>
  <si>
    <t xml:space="preserve">       </t>
  </si>
  <si>
    <t>ETPOAP</t>
  </si>
  <si>
    <t>Exempt Temporary Original Appointment</t>
  </si>
  <si>
    <t>ETPAAP</t>
  </si>
  <si>
    <t>ETPRDP</t>
  </si>
  <si>
    <t>ETPRSP</t>
  </si>
  <si>
    <t>ETPCPN</t>
  </si>
  <si>
    <t>ETPPRM</t>
  </si>
  <si>
    <t>FPPOAT</t>
  </si>
  <si>
    <t>Faculty Permanent Original Appointment</t>
  </si>
  <si>
    <t>FPPAAT</t>
  </si>
  <si>
    <t>Faculty Permanent Additional Appointment</t>
  </si>
  <si>
    <t>FPPRST</t>
  </si>
  <si>
    <t>FPPRDT</t>
  </si>
  <si>
    <t>FPPCPT</t>
  </si>
  <si>
    <t>FPPPRT</t>
  </si>
  <si>
    <t>FTPOAP</t>
  </si>
  <si>
    <t>Faculty Temporary Original Appointment</t>
  </si>
  <si>
    <t>FTPAAP</t>
  </si>
  <si>
    <t>FTPAPP</t>
  </si>
  <si>
    <t>FTPRSP</t>
  </si>
  <si>
    <t>FTPRDP</t>
  </si>
  <si>
    <t>FTPCPN</t>
  </si>
  <si>
    <t>FTPPRM</t>
  </si>
  <si>
    <t>COMMON TO FACULTY</t>
  </si>
  <si>
    <t>NSAB1Y</t>
  </si>
  <si>
    <t>Faculty Sabbatical-One Year</t>
  </si>
  <si>
    <t>NSABHY</t>
  </si>
  <si>
    <t>Faculty Sabbatical-Semester</t>
  </si>
  <si>
    <t>NSRT1Y</t>
  </si>
  <si>
    <t>Return from Sabbatical</t>
  </si>
  <si>
    <t>TPOAPT</t>
  </si>
  <si>
    <t>Graduate Assistant Original Appointment</t>
  </si>
  <si>
    <t>TPAAPP</t>
  </si>
  <si>
    <t>TPAAPT</t>
  </si>
  <si>
    <t>TPREDP</t>
  </si>
  <si>
    <t>TPRESP</t>
  </si>
  <si>
    <t>TPCASP</t>
  </si>
  <si>
    <t>TPCPOS</t>
  </si>
  <si>
    <t>TPCPPS</t>
  </si>
  <si>
    <t>COMMON TO ONLY GRADUATE ASSISTANTS</t>
  </si>
  <si>
    <t>TCHGPY</t>
  </si>
  <si>
    <t>Graduate Assistant Change of Pay</t>
  </si>
  <si>
    <t>TLBDST</t>
  </si>
  <si>
    <t>Graduate Assistant Labor Distribution Change</t>
  </si>
  <si>
    <t>TRECLS</t>
  </si>
  <si>
    <t>Graduate Assistant Job Change (Title,Pay,FTE,Budget)</t>
  </si>
  <si>
    <t xml:space="preserve">NCHPAY             </t>
  </si>
  <si>
    <t>Classified Reappointment New PCN or Suffix</t>
  </si>
  <si>
    <t>Classified Permanent Reappointment Previous PCN and Suffix</t>
  </si>
  <si>
    <t>N/A</t>
  </si>
  <si>
    <t>Yes</t>
  </si>
  <si>
    <t>F1</t>
  </si>
  <si>
    <t>RFY</t>
  </si>
  <si>
    <t>F2</t>
  </si>
  <si>
    <t>F3</t>
  </si>
  <si>
    <t>F4</t>
  </si>
  <si>
    <t>F6</t>
  </si>
  <si>
    <t>RAY</t>
  </si>
  <si>
    <t>F7</t>
  </si>
  <si>
    <t>F8</t>
  </si>
  <si>
    <t>F9</t>
  </si>
  <si>
    <t>GA</t>
  </si>
  <si>
    <t>Graduate students with paid assistantships within their major area of study (research/teaching assistants)</t>
  </si>
  <si>
    <t>RGA</t>
  </si>
  <si>
    <t>P1</t>
  </si>
  <si>
    <t>REX</t>
  </si>
  <si>
    <t>P2</t>
  </si>
  <si>
    <t>P3</t>
  </si>
  <si>
    <t>P4</t>
  </si>
  <si>
    <t>C1</t>
  </si>
  <si>
    <t>C2</t>
  </si>
  <si>
    <t>C3</t>
  </si>
  <si>
    <t>E1</t>
  </si>
  <si>
    <t>E2</t>
  </si>
  <si>
    <t>E3</t>
  </si>
  <si>
    <t>E4</t>
  </si>
  <si>
    <t>R1</t>
  </si>
  <si>
    <t>AC</t>
  </si>
  <si>
    <t>ADC</t>
  </si>
  <si>
    <t>SS</t>
  </si>
  <si>
    <t>RSP</t>
  </si>
  <si>
    <t>T5</t>
  </si>
  <si>
    <t>Unit Pay</t>
  </si>
  <si>
    <t>E4110 / E4135</t>
  </si>
  <si>
    <t>Default Earnings</t>
  </si>
  <si>
    <t>009005</t>
  </si>
  <si>
    <t>01, 11…</t>
  </si>
  <si>
    <t>Cell Phone</t>
  </si>
  <si>
    <t>Car</t>
  </si>
  <si>
    <t>CEL</t>
  </si>
  <si>
    <t>VEH</t>
  </si>
  <si>
    <t>ZZZ555</t>
  </si>
  <si>
    <t>Affiliate Position</t>
  </si>
  <si>
    <t>Term Affiliate Member - Supervisory Role</t>
  </si>
  <si>
    <t>Term Affiliate Member - Non-Supervisory Role</t>
  </si>
  <si>
    <t>E4112</t>
  </si>
  <si>
    <t>Job Change Reason Codes</t>
  </si>
  <si>
    <t>AFFIL</t>
  </si>
  <si>
    <t>Affiliate Member</t>
  </si>
  <si>
    <t>CAAPT</t>
  </si>
  <si>
    <t>Additional Appoint Begin</t>
  </si>
  <si>
    <t>CELIG</t>
  </si>
  <si>
    <t>Eligibility Status Change</t>
  </si>
  <si>
    <t>CFUR</t>
  </si>
  <si>
    <t>Furlough</t>
  </si>
  <si>
    <t>CHGJO</t>
  </si>
  <si>
    <t>Change to New Position</t>
  </si>
  <si>
    <t>CJOCH</t>
  </si>
  <si>
    <t>Job Change Requirements</t>
  </si>
  <si>
    <t>CNEFY</t>
  </si>
  <si>
    <t>New Fiscal Year Appt.</t>
  </si>
  <si>
    <t>CORIG</t>
  </si>
  <si>
    <t>Original Appointment</t>
  </si>
  <si>
    <t>CPA27</t>
  </si>
  <si>
    <t>27th Payroll Changes</t>
  </si>
  <si>
    <t>CPACH</t>
  </si>
  <si>
    <t>Permanent Pay Change-increase</t>
  </si>
  <si>
    <t>CPADC</t>
  </si>
  <si>
    <t>Permanent Pay Change-decrease</t>
  </si>
  <si>
    <t>CPATM</t>
  </si>
  <si>
    <t>Temporary Pay Change</t>
  </si>
  <si>
    <t>CPROM</t>
  </si>
  <si>
    <t>Promotion to New PCN</t>
  </si>
  <si>
    <t>CREAP</t>
  </si>
  <si>
    <t>Reappointment</t>
  </si>
  <si>
    <t>CRECL</t>
  </si>
  <si>
    <t>Reclassification</t>
  </si>
  <si>
    <t>CSHCH</t>
  </si>
  <si>
    <t>Shift Change</t>
  </si>
  <si>
    <t>CSTIP</t>
  </si>
  <si>
    <t>Stipend Reimbursment</t>
  </si>
  <si>
    <t>CSUM</t>
  </si>
  <si>
    <t>Summer Session</t>
  </si>
  <si>
    <t>CTSOR</t>
  </si>
  <si>
    <t>Change Time Sheet Orgn</t>
  </si>
  <si>
    <t>CWSAP</t>
  </si>
  <si>
    <t>Work Study Appointment</t>
  </si>
  <si>
    <t>FACPM</t>
  </si>
  <si>
    <t>Faculty Promotion</t>
  </si>
  <si>
    <t>HRENG</t>
  </si>
  <si>
    <t>Banner HR Re-engineering</t>
  </si>
  <si>
    <t>LADMI</t>
  </si>
  <si>
    <t>Administrative Leave</t>
  </si>
  <si>
    <t>LEAVE</t>
  </si>
  <si>
    <t>Begin Leave</t>
  </si>
  <si>
    <t>LERET</t>
  </si>
  <si>
    <t>Return from Leave</t>
  </si>
  <si>
    <t>LSPAY</t>
  </si>
  <si>
    <t>Spread Pay Leave</t>
  </si>
  <si>
    <t>LTERM</t>
  </si>
  <si>
    <t>Terminal Leave</t>
  </si>
  <si>
    <t>RDISA</t>
  </si>
  <si>
    <t>Disability/Medical Retirement</t>
  </si>
  <si>
    <t>REARL</t>
  </si>
  <si>
    <t>Early Retirement</t>
  </si>
  <si>
    <t>REMER</t>
  </si>
  <si>
    <t>Emeritus Retirement</t>
  </si>
  <si>
    <t>RETSL</t>
  </si>
  <si>
    <t>Retiring-Using Sick Leave</t>
  </si>
  <si>
    <t>RHOEM</t>
  </si>
  <si>
    <t>Honored/Emeritus Retiree</t>
  </si>
  <si>
    <t>RHONO</t>
  </si>
  <si>
    <t>Honored Staff Retirement</t>
  </si>
  <si>
    <t>RNOH</t>
  </si>
  <si>
    <t>Non-Honored/Non-Emeritus Retr</t>
  </si>
  <si>
    <t>ROTHE</t>
  </si>
  <si>
    <t>Retirement - Other</t>
  </si>
  <si>
    <t>RPRP</t>
  </si>
  <si>
    <t>Phased Retirement Plan</t>
  </si>
  <si>
    <t>SABB</t>
  </si>
  <si>
    <t>One Semester Sabbatical</t>
  </si>
  <si>
    <t>SABHT</t>
  </si>
  <si>
    <t>Academic Year Sabbatical</t>
  </si>
  <si>
    <t>SABRT</t>
  </si>
  <si>
    <t>TAPEX</t>
  </si>
  <si>
    <t>Lack of Funding/Appt. Expires</t>
  </si>
  <si>
    <t>TATSC</t>
  </si>
  <si>
    <t>Attend School</t>
  </si>
  <si>
    <t>TBETS</t>
  </si>
  <si>
    <t>Better Salary</t>
  </si>
  <si>
    <t>TCARE</t>
  </si>
  <si>
    <t>Career Opportunity</t>
  </si>
  <si>
    <t>TDECE</t>
  </si>
  <si>
    <t>Deceased</t>
  </si>
  <si>
    <t>TDISM</t>
  </si>
  <si>
    <t>Dismissal</t>
  </si>
  <si>
    <t>TEDU</t>
  </si>
  <si>
    <t>Other Educational Institution</t>
  </si>
  <si>
    <t>THEAL</t>
  </si>
  <si>
    <t>Health</t>
  </si>
  <si>
    <t>TIHBA</t>
  </si>
  <si>
    <t>IH to Board Appointed</t>
  </si>
  <si>
    <t>TJOCO</t>
  </si>
  <si>
    <t>Job Completed</t>
  </si>
  <si>
    <t>TLAYO</t>
  </si>
  <si>
    <t>Layoff - Classified Positions</t>
  </si>
  <si>
    <t>TMIL</t>
  </si>
  <si>
    <t>Military</t>
  </si>
  <si>
    <t>TNORE</t>
  </si>
  <si>
    <t>Contract Non Renewal</t>
  </si>
  <si>
    <t>TOUT</t>
  </si>
  <si>
    <t>Moving Out of Area</t>
  </si>
  <si>
    <t>TPERS</t>
  </si>
  <si>
    <t>Personal</t>
  </si>
  <si>
    <t>TPROB</t>
  </si>
  <si>
    <t>Failed Probation Period</t>
  </si>
  <si>
    <t>TSEME</t>
  </si>
  <si>
    <t>Semester Ended</t>
  </si>
  <si>
    <t>TSTIP</t>
  </si>
  <si>
    <t>Stipend Expiration</t>
  </si>
  <si>
    <t>TWCON</t>
  </si>
  <si>
    <t>Working Conditions</t>
  </si>
  <si>
    <t>TWSU</t>
  </si>
  <si>
    <t>Resign - WSU</t>
  </si>
  <si>
    <t>S</t>
  </si>
  <si>
    <t>M</t>
  </si>
  <si>
    <t>T</t>
  </si>
  <si>
    <t>W</t>
  </si>
  <si>
    <t>TH</t>
  </si>
  <si>
    <t>F</t>
  </si>
  <si>
    <t>FY13</t>
  </si>
  <si>
    <t>JUL</t>
  </si>
  <si>
    <t xml:space="preserve"> </t>
  </si>
  <si>
    <t>AUG</t>
  </si>
  <si>
    <t>SEP</t>
  </si>
  <si>
    <t>OCT</t>
  </si>
  <si>
    <t>NOV</t>
  </si>
  <si>
    <t>DEC</t>
  </si>
  <si>
    <t>JAN</t>
  </si>
  <si>
    <t>FEB</t>
  </si>
  <si>
    <t>MAR</t>
  </si>
  <si>
    <t>APR</t>
  </si>
  <si>
    <t>MAY</t>
  </si>
  <si>
    <t>JUN</t>
  </si>
  <si>
    <t xml:space="preserve"> = Holiday/University of Idaho closed</t>
  </si>
  <si>
    <t xml:space="preserve"> = Use Annual Leave or Comp Time/UI closed to Public</t>
  </si>
  <si>
    <t xml:space="preserve"> = Academic Year</t>
  </si>
  <si>
    <t>Effective Dates</t>
  </si>
  <si>
    <t>-</t>
  </si>
  <si>
    <t xml:space="preserve">FISCAL YEAR </t>
  </si>
  <si>
    <t>26 Pays/Factors</t>
  </si>
  <si>
    <t>ACADEMIC YEAR-PAID OVER 12 MONTHS</t>
  </si>
  <si>
    <t>26 Pays, 20 Factors</t>
  </si>
  <si>
    <r>
      <t xml:space="preserve">    </t>
    </r>
    <r>
      <rPr>
        <b/>
        <sz val="12"/>
        <color theme="1"/>
        <rFont val="Times New Roman"/>
        <family val="1"/>
      </rPr>
      <t>ACADEMIC YEAR - NO PAY SPREAD</t>
    </r>
  </si>
  <si>
    <t>19.5 Pays/Factors</t>
  </si>
  <si>
    <t>ACADEMIC SEMESTERS - NO PAY SPREAD</t>
  </si>
  <si>
    <t>FALL SEMESTER</t>
  </si>
  <si>
    <t>SPRING SEMESTER</t>
  </si>
  <si>
    <t>SUMMER SESSION - NO PAY SPREAD</t>
  </si>
  <si>
    <t>Start Over</t>
  </si>
  <si>
    <t>RCL</t>
  </si>
  <si>
    <t>Sunday</t>
  </si>
  <si>
    <t>Monday</t>
  </si>
  <si>
    <t>Tuesday</t>
  </si>
  <si>
    <t>Wednesday</t>
  </si>
  <si>
    <t>Thursday</t>
  </si>
  <si>
    <t>Friday</t>
  </si>
  <si>
    <t>Saturday</t>
  </si>
  <si>
    <t>TTMJOB</t>
  </si>
  <si>
    <t>Graduate Assistant Termination of Job</t>
  </si>
  <si>
    <t>RAY / RFY</t>
  </si>
  <si>
    <t>E4113</t>
  </si>
  <si>
    <t>Change of Time Sheet Org (For all Employee Classes)</t>
  </si>
  <si>
    <t>Temporary Help PERSI Eligible Appointment -T1 Positions</t>
  </si>
  <si>
    <t>Temporary Help Non-Student Appointment - T4 Positions</t>
  </si>
  <si>
    <t>Temporary Help Student Appointment - ST Positions</t>
  </si>
  <si>
    <t>Work Study Appointments</t>
  </si>
  <si>
    <t>Unit Pay - T5</t>
  </si>
  <si>
    <t>Non Salary Reimbursement Stipend - CM</t>
  </si>
  <si>
    <t>Category</t>
  </si>
  <si>
    <t>Description</t>
  </si>
  <si>
    <t>Earn Code</t>
  </si>
  <si>
    <t>LWA</t>
  </si>
  <si>
    <t>LWB</t>
  </si>
  <si>
    <t>LWO</t>
  </si>
  <si>
    <t>LWP</t>
  </si>
  <si>
    <t>ADL</t>
  </si>
  <si>
    <t>Faculty Positions</t>
  </si>
  <si>
    <t>FC</t>
  </si>
  <si>
    <t>Faculty Federal – FERS (Retirement System)</t>
  </si>
  <si>
    <t>FF</t>
  </si>
  <si>
    <t>Faculty Federal – CSRS (Retirement System)</t>
  </si>
  <si>
    <t>CM</t>
  </si>
  <si>
    <t>Student and Temporary Help</t>
  </si>
  <si>
    <t>RTP</t>
  </si>
  <si>
    <t>RTH</t>
  </si>
  <si>
    <t>SF</t>
  </si>
  <si>
    <t>Students Federal Work-study.  Financial Aid Determines between Federal &amp; State</t>
  </si>
  <si>
    <t>RFW</t>
  </si>
  <si>
    <t>SI</t>
  </si>
  <si>
    <t>Students State Work-study.  Financial Aid Determines between Federal &amp; State</t>
  </si>
  <si>
    <t>RSW</t>
  </si>
  <si>
    <t>LPT</t>
  </si>
  <si>
    <t>Beginning of Pay Period # 3</t>
  </si>
  <si>
    <t>End of Pay Period # 2</t>
  </si>
  <si>
    <t>End of Pay Period # 3</t>
  </si>
  <si>
    <t>Time-sheet Deadline - Pay Period # 2</t>
  </si>
  <si>
    <t>EPAF Deadline for Pay Period # 3</t>
  </si>
  <si>
    <t>EPAF Deadline for Pay Period # 2</t>
  </si>
  <si>
    <r>
      <rPr>
        <u/>
        <sz val="11"/>
        <color theme="1"/>
        <rFont val="Calibri"/>
        <family val="2"/>
        <scheme val="minor"/>
      </rPr>
      <t>EPAF Processing + EIS File</t>
    </r>
    <r>
      <rPr>
        <sz val="11"/>
        <color theme="1"/>
        <rFont val="Calibri"/>
        <family val="2"/>
        <scheme val="minor"/>
      </rPr>
      <t xml:space="preserve"> (Thursday Deadline)</t>
    </r>
  </si>
  <si>
    <t>EIS = Employee Information System (State of Idaho)</t>
  </si>
  <si>
    <t xml:space="preserve">We report each and every pay period to EIS.  </t>
  </si>
  <si>
    <t>TELIG</t>
  </si>
  <si>
    <t>WSMISC</t>
  </si>
  <si>
    <t>Work Study Miscellaneous Change</t>
  </si>
  <si>
    <t>TSEL</t>
  </si>
  <si>
    <t>Resign-Schweitzer Engineering</t>
  </si>
  <si>
    <t>Beginning of Pay Period # 2</t>
  </si>
  <si>
    <t>PAYDAY from Pay Period # 1</t>
  </si>
  <si>
    <t>PAYDAY from Pay Period # 2</t>
  </si>
  <si>
    <t>PCN’s</t>
  </si>
  <si>
    <t>Permanent Board Appointed Positions</t>
  </si>
  <si>
    <t>Typically under 9000</t>
  </si>
  <si>
    <t>Typically over 9000</t>
  </si>
  <si>
    <t>9020-Federal or 9021-State</t>
  </si>
  <si>
    <t>00</t>
  </si>
  <si>
    <t>01</t>
  </si>
  <si>
    <t>03</t>
  </si>
  <si>
    <r>
      <t xml:space="preserve">                                               </t>
    </r>
    <r>
      <rPr>
        <b/>
        <u/>
        <sz val="18"/>
        <color rgb="FF000000"/>
        <rFont val="Calibri"/>
        <family val="2"/>
        <scheme val="minor"/>
      </rPr>
      <t>Employee Class Descriptions</t>
    </r>
  </si>
  <si>
    <t>Benefits</t>
  </si>
  <si>
    <t>Faculty, 70-80 hours / bi-week for the fiscal year. Full time (87.5-100%)</t>
  </si>
  <si>
    <t>Faculty working 50-69.9 hours per bi-week for the fiscal year. 3/4-time (62.5-87.4%)</t>
  </si>
  <si>
    <t>Faculty working 40-49.9 hours per bi-week for the fiscal year. Half-time (50-62.4%)</t>
  </si>
  <si>
    <t>Faculty working less than 40 hours per bi-week for the fiscal year. (Less than 50%)</t>
  </si>
  <si>
    <t>No</t>
  </si>
  <si>
    <t>Faculty working 70-80 hours per bi-week for the academic year. Full time (87.5-100%)</t>
  </si>
  <si>
    <t>Faculty working 50-69.9 hours per bi-week for the academic year. 3/4-time (62.5 -87.4%)</t>
  </si>
  <si>
    <t>Faculty working 40-49.9 hours per bi-week for the academic year. Half-time (50-62.4%)</t>
  </si>
  <si>
    <t>Faculty working less than 40 hours per bi-week for the academic year.  (Less than 50%)</t>
  </si>
  <si>
    <t>Individuals hired to teach courses over the summer session. May be existing UI faculty</t>
  </si>
  <si>
    <t>Exempt Staff and Post-Doctoral</t>
  </si>
  <si>
    <t>Exempt, 70-80 hours per bi-week. Full time (87.5-100%)</t>
  </si>
  <si>
    <t>Exempt staff working 50-69.9 hours per bi-week. 3/4-time (62.5 -87.4%)</t>
  </si>
  <si>
    <t>Exempt staff working 40-49.9 hours per bi-week. Half-time (50-62.4%)</t>
  </si>
  <si>
    <t>Exempt staff working less than 40 hours per bi-week. (Less than 50%)</t>
  </si>
  <si>
    <t>Post-Doctoral Fellow, working 70-80 hours per bi-week. Full time (87.5-100%)</t>
  </si>
  <si>
    <t>Post-Doctoral Fellow, working 50-69.9 hours per bi-week. 3/4-time (62.5 -87.4%)</t>
  </si>
  <si>
    <t>Post-Doctoral Fellow, working 40-49.9 hours per bi-week. Half-time (50-62.4%)</t>
  </si>
  <si>
    <t>Post-Doctoral Fellow, working less than 40 hours per bi-week.  (Less than 50%)</t>
  </si>
  <si>
    <t>Classified Staff and Other</t>
  </si>
  <si>
    <t>Classified staff working 70-80 hours per bi-week. Full time (87.5-100%)</t>
  </si>
  <si>
    <t>Classified staff working 50-69.9 hours per bi-week. 3/4-time (62.5 -87.4%)</t>
  </si>
  <si>
    <t>Classified staff working 40-49.9 hours per bi-week. Half-time (50-62.4%)</t>
  </si>
  <si>
    <t>Employees who have retired from the University of Idaho</t>
  </si>
  <si>
    <t>Additional compensation-full time faculty and exempt employees.  Faculty teaching additional courses, Exempt Staff taking on additional duties, etc.  Addition to their primary responsibilities</t>
  </si>
  <si>
    <t>Car.  Vehicle stipend</t>
  </si>
  <si>
    <t>Temporary PERSI Eligible.  20 hours or more per week, 5 consecutive months or longer to be eligible</t>
  </si>
  <si>
    <t>Temporary Help, Non-Student.  Less than 20 hours per week or 20+ hours but not more than 5 months</t>
  </si>
  <si>
    <t>Student Help (Full Time), Non Work-Study</t>
  </si>
  <si>
    <t>Temporary Lump Sum / Unit Pay.  Positions that meet FLSA &amp; Dept. of Labor Requirements – Contact Student &amp; Temp Employment Specialist for approval and questions</t>
  </si>
  <si>
    <t>Earnings Code</t>
  </si>
  <si>
    <t>Suffix &amp; PCN Links</t>
  </si>
  <si>
    <t>E4105</t>
  </si>
  <si>
    <t>Board Appointed (temp or permanent) salaries</t>
  </si>
  <si>
    <t>Temporary Help and Additional Compensation</t>
  </si>
  <si>
    <t>Temporary Help Students and Work Study</t>
  </si>
  <si>
    <t>Account Code &amp; Description</t>
  </si>
  <si>
    <t>Temporary Help - PERSI Eligible Positions (T1)</t>
  </si>
  <si>
    <t>Temporary Help - Non-Student Appointments (T4)</t>
  </si>
  <si>
    <t>Student Appointments (ST)</t>
  </si>
  <si>
    <t>05, 15, 25, ...</t>
  </si>
  <si>
    <t>06, 16, 26, ...</t>
  </si>
  <si>
    <t>Work Study Appointments (identified on WS referral letter)</t>
  </si>
  <si>
    <t>Car Stipend</t>
  </si>
  <si>
    <t>Summer Session Appointments (SS)</t>
  </si>
  <si>
    <t>1st Job</t>
  </si>
  <si>
    <r>
      <t>2</t>
    </r>
    <r>
      <rPr>
        <vertAlign val="superscript"/>
        <sz val="11"/>
        <color rgb="FF000000"/>
        <rFont val="Calibri"/>
        <family val="2"/>
        <scheme val="minor"/>
      </rPr>
      <t>nd</t>
    </r>
    <r>
      <rPr>
        <sz val="11"/>
        <color rgb="FF000000"/>
        <rFont val="Calibri"/>
        <family val="2"/>
        <scheme val="minor"/>
      </rPr>
      <t xml:space="preserve"> Job</t>
    </r>
  </si>
  <si>
    <r>
      <t>3</t>
    </r>
    <r>
      <rPr>
        <vertAlign val="superscript"/>
        <sz val="11"/>
        <color rgb="FF000000"/>
        <rFont val="Calibri"/>
        <family val="2"/>
        <scheme val="minor"/>
      </rPr>
      <t>rd</t>
    </r>
    <r>
      <rPr>
        <sz val="11"/>
        <color rgb="FF000000"/>
        <rFont val="Calibri"/>
        <family val="2"/>
        <scheme val="minor"/>
      </rPr>
      <t xml:space="preserve"> Job</t>
    </r>
  </si>
  <si>
    <r>
      <t>4</t>
    </r>
    <r>
      <rPr>
        <vertAlign val="superscript"/>
        <sz val="11"/>
        <color rgb="FF000000"/>
        <rFont val="Calibri"/>
        <family val="2"/>
        <scheme val="minor"/>
      </rPr>
      <t>th</t>
    </r>
    <r>
      <rPr>
        <sz val="11"/>
        <color rgb="FF000000"/>
        <rFont val="Calibri"/>
        <family val="2"/>
        <scheme val="minor"/>
      </rPr>
      <t xml:space="preserve"> Job</t>
    </r>
  </si>
  <si>
    <r>
      <t>5</t>
    </r>
    <r>
      <rPr>
        <vertAlign val="superscript"/>
        <sz val="11"/>
        <color rgb="FF000000"/>
        <rFont val="Calibri"/>
        <family val="2"/>
        <scheme val="minor"/>
      </rPr>
      <t>th</t>
    </r>
    <r>
      <rPr>
        <sz val="11"/>
        <color rgb="FF000000"/>
        <rFont val="Calibri"/>
        <family val="2"/>
        <scheme val="minor"/>
      </rPr>
      <t xml:space="preserve"> Job</t>
    </r>
  </si>
  <si>
    <r>
      <t xml:space="preserve">Each additional job within the same Title should begin with the characters 'XX' </t>
    </r>
    <r>
      <rPr>
        <b/>
        <sz val="11"/>
        <color rgb="FF000000"/>
        <rFont val="Calibri"/>
        <family val="2"/>
        <scheme val="minor"/>
      </rPr>
      <t>not</t>
    </r>
    <r>
      <rPr>
        <sz val="11"/>
        <color rgb="FF000000"/>
        <rFont val="Calibri"/>
        <family val="2"/>
        <scheme val="minor"/>
      </rPr>
      <t xml:space="preserve"> the first 2 letters of the budget.</t>
    </r>
  </si>
  <si>
    <t>Same as ST / T4</t>
  </si>
  <si>
    <t>A1 (Faculty)</t>
  </si>
  <si>
    <t>A2 (Non Faculty)</t>
  </si>
  <si>
    <t>T1 PERSI Reappoint Previous PCN / Suffix</t>
  </si>
  <si>
    <t>T1 PERSI Reappoint New PCN / Suffix</t>
  </si>
  <si>
    <t>T1 PERSI Additional Appointment New  PCN / Suffix</t>
  </si>
  <si>
    <t>T1 PERSI Additional Appointment Previous PCN / Suffix</t>
  </si>
  <si>
    <t>T1 PERSI Change to New PERSI PCN / Suffix</t>
  </si>
  <si>
    <t>Work Study Reappointment New PCN / Suffix</t>
  </si>
  <si>
    <t>Work Study Reappointment Previous PCN / Suffix</t>
  </si>
  <si>
    <t>Work Study Additional Appointment New PCN / Suffix</t>
  </si>
  <si>
    <t>Work Study Additional Appointment Previous PCN / Suffix</t>
  </si>
  <si>
    <t>Unit Pay Additional Appointment New PCN / Suffix</t>
  </si>
  <si>
    <t>Unit Pay Additional Appointment Previous PCN / Suffix</t>
  </si>
  <si>
    <t>Unit Pay Reappointment New PCN / Suffix</t>
  </si>
  <si>
    <t>Unit Pay Reappointment Previous PCN / Suffix</t>
  </si>
  <si>
    <t>Classified Permanent Change to New PCN / Suffix</t>
  </si>
  <si>
    <t>Classified Promotion to New PCN / Suffix</t>
  </si>
  <si>
    <t>Classified Temporary, Additional Appt, New PCN / Suffix</t>
  </si>
  <si>
    <t>Classified Temporary, Reappointment, New PCN / Suffix</t>
  </si>
  <si>
    <t>Classified Temporary, Reappointment, Previous PCN / Suffix</t>
  </si>
  <si>
    <t>Classified Temporary, Change to New PCN / Suffix</t>
  </si>
  <si>
    <t>Classified Temporary Promotion to New PCN / Suffix</t>
  </si>
  <si>
    <t>Exempt Permanent Additional Appointment Prev PCN / Suffix</t>
  </si>
  <si>
    <t>Exempt Permanent Additional Appointment New PCN / Suffix</t>
  </si>
  <si>
    <t>Exempt Permanent Reappointment Previous PCN / Suffix</t>
  </si>
  <si>
    <t>Exempt Permanent Reappointment New PCN / Suffix</t>
  </si>
  <si>
    <t>Exempt Permanent Change to New PCN / Suffix</t>
  </si>
  <si>
    <t>Exempt Permanent Change to Previous PCN / Suffix</t>
  </si>
  <si>
    <t>Exempt Permanent Promotion to New PCN / Suffix</t>
  </si>
  <si>
    <t>Exempt Temporary Additional Appointment New PCN / Suffix</t>
  </si>
  <si>
    <t>Exempt Temporary Reappointment New PCN / Suffix</t>
  </si>
  <si>
    <t>Exempt Temporary Reappointment Previous PCN / Suffix</t>
  </si>
  <si>
    <t>Exempt Temporary Change to New PCN / Suffix</t>
  </si>
  <si>
    <t>Exempt Temporary Promotion to New PCN / Suffix</t>
  </si>
  <si>
    <t>Faculty Permanent Reappointment Previous PCN / Suffix</t>
  </si>
  <si>
    <t>Faculty Permanent Reappointment New PCN / Suffix</t>
  </si>
  <si>
    <t>Faculty Permanent Change to New PCN / Suffix</t>
  </si>
  <si>
    <t>Faculty Permanent Promotion to New PCN / Suffix</t>
  </si>
  <si>
    <t>Faculty Temporary Additional Appointment New PCN / Suffix</t>
  </si>
  <si>
    <t>Faculty Temporary Additional Appointment Previous PCN / Suffix</t>
  </si>
  <si>
    <t>Faculty Temporary Reappointment Previous PCN / Suffix</t>
  </si>
  <si>
    <t>Faculty Temporary Reappointment New PCN / Suffix</t>
  </si>
  <si>
    <t>Faculty Temporary Change to New PCN / Suffix</t>
  </si>
  <si>
    <t>Faculty Temporary Promotion to New PCN / Suffix</t>
  </si>
  <si>
    <t>Graduate Assistant Additional Appointment Prev PCN / Suffix</t>
  </si>
  <si>
    <t>Graduate Assistant Additional Appointment New PCN / Suffix</t>
  </si>
  <si>
    <t>Graduate Assistant Reappointment New PCN / Suffix</t>
  </si>
  <si>
    <t>Graduate Assistant Reappointment Previous PCN / Suffix</t>
  </si>
  <si>
    <t>Graduate Assistant Continued Appointment Previous PCN / Suffix</t>
  </si>
  <si>
    <t>Graduate Assistant Change New PCN / Suffix</t>
  </si>
  <si>
    <t>Graduate Assistant Change to Previous PCN / Suffix</t>
  </si>
  <si>
    <t>FY14</t>
  </si>
  <si>
    <t>COMMON TO EXEMPT EMPLOYEES</t>
  </si>
  <si>
    <t>Exempt Change of Appointment Status</t>
  </si>
  <si>
    <t>Exempt Miscellaneous Change</t>
  </si>
  <si>
    <t>Exempt Reclassification - Appointment to same PCN</t>
  </si>
  <si>
    <t>Exempt Change of Pay</t>
  </si>
  <si>
    <t>COMMON TO FACULTY EMPLOYEES</t>
  </si>
  <si>
    <t>FCHAPT</t>
  </si>
  <si>
    <t>FMSCCH</t>
  </si>
  <si>
    <t xml:space="preserve">FCHPAY             </t>
  </si>
  <si>
    <t>Faculty Change of Appointment Status</t>
  </si>
  <si>
    <t>Faculty Miscellaneous Change</t>
  </si>
  <si>
    <t>Faculty Change of Pay</t>
  </si>
  <si>
    <t>FACULTY NON-BENEFIT ELIGIBLE (F9)</t>
  </si>
  <si>
    <t>FNBAAP</t>
  </si>
  <si>
    <t>Faculty Non Benefits Additional Appointment New PCN / Suffix</t>
  </si>
  <si>
    <t>FNBAPP</t>
  </si>
  <si>
    <t>Faculty Non Benefits Additional Appointment Prev PCN / Suffix</t>
  </si>
  <si>
    <t>FNBOAP</t>
  </si>
  <si>
    <t>Faculty Non Benefits Eligible Original Appointment</t>
  </si>
  <si>
    <t>FNBRDP</t>
  </si>
  <si>
    <t>Faculty Non Benefits Eligible Reappoint New PCN / Suffix</t>
  </si>
  <si>
    <t>FNBRSP</t>
  </si>
  <si>
    <t>Faculty Non Benefits Eligible Reappoint Prev PCN / Suffix</t>
  </si>
  <si>
    <t>T4 / ST Non PERSI Original Appointment</t>
  </si>
  <si>
    <t>T4 / ST Non PERSI Reappointment Previous PCN / Suffix</t>
  </si>
  <si>
    <t>T4 / ST Non PERSI Reappointment New PCN / Suffix</t>
  </si>
  <si>
    <t>T4 / ST Non PERSI Additional Appointment New PCN / Suffix</t>
  </si>
  <si>
    <t>T4 / ST Non PERSI Additional Appointment Previous PCN / Suffix</t>
  </si>
  <si>
    <t>T4 / ST Non PERSI Change to New Non PERSI PCN / Suffix</t>
  </si>
  <si>
    <t>T4 / ST Non PERSI Change of Pay</t>
  </si>
  <si>
    <t>T4 / ST Non PERSI Change Labor Distribution</t>
  </si>
  <si>
    <t>T4 / ST Non PERSI Miscellaneous Change</t>
  </si>
  <si>
    <t>T4 / ST Non PERSI Terminate Job</t>
  </si>
  <si>
    <t>IHFCSP</t>
  </si>
  <si>
    <t>02, 03, 04, …</t>
  </si>
  <si>
    <t>Pay Period</t>
  </si>
  <si>
    <t>Pay Date (Friday)</t>
  </si>
  <si>
    <t>**EPAF Deadline (Tuesday)</t>
  </si>
  <si>
    <t>Timesheets Available 12:01 AM (Sunday)</t>
  </si>
  <si>
    <r>
      <t xml:space="preserve">***Approval Deadline </t>
    </r>
    <r>
      <rPr>
        <b/>
        <sz val="13"/>
        <color theme="1"/>
        <rFont val="Cambria"/>
        <family val="1"/>
        <scheme val="major"/>
      </rPr>
      <t>Tuesday 5:00pm</t>
    </r>
  </si>
  <si>
    <t>**EPAF deadlines are subject to change according to the holiday schedules</t>
  </si>
  <si>
    <t xml:space="preserve">***This deadline may differ with departments, not to be any later than the Tuesday 5:00pm deadline. </t>
  </si>
  <si>
    <t>Payroll and Approval FY 2014 Deadlines</t>
  </si>
  <si>
    <t>FY15</t>
  </si>
  <si>
    <t>ACADEMIC &amp; FISCAL PAYROLL DATES - FY 14</t>
  </si>
  <si>
    <t>PAYROLL/CONTRACT DATES:  6/23/13 – 6/21/14 (2080 HOURS)</t>
  </si>
  <si>
    <t>CONTRACT DATES: 8/18/13 - 5/17/14 (1560 HOURS)</t>
  </si>
  <si>
    <t>PAYROLL DATES: 6/23/13 – 6/21/14 (2080 HOURS)</t>
  </si>
  <si>
    <t>PAYROLL/CONTRACT DATES:  8/18/13 - 5/17/14 (1560 HOURS)</t>
  </si>
  <si>
    <t>PAYROLL/CONTRACT DATES: 8/18/13 - 12/21/13 (720 HOURS)</t>
  </si>
  <si>
    <t>PAYROLL/CONTRACT DATES: 1/12/14 - 5/17/14 (720 HOURS)</t>
  </si>
  <si>
    <t>PAYROLL/CONTRACT DATES:  5/18/14 - 8/16/14 (13 Weeks)</t>
  </si>
  <si>
    <t>Back to Payroll Calendars</t>
  </si>
  <si>
    <t>Temporary Board Appointed Positions, Add'l Comp, GA</t>
  </si>
  <si>
    <t>009965</t>
  </si>
  <si>
    <t>E4107</t>
  </si>
  <si>
    <r>
      <t xml:space="preserve">CLASSIFIED PERMANENT </t>
    </r>
    <r>
      <rPr>
        <b/>
        <sz val="14"/>
        <color theme="1"/>
        <rFont val="Calibri"/>
        <family val="2"/>
        <scheme val="minor"/>
      </rPr>
      <t>(Suffix 00)</t>
    </r>
  </si>
  <si>
    <r>
      <t xml:space="preserve">GRADUATE ASSISTANTS </t>
    </r>
    <r>
      <rPr>
        <b/>
        <sz val="14"/>
        <color theme="1"/>
        <rFont val="Calibri"/>
        <family val="2"/>
        <scheme val="minor"/>
      </rPr>
      <t>(Suffix 01)</t>
    </r>
  </si>
  <si>
    <r>
      <t xml:space="preserve">FACULTY TEMPORARY </t>
    </r>
    <r>
      <rPr>
        <b/>
        <sz val="14"/>
        <color theme="1"/>
        <rFont val="Calibri"/>
        <family val="2"/>
        <scheme val="minor"/>
      </rPr>
      <t>(Suffix 01)</t>
    </r>
  </si>
  <si>
    <r>
      <t xml:space="preserve">FACULTY PERMANENT </t>
    </r>
    <r>
      <rPr>
        <b/>
        <sz val="14"/>
        <color theme="1"/>
        <rFont val="Calibri"/>
        <family val="2"/>
        <scheme val="minor"/>
      </rPr>
      <t>(Suffix 00)</t>
    </r>
  </si>
  <si>
    <r>
      <t xml:space="preserve">EXEMPT TEMPORARY </t>
    </r>
    <r>
      <rPr>
        <b/>
        <sz val="14"/>
        <color theme="1"/>
        <rFont val="Calibri"/>
        <family val="2"/>
        <scheme val="minor"/>
      </rPr>
      <t>(Suffix 01)</t>
    </r>
  </si>
  <si>
    <r>
      <t xml:space="preserve">EXEMPT PERMANENT </t>
    </r>
    <r>
      <rPr>
        <b/>
        <sz val="14"/>
        <color theme="1"/>
        <rFont val="Calibri"/>
        <family val="2"/>
        <scheme val="minor"/>
      </rPr>
      <t>(Suffix 00)</t>
    </r>
  </si>
  <si>
    <r>
      <t xml:space="preserve">CLASSIFIED TEMPORARY </t>
    </r>
    <r>
      <rPr>
        <b/>
        <sz val="14"/>
        <color theme="1"/>
        <rFont val="Calibri"/>
        <family val="2"/>
        <scheme val="minor"/>
      </rPr>
      <t>(Suffix 01)</t>
    </r>
  </si>
  <si>
    <t>Instructional Staff</t>
  </si>
  <si>
    <t>Non Instructional Staff</t>
  </si>
  <si>
    <t>Associated Faculty</t>
  </si>
  <si>
    <t>Non-paid</t>
  </si>
  <si>
    <t>A3 (FSH 1565)</t>
  </si>
  <si>
    <t>Non-Paid</t>
  </si>
  <si>
    <t>A1</t>
  </si>
  <si>
    <t>A2</t>
  </si>
  <si>
    <t>A3</t>
  </si>
  <si>
    <t>Affiliate Member for non-paid Instructional Staff</t>
  </si>
  <si>
    <t>Affiliate Member for non-paid non-Instructional Staff</t>
  </si>
  <si>
    <t>Affiliate Member for non-paid University Associated Faculty (FSH 1565F)</t>
  </si>
  <si>
    <t>Salary - Administrative Increment (work w/ fiscal officer before using)</t>
  </si>
  <si>
    <t>Approval Categories - Deferred Pay</t>
  </si>
  <si>
    <r>
      <t xml:space="preserve">FACULTY PERMANENT </t>
    </r>
    <r>
      <rPr>
        <b/>
        <sz val="14"/>
        <color rgb="FF000000"/>
        <rFont val="Calibri"/>
        <family val="2"/>
        <scheme val="minor"/>
      </rPr>
      <t>(Suffix: 00)</t>
    </r>
  </si>
  <si>
    <t>FPPODP</t>
  </si>
  <si>
    <r>
      <t xml:space="preserve">Faculty Permanent Original Appointment w/ </t>
    </r>
    <r>
      <rPr>
        <i/>
        <sz val="10"/>
        <color rgb="FF000000"/>
        <rFont val="Arial"/>
        <family val="2"/>
      </rPr>
      <t>Deferred Pay</t>
    </r>
  </si>
  <si>
    <t>RAY/RFY</t>
  </si>
  <si>
    <t>FPANDP</t>
  </si>
  <si>
    <r>
      <t xml:space="preserve">Faculty Permanent Additional Appointment, New PCN / Suffix w/ </t>
    </r>
    <r>
      <rPr>
        <i/>
        <sz val="10"/>
        <color rgb="FF000000"/>
        <rFont val="Arial"/>
        <family val="2"/>
      </rPr>
      <t>Deferred Pay</t>
    </r>
  </si>
  <si>
    <t>FPPRDF</t>
  </si>
  <si>
    <r>
      <t xml:space="preserve">Faculty Permanent Reappointment, Previous PCN / Suffix w/ </t>
    </r>
    <r>
      <rPr>
        <i/>
        <sz val="10"/>
        <color rgb="FF000000"/>
        <rFont val="Arial"/>
        <family val="2"/>
      </rPr>
      <t>Deferred Pay</t>
    </r>
  </si>
  <si>
    <t>FPPNDF</t>
  </si>
  <si>
    <r>
      <t xml:space="preserve">Faculty Permanent Reappointment, New PCN / Suffix w/ </t>
    </r>
    <r>
      <rPr>
        <i/>
        <sz val="10"/>
        <color rgb="FF000000"/>
        <rFont val="Arial"/>
        <family val="2"/>
      </rPr>
      <t>Deferred Pay</t>
    </r>
  </si>
  <si>
    <t>FPFCPP</t>
  </si>
  <si>
    <r>
      <t xml:space="preserve">Faculty Permanent Change to Previous PCN / Suffix w/ </t>
    </r>
    <r>
      <rPr>
        <i/>
        <sz val="10"/>
        <color rgb="FF000000"/>
        <rFont val="Arial"/>
        <family val="2"/>
      </rPr>
      <t>Deferred Pay</t>
    </r>
  </si>
  <si>
    <r>
      <t xml:space="preserve">FACULTY TEMPORARY </t>
    </r>
    <r>
      <rPr>
        <b/>
        <sz val="14"/>
        <color rgb="FF000000"/>
        <rFont val="Calibri"/>
        <family val="2"/>
        <scheme val="minor"/>
      </rPr>
      <t>(Suffix: 01)</t>
    </r>
  </si>
  <si>
    <t>FTPODP</t>
  </si>
  <si>
    <r>
      <t xml:space="preserve">Faculty Temporary Original Appointment w/ </t>
    </r>
    <r>
      <rPr>
        <i/>
        <sz val="10"/>
        <color rgb="FF000000"/>
        <rFont val="Arial"/>
        <family val="2"/>
      </rPr>
      <t>Deferred Pay</t>
    </r>
  </si>
  <si>
    <t>FTANDP</t>
  </si>
  <si>
    <r>
      <t xml:space="preserve">Faculty Temporary Additional Appointment, New PCN / Suffix w/ </t>
    </r>
    <r>
      <rPr>
        <i/>
        <sz val="10"/>
        <color rgb="FF000000"/>
        <rFont val="Arial"/>
        <family val="2"/>
      </rPr>
      <t>Deferred Pay</t>
    </r>
  </si>
  <si>
    <t>FTPRDF</t>
  </si>
  <si>
    <t>Faculty Temporary Reappointment, Previous PCN / Suffix w/ Deferred Pay</t>
  </si>
  <si>
    <t>FTPNDF</t>
  </si>
  <si>
    <t>Faculty Temporary Reappointment, New PCN / Suffix w/ Deferred Pay</t>
  </si>
  <si>
    <r>
      <t xml:space="preserve">EXEMPT PERMANENT </t>
    </r>
    <r>
      <rPr>
        <b/>
        <sz val="14"/>
        <color rgb="FF000000"/>
        <rFont val="Calibri"/>
        <family val="2"/>
        <scheme val="minor"/>
      </rPr>
      <t>(Suffix: 00)</t>
    </r>
  </si>
  <si>
    <t>EPPODP</t>
  </si>
  <si>
    <r>
      <t xml:space="preserve">Exempt Permanent Original Appointment w/ </t>
    </r>
    <r>
      <rPr>
        <i/>
        <sz val="10"/>
        <color rgb="FF000000"/>
        <rFont val="Arial"/>
        <family val="2"/>
      </rPr>
      <t>Deferred Pay</t>
    </r>
  </si>
  <si>
    <t>EPPNDF</t>
  </si>
  <si>
    <r>
      <t xml:space="preserve">Exempt Permanent Reappointment, New PCN / Suffix w/ </t>
    </r>
    <r>
      <rPr>
        <i/>
        <sz val="10"/>
        <color rgb="FF000000"/>
        <rFont val="Arial"/>
        <family val="2"/>
      </rPr>
      <t>Deferred Pay</t>
    </r>
  </si>
  <si>
    <r>
      <t xml:space="preserve">EXEMPT TEMPORARY </t>
    </r>
    <r>
      <rPr>
        <b/>
        <sz val="14"/>
        <color rgb="FF000000"/>
        <rFont val="Calibri"/>
        <family val="2"/>
        <scheme val="minor"/>
      </rPr>
      <t>(Suffix: 01)</t>
    </r>
  </si>
  <si>
    <t>ETPODP</t>
  </si>
  <si>
    <r>
      <t xml:space="preserve">Exempt Original Appointment w/ </t>
    </r>
    <r>
      <rPr>
        <i/>
        <sz val="10"/>
        <color rgb="FF000000"/>
        <rFont val="Arial"/>
        <family val="2"/>
      </rPr>
      <t>Deferred Pay</t>
    </r>
  </si>
  <si>
    <t>Deferred Pay Calendars</t>
  </si>
  <si>
    <t>DP Code</t>
  </si>
  <si>
    <t>Factor (# of Pay Periods Worked)</t>
  </si>
  <si>
    <t>DP20</t>
  </si>
  <si>
    <t>Working within UI 18 – UI 11</t>
  </si>
  <si>
    <t>19.5 – 20</t>
  </si>
  <si>
    <t>DP21</t>
  </si>
  <si>
    <t>Working within UI 18 – UI 12</t>
  </si>
  <si>
    <t>20.5 – 21</t>
  </si>
  <si>
    <t>DP22</t>
  </si>
  <si>
    <t>Working within UI 15 – UI 10</t>
  </si>
  <si>
    <t>21.5 – 22</t>
  </si>
  <si>
    <t>DP23</t>
  </si>
  <si>
    <t>Working within UI 16 – UI 11</t>
  </si>
  <si>
    <t>DP24</t>
  </si>
  <si>
    <t>Working within UI 17 – UI 12</t>
  </si>
  <si>
    <t>DP25</t>
  </si>
  <si>
    <t>Working within UI 18 – UI 13</t>
  </si>
  <si>
    <t>DP26</t>
  </si>
  <si>
    <t>Working within UI 19 – UI 14</t>
  </si>
  <si>
    <t>DP27</t>
  </si>
  <si>
    <t>Working within UI 15 – UI 11</t>
  </si>
  <si>
    <t>22.5 – 23</t>
  </si>
  <si>
    <t>DP28</t>
  </si>
  <si>
    <t>Working within UI 16 – UI 12</t>
  </si>
  <si>
    <t>DP29</t>
  </si>
  <si>
    <t>Working within UI 17 – UI 13</t>
  </si>
  <si>
    <t>DP30</t>
  </si>
  <si>
    <t>Working within UI 18 – UI 14</t>
  </si>
  <si>
    <t>DP31</t>
  </si>
  <si>
    <t>Working within UI 15 – UI 12</t>
  </si>
  <si>
    <t>23.5 – 25</t>
  </si>
  <si>
    <t>DP32</t>
  </si>
  <si>
    <t>Working within UI 16 – UI 13</t>
  </si>
  <si>
    <t>DP33</t>
  </si>
  <si>
    <t>Working within UI 17 – UI 14</t>
  </si>
  <si>
    <t>DP34</t>
  </si>
  <si>
    <t>Working within UI 16 – UI 14</t>
  </si>
  <si>
    <t>24.5 – 25</t>
  </si>
  <si>
    <t>ETPCPP</t>
  </si>
  <si>
    <t>Exempt Temporary Change to Previous PCN / Suffix</t>
  </si>
  <si>
    <t>CTPCPP</t>
  </si>
  <si>
    <t>Classified Temporary, Change to Previous PCN / Suffix</t>
  </si>
  <si>
    <t>Working Title Abbreviation Style Guide</t>
  </si>
  <si>
    <t>Abbreviation</t>
  </si>
  <si>
    <t>Beginning or End?</t>
  </si>
  <si>
    <t>End of Title Examples</t>
  </si>
  <si>
    <t>Beginning of Title Examples</t>
  </si>
  <si>
    <t>This guide is to help you keep your Working Title under 30 characters.</t>
  </si>
  <si>
    <t>Academic</t>
  </si>
  <si>
    <t>Acad</t>
  </si>
  <si>
    <t>**</t>
  </si>
  <si>
    <t>Accounting</t>
  </si>
  <si>
    <t>Acctng</t>
  </si>
  <si>
    <t>These are suggested abbreviations.</t>
  </si>
  <si>
    <t>Administrative</t>
  </si>
  <si>
    <t>Admin</t>
  </si>
  <si>
    <t>Administrator</t>
  </si>
  <si>
    <t>Admnstr</t>
  </si>
  <si>
    <t>Banner only allows a maximum of 30 characters to be used in its Position</t>
  </si>
  <si>
    <t>Advising</t>
  </si>
  <si>
    <t>Advsng</t>
  </si>
  <si>
    <t>Title field.</t>
  </si>
  <si>
    <t>Agriculture</t>
  </si>
  <si>
    <t>Ag</t>
  </si>
  <si>
    <t>And</t>
  </si>
  <si>
    <t>&amp;</t>
  </si>
  <si>
    <t>Human Resources will not automatically abbreviate your Working Title</t>
  </si>
  <si>
    <t>Application</t>
  </si>
  <si>
    <t>Applctn</t>
  </si>
  <si>
    <t>unless the character limit of your Working Title is over 30 characters.</t>
  </si>
  <si>
    <t>Assistant</t>
  </si>
  <si>
    <t>Asst</t>
  </si>
  <si>
    <t>Admin Asst; Program Asst</t>
  </si>
  <si>
    <t>Asst Director; Asst Program Mgr</t>
  </si>
  <si>
    <t>Associate</t>
  </si>
  <si>
    <t>Assoc</t>
  </si>
  <si>
    <t>Research Assoc</t>
  </si>
  <si>
    <t>Assoc Director</t>
  </si>
  <si>
    <t>Athletic Director</t>
  </si>
  <si>
    <t>Ath Director</t>
  </si>
  <si>
    <t>Building</t>
  </si>
  <si>
    <t>Bldg</t>
  </si>
  <si>
    <t>Center</t>
  </si>
  <si>
    <t>Ctr</t>
  </si>
  <si>
    <t>End</t>
  </si>
  <si>
    <t>Never Abbreviate Guidelines</t>
  </si>
  <si>
    <t>Coordinator</t>
  </si>
  <si>
    <t>Coord</t>
  </si>
  <si>
    <t>Program Coord</t>
  </si>
  <si>
    <t>Title Examples</t>
  </si>
  <si>
    <t>Communication(s)</t>
  </si>
  <si>
    <t>Comm</t>
  </si>
  <si>
    <t>Admissions</t>
  </si>
  <si>
    <t>Compliance</t>
  </si>
  <si>
    <t>Cmpl</t>
  </si>
  <si>
    <t>Analyst</t>
  </si>
  <si>
    <t>Program Analyst</t>
  </si>
  <si>
    <t>Craftperson/ Craftman</t>
  </si>
  <si>
    <t>Crftprsn</t>
  </si>
  <si>
    <t>Customer</t>
  </si>
  <si>
    <t>Custmr</t>
  </si>
  <si>
    <t>Director</t>
  </si>
  <si>
    <t>Developer</t>
  </si>
  <si>
    <t>Dvlpr</t>
  </si>
  <si>
    <t>Facilities</t>
  </si>
  <si>
    <t>Development</t>
  </si>
  <si>
    <t>Dvlpmnt</t>
  </si>
  <si>
    <t>Financial</t>
  </si>
  <si>
    <t>Department</t>
  </si>
  <si>
    <t>Dept</t>
  </si>
  <si>
    <t>Foreperson</t>
  </si>
  <si>
    <t>Custodian Foreperson</t>
  </si>
  <si>
    <t>Employee</t>
  </si>
  <si>
    <t>Empl</t>
  </si>
  <si>
    <t>Foundation</t>
  </si>
  <si>
    <t>Employer</t>
  </si>
  <si>
    <t>Emplr</t>
  </si>
  <si>
    <t>Instructor</t>
  </si>
  <si>
    <t>Employment</t>
  </si>
  <si>
    <t>Emplmt</t>
  </si>
  <si>
    <t>Manager</t>
  </si>
  <si>
    <t>Engagement</t>
  </si>
  <si>
    <t>Engmnt</t>
  </si>
  <si>
    <t>Program</t>
  </si>
  <si>
    <t>Enrollment</t>
  </si>
  <si>
    <t>Enrlmnt</t>
  </si>
  <si>
    <t>Research</t>
  </si>
  <si>
    <t>Environmental</t>
  </si>
  <si>
    <t>Envrmntl</t>
  </si>
  <si>
    <t>Student</t>
  </si>
  <si>
    <t>Executive</t>
  </si>
  <si>
    <t>Exec</t>
  </si>
  <si>
    <t>System(s)</t>
  </si>
  <si>
    <t>Extension</t>
  </si>
  <si>
    <t>Extnsn</t>
  </si>
  <si>
    <t>Superintendent</t>
  </si>
  <si>
    <t>Hazardous Materials</t>
  </si>
  <si>
    <t>Haz Mat</t>
  </si>
  <si>
    <t>Technical</t>
  </si>
  <si>
    <t>International</t>
  </si>
  <si>
    <t>Intl</t>
  </si>
  <si>
    <t>** The placement of these words in the title is not critical.</t>
  </si>
  <si>
    <t>Instrumentation</t>
  </si>
  <si>
    <t>Instrmntn</t>
  </si>
  <si>
    <t>Laboratory</t>
  </si>
  <si>
    <t>Lab</t>
  </si>
  <si>
    <t>Maintenance</t>
  </si>
  <si>
    <t>Maint</t>
  </si>
  <si>
    <t>Management</t>
  </si>
  <si>
    <t>Mgmt</t>
  </si>
  <si>
    <t>Officer</t>
  </si>
  <si>
    <t>Offcr</t>
  </si>
  <si>
    <t>Further Guidances:</t>
  </si>
  <si>
    <t>Operations</t>
  </si>
  <si>
    <t>Ops</t>
  </si>
  <si>
    <t>Numbers should be shown as numeric value</t>
  </si>
  <si>
    <t>Operator</t>
  </si>
  <si>
    <t>Oprtr</t>
  </si>
  <si>
    <t>e.g. Administrative Asst 2</t>
  </si>
  <si>
    <t>Partnership(s)</t>
  </si>
  <si>
    <t>Partnshp</t>
  </si>
  <si>
    <t>Publications</t>
  </si>
  <si>
    <t>Publctns</t>
  </si>
  <si>
    <t>Do not use periods after abbreviations</t>
  </si>
  <si>
    <t>Relations</t>
  </si>
  <si>
    <t>Rltns</t>
  </si>
  <si>
    <t>e.g. Financial Tech Snr</t>
  </si>
  <si>
    <t>Recruitment</t>
  </si>
  <si>
    <t>Rcrtmnt</t>
  </si>
  <si>
    <t>Representative</t>
  </si>
  <si>
    <t>Rep</t>
  </si>
  <si>
    <t>In order to help with the character limit, try to limit the use of "of"</t>
  </si>
  <si>
    <t>Senior</t>
  </si>
  <si>
    <t>Snr</t>
  </si>
  <si>
    <t>Programmer Analyst Snr</t>
  </si>
  <si>
    <t>e.g. Director, Admin; Assoc Director, Ops; Asst Manager, Systems</t>
  </si>
  <si>
    <t>Services</t>
  </si>
  <si>
    <t>Srvcs</t>
  </si>
  <si>
    <t>Specialist</t>
  </si>
  <si>
    <t>Splst</t>
  </si>
  <si>
    <t>Program Splst</t>
  </si>
  <si>
    <t>Suggested for Coaches-  Gender of sport first; sport second;</t>
  </si>
  <si>
    <t>Supervisor</t>
  </si>
  <si>
    <t>Sprvsr</t>
  </si>
  <si>
    <t>Program Sprvsr</t>
  </si>
  <si>
    <t>level of title last</t>
  </si>
  <si>
    <t>Support</t>
  </si>
  <si>
    <t>Spprt</t>
  </si>
  <si>
    <t>e.g. Women's Basketball Head Coach; Men's Golf Asst Coach</t>
  </si>
  <si>
    <t>Technician</t>
  </si>
  <si>
    <t>Tech</t>
  </si>
  <si>
    <t>Financial Tech</t>
  </si>
  <si>
    <t>Technology</t>
  </si>
  <si>
    <t>Technlgy</t>
  </si>
  <si>
    <t>Training</t>
  </si>
  <si>
    <t>Trng</t>
  </si>
  <si>
    <t>If all above abbreviations have been met and still over 30 characters,</t>
  </si>
  <si>
    <t>Transportation</t>
  </si>
  <si>
    <t>Trnsprtn</t>
  </si>
  <si>
    <t>call HR Business Partner for best guidance</t>
  </si>
  <si>
    <t>Vice President</t>
  </si>
  <si>
    <t>VPres</t>
  </si>
  <si>
    <t>Beginning</t>
  </si>
  <si>
    <t>Vice Provost</t>
  </si>
  <si>
    <t>VProv</t>
  </si>
  <si>
    <t>Volunteer</t>
  </si>
  <si>
    <t>Vol</t>
  </si>
  <si>
    <t>Working Title Abbreviation Guidelines</t>
  </si>
  <si>
    <t>*There is a 30 character limit for all titles*</t>
  </si>
  <si>
    <t>Payroll and Approval FY 2015 Deadlines</t>
  </si>
  <si>
    <t>ACADEMIC &amp; FISCAL PAYROLL DATES - FY 15</t>
  </si>
  <si>
    <t>PAYROLL / CONTRACT DATES:  6/22/14 – 6/20/15 (2080 HOURS)</t>
  </si>
  <si>
    <t>26 Pays, 26 Factors</t>
  </si>
  <si>
    <t>CONTRACT DATES: 8/17/14 - 5/16/15 (1560 HOURS)</t>
  </si>
  <si>
    <t>PAYROLL DATES: 6/22/14 – 6/20/15 (2080 HOURS)</t>
  </si>
  <si>
    <t>DP40 Dates: 8/17/14 – 5/23/15 (1600 HOURS)</t>
  </si>
  <si>
    <t>PAYROLL/CONTRACT DATES:  8/17/14 - 5/16/15 (1560 HOURS)</t>
  </si>
  <si>
    <t>19.5 Pays, 19.5 Factors</t>
  </si>
  <si>
    <t xml:space="preserve">    SABBATICAL LEAVE</t>
  </si>
  <si>
    <t>Fall Semester 2014:  6/23/14 effective, 6/22/14 personnel, term 12/20/14</t>
  </si>
  <si>
    <t>Spring Semester 2015:  12/21/14 effective, 12/21/14 personnel, term 5/16/15</t>
  </si>
  <si>
    <t>Full Year 2014-15:  6/23/14 effective, 6/22/14 personnel, term 6/20/15</t>
  </si>
  <si>
    <t>PAYROLL / CONTRACT DATES: 8/17/14 - 12/20/14 (720 HOURS)</t>
  </si>
  <si>
    <t>PAYROLL / CONTRACT DATES: 1/11/15 - 5/16/15 (720 HOURS)</t>
  </si>
  <si>
    <t>9 Pays, 9 Factors Each Semester</t>
  </si>
  <si>
    <t>2014 PAYROLL / CONTRACT DATES:  5/18/14 - 8/16/14 (13 Weeks, 6.5 Pays / Factors)</t>
  </si>
  <si>
    <t>2015 PAYROLL / CONTRACT DATES:  5/17/15 - 8/15/15 (13 Weeks, 6.5 Pays / Factors)</t>
  </si>
  <si>
    <t>FISCAL YEAR 2015</t>
  </si>
  <si>
    <t>ACADEMIC YEAR 2014-15-PAID OVER 12 MONTHS</t>
  </si>
  <si>
    <r>
      <t xml:space="preserve">    </t>
    </r>
    <r>
      <rPr>
        <b/>
        <sz val="12"/>
        <color theme="1"/>
        <rFont val="Times New Roman"/>
        <family val="1"/>
      </rPr>
      <t>ACADEMIC YEAR 2014-15 - NO PAY SPREAD</t>
    </r>
  </si>
  <si>
    <t>ACADEMIC SEMESTERS 2014-15 - NO PAY SPREAD</t>
  </si>
  <si>
    <t>FY16</t>
  </si>
  <si>
    <t xml:space="preserve"> = Fall Semester</t>
  </si>
  <si>
    <t xml:space="preserve"> = Spring Semester</t>
  </si>
  <si>
    <t>T4 / ST Non PERSI Continuation Previous Non PERSI PCN / Suffix</t>
  </si>
  <si>
    <t xml:space="preserve"> = Use Annual Leave or Comp Time / UI closed to Public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</si>
</sst>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72">
    <font>
      <sz val="11"/>
      <color theme="1"/>
      <name val="Calibri"/>
      <family val="2"/>
      <scheme val="minor"/>
    </font>
    <font>
      <b/>
      <sz val="16"/>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b/>
      <sz val="16"/>
      <color rgb="FF000000"/>
      <name val="Calibri"/>
      <family val="2"/>
      <scheme val="minor"/>
    </font>
    <font>
      <b/>
      <sz val="11"/>
      <color theme="1"/>
      <name val="Calibri"/>
      <family val="2"/>
      <scheme val="minor"/>
    </font>
    <font>
      <sz val="10"/>
      <color theme="1"/>
      <name val="Calibri"/>
      <family val="2"/>
      <scheme val="minor"/>
    </font>
    <font>
      <sz val="10"/>
      <color theme="1"/>
      <name val="Courier"/>
      <family val="3"/>
    </font>
    <font>
      <sz val="10"/>
      <color rgb="FF000000"/>
      <name val="Arial"/>
      <family val="2"/>
    </font>
    <font>
      <b/>
      <u/>
      <sz val="10"/>
      <color rgb="FF000000"/>
      <name val="Arial"/>
      <family val="2"/>
    </font>
    <font>
      <b/>
      <u/>
      <sz val="10"/>
      <color theme="1"/>
      <name val="Arial"/>
      <family val="2"/>
    </font>
    <font>
      <sz val="10"/>
      <color theme="1"/>
      <name val="Times New Roman"/>
      <family val="1"/>
    </font>
    <font>
      <b/>
      <sz val="10"/>
      <color theme="1"/>
      <name val="Calibri"/>
      <family val="2"/>
    </font>
    <font>
      <b/>
      <sz val="10"/>
      <color rgb="FF000000"/>
      <name val="Calibri"/>
      <family val="2"/>
    </font>
    <font>
      <sz val="12"/>
      <color rgb="FF000000"/>
      <name val="Calibri"/>
      <family val="2"/>
    </font>
    <font>
      <sz val="10"/>
      <color theme="1"/>
      <name val="Arial"/>
      <family val="2"/>
    </font>
    <font>
      <sz val="16"/>
      <color theme="1"/>
      <name val="Calibri"/>
      <family val="2"/>
      <scheme val="minor"/>
    </font>
    <font>
      <sz val="11"/>
      <color theme="1"/>
      <name val="Calibri"/>
      <family val="2"/>
      <scheme val="minor"/>
    </font>
    <font>
      <b/>
      <sz val="8"/>
      <name val="Arial MT"/>
    </font>
    <font>
      <b/>
      <sz val="14"/>
      <name val="Arial MT"/>
    </font>
    <font>
      <b/>
      <u/>
      <sz val="10"/>
      <name val="Arial MT"/>
      <family val="2"/>
    </font>
    <font>
      <sz val="7"/>
      <name val="Arial MT"/>
    </font>
    <font>
      <sz val="8"/>
      <name val="Arial MT"/>
    </font>
    <font>
      <sz val="8"/>
      <name val="Arial"/>
      <family val="2"/>
    </font>
    <font>
      <u/>
      <sz val="7"/>
      <name val="Arial MT"/>
    </font>
    <font>
      <sz val="8"/>
      <name val="Arial MT"/>
      <family val="2"/>
    </font>
    <font>
      <u/>
      <sz val="10"/>
      <name val="Arial"/>
      <family val="2"/>
    </font>
    <font>
      <u/>
      <sz val="6"/>
      <name val="Arial"/>
      <family val="2"/>
    </font>
    <font>
      <u/>
      <sz val="11"/>
      <color theme="10"/>
      <name val="Calibri"/>
      <family val="2"/>
      <scheme val="minor"/>
    </font>
    <font>
      <b/>
      <u/>
      <sz val="18"/>
      <color rgb="FF4F81BD"/>
      <name val="Calibri"/>
      <family val="2"/>
    </font>
    <font>
      <sz val="18"/>
      <color theme="1"/>
      <name val="Calibri"/>
      <family val="2"/>
      <scheme val="minor"/>
    </font>
    <font>
      <b/>
      <sz val="14"/>
      <color theme="1"/>
      <name val="Times New Roman"/>
      <family val="1"/>
    </font>
    <font>
      <b/>
      <u/>
      <sz val="16"/>
      <color theme="1"/>
      <name val="Times New Roman"/>
      <family val="1"/>
    </font>
    <font>
      <sz val="16"/>
      <color theme="1"/>
      <name val="Courier"/>
      <family val="3"/>
    </font>
    <font>
      <b/>
      <sz val="12"/>
      <color theme="1"/>
      <name val="Times New Roman"/>
      <family val="1"/>
    </font>
    <font>
      <sz val="12"/>
      <color theme="1"/>
      <name val="Times New Roman"/>
      <family val="1"/>
    </font>
    <font>
      <b/>
      <u/>
      <sz val="12"/>
      <color theme="1"/>
      <name val="Times New Roman"/>
      <family val="1"/>
    </font>
    <font>
      <sz val="20"/>
      <color theme="1"/>
      <name val="Calibri"/>
      <family val="2"/>
      <scheme val="minor"/>
    </font>
    <font>
      <u/>
      <sz val="18"/>
      <color theme="10"/>
      <name val="Calibri"/>
      <family val="2"/>
    </font>
    <font>
      <u/>
      <sz val="20"/>
      <color theme="10"/>
      <name val="Calibri"/>
      <family val="2"/>
    </font>
    <font>
      <u/>
      <sz val="18"/>
      <color theme="10"/>
      <name val="Calibri"/>
      <family val="2"/>
      <scheme val="minor"/>
    </font>
    <font>
      <b/>
      <sz val="10"/>
      <color rgb="FF000000"/>
      <name val="Calibri"/>
      <family val="2"/>
      <scheme val="minor"/>
    </font>
    <font>
      <b/>
      <sz val="10"/>
      <color theme="1"/>
      <name val="Arial"/>
      <family val="2"/>
    </font>
    <font>
      <b/>
      <sz val="10"/>
      <color rgb="FF000000"/>
      <name val="Arial"/>
      <family val="2"/>
    </font>
    <font>
      <sz val="10"/>
      <color rgb="FF000000"/>
      <name val="Calibri"/>
      <family val="2"/>
      <scheme val="minor"/>
    </font>
    <font>
      <b/>
      <u/>
      <sz val="18"/>
      <color rgb="FF000000"/>
      <name val="Calibri"/>
      <family val="2"/>
      <scheme val="minor"/>
    </font>
    <font>
      <u/>
      <sz val="11"/>
      <color theme="1"/>
      <name val="Calibri"/>
      <family val="2"/>
      <scheme val="minor"/>
    </font>
    <font>
      <b/>
      <sz val="14"/>
      <color rgb="FF000000"/>
      <name val="Calibri"/>
      <family val="2"/>
      <scheme val="minor"/>
    </font>
    <font>
      <u/>
      <sz val="12"/>
      <color rgb="FF000000"/>
      <name val="Calibri"/>
      <family val="2"/>
      <scheme val="minor"/>
    </font>
    <font>
      <sz val="14"/>
      <color theme="1"/>
      <name val="Calibri"/>
      <family val="2"/>
      <scheme val="minor"/>
    </font>
    <font>
      <u/>
      <sz val="14"/>
      <color theme="1"/>
      <name val="Calibri"/>
      <family val="2"/>
      <scheme val="minor"/>
    </font>
    <font>
      <b/>
      <sz val="16"/>
      <color theme="1"/>
      <name val="Cambria"/>
      <family val="1"/>
      <scheme val="major"/>
    </font>
    <font>
      <sz val="13"/>
      <color theme="1"/>
      <name val="Cambria"/>
      <family val="1"/>
      <scheme val="major"/>
    </font>
    <font>
      <b/>
      <sz val="13"/>
      <color theme="1"/>
      <name val="Cambria"/>
      <family val="1"/>
      <scheme val="major"/>
    </font>
    <font>
      <sz val="12"/>
      <color theme="1"/>
      <name val="Cambria"/>
      <family val="1"/>
      <scheme val="major"/>
    </font>
    <font>
      <b/>
      <sz val="12"/>
      <color theme="1"/>
      <name val="Cambria"/>
      <family val="1"/>
      <scheme val="major"/>
    </font>
    <font>
      <u/>
      <sz val="14"/>
      <color theme="10"/>
      <name val="Calibri"/>
      <family val="2"/>
      <scheme val="minor"/>
    </font>
    <font>
      <b/>
      <sz val="14"/>
      <color theme="1"/>
      <name val="Calibri"/>
      <family val="2"/>
      <scheme val="minor"/>
    </font>
    <font>
      <b/>
      <u/>
      <sz val="16"/>
      <color rgb="FF548DD4"/>
      <name val="Calibri"/>
      <family val="2"/>
      <scheme val="minor"/>
    </font>
    <font>
      <i/>
      <sz val="10"/>
      <color rgb="FF000000"/>
      <name val="Arial"/>
      <family val="2"/>
    </font>
    <font>
      <b/>
      <sz val="16"/>
      <color rgb="FF0070C0"/>
      <name val="Calibri"/>
      <family val="2"/>
      <scheme val="minor"/>
    </font>
    <font>
      <b/>
      <sz val="14"/>
      <color theme="1"/>
      <name val="Arial"/>
      <family val="2"/>
    </font>
    <font>
      <i/>
      <sz val="10"/>
      <color theme="1"/>
      <name val="Calibri"/>
      <family val="2"/>
      <scheme val="minor"/>
    </font>
    <font>
      <b/>
      <sz val="16"/>
      <color rgb="FFFF0000"/>
      <name val="Calibri"/>
      <family val="2"/>
      <scheme val="minor"/>
    </font>
    <font>
      <b/>
      <u/>
      <sz val="10"/>
      <color rgb="FFFF0000"/>
      <name val="Arial"/>
      <family val="2"/>
    </font>
    <font>
      <b/>
      <sz val="16"/>
      <color theme="1"/>
      <name val="Times New Roman"/>
      <family val="1"/>
    </font>
    <font>
      <b/>
      <sz val="11"/>
      <name val="Arial MT"/>
    </font>
    <font>
      <sz val="9"/>
      <name val="Arial MT"/>
    </font>
    <font>
      <b/>
      <sz val="9"/>
      <name val="Arial MT"/>
    </font>
    <font>
      <b/>
      <sz val="10"/>
      <name val="Arial MT"/>
    </font>
    <font>
      <sz val="10"/>
      <name val="Arial"/>
      <family val="2"/>
    </font>
  </fonts>
  <fills count="13">
    <fill>
      <patternFill patternType="none"/>
    </fill>
    <fill>
      <patternFill patternType="gray125"/>
    </fill>
    <fill>
      <patternFill patternType="solid">
        <fgColor rgb="FFFFFFFF"/>
        <bgColor indexed="64"/>
      </patternFill>
    </fill>
    <fill>
      <patternFill patternType="gray0625">
        <fgColor indexed="24"/>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6337778862885"/>
        <bgColor indexed="64"/>
      </patternFill>
    </fill>
    <fill>
      <patternFill patternType="solid">
        <fgColor theme="9" tint="0.59996337778862885"/>
        <bgColor indexed="64"/>
      </patternFill>
    </fill>
    <fill>
      <patternFill patternType="solid">
        <fgColor theme="7" tint="0.79998168889431442"/>
        <bgColor indexed="64"/>
      </patternFill>
    </fill>
  </fills>
  <borders count="10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right style="medium">
        <color indexed="64"/>
      </right>
      <top style="medium">
        <color indexed="64"/>
      </top>
      <bottom/>
      <diagonal/>
    </border>
    <border>
      <left style="medium">
        <color indexed="64"/>
      </left>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mediumDashDotDot">
        <color indexed="64"/>
      </left>
      <right style="mediumDashDotDot">
        <color indexed="64"/>
      </right>
      <top style="mediumDashDotDot">
        <color indexed="64"/>
      </top>
      <bottom style="mediumDashDotDot">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double">
        <color indexed="64"/>
      </left>
      <right/>
      <top style="double">
        <color indexed="64"/>
      </top>
      <bottom style="double">
        <color rgb="FF000000"/>
      </bottom>
      <diagonal/>
    </border>
    <border>
      <left/>
      <right/>
      <top style="double">
        <color indexed="64"/>
      </top>
      <bottom style="double">
        <color rgb="FF000000"/>
      </bottom>
      <diagonal/>
    </border>
    <border>
      <left/>
      <right style="double">
        <color rgb="FF000000"/>
      </right>
      <top style="double">
        <color indexed="64"/>
      </top>
      <bottom style="double">
        <color rgb="FF000000"/>
      </bottom>
      <diagonal/>
    </border>
    <border>
      <left style="medium">
        <color indexed="64"/>
      </left>
      <right/>
      <top style="double">
        <color rgb="FF000000"/>
      </top>
      <bottom style="medium">
        <color indexed="64"/>
      </bottom>
      <diagonal/>
    </border>
    <border>
      <left/>
      <right style="medium">
        <color indexed="64"/>
      </right>
      <top style="double">
        <color rgb="FF000000"/>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mediumDashed">
        <color rgb="FF33CC33"/>
      </left>
      <right style="mediumDashed">
        <color rgb="FF33CC33"/>
      </right>
      <top style="mediumDashed">
        <color rgb="FF33CC33"/>
      </top>
      <bottom style="mediumDashed">
        <color rgb="FF33CC3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DashDot">
        <color theme="7" tint="-0.24994659260841701"/>
      </left>
      <right style="mediumDashDot">
        <color theme="7" tint="-0.24994659260841701"/>
      </right>
      <top style="mediumDashDot">
        <color theme="7" tint="-0.24994659260841701"/>
      </top>
      <bottom style="mediumDashDot">
        <color theme="7" tint="-0.24994659260841701"/>
      </bottom>
      <diagonal/>
    </border>
    <border>
      <left/>
      <right/>
      <top style="medium">
        <color indexed="64"/>
      </top>
      <bottom style="thin">
        <color indexed="64"/>
      </bottom>
      <diagonal/>
    </border>
  </borders>
  <cellStyleXfs count="3">
    <xf numFmtId="0" fontId="0" fillId="0" borderId="0"/>
    <xf numFmtId="9" fontId="18" fillId="0" borderId="0" applyFont="0" applyFill="0" applyBorder="0" applyAlignment="0" applyProtection="0"/>
    <xf numFmtId="0" fontId="29" fillId="0" borderId="0" applyNumberFormat="0" applyFill="0" applyBorder="0" applyAlignment="0" applyProtection="0"/>
  </cellStyleXfs>
  <cellXfs count="467">
    <xf numFmtId="0" fontId="0" fillId="0" borderId="0" xfId="0"/>
    <xf numFmtId="0" fontId="0" fillId="0" borderId="0" xfId="0" applyFont="1"/>
    <xf numFmtId="0" fontId="3" fillId="0" borderId="9" xfId="0" applyFont="1" applyBorder="1" applyAlignment="1">
      <alignment vertical="center"/>
    </xf>
    <xf numFmtId="0" fontId="3" fillId="0" borderId="1" xfId="0" applyFont="1" applyBorder="1" applyAlignment="1">
      <alignment vertical="center"/>
    </xf>
    <xf numFmtId="0" fontId="3" fillId="0" borderId="20"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1" xfId="0" applyFont="1" applyBorder="1" applyAlignment="1">
      <alignment vertical="center" wrapText="1"/>
    </xf>
    <xf numFmtId="0" fontId="3" fillId="0" borderId="19" xfId="0" applyFont="1" applyBorder="1" applyAlignment="1">
      <alignment vertical="center"/>
    </xf>
    <xf numFmtId="0" fontId="3" fillId="0" borderId="20" xfId="0" applyFont="1" applyBorder="1" applyAlignment="1">
      <alignment vertical="center" wrapText="1"/>
    </xf>
    <xf numFmtId="0" fontId="3" fillId="0" borderId="21" xfId="0" applyFont="1" applyBorder="1" applyAlignment="1">
      <alignment vertical="center"/>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9" fontId="3" fillId="2" borderId="20" xfId="0" applyNumberFormat="1" applyFont="1" applyFill="1" applyBorder="1" applyAlignment="1">
      <alignment vertical="center"/>
    </xf>
    <xf numFmtId="0" fontId="0" fillId="0" borderId="0" xfId="0" applyBorder="1"/>
    <xf numFmtId="0" fontId="2" fillId="0" borderId="1" xfId="0" applyFont="1"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quotePrefix="1" applyFont="1" applyBorder="1" applyAlignment="1">
      <alignment vertical="center"/>
    </xf>
    <xf numFmtId="0" fontId="3" fillId="0" borderId="0" xfId="0" applyFont="1" applyFill="1" applyBorder="1" applyAlignment="1">
      <alignment vertical="center"/>
    </xf>
    <xf numFmtId="0" fontId="9" fillId="0" borderId="0" xfId="0" applyFont="1" applyAlignment="1"/>
    <xf numFmtId="0" fontId="9" fillId="0" borderId="1" xfId="0" applyFont="1" applyBorder="1" applyAlignment="1">
      <alignment vertical="center"/>
    </xf>
    <xf numFmtId="0" fontId="9" fillId="0" borderId="1" xfId="0" applyFont="1" applyBorder="1" applyAlignment="1"/>
    <xf numFmtId="0" fontId="11" fillId="0" borderId="0" xfId="0" applyFont="1" applyAlignment="1">
      <alignment vertical="center"/>
    </xf>
    <xf numFmtId="0" fontId="8" fillId="0" borderId="0" xfId="0" applyFont="1" applyAlignment="1">
      <alignment vertical="center" wrapText="1"/>
    </xf>
    <xf numFmtId="0" fontId="12" fillId="0" borderId="0" xfId="0" applyFont="1" applyAlignment="1">
      <alignment vertical="center" wrapText="1"/>
    </xf>
    <xf numFmtId="0" fontId="7" fillId="0" borderId="0" xfId="0" applyFont="1"/>
    <xf numFmtId="0" fontId="7" fillId="0" borderId="0" xfId="0" applyFont="1" applyAlignment="1">
      <alignment vertical="center" wrapText="1"/>
    </xf>
    <xf numFmtId="0" fontId="9" fillId="0" borderId="0" xfId="0" applyFont="1" applyAlignment="1">
      <alignment vertical="center" wrapText="1"/>
    </xf>
    <xf numFmtId="0" fontId="13" fillId="0" borderId="0" xfId="0" applyFont="1" applyAlignment="1">
      <alignment vertical="center" wrapText="1"/>
    </xf>
    <xf numFmtId="0" fontId="15" fillId="0" borderId="0" xfId="0" applyFont="1" applyAlignment="1">
      <alignment vertical="center" wrapText="1"/>
    </xf>
    <xf numFmtId="0" fontId="7" fillId="0" borderId="0" xfId="0" applyFont="1" applyAlignment="1">
      <alignment wrapText="1"/>
    </xf>
    <xf numFmtId="0" fontId="11" fillId="0" borderId="0" xfId="0" applyFont="1" applyAlignment="1"/>
    <xf numFmtId="0" fontId="13" fillId="0" borderId="0" xfId="0" applyFont="1" applyAlignment="1"/>
    <xf numFmtId="0" fontId="14" fillId="0" borderId="0" xfId="0" applyFont="1" applyAlignment="1">
      <alignment wrapText="1"/>
    </xf>
    <xf numFmtId="0" fontId="0" fillId="0" borderId="0" xfId="0" applyAlignment="1"/>
    <xf numFmtId="0" fontId="7" fillId="0" borderId="0" xfId="0" applyFont="1" applyAlignment="1"/>
    <xf numFmtId="0" fontId="10" fillId="0" borderId="0" xfId="0" applyFont="1" applyAlignment="1"/>
    <xf numFmtId="0" fontId="13" fillId="0" borderId="0" xfId="0" applyFont="1" applyAlignment="1">
      <alignment wrapText="1"/>
    </xf>
    <xf numFmtId="0" fontId="12" fillId="0" borderId="0" xfId="0" applyFont="1" applyAlignment="1">
      <alignment wrapText="1"/>
    </xf>
    <xf numFmtId="0" fontId="16" fillId="0" borderId="0" xfId="0" applyFont="1" applyAlignment="1">
      <alignment vertical="center"/>
    </xf>
    <xf numFmtId="0" fontId="12" fillId="0" borderId="0" xfId="0" applyFont="1" applyAlignment="1"/>
    <xf numFmtId="0" fontId="9" fillId="0" borderId="1" xfId="0" applyFont="1" applyBorder="1" applyAlignment="1">
      <alignment vertical="center" wrapText="1"/>
    </xf>
    <xf numFmtId="0" fontId="9" fillId="0" borderId="1" xfId="0" applyFont="1" applyBorder="1"/>
    <xf numFmtId="0" fontId="0" fillId="0" borderId="1" xfId="0" applyBorder="1" applyAlignment="1"/>
    <xf numFmtId="0" fontId="16" fillId="0" borderId="1" xfId="0" applyFont="1" applyBorder="1" applyAlignment="1">
      <alignment vertical="center"/>
    </xf>
    <xf numFmtId="0" fontId="16" fillId="0" borderId="1" xfId="0" applyFont="1" applyBorder="1" applyAlignment="1"/>
    <xf numFmtId="0" fontId="7" fillId="0" borderId="1" xfId="0" applyFont="1" applyBorder="1" applyAlignment="1"/>
    <xf numFmtId="0" fontId="3" fillId="2" borderId="1" xfId="0" quotePrefix="1" applyFont="1" applyFill="1" applyBorder="1" applyAlignment="1">
      <alignment vertical="center"/>
    </xf>
    <xf numFmtId="0" fontId="2" fillId="0" borderId="25" xfId="0" applyFont="1" applyBorder="1" applyAlignment="1">
      <alignment vertical="center"/>
    </xf>
    <xf numFmtId="0" fontId="0" fillId="0" borderId="0" xfId="0" applyBorder="1" applyAlignment="1">
      <alignment horizontal="center" vertical="center"/>
    </xf>
    <xf numFmtId="0" fontId="19" fillId="3" borderId="12" xfId="0" applyFont="1" applyFill="1" applyBorder="1" applyProtection="1"/>
    <xf numFmtId="0" fontId="19" fillId="3" borderId="13" xfId="0" applyFont="1" applyFill="1" applyBorder="1" applyAlignment="1" applyProtection="1">
      <alignment horizontal="center"/>
    </xf>
    <xf numFmtId="0" fontId="21" fillId="3" borderId="13" xfId="0" applyFont="1" applyFill="1" applyBorder="1" applyAlignment="1" applyProtection="1">
      <alignment horizontal="center"/>
    </xf>
    <xf numFmtId="0" fontId="19" fillId="3" borderId="13" xfId="0" applyFont="1" applyFill="1" applyBorder="1" applyAlignment="1" applyProtection="1">
      <alignment horizontal="right"/>
    </xf>
    <xf numFmtId="0" fontId="21" fillId="3" borderId="26" xfId="0" applyFont="1" applyFill="1" applyBorder="1" applyAlignment="1" applyProtection="1">
      <alignment horizontal="center"/>
    </xf>
    <xf numFmtId="0" fontId="22" fillId="3" borderId="27" xfId="0" applyFont="1" applyFill="1" applyBorder="1" applyAlignment="1" applyProtection="1">
      <alignment horizontal="center" vertical="center"/>
    </xf>
    <xf numFmtId="0" fontId="19" fillId="3" borderId="0" xfId="0" applyFont="1" applyFill="1" applyBorder="1" applyAlignment="1">
      <alignment horizontal="center" vertical="center"/>
    </xf>
    <xf numFmtId="0" fontId="22" fillId="3" borderId="0" xfId="0" applyFont="1" applyFill="1" applyBorder="1" applyAlignment="1" applyProtection="1">
      <alignment horizontal="center" vertical="center"/>
    </xf>
    <xf numFmtId="0" fontId="23" fillId="3" borderId="0" xfId="0" applyFont="1" applyFill="1" applyBorder="1" applyAlignment="1" applyProtection="1">
      <alignment horizontal="center" vertical="center"/>
    </xf>
    <xf numFmtId="0" fontId="19" fillId="3" borderId="9" xfId="0" applyFont="1" applyFill="1" applyBorder="1" applyAlignment="1" applyProtection="1">
      <alignment horizontal="center" vertical="center"/>
    </xf>
    <xf numFmtId="0" fontId="23" fillId="3" borderId="27" xfId="0" applyFont="1" applyFill="1" applyBorder="1" applyAlignment="1" applyProtection="1">
      <alignment horizontal="center" vertical="center"/>
    </xf>
    <xf numFmtId="0" fontId="23" fillId="0" borderId="28" xfId="0" applyFont="1" applyBorder="1" applyAlignment="1" applyProtection="1">
      <alignment horizontal="center" vertical="center"/>
    </xf>
    <xf numFmtId="0" fontId="23" fillId="4" borderId="24" xfId="0" applyFont="1" applyFill="1" applyBorder="1" applyAlignment="1" applyProtection="1">
      <alignment horizontal="center" vertical="center"/>
    </xf>
    <xf numFmtId="0" fontId="23" fillId="0" borderId="29" xfId="0" applyFont="1" applyBorder="1" applyAlignment="1" applyProtection="1">
      <alignment horizontal="center" vertical="center"/>
    </xf>
    <xf numFmtId="0" fontId="23" fillId="0" borderId="30" xfId="0" applyFont="1" applyBorder="1" applyAlignment="1" applyProtection="1">
      <alignment horizontal="center" vertical="center"/>
    </xf>
    <xf numFmtId="0" fontId="23" fillId="5" borderId="31" xfId="0" applyFont="1" applyFill="1" applyBorder="1" applyAlignment="1" applyProtection="1">
      <alignment horizontal="center" vertical="center"/>
    </xf>
    <xf numFmtId="0" fontId="23" fillId="0" borderId="32" xfId="0" applyFont="1" applyBorder="1" applyAlignment="1" applyProtection="1">
      <alignment horizontal="center" vertical="center"/>
    </xf>
    <xf numFmtId="0" fontId="19" fillId="4" borderId="24" xfId="0" applyFont="1" applyFill="1" applyBorder="1" applyAlignment="1" applyProtection="1">
      <alignment horizontal="center" vertical="center"/>
    </xf>
    <xf numFmtId="0" fontId="24" fillId="6" borderId="33" xfId="0" applyFont="1" applyFill="1" applyBorder="1" applyAlignment="1">
      <alignment horizontal="center"/>
    </xf>
    <xf numFmtId="0" fontId="23" fillId="7" borderId="34" xfId="0" applyFont="1" applyFill="1" applyBorder="1" applyAlignment="1" applyProtection="1">
      <alignment horizontal="center" vertical="center"/>
    </xf>
    <xf numFmtId="0" fontId="25" fillId="3" borderId="27" xfId="0" applyFont="1" applyFill="1" applyBorder="1" applyAlignment="1" applyProtection="1">
      <alignment horizontal="center" vertical="center"/>
    </xf>
    <xf numFmtId="0" fontId="25" fillId="3" borderId="0" xfId="0" applyFont="1" applyFill="1" applyBorder="1" applyAlignment="1" applyProtection="1">
      <alignment horizontal="center" vertical="center"/>
    </xf>
    <xf numFmtId="0" fontId="26" fillId="3" borderId="27" xfId="0" applyFont="1" applyFill="1" applyBorder="1" applyAlignment="1" applyProtection="1">
      <alignment horizontal="center" vertical="center"/>
    </xf>
    <xf numFmtId="0" fontId="26" fillId="3" borderId="0" xfId="0" applyFont="1" applyFill="1" applyBorder="1" applyAlignment="1" applyProtection="1">
      <alignment horizontal="center" vertical="center"/>
    </xf>
    <xf numFmtId="0" fontId="0" fillId="3" borderId="0" xfId="0" applyFill="1" applyBorder="1" applyProtection="1"/>
    <xf numFmtId="0" fontId="26" fillId="3" borderId="10" xfId="0" applyFont="1" applyFill="1" applyBorder="1" applyAlignment="1" applyProtection="1">
      <alignment horizontal="center" vertical="center"/>
    </xf>
    <xf numFmtId="0" fontId="26" fillId="3" borderId="8" xfId="0" applyFont="1" applyFill="1" applyBorder="1" applyAlignment="1" applyProtection="1">
      <alignment horizontal="center" vertical="center"/>
    </xf>
    <xf numFmtId="0" fontId="0" fillId="3" borderId="8" xfId="0" applyFill="1" applyBorder="1" applyProtection="1"/>
    <xf numFmtId="0" fontId="19" fillId="3" borderId="7" xfId="0" applyFont="1" applyFill="1" applyBorder="1" applyAlignment="1" applyProtection="1">
      <alignment horizontal="center" vertical="center"/>
    </xf>
    <xf numFmtId="0" fontId="27" fillId="0" borderId="27" xfId="0" applyFont="1" applyBorder="1"/>
    <xf numFmtId="0" fontId="27" fillId="0" borderId="0" xfId="0" applyFont="1" applyBorder="1"/>
    <xf numFmtId="0" fontId="27" fillId="0" borderId="0" xfId="0" applyFont="1" applyBorder="1" applyAlignment="1">
      <alignment horizontal="center"/>
    </xf>
    <xf numFmtId="0" fontId="27" fillId="0" borderId="9" xfId="0" applyFont="1" applyBorder="1"/>
    <xf numFmtId="0" fontId="28" fillId="0" borderId="27" xfId="0" applyFont="1" applyBorder="1"/>
    <xf numFmtId="0" fontId="27" fillId="0" borderId="10" xfId="0" applyFont="1" applyBorder="1"/>
    <xf numFmtId="0" fontId="27" fillId="0" borderId="8" xfId="0" applyFont="1" applyBorder="1"/>
    <xf numFmtId="0" fontId="27" fillId="0" borderId="8" xfId="0" applyFont="1" applyBorder="1" applyAlignment="1">
      <alignment horizontal="center"/>
    </xf>
    <xf numFmtId="0" fontId="27" fillId="0" borderId="7" xfId="0" applyFont="1" applyBorder="1"/>
    <xf numFmtId="0" fontId="27" fillId="0" borderId="0" xfId="0" applyFont="1"/>
    <xf numFmtId="0" fontId="27" fillId="0" borderId="0" xfId="0" applyFont="1" applyAlignment="1">
      <alignment horizontal="center"/>
    </xf>
    <xf numFmtId="9" fontId="24" fillId="0" borderId="0" xfId="1" applyFont="1"/>
    <xf numFmtId="0" fontId="0" fillId="0" borderId="40" xfId="0" applyBorder="1"/>
    <xf numFmtId="0" fontId="32" fillId="0" borderId="0" xfId="0" applyFont="1" applyAlignment="1">
      <alignment horizontal="center" vertical="center"/>
    </xf>
    <xf numFmtId="0" fontId="0" fillId="0" borderId="0" xfId="0" applyAlignment="1">
      <alignment horizontal="left"/>
    </xf>
    <xf numFmtId="0" fontId="34" fillId="0" borderId="0" xfId="0" applyFont="1" applyAlignment="1">
      <alignment horizontal="left" vertical="center"/>
    </xf>
    <xf numFmtId="0" fontId="8" fillId="0" borderId="0" xfId="0" applyFont="1" applyAlignment="1">
      <alignment horizontal="left" vertical="center"/>
    </xf>
    <xf numFmtId="0" fontId="36" fillId="0" borderId="0" xfId="0" applyFont="1" applyAlignment="1">
      <alignment horizontal="left" vertical="center"/>
    </xf>
    <xf numFmtId="0" fontId="8" fillId="0" borderId="42" xfId="0" applyFont="1" applyBorder="1" applyAlignment="1">
      <alignment horizontal="left" vertical="center"/>
    </xf>
    <xf numFmtId="0" fontId="0" fillId="0" borderId="43" xfId="0" applyBorder="1" applyAlignment="1">
      <alignment horizontal="left"/>
    </xf>
    <xf numFmtId="0" fontId="0" fillId="0" borderId="43" xfId="0" applyBorder="1"/>
    <xf numFmtId="0" fontId="0" fillId="0" borderId="44" xfId="0" applyBorder="1"/>
    <xf numFmtId="0" fontId="36" fillId="0" borderId="42" xfId="0" applyFont="1" applyBorder="1" applyAlignment="1">
      <alignment horizontal="left" vertical="center"/>
    </xf>
    <xf numFmtId="0" fontId="36" fillId="0" borderId="45" xfId="0" applyFont="1" applyBorder="1" applyAlignment="1">
      <alignment horizontal="left" vertical="center"/>
    </xf>
    <xf numFmtId="0" fontId="0" fillId="0" borderId="0" xfId="0" applyBorder="1" applyAlignment="1">
      <alignment horizontal="left"/>
    </xf>
    <xf numFmtId="0" fontId="0" fillId="0" borderId="46" xfId="0" applyBorder="1"/>
    <xf numFmtId="0" fontId="35" fillId="0" borderId="42" xfId="0" applyFont="1" applyBorder="1" applyAlignment="1">
      <alignment horizontal="left" vertical="center"/>
    </xf>
    <xf numFmtId="0" fontId="36" fillId="0" borderId="47" xfId="0" applyFont="1" applyBorder="1" applyAlignment="1">
      <alignment horizontal="center" vertical="center"/>
    </xf>
    <xf numFmtId="0" fontId="0" fillId="0" borderId="48" xfId="0" applyBorder="1"/>
    <xf numFmtId="0" fontId="0" fillId="0" borderId="49" xfId="0" applyBorder="1"/>
    <xf numFmtId="0" fontId="38" fillId="0" borderId="0" xfId="0" applyFont="1"/>
    <xf numFmtId="0" fontId="39" fillId="0" borderId="0" xfId="2" applyFont="1" applyAlignment="1" applyProtection="1"/>
    <xf numFmtId="0" fontId="40" fillId="0" borderId="0" xfId="2" applyFont="1" applyAlignment="1" applyProtection="1"/>
    <xf numFmtId="0" fontId="29" fillId="0" borderId="0" xfId="2" applyAlignment="1" applyProtection="1"/>
    <xf numFmtId="0" fontId="31" fillId="0" borderId="0" xfId="0" applyFont="1"/>
    <xf numFmtId="0" fontId="41" fillId="0" borderId="0" xfId="2" applyFont="1" applyAlignment="1" applyProtection="1"/>
    <xf numFmtId="0" fontId="8" fillId="0" borderId="0" xfId="0" applyFont="1" applyAlignment="1">
      <alignment vertical="center" wrapText="1"/>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16" fillId="0" borderId="40" xfId="0" applyFont="1" applyFill="1" applyBorder="1" applyAlignment="1">
      <alignment vertical="center"/>
    </xf>
    <xf numFmtId="0" fontId="0" fillId="0" borderId="40" xfId="0" applyBorder="1" applyAlignment="1"/>
    <xf numFmtId="0" fontId="43" fillId="0" borderId="1" xfId="0" applyFont="1" applyBorder="1" applyAlignment="1"/>
    <xf numFmtId="0" fontId="44" fillId="0" borderId="1" xfId="0" applyFont="1" applyBorder="1" applyAlignment="1"/>
    <xf numFmtId="0" fontId="43" fillId="0" borderId="1" xfId="0" applyFont="1" applyBorder="1" applyAlignment="1">
      <alignment vertical="center" wrapText="1"/>
    </xf>
    <xf numFmtId="0" fontId="0" fillId="0" borderId="40" xfId="0" applyFont="1" applyBorder="1" applyAlignment="1">
      <alignment vertical="center"/>
    </xf>
    <xf numFmtId="0" fontId="3" fillId="0" borderId="40" xfId="0" applyFont="1" applyBorder="1" applyAlignment="1">
      <alignment vertical="center"/>
    </xf>
    <xf numFmtId="0" fontId="3" fillId="0" borderId="40" xfId="0" applyFont="1" applyBorder="1" applyAlignment="1"/>
    <xf numFmtId="0" fontId="6" fillId="0" borderId="40" xfId="0" applyFont="1" applyBorder="1" applyAlignment="1">
      <alignment horizontal="center"/>
    </xf>
    <xf numFmtId="0" fontId="0" fillId="0" borderId="40" xfId="0" applyBorder="1" applyAlignment="1">
      <alignment horizontal="center" vertical="center" wrapText="1"/>
    </xf>
    <xf numFmtId="0" fontId="0" fillId="0" borderId="52" xfId="0" applyBorder="1"/>
    <xf numFmtId="0" fontId="8" fillId="0" borderId="0" xfId="0" applyFont="1" applyAlignment="1">
      <alignment vertical="center" wrapText="1"/>
    </xf>
    <xf numFmtId="0" fontId="0" fillId="0" borderId="57" xfId="0" applyFont="1" applyBorder="1" applyAlignment="1">
      <alignment vertical="center"/>
    </xf>
    <xf numFmtId="0" fontId="0" fillId="0" borderId="57" xfId="0" applyBorder="1"/>
    <xf numFmtId="0" fontId="49" fillId="0" borderId="5" xfId="0" applyFont="1" applyBorder="1" applyAlignment="1">
      <alignment horizontal="center" vertical="center" wrapText="1"/>
    </xf>
    <xf numFmtId="0" fontId="42" fillId="0" borderId="58" xfId="0" applyFont="1" applyBorder="1" applyAlignment="1">
      <alignment vertical="center" wrapText="1"/>
    </xf>
    <xf numFmtId="0" fontId="45" fillId="0" borderId="7" xfId="0" applyFont="1" applyBorder="1" applyAlignment="1">
      <alignment vertical="center" wrapText="1"/>
    </xf>
    <xf numFmtId="0" fontId="42" fillId="0" borderId="7" xfId="0" applyFont="1" applyBorder="1" applyAlignment="1">
      <alignment vertical="center" wrapText="1"/>
    </xf>
    <xf numFmtId="0" fontId="2" fillId="0" borderId="58" xfId="0" applyFont="1" applyBorder="1" applyAlignment="1">
      <alignment vertical="center" wrapText="1"/>
    </xf>
    <xf numFmtId="0" fontId="6" fillId="0" borderId="57" xfId="0" applyFont="1" applyBorder="1" applyAlignment="1">
      <alignment horizontal="center" vertical="center"/>
    </xf>
    <xf numFmtId="0" fontId="0" fillId="0" borderId="57" xfId="0" applyBorder="1" applyAlignment="1">
      <alignment vertical="center"/>
    </xf>
    <xf numFmtId="0" fontId="6" fillId="0" borderId="57" xfId="0" applyFont="1" applyBorder="1" applyAlignment="1">
      <alignment horizontal="center"/>
    </xf>
    <xf numFmtId="0" fontId="6" fillId="0" borderId="57" xfId="0" applyFont="1" applyFill="1" applyBorder="1" applyAlignment="1">
      <alignment horizontal="center" vertical="center"/>
    </xf>
    <xf numFmtId="0" fontId="0" fillId="0" borderId="57" xfId="0" applyFill="1" applyBorder="1" applyAlignment="1">
      <alignment vertical="center"/>
    </xf>
    <xf numFmtId="0" fontId="0" fillId="0" borderId="60" xfId="0" applyBorder="1" applyAlignment="1">
      <alignment vertical="center"/>
    </xf>
    <xf numFmtId="0" fontId="0" fillId="0" borderId="60" xfId="0" applyFill="1" applyBorder="1" applyAlignment="1">
      <alignment vertical="center"/>
    </xf>
    <xf numFmtId="0" fontId="0" fillId="0" borderId="60" xfId="0" applyFill="1" applyBorder="1"/>
    <xf numFmtId="49" fontId="0" fillId="0" borderId="57" xfId="0" quotePrefix="1" applyNumberFormat="1" applyBorder="1" applyAlignment="1">
      <alignment vertical="center"/>
    </xf>
    <xf numFmtId="49" fontId="0" fillId="0" borderId="60" xfId="0" quotePrefix="1" applyNumberFormat="1" applyBorder="1" applyAlignment="1">
      <alignment vertical="center"/>
    </xf>
    <xf numFmtId="49" fontId="0" fillId="0" borderId="57" xfId="0" applyNumberFormat="1" applyBorder="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2" borderId="15" xfId="0" applyFont="1" applyFill="1" applyBorder="1" applyAlignment="1">
      <alignment horizontal="center" vertical="center" wrapText="1"/>
    </xf>
    <xf numFmtId="0" fontId="2" fillId="0" borderId="16" xfId="0" applyFont="1" applyBorder="1" applyAlignment="1">
      <alignment horizontal="center" vertical="center" wrapText="1"/>
    </xf>
    <xf numFmtId="0" fontId="3" fillId="0" borderId="1" xfId="0" applyFont="1" applyBorder="1" applyAlignment="1">
      <alignment horizontal="center" vertical="center" wrapText="1"/>
    </xf>
    <xf numFmtId="0" fontId="23" fillId="0" borderId="61" xfId="0" applyFont="1" applyBorder="1" applyAlignment="1" applyProtection="1">
      <alignment horizontal="center" vertical="center"/>
    </xf>
    <xf numFmtId="0" fontId="23" fillId="0" borderId="62" xfId="0" applyFont="1" applyBorder="1" applyAlignment="1" applyProtection="1">
      <alignment horizontal="center" vertical="center"/>
    </xf>
    <xf numFmtId="0" fontId="9" fillId="0" borderId="64" xfId="0" applyFont="1" applyBorder="1" applyAlignment="1"/>
    <xf numFmtId="0" fontId="9" fillId="0" borderId="65" xfId="0" applyFont="1" applyBorder="1" applyAlignment="1">
      <alignment vertical="center" wrapText="1"/>
    </xf>
    <xf numFmtId="0" fontId="44" fillId="0" borderId="65" xfId="0" applyFont="1" applyBorder="1" applyAlignment="1">
      <alignment vertical="center" wrapText="1"/>
    </xf>
    <xf numFmtId="0" fontId="9" fillId="0" borderId="65" xfId="0" applyFont="1" applyBorder="1" applyAlignment="1">
      <alignment horizontal="left" vertical="center"/>
    </xf>
    <xf numFmtId="0" fontId="36" fillId="0" borderId="45" xfId="0" applyFont="1" applyBorder="1" applyAlignment="1">
      <alignment horizontal="center" vertical="center" wrapText="1"/>
    </xf>
    <xf numFmtId="0" fontId="0" fillId="0" borderId="0" xfId="0" applyBorder="1" applyAlignment="1">
      <alignment horizontal="center" vertical="center" wrapText="1"/>
    </xf>
    <xf numFmtId="0" fontId="0" fillId="0" borderId="46" xfId="0" applyBorder="1" applyAlignment="1">
      <alignment horizontal="center" vertical="center" wrapText="1"/>
    </xf>
    <xf numFmtId="0" fontId="0" fillId="0" borderId="0" xfId="0" applyAlignment="1">
      <alignment horizontal="center"/>
    </xf>
    <xf numFmtId="0" fontId="0" fillId="0" borderId="0" xfId="0" applyAlignment="1">
      <alignment horizontal="right"/>
    </xf>
    <xf numFmtId="0" fontId="53" fillId="0" borderId="24" xfId="0" applyFont="1" applyBorder="1" applyAlignment="1">
      <alignment horizontal="center" vertical="center" wrapText="1"/>
    </xf>
    <xf numFmtId="0" fontId="55" fillId="0" borderId="66" xfId="0" applyFont="1" applyBorder="1" applyAlignment="1">
      <alignment horizontal="center" vertical="center"/>
    </xf>
    <xf numFmtId="164" fontId="55" fillId="0" borderId="13" xfId="0" applyNumberFormat="1" applyFont="1" applyBorder="1" applyAlignment="1">
      <alignment horizontal="right" vertical="center"/>
    </xf>
    <xf numFmtId="164" fontId="55" fillId="0" borderId="13" xfId="0" applyNumberFormat="1" applyFont="1" applyBorder="1" applyAlignment="1">
      <alignment horizontal="center" vertical="center"/>
    </xf>
    <xf numFmtId="164" fontId="55" fillId="0" borderId="67" xfId="0" applyNumberFormat="1" applyFont="1" applyBorder="1" applyAlignment="1">
      <alignment horizontal="left" vertical="center"/>
    </xf>
    <xf numFmtId="164" fontId="55" fillId="0" borderId="68" xfId="0" applyNumberFormat="1" applyFont="1" applyBorder="1" applyAlignment="1">
      <alignment horizontal="center" vertical="center"/>
    </xf>
    <xf numFmtId="164" fontId="55" fillId="0" borderId="26" xfId="0" applyNumberFormat="1" applyFont="1" applyBorder="1" applyAlignment="1">
      <alignment horizontal="center" vertical="center"/>
    </xf>
    <xf numFmtId="0" fontId="55" fillId="8" borderId="69" xfId="0" applyFont="1" applyFill="1" applyBorder="1" applyAlignment="1">
      <alignment horizontal="center" vertical="center"/>
    </xf>
    <xf numFmtId="164" fontId="55" fillId="8" borderId="70" xfId="0" applyNumberFormat="1" applyFont="1" applyFill="1" applyBorder="1" applyAlignment="1">
      <alignment horizontal="right" vertical="center"/>
    </xf>
    <xf numFmtId="164" fontId="55" fillId="8" borderId="70" xfId="0" applyNumberFormat="1" applyFont="1" applyFill="1" applyBorder="1" applyAlignment="1">
      <alignment horizontal="center" vertical="center"/>
    </xf>
    <xf numFmtId="164" fontId="55" fillId="8" borderId="71" xfId="0" applyNumberFormat="1" applyFont="1" applyFill="1" applyBorder="1" applyAlignment="1">
      <alignment horizontal="left" vertical="center"/>
    </xf>
    <xf numFmtId="164" fontId="55" fillId="8" borderId="72" xfId="0" applyNumberFormat="1" applyFont="1" applyFill="1" applyBorder="1" applyAlignment="1">
      <alignment horizontal="center" vertical="center"/>
    </xf>
    <xf numFmtId="164" fontId="55" fillId="8" borderId="73" xfId="0" applyNumberFormat="1" applyFont="1" applyFill="1" applyBorder="1" applyAlignment="1">
      <alignment horizontal="center" vertical="center"/>
    </xf>
    <xf numFmtId="0" fontId="55" fillId="8" borderId="74" xfId="0" applyFont="1" applyFill="1" applyBorder="1" applyAlignment="1">
      <alignment horizontal="center" vertical="center"/>
    </xf>
    <xf numFmtId="164" fontId="55" fillId="8" borderId="0" xfId="0" applyNumberFormat="1" applyFont="1" applyFill="1" applyBorder="1" applyAlignment="1">
      <alignment horizontal="right" vertical="center"/>
    </xf>
    <xf numFmtId="164" fontId="55" fillId="8" borderId="0" xfId="0" applyNumberFormat="1" applyFont="1" applyFill="1" applyBorder="1" applyAlignment="1">
      <alignment horizontal="center" vertical="center"/>
    </xf>
    <xf numFmtId="164" fontId="55" fillId="8" borderId="75" xfId="0" applyNumberFormat="1" applyFont="1" applyFill="1" applyBorder="1" applyAlignment="1">
      <alignment horizontal="left" vertical="center"/>
    </xf>
    <xf numFmtId="164" fontId="55" fillId="8" borderId="76" xfId="0" applyNumberFormat="1" applyFont="1" applyFill="1" applyBorder="1" applyAlignment="1">
      <alignment horizontal="center" vertical="center"/>
    </xf>
    <xf numFmtId="164" fontId="55" fillId="8" borderId="9" xfId="0" applyNumberFormat="1" applyFont="1" applyFill="1" applyBorder="1" applyAlignment="1">
      <alignment horizontal="center" vertical="center"/>
    </xf>
    <xf numFmtId="0" fontId="55" fillId="8" borderId="77" xfId="0" applyFont="1" applyFill="1" applyBorder="1" applyAlignment="1">
      <alignment horizontal="center" vertical="center"/>
    </xf>
    <xf numFmtId="164" fontId="55" fillId="8" borderId="32" xfId="0" applyNumberFormat="1" applyFont="1" applyFill="1" applyBorder="1" applyAlignment="1">
      <alignment horizontal="right" vertical="center"/>
    </xf>
    <xf numFmtId="164" fontId="55" fillId="8" borderId="32" xfId="0" applyNumberFormat="1" applyFont="1" applyFill="1" applyBorder="1" applyAlignment="1">
      <alignment horizontal="center" vertical="center"/>
    </xf>
    <xf numFmtId="164" fontId="55" fillId="8" borderId="62" xfId="0" applyNumberFormat="1" applyFont="1" applyFill="1" applyBorder="1" applyAlignment="1">
      <alignment horizontal="left" vertical="center"/>
    </xf>
    <xf numFmtId="164" fontId="55" fillId="8" borderId="51" xfId="0" applyNumberFormat="1" applyFont="1" applyFill="1" applyBorder="1" applyAlignment="1">
      <alignment horizontal="center" vertical="center"/>
    </xf>
    <xf numFmtId="164" fontId="55" fillId="8" borderId="63" xfId="0" applyNumberFormat="1" applyFont="1" applyFill="1" applyBorder="1" applyAlignment="1">
      <alignment horizontal="center" vertical="center"/>
    </xf>
    <xf numFmtId="0" fontId="55" fillId="0" borderId="69" xfId="0" applyFont="1" applyBorder="1" applyAlignment="1">
      <alignment horizontal="center" vertical="center"/>
    </xf>
    <xf numFmtId="164" fontId="55" fillId="0" borderId="70" xfId="0" applyNumberFormat="1" applyFont="1" applyBorder="1" applyAlignment="1">
      <alignment horizontal="right" vertical="center"/>
    </xf>
    <xf numFmtId="164" fontId="55" fillId="0" borderId="70" xfId="0" applyNumberFormat="1" applyFont="1" applyBorder="1" applyAlignment="1">
      <alignment horizontal="center" vertical="center"/>
    </xf>
    <xf numFmtId="164" fontId="55" fillId="0" borderId="71" xfId="0" applyNumberFormat="1" applyFont="1" applyBorder="1" applyAlignment="1">
      <alignment horizontal="left" vertical="center"/>
    </xf>
    <xf numFmtId="164" fontId="55" fillId="0" borderId="72" xfId="0" applyNumberFormat="1" applyFont="1" applyBorder="1" applyAlignment="1">
      <alignment horizontal="center" vertical="center"/>
    </xf>
    <xf numFmtId="164" fontId="55" fillId="0" borderId="73" xfId="0" applyNumberFormat="1" applyFont="1" applyBorder="1" applyAlignment="1">
      <alignment horizontal="center" vertical="center"/>
    </xf>
    <xf numFmtId="0" fontId="55" fillId="0" borderId="74" xfId="0" applyFont="1" applyBorder="1" applyAlignment="1">
      <alignment horizontal="center" vertical="center"/>
    </xf>
    <xf numFmtId="164" fontId="55" fillId="0" borderId="0" xfId="0" applyNumberFormat="1" applyFont="1" applyBorder="1" applyAlignment="1">
      <alignment horizontal="right" vertical="center"/>
    </xf>
    <xf numFmtId="164" fontId="55" fillId="0" borderId="0" xfId="0" applyNumberFormat="1" applyFont="1" applyBorder="1" applyAlignment="1">
      <alignment horizontal="center" vertical="center"/>
    </xf>
    <xf numFmtId="164" fontId="55" fillId="0" borderId="75" xfId="0" applyNumberFormat="1" applyFont="1" applyBorder="1" applyAlignment="1">
      <alignment horizontal="left" vertical="center"/>
    </xf>
    <xf numFmtId="164" fontId="55" fillId="0" borderId="76" xfId="0" applyNumberFormat="1" applyFont="1" applyBorder="1" applyAlignment="1">
      <alignment horizontal="center" vertical="center"/>
    </xf>
    <xf numFmtId="164" fontId="55" fillId="0" borderId="9" xfId="0" applyNumberFormat="1" applyFont="1" applyBorder="1" applyAlignment="1">
      <alignment horizontal="center" vertical="center"/>
    </xf>
    <xf numFmtId="0" fontId="55" fillId="9" borderId="69" xfId="0" applyFont="1" applyFill="1" applyBorder="1" applyAlignment="1">
      <alignment horizontal="center" vertical="center"/>
    </xf>
    <xf numFmtId="164" fontId="55" fillId="0" borderId="70" xfId="0" applyNumberFormat="1" applyFont="1" applyFill="1" applyBorder="1" applyAlignment="1">
      <alignment horizontal="right" vertical="center"/>
    </xf>
    <xf numFmtId="164" fontId="55" fillId="0" borderId="70" xfId="0" applyNumberFormat="1" applyFont="1" applyFill="1" applyBorder="1" applyAlignment="1">
      <alignment horizontal="center" vertical="center"/>
    </xf>
    <xf numFmtId="164" fontId="55" fillId="0" borderId="71" xfId="0" applyNumberFormat="1" applyFont="1" applyFill="1" applyBorder="1" applyAlignment="1">
      <alignment horizontal="left" vertical="center"/>
    </xf>
    <xf numFmtId="164" fontId="55" fillId="0" borderId="72" xfId="0" applyNumberFormat="1" applyFont="1" applyFill="1" applyBorder="1" applyAlignment="1">
      <alignment horizontal="center" vertical="center"/>
    </xf>
    <xf numFmtId="164" fontId="55" fillId="0" borderId="73" xfId="0" applyNumberFormat="1" applyFont="1" applyFill="1" applyBorder="1" applyAlignment="1">
      <alignment horizontal="center" vertical="center"/>
    </xf>
    <xf numFmtId="0" fontId="55" fillId="0" borderId="69" xfId="0" applyFont="1" applyFill="1" applyBorder="1" applyAlignment="1">
      <alignment horizontal="center" vertical="center"/>
    </xf>
    <xf numFmtId="0" fontId="55" fillId="0" borderId="74" xfId="0" applyFont="1" applyFill="1" applyBorder="1" applyAlignment="1">
      <alignment horizontal="center" vertical="center"/>
    </xf>
    <xf numFmtId="164" fontId="55" fillId="0" borderId="0" xfId="0" applyNumberFormat="1" applyFont="1" applyFill="1" applyBorder="1" applyAlignment="1">
      <alignment horizontal="right" vertical="center"/>
    </xf>
    <xf numFmtId="164" fontId="55" fillId="0" borderId="0" xfId="0" applyNumberFormat="1" applyFont="1" applyFill="1" applyBorder="1" applyAlignment="1">
      <alignment horizontal="center" vertical="center"/>
    </xf>
    <xf numFmtId="164" fontId="55" fillId="0" borderId="75" xfId="0" applyNumberFormat="1" applyFont="1" applyFill="1" applyBorder="1" applyAlignment="1">
      <alignment horizontal="left" vertical="center"/>
    </xf>
    <xf numFmtId="164" fontId="55" fillId="0" borderId="76" xfId="0" applyNumberFormat="1" applyFont="1" applyFill="1" applyBorder="1" applyAlignment="1">
      <alignment horizontal="center" vertical="center"/>
    </xf>
    <xf numFmtId="164" fontId="55" fillId="0" borderId="9" xfId="0" applyNumberFormat="1" applyFont="1" applyFill="1" applyBorder="1" applyAlignment="1">
      <alignment horizontal="center" vertical="center"/>
    </xf>
    <xf numFmtId="0" fontId="55" fillId="0" borderId="77" xfId="0" applyFont="1" applyBorder="1" applyAlignment="1">
      <alignment horizontal="center" vertical="center"/>
    </xf>
    <xf numFmtId="164" fontId="55" fillId="0" borderId="32" xfId="0" applyNumberFormat="1" applyFont="1" applyBorder="1" applyAlignment="1">
      <alignment horizontal="right" vertical="center"/>
    </xf>
    <xf numFmtId="164" fontId="55" fillId="0" borderId="32" xfId="0" applyNumberFormat="1" applyFont="1" applyBorder="1" applyAlignment="1">
      <alignment horizontal="center" vertical="center"/>
    </xf>
    <xf numFmtId="164" fontId="55" fillId="0" borderId="62" xfId="0" applyNumberFormat="1" applyFont="1" applyBorder="1" applyAlignment="1">
      <alignment horizontal="left" vertical="center"/>
    </xf>
    <xf numFmtId="164" fontId="55" fillId="0" borderId="51" xfId="0" applyNumberFormat="1" applyFont="1" applyBorder="1" applyAlignment="1">
      <alignment horizontal="center" vertical="center"/>
    </xf>
    <xf numFmtId="164" fontId="55" fillId="0" borderId="63" xfId="0" applyNumberFormat="1" applyFont="1" applyBorder="1" applyAlignment="1">
      <alignment horizontal="center" vertical="center"/>
    </xf>
    <xf numFmtId="0" fontId="55" fillId="9" borderId="78" xfId="0" applyFont="1" applyFill="1" applyBorder="1" applyAlignment="1">
      <alignment horizontal="center" vertical="center"/>
    </xf>
    <xf numFmtId="164" fontId="55" fillId="0" borderId="8" xfId="0" applyNumberFormat="1" applyFont="1" applyFill="1" applyBorder="1" applyAlignment="1">
      <alignment horizontal="right" vertical="center"/>
    </xf>
    <xf numFmtId="164" fontId="55" fillId="0" borderId="8" xfId="0" applyNumberFormat="1" applyFont="1" applyFill="1" applyBorder="1" applyAlignment="1">
      <alignment horizontal="center" vertical="center"/>
    </xf>
    <xf numFmtId="164" fontId="55" fillId="0" borderId="79" xfId="0" applyNumberFormat="1" applyFont="1" applyFill="1" applyBorder="1" applyAlignment="1">
      <alignment horizontal="left" vertical="center"/>
    </xf>
    <xf numFmtId="164" fontId="55" fillId="0" borderId="80" xfId="0" applyNumberFormat="1" applyFont="1" applyFill="1" applyBorder="1" applyAlignment="1">
      <alignment horizontal="center" vertical="center"/>
    </xf>
    <xf numFmtId="164" fontId="55" fillId="0" borderId="7" xfId="0" applyNumberFormat="1" applyFont="1" applyFill="1" applyBorder="1" applyAlignment="1">
      <alignment horizontal="center" vertical="center"/>
    </xf>
    <xf numFmtId="0" fontId="55" fillId="0" borderId="0" xfId="0" applyFont="1" applyBorder="1" applyAlignment="1">
      <alignment horizontal="center"/>
    </xf>
    <xf numFmtId="164" fontId="55" fillId="0" borderId="0" xfId="0" applyNumberFormat="1" applyFont="1" applyBorder="1" applyAlignment="1">
      <alignment horizontal="right"/>
    </xf>
    <xf numFmtId="164" fontId="55" fillId="0" borderId="0" xfId="0" applyNumberFormat="1" applyFont="1" applyBorder="1" applyAlignment="1">
      <alignment horizontal="center"/>
    </xf>
    <xf numFmtId="164" fontId="55" fillId="0" borderId="0" xfId="0" applyNumberFormat="1" applyFont="1" applyBorder="1" applyAlignment="1">
      <alignment horizontal="left"/>
    </xf>
    <xf numFmtId="0" fontId="23" fillId="0" borderId="81" xfId="0" applyFont="1" applyBorder="1" applyAlignment="1" applyProtection="1">
      <alignment horizontal="center" vertical="center"/>
    </xf>
    <xf numFmtId="0" fontId="23" fillId="0" borderId="82" xfId="0" applyFont="1" applyBorder="1" applyAlignment="1" applyProtection="1">
      <alignment horizontal="center" vertical="center"/>
    </xf>
    <xf numFmtId="0" fontId="23" fillId="0" borderId="83" xfId="0" applyFont="1" applyBorder="1" applyAlignment="1" applyProtection="1">
      <alignment horizontal="center" vertical="center"/>
    </xf>
    <xf numFmtId="0" fontId="23" fillId="0" borderId="70" xfId="0" applyFont="1" applyBorder="1" applyAlignment="1" applyProtection="1">
      <alignment horizontal="center" vertical="center"/>
    </xf>
    <xf numFmtId="0" fontId="23" fillId="0" borderId="71" xfId="0" applyFont="1" applyBorder="1" applyAlignment="1" applyProtection="1">
      <alignment horizontal="center" vertical="center"/>
    </xf>
    <xf numFmtId="0" fontId="23" fillId="0" borderId="84" xfId="0" applyFont="1" applyBorder="1" applyAlignment="1" applyProtection="1">
      <alignment horizontal="center" vertical="center"/>
    </xf>
    <xf numFmtId="0" fontId="23" fillId="5" borderId="70" xfId="0" applyFont="1" applyFill="1" applyBorder="1" applyAlignment="1" applyProtection="1">
      <alignment horizontal="center" vertical="center"/>
    </xf>
    <xf numFmtId="0" fontId="23" fillId="3" borderId="82" xfId="0" applyFont="1" applyFill="1" applyBorder="1" applyAlignment="1" applyProtection="1">
      <alignment horizontal="center" vertical="center"/>
    </xf>
    <xf numFmtId="0" fontId="23" fillId="7" borderId="24" xfId="0" applyFont="1" applyFill="1" applyBorder="1" applyAlignment="1" applyProtection="1">
      <alignment horizontal="center" vertical="center"/>
    </xf>
    <xf numFmtId="0" fontId="24" fillId="6" borderId="24" xfId="0" applyFont="1" applyFill="1" applyBorder="1" applyAlignment="1">
      <alignment horizontal="center"/>
    </xf>
    <xf numFmtId="14" fontId="24" fillId="0" borderId="0" xfId="1" applyNumberFormat="1" applyFont="1" applyBorder="1"/>
    <xf numFmtId="0" fontId="57" fillId="0" borderId="0" xfId="2" applyFont="1"/>
    <xf numFmtId="0" fontId="0" fillId="0" borderId="57" xfId="0" quotePrefix="1" applyBorder="1" applyAlignment="1">
      <alignment vertical="center"/>
    </xf>
    <xf numFmtId="0" fontId="0" fillId="0" borderId="65" xfId="0" applyBorder="1"/>
    <xf numFmtId="0" fontId="0" fillId="0" borderId="65" xfId="0" applyFill="1" applyBorder="1" applyAlignment="1">
      <alignment vertical="center"/>
    </xf>
    <xf numFmtId="0" fontId="42" fillId="0" borderId="5" xfId="0" applyFont="1" applyBorder="1" applyAlignment="1">
      <alignment vertical="center" wrapText="1"/>
    </xf>
    <xf numFmtId="0" fontId="9" fillId="0" borderId="0" xfId="0" applyFont="1" applyAlignment="1">
      <alignment vertical="center"/>
    </xf>
    <xf numFmtId="0" fontId="0" fillId="0" borderId="0" xfId="0" applyAlignment="1"/>
    <xf numFmtId="0" fontId="8" fillId="0" borderId="0" xfId="0" applyFont="1" applyAlignment="1">
      <alignment vertical="center" wrapText="1"/>
    </xf>
    <xf numFmtId="0" fontId="2" fillId="0" borderId="58" xfId="0" applyFont="1" applyBorder="1" applyAlignment="1">
      <alignment horizontal="center" vertical="center"/>
    </xf>
    <xf numFmtId="0" fontId="2" fillId="0" borderId="7" xfId="0" applyFont="1" applyBorder="1" applyAlignment="1">
      <alignment horizontal="center" vertical="center"/>
    </xf>
    <xf numFmtId="0" fontId="9" fillId="0" borderId="58" xfId="0" applyFont="1" applyBorder="1" applyAlignment="1">
      <alignment vertical="center"/>
    </xf>
    <xf numFmtId="0" fontId="42" fillId="0" borderId="7" xfId="0" applyFont="1" applyBorder="1" applyAlignment="1">
      <alignment vertical="center"/>
    </xf>
    <xf numFmtId="0" fontId="3" fillId="0" borderId="48" xfId="0" applyFont="1" applyBorder="1" applyAlignment="1">
      <alignment vertical="center"/>
    </xf>
    <xf numFmtId="0" fontId="9" fillId="0" borderId="58" xfId="0" applyFont="1" applyBorder="1" applyAlignment="1">
      <alignment horizontal="center" vertical="center"/>
    </xf>
    <xf numFmtId="0" fontId="9" fillId="0" borderId="7" xfId="0" applyFont="1" applyBorder="1" applyAlignment="1">
      <alignment horizontal="center" vertical="center"/>
    </xf>
    <xf numFmtId="0" fontId="16" fillId="0" borderId="65" xfId="0" applyFont="1" applyBorder="1" applyAlignment="1">
      <alignment vertical="center"/>
    </xf>
    <xf numFmtId="0" fontId="43" fillId="0" borderId="65" xfId="0" applyFont="1" applyBorder="1" applyAlignment="1"/>
    <xf numFmtId="0" fontId="43" fillId="0" borderId="58" xfId="0" applyFont="1" applyBorder="1" applyAlignment="1">
      <alignment horizontal="center" vertical="top" wrapText="1"/>
    </xf>
    <xf numFmtId="0" fontId="43" fillId="0" borderId="11" xfId="0" applyFont="1" applyBorder="1" applyAlignment="1">
      <alignment horizontal="center" vertical="top" wrapText="1"/>
    </xf>
    <xf numFmtId="0" fontId="43" fillId="0" borderId="24" xfId="0" applyFont="1" applyBorder="1" applyAlignment="1">
      <alignment vertical="top" wrapText="1"/>
    </xf>
    <xf numFmtId="0" fontId="43" fillId="0" borderId="7" xfId="0" applyFont="1" applyBorder="1" applyAlignment="1">
      <alignment horizontal="center" vertical="top" wrapText="1"/>
    </xf>
    <xf numFmtId="0" fontId="0" fillId="0" borderId="12" xfId="0" applyBorder="1"/>
    <xf numFmtId="0" fontId="16" fillId="0" borderId="13" xfId="0" applyFont="1" applyFill="1" applyBorder="1" applyAlignment="1">
      <alignment horizontal="left" vertical="top"/>
    </xf>
    <xf numFmtId="0" fontId="16" fillId="0" borderId="26" xfId="0" applyFont="1" applyFill="1" applyBorder="1" applyAlignment="1">
      <alignment horizontal="left" vertical="top"/>
    </xf>
    <xf numFmtId="0" fontId="16" fillId="0" borderId="58" xfId="0" applyFont="1" applyBorder="1" applyAlignment="1">
      <alignment vertical="top" wrapText="1"/>
    </xf>
    <xf numFmtId="0" fontId="16" fillId="0" borderId="10" xfId="0" applyFont="1" applyBorder="1" applyAlignment="1">
      <alignment vertical="top" wrapText="1"/>
    </xf>
    <xf numFmtId="0" fontId="43" fillId="0" borderId="7" xfId="0" applyFont="1" applyBorder="1" applyAlignment="1">
      <alignment vertical="top" wrapText="1"/>
    </xf>
    <xf numFmtId="0" fontId="16" fillId="0" borderId="27" xfId="0" applyFont="1" applyFill="1" applyBorder="1" applyAlignment="1">
      <alignment horizontal="left" vertical="top"/>
    </xf>
    <xf numFmtId="0" fontId="16" fillId="0" borderId="0" xfId="0" applyFont="1" applyFill="1" applyBorder="1" applyAlignment="1">
      <alignment horizontal="left" vertical="top"/>
    </xf>
    <xf numFmtId="0" fontId="16" fillId="0" borderId="9" xfId="0" applyFont="1" applyFill="1" applyBorder="1" applyAlignment="1">
      <alignment horizontal="left" vertical="top"/>
    </xf>
    <xf numFmtId="0" fontId="0" fillId="0" borderId="27" xfId="0" applyBorder="1"/>
    <xf numFmtId="0" fontId="16" fillId="0" borderId="8" xfId="0" applyFont="1" applyBorder="1" applyAlignment="1">
      <alignment vertical="top" wrapText="1"/>
    </xf>
    <xf numFmtId="0" fontId="0" fillId="0" borderId="10" xfId="0" applyBorder="1"/>
    <xf numFmtId="0" fontId="16" fillId="0" borderId="8" xfId="0" applyFont="1" applyFill="1" applyBorder="1" applyAlignment="1">
      <alignment horizontal="left" vertical="top"/>
    </xf>
    <xf numFmtId="0" fontId="16" fillId="0" borderId="7" xfId="0" applyFont="1" applyFill="1" applyBorder="1" applyAlignment="1">
      <alignment horizontal="left" vertical="top"/>
    </xf>
    <xf numFmtId="0" fontId="16" fillId="0" borderId="24" xfId="0" applyFont="1" applyBorder="1" applyAlignment="1">
      <alignment vertical="top" wrapText="1"/>
    </xf>
    <xf numFmtId="0" fontId="16" fillId="0" borderId="7" xfId="0" applyFont="1" applyBorder="1" applyAlignment="1">
      <alignment vertical="top" wrapText="1"/>
    </xf>
    <xf numFmtId="0" fontId="0" fillId="0" borderId="7" xfId="0" applyBorder="1" applyAlignment="1">
      <alignment vertical="top" wrapText="1"/>
    </xf>
    <xf numFmtId="0" fontId="16" fillId="0" borderId="0" xfId="0" applyFont="1" applyBorder="1" applyAlignment="1">
      <alignment vertical="center" wrapText="1"/>
    </xf>
    <xf numFmtId="0" fontId="0" fillId="0" borderId="12" xfId="0" applyFont="1" applyBorder="1" applyAlignment="1"/>
    <xf numFmtId="0" fontId="0" fillId="0" borderId="13" xfId="0" applyBorder="1"/>
    <xf numFmtId="0" fontId="0" fillId="0" borderId="26" xfId="0" applyBorder="1" applyAlignment="1">
      <alignment horizontal="center"/>
    </xf>
    <xf numFmtId="0" fontId="63" fillId="0" borderId="27" xfId="0" applyFont="1" applyBorder="1"/>
    <xf numFmtId="0" fontId="0" fillId="0" borderId="9" xfId="0" applyBorder="1" applyAlignment="1">
      <alignment horizontal="center"/>
    </xf>
    <xf numFmtId="0" fontId="0" fillId="0" borderId="27" xfId="0" applyFont="1" applyBorder="1" applyAlignment="1"/>
    <xf numFmtId="0" fontId="0" fillId="0" borderId="27" xfId="0" applyFont="1" applyBorder="1"/>
    <xf numFmtId="0" fontId="0" fillId="0" borderId="9" xfId="0" applyBorder="1"/>
    <xf numFmtId="0" fontId="64" fillId="0" borderId="27" xfId="0" applyFont="1" applyBorder="1"/>
    <xf numFmtId="0" fontId="63" fillId="0" borderId="10" xfId="0" applyFont="1" applyBorder="1"/>
    <xf numFmtId="0" fontId="0" fillId="0" borderId="8" xfId="0" applyBorder="1"/>
    <xf numFmtId="0" fontId="0" fillId="0" borderId="7" xfId="0" applyBorder="1"/>
    <xf numFmtId="0" fontId="16" fillId="0" borderId="0" xfId="0" applyFont="1" applyBorder="1" applyAlignment="1">
      <alignment vertical="top" wrapText="1"/>
    </xf>
    <xf numFmtId="0" fontId="43" fillId="0" borderId="58"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1" xfId="0" applyFont="1" applyBorder="1" applyAlignment="1">
      <alignment horizontal="center" vertical="center" wrapText="1"/>
    </xf>
    <xf numFmtId="0" fontId="43" fillId="0" borderId="7" xfId="0" applyFont="1" applyBorder="1" applyAlignment="1">
      <alignment horizontal="center" vertical="center" wrapText="1"/>
    </xf>
    <xf numFmtId="0" fontId="43" fillId="0" borderId="24" xfId="0" applyFont="1" applyBorder="1" applyAlignment="1">
      <alignment horizontal="center" vertical="center" wrapText="1"/>
    </xf>
    <xf numFmtId="0" fontId="0" fillId="0" borderId="27" xfId="0" applyFont="1" applyFill="1" applyBorder="1"/>
    <xf numFmtId="0" fontId="36" fillId="0" borderId="45" xfId="0" applyFont="1" applyBorder="1" applyAlignment="1">
      <alignment horizontal="center" vertical="center" wrapText="1"/>
    </xf>
    <xf numFmtId="0" fontId="0" fillId="0" borderId="0" xfId="0" applyBorder="1" applyAlignment="1">
      <alignment horizontal="center" vertical="center" wrapText="1"/>
    </xf>
    <xf numFmtId="0" fontId="0" fillId="0" borderId="46" xfId="0" applyBorder="1" applyAlignment="1">
      <alignment horizontal="center" vertical="center" wrapText="1"/>
    </xf>
    <xf numFmtId="0" fontId="55" fillId="0" borderId="27" xfId="0" applyFont="1" applyBorder="1" applyAlignment="1">
      <alignment horizontal="center" vertical="center"/>
    </xf>
    <xf numFmtId="164" fontId="55" fillId="0" borderId="0" xfId="0" applyNumberFormat="1" applyFont="1" applyBorder="1" applyAlignment="1">
      <alignment horizontal="left" vertical="center"/>
    </xf>
    <xf numFmtId="0" fontId="55" fillId="8" borderId="27" xfId="0" applyFont="1" applyFill="1" applyBorder="1" applyAlignment="1">
      <alignment horizontal="center" vertical="center"/>
    </xf>
    <xf numFmtId="164" fontId="55" fillId="8" borderId="0" xfId="0" applyNumberFormat="1" applyFont="1" applyFill="1" applyBorder="1" applyAlignment="1">
      <alignment horizontal="left" vertical="center"/>
    </xf>
    <xf numFmtId="0" fontId="55" fillId="0" borderId="27" xfId="0" applyFont="1" applyFill="1" applyBorder="1" applyAlignment="1">
      <alignment horizontal="center" vertical="center"/>
    </xf>
    <xf numFmtId="164" fontId="55" fillId="0" borderId="0" xfId="0" applyNumberFormat="1" applyFont="1" applyFill="1" applyBorder="1" applyAlignment="1">
      <alignment horizontal="left" vertical="center"/>
    </xf>
    <xf numFmtId="0" fontId="55" fillId="9" borderId="27" xfId="0" applyFont="1" applyFill="1" applyBorder="1" applyAlignment="1">
      <alignment horizontal="center" vertical="center"/>
    </xf>
    <xf numFmtId="0" fontId="55" fillId="0" borderId="10" xfId="0" applyFont="1" applyFill="1" applyBorder="1" applyAlignment="1">
      <alignment horizontal="center" vertical="center"/>
    </xf>
    <xf numFmtId="164" fontId="55" fillId="0" borderId="8" xfId="0" applyNumberFormat="1" applyFont="1" applyFill="1" applyBorder="1" applyAlignment="1">
      <alignment horizontal="left" vertical="center"/>
    </xf>
    <xf numFmtId="0" fontId="55" fillId="8" borderId="93" xfId="0" applyFont="1" applyFill="1" applyBorder="1" applyAlignment="1">
      <alignment horizontal="center" vertical="center"/>
    </xf>
    <xf numFmtId="164" fontId="55" fillId="8" borderId="70" xfId="0" applyNumberFormat="1" applyFont="1" applyFill="1" applyBorder="1" applyAlignment="1">
      <alignment horizontal="left" vertical="center"/>
    </xf>
    <xf numFmtId="0" fontId="55" fillId="8" borderId="94" xfId="0" applyFont="1" applyFill="1" applyBorder="1" applyAlignment="1">
      <alignment horizontal="center" vertical="center"/>
    </xf>
    <xf numFmtId="164" fontId="55" fillId="8" borderId="32" xfId="0" applyNumberFormat="1" applyFont="1" applyFill="1" applyBorder="1" applyAlignment="1">
      <alignment horizontal="left" vertical="center"/>
    </xf>
    <xf numFmtId="0" fontId="35" fillId="0" borderId="47" xfId="0" applyFont="1" applyFill="1" applyBorder="1" applyAlignment="1">
      <alignment horizontal="center" vertical="center"/>
    </xf>
    <xf numFmtId="0" fontId="0" fillId="0" borderId="48" xfId="0" applyFill="1" applyBorder="1" applyAlignment="1">
      <alignment horizontal="center" vertical="center"/>
    </xf>
    <xf numFmtId="0" fontId="0" fillId="0" borderId="49" xfId="0" applyFill="1" applyBorder="1" applyAlignment="1">
      <alignment horizontal="center" vertical="center"/>
    </xf>
    <xf numFmtId="0" fontId="67" fillId="3" borderId="12" xfId="0" applyFont="1" applyFill="1" applyBorder="1" applyProtection="1"/>
    <xf numFmtId="0" fontId="67" fillId="3" borderId="13" xfId="0" applyFont="1" applyFill="1" applyBorder="1" applyAlignment="1" applyProtection="1">
      <alignment horizontal="right"/>
    </xf>
    <xf numFmtId="0" fontId="23" fillId="0" borderId="98" xfId="0" applyFont="1" applyBorder="1" applyAlignment="1" applyProtection="1">
      <alignment horizontal="center" vertical="center"/>
    </xf>
    <xf numFmtId="0" fontId="23" fillId="0" borderId="99" xfId="0" applyFont="1" applyBorder="1" applyAlignment="1" applyProtection="1">
      <alignment horizontal="center" vertical="center"/>
    </xf>
    <xf numFmtId="0" fontId="23" fillId="0" borderId="100" xfId="0" applyFont="1" applyBorder="1" applyAlignment="1" applyProtection="1">
      <alignment horizontal="center" vertical="center"/>
    </xf>
    <xf numFmtId="0" fontId="68" fillId="3" borderId="27" xfId="0" applyFont="1" applyFill="1" applyBorder="1" applyAlignment="1" applyProtection="1">
      <alignment horizontal="center" vertical="center"/>
    </xf>
    <xf numFmtId="0" fontId="68" fillId="3" borderId="0" xfId="0" applyFont="1" applyFill="1" applyBorder="1" applyAlignment="1" applyProtection="1">
      <alignment horizontal="center" vertical="center"/>
    </xf>
    <xf numFmtId="0" fontId="23" fillId="10" borderId="101" xfId="0" applyFont="1" applyFill="1" applyBorder="1" applyAlignment="1" applyProtection="1">
      <alignment horizontal="center" vertical="center"/>
    </xf>
    <xf numFmtId="0" fontId="23" fillId="0" borderId="102" xfId="0" applyFont="1" applyBorder="1" applyAlignment="1" applyProtection="1">
      <alignment horizontal="center" vertical="center"/>
    </xf>
    <xf numFmtId="0" fontId="23" fillId="0" borderId="103" xfId="0" applyFont="1" applyBorder="1" applyAlignment="1" applyProtection="1">
      <alignment horizontal="center" vertical="center"/>
    </xf>
    <xf numFmtId="0" fontId="23" fillId="0" borderId="104" xfId="0" applyFont="1" applyBorder="1" applyAlignment="1" applyProtection="1">
      <alignment horizontal="center" vertical="center"/>
    </xf>
    <xf numFmtId="0" fontId="23" fillId="3" borderId="99" xfId="0" applyFont="1" applyFill="1" applyBorder="1" applyAlignment="1" applyProtection="1">
      <alignment horizontal="center" vertical="center"/>
    </xf>
    <xf numFmtId="0" fontId="69" fillId="3" borderId="27" xfId="0" applyFont="1" applyFill="1" applyBorder="1" applyAlignment="1" applyProtection="1">
      <alignment horizontal="center" vertical="center"/>
    </xf>
    <xf numFmtId="0" fontId="70" fillId="3" borderId="0" xfId="0" applyFont="1" applyFill="1" applyBorder="1" applyAlignment="1" applyProtection="1">
      <alignment horizontal="center" vertical="center"/>
    </xf>
    <xf numFmtId="0" fontId="19" fillId="4" borderId="11" xfId="0" applyFont="1" applyFill="1" applyBorder="1" applyAlignment="1" applyProtection="1">
      <alignment horizontal="center" vertical="center"/>
    </xf>
    <xf numFmtId="0" fontId="23" fillId="11" borderId="24" xfId="0" applyFont="1" applyFill="1" applyBorder="1" applyAlignment="1" applyProtection="1">
      <alignment horizontal="center" vertical="center"/>
    </xf>
    <xf numFmtId="0" fontId="19" fillId="4" borderId="5" xfId="0" applyFont="1" applyFill="1" applyBorder="1" applyAlignment="1" applyProtection="1">
      <alignment horizontal="center" vertical="center"/>
    </xf>
    <xf numFmtId="0" fontId="23" fillId="12" borderId="105" xfId="0" applyFont="1" applyFill="1" applyBorder="1" applyAlignment="1" applyProtection="1">
      <alignment horizontal="center" vertical="center"/>
    </xf>
    <xf numFmtId="0" fontId="23" fillId="0" borderId="99" xfId="0" applyFont="1" applyFill="1" applyBorder="1" applyAlignment="1" applyProtection="1">
      <alignment horizontal="center" vertical="center"/>
    </xf>
    <xf numFmtId="0" fontId="26" fillId="0" borderId="12" xfId="0" applyFont="1" applyFill="1" applyBorder="1" applyAlignment="1" applyProtection="1">
      <alignment horizontal="center" vertical="center"/>
    </xf>
    <xf numFmtId="0" fontId="26" fillId="0" borderId="13" xfId="0" applyFont="1" applyFill="1" applyBorder="1" applyAlignment="1" applyProtection="1">
      <alignment horizontal="center" vertical="center"/>
    </xf>
    <xf numFmtId="0" fontId="0" fillId="0" borderId="13" xfId="0" applyFill="1" applyBorder="1" applyProtection="1"/>
    <xf numFmtId="0" fontId="19" fillId="0" borderId="26" xfId="0" applyFont="1" applyFill="1" applyBorder="1" applyAlignment="1" applyProtection="1">
      <alignment horizontal="center" vertical="center"/>
    </xf>
    <xf numFmtId="0" fontId="27" fillId="0" borderId="27" xfId="0" applyFont="1" applyFill="1" applyBorder="1"/>
    <xf numFmtId="0" fontId="23" fillId="0" borderId="0" xfId="0" applyFont="1" applyFill="1" applyBorder="1" applyAlignment="1" applyProtection="1">
      <alignment horizontal="center" vertical="center"/>
    </xf>
    <xf numFmtId="0" fontId="0" fillId="0" borderId="0" xfId="0" applyFill="1" applyBorder="1"/>
    <xf numFmtId="0" fontId="27" fillId="0" borderId="0" xfId="0" applyFont="1" applyFill="1" applyBorder="1"/>
    <xf numFmtId="0" fontId="71" fillId="0" borderId="0" xfId="0" applyFont="1" applyBorder="1"/>
    <xf numFmtId="0" fontId="27" fillId="0" borderId="10" xfId="0" applyFont="1" applyFill="1" applyBorder="1"/>
    <xf numFmtId="0" fontId="27" fillId="0" borderId="8" xfId="0" applyFont="1" applyFill="1" applyBorder="1"/>
    <xf numFmtId="0" fontId="23" fillId="0" borderId="29" xfId="0" applyFont="1" applyFill="1" applyBorder="1" applyAlignment="1" applyProtection="1">
      <alignment horizontal="center" vertical="center"/>
    </xf>
    <xf numFmtId="0" fontId="23" fillId="0" borderId="32" xfId="0" applyFont="1" applyFill="1" applyBorder="1" applyAlignment="1" applyProtection="1">
      <alignment horizontal="center" vertical="center"/>
    </xf>
    <xf numFmtId="0" fontId="23" fillId="0" borderId="106" xfId="0" applyFont="1" applyFill="1" applyBorder="1" applyAlignment="1" applyProtection="1">
      <alignment horizontal="center" vertical="center"/>
    </xf>
    <xf numFmtId="0" fontId="17" fillId="0" borderId="0" xfId="0" applyFont="1"/>
    <xf numFmtId="0" fontId="8" fillId="0" borderId="0" xfId="0" applyFont="1" applyAlignment="1">
      <alignment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8" xfId="0" applyFont="1" applyBorder="1" applyAlignment="1">
      <alignment horizontal="center" vertical="center" wrapText="1"/>
    </xf>
    <xf numFmtId="0" fontId="0" fillId="0" borderId="39" xfId="0" applyBorder="1" applyAlignment="1">
      <alignment horizontal="center" vertical="center" wrapText="1"/>
    </xf>
    <xf numFmtId="0" fontId="1" fillId="0" borderId="2" xfId="0" applyFont="1" applyBorder="1" applyAlignment="1">
      <alignment horizontal="center"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5" fillId="0" borderId="2" xfId="0" applyFont="1" applyBorder="1" applyAlignment="1">
      <alignment horizontal="center" vertical="center"/>
    </xf>
    <xf numFmtId="0" fontId="5" fillId="0" borderId="65" xfId="0" applyFont="1" applyBorder="1" applyAlignment="1">
      <alignment horizontal="center" vertical="center"/>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0" fillId="0" borderId="44" xfId="0" applyBorder="1" applyAlignment="1">
      <alignment horizontal="center" vertical="center" wrapText="1"/>
    </xf>
    <xf numFmtId="0" fontId="9" fillId="0" borderId="11" xfId="0" applyFont="1" applyBorder="1" applyAlignment="1">
      <alignment horizontal="center" vertical="center"/>
    </xf>
    <xf numFmtId="0" fontId="9" fillId="0" borderId="5" xfId="0" applyFont="1" applyBorder="1" applyAlignment="1">
      <alignment horizontal="center" vertical="center"/>
    </xf>
    <xf numFmtId="0" fontId="7" fillId="0" borderId="13" xfId="0" applyFont="1" applyBorder="1"/>
    <xf numFmtId="0" fontId="3" fillId="0" borderId="48" xfId="0" applyFont="1" applyBorder="1" applyAlignment="1">
      <alignment vertical="center"/>
    </xf>
    <xf numFmtId="0" fontId="61" fillId="0" borderId="87" xfId="0" applyFont="1" applyBorder="1" applyAlignment="1">
      <alignment horizontal="center" vertical="center" wrapText="1"/>
    </xf>
    <xf numFmtId="0" fontId="61" fillId="0" borderId="88" xfId="0" applyFont="1" applyBorder="1" applyAlignment="1">
      <alignment horizontal="center" vertical="center" wrapText="1"/>
    </xf>
    <xf numFmtId="0" fontId="61" fillId="0" borderId="89" xfId="0" applyFont="1" applyBorder="1" applyAlignment="1">
      <alignment horizontal="center" vertical="center" wrapText="1"/>
    </xf>
    <xf numFmtId="0" fontId="2" fillId="0" borderId="90" xfId="0" applyFont="1" applyBorder="1" applyAlignment="1">
      <alignment horizontal="center" vertical="center"/>
    </xf>
    <xf numFmtId="0" fontId="2" fillId="0" borderId="91" xfId="0" applyFont="1" applyBorder="1" applyAlignment="1">
      <alignment horizontal="center" vertical="center"/>
    </xf>
    <xf numFmtId="0" fontId="9" fillId="0" borderId="11" xfId="0" applyFont="1" applyBorder="1" applyAlignment="1">
      <alignment vertical="center"/>
    </xf>
    <xf numFmtId="0" fontId="9" fillId="0" borderId="5" xfId="0" applyFont="1" applyBorder="1" applyAlignment="1">
      <alignment vertical="center"/>
    </xf>
    <xf numFmtId="0" fontId="5" fillId="0" borderId="11" xfId="0" applyFont="1" applyBorder="1" applyAlignment="1">
      <alignment horizontal="center" vertical="center"/>
    </xf>
    <xf numFmtId="0" fontId="5" fillId="0" borderId="6" xfId="0" applyFont="1" applyBorder="1" applyAlignment="1">
      <alignment horizontal="center" vertical="center"/>
    </xf>
    <xf numFmtId="0" fontId="5" fillId="0" borderId="92" xfId="0" applyFont="1" applyBorder="1" applyAlignment="1">
      <alignment horizontal="center" vertical="center"/>
    </xf>
    <xf numFmtId="0" fontId="59" fillId="0" borderId="87" xfId="0" applyFont="1" applyBorder="1" applyAlignment="1">
      <alignment horizontal="center" vertical="center" wrapText="1"/>
    </xf>
    <xf numFmtId="0" fontId="59" fillId="0" borderId="88" xfId="0" applyFont="1" applyBorder="1" applyAlignment="1">
      <alignment horizontal="center" vertical="center" wrapText="1"/>
    </xf>
    <xf numFmtId="0" fontId="59" fillId="0" borderId="89" xfId="0" applyFont="1" applyBorder="1" applyAlignment="1">
      <alignment horizontal="center" vertical="center" wrapText="1"/>
    </xf>
    <xf numFmtId="0" fontId="3" fillId="0" borderId="12" xfId="0" applyFont="1" applyBorder="1" applyAlignment="1">
      <alignment vertical="center"/>
    </xf>
    <xf numFmtId="0" fontId="3" fillId="0" borderId="13" xfId="0" applyFont="1" applyBorder="1" applyAlignment="1">
      <alignment vertical="center"/>
    </xf>
    <xf numFmtId="0" fontId="3" fillId="0" borderId="10" xfId="0" applyFont="1" applyBorder="1" applyAlignment="1">
      <alignment vertical="center"/>
    </xf>
    <xf numFmtId="0" fontId="3" fillId="0" borderId="8" xfId="0" applyFont="1" applyBorder="1" applyAlignment="1">
      <alignment vertical="center"/>
    </xf>
    <xf numFmtId="0" fontId="3" fillId="0" borderId="7" xfId="0" applyFont="1" applyBorder="1" applyAlignment="1">
      <alignment vertical="center"/>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1" fillId="0" borderId="6" xfId="0" applyFont="1" applyBorder="1" applyAlignment="1">
      <alignment horizontal="center" vertical="center" wrapText="1"/>
    </xf>
    <xf numFmtId="0" fontId="1" fillId="0" borderId="5" xfId="0"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4"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85" xfId="0" applyFont="1" applyBorder="1" applyAlignment="1">
      <alignment horizontal="center" vertical="center" wrapText="1"/>
    </xf>
    <xf numFmtId="0" fontId="5" fillId="0" borderId="64" xfId="0" applyFont="1" applyBorder="1" applyAlignment="1">
      <alignment horizontal="center" vertical="center" wrapText="1"/>
    </xf>
    <xf numFmtId="0" fontId="0" fillId="0" borderId="86" xfId="0" applyBorder="1" applyAlignment="1">
      <alignment horizontal="center" vertical="center" wrapText="1"/>
    </xf>
    <xf numFmtId="0" fontId="48" fillId="0" borderId="11" xfId="0" applyFont="1" applyBorder="1" applyAlignment="1">
      <alignment vertical="center" wrapText="1"/>
    </xf>
    <xf numFmtId="0" fontId="48" fillId="0" borderId="5" xfId="0" applyFont="1" applyBorder="1" applyAlignment="1">
      <alignment vertical="center" wrapText="1"/>
    </xf>
    <xf numFmtId="0" fontId="5" fillId="0" borderId="5" xfId="0" applyFont="1" applyBorder="1" applyAlignment="1">
      <alignment horizontal="center" vertical="center" wrapText="1"/>
    </xf>
    <xf numFmtId="0" fontId="30" fillId="0" borderId="38"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39" xfId="0" applyFont="1" applyBorder="1" applyAlignment="1">
      <alignment horizontal="center" vertical="center" wrapText="1"/>
    </xf>
    <xf numFmtId="0" fontId="51" fillId="0" borderId="55" xfId="0" applyFont="1" applyBorder="1" applyAlignment="1">
      <alignment horizontal="center"/>
    </xf>
    <xf numFmtId="0" fontId="51" fillId="0" borderId="59" xfId="0" applyFont="1" applyBorder="1" applyAlignment="1">
      <alignment horizontal="center"/>
    </xf>
    <xf numFmtId="0" fontId="51" fillId="0" borderId="56" xfId="0" applyFont="1" applyBorder="1" applyAlignment="1">
      <alignment horizontal="center"/>
    </xf>
    <xf numFmtId="0" fontId="51" fillId="0" borderId="57" xfId="0" applyFont="1" applyBorder="1" applyAlignment="1">
      <alignment horizontal="center"/>
    </xf>
    <xf numFmtId="0" fontId="50" fillId="0" borderId="57" xfId="0" applyFont="1" applyBorder="1" applyAlignment="1">
      <alignment horizontal="center"/>
    </xf>
    <xf numFmtId="0" fontId="16" fillId="0" borderId="11" xfId="0" applyFont="1" applyBorder="1" applyAlignment="1">
      <alignment horizontal="center" vertical="top" wrapText="1"/>
    </xf>
    <xf numFmtId="0" fontId="16" fillId="0" borderId="6" xfId="0" applyFont="1" applyBorder="1" applyAlignment="1">
      <alignment horizontal="center" vertical="top" wrapText="1"/>
    </xf>
    <xf numFmtId="0" fontId="16" fillId="0" borderId="5" xfId="0" applyFont="1" applyBorder="1" applyAlignment="1">
      <alignment horizontal="center" vertical="top" wrapText="1"/>
    </xf>
    <xf numFmtId="0" fontId="58" fillId="0" borderId="11" xfId="0" applyFont="1" applyBorder="1" applyAlignment="1">
      <alignment horizontal="center" wrapText="1"/>
    </xf>
    <xf numFmtId="0" fontId="58" fillId="0" borderId="6" xfId="0" applyFont="1" applyBorder="1" applyAlignment="1">
      <alignment horizontal="center" wrapText="1"/>
    </xf>
    <xf numFmtId="0" fontId="58" fillId="0" borderId="5" xfId="0" applyFont="1" applyBorder="1" applyAlignment="1">
      <alignment horizontal="center" wrapText="1"/>
    </xf>
    <xf numFmtId="0" fontId="6" fillId="0" borderId="11" xfId="0" applyFont="1" applyBorder="1" applyAlignment="1">
      <alignment horizontal="center"/>
    </xf>
    <xf numFmtId="0" fontId="6" fillId="0" borderId="6" xfId="0" applyFont="1" applyBorder="1" applyAlignment="1">
      <alignment horizontal="center"/>
    </xf>
    <xf numFmtId="0" fontId="6" fillId="0" borderId="5" xfId="0" applyFont="1" applyBorder="1" applyAlignment="1">
      <alignment horizontal="center"/>
    </xf>
    <xf numFmtId="0" fontId="65" fillId="0" borderId="11" xfId="0" applyFont="1" applyBorder="1" applyAlignment="1">
      <alignment horizontal="center"/>
    </xf>
    <xf numFmtId="0" fontId="65" fillId="0" borderId="6" xfId="0" applyFont="1" applyBorder="1" applyAlignment="1">
      <alignment horizontal="center"/>
    </xf>
    <xf numFmtId="0" fontId="65" fillId="0" borderId="5" xfId="0" applyFont="1" applyBorder="1" applyAlignment="1">
      <alignment horizontal="center"/>
    </xf>
    <xf numFmtId="0" fontId="16" fillId="0" borderId="11"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5" xfId="0" applyFont="1" applyBorder="1" applyAlignment="1">
      <alignment horizontal="center" vertical="center" wrapText="1"/>
    </xf>
    <xf numFmtId="0" fontId="62" fillId="0" borderId="11" xfId="0" applyFont="1" applyFill="1" applyBorder="1" applyAlignment="1">
      <alignment horizontal="center" vertical="top"/>
    </xf>
    <xf numFmtId="0" fontId="62" fillId="0" borderId="6" xfId="0" applyFont="1" applyFill="1" applyBorder="1" applyAlignment="1">
      <alignment horizontal="center" vertical="top"/>
    </xf>
    <xf numFmtId="0" fontId="62" fillId="0" borderId="5" xfId="0" applyFont="1" applyFill="1" applyBorder="1" applyAlignment="1">
      <alignment horizontal="center" vertical="top"/>
    </xf>
    <xf numFmtId="0" fontId="52" fillId="0" borderId="11" xfId="0" applyFont="1" applyBorder="1" applyAlignment="1">
      <alignment horizontal="center"/>
    </xf>
    <xf numFmtId="0" fontId="52" fillId="0" borderId="6" xfId="0" applyFont="1" applyBorder="1" applyAlignment="1">
      <alignment horizontal="center"/>
    </xf>
    <xf numFmtId="0" fontId="52" fillId="0" borderId="5" xfId="0" applyFont="1" applyBorder="1" applyAlignment="1">
      <alignment horizontal="center"/>
    </xf>
    <xf numFmtId="0" fontId="53" fillId="0" borderId="11" xfId="0" applyFont="1" applyBorder="1" applyAlignment="1">
      <alignment horizontal="center" vertical="center" wrapText="1"/>
    </xf>
    <xf numFmtId="0" fontId="53" fillId="0" borderId="6" xfId="0" applyFont="1" applyBorder="1" applyAlignment="1">
      <alignment horizontal="center" vertical="center" wrapText="1"/>
    </xf>
    <xf numFmtId="0" fontId="53" fillId="0" borderId="5" xfId="0" applyFont="1" applyBorder="1" applyAlignment="1">
      <alignment horizontal="center" vertical="center" wrapText="1"/>
    </xf>
    <xf numFmtId="164" fontId="56" fillId="0" borderId="13" xfId="0" applyNumberFormat="1" applyFont="1" applyBorder="1" applyAlignment="1">
      <alignment horizontal="center" vertical="center" wrapText="1"/>
    </xf>
    <xf numFmtId="0" fontId="6" fillId="0" borderId="13" xfId="0" applyFont="1" applyBorder="1" applyAlignment="1">
      <alignment horizontal="center" vertical="center" wrapText="1"/>
    </xf>
    <xf numFmtId="0" fontId="56" fillId="0" borderId="0" xfId="0" applyFont="1" applyAlignment="1">
      <alignment horizontal="center" wrapText="1"/>
    </xf>
    <xf numFmtId="0" fontId="20" fillId="3" borderId="13" xfId="0" applyFont="1" applyFill="1" applyBorder="1" applyAlignment="1" applyProtection="1">
      <alignment horizontal="center"/>
    </xf>
    <xf numFmtId="0" fontId="57" fillId="0" borderId="0" xfId="2" applyFont="1" applyAlignment="1"/>
    <xf numFmtId="0" fontId="0" fillId="0" borderId="0" xfId="0" applyAlignment="1"/>
    <xf numFmtId="0" fontId="35" fillId="0" borderId="0" xfId="0" applyFont="1" applyAlignment="1">
      <alignment horizontal="center" vertical="center" wrapText="1"/>
    </xf>
    <xf numFmtId="0" fontId="6" fillId="0" borderId="0" xfId="0" applyFont="1" applyAlignment="1">
      <alignment horizontal="center" vertical="center" wrapText="1"/>
    </xf>
    <xf numFmtId="0" fontId="36" fillId="0" borderId="45" xfId="0" applyFont="1" applyBorder="1" applyAlignment="1">
      <alignment horizontal="center" vertical="center" wrapText="1"/>
    </xf>
    <xf numFmtId="0" fontId="0" fillId="0" borderId="0" xfId="0" applyBorder="1" applyAlignment="1">
      <alignment horizontal="center" vertical="center" wrapText="1"/>
    </xf>
    <xf numFmtId="0" fontId="0" fillId="0" borderId="46" xfId="0" applyBorder="1" applyAlignment="1">
      <alignment horizontal="center" vertical="center" wrapText="1"/>
    </xf>
    <xf numFmtId="0" fontId="66" fillId="8" borderId="95" xfId="0" applyFont="1" applyFill="1" applyBorder="1" applyAlignment="1">
      <alignment horizontal="center" vertical="center" wrapText="1"/>
    </xf>
    <xf numFmtId="0" fontId="0" fillId="8" borderId="96" xfId="0" applyFont="1" applyFill="1" applyBorder="1" applyAlignment="1">
      <alignment horizontal="center" vertical="center" wrapText="1"/>
    </xf>
    <xf numFmtId="0" fontId="0" fillId="8" borderId="97" xfId="0" applyFont="1" applyFill="1" applyBorder="1" applyAlignment="1">
      <alignment horizontal="center" vertical="center" wrapText="1"/>
    </xf>
    <xf numFmtId="0" fontId="0" fillId="0" borderId="0" xfId="0" applyAlignment="1">
      <alignment horizontal="center" vertical="center" wrapText="1"/>
    </xf>
    <xf numFmtId="0" fontId="35" fillId="0" borderId="47" xfId="0" applyFont="1" applyBorder="1" applyAlignment="1">
      <alignment horizontal="center" vertical="center" wrapText="1"/>
    </xf>
    <xf numFmtId="0" fontId="0" fillId="0" borderId="48" xfId="0" applyBorder="1" applyAlignment="1">
      <alignment horizontal="center" vertical="center" wrapText="1"/>
    </xf>
    <xf numFmtId="0" fontId="0" fillId="0" borderId="49" xfId="0" applyBorder="1" applyAlignment="1">
      <alignment horizontal="center" vertical="center" wrapText="1"/>
    </xf>
    <xf numFmtId="0" fontId="36" fillId="0" borderId="0" xfId="0" applyFont="1" applyAlignment="1">
      <alignment horizontal="center" vertical="center" wrapText="1"/>
    </xf>
    <xf numFmtId="0" fontId="37" fillId="0" borderId="45" xfId="0" applyFont="1" applyBorder="1" applyAlignment="1">
      <alignment horizontal="center" vertical="center" wrapText="1"/>
    </xf>
    <xf numFmtId="0" fontId="36" fillId="0" borderId="47" xfId="0" applyFont="1" applyBorder="1" applyAlignment="1">
      <alignment horizontal="center" vertical="center" wrapText="1"/>
    </xf>
    <xf numFmtId="0" fontId="33" fillId="0" borderId="0" xfId="0" applyFont="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hyperlink" Target="#'Student-ST'!A1"/><Relationship Id="rId13" Type="http://schemas.openxmlformats.org/officeDocument/2006/relationships/hyperlink" Target="#Calendars!A1"/><Relationship Id="rId3" Type="http://schemas.openxmlformats.org/officeDocument/2006/relationships/hyperlink" Target="#'Approvals-TH'!A1"/><Relationship Id="rId7" Type="http://schemas.openxmlformats.org/officeDocument/2006/relationships/hyperlink" Target="#'Employee Class'!A1"/><Relationship Id="rId12" Type="http://schemas.openxmlformats.org/officeDocument/2006/relationships/hyperlink" Target="#'Deferred Pay'!A1"/><Relationship Id="rId2" Type="http://schemas.openxmlformats.org/officeDocument/2006/relationships/image" Target="../media/image1.png"/><Relationship Id="rId1" Type="http://schemas.openxmlformats.org/officeDocument/2006/relationships/hyperlink" Target="http://www.uidaho.edu/human-resources/system-users" TargetMode="External"/><Relationship Id="rId6" Type="http://schemas.openxmlformats.org/officeDocument/2006/relationships/hyperlink" Target="#'Approvals-BA'!A1"/><Relationship Id="rId11" Type="http://schemas.openxmlformats.org/officeDocument/2006/relationships/hyperlink" Target="#'Suffix-PCN Acct-Desc'!A1"/><Relationship Id="rId5" Type="http://schemas.openxmlformats.org/officeDocument/2006/relationships/hyperlink" Target="#'Non Student-T4'!A1"/><Relationship Id="rId15" Type="http://schemas.openxmlformats.org/officeDocument/2006/relationships/hyperlink" Target="#'Working Title Abbrev.'!A1"/><Relationship Id="rId10" Type="http://schemas.openxmlformats.org/officeDocument/2006/relationships/hyperlink" Target="#'Work-Study &amp; Other'!A1"/><Relationship Id="rId4" Type="http://schemas.openxmlformats.org/officeDocument/2006/relationships/hyperlink" Target="#'PERSI-T1'!A1"/><Relationship Id="rId9" Type="http://schemas.openxmlformats.org/officeDocument/2006/relationships/hyperlink" Target="#'Job Change Reason'!A1"/><Relationship Id="rId14" Type="http://schemas.openxmlformats.org/officeDocument/2006/relationships/hyperlink" Target="#'Pay Period'!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hyperlink" Target="#'Dates - FY14'!A1"/><Relationship Id="rId2" Type="http://schemas.openxmlformats.org/officeDocument/2006/relationships/hyperlink" Target="#'FY 2014 Deadlines'!A1"/><Relationship Id="rId1" Type="http://schemas.openxmlformats.org/officeDocument/2006/relationships/hyperlink" Target="#'3-Yr Calendar - FY14'!A1"/><Relationship Id="rId6" Type="http://schemas.openxmlformats.org/officeDocument/2006/relationships/hyperlink" Target="#'Dates - FY15'!A1"/><Relationship Id="rId5" Type="http://schemas.openxmlformats.org/officeDocument/2006/relationships/hyperlink" Target="#'FY 2015 Deadlines'!A1"/><Relationship Id="rId4" Type="http://schemas.openxmlformats.org/officeDocument/2006/relationships/hyperlink" Target="#'3-Yr Calendar - FY15'!A1"/></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180975</xdr:rowOff>
    </xdr:from>
    <xdr:to>
      <xdr:col>2</xdr:col>
      <xdr:colOff>276225</xdr:colOff>
      <xdr:row>12</xdr:row>
      <xdr:rowOff>209550</xdr:rowOff>
    </xdr:to>
    <xdr:sp macro="" textlink="">
      <xdr:nvSpPr>
        <xdr:cNvPr id="2" name="Flowchart: Terminator 1"/>
        <xdr:cNvSpPr/>
      </xdr:nvSpPr>
      <xdr:spPr>
        <a:xfrm>
          <a:off x="47625" y="1704975"/>
          <a:ext cx="1447800" cy="1076325"/>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Approval Categories</a:t>
          </a:r>
        </a:p>
      </xdr:txBody>
    </xdr:sp>
    <xdr:clientData/>
  </xdr:twoCellAnchor>
  <xdr:twoCellAnchor>
    <xdr:from>
      <xdr:col>6</xdr:col>
      <xdr:colOff>561976</xdr:colOff>
      <xdr:row>9</xdr:row>
      <xdr:rowOff>171450</xdr:rowOff>
    </xdr:from>
    <xdr:to>
      <xdr:col>8</xdr:col>
      <xdr:colOff>285750</xdr:colOff>
      <xdr:row>12</xdr:row>
      <xdr:rowOff>323850</xdr:rowOff>
    </xdr:to>
    <xdr:sp macro="" textlink="">
      <xdr:nvSpPr>
        <xdr:cNvPr id="4" name="Flowchart: Terminator 3"/>
        <xdr:cNvSpPr/>
      </xdr:nvSpPr>
      <xdr:spPr>
        <a:xfrm>
          <a:off x="4362451" y="1885950"/>
          <a:ext cx="942974"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Other Info</a:t>
          </a:r>
        </a:p>
      </xdr:txBody>
    </xdr:sp>
    <xdr:clientData/>
  </xdr:twoCellAnchor>
  <xdr:twoCellAnchor>
    <xdr:from>
      <xdr:col>0</xdr:col>
      <xdr:colOff>38100</xdr:colOff>
      <xdr:row>14</xdr:row>
      <xdr:rowOff>38099</xdr:rowOff>
    </xdr:from>
    <xdr:to>
      <xdr:col>2</xdr:col>
      <xdr:colOff>285750</xdr:colOff>
      <xdr:row>19</xdr:row>
      <xdr:rowOff>257175</xdr:rowOff>
    </xdr:to>
    <xdr:sp macro="" textlink="">
      <xdr:nvSpPr>
        <xdr:cNvPr id="5" name="Flowchart: Terminator 4"/>
        <xdr:cNvSpPr/>
      </xdr:nvSpPr>
      <xdr:spPr>
        <a:xfrm>
          <a:off x="38100" y="3276599"/>
          <a:ext cx="1466850" cy="1885951"/>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Temp</a:t>
          </a:r>
          <a:r>
            <a:rPr lang="en-US" sz="2000" baseline="0"/>
            <a:t> Help </a:t>
          </a:r>
          <a:r>
            <a:rPr lang="en-US" sz="2000"/>
            <a:t>PCN's, Suffixes and Titles</a:t>
          </a:r>
        </a:p>
      </xdr:txBody>
    </xdr:sp>
    <xdr:clientData/>
  </xdr:twoCellAnchor>
  <xdr:twoCellAnchor>
    <xdr:from>
      <xdr:col>2</xdr:col>
      <xdr:colOff>276225</xdr:colOff>
      <xdr:row>11</xdr:row>
      <xdr:rowOff>4763</xdr:rowOff>
    </xdr:from>
    <xdr:to>
      <xdr:col>3</xdr:col>
      <xdr:colOff>285751</xdr:colOff>
      <xdr:row>11</xdr:row>
      <xdr:rowOff>9524</xdr:rowOff>
    </xdr:to>
    <xdr:cxnSp macro="">
      <xdr:nvCxnSpPr>
        <xdr:cNvPr id="7" name="Curved Connector 14"/>
        <xdr:cNvCxnSpPr>
          <a:stCxn id="2" idx="3"/>
          <a:endCxn id="19" idx="1"/>
        </xdr:cNvCxnSpPr>
      </xdr:nvCxnSpPr>
      <xdr:spPr>
        <a:xfrm>
          <a:off x="1495425" y="2243138"/>
          <a:ext cx="619126" cy="476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276225</xdr:colOff>
      <xdr:row>9</xdr:row>
      <xdr:rowOff>28575</xdr:rowOff>
    </xdr:from>
    <xdr:to>
      <xdr:col>3</xdr:col>
      <xdr:colOff>295273</xdr:colOff>
      <xdr:row>11</xdr:row>
      <xdr:rowOff>4763</xdr:rowOff>
    </xdr:to>
    <xdr:cxnSp macro="">
      <xdr:nvCxnSpPr>
        <xdr:cNvPr id="8" name="Curved Connector 14"/>
        <xdr:cNvCxnSpPr>
          <a:stCxn id="2" idx="3"/>
          <a:endCxn id="15" idx="1"/>
        </xdr:cNvCxnSpPr>
      </xdr:nvCxnSpPr>
      <xdr:spPr>
        <a:xfrm flipV="1">
          <a:off x="1495425" y="1743075"/>
          <a:ext cx="628648" cy="50006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285750</xdr:colOff>
      <xdr:row>9</xdr:row>
      <xdr:rowOff>85724</xdr:rowOff>
    </xdr:from>
    <xdr:to>
      <xdr:col>9</xdr:col>
      <xdr:colOff>600074</xdr:colOff>
      <xdr:row>11</xdr:row>
      <xdr:rowOff>152400</xdr:rowOff>
    </xdr:to>
    <xdr:cxnSp macro="">
      <xdr:nvCxnSpPr>
        <xdr:cNvPr id="9" name="Curved Connector 14"/>
        <xdr:cNvCxnSpPr>
          <a:stCxn id="4" idx="3"/>
          <a:endCxn id="20" idx="1"/>
        </xdr:cNvCxnSpPr>
      </xdr:nvCxnSpPr>
      <xdr:spPr>
        <a:xfrm flipV="1">
          <a:off x="5305425" y="1800224"/>
          <a:ext cx="923924" cy="59055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14</xdr:row>
      <xdr:rowOff>190500</xdr:rowOff>
    </xdr:from>
    <xdr:to>
      <xdr:col>3</xdr:col>
      <xdr:colOff>171452</xdr:colOff>
      <xdr:row>16</xdr:row>
      <xdr:rowOff>314325</xdr:rowOff>
    </xdr:to>
    <xdr:cxnSp macro="">
      <xdr:nvCxnSpPr>
        <xdr:cNvPr id="10" name="Curved Connector 14"/>
        <xdr:cNvCxnSpPr>
          <a:stCxn id="5" idx="3"/>
          <a:endCxn id="17" idx="1"/>
        </xdr:cNvCxnSpPr>
      </xdr:nvCxnSpPr>
      <xdr:spPr>
        <a:xfrm flipV="1">
          <a:off x="1504950" y="3429000"/>
          <a:ext cx="495302" cy="79057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104775</xdr:rowOff>
    </xdr:from>
    <xdr:to>
      <xdr:col>3</xdr:col>
      <xdr:colOff>171449</xdr:colOff>
      <xdr:row>16</xdr:row>
      <xdr:rowOff>314325</xdr:rowOff>
    </xdr:to>
    <xdr:cxnSp macro="">
      <xdr:nvCxnSpPr>
        <xdr:cNvPr id="11" name="Curved Connector 14"/>
        <xdr:cNvCxnSpPr>
          <a:stCxn id="5" idx="3"/>
          <a:endCxn id="18" idx="1"/>
        </xdr:cNvCxnSpPr>
      </xdr:nvCxnSpPr>
      <xdr:spPr>
        <a:xfrm flipV="1">
          <a:off x="1504950" y="4010025"/>
          <a:ext cx="495299" cy="2095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285750</xdr:colOff>
      <xdr:row>16</xdr:row>
      <xdr:rowOff>314325</xdr:rowOff>
    </xdr:from>
    <xdr:to>
      <xdr:col>3</xdr:col>
      <xdr:colOff>180975</xdr:colOff>
      <xdr:row>18</xdr:row>
      <xdr:rowOff>85725</xdr:rowOff>
    </xdr:to>
    <xdr:cxnSp macro="">
      <xdr:nvCxnSpPr>
        <xdr:cNvPr id="12" name="Curved Connector 14"/>
        <xdr:cNvCxnSpPr>
          <a:stCxn id="5" idx="3"/>
          <a:endCxn id="21" idx="1"/>
        </xdr:cNvCxnSpPr>
      </xdr:nvCxnSpPr>
      <xdr:spPr>
        <a:xfrm>
          <a:off x="1504950" y="4219575"/>
          <a:ext cx="504825" cy="4381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19049</xdr:colOff>
      <xdr:row>0</xdr:row>
      <xdr:rowOff>19051</xdr:rowOff>
    </xdr:from>
    <xdr:to>
      <xdr:col>13</xdr:col>
      <xdr:colOff>504825</xdr:colOff>
      <xdr:row>7</xdr:row>
      <xdr:rowOff>142875</xdr:rowOff>
    </xdr:to>
    <xdr:sp macro="" textlink="">
      <xdr:nvSpPr>
        <xdr:cNvPr id="13" name="TextBox 12"/>
        <xdr:cNvSpPr txBox="1"/>
      </xdr:nvSpPr>
      <xdr:spPr>
        <a:xfrm>
          <a:off x="19049" y="19051"/>
          <a:ext cx="8553451" cy="145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700"/>
            </a:lnSpc>
          </a:pPr>
          <a:r>
            <a:rPr lang="en-US" sz="1600"/>
            <a:t>Welcome</a:t>
          </a:r>
          <a:r>
            <a:rPr lang="en-US" sz="1600" baseline="0"/>
            <a:t> to the EPAF Supplemental Material Workbook, your one-stop-shop to find out the EPAF information you'll need!  Simply click through these links and you'll find the individual spreadsheet.  Each gold link will take you to the needed page.  If you get lost or need to begin again, simply click "Start Over" in the upper right hand corner of each page.  It will take you back to this beginning page.  Please note that the EPAF Decision Tree is more applicable in finding the appropriate Approval Category.  This simply lists the options.  </a:t>
          </a:r>
        </a:p>
      </xdr:txBody>
    </xdr:sp>
    <xdr:clientData/>
  </xdr:twoCellAnchor>
  <xdr:twoCellAnchor editAs="oneCell">
    <xdr:from>
      <xdr:col>8</xdr:col>
      <xdr:colOff>409575</xdr:colOff>
      <xdr:row>25</xdr:row>
      <xdr:rowOff>57150</xdr:rowOff>
    </xdr:from>
    <xdr:to>
      <xdr:col>14</xdr:col>
      <xdr:colOff>28575</xdr:colOff>
      <xdr:row>29</xdr:row>
      <xdr:rowOff>9525</xdr:rowOff>
    </xdr:to>
    <xdr:pic>
      <xdr:nvPicPr>
        <xdr:cNvPr id="14" name="Picture 19" descr="U of I HR logo.png">
          <a:hlinkClick xmlns:r="http://schemas.openxmlformats.org/officeDocument/2006/relationships" r:id="rId1"/>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6534150"/>
          <a:ext cx="327660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295273</xdr:colOff>
      <xdr:row>7</xdr:row>
      <xdr:rowOff>180975</xdr:rowOff>
    </xdr:from>
    <xdr:to>
      <xdr:col>6</xdr:col>
      <xdr:colOff>106678</xdr:colOff>
      <xdr:row>10</xdr:row>
      <xdr:rowOff>66675</xdr:rowOff>
    </xdr:to>
    <xdr:sp macro="" textlink="">
      <xdr:nvSpPr>
        <xdr:cNvPr id="15" name="Flowchart: Terminator 14">
          <a:hlinkClick xmlns:r="http://schemas.openxmlformats.org/officeDocument/2006/relationships" r:id="rId3"/>
        </xdr:cNvPr>
        <xdr:cNvSpPr/>
      </xdr:nvSpPr>
      <xdr:spPr>
        <a:xfrm>
          <a:off x="2124073" y="151447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Temporary </a:t>
          </a:r>
          <a:r>
            <a:rPr lang="en-US" sz="1600" baseline="0"/>
            <a:t>Help</a:t>
          </a:r>
          <a:endParaRPr lang="en-US" sz="1600"/>
        </a:p>
      </xdr:txBody>
    </xdr:sp>
    <xdr:clientData/>
  </xdr:twoCellAnchor>
  <xdr:twoCellAnchor>
    <xdr:from>
      <xdr:col>3</xdr:col>
      <xdr:colOff>171452</xdr:colOff>
      <xdr:row>13</xdr:row>
      <xdr:rowOff>295275</xdr:rowOff>
    </xdr:from>
    <xdr:to>
      <xdr:col>6</xdr:col>
      <xdr:colOff>376049</xdr:colOff>
      <xdr:row>15</xdr:row>
      <xdr:rowOff>85725</xdr:rowOff>
    </xdr:to>
    <xdr:sp macro="" textlink="">
      <xdr:nvSpPr>
        <xdr:cNvPr id="17" name="Flowchart: Terminator 16">
          <a:hlinkClick xmlns:r="http://schemas.openxmlformats.org/officeDocument/2006/relationships" r:id="rId4"/>
        </xdr:cNvPr>
        <xdr:cNvSpPr/>
      </xdr:nvSpPr>
      <xdr:spPr>
        <a:xfrm>
          <a:off x="2000252" y="3200400"/>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PERSI</a:t>
          </a:r>
          <a:r>
            <a:rPr lang="en-US" sz="1600" baseline="0"/>
            <a:t> Eligible - T1</a:t>
          </a:r>
          <a:endParaRPr lang="en-US" sz="1600"/>
        </a:p>
      </xdr:txBody>
    </xdr:sp>
    <xdr:clientData/>
  </xdr:twoCellAnchor>
  <xdr:twoCellAnchor>
    <xdr:from>
      <xdr:col>3</xdr:col>
      <xdr:colOff>171449</xdr:colOff>
      <xdr:row>15</xdr:row>
      <xdr:rowOff>209550</xdr:rowOff>
    </xdr:from>
    <xdr:to>
      <xdr:col>6</xdr:col>
      <xdr:colOff>376046</xdr:colOff>
      <xdr:row>17</xdr:row>
      <xdr:rowOff>0</xdr:rowOff>
    </xdr:to>
    <xdr:sp macro="" textlink="">
      <xdr:nvSpPr>
        <xdr:cNvPr id="18" name="Flowchart: Terminator 17">
          <a:hlinkClick xmlns:r="http://schemas.openxmlformats.org/officeDocument/2006/relationships" r:id="rId5"/>
        </xdr:cNvPr>
        <xdr:cNvSpPr/>
      </xdr:nvSpPr>
      <xdr:spPr>
        <a:xfrm>
          <a:off x="2000249" y="37814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Non-Students - T4</a:t>
          </a:r>
        </a:p>
      </xdr:txBody>
    </xdr:sp>
    <xdr:clientData/>
  </xdr:twoCellAnchor>
  <xdr:twoCellAnchor>
    <xdr:from>
      <xdr:col>3</xdr:col>
      <xdr:colOff>285751</xdr:colOff>
      <xdr:row>10</xdr:row>
      <xdr:rowOff>114299</xdr:rowOff>
    </xdr:from>
    <xdr:to>
      <xdr:col>6</xdr:col>
      <xdr:colOff>97156</xdr:colOff>
      <xdr:row>11</xdr:row>
      <xdr:rowOff>238124</xdr:rowOff>
    </xdr:to>
    <xdr:sp macro="" textlink="">
      <xdr:nvSpPr>
        <xdr:cNvPr id="19" name="Flowchart: Terminator 18">
          <a:hlinkClick xmlns:r="http://schemas.openxmlformats.org/officeDocument/2006/relationships" r:id="rId6"/>
        </xdr:cNvPr>
        <xdr:cNvSpPr/>
      </xdr:nvSpPr>
      <xdr:spPr>
        <a:xfrm>
          <a:off x="2114551" y="2019299"/>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Board</a:t>
          </a:r>
          <a:r>
            <a:rPr lang="en-US" sz="1600" baseline="0"/>
            <a:t> Appointed</a:t>
          </a:r>
          <a:endParaRPr lang="en-US" sz="1600"/>
        </a:p>
      </xdr:txBody>
    </xdr:sp>
    <xdr:clientData/>
  </xdr:twoCellAnchor>
  <xdr:twoCellAnchor>
    <xdr:from>
      <xdr:col>9</xdr:col>
      <xdr:colOff>600074</xdr:colOff>
      <xdr:row>8</xdr:row>
      <xdr:rowOff>47624</xdr:rowOff>
    </xdr:from>
    <xdr:to>
      <xdr:col>14</xdr:col>
      <xdr:colOff>469010</xdr:colOff>
      <xdr:row>10</xdr:row>
      <xdr:rowOff>123824</xdr:rowOff>
    </xdr:to>
    <xdr:sp macro="" textlink="">
      <xdr:nvSpPr>
        <xdr:cNvPr id="20" name="Flowchart: Terminator 19">
          <a:hlinkClick xmlns:r="http://schemas.openxmlformats.org/officeDocument/2006/relationships" r:id="rId7"/>
        </xdr:cNvPr>
        <xdr:cNvSpPr/>
      </xdr:nvSpPr>
      <xdr:spPr>
        <a:xfrm>
          <a:off x="6229349" y="1571624"/>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Employee Class Definitions</a:t>
          </a:r>
        </a:p>
      </xdr:txBody>
    </xdr:sp>
    <xdr:clientData/>
  </xdr:twoCellAnchor>
  <xdr:twoCellAnchor>
    <xdr:from>
      <xdr:col>3</xdr:col>
      <xdr:colOff>180975</xdr:colOff>
      <xdr:row>17</xdr:row>
      <xdr:rowOff>190500</xdr:rowOff>
    </xdr:from>
    <xdr:to>
      <xdr:col>6</xdr:col>
      <xdr:colOff>385572</xdr:colOff>
      <xdr:row>18</xdr:row>
      <xdr:rowOff>314325</xdr:rowOff>
    </xdr:to>
    <xdr:sp macro="" textlink="">
      <xdr:nvSpPr>
        <xdr:cNvPr id="21" name="Flowchart: Terminator 20">
          <a:hlinkClick xmlns:r="http://schemas.openxmlformats.org/officeDocument/2006/relationships" r:id="rId8"/>
        </xdr:cNvPr>
        <xdr:cNvSpPr/>
      </xdr:nvSpPr>
      <xdr:spPr>
        <a:xfrm>
          <a:off x="2009775" y="4429125"/>
          <a:ext cx="2176272"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Students - ST</a:t>
          </a:r>
        </a:p>
      </xdr:txBody>
    </xdr:sp>
    <xdr:clientData/>
  </xdr:twoCellAnchor>
  <xdr:twoCellAnchor>
    <xdr:from>
      <xdr:col>0</xdr:col>
      <xdr:colOff>47625</xdr:colOff>
      <xdr:row>21</xdr:row>
      <xdr:rowOff>9525</xdr:rowOff>
    </xdr:from>
    <xdr:to>
      <xdr:col>8</xdr:col>
      <xdr:colOff>323849</xdr:colOff>
      <xdr:row>28</xdr:row>
      <xdr:rowOff>180975</xdr:rowOff>
    </xdr:to>
    <xdr:sp macro="" textlink="">
      <xdr:nvSpPr>
        <xdr:cNvPr id="22" name="TextBox 21"/>
        <xdr:cNvSpPr txBox="1"/>
      </xdr:nvSpPr>
      <xdr:spPr>
        <a:xfrm>
          <a:off x="47625" y="5581650"/>
          <a:ext cx="5295899"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600" baseline="0"/>
            <a:t>If you have any questions on this EPAF information, please contact Myung Chun at 5-3728 or </a:t>
          </a:r>
          <a:r>
            <a:rPr lang="en-US" sz="1600" u="sng" baseline="0"/>
            <a:t>mchun@uidaho.edu</a:t>
          </a:r>
          <a:endParaRPr lang="en-US" sz="1600" baseline="0"/>
        </a:p>
        <a:p>
          <a:endParaRPr lang="en-US" sz="1600" baseline="0"/>
        </a:p>
        <a:p>
          <a:r>
            <a:rPr lang="en-US" sz="1600" baseline="0"/>
            <a:t>You can also click on the Human Resources Logo on any page and it will take you to the EPAF Materials and Information website</a:t>
          </a:r>
          <a:endParaRPr lang="en-US" sz="1100"/>
        </a:p>
      </xdr:txBody>
    </xdr:sp>
    <xdr:clientData/>
  </xdr:twoCellAnchor>
  <xdr:twoCellAnchor>
    <xdr:from>
      <xdr:col>8</xdr:col>
      <xdr:colOff>285750</xdr:colOff>
      <xdr:row>11</xdr:row>
      <xdr:rowOff>152400</xdr:rowOff>
    </xdr:from>
    <xdr:to>
      <xdr:col>9</xdr:col>
      <xdr:colOff>600074</xdr:colOff>
      <xdr:row>11</xdr:row>
      <xdr:rowOff>161925</xdr:rowOff>
    </xdr:to>
    <xdr:cxnSp macro="">
      <xdr:nvCxnSpPr>
        <xdr:cNvPr id="24" name="Curved Connector 14"/>
        <xdr:cNvCxnSpPr>
          <a:stCxn id="4" idx="3"/>
          <a:endCxn id="26" idx="1"/>
        </xdr:cNvCxnSpPr>
      </xdr:nvCxnSpPr>
      <xdr:spPr>
        <a:xfrm>
          <a:off x="5305425" y="2390775"/>
          <a:ext cx="923924" cy="95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600074</xdr:colOff>
      <xdr:row>10</xdr:row>
      <xdr:rowOff>266700</xdr:rowOff>
    </xdr:from>
    <xdr:to>
      <xdr:col>14</xdr:col>
      <xdr:colOff>469010</xdr:colOff>
      <xdr:row>12</xdr:row>
      <xdr:rowOff>57150</xdr:rowOff>
    </xdr:to>
    <xdr:sp macro="" textlink="">
      <xdr:nvSpPr>
        <xdr:cNvPr id="26" name="Flowchart: Terminator 25">
          <a:hlinkClick xmlns:r="http://schemas.openxmlformats.org/officeDocument/2006/relationships" r:id="rId9"/>
        </xdr:cNvPr>
        <xdr:cNvSpPr/>
      </xdr:nvSpPr>
      <xdr:spPr>
        <a:xfrm>
          <a:off x="6229349" y="217170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Job Change Reasons</a:t>
          </a:r>
        </a:p>
      </xdr:txBody>
    </xdr:sp>
    <xdr:clientData/>
  </xdr:twoCellAnchor>
  <xdr:twoCellAnchor>
    <xdr:from>
      <xdr:col>3</xdr:col>
      <xdr:colOff>161926</xdr:colOff>
      <xdr:row>19</xdr:row>
      <xdr:rowOff>161925</xdr:rowOff>
    </xdr:from>
    <xdr:to>
      <xdr:col>6</xdr:col>
      <xdr:colOff>361951</xdr:colOff>
      <xdr:row>20</xdr:row>
      <xdr:rowOff>285750</xdr:rowOff>
    </xdr:to>
    <xdr:sp macro="" textlink="">
      <xdr:nvSpPr>
        <xdr:cNvPr id="99" name="Flowchart: Terminator 98">
          <a:hlinkClick xmlns:r="http://schemas.openxmlformats.org/officeDocument/2006/relationships" r:id="rId10"/>
        </xdr:cNvPr>
        <xdr:cNvSpPr/>
      </xdr:nvSpPr>
      <xdr:spPr>
        <a:xfrm>
          <a:off x="1990726" y="5067300"/>
          <a:ext cx="217170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Work-Study &amp; Others</a:t>
          </a:r>
        </a:p>
      </xdr:txBody>
    </xdr:sp>
    <xdr:clientData/>
  </xdr:twoCellAnchor>
  <xdr:twoCellAnchor>
    <xdr:from>
      <xdr:col>2</xdr:col>
      <xdr:colOff>285750</xdr:colOff>
      <xdr:row>16</xdr:row>
      <xdr:rowOff>314325</xdr:rowOff>
    </xdr:from>
    <xdr:to>
      <xdr:col>3</xdr:col>
      <xdr:colOff>161926</xdr:colOff>
      <xdr:row>20</xdr:row>
      <xdr:rowOff>57150</xdr:rowOff>
    </xdr:to>
    <xdr:cxnSp macro="">
      <xdr:nvCxnSpPr>
        <xdr:cNvPr id="100" name="Curved Connector 14"/>
        <xdr:cNvCxnSpPr>
          <a:stCxn id="5" idx="3"/>
          <a:endCxn id="99" idx="1"/>
        </xdr:cNvCxnSpPr>
      </xdr:nvCxnSpPr>
      <xdr:spPr>
        <a:xfrm>
          <a:off x="1504950" y="4219575"/>
          <a:ext cx="485776" cy="10763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590551</xdr:colOff>
      <xdr:row>12</xdr:row>
      <xdr:rowOff>152399</xdr:rowOff>
    </xdr:from>
    <xdr:to>
      <xdr:col>14</xdr:col>
      <xdr:colOff>542925</xdr:colOff>
      <xdr:row>15</xdr:row>
      <xdr:rowOff>19049</xdr:rowOff>
    </xdr:to>
    <xdr:sp macro="" textlink="">
      <xdr:nvSpPr>
        <xdr:cNvPr id="35" name="Flowchart: Terminator 34">
          <a:hlinkClick xmlns:r="http://schemas.openxmlformats.org/officeDocument/2006/relationships" r:id="rId11"/>
        </xdr:cNvPr>
        <xdr:cNvSpPr/>
      </xdr:nvSpPr>
      <xdr:spPr>
        <a:xfrm>
          <a:off x="6219826" y="2724149"/>
          <a:ext cx="3000374" cy="866775"/>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Suffixes</a:t>
          </a:r>
          <a:r>
            <a:rPr lang="en-US" sz="1600" baseline="0"/>
            <a:t>-PCN Links</a:t>
          </a:r>
        </a:p>
        <a:p>
          <a:pPr algn="ctr"/>
          <a:r>
            <a:rPr lang="en-US" sz="1600" baseline="0"/>
            <a:t>Account Codes &amp; Descriptions</a:t>
          </a:r>
          <a:endParaRPr lang="en-US" sz="1600"/>
        </a:p>
      </xdr:txBody>
    </xdr:sp>
    <xdr:clientData/>
  </xdr:twoCellAnchor>
  <xdr:twoCellAnchor>
    <xdr:from>
      <xdr:col>8</xdr:col>
      <xdr:colOff>285750</xdr:colOff>
      <xdr:row>11</xdr:row>
      <xdr:rowOff>152400</xdr:rowOff>
    </xdr:from>
    <xdr:to>
      <xdr:col>9</xdr:col>
      <xdr:colOff>590551</xdr:colOff>
      <xdr:row>13</xdr:row>
      <xdr:rowOff>252412</xdr:rowOff>
    </xdr:to>
    <xdr:cxnSp macro="">
      <xdr:nvCxnSpPr>
        <xdr:cNvPr id="36" name="Curved Connector 14"/>
        <xdr:cNvCxnSpPr>
          <a:stCxn id="4" idx="3"/>
          <a:endCxn id="35" idx="1"/>
        </xdr:cNvCxnSpPr>
      </xdr:nvCxnSpPr>
      <xdr:spPr>
        <a:xfrm>
          <a:off x="5305425" y="2390775"/>
          <a:ext cx="914401" cy="766762"/>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238125</xdr:colOff>
      <xdr:row>11</xdr:row>
      <xdr:rowOff>323850</xdr:rowOff>
    </xdr:from>
    <xdr:to>
      <xdr:col>6</xdr:col>
      <xdr:colOff>49530</xdr:colOff>
      <xdr:row>13</xdr:row>
      <xdr:rowOff>114300</xdr:rowOff>
    </xdr:to>
    <xdr:sp macro="" textlink="">
      <xdr:nvSpPr>
        <xdr:cNvPr id="37" name="Flowchart: Terminator 36">
          <a:hlinkClick xmlns:r="http://schemas.openxmlformats.org/officeDocument/2006/relationships" r:id="rId12"/>
        </xdr:cNvPr>
        <xdr:cNvSpPr/>
      </xdr:nvSpPr>
      <xdr:spPr>
        <a:xfrm>
          <a:off x="2066925" y="2562225"/>
          <a:ext cx="1783080"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Deferred</a:t>
          </a:r>
          <a:r>
            <a:rPr lang="en-US" sz="1600" baseline="0"/>
            <a:t> Pay</a:t>
          </a:r>
          <a:endParaRPr lang="en-US" sz="1600"/>
        </a:p>
      </xdr:txBody>
    </xdr:sp>
    <xdr:clientData/>
  </xdr:twoCellAnchor>
  <xdr:twoCellAnchor>
    <xdr:from>
      <xdr:col>2</xdr:col>
      <xdr:colOff>276225</xdr:colOff>
      <xdr:row>11</xdr:row>
      <xdr:rowOff>4763</xdr:rowOff>
    </xdr:from>
    <xdr:to>
      <xdr:col>3</xdr:col>
      <xdr:colOff>238125</xdr:colOff>
      <xdr:row>12</xdr:row>
      <xdr:rowOff>219075</xdr:rowOff>
    </xdr:to>
    <xdr:cxnSp macro="">
      <xdr:nvCxnSpPr>
        <xdr:cNvPr id="38" name="Curved Connector 14"/>
        <xdr:cNvCxnSpPr>
          <a:stCxn id="2" idx="3"/>
          <a:endCxn id="37" idx="1"/>
        </xdr:cNvCxnSpPr>
      </xdr:nvCxnSpPr>
      <xdr:spPr>
        <a:xfrm>
          <a:off x="1495425" y="2243138"/>
          <a:ext cx="571500" cy="547687"/>
        </a:xfrm>
        <a:prstGeom prst="bentConnector3">
          <a:avLst>
            <a:gd name="adj1" fmla="val 55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0</xdr:colOff>
      <xdr:row>17</xdr:row>
      <xdr:rowOff>66675</xdr:rowOff>
    </xdr:from>
    <xdr:to>
      <xdr:col>14</xdr:col>
      <xdr:colOff>478536</xdr:colOff>
      <xdr:row>18</xdr:row>
      <xdr:rowOff>190500</xdr:rowOff>
    </xdr:to>
    <xdr:sp macro="" textlink="">
      <xdr:nvSpPr>
        <xdr:cNvPr id="40" name="Flowchart: Terminator 39">
          <a:hlinkClick xmlns:r="http://schemas.openxmlformats.org/officeDocument/2006/relationships" r:id="rId13"/>
        </xdr:cNvPr>
        <xdr:cNvSpPr/>
      </xdr:nvSpPr>
      <xdr:spPr>
        <a:xfrm>
          <a:off x="6238875" y="430530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 Calendars</a:t>
          </a:r>
        </a:p>
      </xdr:txBody>
    </xdr:sp>
    <xdr:clientData/>
  </xdr:twoCellAnchor>
  <xdr:twoCellAnchor>
    <xdr:from>
      <xdr:col>8</xdr:col>
      <xdr:colOff>285750</xdr:colOff>
      <xdr:row>11</xdr:row>
      <xdr:rowOff>152400</xdr:rowOff>
    </xdr:from>
    <xdr:to>
      <xdr:col>10</xdr:col>
      <xdr:colOff>0</xdr:colOff>
      <xdr:row>17</xdr:row>
      <xdr:rowOff>295275</xdr:rowOff>
    </xdr:to>
    <xdr:cxnSp macro="">
      <xdr:nvCxnSpPr>
        <xdr:cNvPr id="41" name="Curved Connector 14"/>
        <xdr:cNvCxnSpPr>
          <a:stCxn id="4" idx="3"/>
          <a:endCxn id="40" idx="1"/>
        </xdr:cNvCxnSpPr>
      </xdr:nvCxnSpPr>
      <xdr:spPr>
        <a:xfrm>
          <a:off x="5305425" y="2390775"/>
          <a:ext cx="933450" cy="2143125"/>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571500</xdr:colOff>
      <xdr:row>18</xdr:row>
      <xdr:rowOff>295278</xdr:rowOff>
    </xdr:from>
    <xdr:to>
      <xdr:col>14</xdr:col>
      <xdr:colOff>438149</xdr:colOff>
      <xdr:row>20</xdr:row>
      <xdr:rowOff>85728</xdr:rowOff>
    </xdr:to>
    <xdr:sp macro="" textlink="">
      <xdr:nvSpPr>
        <xdr:cNvPr id="44" name="Flowchart: Terminator 43">
          <a:hlinkClick xmlns:r="http://schemas.openxmlformats.org/officeDocument/2006/relationships" r:id="rId14"/>
        </xdr:cNvPr>
        <xdr:cNvSpPr/>
      </xdr:nvSpPr>
      <xdr:spPr>
        <a:xfrm>
          <a:off x="6200775" y="4867278"/>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 Period - Deadlines</a:t>
          </a:r>
        </a:p>
      </xdr:txBody>
    </xdr:sp>
    <xdr:clientData/>
  </xdr:twoCellAnchor>
  <xdr:twoCellAnchor>
    <xdr:from>
      <xdr:col>8</xdr:col>
      <xdr:colOff>285750</xdr:colOff>
      <xdr:row>11</xdr:row>
      <xdr:rowOff>152400</xdr:rowOff>
    </xdr:from>
    <xdr:to>
      <xdr:col>9</xdr:col>
      <xdr:colOff>571500</xdr:colOff>
      <xdr:row>19</xdr:row>
      <xdr:rowOff>190503</xdr:rowOff>
    </xdr:to>
    <xdr:cxnSp macro="">
      <xdr:nvCxnSpPr>
        <xdr:cNvPr id="45" name="Curved Connector 14"/>
        <xdr:cNvCxnSpPr>
          <a:stCxn id="4" idx="3"/>
          <a:endCxn id="44" idx="1"/>
        </xdr:cNvCxnSpPr>
      </xdr:nvCxnSpPr>
      <xdr:spPr>
        <a:xfrm>
          <a:off x="5305425" y="2390775"/>
          <a:ext cx="895350" cy="2705103"/>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19050</xdr:colOff>
      <xdr:row>15</xdr:row>
      <xdr:rowOff>133350</xdr:rowOff>
    </xdr:from>
    <xdr:to>
      <xdr:col>14</xdr:col>
      <xdr:colOff>495299</xdr:colOff>
      <xdr:row>16</xdr:row>
      <xdr:rowOff>257175</xdr:rowOff>
    </xdr:to>
    <xdr:sp macro="" textlink="">
      <xdr:nvSpPr>
        <xdr:cNvPr id="32" name="Flowchart: Terminator 31">
          <a:hlinkClick xmlns:r="http://schemas.openxmlformats.org/officeDocument/2006/relationships" r:id="rId15"/>
        </xdr:cNvPr>
        <xdr:cNvSpPr/>
      </xdr:nvSpPr>
      <xdr:spPr>
        <a:xfrm>
          <a:off x="6257925" y="3705225"/>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Working Title</a:t>
          </a:r>
          <a:r>
            <a:rPr lang="en-US" sz="1600" baseline="0"/>
            <a:t> - Abbreviations</a:t>
          </a:r>
          <a:endParaRPr lang="en-US" sz="1600"/>
        </a:p>
      </xdr:txBody>
    </xdr:sp>
    <xdr:clientData/>
  </xdr:twoCellAnchor>
  <xdr:twoCellAnchor>
    <xdr:from>
      <xdr:col>8</xdr:col>
      <xdr:colOff>285750</xdr:colOff>
      <xdr:row>11</xdr:row>
      <xdr:rowOff>152400</xdr:rowOff>
    </xdr:from>
    <xdr:to>
      <xdr:col>10</xdr:col>
      <xdr:colOff>19050</xdr:colOff>
      <xdr:row>16</xdr:row>
      <xdr:rowOff>28575</xdr:rowOff>
    </xdr:to>
    <xdr:cxnSp macro="">
      <xdr:nvCxnSpPr>
        <xdr:cNvPr id="33" name="Curved Connector 14"/>
        <xdr:cNvCxnSpPr>
          <a:stCxn id="4" idx="3"/>
          <a:endCxn id="32" idx="1"/>
        </xdr:cNvCxnSpPr>
      </xdr:nvCxnSpPr>
      <xdr:spPr>
        <a:xfrm>
          <a:off x="5305425" y="2390775"/>
          <a:ext cx="952500" cy="1543050"/>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1</xdr:col>
      <xdr:colOff>1546225</xdr:colOff>
      <xdr:row>27</xdr:row>
      <xdr:rowOff>21590</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4257675"/>
          <a:ext cx="2365375" cy="1164590"/>
        </a:xfrm>
        <a:prstGeom prst="rect">
          <a:avLst/>
        </a:prstGeom>
        <a:noFill/>
      </xdr:spPr>
    </xdr:pic>
    <xdr:clientData/>
  </xdr:twoCellAnchor>
  <xdr:twoCellAnchor>
    <xdr:from>
      <xdr:col>0</xdr:col>
      <xdr:colOff>66676</xdr:colOff>
      <xdr:row>19</xdr:row>
      <xdr:rowOff>123825</xdr:rowOff>
    </xdr:from>
    <xdr:to>
      <xdr:col>1</xdr:col>
      <xdr:colOff>1466851</xdr:colOff>
      <xdr:row>20</xdr:row>
      <xdr:rowOff>161925</xdr:rowOff>
    </xdr:to>
    <xdr:sp macro="" textlink="">
      <xdr:nvSpPr>
        <xdr:cNvPr id="10241" name="WordArt 1"/>
        <xdr:cNvSpPr>
          <a:spLocks noChangeArrowheads="1" noChangeShapeType="1" noTextEdit="1"/>
        </xdr:cNvSpPr>
      </xdr:nvSpPr>
      <xdr:spPr bwMode="auto">
        <a:xfrm>
          <a:off x="66676" y="4000500"/>
          <a:ext cx="22860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sz="3600" kern="10" spc="0">
              <a:ln>
                <a:noFill/>
              </a:ln>
              <a:solidFill>
                <a:srgbClr val="336699"/>
              </a:solidFill>
              <a:effectLst/>
              <a:latin typeface="Times New Roman"/>
              <a:cs typeface="Times New Roman"/>
            </a:rPr>
            <a:t>Temporary Faculty Titles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333374</xdr:colOff>
      <xdr:row>6</xdr:row>
      <xdr:rowOff>71441</xdr:rowOff>
    </xdr:from>
    <xdr:to>
      <xdr:col>8</xdr:col>
      <xdr:colOff>202310</xdr:colOff>
      <xdr:row>8</xdr:row>
      <xdr:rowOff>147641</xdr:rowOff>
    </xdr:to>
    <xdr:sp macro="" textlink="">
      <xdr:nvSpPr>
        <xdr:cNvPr id="2" name="Flowchart: Terminator 1">
          <a:hlinkClick xmlns:r="http://schemas.openxmlformats.org/officeDocument/2006/relationships" r:id="rId1"/>
        </xdr:cNvPr>
        <xdr:cNvSpPr/>
      </xdr:nvSpPr>
      <xdr:spPr>
        <a:xfrm>
          <a:off x="2162174" y="1214441"/>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3</xdr:col>
      <xdr:colOff>323849</xdr:colOff>
      <xdr:row>3</xdr:row>
      <xdr:rowOff>123825</xdr:rowOff>
    </xdr:from>
    <xdr:to>
      <xdr:col>8</xdr:col>
      <xdr:colOff>192785</xdr:colOff>
      <xdr:row>6</xdr:row>
      <xdr:rowOff>9525</xdr:rowOff>
    </xdr:to>
    <xdr:sp macro="" textlink="">
      <xdr:nvSpPr>
        <xdr:cNvPr id="3" name="Flowchart: Terminator 2">
          <a:hlinkClick xmlns:r="http://schemas.openxmlformats.org/officeDocument/2006/relationships" r:id="rId2"/>
        </xdr:cNvPr>
        <xdr:cNvSpPr/>
      </xdr:nvSpPr>
      <xdr:spPr>
        <a:xfrm>
          <a:off x="2152649" y="695325"/>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3</xdr:col>
      <xdr:colOff>333375</xdr:colOff>
      <xdr:row>9</xdr:row>
      <xdr:rowOff>80966</xdr:rowOff>
    </xdr:from>
    <xdr:to>
      <xdr:col>8</xdr:col>
      <xdr:colOff>200024</xdr:colOff>
      <xdr:row>11</xdr:row>
      <xdr:rowOff>157166</xdr:rowOff>
    </xdr:to>
    <xdr:sp macro="" textlink="">
      <xdr:nvSpPr>
        <xdr:cNvPr id="4" name="Flowchart: Terminator 3">
          <a:hlinkClick xmlns:r="http://schemas.openxmlformats.org/officeDocument/2006/relationships" r:id="rId3"/>
        </xdr:cNvPr>
        <xdr:cNvSpPr/>
      </xdr:nvSpPr>
      <xdr:spPr>
        <a:xfrm>
          <a:off x="2162175" y="1795466"/>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twoCellAnchor>
    <xdr:from>
      <xdr:col>4</xdr:col>
      <xdr:colOff>38099</xdr:colOff>
      <xdr:row>20</xdr:row>
      <xdr:rowOff>147641</xdr:rowOff>
    </xdr:from>
    <xdr:to>
      <xdr:col>8</xdr:col>
      <xdr:colOff>516635</xdr:colOff>
      <xdr:row>23</xdr:row>
      <xdr:rowOff>33341</xdr:rowOff>
    </xdr:to>
    <xdr:sp macro="" textlink="">
      <xdr:nvSpPr>
        <xdr:cNvPr id="6" name="Flowchart: Terminator 5">
          <a:hlinkClick xmlns:r="http://schemas.openxmlformats.org/officeDocument/2006/relationships" r:id="rId4"/>
        </xdr:cNvPr>
        <xdr:cNvSpPr/>
      </xdr:nvSpPr>
      <xdr:spPr>
        <a:xfrm>
          <a:off x="2476499" y="3957641"/>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3-Year Calendar</a:t>
          </a:r>
        </a:p>
      </xdr:txBody>
    </xdr:sp>
    <xdr:clientData/>
  </xdr:twoCellAnchor>
  <xdr:twoCellAnchor>
    <xdr:from>
      <xdr:col>4</xdr:col>
      <xdr:colOff>28574</xdr:colOff>
      <xdr:row>17</xdr:row>
      <xdr:rowOff>171450</xdr:rowOff>
    </xdr:from>
    <xdr:to>
      <xdr:col>8</xdr:col>
      <xdr:colOff>507110</xdr:colOff>
      <xdr:row>20</xdr:row>
      <xdr:rowOff>57150</xdr:rowOff>
    </xdr:to>
    <xdr:sp macro="" textlink="">
      <xdr:nvSpPr>
        <xdr:cNvPr id="7" name="Flowchart: Terminator 6">
          <a:hlinkClick xmlns:r="http://schemas.openxmlformats.org/officeDocument/2006/relationships" r:id="rId5"/>
        </xdr:cNvPr>
        <xdr:cNvSpPr/>
      </xdr:nvSpPr>
      <xdr:spPr>
        <a:xfrm>
          <a:off x="2466974" y="3409950"/>
          <a:ext cx="2916936"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Payroll</a:t>
          </a:r>
          <a:r>
            <a:rPr lang="en-US" sz="1600" baseline="0"/>
            <a:t> &amp; Approval Deadlines</a:t>
          </a:r>
          <a:endParaRPr lang="en-US" sz="1600"/>
        </a:p>
      </xdr:txBody>
    </xdr:sp>
    <xdr:clientData/>
  </xdr:twoCellAnchor>
  <xdr:twoCellAnchor>
    <xdr:from>
      <xdr:col>4</xdr:col>
      <xdr:colOff>38100</xdr:colOff>
      <xdr:row>23</xdr:row>
      <xdr:rowOff>128591</xdr:rowOff>
    </xdr:from>
    <xdr:to>
      <xdr:col>8</xdr:col>
      <xdr:colOff>514349</xdr:colOff>
      <xdr:row>26</xdr:row>
      <xdr:rowOff>14291</xdr:rowOff>
    </xdr:to>
    <xdr:sp macro="" textlink="">
      <xdr:nvSpPr>
        <xdr:cNvPr id="8" name="Flowchart: Terminator 7">
          <a:hlinkClick xmlns:r="http://schemas.openxmlformats.org/officeDocument/2006/relationships" r:id="rId6"/>
        </xdr:cNvPr>
        <xdr:cNvSpPr/>
      </xdr:nvSpPr>
      <xdr:spPr>
        <a:xfrm>
          <a:off x="2476500" y="4510091"/>
          <a:ext cx="2914649" cy="457200"/>
        </a:xfrm>
        <a:prstGeom prst="flowChartTerminator">
          <a:avLst/>
        </a:prstGeom>
        <a:solidFill>
          <a:srgbClr val="FFFF99"/>
        </a:solidFill>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1600"/>
            <a:t>Academi</a:t>
          </a:r>
          <a:r>
            <a:rPr lang="en-US" sz="1600" baseline="0"/>
            <a:t>c &amp; Fiscal Year Dates</a:t>
          </a:r>
          <a:endParaRPr lang="en-US" sz="1600"/>
        </a:p>
      </xdr:txBody>
    </xdr:sp>
    <xdr:clientData/>
  </xdr:twoCellAnchor>
  <xdr:twoCellAnchor>
    <xdr:from>
      <xdr:col>2</xdr:col>
      <xdr:colOff>228598</xdr:colOff>
      <xdr:row>6</xdr:row>
      <xdr:rowOff>114300</xdr:rowOff>
    </xdr:from>
    <xdr:to>
      <xdr:col>3</xdr:col>
      <xdr:colOff>333374</xdr:colOff>
      <xdr:row>7</xdr:row>
      <xdr:rowOff>109541</xdr:rowOff>
    </xdr:to>
    <xdr:cxnSp macro="">
      <xdr:nvCxnSpPr>
        <xdr:cNvPr id="10" name="Curved Connector 14"/>
        <xdr:cNvCxnSpPr>
          <a:stCxn id="12" idx="3"/>
          <a:endCxn id="2" idx="1"/>
        </xdr:cNvCxnSpPr>
      </xdr:nvCxnSpPr>
      <xdr:spPr>
        <a:xfrm>
          <a:off x="1447798" y="1257300"/>
          <a:ext cx="714376" cy="185741"/>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228598</xdr:colOff>
      <xdr:row>4</xdr:row>
      <xdr:rowOff>161925</xdr:rowOff>
    </xdr:from>
    <xdr:to>
      <xdr:col>3</xdr:col>
      <xdr:colOff>323849</xdr:colOff>
      <xdr:row>6</xdr:row>
      <xdr:rowOff>114300</xdr:rowOff>
    </xdr:to>
    <xdr:cxnSp macro="">
      <xdr:nvCxnSpPr>
        <xdr:cNvPr id="11" name="Curved Connector 14"/>
        <xdr:cNvCxnSpPr>
          <a:stCxn id="12" idx="3"/>
          <a:endCxn id="3" idx="1"/>
        </xdr:cNvCxnSpPr>
      </xdr:nvCxnSpPr>
      <xdr:spPr>
        <a:xfrm flipV="1">
          <a:off x="1447798" y="923925"/>
          <a:ext cx="704851" cy="333375"/>
        </a:xfrm>
        <a:prstGeom prst="bentConnector3">
          <a:avLst>
            <a:gd name="adj1" fmla="val 5135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57150</xdr:colOff>
      <xdr:row>3</xdr:row>
      <xdr:rowOff>180975</xdr:rowOff>
    </xdr:from>
    <xdr:to>
      <xdr:col>2</xdr:col>
      <xdr:colOff>228598</xdr:colOff>
      <xdr:row>9</xdr:row>
      <xdr:rowOff>47625</xdr:rowOff>
    </xdr:to>
    <xdr:sp macro="" textlink="">
      <xdr:nvSpPr>
        <xdr:cNvPr id="12" name="Flowchart: Terminator 11"/>
        <xdr:cNvSpPr/>
      </xdr:nvSpPr>
      <xdr:spPr>
        <a:xfrm>
          <a:off x="57150" y="752475"/>
          <a:ext cx="1390648" cy="1009650"/>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Fiscal Year 2014</a:t>
          </a:r>
        </a:p>
      </xdr:txBody>
    </xdr:sp>
    <xdr:clientData/>
  </xdr:twoCellAnchor>
  <xdr:twoCellAnchor>
    <xdr:from>
      <xdr:col>2</xdr:col>
      <xdr:colOff>228598</xdr:colOff>
      <xdr:row>6</xdr:row>
      <xdr:rowOff>114300</xdr:rowOff>
    </xdr:from>
    <xdr:to>
      <xdr:col>3</xdr:col>
      <xdr:colOff>333375</xdr:colOff>
      <xdr:row>10</xdr:row>
      <xdr:rowOff>119066</xdr:rowOff>
    </xdr:to>
    <xdr:cxnSp macro="">
      <xdr:nvCxnSpPr>
        <xdr:cNvPr id="13" name="Curved Connector 14"/>
        <xdr:cNvCxnSpPr>
          <a:stCxn id="12" idx="3"/>
          <a:endCxn id="4" idx="1"/>
        </xdr:cNvCxnSpPr>
      </xdr:nvCxnSpPr>
      <xdr:spPr>
        <a:xfrm>
          <a:off x="1447798" y="1257300"/>
          <a:ext cx="714377" cy="766766"/>
        </a:xfrm>
        <a:prstGeom prst="bentConnector3">
          <a:avLst>
            <a:gd name="adj1" fmla="val 50000"/>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390525</xdr:colOff>
      <xdr:row>21</xdr:row>
      <xdr:rowOff>80963</xdr:rowOff>
    </xdr:from>
    <xdr:to>
      <xdr:col>4</xdr:col>
      <xdr:colOff>38099</xdr:colOff>
      <xdr:row>21</xdr:row>
      <xdr:rowOff>185741</xdr:rowOff>
    </xdr:to>
    <xdr:cxnSp macro="">
      <xdr:nvCxnSpPr>
        <xdr:cNvPr id="15" name="Curved Connector 14"/>
        <xdr:cNvCxnSpPr>
          <a:stCxn id="17" idx="3"/>
          <a:endCxn id="6" idx="1"/>
        </xdr:cNvCxnSpPr>
      </xdr:nvCxnSpPr>
      <xdr:spPr>
        <a:xfrm>
          <a:off x="1609725" y="4081463"/>
          <a:ext cx="866774" cy="104778"/>
        </a:xfrm>
        <a:prstGeom prst="bentConnector3">
          <a:avLst>
            <a:gd name="adj1" fmla="val 47802"/>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2</xdr:col>
      <xdr:colOff>390525</xdr:colOff>
      <xdr:row>19</xdr:row>
      <xdr:rowOff>19050</xdr:rowOff>
    </xdr:from>
    <xdr:to>
      <xdr:col>4</xdr:col>
      <xdr:colOff>28574</xdr:colOff>
      <xdr:row>21</xdr:row>
      <xdr:rowOff>80963</xdr:rowOff>
    </xdr:to>
    <xdr:cxnSp macro="">
      <xdr:nvCxnSpPr>
        <xdr:cNvPr id="16" name="Curved Connector 14"/>
        <xdr:cNvCxnSpPr>
          <a:stCxn id="17" idx="3"/>
          <a:endCxn id="7" idx="1"/>
        </xdr:cNvCxnSpPr>
      </xdr:nvCxnSpPr>
      <xdr:spPr>
        <a:xfrm flipV="1">
          <a:off x="1609725" y="3638550"/>
          <a:ext cx="857249" cy="442913"/>
        </a:xfrm>
        <a:prstGeom prst="bentConnector3">
          <a:avLst>
            <a:gd name="adj1" fmla="val 47778"/>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85725</xdr:colOff>
      <xdr:row>18</xdr:row>
      <xdr:rowOff>123825</xdr:rowOff>
    </xdr:from>
    <xdr:to>
      <xdr:col>2</xdr:col>
      <xdr:colOff>390525</xdr:colOff>
      <xdr:row>24</xdr:row>
      <xdr:rowOff>38101</xdr:rowOff>
    </xdr:to>
    <xdr:sp macro="" textlink="">
      <xdr:nvSpPr>
        <xdr:cNvPr id="17" name="Flowchart: Terminator 16"/>
        <xdr:cNvSpPr/>
      </xdr:nvSpPr>
      <xdr:spPr>
        <a:xfrm>
          <a:off x="85725" y="3552825"/>
          <a:ext cx="1524000" cy="1057276"/>
        </a:xfrm>
        <a:prstGeom prst="flowChartTerminator">
          <a:avLst/>
        </a:prstGeom>
      </xdr:spPr>
      <xdr:style>
        <a:lnRef idx="1">
          <a:schemeClr val="dk1"/>
        </a:lnRef>
        <a:fillRef idx="2">
          <a:schemeClr val="dk1"/>
        </a:fillRef>
        <a:effectRef idx="1">
          <a:schemeClr val="dk1"/>
        </a:effectRef>
        <a:fontRef idx="minor">
          <a:schemeClr val="dk1"/>
        </a:fontRef>
      </xdr:style>
      <xdr:txBody>
        <a:bodyPr vertOverflow="clip" rtlCol="0" anchor="ctr"/>
        <a:lstStyle/>
        <a:p>
          <a:pPr algn="ctr"/>
          <a:r>
            <a:rPr lang="en-US" sz="2000"/>
            <a:t>Fiscal Year 2015</a:t>
          </a:r>
          <a:endParaRPr lang="en-US" sz="2000" baseline="0"/>
        </a:p>
      </xdr:txBody>
    </xdr:sp>
    <xdr:clientData/>
  </xdr:twoCellAnchor>
  <xdr:twoCellAnchor>
    <xdr:from>
      <xdr:col>2</xdr:col>
      <xdr:colOff>390525</xdr:colOff>
      <xdr:row>21</xdr:row>
      <xdr:rowOff>80963</xdr:rowOff>
    </xdr:from>
    <xdr:to>
      <xdr:col>4</xdr:col>
      <xdr:colOff>38100</xdr:colOff>
      <xdr:row>24</xdr:row>
      <xdr:rowOff>166691</xdr:rowOff>
    </xdr:to>
    <xdr:cxnSp macro="">
      <xdr:nvCxnSpPr>
        <xdr:cNvPr id="18" name="Curved Connector 14"/>
        <xdr:cNvCxnSpPr>
          <a:stCxn id="17" idx="3"/>
          <a:endCxn id="8" idx="1"/>
        </xdr:cNvCxnSpPr>
      </xdr:nvCxnSpPr>
      <xdr:spPr>
        <a:xfrm>
          <a:off x="1609725" y="4081463"/>
          <a:ext cx="866775" cy="657228"/>
        </a:xfrm>
        <a:prstGeom prst="bentConnector3">
          <a:avLst>
            <a:gd name="adj1" fmla="val 47802"/>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1:J22"/>
  <sheetViews>
    <sheetView tabSelected="1" zoomScaleNormal="100" workbookViewId="0">
      <selection activeCell="H15" sqref="H15"/>
    </sheetView>
  </sheetViews>
  <sheetFormatPr defaultRowHeight="15"/>
  <cols>
    <col min="6" max="6" width="11.28515625" customWidth="1"/>
    <col min="262" max="262" width="11.28515625" customWidth="1"/>
    <col min="518" max="518" width="11.28515625" customWidth="1"/>
    <col min="774" max="774" width="11.28515625" customWidth="1"/>
    <col min="1030" max="1030" width="11.28515625" customWidth="1"/>
    <col min="1286" max="1286" width="11.28515625" customWidth="1"/>
    <col min="1542" max="1542" width="11.28515625" customWidth="1"/>
    <col min="1798" max="1798" width="11.28515625" customWidth="1"/>
    <col min="2054" max="2054" width="11.28515625" customWidth="1"/>
    <col min="2310" max="2310" width="11.28515625" customWidth="1"/>
    <col min="2566" max="2566" width="11.28515625" customWidth="1"/>
    <col min="2822" max="2822" width="11.28515625" customWidth="1"/>
    <col min="3078" max="3078" width="11.28515625" customWidth="1"/>
    <col min="3334" max="3334" width="11.28515625" customWidth="1"/>
    <col min="3590" max="3590" width="11.28515625" customWidth="1"/>
    <col min="3846" max="3846" width="11.28515625" customWidth="1"/>
    <col min="4102" max="4102" width="11.28515625" customWidth="1"/>
    <col min="4358" max="4358" width="11.28515625" customWidth="1"/>
    <col min="4614" max="4614" width="11.28515625" customWidth="1"/>
    <col min="4870" max="4870" width="11.28515625" customWidth="1"/>
    <col min="5126" max="5126" width="11.28515625" customWidth="1"/>
    <col min="5382" max="5382" width="11.28515625" customWidth="1"/>
    <col min="5638" max="5638" width="11.28515625" customWidth="1"/>
    <col min="5894" max="5894" width="11.28515625" customWidth="1"/>
    <col min="6150" max="6150" width="11.28515625" customWidth="1"/>
    <col min="6406" max="6406" width="11.28515625" customWidth="1"/>
    <col min="6662" max="6662" width="11.28515625" customWidth="1"/>
    <col min="6918" max="6918" width="11.28515625" customWidth="1"/>
    <col min="7174" max="7174" width="11.28515625" customWidth="1"/>
    <col min="7430" max="7430" width="11.28515625" customWidth="1"/>
    <col min="7686" max="7686" width="11.28515625" customWidth="1"/>
    <col min="7942" max="7942" width="11.28515625" customWidth="1"/>
    <col min="8198" max="8198" width="11.28515625" customWidth="1"/>
    <col min="8454" max="8454" width="11.28515625" customWidth="1"/>
    <col min="8710" max="8710" width="11.28515625" customWidth="1"/>
    <col min="8966" max="8966" width="11.28515625" customWidth="1"/>
    <col min="9222" max="9222" width="11.28515625" customWidth="1"/>
    <col min="9478" max="9478" width="11.28515625" customWidth="1"/>
    <col min="9734" max="9734" width="11.28515625" customWidth="1"/>
    <col min="9990" max="9990" width="11.28515625" customWidth="1"/>
    <col min="10246" max="10246" width="11.28515625" customWidth="1"/>
    <col min="10502" max="10502" width="11.28515625" customWidth="1"/>
    <col min="10758" max="10758" width="11.28515625" customWidth="1"/>
    <col min="11014" max="11014" width="11.28515625" customWidth="1"/>
    <col min="11270" max="11270" width="11.28515625" customWidth="1"/>
    <col min="11526" max="11526" width="11.28515625" customWidth="1"/>
    <col min="11782" max="11782" width="11.28515625" customWidth="1"/>
    <col min="12038" max="12038" width="11.28515625" customWidth="1"/>
    <col min="12294" max="12294" width="11.28515625" customWidth="1"/>
    <col min="12550" max="12550" width="11.28515625" customWidth="1"/>
    <col min="12806" max="12806" width="11.28515625" customWidth="1"/>
    <col min="13062" max="13062" width="11.28515625" customWidth="1"/>
    <col min="13318" max="13318" width="11.28515625" customWidth="1"/>
    <col min="13574" max="13574" width="11.28515625" customWidth="1"/>
    <col min="13830" max="13830" width="11.28515625" customWidth="1"/>
    <col min="14086" max="14086" width="11.28515625" customWidth="1"/>
    <col min="14342" max="14342" width="11.28515625" customWidth="1"/>
    <col min="14598" max="14598" width="11.28515625" customWidth="1"/>
    <col min="14854" max="14854" width="11.28515625" customWidth="1"/>
    <col min="15110" max="15110" width="11.28515625" customWidth="1"/>
    <col min="15366" max="15366" width="11.28515625" customWidth="1"/>
    <col min="15622" max="15622" width="11.28515625" customWidth="1"/>
    <col min="15878" max="15878" width="11.28515625" customWidth="1"/>
    <col min="16134" max="16134" width="11.28515625" customWidth="1"/>
  </cols>
  <sheetData>
    <row r="11" spans="2:10" ht="26.25">
      <c r="B11" s="112"/>
      <c r="C11" s="112"/>
      <c r="D11" s="112"/>
      <c r="E11" s="112"/>
      <c r="F11" s="113"/>
      <c r="G11" s="112"/>
      <c r="H11" s="112"/>
      <c r="I11" s="114"/>
      <c r="J11" s="112"/>
    </row>
    <row r="12" spans="2:10" ht="26.25">
      <c r="B12" s="112"/>
      <c r="C12" s="112"/>
      <c r="D12" s="112"/>
      <c r="E12" s="112"/>
      <c r="F12" s="113"/>
      <c r="G12" s="112"/>
      <c r="H12" s="112"/>
      <c r="I12" s="115"/>
      <c r="J12" s="112"/>
    </row>
    <row r="13" spans="2:10" ht="26.25">
      <c r="B13" s="112"/>
      <c r="C13" s="112"/>
      <c r="D13" s="112"/>
      <c r="E13" s="112"/>
      <c r="F13" s="116"/>
      <c r="G13" s="112"/>
      <c r="H13" s="112"/>
      <c r="I13" s="112"/>
      <c r="J13" s="112"/>
    </row>
    <row r="14" spans="2:10" ht="26.25">
      <c r="B14" s="112"/>
      <c r="C14" s="112"/>
      <c r="D14" s="112"/>
      <c r="E14" s="112"/>
      <c r="F14" s="113"/>
      <c r="G14" s="112"/>
      <c r="H14" s="112"/>
      <c r="I14" s="112"/>
      <c r="J14" s="112"/>
    </row>
    <row r="15" spans="2:10" ht="26.25">
      <c r="B15" s="112"/>
      <c r="C15" s="112"/>
      <c r="D15" s="112"/>
      <c r="E15" s="112"/>
      <c r="F15" s="113"/>
      <c r="G15" s="112"/>
      <c r="H15" s="112"/>
      <c r="I15" s="112"/>
      <c r="J15" s="112"/>
    </row>
    <row r="16" spans="2:10" ht="26.25">
      <c r="B16" s="112"/>
      <c r="C16" s="112"/>
      <c r="D16" s="112"/>
      <c r="G16" s="112"/>
      <c r="H16" s="112"/>
      <c r="I16" s="112"/>
      <c r="J16" s="112"/>
    </row>
    <row r="17" spans="2:10" ht="26.25">
      <c r="B17" s="112"/>
      <c r="C17" s="112"/>
      <c r="D17" s="112"/>
      <c r="E17" s="112"/>
      <c r="F17" s="116"/>
      <c r="G17" s="112"/>
      <c r="H17" s="112"/>
      <c r="I17" s="112"/>
      <c r="J17" s="112"/>
    </row>
    <row r="18" spans="2:10" ht="26.25">
      <c r="B18" s="112"/>
      <c r="C18" s="112"/>
      <c r="D18" s="112"/>
      <c r="E18" s="112"/>
      <c r="F18" s="113"/>
      <c r="G18" s="112"/>
      <c r="H18" s="112"/>
      <c r="I18" s="112"/>
      <c r="J18" s="112"/>
    </row>
    <row r="19" spans="2:10" ht="26.25">
      <c r="B19" s="112"/>
      <c r="C19" s="112"/>
      <c r="D19" s="112"/>
      <c r="E19" s="112"/>
      <c r="F19" s="113"/>
      <c r="G19" s="112"/>
      <c r="H19" s="112"/>
      <c r="I19" s="112"/>
      <c r="J19" s="112"/>
    </row>
    <row r="20" spans="2:10" ht="26.25">
      <c r="B20" s="112"/>
      <c r="C20" s="112"/>
      <c r="D20" s="112"/>
      <c r="E20" s="112"/>
      <c r="F20" s="116"/>
      <c r="G20" s="112"/>
      <c r="H20" s="112"/>
      <c r="I20" s="112"/>
      <c r="J20" s="112"/>
    </row>
    <row r="21" spans="2:10" ht="26.25">
      <c r="B21" s="112"/>
      <c r="C21" s="112"/>
      <c r="D21" s="112"/>
      <c r="E21" s="112"/>
      <c r="F21" s="113"/>
      <c r="G21" s="112"/>
      <c r="H21" s="112"/>
      <c r="I21" s="112"/>
      <c r="J21" s="112"/>
    </row>
    <row r="22" spans="2:10" ht="26.25">
      <c r="B22" s="112"/>
      <c r="C22" s="112"/>
      <c r="D22" s="112"/>
      <c r="E22" s="112"/>
      <c r="F22" s="112"/>
      <c r="G22" s="112"/>
      <c r="H22" s="112"/>
      <c r="I22" s="112"/>
      <c r="J22" s="112"/>
    </row>
  </sheetData>
  <pageMargins left="0.25" right="0.25" top="0.75" bottom="0.75" header="0.3" footer="0.3"/>
  <pageSetup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Normal="100" workbookViewId="0">
      <selection activeCell="D1" sqref="D1"/>
    </sheetView>
  </sheetViews>
  <sheetFormatPr defaultRowHeight="15"/>
  <cols>
    <col min="1" max="1" width="9" customWidth="1"/>
    <col min="2" max="2" width="81.5703125" customWidth="1"/>
    <col min="3" max="3" width="9.5703125" customWidth="1"/>
    <col min="4" max="4" width="45.85546875" bestFit="1" customWidth="1"/>
  </cols>
  <sheetData>
    <row r="1" spans="1:10" ht="21" customHeight="1" thickTop="1" thickBot="1">
      <c r="A1" s="356" t="s">
        <v>36</v>
      </c>
      <c r="B1" s="357"/>
      <c r="D1" s="117" t="s">
        <v>470</v>
      </c>
    </row>
    <row r="2" spans="1:10" ht="15.75" thickTop="1"/>
    <row r="3" spans="1:10" ht="21" customHeight="1">
      <c r="A3" s="358" t="s">
        <v>0</v>
      </c>
      <c r="B3" s="359"/>
    </row>
    <row r="4" spans="1:10">
      <c r="A4" s="126" t="s">
        <v>1</v>
      </c>
      <c r="B4" s="126" t="s">
        <v>668</v>
      </c>
    </row>
    <row r="5" spans="1:10">
      <c r="A5" s="126" t="s">
        <v>2</v>
      </c>
      <c r="B5" s="126" t="s">
        <v>669</v>
      </c>
    </row>
    <row r="6" spans="1:10">
      <c r="A6" s="126" t="s">
        <v>3</v>
      </c>
      <c r="B6" s="126" t="s">
        <v>670</v>
      </c>
    </row>
    <row r="7" spans="1:10">
      <c r="A7" s="126" t="s">
        <v>4</v>
      </c>
      <c r="B7" s="126" t="s">
        <v>671</v>
      </c>
    </row>
    <row r="8" spans="1:10">
      <c r="A8" s="126" t="s">
        <v>5</v>
      </c>
      <c r="B8" s="126" t="s">
        <v>672</v>
      </c>
    </row>
    <row r="9" spans="1:10">
      <c r="A9" s="126" t="s">
        <v>678</v>
      </c>
      <c r="B9" s="126" t="s">
        <v>986</v>
      </c>
    </row>
    <row r="10" spans="1:10">
      <c r="A10" s="126" t="s">
        <v>6</v>
      </c>
      <c r="B10" s="126" t="s">
        <v>673</v>
      </c>
    </row>
    <row r="11" spans="1:10" ht="21" customHeight="1">
      <c r="A11" s="360" t="s">
        <v>7</v>
      </c>
      <c r="B11" s="361"/>
      <c r="C11" s="52"/>
    </row>
    <row r="12" spans="1:10">
      <c r="A12" s="126" t="s">
        <v>8</v>
      </c>
      <c r="B12" s="126" t="s">
        <v>674</v>
      </c>
    </row>
    <row r="13" spans="1:10">
      <c r="A13" s="126" t="s">
        <v>9</v>
      </c>
      <c r="B13" s="126" t="s">
        <v>675</v>
      </c>
    </row>
    <row r="14" spans="1:10">
      <c r="A14" s="126" t="s">
        <v>10</v>
      </c>
      <c r="B14" s="126" t="s">
        <v>676</v>
      </c>
    </row>
    <row r="15" spans="1:10">
      <c r="A15" s="126" t="s">
        <v>11</v>
      </c>
      <c r="B15" s="126" t="s">
        <v>677</v>
      </c>
    </row>
    <row r="16" spans="1:10">
      <c r="A16" s="126" t="s">
        <v>187</v>
      </c>
      <c r="B16" s="126" t="s">
        <v>483</v>
      </c>
      <c r="G16" s="33"/>
      <c r="H16" s="33"/>
      <c r="I16" s="33"/>
      <c r="J16" s="118"/>
    </row>
    <row r="17" spans="1:2" ht="21">
      <c r="A17" s="358" t="s">
        <v>12</v>
      </c>
      <c r="B17" s="359"/>
    </row>
    <row r="18" spans="1:2">
      <c r="A18" s="126" t="s">
        <v>13</v>
      </c>
      <c r="B18" s="126" t="s">
        <v>14</v>
      </c>
    </row>
    <row r="19" spans="1:2">
      <c r="A19" s="126" t="s">
        <v>15</v>
      </c>
      <c r="B19" s="126" t="s">
        <v>595</v>
      </c>
    </row>
    <row r="20" spans="1:2">
      <c r="A20" s="126" t="s">
        <v>16</v>
      </c>
      <c r="B20" s="126" t="s">
        <v>596</v>
      </c>
    </row>
    <row r="21" spans="1:2">
      <c r="A21" s="126" t="s">
        <v>17</v>
      </c>
      <c r="B21" s="126" t="s">
        <v>597</v>
      </c>
    </row>
    <row r="22" spans="1:2">
      <c r="A22" s="126" t="s">
        <v>18</v>
      </c>
      <c r="B22" s="126" t="s">
        <v>598</v>
      </c>
    </row>
    <row r="23" spans="1:2">
      <c r="A23" s="126" t="s">
        <v>19</v>
      </c>
      <c r="B23" s="126" t="s">
        <v>599</v>
      </c>
    </row>
    <row r="24" spans="1:2" ht="21">
      <c r="A24" s="358" t="s">
        <v>20</v>
      </c>
      <c r="B24" s="359"/>
    </row>
    <row r="25" spans="1:2">
      <c r="A25" s="126" t="s">
        <v>21</v>
      </c>
      <c r="B25" s="126" t="s">
        <v>22</v>
      </c>
    </row>
    <row r="26" spans="1:2">
      <c r="A26" s="126" t="s">
        <v>23</v>
      </c>
      <c r="B26" s="126" t="s">
        <v>37</v>
      </c>
    </row>
    <row r="27" spans="1:2">
      <c r="A27" s="126" t="s">
        <v>24</v>
      </c>
      <c r="B27" s="126" t="s">
        <v>38</v>
      </c>
    </row>
    <row r="28" spans="1:2">
      <c r="A28" s="126" t="s">
        <v>25</v>
      </c>
      <c r="B28" s="126" t="s">
        <v>26</v>
      </c>
    </row>
    <row r="29" spans="1:2">
      <c r="A29" s="360" t="s">
        <v>27</v>
      </c>
      <c r="B29" s="361"/>
    </row>
    <row r="30" spans="1:2">
      <c r="A30" s="126" t="s">
        <v>28</v>
      </c>
      <c r="B30" s="126" t="s">
        <v>139</v>
      </c>
    </row>
    <row r="31" spans="1:2">
      <c r="A31" s="126" t="s">
        <v>138</v>
      </c>
      <c r="B31" s="126" t="s">
        <v>600</v>
      </c>
    </row>
    <row r="32" spans="1:2">
      <c r="A32" s="126" t="s">
        <v>29</v>
      </c>
      <c r="B32" s="126" t="s">
        <v>601</v>
      </c>
    </row>
    <row r="33" spans="1:10">
      <c r="A33" s="126" t="s">
        <v>30</v>
      </c>
      <c r="B33" s="126" t="s">
        <v>602</v>
      </c>
    </row>
    <row r="34" spans="1:10">
      <c r="A34" s="126" t="s">
        <v>31</v>
      </c>
      <c r="B34" s="126" t="s">
        <v>603</v>
      </c>
      <c r="G34" s="33"/>
      <c r="H34" s="33"/>
      <c r="I34" s="33"/>
      <c r="J34" s="33"/>
    </row>
    <row r="35" spans="1:10">
      <c r="A35" s="126" t="s">
        <v>32</v>
      </c>
      <c r="B35" s="126" t="s">
        <v>33</v>
      </c>
      <c r="G35" s="33"/>
      <c r="H35" s="33"/>
      <c r="I35" s="33"/>
      <c r="J35" s="33"/>
    </row>
    <row r="36" spans="1:10">
      <c r="A36" s="126" t="s">
        <v>34</v>
      </c>
      <c r="B36" s="126" t="s">
        <v>35</v>
      </c>
      <c r="G36" s="33"/>
      <c r="H36" s="33"/>
      <c r="I36" s="33"/>
      <c r="J36" s="26"/>
    </row>
    <row r="37" spans="1:10">
      <c r="A37" s="133" t="s">
        <v>524</v>
      </c>
      <c r="B37" s="133" t="s">
        <v>525</v>
      </c>
      <c r="G37" s="33"/>
      <c r="H37" s="33"/>
      <c r="I37" s="33"/>
      <c r="J37" s="132"/>
    </row>
    <row r="38" spans="1:10" ht="21">
      <c r="A38" s="358" t="s">
        <v>140</v>
      </c>
      <c r="B38" s="359"/>
      <c r="G38" s="35"/>
      <c r="H38" s="35"/>
      <c r="I38" s="355"/>
      <c r="J38" s="355"/>
    </row>
    <row r="39" spans="1:10">
      <c r="A39" s="127" t="s">
        <v>141</v>
      </c>
      <c r="B39" s="128" t="s">
        <v>142</v>
      </c>
      <c r="G39" s="36"/>
      <c r="H39" s="36"/>
      <c r="I39" s="36"/>
      <c r="J39" s="36"/>
    </row>
    <row r="40" spans="1:10">
      <c r="A40" s="127" t="s">
        <v>143</v>
      </c>
      <c r="B40" s="127" t="s">
        <v>604</v>
      </c>
      <c r="G40" s="36"/>
      <c r="H40" s="36"/>
      <c r="I40" s="36"/>
      <c r="J40" s="36"/>
    </row>
    <row r="41" spans="1:10">
      <c r="A41" s="127" t="s">
        <v>144</v>
      </c>
      <c r="B41" s="127" t="s">
        <v>605</v>
      </c>
      <c r="G41" s="36"/>
      <c r="H41" s="36"/>
      <c r="I41" s="36"/>
      <c r="J41" s="36"/>
    </row>
    <row r="42" spans="1:10">
      <c r="A42" s="127" t="s">
        <v>145</v>
      </c>
      <c r="B42" s="127" t="s">
        <v>606</v>
      </c>
      <c r="G42" s="36"/>
      <c r="H42" s="36"/>
      <c r="I42" s="36"/>
      <c r="J42" s="36"/>
    </row>
    <row r="43" spans="1:10">
      <c r="A43" s="127" t="s">
        <v>146</v>
      </c>
      <c r="B43" s="127" t="s">
        <v>607</v>
      </c>
      <c r="G43" s="33"/>
      <c r="H43" s="33"/>
      <c r="I43" s="33"/>
      <c r="J43" s="33"/>
    </row>
    <row r="44" spans="1:10">
      <c r="G44" s="33"/>
      <c r="H44" s="33"/>
      <c r="I44" s="33"/>
      <c r="J44" s="33"/>
    </row>
  </sheetData>
  <mergeCells count="8">
    <mergeCell ref="I38:J38"/>
    <mergeCell ref="A1:B1"/>
    <mergeCell ref="A3:B3"/>
    <mergeCell ref="A11:B11"/>
    <mergeCell ref="A17:B17"/>
    <mergeCell ref="A24:B24"/>
    <mergeCell ref="A38:B38"/>
    <mergeCell ref="A29:B29"/>
  </mergeCells>
  <hyperlinks>
    <hyperlink ref="D1" location="Begin!A1" display="Start Over"/>
  </hyperlinks>
  <pageMargins left="0.7" right="0.7" top="0.75" bottom="0.75" header="0.3" footer="0.3"/>
  <pageSetup scale="9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zoomScaleNormal="100" workbookViewId="0">
      <pane ySplit="2" topLeftCell="A3" activePane="bottomLeft" state="frozen"/>
      <selection pane="bottomLeft" activeCell="D7" sqref="D7"/>
    </sheetView>
  </sheetViews>
  <sheetFormatPr defaultRowHeight="15"/>
  <cols>
    <col min="1" max="1" width="10" customWidth="1"/>
    <col min="2" max="2" width="55.5703125" bestFit="1" customWidth="1"/>
    <col min="3" max="3" width="10" style="37" bestFit="1" customWidth="1"/>
    <col min="5" max="5" width="52.85546875" bestFit="1" customWidth="1"/>
    <col min="6" max="6" width="10" bestFit="1" customWidth="1"/>
  </cols>
  <sheetData>
    <row r="1" spans="1:11" ht="24" thickTop="1">
      <c r="A1" s="367" t="s">
        <v>147</v>
      </c>
      <c r="B1" s="368"/>
      <c r="C1" s="369"/>
      <c r="E1" s="117" t="s">
        <v>470</v>
      </c>
      <c r="H1" s="33"/>
      <c r="I1" s="33"/>
      <c r="J1" s="33"/>
      <c r="K1" s="33"/>
    </row>
    <row r="2" spans="1:11">
      <c r="A2" s="129" t="s">
        <v>490</v>
      </c>
      <c r="B2" s="129" t="s">
        <v>491</v>
      </c>
      <c r="C2" s="129" t="s">
        <v>492</v>
      </c>
      <c r="H2" s="33"/>
      <c r="I2" s="33"/>
      <c r="J2" s="33"/>
      <c r="K2" s="33"/>
    </row>
    <row r="3" spans="1:11" ht="21">
      <c r="A3" s="362" t="s">
        <v>148</v>
      </c>
      <c r="B3" s="363"/>
      <c r="C3" s="364"/>
      <c r="D3" s="34"/>
      <c r="E3" s="34"/>
      <c r="F3" s="27"/>
      <c r="G3" s="33"/>
      <c r="H3" s="33"/>
      <c r="I3" s="33"/>
      <c r="J3" s="33"/>
      <c r="K3" s="33"/>
    </row>
    <row r="4" spans="1:11">
      <c r="A4" s="23" t="s">
        <v>149</v>
      </c>
      <c r="B4" s="24" t="s">
        <v>150</v>
      </c>
      <c r="C4" s="24"/>
      <c r="D4" s="22"/>
      <c r="E4" s="22"/>
      <c r="F4" s="27"/>
      <c r="G4" s="33"/>
      <c r="H4" s="33"/>
      <c r="I4" s="33"/>
      <c r="J4" s="33"/>
      <c r="K4" s="33"/>
    </row>
    <row r="5" spans="1:11">
      <c r="A5" s="23" t="s">
        <v>151</v>
      </c>
      <c r="B5" s="24" t="s">
        <v>152</v>
      </c>
      <c r="C5" s="24"/>
      <c r="D5" s="22"/>
      <c r="E5" s="22"/>
      <c r="F5" s="33"/>
      <c r="G5" s="33"/>
      <c r="H5" s="33"/>
      <c r="I5" s="33"/>
      <c r="J5" s="33"/>
      <c r="K5" s="33"/>
    </row>
    <row r="6" spans="1:11">
      <c r="A6" s="23" t="s">
        <v>153</v>
      </c>
      <c r="B6" s="24" t="s">
        <v>154</v>
      </c>
      <c r="C6" s="24"/>
      <c r="D6" s="22"/>
      <c r="E6" s="22"/>
      <c r="F6" s="33"/>
      <c r="G6" s="33"/>
      <c r="H6" s="33"/>
      <c r="I6" s="33"/>
      <c r="J6" s="33"/>
      <c r="K6" s="33"/>
    </row>
    <row r="7" spans="1:11">
      <c r="A7" s="23" t="s">
        <v>155</v>
      </c>
      <c r="B7" s="44" t="s">
        <v>156</v>
      </c>
      <c r="C7" s="24"/>
      <c r="D7" s="249"/>
      <c r="E7" s="33"/>
      <c r="F7" s="33"/>
      <c r="G7" s="33"/>
      <c r="H7" s="33"/>
      <c r="I7" s="33"/>
      <c r="J7" s="33"/>
      <c r="K7" s="33"/>
    </row>
    <row r="8" spans="1:11">
      <c r="A8" s="23" t="s">
        <v>157</v>
      </c>
      <c r="B8" s="44" t="s">
        <v>158</v>
      </c>
      <c r="C8" s="24"/>
      <c r="D8" s="30"/>
      <c r="E8" s="33"/>
      <c r="F8" s="33"/>
      <c r="G8" s="33"/>
      <c r="H8" s="33"/>
      <c r="I8" s="33"/>
      <c r="J8" s="33"/>
      <c r="K8" s="33"/>
    </row>
    <row r="9" spans="1:11">
      <c r="A9" s="23" t="s">
        <v>159</v>
      </c>
      <c r="B9" s="23" t="s">
        <v>160</v>
      </c>
      <c r="C9" s="123" t="s">
        <v>493</v>
      </c>
      <c r="D9" s="37"/>
      <c r="F9" s="35"/>
      <c r="G9" s="35"/>
      <c r="H9" s="33"/>
      <c r="I9" s="33"/>
      <c r="J9" s="33"/>
      <c r="K9" s="33"/>
    </row>
    <row r="10" spans="1:11">
      <c r="A10" s="23" t="s">
        <v>161</v>
      </c>
      <c r="B10" s="44" t="s">
        <v>162</v>
      </c>
      <c r="C10" s="124" t="s">
        <v>494</v>
      </c>
      <c r="D10" s="30"/>
      <c r="F10" s="36"/>
      <c r="G10" s="36"/>
      <c r="H10" s="33"/>
      <c r="I10" s="33"/>
      <c r="J10" s="33"/>
      <c r="K10" s="33"/>
    </row>
    <row r="11" spans="1:11">
      <c r="A11" s="23" t="s">
        <v>163</v>
      </c>
      <c r="B11" s="44" t="s">
        <v>164</v>
      </c>
      <c r="C11" s="124" t="s">
        <v>495</v>
      </c>
      <c r="D11" s="30"/>
      <c r="F11" s="36"/>
      <c r="G11" s="36"/>
      <c r="H11" s="33"/>
      <c r="I11" s="33"/>
      <c r="J11" s="33"/>
      <c r="K11" s="33"/>
    </row>
    <row r="12" spans="1:11">
      <c r="A12" s="23" t="s">
        <v>165</v>
      </c>
      <c r="B12" s="44" t="s">
        <v>166</v>
      </c>
      <c r="C12" s="124" t="s">
        <v>496</v>
      </c>
      <c r="D12" s="30"/>
      <c r="F12" s="36"/>
      <c r="G12" s="36"/>
      <c r="H12" s="33"/>
      <c r="I12" s="33"/>
      <c r="J12" s="33"/>
      <c r="K12" s="33"/>
    </row>
    <row r="13" spans="1:11">
      <c r="A13" s="23" t="s">
        <v>167</v>
      </c>
      <c r="B13" s="44" t="s">
        <v>168</v>
      </c>
      <c r="C13" s="124" t="s">
        <v>497</v>
      </c>
      <c r="D13" s="30"/>
      <c r="F13" s="36"/>
      <c r="G13" s="36"/>
      <c r="H13" s="33"/>
      <c r="I13" s="33"/>
      <c r="J13" s="33"/>
      <c r="K13" s="33"/>
    </row>
    <row r="14" spans="1:11">
      <c r="A14" s="23" t="s">
        <v>169</v>
      </c>
      <c r="B14" s="44" t="s">
        <v>170</v>
      </c>
      <c r="C14" s="24"/>
      <c r="D14" s="30"/>
      <c r="E14" s="33"/>
      <c r="F14" s="33"/>
      <c r="G14" s="33"/>
      <c r="H14" s="40"/>
      <c r="I14" s="26"/>
      <c r="J14" s="26"/>
      <c r="K14" s="26"/>
    </row>
    <row r="15" spans="1:11">
      <c r="A15" s="23" t="s">
        <v>171</v>
      </c>
      <c r="B15" s="44" t="s">
        <v>172</v>
      </c>
      <c r="C15" s="24"/>
      <c r="G15" s="33"/>
      <c r="H15" s="40"/>
      <c r="I15" s="26"/>
      <c r="J15" s="26"/>
      <c r="K15" s="26"/>
    </row>
    <row r="16" spans="1:11">
      <c r="A16" s="38"/>
      <c r="B16" s="38"/>
      <c r="C16" s="38"/>
      <c r="G16" s="41"/>
      <c r="H16" s="29"/>
      <c r="I16" s="29"/>
      <c r="J16" s="29"/>
      <c r="K16" s="29"/>
    </row>
    <row r="17" spans="1:12" ht="21">
      <c r="A17" s="365" t="s">
        <v>645</v>
      </c>
      <c r="B17" s="363"/>
      <c r="C17" s="364"/>
      <c r="G17" s="41"/>
      <c r="H17" s="29"/>
      <c r="I17" s="29"/>
      <c r="J17" s="29"/>
      <c r="K17" s="29"/>
    </row>
    <row r="18" spans="1:12">
      <c r="A18" s="23" t="s">
        <v>173</v>
      </c>
      <c r="B18" s="24" t="s">
        <v>646</v>
      </c>
      <c r="C18" s="124" t="s">
        <v>286</v>
      </c>
      <c r="G18" s="41"/>
      <c r="H18" s="33"/>
      <c r="I18" s="33"/>
      <c r="J18" s="33"/>
      <c r="K18" s="33"/>
    </row>
    <row r="19" spans="1:12">
      <c r="A19" s="23" t="s">
        <v>175</v>
      </c>
      <c r="B19" s="24" t="s">
        <v>647</v>
      </c>
      <c r="C19" s="124" t="s">
        <v>286</v>
      </c>
      <c r="G19" s="41"/>
      <c r="H19" s="29"/>
      <c r="I19" s="29"/>
      <c r="J19" s="29"/>
      <c r="K19" s="29"/>
    </row>
    <row r="20" spans="1:12">
      <c r="A20" s="23" t="s">
        <v>176</v>
      </c>
      <c r="B20" s="24" t="s">
        <v>648</v>
      </c>
      <c r="C20" s="124" t="s">
        <v>286</v>
      </c>
      <c r="G20" s="41"/>
      <c r="H20" s="29"/>
      <c r="I20" s="29"/>
      <c r="J20" s="29"/>
      <c r="K20" s="29"/>
    </row>
    <row r="21" spans="1:12">
      <c r="A21" s="24" t="s">
        <v>267</v>
      </c>
      <c r="B21" s="24" t="s">
        <v>649</v>
      </c>
      <c r="C21" s="24"/>
      <c r="G21" s="41"/>
      <c r="H21" s="29"/>
      <c r="I21" s="29"/>
      <c r="J21" s="29"/>
      <c r="K21" s="29"/>
    </row>
    <row r="22" spans="1:12">
      <c r="A22" s="158"/>
      <c r="B22" s="158"/>
      <c r="C22" s="158"/>
      <c r="G22" s="41"/>
      <c r="H22" s="29"/>
      <c r="I22" s="29"/>
      <c r="J22" s="29"/>
      <c r="K22" s="29"/>
    </row>
    <row r="23" spans="1:12" ht="21">
      <c r="A23" s="365" t="s">
        <v>650</v>
      </c>
      <c r="B23" s="363"/>
      <c r="C23" s="364"/>
      <c r="G23" s="41"/>
      <c r="H23" s="29"/>
      <c r="I23" s="29"/>
      <c r="J23" s="29"/>
      <c r="K23" s="29"/>
    </row>
    <row r="24" spans="1:12">
      <c r="A24" s="23" t="s">
        <v>651</v>
      </c>
      <c r="B24" s="24" t="s">
        <v>654</v>
      </c>
      <c r="C24" s="123" t="s">
        <v>481</v>
      </c>
      <c r="G24" s="41"/>
      <c r="H24" s="33"/>
      <c r="I24" s="33"/>
      <c r="J24" s="33"/>
      <c r="K24" s="33"/>
    </row>
    <row r="25" spans="1:12">
      <c r="A25" s="23" t="s">
        <v>652</v>
      </c>
      <c r="B25" s="24" t="s">
        <v>655</v>
      </c>
      <c r="C25" s="123" t="s">
        <v>481</v>
      </c>
      <c r="G25" s="41"/>
      <c r="H25" s="29"/>
      <c r="I25" s="29"/>
      <c r="J25" s="29"/>
      <c r="K25" s="29"/>
    </row>
    <row r="26" spans="1:12">
      <c r="A26" s="24" t="s">
        <v>653</v>
      </c>
      <c r="B26" s="24" t="s">
        <v>656</v>
      </c>
      <c r="C26" s="24"/>
      <c r="G26" s="41"/>
      <c r="H26" s="29"/>
      <c r="I26" s="29"/>
      <c r="J26" s="29"/>
      <c r="K26" s="29"/>
    </row>
    <row r="27" spans="1:12">
      <c r="A27" s="22"/>
      <c r="B27" s="22"/>
      <c r="C27" s="22"/>
      <c r="G27" s="41"/>
      <c r="H27" s="29"/>
      <c r="I27" s="29"/>
      <c r="J27" s="29"/>
      <c r="K27" s="29"/>
    </row>
    <row r="28" spans="1:12" ht="21">
      <c r="A28" s="365" t="s">
        <v>177</v>
      </c>
      <c r="B28" s="363"/>
      <c r="C28" s="364"/>
      <c r="D28" s="39"/>
      <c r="E28" s="41"/>
      <c r="F28" s="41"/>
      <c r="G28" s="41"/>
    </row>
    <row r="29" spans="1:12">
      <c r="A29" s="23" t="s">
        <v>178</v>
      </c>
      <c r="B29" s="24" t="s">
        <v>179</v>
      </c>
      <c r="C29" s="24"/>
      <c r="D29" s="22"/>
      <c r="E29" s="41"/>
      <c r="F29" s="41"/>
      <c r="G29" s="41"/>
    </row>
    <row r="30" spans="1:12">
      <c r="A30" s="23" t="s">
        <v>180</v>
      </c>
      <c r="B30" s="24" t="s">
        <v>181</v>
      </c>
      <c r="C30" s="24"/>
      <c r="D30" s="22"/>
      <c r="E30" s="41"/>
      <c r="F30" s="41"/>
      <c r="G30" s="41"/>
      <c r="H30" s="26"/>
      <c r="I30" s="26"/>
      <c r="J30" s="26"/>
      <c r="K30" s="26"/>
      <c r="L30" s="26"/>
    </row>
    <row r="31" spans="1:12">
      <c r="A31" s="23" t="s">
        <v>182</v>
      </c>
      <c r="B31" s="24" t="s">
        <v>183</v>
      </c>
      <c r="C31" s="24"/>
      <c r="D31" s="22"/>
      <c r="E31" s="41"/>
      <c r="F31" s="41"/>
      <c r="G31" s="41"/>
      <c r="H31" s="26"/>
      <c r="I31" s="26"/>
      <c r="J31" s="26"/>
      <c r="K31" s="26"/>
      <c r="L31" s="26"/>
    </row>
    <row r="32" spans="1:12">
      <c r="A32" s="38"/>
      <c r="B32" s="38"/>
      <c r="C32" s="38"/>
      <c r="D32" s="38"/>
      <c r="E32" s="41"/>
      <c r="F32" s="41"/>
      <c r="G32" s="41"/>
      <c r="H32" s="26"/>
      <c r="I32" s="26"/>
      <c r="J32" s="26"/>
      <c r="K32" s="26"/>
      <c r="L32" s="26"/>
    </row>
    <row r="33" spans="1:12" ht="21">
      <c r="A33" s="365" t="s">
        <v>184</v>
      </c>
      <c r="B33" s="363"/>
      <c r="C33" s="364"/>
      <c r="D33" s="39"/>
      <c r="E33" s="41"/>
      <c r="F33" s="41"/>
      <c r="G33" s="41"/>
      <c r="H33" s="26"/>
      <c r="I33" s="26"/>
      <c r="J33" s="26"/>
      <c r="K33" s="26"/>
      <c r="L33" s="26"/>
    </row>
    <row r="34" spans="1:12">
      <c r="A34" s="23" t="s">
        <v>185</v>
      </c>
      <c r="B34" s="24" t="s">
        <v>186</v>
      </c>
      <c r="C34" s="24"/>
      <c r="D34" s="22"/>
      <c r="E34" s="27"/>
      <c r="F34" s="27"/>
      <c r="G34" s="27"/>
      <c r="H34" s="26"/>
      <c r="I34" s="26"/>
      <c r="J34" s="26"/>
      <c r="K34" s="26"/>
      <c r="L34" s="26"/>
    </row>
    <row r="35" spans="1:12">
      <c r="A35" s="23" t="s">
        <v>187</v>
      </c>
      <c r="B35" s="24" t="s">
        <v>188</v>
      </c>
      <c r="C35" s="24"/>
      <c r="D35" s="22"/>
      <c r="E35" s="27"/>
      <c r="F35" s="27"/>
      <c r="G35" s="27"/>
      <c r="H35" s="29"/>
      <c r="I35" s="26"/>
      <c r="J35" s="26"/>
      <c r="K35" s="26"/>
      <c r="L35" s="26"/>
    </row>
    <row r="36" spans="1:12" ht="15.75">
      <c r="A36" s="28"/>
      <c r="B36" s="38"/>
      <c r="C36" s="38"/>
      <c r="D36" s="38"/>
      <c r="E36" s="32"/>
      <c r="F36" s="32"/>
      <c r="G36" s="32"/>
      <c r="H36" s="26"/>
      <c r="I36" s="26"/>
      <c r="J36" s="26"/>
      <c r="K36" s="26"/>
      <c r="L36" s="26"/>
    </row>
    <row r="37" spans="1:12" ht="21">
      <c r="A37" s="365" t="s">
        <v>189</v>
      </c>
      <c r="B37" s="363"/>
      <c r="C37" s="364"/>
      <c r="D37" s="38"/>
      <c r="E37" s="27"/>
      <c r="F37" s="27"/>
      <c r="G37" s="27"/>
      <c r="H37" s="26"/>
      <c r="I37" s="26"/>
      <c r="J37" s="26"/>
      <c r="K37" s="26"/>
      <c r="L37" s="26"/>
    </row>
    <row r="38" spans="1:12">
      <c r="A38" s="24" t="s">
        <v>190</v>
      </c>
      <c r="B38" s="24" t="s">
        <v>191</v>
      </c>
      <c r="C38" s="24"/>
      <c r="D38" s="22"/>
      <c r="E38" s="27"/>
      <c r="F38" s="27"/>
      <c r="G38" s="27"/>
      <c r="H38" s="26"/>
      <c r="I38" s="26"/>
      <c r="J38" s="26"/>
      <c r="K38" s="26"/>
      <c r="L38" s="26"/>
    </row>
    <row r="39" spans="1:12">
      <c r="A39" s="24" t="s">
        <v>192</v>
      </c>
      <c r="B39" s="24" t="s">
        <v>193</v>
      </c>
      <c r="C39" s="24"/>
      <c r="D39" s="22"/>
      <c r="E39" s="27"/>
      <c r="F39" s="27"/>
      <c r="G39" s="27"/>
      <c r="H39" s="26"/>
      <c r="I39" s="26"/>
      <c r="J39" s="26"/>
      <c r="K39" s="26"/>
      <c r="L39" s="26"/>
    </row>
    <row r="40" spans="1:12">
      <c r="A40" s="24" t="s">
        <v>194</v>
      </c>
      <c r="B40" s="24" t="s">
        <v>315</v>
      </c>
      <c r="C40" s="24"/>
      <c r="D40" s="22"/>
      <c r="E40" s="27"/>
      <c r="F40" s="27"/>
      <c r="G40" s="27"/>
      <c r="H40" s="26"/>
      <c r="I40" s="26"/>
      <c r="J40" s="26"/>
      <c r="K40" s="26"/>
      <c r="L40" s="26"/>
    </row>
    <row r="41" spans="1:12">
      <c r="A41" s="45" t="s">
        <v>195</v>
      </c>
      <c r="B41" s="48" t="s">
        <v>314</v>
      </c>
      <c r="C41" s="46"/>
      <c r="H41" s="26"/>
      <c r="I41" s="26"/>
      <c r="J41" s="26"/>
      <c r="K41" s="26"/>
      <c r="L41" s="26"/>
    </row>
    <row r="42" spans="1:12">
      <c r="H42" s="26"/>
      <c r="I42" s="26"/>
      <c r="J42" s="26"/>
      <c r="K42" s="26"/>
      <c r="L42" s="26"/>
    </row>
    <row r="43" spans="1:12" ht="21">
      <c r="A43" s="362" t="s">
        <v>701</v>
      </c>
      <c r="B43" s="363"/>
      <c r="C43" s="364"/>
      <c r="D43" s="25"/>
      <c r="E43" s="25"/>
      <c r="F43" s="26"/>
      <c r="G43" s="26"/>
      <c r="H43" s="29"/>
      <c r="I43" s="26"/>
      <c r="J43" s="26"/>
      <c r="K43" s="26"/>
      <c r="L43" s="26"/>
    </row>
    <row r="44" spans="1:12">
      <c r="A44" s="47" t="s">
        <v>196</v>
      </c>
      <c r="B44" s="47" t="s">
        <v>197</v>
      </c>
      <c r="C44" s="123" t="s">
        <v>471</v>
      </c>
      <c r="D44" s="42"/>
      <c r="E44" s="29"/>
      <c r="F44" s="26"/>
      <c r="G44" s="26"/>
      <c r="H44" s="25"/>
      <c r="I44" s="25"/>
      <c r="J44" s="26"/>
      <c r="K44" s="26"/>
      <c r="L44" s="26"/>
    </row>
    <row r="45" spans="1:12">
      <c r="A45" s="47" t="s">
        <v>198</v>
      </c>
      <c r="B45" s="47" t="s">
        <v>199</v>
      </c>
      <c r="C45" s="123" t="s">
        <v>471</v>
      </c>
      <c r="D45" s="42"/>
      <c r="E45" s="29"/>
      <c r="F45" s="26"/>
      <c r="G45" s="26"/>
      <c r="H45" s="31"/>
      <c r="I45" s="31"/>
      <c r="J45" s="31"/>
      <c r="K45" s="31"/>
      <c r="L45" s="29"/>
    </row>
    <row r="46" spans="1:12">
      <c r="A46" s="47" t="s">
        <v>200</v>
      </c>
      <c r="B46" s="47" t="s">
        <v>268</v>
      </c>
      <c r="C46" s="123" t="s">
        <v>471</v>
      </c>
      <c r="D46" s="42"/>
      <c r="E46" s="29"/>
      <c r="F46" s="26"/>
      <c r="G46" s="26"/>
      <c r="H46" s="27"/>
      <c r="I46" s="27"/>
      <c r="J46" s="27"/>
      <c r="K46" s="27"/>
      <c r="L46" s="29"/>
    </row>
    <row r="47" spans="1:12">
      <c r="A47" s="47" t="s">
        <v>201</v>
      </c>
      <c r="B47" s="47" t="s">
        <v>269</v>
      </c>
      <c r="C47" s="123" t="s">
        <v>471</v>
      </c>
      <c r="D47" s="42"/>
      <c r="E47" s="29"/>
      <c r="F47" s="26"/>
      <c r="G47" s="26"/>
      <c r="H47" s="27"/>
      <c r="I47" s="27"/>
      <c r="J47" s="27"/>
      <c r="K47" s="27"/>
      <c r="L47" s="29"/>
    </row>
    <row r="48" spans="1:12">
      <c r="A48" s="47" t="s">
        <v>202</v>
      </c>
      <c r="B48" s="47" t="s">
        <v>608</v>
      </c>
      <c r="C48" s="123" t="s">
        <v>471</v>
      </c>
      <c r="D48" s="42"/>
      <c r="E48" s="29"/>
      <c r="F48" s="26"/>
      <c r="G48" s="26"/>
      <c r="H48" s="27"/>
      <c r="I48" s="27"/>
      <c r="J48" s="27"/>
      <c r="K48" s="27"/>
      <c r="L48" s="29"/>
    </row>
    <row r="49" spans="1:12">
      <c r="A49" s="47" t="s">
        <v>203</v>
      </c>
      <c r="B49" s="47" t="s">
        <v>609</v>
      </c>
      <c r="C49" s="123" t="s">
        <v>471</v>
      </c>
      <c r="D49" s="42"/>
      <c r="E49" s="29"/>
      <c r="F49" s="26"/>
      <c r="G49" s="26"/>
      <c r="H49" s="27"/>
      <c r="I49" s="27"/>
      <c r="J49" s="27"/>
      <c r="K49" s="27"/>
      <c r="L49" s="29"/>
    </row>
    <row r="50" spans="1:12">
      <c r="A50" s="38"/>
      <c r="B50" s="38"/>
      <c r="C50" s="38"/>
      <c r="D50" s="38"/>
      <c r="E50" s="38"/>
      <c r="F50" s="38"/>
      <c r="G50" s="38"/>
      <c r="H50" s="27"/>
      <c r="I50" s="27"/>
      <c r="J50" s="27"/>
      <c r="K50" s="27"/>
      <c r="L50" s="29"/>
    </row>
    <row r="51" spans="1:12" ht="21">
      <c r="A51" s="362" t="s">
        <v>707</v>
      </c>
      <c r="B51" s="363"/>
      <c r="C51" s="364"/>
      <c r="D51" s="25"/>
      <c r="E51" s="25"/>
      <c r="F51" s="26"/>
      <c r="G51" s="26"/>
      <c r="H51" s="27"/>
      <c r="I51" s="27"/>
      <c r="J51" s="27"/>
      <c r="K51" s="27"/>
      <c r="L51" s="29"/>
    </row>
    <row r="52" spans="1:12">
      <c r="A52" s="47" t="s">
        <v>204</v>
      </c>
      <c r="B52" s="47" t="s">
        <v>205</v>
      </c>
      <c r="C52" s="123" t="s">
        <v>471</v>
      </c>
      <c r="D52" s="42"/>
      <c r="E52" s="29"/>
      <c r="F52" s="26"/>
      <c r="G52" s="26"/>
      <c r="H52" s="27"/>
      <c r="I52" s="27"/>
      <c r="J52" s="27"/>
      <c r="K52" s="27"/>
      <c r="L52" s="29"/>
    </row>
    <row r="53" spans="1:12">
      <c r="A53" s="47" t="s">
        <v>206</v>
      </c>
      <c r="B53" s="47" t="s">
        <v>610</v>
      </c>
      <c r="C53" s="123" t="s">
        <v>471</v>
      </c>
      <c r="D53" s="42"/>
      <c r="E53" s="29"/>
      <c r="F53" s="26"/>
      <c r="G53" s="26"/>
      <c r="H53" s="27"/>
      <c r="I53" s="27"/>
      <c r="J53" s="27"/>
      <c r="K53" s="27"/>
      <c r="L53" s="29"/>
    </row>
    <row r="54" spans="1:12">
      <c r="A54" s="47" t="s">
        <v>207</v>
      </c>
      <c r="B54" s="47" t="s">
        <v>611</v>
      </c>
      <c r="C54" s="123" t="s">
        <v>471</v>
      </c>
      <c r="D54" s="42"/>
      <c r="E54" s="29"/>
      <c r="F54" s="26"/>
      <c r="G54" s="26"/>
      <c r="H54" s="25"/>
      <c r="I54" s="25"/>
      <c r="J54" s="26"/>
      <c r="K54" s="26"/>
      <c r="L54" s="26"/>
    </row>
    <row r="55" spans="1:12">
      <c r="A55" s="47" t="s">
        <v>208</v>
      </c>
      <c r="B55" s="47" t="s">
        <v>612</v>
      </c>
      <c r="C55" s="123" t="s">
        <v>471</v>
      </c>
      <c r="D55" s="42"/>
      <c r="E55" s="29"/>
      <c r="F55" s="26"/>
      <c r="G55" s="26"/>
      <c r="H55" s="31"/>
      <c r="I55" s="31"/>
      <c r="J55" s="31"/>
      <c r="K55" s="29"/>
      <c r="L55" s="29"/>
    </row>
    <row r="56" spans="1:12">
      <c r="A56" s="47" t="s">
        <v>209</v>
      </c>
      <c r="B56" s="47" t="s">
        <v>613</v>
      </c>
      <c r="C56" s="123" t="s">
        <v>471</v>
      </c>
      <c r="D56" s="42"/>
      <c r="E56" s="29"/>
      <c r="F56" s="26"/>
      <c r="G56" s="26"/>
      <c r="H56" s="27"/>
      <c r="I56" s="27"/>
      <c r="J56" s="27"/>
      <c r="K56" s="29"/>
      <c r="L56" s="29"/>
    </row>
    <row r="57" spans="1:12">
      <c r="A57" s="259" t="s">
        <v>792</v>
      </c>
      <c r="B57" s="259" t="s">
        <v>793</v>
      </c>
      <c r="C57" s="260" t="s">
        <v>471</v>
      </c>
      <c r="D57" s="42"/>
      <c r="E57" s="29"/>
      <c r="F57" s="251"/>
      <c r="G57" s="251"/>
      <c r="H57" s="27"/>
      <c r="I57" s="27"/>
      <c r="J57" s="27"/>
      <c r="K57" s="29"/>
      <c r="L57" s="29"/>
    </row>
    <row r="58" spans="1:12">
      <c r="A58" s="47" t="s">
        <v>210</v>
      </c>
      <c r="B58" s="47" t="s">
        <v>614</v>
      </c>
      <c r="C58" s="123" t="s">
        <v>471</v>
      </c>
      <c r="D58" s="42"/>
      <c r="E58" s="29"/>
      <c r="F58" s="26"/>
      <c r="G58" s="26"/>
      <c r="H58" s="27"/>
      <c r="I58" s="27"/>
      <c r="J58" s="27"/>
      <c r="K58" s="29"/>
      <c r="L58" s="29"/>
    </row>
    <row r="59" spans="1:12">
      <c r="A59" s="38"/>
      <c r="B59" s="38"/>
      <c r="C59" s="38"/>
      <c r="D59" s="38"/>
      <c r="E59" s="38"/>
      <c r="F59" s="38"/>
      <c r="G59" s="38"/>
      <c r="H59" s="27"/>
      <c r="I59" s="27"/>
      <c r="J59" s="27"/>
      <c r="K59" s="29"/>
      <c r="L59" s="29"/>
    </row>
    <row r="60" spans="1:12" ht="21">
      <c r="A60" s="362" t="s">
        <v>706</v>
      </c>
      <c r="B60" s="363"/>
      <c r="C60" s="364"/>
      <c r="D60" s="25"/>
      <c r="E60" s="25"/>
      <c r="F60" s="25"/>
      <c r="G60" s="25"/>
      <c r="H60" s="27"/>
      <c r="I60" s="27"/>
      <c r="J60" s="27"/>
      <c r="K60" s="29"/>
      <c r="L60" s="29"/>
    </row>
    <row r="61" spans="1:12">
      <c r="A61" s="47" t="s">
        <v>211</v>
      </c>
      <c r="B61" s="47" t="s">
        <v>212</v>
      </c>
      <c r="C61" s="123" t="s">
        <v>286</v>
      </c>
      <c r="D61" s="42"/>
      <c r="F61" s="31"/>
      <c r="G61" s="31"/>
      <c r="H61" s="27"/>
      <c r="I61" s="27"/>
      <c r="J61" s="27"/>
      <c r="K61" s="29"/>
      <c r="L61" s="29"/>
    </row>
    <row r="62" spans="1:12">
      <c r="A62" s="47" t="s">
        <v>213</v>
      </c>
      <c r="B62" s="47" t="s">
        <v>615</v>
      </c>
      <c r="C62" s="123" t="s">
        <v>286</v>
      </c>
      <c r="D62" s="42"/>
      <c r="E62" s="27"/>
      <c r="F62" s="27"/>
      <c r="G62" s="27"/>
      <c r="H62" s="26"/>
      <c r="I62" s="26"/>
      <c r="J62" s="37"/>
      <c r="K62" s="37"/>
      <c r="L62" s="37"/>
    </row>
    <row r="63" spans="1:12">
      <c r="A63" s="47" t="s">
        <v>214</v>
      </c>
      <c r="B63" s="47" t="s">
        <v>616</v>
      </c>
      <c r="C63" s="123" t="s">
        <v>286</v>
      </c>
      <c r="D63" s="42"/>
      <c r="E63" s="27"/>
      <c r="F63" s="27"/>
      <c r="G63" s="27"/>
      <c r="H63" s="26"/>
      <c r="I63" s="26"/>
      <c r="J63" s="37"/>
      <c r="K63" s="37"/>
      <c r="L63" s="37"/>
    </row>
    <row r="64" spans="1:12">
      <c r="A64" s="47" t="s">
        <v>215</v>
      </c>
      <c r="B64" s="47" t="s">
        <v>617</v>
      </c>
      <c r="C64" s="123" t="s">
        <v>286</v>
      </c>
      <c r="D64" s="42"/>
      <c r="E64" s="27"/>
      <c r="F64" s="27"/>
      <c r="G64" s="27"/>
      <c r="H64" s="26"/>
      <c r="I64" s="26"/>
      <c r="J64" s="37"/>
      <c r="K64" s="37"/>
      <c r="L64" s="37"/>
    </row>
    <row r="65" spans="1:12">
      <c r="A65" s="47" t="s">
        <v>216</v>
      </c>
      <c r="B65" s="47" t="s">
        <v>618</v>
      </c>
      <c r="C65" s="123" t="s">
        <v>286</v>
      </c>
      <c r="D65" s="42"/>
      <c r="E65" s="27"/>
      <c r="F65" s="27"/>
      <c r="G65" s="27"/>
      <c r="H65" s="26"/>
      <c r="I65" s="26"/>
      <c r="J65" s="37"/>
      <c r="K65" s="37"/>
      <c r="L65" s="37"/>
    </row>
    <row r="66" spans="1:12">
      <c r="A66" s="47" t="s">
        <v>217</v>
      </c>
      <c r="B66" s="47" t="s">
        <v>619</v>
      </c>
      <c r="C66" s="123" t="s">
        <v>286</v>
      </c>
      <c r="D66" s="42"/>
      <c r="E66" s="27"/>
      <c r="F66" s="27"/>
      <c r="G66" s="27"/>
      <c r="H66" s="26"/>
      <c r="I66" s="26"/>
      <c r="J66" s="37"/>
      <c r="K66" s="37"/>
      <c r="L66" s="37"/>
    </row>
    <row r="67" spans="1:12">
      <c r="A67" s="47" t="s">
        <v>218</v>
      </c>
      <c r="B67" s="47" t="s">
        <v>620</v>
      </c>
      <c r="C67" s="123" t="s">
        <v>286</v>
      </c>
      <c r="D67" s="42"/>
      <c r="E67" s="27"/>
      <c r="F67" s="27"/>
      <c r="G67" s="27"/>
      <c r="H67" s="26"/>
      <c r="I67" s="26"/>
      <c r="J67" s="37"/>
      <c r="K67" s="37"/>
      <c r="L67" s="37"/>
    </row>
    <row r="68" spans="1:12">
      <c r="A68" s="47" t="s">
        <v>219</v>
      </c>
      <c r="B68" s="47" t="s">
        <v>621</v>
      </c>
      <c r="C68" s="123" t="s">
        <v>286</v>
      </c>
      <c r="D68" s="42"/>
      <c r="E68" s="27"/>
      <c r="F68" s="27"/>
      <c r="G68" s="27"/>
      <c r="H68" s="26"/>
      <c r="I68" s="26"/>
      <c r="J68" s="37"/>
      <c r="K68" s="37"/>
      <c r="L68" s="37"/>
    </row>
    <row r="69" spans="1:12">
      <c r="A69" s="42" t="s">
        <v>220</v>
      </c>
      <c r="B69" s="42"/>
      <c r="C69" s="38"/>
      <c r="D69" s="38"/>
      <c r="E69" s="27"/>
      <c r="F69" s="27"/>
      <c r="G69" s="27"/>
      <c r="H69" s="26"/>
      <c r="I69" s="26"/>
      <c r="J69" s="37"/>
      <c r="K69" s="37"/>
      <c r="L69" s="37"/>
    </row>
    <row r="70" spans="1:12" ht="21">
      <c r="A70" s="362" t="s">
        <v>705</v>
      </c>
      <c r="B70" s="363"/>
      <c r="C70" s="364"/>
      <c r="D70" s="25"/>
      <c r="E70" s="25"/>
      <c r="F70" s="25"/>
      <c r="G70" s="25"/>
      <c r="H70" s="29"/>
      <c r="I70" s="29"/>
      <c r="J70" s="37"/>
      <c r="K70" s="37"/>
      <c r="L70" s="37"/>
    </row>
    <row r="71" spans="1:12">
      <c r="A71" s="47" t="s">
        <v>221</v>
      </c>
      <c r="B71" s="47" t="s">
        <v>222</v>
      </c>
      <c r="C71" s="123" t="s">
        <v>286</v>
      </c>
      <c r="D71" s="42"/>
      <c r="F71" s="31"/>
      <c r="G71" s="31"/>
      <c r="H71" s="25"/>
      <c r="I71" s="25"/>
      <c r="J71" s="37"/>
      <c r="K71" s="37"/>
      <c r="L71" s="37"/>
    </row>
    <row r="72" spans="1:12">
      <c r="A72" s="47" t="s">
        <v>223</v>
      </c>
      <c r="B72" s="47" t="s">
        <v>622</v>
      </c>
      <c r="C72" s="123" t="s">
        <v>286</v>
      </c>
      <c r="D72" s="42"/>
      <c r="E72" s="27"/>
      <c r="F72" s="27"/>
      <c r="G72" s="27"/>
      <c r="H72" s="31"/>
      <c r="I72" s="31"/>
      <c r="J72" s="37"/>
      <c r="K72" s="37"/>
      <c r="L72" s="37"/>
    </row>
    <row r="73" spans="1:12">
      <c r="A73" s="47" t="s">
        <v>224</v>
      </c>
      <c r="B73" s="47" t="s">
        <v>623</v>
      </c>
      <c r="C73" s="123" t="s">
        <v>286</v>
      </c>
      <c r="D73" s="42"/>
      <c r="E73" s="27"/>
      <c r="F73" s="27"/>
      <c r="G73" s="27"/>
      <c r="H73" s="29"/>
      <c r="I73" s="29"/>
      <c r="J73" s="37"/>
      <c r="K73" s="37"/>
      <c r="L73" s="37"/>
    </row>
    <row r="74" spans="1:12">
      <c r="A74" s="47" t="s">
        <v>225</v>
      </c>
      <c r="B74" s="47" t="s">
        <v>624</v>
      </c>
      <c r="C74" s="123" t="s">
        <v>286</v>
      </c>
      <c r="D74" s="42"/>
      <c r="E74" s="27"/>
      <c r="F74" s="27"/>
      <c r="G74" s="27"/>
      <c r="H74" s="29"/>
      <c r="I74" s="29"/>
      <c r="J74" s="37"/>
      <c r="K74" s="37"/>
      <c r="L74" s="37"/>
    </row>
    <row r="75" spans="1:12">
      <c r="A75" s="47" t="s">
        <v>226</v>
      </c>
      <c r="B75" s="47" t="s">
        <v>625</v>
      </c>
      <c r="C75" s="123" t="s">
        <v>286</v>
      </c>
      <c r="D75" s="42"/>
      <c r="E75" s="27"/>
      <c r="F75" s="27"/>
      <c r="G75" s="27"/>
      <c r="H75" s="29"/>
      <c r="I75" s="29"/>
      <c r="J75" s="37"/>
      <c r="K75" s="37"/>
      <c r="L75" s="37"/>
    </row>
    <row r="76" spans="1:12">
      <c r="A76" s="259" t="s">
        <v>790</v>
      </c>
      <c r="B76" s="259" t="s">
        <v>791</v>
      </c>
      <c r="C76" s="260" t="s">
        <v>286</v>
      </c>
      <c r="D76" s="42"/>
      <c r="E76" s="27"/>
      <c r="F76" s="27"/>
      <c r="G76" s="27"/>
      <c r="H76" s="29"/>
      <c r="I76" s="29"/>
      <c r="J76" s="250"/>
      <c r="K76" s="250"/>
      <c r="L76" s="250"/>
    </row>
    <row r="77" spans="1:12">
      <c r="A77" s="47" t="s">
        <v>227</v>
      </c>
      <c r="B77" s="47" t="s">
        <v>626</v>
      </c>
      <c r="C77" s="123" t="s">
        <v>286</v>
      </c>
      <c r="D77" s="42"/>
      <c r="E77" s="27"/>
      <c r="F77" s="27"/>
      <c r="G77" s="27"/>
      <c r="H77" s="29"/>
      <c r="I77" s="29"/>
      <c r="J77" s="37"/>
      <c r="K77" s="37"/>
      <c r="L77" s="37"/>
    </row>
    <row r="78" spans="1:12">
      <c r="A78" s="38"/>
      <c r="B78" s="38"/>
      <c r="C78" s="43"/>
      <c r="D78" s="27"/>
      <c r="E78" s="27"/>
      <c r="F78" s="29"/>
      <c r="G78" s="29"/>
      <c r="H78" s="29"/>
      <c r="I78" s="29"/>
      <c r="J78" s="37"/>
      <c r="K78" s="37"/>
      <c r="L78" s="37"/>
    </row>
    <row r="79" spans="1:12" ht="21">
      <c r="A79" s="366" t="s">
        <v>657</v>
      </c>
      <c r="B79" s="366"/>
      <c r="C79" s="366"/>
      <c r="D79" s="27"/>
      <c r="E79" s="27"/>
      <c r="F79" s="29"/>
      <c r="G79" s="29"/>
      <c r="H79" s="29"/>
      <c r="I79" s="29"/>
      <c r="J79" s="37"/>
      <c r="K79" s="37"/>
      <c r="L79" s="37"/>
    </row>
    <row r="80" spans="1:12">
      <c r="A80" s="161" t="s">
        <v>658</v>
      </c>
      <c r="B80" s="159" t="s">
        <v>659</v>
      </c>
      <c r="C80" s="160" t="s">
        <v>278</v>
      </c>
      <c r="D80" s="27"/>
      <c r="E80" s="27"/>
      <c r="F80" s="29"/>
      <c r="G80" s="29"/>
      <c r="H80" s="29"/>
      <c r="I80" s="29"/>
      <c r="J80" s="37"/>
      <c r="K80" s="37"/>
      <c r="L80" s="37"/>
    </row>
    <row r="81" spans="1:12">
      <c r="A81" s="161" t="s">
        <v>660</v>
      </c>
      <c r="B81" s="159" t="s">
        <v>661</v>
      </c>
      <c r="C81" s="160" t="s">
        <v>278</v>
      </c>
      <c r="D81" s="27"/>
      <c r="E81" s="27"/>
      <c r="F81" s="29"/>
      <c r="G81" s="29"/>
      <c r="H81" s="29"/>
      <c r="I81" s="29"/>
      <c r="J81" s="37"/>
      <c r="K81" s="37"/>
      <c r="L81" s="37"/>
    </row>
    <row r="82" spans="1:12">
      <c r="A82" s="161" t="s">
        <v>662</v>
      </c>
      <c r="B82" s="159" t="s">
        <v>663</v>
      </c>
      <c r="C82" s="160" t="s">
        <v>278</v>
      </c>
      <c r="D82" s="27"/>
      <c r="E82" s="27"/>
      <c r="F82" s="29"/>
      <c r="G82" s="29"/>
      <c r="H82" s="29"/>
      <c r="I82" s="29"/>
      <c r="J82" s="37"/>
      <c r="K82" s="37"/>
      <c r="L82" s="37"/>
    </row>
    <row r="83" spans="1:12">
      <c r="A83" s="161" t="s">
        <v>664</v>
      </c>
      <c r="B83" s="159" t="s">
        <v>665</v>
      </c>
      <c r="C83" s="160" t="s">
        <v>278</v>
      </c>
      <c r="D83" s="27"/>
      <c r="E83" s="27"/>
      <c r="F83" s="29"/>
      <c r="G83" s="29"/>
      <c r="H83" s="29"/>
      <c r="I83" s="29"/>
      <c r="J83" s="37"/>
      <c r="K83" s="37"/>
      <c r="L83" s="37"/>
    </row>
    <row r="84" spans="1:12">
      <c r="A84" s="161" t="s">
        <v>666</v>
      </c>
      <c r="B84" s="159" t="s">
        <v>667</v>
      </c>
      <c r="C84" s="160" t="s">
        <v>278</v>
      </c>
      <c r="D84" s="27"/>
      <c r="E84" s="27"/>
      <c r="F84" s="29"/>
      <c r="G84" s="29"/>
      <c r="H84" s="29"/>
      <c r="I84" s="29"/>
      <c r="J84" s="37"/>
      <c r="K84" s="37"/>
      <c r="L84" s="37"/>
    </row>
    <row r="85" spans="1:12">
      <c r="A85" s="38"/>
      <c r="B85" s="38"/>
      <c r="C85" s="43"/>
      <c r="D85" s="27"/>
      <c r="E85" s="27"/>
      <c r="F85" s="29"/>
      <c r="G85" s="29"/>
      <c r="H85" s="29"/>
      <c r="I85" s="29"/>
      <c r="J85" s="37"/>
      <c r="K85" s="37"/>
      <c r="L85" s="37"/>
    </row>
    <row r="86" spans="1:12" ht="21">
      <c r="A86" s="362" t="s">
        <v>704</v>
      </c>
      <c r="B86" s="363"/>
      <c r="C86" s="364"/>
      <c r="D86" s="25"/>
      <c r="E86" s="26"/>
      <c r="F86" s="26"/>
      <c r="G86" s="26"/>
      <c r="H86" s="29"/>
      <c r="I86" s="29"/>
      <c r="J86" s="37"/>
      <c r="K86" s="37"/>
      <c r="L86" s="37"/>
    </row>
    <row r="87" spans="1:12">
      <c r="A87" s="47" t="s">
        <v>228</v>
      </c>
      <c r="B87" s="47" t="s">
        <v>229</v>
      </c>
      <c r="C87" s="123" t="s">
        <v>481</v>
      </c>
      <c r="D87" s="31"/>
      <c r="E87" s="31"/>
      <c r="F87" s="31"/>
      <c r="G87" s="29"/>
      <c r="H87" s="29"/>
      <c r="I87" s="29"/>
      <c r="J87" s="37"/>
      <c r="K87" s="37"/>
      <c r="L87" s="37"/>
    </row>
    <row r="88" spans="1:12">
      <c r="A88" s="47" t="s">
        <v>230</v>
      </c>
      <c r="B88" s="47" t="s">
        <v>231</v>
      </c>
      <c r="C88" s="123" t="s">
        <v>481</v>
      </c>
      <c r="D88" s="27"/>
      <c r="E88" s="27"/>
      <c r="F88" s="27"/>
      <c r="G88" s="29"/>
      <c r="H88" s="25"/>
      <c r="I88" s="25"/>
      <c r="J88" s="37"/>
      <c r="K88" s="37"/>
      <c r="L88" s="37"/>
    </row>
    <row r="89" spans="1:12">
      <c r="A89" s="47" t="s">
        <v>232</v>
      </c>
      <c r="B89" s="47" t="s">
        <v>627</v>
      </c>
      <c r="C89" s="123" t="s">
        <v>481</v>
      </c>
      <c r="D89" s="27"/>
      <c r="E89" s="27"/>
      <c r="F89" s="27"/>
      <c r="G89" s="29"/>
      <c r="H89" s="29"/>
      <c r="I89" s="29"/>
      <c r="J89" s="37"/>
      <c r="K89" s="37"/>
      <c r="L89" s="37"/>
    </row>
    <row r="90" spans="1:12">
      <c r="A90" s="47" t="s">
        <v>233</v>
      </c>
      <c r="B90" s="47" t="s">
        <v>628</v>
      </c>
      <c r="C90" s="123" t="s">
        <v>481</v>
      </c>
      <c r="D90" s="27"/>
      <c r="E90" s="27"/>
      <c r="F90" s="27"/>
      <c r="G90" s="29"/>
      <c r="H90" s="29"/>
      <c r="I90" s="29"/>
      <c r="J90" s="37"/>
      <c r="K90" s="37"/>
      <c r="L90" s="37"/>
    </row>
    <row r="91" spans="1:12">
      <c r="A91" s="47" t="s">
        <v>234</v>
      </c>
      <c r="B91" s="47" t="s">
        <v>629</v>
      </c>
      <c r="C91" s="123" t="s">
        <v>481</v>
      </c>
      <c r="D91" s="27"/>
      <c r="E91" s="27"/>
      <c r="F91" s="27"/>
      <c r="G91" s="29"/>
      <c r="H91" s="29"/>
      <c r="I91" s="29"/>
      <c r="J91" s="37"/>
      <c r="K91" s="37"/>
      <c r="L91" s="37"/>
    </row>
    <row r="92" spans="1:12">
      <c r="A92" s="47" t="s">
        <v>235</v>
      </c>
      <c r="B92" s="47" t="s">
        <v>630</v>
      </c>
      <c r="C92" s="123" t="s">
        <v>481</v>
      </c>
      <c r="D92" s="27"/>
      <c r="E92" s="27"/>
      <c r="F92" s="27"/>
      <c r="G92" s="29"/>
      <c r="H92" s="29"/>
      <c r="I92" s="29"/>
      <c r="J92" s="37"/>
      <c r="K92" s="37"/>
      <c r="L92" s="37"/>
    </row>
    <row r="93" spans="1:12">
      <c r="A93" s="38"/>
      <c r="B93" s="38"/>
      <c r="C93" s="38"/>
      <c r="D93" s="29"/>
      <c r="E93" s="29"/>
      <c r="F93" s="29"/>
      <c r="G93" s="29"/>
      <c r="H93" s="26"/>
      <c r="I93" s="26"/>
      <c r="J93" s="37"/>
      <c r="K93" s="37"/>
      <c r="L93" s="37"/>
    </row>
    <row r="94" spans="1:12" ht="21">
      <c r="A94" s="362" t="s">
        <v>703</v>
      </c>
      <c r="B94" s="363"/>
      <c r="C94" s="364"/>
      <c r="D94" s="25"/>
      <c r="E94" s="25"/>
      <c r="F94" s="25"/>
      <c r="G94" s="25"/>
      <c r="H94" s="26"/>
      <c r="I94" s="26"/>
      <c r="J94" s="37"/>
      <c r="K94" s="37"/>
      <c r="L94" s="37"/>
    </row>
    <row r="95" spans="1:12">
      <c r="A95" s="47" t="s">
        <v>236</v>
      </c>
      <c r="B95" s="47" t="s">
        <v>237</v>
      </c>
      <c r="C95" s="123" t="s">
        <v>481</v>
      </c>
      <c r="D95" s="31"/>
      <c r="E95" s="31"/>
      <c r="F95" s="31"/>
      <c r="G95" s="31"/>
      <c r="H95" s="31"/>
      <c r="I95" s="26"/>
      <c r="J95" s="37"/>
      <c r="K95" s="37"/>
      <c r="L95" s="37"/>
    </row>
    <row r="96" spans="1:12">
      <c r="A96" s="47" t="s">
        <v>238</v>
      </c>
      <c r="B96" s="47" t="s">
        <v>631</v>
      </c>
      <c r="C96" s="123" t="s">
        <v>481</v>
      </c>
      <c r="D96" s="29"/>
      <c r="E96" s="29"/>
      <c r="F96" s="29"/>
      <c r="G96" s="29"/>
      <c r="H96" s="26"/>
      <c r="I96" s="26"/>
      <c r="J96" s="37"/>
      <c r="K96" s="37"/>
      <c r="L96" s="37"/>
    </row>
    <row r="97" spans="1:12">
      <c r="A97" s="47" t="s">
        <v>239</v>
      </c>
      <c r="B97" s="47" t="s">
        <v>632</v>
      </c>
      <c r="C97" s="123" t="s">
        <v>481</v>
      </c>
      <c r="D97" s="29"/>
      <c r="E97" s="29"/>
      <c r="F97" s="29"/>
      <c r="G97" s="29"/>
      <c r="H97" s="26"/>
      <c r="I97" s="26"/>
      <c r="J97" s="37"/>
      <c r="K97" s="37"/>
      <c r="L97" s="37"/>
    </row>
    <row r="98" spans="1:12">
      <c r="A98" s="47" t="s">
        <v>240</v>
      </c>
      <c r="B98" s="47" t="s">
        <v>633</v>
      </c>
      <c r="C98" s="123" t="s">
        <v>481</v>
      </c>
      <c r="D98" s="29"/>
      <c r="E98" s="29"/>
      <c r="F98" s="29"/>
      <c r="G98" s="29"/>
      <c r="H98" s="26"/>
      <c r="I98" s="26"/>
      <c r="J98" s="37"/>
      <c r="K98" s="37"/>
      <c r="L98" s="37"/>
    </row>
    <row r="99" spans="1:12">
      <c r="A99" s="47" t="s">
        <v>241</v>
      </c>
      <c r="B99" s="47" t="s">
        <v>634</v>
      </c>
      <c r="C99" s="123" t="s">
        <v>481</v>
      </c>
      <c r="D99" s="29"/>
      <c r="E99" s="29"/>
      <c r="F99" s="29"/>
      <c r="G99" s="29"/>
      <c r="H99" s="26"/>
      <c r="I99" s="26"/>
      <c r="J99" s="37"/>
      <c r="K99" s="37"/>
      <c r="L99" s="37"/>
    </row>
    <row r="100" spans="1:12">
      <c r="A100" s="47" t="s">
        <v>242</v>
      </c>
      <c r="B100" s="47" t="s">
        <v>635</v>
      </c>
      <c r="C100" s="123" t="s">
        <v>481</v>
      </c>
      <c r="D100" s="29"/>
      <c r="E100" s="29"/>
      <c r="F100" s="29"/>
      <c r="G100" s="29"/>
      <c r="H100" s="26"/>
      <c r="I100" s="26"/>
      <c r="J100" s="37"/>
      <c r="K100" s="37"/>
      <c r="L100" s="37"/>
    </row>
    <row r="101" spans="1:12">
      <c r="A101" s="47" t="s">
        <v>243</v>
      </c>
      <c r="B101" s="47" t="s">
        <v>636</v>
      </c>
      <c r="C101" s="123" t="s">
        <v>481</v>
      </c>
      <c r="D101" s="29"/>
      <c r="E101" s="29"/>
      <c r="F101" s="29"/>
      <c r="G101" s="29"/>
      <c r="H101" s="26"/>
      <c r="I101" s="26"/>
      <c r="J101" s="37"/>
      <c r="K101" s="37"/>
      <c r="L101" s="37"/>
    </row>
    <row r="102" spans="1:12">
      <c r="A102" s="38"/>
      <c r="B102" s="38"/>
      <c r="C102" s="38"/>
      <c r="D102" s="29"/>
      <c r="E102" s="29"/>
      <c r="F102" s="29"/>
      <c r="G102" s="29"/>
      <c r="H102" s="26"/>
      <c r="I102" s="26"/>
      <c r="J102" s="37"/>
      <c r="K102" s="37"/>
      <c r="L102" s="37"/>
    </row>
    <row r="103" spans="1:12" ht="21">
      <c r="A103" s="362" t="s">
        <v>244</v>
      </c>
      <c r="B103" s="363"/>
      <c r="C103" s="364"/>
      <c r="D103" s="25"/>
      <c r="E103" s="25"/>
      <c r="F103" s="25"/>
      <c r="G103" s="25"/>
      <c r="H103" s="26"/>
      <c r="I103" s="26"/>
      <c r="J103" s="37"/>
      <c r="K103" s="37"/>
      <c r="L103" s="37"/>
    </row>
    <row r="104" spans="1:12">
      <c r="A104" s="47" t="s">
        <v>173</v>
      </c>
      <c r="B104" s="47" t="s">
        <v>174</v>
      </c>
      <c r="C104" s="123" t="s">
        <v>481</v>
      </c>
      <c r="D104" s="29"/>
      <c r="E104" s="29"/>
      <c r="F104" s="29"/>
      <c r="G104" s="29"/>
      <c r="H104" s="26"/>
      <c r="I104" s="26"/>
      <c r="J104" s="37"/>
      <c r="K104" s="37"/>
      <c r="L104" s="37"/>
    </row>
    <row r="105" spans="1:12">
      <c r="A105" s="47" t="s">
        <v>245</v>
      </c>
      <c r="B105" s="47" t="s">
        <v>246</v>
      </c>
      <c r="C105" s="49"/>
      <c r="D105" s="29"/>
      <c r="E105" s="29"/>
      <c r="F105" s="29"/>
      <c r="G105" s="29"/>
      <c r="H105" s="26"/>
      <c r="I105" s="26"/>
      <c r="J105" s="37"/>
      <c r="K105" s="37"/>
      <c r="L105" s="37"/>
    </row>
    <row r="106" spans="1:12">
      <c r="A106" s="47" t="s">
        <v>247</v>
      </c>
      <c r="B106" s="47" t="s">
        <v>248</v>
      </c>
      <c r="C106" s="49"/>
      <c r="D106" s="29"/>
      <c r="E106" s="29"/>
      <c r="F106" s="29"/>
      <c r="G106" s="29"/>
      <c r="H106" s="26"/>
      <c r="I106" s="26"/>
      <c r="J106" s="37"/>
      <c r="K106" s="37"/>
      <c r="L106" s="37"/>
    </row>
    <row r="107" spans="1:12">
      <c r="A107" s="47" t="s">
        <v>249</v>
      </c>
      <c r="B107" s="47" t="s">
        <v>250</v>
      </c>
      <c r="C107" s="49"/>
      <c r="D107" s="29"/>
      <c r="E107" s="29"/>
      <c r="F107" s="29"/>
      <c r="G107" s="29"/>
      <c r="H107" s="26"/>
      <c r="I107" s="26"/>
      <c r="J107" s="37"/>
      <c r="K107" s="37"/>
      <c r="L107" s="37"/>
    </row>
    <row r="108" spans="1:12">
      <c r="A108" s="38"/>
      <c r="B108" s="38"/>
      <c r="C108" s="38"/>
      <c r="D108" s="26"/>
      <c r="E108" s="26"/>
      <c r="F108" s="26"/>
      <c r="G108" s="26"/>
      <c r="H108" s="26"/>
      <c r="I108" s="26"/>
      <c r="J108" s="37"/>
      <c r="K108" s="37"/>
      <c r="L108" s="37"/>
    </row>
    <row r="109" spans="1:12" ht="21">
      <c r="A109" s="362" t="s">
        <v>702</v>
      </c>
      <c r="B109" s="363"/>
      <c r="C109" s="364"/>
      <c r="D109" s="26"/>
      <c r="E109" s="26"/>
      <c r="F109" s="26"/>
      <c r="G109" s="26"/>
      <c r="H109" s="26"/>
      <c r="I109" s="26"/>
      <c r="J109" s="37"/>
      <c r="K109" s="37"/>
      <c r="L109" s="37"/>
    </row>
    <row r="110" spans="1:12">
      <c r="A110" s="47" t="s">
        <v>251</v>
      </c>
      <c r="B110" s="47" t="s">
        <v>252</v>
      </c>
      <c r="C110" s="125" t="s">
        <v>284</v>
      </c>
      <c r="E110" s="31"/>
      <c r="F110" s="31"/>
      <c r="G110" s="31"/>
    </row>
    <row r="111" spans="1:12">
      <c r="A111" s="47" t="s">
        <v>253</v>
      </c>
      <c r="B111" s="47" t="s">
        <v>637</v>
      </c>
      <c r="C111" s="123" t="s">
        <v>284</v>
      </c>
      <c r="D111" s="26"/>
      <c r="E111" s="26"/>
      <c r="F111" s="26"/>
      <c r="G111" s="26"/>
    </row>
    <row r="112" spans="1:12">
      <c r="A112" s="47" t="s">
        <v>254</v>
      </c>
      <c r="B112" s="47" t="s">
        <v>638</v>
      </c>
      <c r="C112" s="123" t="s">
        <v>284</v>
      </c>
      <c r="D112" s="26"/>
      <c r="E112" s="26"/>
      <c r="F112" s="26"/>
      <c r="G112" s="26"/>
    </row>
    <row r="113" spans="1:7">
      <c r="A113" s="47" t="s">
        <v>255</v>
      </c>
      <c r="B113" s="47" t="s">
        <v>639</v>
      </c>
      <c r="C113" s="123" t="s">
        <v>284</v>
      </c>
      <c r="D113" s="26"/>
      <c r="E113" s="26"/>
      <c r="F113" s="26"/>
      <c r="G113" s="26"/>
    </row>
    <row r="114" spans="1:7">
      <c r="A114" s="47" t="s">
        <v>256</v>
      </c>
      <c r="B114" s="47" t="s">
        <v>640</v>
      </c>
      <c r="C114" s="123" t="s">
        <v>284</v>
      </c>
      <c r="D114" s="26"/>
      <c r="E114" s="26"/>
      <c r="F114" s="26"/>
      <c r="G114" s="26"/>
    </row>
    <row r="115" spans="1:7">
      <c r="A115" s="47" t="s">
        <v>257</v>
      </c>
      <c r="B115" s="47" t="s">
        <v>641</v>
      </c>
      <c r="C115" s="123" t="s">
        <v>284</v>
      </c>
      <c r="D115" s="26"/>
      <c r="E115" s="26"/>
      <c r="F115" s="26"/>
      <c r="G115" s="26"/>
    </row>
    <row r="116" spans="1:7">
      <c r="A116" s="47" t="s">
        <v>258</v>
      </c>
      <c r="B116" s="47" t="s">
        <v>642</v>
      </c>
      <c r="C116" s="123" t="s">
        <v>284</v>
      </c>
      <c r="D116" s="26"/>
      <c r="E116" s="26"/>
      <c r="F116" s="26"/>
      <c r="G116" s="26"/>
    </row>
    <row r="117" spans="1:7">
      <c r="A117" s="47" t="s">
        <v>259</v>
      </c>
      <c r="B117" s="47" t="s">
        <v>643</v>
      </c>
      <c r="C117" s="123" t="s">
        <v>284</v>
      </c>
      <c r="D117" s="26"/>
      <c r="E117" s="26"/>
      <c r="F117" s="26"/>
      <c r="G117" s="26"/>
    </row>
    <row r="118" spans="1:7">
      <c r="A118" s="38"/>
      <c r="B118" s="38"/>
      <c r="C118" s="38"/>
      <c r="D118" s="26"/>
      <c r="E118" s="26"/>
      <c r="F118" s="26"/>
      <c r="G118" s="26"/>
    </row>
    <row r="119" spans="1:7" ht="21">
      <c r="A119" s="362" t="s">
        <v>260</v>
      </c>
      <c r="B119" s="363"/>
      <c r="C119" s="364"/>
      <c r="D119" s="26"/>
      <c r="E119" s="26"/>
      <c r="F119" s="26"/>
      <c r="G119" s="26"/>
    </row>
    <row r="120" spans="1:7">
      <c r="A120" s="47" t="s">
        <v>261</v>
      </c>
      <c r="B120" s="47" t="s">
        <v>262</v>
      </c>
      <c r="C120" s="49"/>
      <c r="D120" s="26"/>
      <c r="E120" s="26"/>
      <c r="F120" s="26"/>
      <c r="G120" s="26"/>
    </row>
    <row r="121" spans="1:7">
      <c r="A121" s="47" t="s">
        <v>263</v>
      </c>
      <c r="B121" s="47" t="s">
        <v>264</v>
      </c>
      <c r="C121" s="49"/>
      <c r="D121" s="26"/>
      <c r="E121" s="26"/>
      <c r="F121" s="26"/>
      <c r="G121" s="26"/>
    </row>
    <row r="122" spans="1:7">
      <c r="A122" s="47" t="s">
        <v>265</v>
      </c>
      <c r="B122" s="47" t="s">
        <v>266</v>
      </c>
      <c r="C122" s="123" t="s">
        <v>284</v>
      </c>
      <c r="D122" s="26"/>
      <c r="E122" s="26"/>
      <c r="F122" s="26"/>
      <c r="G122" s="26"/>
    </row>
    <row r="123" spans="1:7">
      <c r="A123" s="121" t="s">
        <v>479</v>
      </c>
      <c r="B123" s="121" t="s">
        <v>480</v>
      </c>
      <c r="C123" s="122"/>
    </row>
  </sheetData>
  <mergeCells count="17">
    <mergeCell ref="A23:C23"/>
    <mergeCell ref="A79:C79"/>
    <mergeCell ref="A1:C1"/>
    <mergeCell ref="A103:C103"/>
    <mergeCell ref="A109:C109"/>
    <mergeCell ref="A3:C3"/>
    <mergeCell ref="A17:C17"/>
    <mergeCell ref="A28:C28"/>
    <mergeCell ref="A33:C33"/>
    <mergeCell ref="A37:C37"/>
    <mergeCell ref="A119:C119"/>
    <mergeCell ref="A43:C43"/>
    <mergeCell ref="A51:C51"/>
    <mergeCell ref="A60:C60"/>
    <mergeCell ref="A70:C70"/>
    <mergeCell ref="A86:C86"/>
    <mergeCell ref="A94:C94"/>
  </mergeCells>
  <hyperlinks>
    <hyperlink ref="E1" location="Begin!A1" display="Start Over"/>
  </hyperlinks>
  <pageMargins left="0.7" right="0.7" top="0.75" bottom="0.75" header="0.3" footer="0.3"/>
  <pageSetup scale="90" orientation="portrait" r:id="rId1"/>
  <rowBreaks count="2" manualBreakCount="2">
    <brk id="42" max="16383" man="1"/>
    <brk id="8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Views>
    <sheetView workbookViewId="0">
      <selection activeCell="F1" sqref="F1"/>
    </sheetView>
  </sheetViews>
  <sheetFormatPr defaultRowHeight="15"/>
  <cols>
    <col min="1" max="1" width="8.85546875" bestFit="1" customWidth="1"/>
    <col min="2" max="2" width="24.85546875" customWidth="1"/>
    <col min="3" max="3" width="40.85546875" customWidth="1"/>
    <col min="4" max="4" width="9.85546875" bestFit="1" customWidth="1"/>
  </cols>
  <sheetData>
    <row r="1" spans="1:6" ht="24.75" thickTop="1" thickBot="1">
      <c r="A1" s="384" t="s">
        <v>721</v>
      </c>
      <c r="B1" s="385"/>
      <c r="C1" s="385"/>
      <c r="D1" s="386"/>
      <c r="F1" s="117" t="s">
        <v>470</v>
      </c>
    </row>
    <row r="2" spans="1:6" ht="16.5" thickTop="1" thickBot="1">
      <c r="A2" s="252" t="s">
        <v>490</v>
      </c>
      <c r="B2" s="377" t="s">
        <v>491</v>
      </c>
      <c r="C2" s="378"/>
      <c r="D2" s="253" t="s">
        <v>492</v>
      </c>
    </row>
    <row r="3" spans="1:6" ht="21.75" thickBot="1">
      <c r="A3" s="381" t="s">
        <v>722</v>
      </c>
      <c r="B3" s="382"/>
      <c r="C3" s="382"/>
      <c r="D3" s="383"/>
    </row>
    <row r="4" spans="1:6" ht="15.75" thickBot="1">
      <c r="A4" s="254" t="s">
        <v>723</v>
      </c>
      <c r="B4" s="379" t="s">
        <v>724</v>
      </c>
      <c r="C4" s="380"/>
      <c r="D4" s="255" t="s">
        <v>725</v>
      </c>
    </row>
    <row r="5" spans="1:6" ht="15.75" thickBot="1">
      <c r="A5" s="254" t="s">
        <v>726</v>
      </c>
      <c r="B5" s="379" t="s">
        <v>727</v>
      </c>
      <c r="C5" s="380"/>
      <c r="D5" s="255" t="s">
        <v>725</v>
      </c>
    </row>
    <row r="6" spans="1:6" ht="15.75" thickBot="1">
      <c r="A6" s="254" t="s">
        <v>728</v>
      </c>
      <c r="B6" s="379" t="s">
        <v>729</v>
      </c>
      <c r="C6" s="380"/>
      <c r="D6" s="255" t="s">
        <v>725</v>
      </c>
    </row>
    <row r="7" spans="1:6" ht="15.75" thickBot="1">
      <c r="A7" s="254" t="s">
        <v>730</v>
      </c>
      <c r="B7" s="379" t="s">
        <v>731</v>
      </c>
      <c r="C7" s="380"/>
      <c r="D7" s="255" t="s">
        <v>725</v>
      </c>
    </row>
    <row r="8" spans="1:6" ht="15.75" thickBot="1">
      <c r="A8" s="254" t="s">
        <v>732</v>
      </c>
      <c r="B8" s="379" t="s">
        <v>733</v>
      </c>
      <c r="C8" s="380"/>
      <c r="D8" s="255" t="s">
        <v>725</v>
      </c>
    </row>
    <row r="9" spans="1:6" ht="21.75" thickBot="1">
      <c r="A9" s="381" t="s">
        <v>734</v>
      </c>
      <c r="B9" s="382"/>
      <c r="C9" s="382"/>
      <c r="D9" s="383"/>
    </row>
    <row r="10" spans="1:6" ht="15.75" thickBot="1">
      <c r="A10" s="254" t="s">
        <v>735</v>
      </c>
      <c r="B10" s="379" t="s">
        <v>736</v>
      </c>
      <c r="C10" s="380"/>
      <c r="D10" s="255" t="s">
        <v>725</v>
      </c>
    </row>
    <row r="11" spans="1:6" ht="15.75" thickBot="1">
      <c r="A11" s="254" t="s">
        <v>737</v>
      </c>
      <c r="B11" s="379" t="s">
        <v>738</v>
      </c>
      <c r="C11" s="380"/>
      <c r="D11" s="255" t="s">
        <v>725</v>
      </c>
    </row>
    <row r="12" spans="1:6" ht="15.75" thickBot="1">
      <c r="A12" s="254" t="s">
        <v>739</v>
      </c>
      <c r="B12" s="379" t="s">
        <v>740</v>
      </c>
      <c r="C12" s="380"/>
      <c r="D12" s="255" t="s">
        <v>725</v>
      </c>
    </row>
    <row r="13" spans="1:6" ht="15.75" thickBot="1">
      <c r="A13" s="254" t="s">
        <v>741</v>
      </c>
      <c r="B13" s="379" t="s">
        <v>742</v>
      </c>
      <c r="C13" s="380"/>
      <c r="D13" s="255" t="s">
        <v>725</v>
      </c>
    </row>
    <row r="14" spans="1:6" ht="21.75" thickBot="1">
      <c r="A14" s="381" t="s">
        <v>743</v>
      </c>
      <c r="B14" s="382"/>
      <c r="C14" s="382"/>
      <c r="D14" s="383"/>
    </row>
    <row r="15" spans="1:6" ht="15.75" thickBot="1">
      <c r="A15" s="254" t="s">
        <v>744</v>
      </c>
      <c r="B15" s="379" t="s">
        <v>745</v>
      </c>
      <c r="C15" s="380"/>
      <c r="D15" s="255" t="s">
        <v>286</v>
      </c>
    </row>
    <row r="16" spans="1:6" ht="15.75" thickBot="1">
      <c r="A16" s="254" t="s">
        <v>746</v>
      </c>
      <c r="B16" s="379" t="s">
        <v>747</v>
      </c>
      <c r="C16" s="380"/>
      <c r="D16" s="255" t="s">
        <v>286</v>
      </c>
    </row>
    <row r="17" spans="1:4" ht="21.75" thickBot="1">
      <c r="A17" s="381" t="s">
        <v>748</v>
      </c>
      <c r="B17" s="382"/>
      <c r="C17" s="382"/>
      <c r="D17" s="383"/>
    </row>
    <row r="18" spans="1:4" ht="15.75" thickBot="1">
      <c r="A18" s="254" t="s">
        <v>749</v>
      </c>
      <c r="B18" s="379" t="s">
        <v>750</v>
      </c>
      <c r="C18" s="380"/>
      <c r="D18" s="255" t="s">
        <v>286</v>
      </c>
    </row>
    <row r="19" spans="1:4">
      <c r="A19" s="28"/>
      <c r="B19" s="372"/>
      <c r="C19" s="372"/>
      <c r="D19" s="28"/>
    </row>
    <row r="20" spans="1:4" ht="15.75" thickBot="1">
      <c r="A20" s="256"/>
      <c r="B20" s="373"/>
      <c r="C20" s="373"/>
      <c r="D20" s="256"/>
    </row>
    <row r="21" spans="1:4" ht="22.5" thickTop="1" thickBot="1">
      <c r="A21" s="374" t="s">
        <v>751</v>
      </c>
      <c r="B21" s="375"/>
      <c r="C21" s="375"/>
      <c r="D21" s="376"/>
    </row>
    <row r="22" spans="1:4" ht="16.5" thickTop="1" thickBot="1">
      <c r="A22" s="252" t="s">
        <v>752</v>
      </c>
      <c r="B22" s="253" t="s">
        <v>491</v>
      </c>
      <c r="C22" s="377" t="s">
        <v>753</v>
      </c>
      <c r="D22" s="378"/>
    </row>
    <row r="23" spans="1:4" ht="15.75" thickBot="1">
      <c r="A23" s="257" t="s">
        <v>754</v>
      </c>
      <c r="B23" s="258" t="s">
        <v>755</v>
      </c>
      <c r="C23" s="370" t="s">
        <v>756</v>
      </c>
      <c r="D23" s="371"/>
    </row>
    <row r="24" spans="1:4" ht="15.75" thickBot="1">
      <c r="A24" s="257" t="s">
        <v>757</v>
      </c>
      <c r="B24" s="258" t="s">
        <v>758</v>
      </c>
      <c r="C24" s="370" t="s">
        <v>759</v>
      </c>
      <c r="D24" s="371"/>
    </row>
    <row r="25" spans="1:4" ht="15.75" thickBot="1">
      <c r="A25" s="257" t="s">
        <v>760</v>
      </c>
      <c r="B25" s="258" t="s">
        <v>761</v>
      </c>
      <c r="C25" s="370" t="s">
        <v>762</v>
      </c>
      <c r="D25" s="371"/>
    </row>
    <row r="26" spans="1:4" ht="15.75" thickBot="1">
      <c r="A26" s="257" t="s">
        <v>763</v>
      </c>
      <c r="B26" s="258" t="s">
        <v>764</v>
      </c>
      <c r="C26" s="370" t="s">
        <v>762</v>
      </c>
      <c r="D26" s="371"/>
    </row>
    <row r="27" spans="1:4" ht="15.75" thickBot="1">
      <c r="A27" s="257" t="s">
        <v>765</v>
      </c>
      <c r="B27" s="258" t="s">
        <v>766</v>
      </c>
      <c r="C27" s="370" t="s">
        <v>762</v>
      </c>
      <c r="D27" s="371"/>
    </row>
    <row r="28" spans="1:4" ht="15.75" thickBot="1">
      <c r="A28" s="257" t="s">
        <v>767</v>
      </c>
      <c r="B28" s="258" t="s">
        <v>768</v>
      </c>
      <c r="C28" s="370" t="s">
        <v>762</v>
      </c>
      <c r="D28" s="371"/>
    </row>
    <row r="29" spans="1:4" ht="15.75" thickBot="1">
      <c r="A29" s="257" t="s">
        <v>769</v>
      </c>
      <c r="B29" s="258" t="s">
        <v>770</v>
      </c>
      <c r="C29" s="370" t="s">
        <v>762</v>
      </c>
      <c r="D29" s="371"/>
    </row>
    <row r="30" spans="1:4" ht="15.75" thickBot="1">
      <c r="A30" s="257" t="s">
        <v>771</v>
      </c>
      <c r="B30" s="258" t="s">
        <v>772</v>
      </c>
      <c r="C30" s="370" t="s">
        <v>773</v>
      </c>
      <c r="D30" s="371"/>
    </row>
    <row r="31" spans="1:4" ht="15.75" thickBot="1">
      <c r="A31" s="257" t="s">
        <v>774</v>
      </c>
      <c r="B31" s="258" t="s">
        <v>775</v>
      </c>
      <c r="C31" s="370" t="s">
        <v>773</v>
      </c>
      <c r="D31" s="371"/>
    </row>
    <row r="32" spans="1:4" ht="15.75" thickBot="1">
      <c r="A32" s="257" t="s">
        <v>776</v>
      </c>
      <c r="B32" s="258" t="s">
        <v>777</v>
      </c>
      <c r="C32" s="370" t="s">
        <v>773</v>
      </c>
      <c r="D32" s="371"/>
    </row>
    <row r="33" spans="1:4" ht="15.75" thickBot="1">
      <c r="A33" s="257" t="s">
        <v>778</v>
      </c>
      <c r="B33" s="258" t="s">
        <v>779</v>
      </c>
      <c r="C33" s="370" t="s">
        <v>773</v>
      </c>
      <c r="D33" s="371"/>
    </row>
    <row r="34" spans="1:4" ht="15.75" thickBot="1">
      <c r="A34" s="257" t="s">
        <v>780</v>
      </c>
      <c r="B34" s="258" t="s">
        <v>781</v>
      </c>
      <c r="C34" s="370" t="s">
        <v>782</v>
      </c>
      <c r="D34" s="371"/>
    </row>
    <row r="35" spans="1:4" ht="15.75" thickBot="1">
      <c r="A35" s="257" t="s">
        <v>783</v>
      </c>
      <c r="B35" s="258" t="s">
        <v>784</v>
      </c>
      <c r="C35" s="370" t="s">
        <v>782</v>
      </c>
      <c r="D35" s="371"/>
    </row>
    <row r="36" spans="1:4" ht="15.75" thickBot="1">
      <c r="A36" s="257" t="s">
        <v>785</v>
      </c>
      <c r="B36" s="258" t="s">
        <v>786</v>
      </c>
      <c r="C36" s="370" t="s">
        <v>782</v>
      </c>
      <c r="D36" s="371"/>
    </row>
    <row r="37" spans="1:4" ht="15.75" thickBot="1">
      <c r="A37" s="257" t="s">
        <v>787</v>
      </c>
      <c r="B37" s="258" t="s">
        <v>788</v>
      </c>
      <c r="C37" s="370" t="s">
        <v>789</v>
      </c>
      <c r="D37" s="371"/>
    </row>
  </sheetData>
  <mergeCells count="37">
    <mergeCell ref="B6:C6"/>
    <mergeCell ref="A1:D1"/>
    <mergeCell ref="B2:C2"/>
    <mergeCell ref="A3:D3"/>
    <mergeCell ref="B4:C4"/>
    <mergeCell ref="B5:C5"/>
    <mergeCell ref="B18:C18"/>
    <mergeCell ref="B7:C7"/>
    <mergeCell ref="B8:C8"/>
    <mergeCell ref="A9:D9"/>
    <mergeCell ref="B10:C10"/>
    <mergeCell ref="B11:C11"/>
    <mergeCell ref="B12:C12"/>
    <mergeCell ref="B13:C13"/>
    <mergeCell ref="A14:D14"/>
    <mergeCell ref="B15:C15"/>
    <mergeCell ref="B16:C16"/>
    <mergeCell ref="A17:D17"/>
    <mergeCell ref="C30:D30"/>
    <mergeCell ref="B19:C19"/>
    <mergeCell ref="B20:C20"/>
    <mergeCell ref="A21:D21"/>
    <mergeCell ref="C22:D22"/>
    <mergeCell ref="C23:D23"/>
    <mergeCell ref="C24:D24"/>
    <mergeCell ref="C25:D25"/>
    <mergeCell ref="C26:D26"/>
    <mergeCell ref="C27:D27"/>
    <mergeCell ref="C28:D28"/>
    <mergeCell ref="C29:D29"/>
    <mergeCell ref="C37:D37"/>
    <mergeCell ref="C31:D31"/>
    <mergeCell ref="C32:D32"/>
    <mergeCell ref="C33:D33"/>
    <mergeCell ref="C34:D34"/>
    <mergeCell ref="C35:D35"/>
    <mergeCell ref="C36:D36"/>
  </mergeCells>
  <hyperlinks>
    <hyperlink ref="F1" location="Begin!A1" display="Start Over"/>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Views>
    <sheetView zoomScaleNormal="100" workbookViewId="0">
      <selection activeCell="A18" sqref="A18"/>
    </sheetView>
  </sheetViews>
  <sheetFormatPr defaultRowHeight="15"/>
  <cols>
    <col min="1" max="5" width="11.85546875" customWidth="1"/>
    <col min="6" max="6" width="6.140625" bestFit="1" customWidth="1"/>
    <col min="7" max="7" width="14.85546875" bestFit="1" customWidth="1"/>
    <col min="8" max="8" width="20.5703125" bestFit="1" customWidth="1"/>
    <col min="9" max="9" width="13.28515625" bestFit="1" customWidth="1"/>
  </cols>
  <sheetData>
    <row r="1" spans="1:11" ht="24" thickBot="1">
      <c r="A1" s="392" t="s">
        <v>484</v>
      </c>
      <c r="B1" s="393"/>
      <c r="C1" s="393"/>
      <c r="D1" s="393"/>
      <c r="E1" s="393"/>
      <c r="F1" s="394"/>
      <c r="G1" s="394"/>
      <c r="H1" s="394"/>
      <c r="I1" s="395"/>
      <c r="K1" s="117" t="s">
        <v>470</v>
      </c>
    </row>
    <row r="2" spans="1:11" ht="25.5" customHeight="1">
      <c r="A2" s="151" t="s">
        <v>39</v>
      </c>
      <c r="B2" s="152" t="s">
        <v>39</v>
      </c>
      <c r="C2" s="152" t="s">
        <v>39</v>
      </c>
      <c r="D2" s="152" t="s">
        <v>39</v>
      </c>
      <c r="E2" s="152" t="s">
        <v>39</v>
      </c>
      <c r="F2" s="153" t="s">
        <v>40</v>
      </c>
      <c r="G2" s="152" t="s">
        <v>41</v>
      </c>
      <c r="H2" s="152" t="s">
        <v>42</v>
      </c>
      <c r="I2" s="154" t="s">
        <v>43</v>
      </c>
    </row>
    <row r="3" spans="1:11" ht="17.25">
      <c r="A3" s="155" t="s">
        <v>586</v>
      </c>
      <c r="B3" s="155" t="s">
        <v>587</v>
      </c>
      <c r="C3" s="155" t="s">
        <v>588</v>
      </c>
      <c r="D3" s="155" t="s">
        <v>589</v>
      </c>
      <c r="E3" s="155" t="s">
        <v>590</v>
      </c>
      <c r="F3" s="11"/>
      <c r="G3" s="3"/>
      <c r="H3" s="3"/>
      <c r="I3" s="6"/>
    </row>
    <row r="4" spans="1:11">
      <c r="A4" s="5" t="s">
        <v>44</v>
      </c>
      <c r="B4" s="3" t="s">
        <v>45</v>
      </c>
      <c r="C4" s="3" t="s">
        <v>46</v>
      </c>
      <c r="D4" s="7" t="s">
        <v>47</v>
      </c>
      <c r="E4" s="7" t="s">
        <v>48</v>
      </c>
      <c r="F4" s="12" t="s">
        <v>113</v>
      </c>
      <c r="G4" s="3" t="s">
        <v>49</v>
      </c>
      <c r="H4" s="3" t="s">
        <v>50</v>
      </c>
      <c r="I4" s="6" t="s">
        <v>51</v>
      </c>
    </row>
    <row r="5" spans="1:11">
      <c r="A5" s="5" t="s">
        <v>52</v>
      </c>
      <c r="B5" s="3" t="s">
        <v>53</v>
      </c>
      <c r="C5" s="3" t="s">
        <v>54</v>
      </c>
      <c r="D5" s="7" t="s">
        <v>55</v>
      </c>
      <c r="E5" s="7" t="s">
        <v>56</v>
      </c>
      <c r="F5" s="12" t="s">
        <v>113</v>
      </c>
      <c r="G5" s="3" t="s">
        <v>49</v>
      </c>
      <c r="H5" s="3" t="s">
        <v>57</v>
      </c>
      <c r="I5" s="6" t="s">
        <v>51</v>
      </c>
    </row>
    <row r="6" spans="1:11">
      <c r="A6" s="5" t="s">
        <v>58</v>
      </c>
      <c r="B6" s="3" t="s">
        <v>59</v>
      </c>
      <c r="C6" s="3" t="s">
        <v>60</v>
      </c>
      <c r="D6" s="7" t="s">
        <v>61</v>
      </c>
      <c r="E6" s="7" t="s">
        <v>62</v>
      </c>
      <c r="F6" s="12" t="s">
        <v>113</v>
      </c>
      <c r="G6" s="3" t="s">
        <v>49</v>
      </c>
      <c r="H6" s="3" t="s">
        <v>63</v>
      </c>
      <c r="I6" s="6" t="s">
        <v>51</v>
      </c>
    </row>
    <row r="7" spans="1:11">
      <c r="A7" s="5" t="s">
        <v>64</v>
      </c>
      <c r="B7" s="3" t="s">
        <v>65</v>
      </c>
      <c r="C7" s="3" t="s">
        <v>66</v>
      </c>
      <c r="D7" s="7" t="s">
        <v>67</v>
      </c>
      <c r="E7" s="7" t="s">
        <v>68</v>
      </c>
      <c r="F7" s="12" t="s">
        <v>113</v>
      </c>
      <c r="G7" s="3" t="s">
        <v>49</v>
      </c>
      <c r="H7" s="3" t="s">
        <v>69</v>
      </c>
      <c r="I7" s="6" t="s">
        <v>51</v>
      </c>
    </row>
    <row r="8" spans="1:11">
      <c r="A8" s="5" t="s">
        <v>70</v>
      </c>
      <c r="B8" s="3" t="s">
        <v>71</v>
      </c>
      <c r="C8" s="3" t="s">
        <v>72</v>
      </c>
      <c r="D8" s="7" t="s">
        <v>73</v>
      </c>
      <c r="E8" s="7" t="s">
        <v>74</v>
      </c>
      <c r="F8" s="12" t="s">
        <v>113</v>
      </c>
      <c r="G8" s="3" t="s">
        <v>49</v>
      </c>
      <c r="H8" s="3" t="s">
        <v>75</v>
      </c>
      <c r="I8" s="6" t="s">
        <v>51</v>
      </c>
    </row>
    <row r="9" spans="1:11">
      <c r="A9" s="5" t="s">
        <v>76</v>
      </c>
      <c r="B9" s="3" t="s">
        <v>77</v>
      </c>
      <c r="C9" s="3" t="s">
        <v>78</v>
      </c>
      <c r="D9" s="7" t="s">
        <v>79</v>
      </c>
      <c r="E9" s="7" t="s">
        <v>80</v>
      </c>
      <c r="F9" s="12" t="s">
        <v>113</v>
      </c>
      <c r="G9" s="3" t="s">
        <v>49</v>
      </c>
      <c r="H9" s="3" t="s">
        <v>81</v>
      </c>
      <c r="I9" s="6" t="s">
        <v>51</v>
      </c>
    </row>
    <row r="10" spans="1:11">
      <c r="A10" s="5" t="s">
        <v>82</v>
      </c>
      <c r="B10" s="3" t="s">
        <v>83</v>
      </c>
      <c r="C10" s="3" t="s">
        <v>84</v>
      </c>
      <c r="D10" s="7" t="s">
        <v>85</v>
      </c>
      <c r="E10" s="7" t="s">
        <v>86</v>
      </c>
      <c r="F10" s="12" t="s">
        <v>113</v>
      </c>
      <c r="G10" s="3" t="s">
        <v>49</v>
      </c>
      <c r="H10" s="3" t="s">
        <v>87</v>
      </c>
      <c r="I10" s="6" t="s">
        <v>51</v>
      </c>
    </row>
    <row r="11" spans="1:11">
      <c r="A11" s="5" t="s">
        <v>88</v>
      </c>
      <c r="B11" s="3" t="s">
        <v>89</v>
      </c>
      <c r="C11" s="3" t="s">
        <v>90</v>
      </c>
      <c r="D11" s="7" t="s">
        <v>91</v>
      </c>
      <c r="E11" s="7" t="s">
        <v>92</v>
      </c>
      <c r="F11" s="12" t="s">
        <v>113</v>
      </c>
      <c r="G11" s="3" t="s">
        <v>49</v>
      </c>
      <c r="H11" s="3" t="s">
        <v>93</v>
      </c>
      <c r="I11" s="6" t="s">
        <v>51</v>
      </c>
    </row>
    <row r="12" spans="1:11">
      <c r="A12" s="5" t="s">
        <v>94</v>
      </c>
      <c r="B12" s="3" t="s">
        <v>95</v>
      </c>
      <c r="C12" s="3" t="s">
        <v>96</v>
      </c>
      <c r="D12" s="7" t="s">
        <v>97</v>
      </c>
      <c r="E12" s="7" t="s">
        <v>98</v>
      </c>
      <c r="F12" s="12" t="s">
        <v>113</v>
      </c>
      <c r="G12" s="3" t="s">
        <v>49</v>
      </c>
      <c r="H12" s="3" t="s">
        <v>99</v>
      </c>
      <c r="I12" s="6" t="s">
        <v>51</v>
      </c>
    </row>
    <row r="13" spans="1:11">
      <c r="A13" s="5" t="s">
        <v>100</v>
      </c>
      <c r="B13" s="3" t="s">
        <v>101</v>
      </c>
      <c r="C13" s="3" t="s">
        <v>102</v>
      </c>
      <c r="D13" s="7" t="s">
        <v>103</v>
      </c>
      <c r="E13" s="7" t="s">
        <v>104</v>
      </c>
      <c r="F13" s="12" t="s">
        <v>113</v>
      </c>
      <c r="G13" s="3" t="s">
        <v>49</v>
      </c>
      <c r="H13" s="3" t="s">
        <v>105</v>
      </c>
      <c r="I13" s="6" t="s">
        <v>51</v>
      </c>
    </row>
    <row r="14" spans="1:11" ht="15.75" thickBot="1">
      <c r="A14" s="8" t="s">
        <v>106</v>
      </c>
      <c r="B14" s="4" t="s">
        <v>107</v>
      </c>
      <c r="C14" s="4" t="s">
        <v>108</v>
      </c>
      <c r="D14" s="9" t="s">
        <v>109</v>
      </c>
      <c r="E14" s="9" t="s">
        <v>110</v>
      </c>
      <c r="F14" s="13" t="s">
        <v>113</v>
      </c>
      <c r="G14" s="4" t="s">
        <v>49</v>
      </c>
      <c r="H14" s="4" t="s">
        <v>111</v>
      </c>
      <c r="I14" s="10" t="s">
        <v>51</v>
      </c>
    </row>
    <row r="15" spans="1:11">
      <c r="A15" s="387" t="s">
        <v>112</v>
      </c>
      <c r="B15" s="388"/>
      <c r="C15" s="388"/>
      <c r="D15" s="388"/>
      <c r="E15" s="388"/>
      <c r="F15" s="388"/>
      <c r="G15" s="1"/>
      <c r="H15" s="1"/>
      <c r="I15" s="2"/>
    </row>
    <row r="16" spans="1:11" ht="15.75" thickBot="1">
      <c r="A16" s="389" t="s">
        <v>591</v>
      </c>
      <c r="B16" s="390"/>
      <c r="C16" s="390"/>
      <c r="D16" s="390"/>
      <c r="E16" s="390"/>
      <c r="F16" s="390"/>
      <c r="G16" s="390"/>
      <c r="H16" s="390"/>
      <c r="I16" s="391"/>
    </row>
  </sheetData>
  <mergeCells count="3">
    <mergeCell ref="A15:F15"/>
    <mergeCell ref="A16:I16"/>
    <mergeCell ref="A1:I1"/>
  </mergeCells>
  <hyperlinks>
    <hyperlink ref="K1" location="Begin!A1" display="Start Over"/>
  </hyperlinks>
  <pageMargins left="0.7" right="0.7" top="0.75" bottom="0.75" header="0.3" footer="0.3"/>
  <pageSetup scale="90" orientation="landscape" r:id="rId1"/>
  <ignoredErrors>
    <ignoredError sqref="F4:F14"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zoomScaleNormal="100" workbookViewId="0">
      <selection activeCell="A15" sqref="A15"/>
    </sheetView>
  </sheetViews>
  <sheetFormatPr defaultRowHeight="15"/>
  <cols>
    <col min="2" max="2" width="10.42578125" bestFit="1" customWidth="1"/>
    <col min="3" max="3" width="14.85546875" bestFit="1" customWidth="1"/>
    <col min="4" max="4" width="25" customWidth="1"/>
    <col min="5" max="5" width="13.28515625" bestFit="1" customWidth="1"/>
  </cols>
  <sheetData>
    <row r="1" spans="1:7" ht="23.25">
      <c r="A1" s="365" t="s">
        <v>485</v>
      </c>
      <c r="B1" s="396"/>
      <c r="C1" s="396"/>
      <c r="D1" s="396"/>
      <c r="E1" s="364"/>
      <c r="G1" s="117" t="s">
        <v>470</v>
      </c>
    </row>
    <row r="2" spans="1:7" ht="24" customHeight="1">
      <c r="A2" s="16" t="s">
        <v>39</v>
      </c>
      <c r="B2" s="19" t="s">
        <v>40</v>
      </c>
      <c r="C2" s="16" t="s">
        <v>41</v>
      </c>
      <c r="D2" s="16" t="s">
        <v>42</v>
      </c>
      <c r="E2" s="16" t="s">
        <v>43</v>
      </c>
    </row>
    <row r="3" spans="1:7">
      <c r="A3" s="3" t="s">
        <v>114</v>
      </c>
      <c r="B3" s="11" t="s">
        <v>128</v>
      </c>
      <c r="C3" s="3" t="s">
        <v>129</v>
      </c>
      <c r="D3" s="3" t="s">
        <v>50</v>
      </c>
      <c r="E3" s="3" t="s">
        <v>51</v>
      </c>
    </row>
    <row r="4" spans="1:7">
      <c r="A4" s="3" t="s">
        <v>118</v>
      </c>
      <c r="B4" s="11" t="s">
        <v>130</v>
      </c>
      <c r="C4" s="3" t="s">
        <v>129</v>
      </c>
      <c r="D4" s="3" t="s">
        <v>57</v>
      </c>
      <c r="E4" s="3" t="s">
        <v>51</v>
      </c>
    </row>
    <row r="5" spans="1:7">
      <c r="A5" s="3" t="s">
        <v>119</v>
      </c>
      <c r="B5" s="11" t="s">
        <v>128</v>
      </c>
      <c r="C5" s="3" t="s">
        <v>129</v>
      </c>
      <c r="D5" s="3" t="s">
        <v>63</v>
      </c>
      <c r="E5" s="3" t="s">
        <v>51</v>
      </c>
    </row>
    <row r="6" spans="1:7">
      <c r="A6" s="3" t="s">
        <v>120</v>
      </c>
      <c r="B6" s="11" t="s">
        <v>128</v>
      </c>
      <c r="C6" s="3" t="s">
        <v>129</v>
      </c>
      <c r="D6" s="3" t="s">
        <v>69</v>
      </c>
      <c r="E6" s="3" t="s">
        <v>51</v>
      </c>
    </row>
    <row r="7" spans="1:7">
      <c r="A7" s="3" t="s">
        <v>121</v>
      </c>
      <c r="B7" s="11" t="s">
        <v>128</v>
      </c>
      <c r="C7" s="3" t="s">
        <v>129</v>
      </c>
      <c r="D7" s="3" t="s">
        <v>75</v>
      </c>
      <c r="E7" s="3" t="s">
        <v>51</v>
      </c>
    </row>
    <row r="8" spans="1:7">
      <c r="A8" s="3" t="s">
        <v>122</v>
      </c>
      <c r="B8" s="11" t="s">
        <v>128</v>
      </c>
      <c r="C8" s="3" t="s">
        <v>129</v>
      </c>
      <c r="D8" s="3" t="s">
        <v>81</v>
      </c>
      <c r="E8" s="3" t="s">
        <v>51</v>
      </c>
    </row>
    <row r="9" spans="1:7">
      <c r="A9" s="3" t="s">
        <v>123</v>
      </c>
      <c r="B9" s="11" t="s">
        <v>128</v>
      </c>
      <c r="C9" s="3" t="s">
        <v>129</v>
      </c>
      <c r="D9" s="3" t="s">
        <v>87</v>
      </c>
      <c r="E9" s="3" t="s">
        <v>51</v>
      </c>
    </row>
    <row r="10" spans="1:7">
      <c r="A10" s="3" t="s">
        <v>124</v>
      </c>
      <c r="B10" s="11" t="s">
        <v>128</v>
      </c>
      <c r="C10" s="3" t="s">
        <v>129</v>
      </c>
      <c r="D10" s="3" t="s">
        <v>93</v>
      </c>
      <c r="E10" s="3" t="s">
        <v>51</v>
      </c>
    </row>
    <row r="11" spans="1:7">
      <c r="A11" s="3" t="s">
        <v>125</v>
      </c>
      <c r="B11" s="11" t="s">
        <v>128</v>
      </c>
      <c r="C11" s="3" t="s">
        <v>129</v>
      </c>
      <c r="D11" s="3" t="s">
        <v>99</v>
      </c>
      <c r="E11" s="3" t="s">
        <v>51</v>
      </c>
    </row>
    <row r="12" spans="1:7">
      <c r="A12" s="3" t="s">
        <v>126</v>
      </c>
      <c r="B12" s="11" t="s">
        <v>128</v>
      </c>
      <c r="C12" s="3" t="s">
        <v>129</v>
      </c>
      <c r="D12" s="3" t="s">
        <v>105</v>
      </c>
      <c r="E12" s="3" t="s">
        <v>51</v>
      </c>
    </row>
    <row r="13" spans="1:7">
      <c r="A13" s="3" t="s">
        <v>127</v>
      </c>
      <c r="B13" s="11" t="s">
        <v>128</v>
      </c>
      <c r="C13" s="3" t="s">
        <v>129</v>
      </c>
      <c r="D13" s="3" t="s">
        <v>111</v>
      </c>
      <c r="E13" s="3" t="s">
        <v>51</v>
      </c>
    </row>
    <row r="15" spans="1:7">
      <c r="A15" s="21"/>
    </row>
  </sheetData>
  <mergeCells count="1">
    <mergeCell ref="A1:E1"/>
  </mergeCells>
  <hyperlinks>
    <hyperlink ref="G1" location="Begin!A1" display="Start Over"/>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zoomScaleNormal="100" workbookViewId="0">
      <selection activeCell="A15" sqref="A15"/>
    </sheetView>
  </sheetViews>
  <sheetFormatPr defaultRowHeight="15"/>
  <cols>
    <col min="1" max="1" width="7" bestFit="1" customWidth="1"/>
    <col min="2" max="2" width="10.42578125" bestFit="1" customWidth="1"/>
    <col min="3" max="3" width="15.28515625" customWidth="1"/>
    <col min="4" max="4" width="25.140625" customWidth="1"/>
    <col min="5" max="5" width="13.85546875" customWidth="1"/>
  </cols>
  <sheetData>
    <row r="1" spans="1:7" ht="23.25">
      <c r="A1" s="365" t="s">
        <v>486</v>
      </c>
      <c r="B1" s="396"/>
      <c r="C1" s="396"/>
      <c r="D1" s="396"/>
      <c r="E1" s="397"/>
      <c r="G1" s="117" t="s">
        <v>470</v>
      </c>
    </row>
    <row r="2" spans="1:7">
      <c r="A2" s="17" t="s">
        <v>39</v>
      </c>
      <c r="B2" s="18" t="s">
        <v>40</v>
      </c>
      <c r="C2" s="16" t="s">
        <v>41</v>
      </c>
      <c r="D2" s="17" t="s">
        <v>42</v>
      </c>
      <c r="E2" s="16" t="s">
        <v>43</v>
      </c>
    </row>
    <row r="3" spans="1:7">
      <c r="A3" s="3" t="s">
        <v>114</v>
      </c>
      <c r="B3" s="11" t="s">
        <v>115</v>
      </c>
      <c r="C3" s="3" t="s">
        <v>116</v>
      </c>
      <c r="D3" s="3" t="s">
        <v>50</v>
      </c>
      <c r="E3" s="3" t="s">
        <v>117</v>
      </c>
    </row>
    <row r="4" spans="1:7">
      <c r="A4" s="3" t="s">
        <v>118</v>
      </c>
      <c r="B4" s="11" t="s">
        <v>115</v>
      </c>
      <c r="C4" s="3" t="s">
        <v>116</v>
      </c>
      <c r="D4" s="3" t="s">
        <v>57</v>
      </c>
      <c r="E4" s="3" t="s">
        <v>117</v>
      </c>
    </row>
    <row r="5" spans="1:7">
      <c r="A5" s="3" t="s">
        <v>119</v>
      </c>
      <c r="B5" s="11" t="s">
        <v>115</v>
      </c>
      <c r="C5" s="3" t="s">
        <v>116</v>
      </c>
      <c r="D5" s="3" t="s">
        <v>63</v>
      </c>
      <c r="E5" s="3" t="s">
        <v>117</v>
      </c>
    </row>
    <row r="6" spans="1:7">
      <c r="A6" s="3" t="s">
        <v>120</v>
      </c>
      <c r="B6" s="11" t="s">
        <v>115</v>
      </c>
      <c r="C6" s="3" t="s">
        <v>116</v>
      </c>
      <c r="D6" s="3" t="s">
        <v>69</v>
      </c>
      <c r="E6" s="3" t="s">
        <v>117</v>
      </c>
    </row>
    <row r="7" spans="1:7">
      <c r="A7" s="3" t="s">
        <v>121</v>
      </c>
      <c r="B7" s="11" t="s">
        <v>115</v>
      </c>
      <c r="C7" s="3" t="s">
        <v>116</v>
      </c>
      <c r="D7" s="3" t="s">
        <v>75</v>
      </c>
      <c r="E7" s="3" t="s">
        <v>117</v>
      </c>
    </row>
    <row r="8" spans="1:7">
      <c r="A8" s="3" t="s">
        <v>122</v>
      </c>
      <c r="B8" s="11" t="s">
        <v>115</v>
      </c>
      <c r="C8" s="3" t="s">
        <v>116</v>
      </c>
      <c r="D8" s="3" t="s">
        <v>81</v>
      </c>
      <c r="E8" s="3" t="s">
        <v>117</v>
      </c>
    </row>
    <row r="9" spans="1:7">
      <c r="A9" s="3" t="s">
        <v>123</v>
      </c>
      <c r="B9" s="11" t="s">
        <v>115</v>
      </c>
      <c r="C9" s="3" t="s">
        <v>116</v>
      </c>
      <c r="D9" s="3" t="s">
        <v>87</v>
      </c>
      <c r="E9" s="3" t="s">
        <v>117</v>
      </c>
    </row>
    <row r="10" spans="1:7">
      <c r="A10" s="3" t="s">
        <v>124</v>
      </c>
      <c r="B10" s="11" t="s">
        <v>115</v>
      </c>
      <c r="C10" s="3" t="s">
        <v>116</v>
      </c>
      <c r="D10" s="3" t="s">
        <v>93</v>
      </c>
      <c r="E10" s="3" t="s">
        <v>117</v>
      </c>
    </row>
    <row r="11" spans="1:7">
      <c r="A11" s="3" t="s">
        <v>125</v>
      </c>
      <c r="B11" s="11" t="s">
        <v>115</v>
      </c>
      <c r="C11" s="3" t="s">
        <v>116</v>
      </c>
      <c r="D11" s="3" t="s">
        <v>99</v>
      </c>
      <c r="E11" s="3" t="s">
        <v>117</v>
      </c>
    </row>
    <row r="12" spans="1:7">
      <c r="A12" s="3" t="s">
        <v>126</v>
      </c>
      <c r="B12" s="11" t="s">
        <v>115</v>
      </c>
      <c r="C12" s="3" t="s">
        <v>116</v>
      </c>
      <c r="D12" s="3" t="s">
        <v>105</v>
      </c>
      <c r="E12" s="3" t="s">
        <v>117</v>
      </c>
    </row>
    <row r="13" spans="1:7">
      <c r="A13" s="3" t="s">
        <v>127</v>
      </c>
      <c r="B13" s="11" t="s">
        <v>115</v>
      </c>
      <c r="C13" s="3" t="s">
        <v>116</v>
      </c>
      <c r="D13" s="3" t="s">
        <v>111</v>
      </c>
      <c r="E13" s="3" t="s">
        <v>117</v>
      </c>
    </row>
    <row r="14" spans="1:7">
      <c r="D14" s="14"/>
    </row>
    <row r="15" spans="1:7">
      <c r="A15" s="21"/>
    </row>
  </sheetData>
  <mergeCells count="1">
    <mergeCell ref="A1:E1"/>
  </mergeCells>
  <hyperlinks>
    <hyperlink ref="G1" location="Begin!A1" display="Start Over"/>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
  <sheetViews>
    <sheetView zoomScaleNormal="100" workbookViewId="0">
      <selection activeCell="A22" sqref="A22"/>
    </sheetView>
  </sheetViews>
  <sheetFormatPr defaultRowHeight="15"/>
  <cols>
    <col min="1" max="1" width="16.5703125" customWidth="1"/>
    <col min="2" max="2" width="19.28515625" bestFit="1" customWidth="1"/>
    <col min="3" max="3" width="15.7109375" customWidth="1"/>
    <col min="4" max="4" width="21.140625" bestFit="1" customWidth="1"/>
    <col min="5" max="5" width="13.28515625" bestFit="1" customWidth="1"/>
    <col min="6" max="6" width="11" customWidth="1"/>
  </cols>
  <sheetData>
    <row r="1" spans="1:7" ht="23.25">
      <c r="A1" s="398" t="s">
        <v>487</v>
      </c>
      <c r="B1" s="399"/>
      <c r="C1" s="400"/>
      <c r="D1" s="400"/>
      <c r="E1" s="401"/>
      <c r="G1" s="117" t="s">
        <v>470</v>
      </c>
    </row>
    <row r="2" spans="1:7">
      <c r="A2" s="15" t="s">
        <v>39</v>
      </c>
      <c r="B2" s="15" t="s">
        <v>40</v>
      </c>
      <c r="C2" s="15" t="s">
        <v>41</v>
      </c>
      <c r="D2" s="15" t="s">
        <v>42</v>
      </c>
      <c r="E2" s="15" t="s">
        <v>43</v>
      </c>
    </row>
    <row r="3" spans="1:7">
      <c r="A3" s="20" t="s">
        <v>134</v>
      </c>
      <c r="B3" s="11" t="s">
        <v>131</v>
      </c>
      <c r="C3" s="3" t="s">
        <v>132</v>
      </c>
      <c r="D3" s="3" t="s">
        <v>592</v>
      </c>
      <c r="E3" s="3" t="s">
        <v>117</v>
      </c>
    </row>
    <row r="4" spans="1:7">
      <c r="A4" s="20" t="s">
        <v>135</v>
      </c>
      <c r="B4" s="11" t="s">
        <v>131</v>
      </c>
      <c r="C4" s="3" t="s">
        <v>133</v>
      </c>
      <c r="D4" s="3" t="s">
        <v>592</v>
      </c>
      <c r="E4" s="3" t="s">
        <v>117</v>
      </c>
    </row>
    <row r="6" spans="1:7" ht="15.75" customHeight="1">
      <c r="A6" s="402" t="s">
        <v>488</v>
      </c>
      <c r="B6" s="403"/>
      <c r="C6" s="403"/>
      <c r="D6" s="403"/>
      <c r="E6" s="404"/>
    </row>
    <row r="7" spans="1:7">
      <c r="A7" s="15" t="s">
        <v>39</v>
      </c>
      <c r="B7" s="15" t="s">
        <v>40</v>
      </c>
      <c r="C7" s="15" t="s">
        <v>41</v>
      </c>
      <c r="D7" s="15" t="s">
        <v>42</v>
      </c>
      <c r="E7" s="15" t="s">
        <v>43</v>
      </c>
    </row>
    <row r="8" spans="1:7">
      <c r="A8" s="20" t="s">
        <v>136</v>
      </c>
      <c r="B8" s="11" t="s">
        <v>128</v>
      </c>
      <c r="C8" s="3" t="s">
        <v>302</v>
      </c>
      <c r="D8" s="3" t="s">
        <v>303</v>
      </c>
      <c r="E8" s="3" t="s">
        <v>304</v>
      </c>
    </row>
    <row r="9" spans="1:7">
      <c r="A9" s="20" t="s">
        <v>137</v>
      </c>
      <c r="B9" s="11" t="s">
        <v>128</v>
      </c>
      <c r="C9" s="3" t="s">
        <v>302</v>
      </c>
      <c r="D9" s="3" t="s">
        <v>303</v>
      </c>
      <c r="E9" s="3" t="s">
        <v>304</v>
      </c>
    </row>
    <row r="11" spans="1:7" ht="15.75" customHeight="1">
      <c r="A11" s="402" t="s">
        <v>489</v>
      </c>
      <c r="B11" s="403"/>
      <c r="C11" s="403"/>
      <c r="D11" s="403"/>
      <c r="E11" s="404"/>
    </row>
    <row r="12" spans="1:7">
      <c r="A12" s="15" t="s">
        <v>39</v>
      </c>
      <c r="B12" s="15" t="s">
        <v>40</v>
      </c>
      <c r="C12" s="15" t="s">
        <v>42</v>
      </c>
      <c r="D12" s="15" t="s">
        <v>305</v>
      </c>
      <c r="E12" s="15" t="s">
        <v>43</v>
      </c>
    </row>
    <row r="13" spans="1:7">
      <c r="A13" s="20" t="s">
        <v>306</v>
      </c>
      <c r="B13" s="11" t="s">
        <v>307</v>
      </c>
      <c r="C13" s="3" t="s">
        <v>308</v>
      </c>
      <c r="D13" s="3" t="s">
        <v>310</v>
      </c>
      <c r="E13" s="3" t="s">
        <v>316</v>
      </c>
    </row>
    <row r="14" spans="1:7">
      <c r="A14" s="20" t="s">
        <v>306</v>
      </c>
      <c r="B14" s="11" t="s">
        <v>307</v>
      </c>
      <c r="C14" s="3" t="s">
        <v>309</v>
      </c>
      <c r="D14" s="3" t="s">
        <v>311</v>
      </c>
      <c r="E14" s="3" t="s">
        <v>482</v>
      </c>
    </row>
    <row r="16" spans="1:7" ht="15" customHeight="1">
      <c r="A16" s="405" t="s">
        <v>313</v>
      </c>
      <c r="B16" s="406"/>
      <c r="C16" s="406"/>
      <c r="D16" s="406"/>
      <c r="E16" s="407"/>
    </row>
    <row r="17" spans="1:5">
      <c r="A17" s="51" t="s">
        <v>39</v>
      </c>
      <c r="B17" s="51" t="s">
        <v>40</v>
      </c>
      <c r="C17" s="51" t="s">
        <v>41</v>
      </c>
      <c r="D17" s="51" t="s">
        <v>42</v>
      </c>
      <c r="E17" s="246"/>
    </row>
    <row r="18" spans="1:5">
      <c r="A18" s="20" t="s">
        <v>312</v>
      </c>
      <c r="B18" s="50" t="s">
        <v>113</v>
      </c>
      <c r="C18" s="3" t="s">
        <v>593</v>
      </c>
      <c r="D18" s="3" t="s">
        <v>708</v>
      </c>
      <c r="E18" s="246" t="s">
        <v>711</v>
      </c>
    </row>
    <row r="19" spans="1:5">
      <c r="A19" s="20" t="s">
        <v>312</v>
      </c>
      <c r="B19" s="50" t="s">
        <v>113</v>
      </c>
      <c r="C19" s="3" t="s">
        <v>594</v>
      </c>
      <c r="D19" s="3" t="s">
        <v>709</v>
      </c>
      <c r="E19" s="246" t="s">
        <v>711</v>
      </c>
    </row>
    <row r="20" spans="1:5">
      <c r="A20" s="20" t="s">
        <v>312</v>
      </c>
      <c r="B20" s="50" t="s">
        <v>113</v>
      </c>
      <c r="C20" s="3" t="s">
        <v>712</v>
      </c>
      <c r="D20" s="3" t="s">
        <v>710</v>
      </c>
      <c r="E20" s="246" t="s">
        <v>711</v>
      </c>
    </row>
    <row r="22" spans="1:5" ht="28.5" customHeight="1"/>
    <row r="23" spans="1:5" ht="30.75" customHeight="1"/>
    <row r="25" spans="1:5" ht="34.5" customHeight="1"/>
    <row r="27" spans="1:5" ht="32.25" customHeight="1"/>
  </sheetData>
  <mergeCells count="4">
    <mergeCell ref="A1:E1"/>
    <mergeCell ref="A6:E6"/>
    <mergeCell ref="A11:E11"/>
    <mergeCell ref="A16:E16"/>
  </mergeCells>
  <hyperlinks>
    <hyperlink ref="G1" location="Begin!A1" display="Start Over"/>
  </hyperlinks>
  <pageMargins left="0.7" right="0.7" top="0.75" bottom="0.75" header="0.3" footer="0.3"/>
  <pageSetup orientation="portrait" r:id="rId1"/>
  <ignoredErrors>
    <ignoredError sqref="A3:A4 A10:E10 A15:E15 B11:E11 A12:B12 A13:A14 A17:C17 B18:B2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zoomScaleNormal="100" workbookViewId="0">
      <pane ySplit="1" topLeftCell="A2" activePane="bottomLeft" state="frozen"/>
      <selection pane="bottomLeft" activeCell="H1" sqref="H1"/>
    </sheetView>
  </sheetViews>
  <sheetFormatPr defaultRowHeight="15"/>
  <cols>
    <col min="1" max="1" width="4.42578125" customWidth="1"/>
    <col min="2" max="2" width="76.85546875" customWidth="1"/>
    <col min="3" max="3" width="8.7109375" bestFit="1" customWidth="1"/>
    <col min="4" max="4" width="9" bestFit="1" customWidth="1"/>
  </cols>
  <sheetData>
    <row r="1" spans="1:8" ht="32.25" thickBot="1">
      <c r="A1" s="408" t="s">
        <v>539</v>
      </c>
      <c r="B1" s="409"/>
      <c r="C1" s="135" t="s">
        <v>540</v>
      </c>
      <c r="D1" s="135" t="s">
        <v>571</v>
      </c>
      <c r="H1" s="117" t="s">
        <v>470</v>
      </c>
    </row>
    <row r="2" spans="1:8" ht="21" customHeight="1" thickBot="1">
      <c r="A2" s="392" t="s">
        <v>498</v>
      </c>
      <c r="B2" s="393"/>
      <c r="C2" s="393"/>
      <c r="D2" s="410"/>
    </row>
    <row r="3" spans="1:8" ht="15.75" thickBot="1">
      <c r="A3" s="136" t="s">
        <v>272</v>
      </c>
      <c r="B3" s="137" t="s">
        <v>541</v>
      </c>
      <c r="C3" s="138" t="s">
        <v>271</v>
      </c>
      <c r="D3" s="138" t="s">
        <v>273</v>
      </c>
    </row>
    <row r="4" spans="1:8" ht="15.75" thickBot="1">
      <c r="A4" s="136" t="s">
        <v>274</v>
      </c>
      <c r="B4" s="137" t="s">
        <v>542</v>
      </c>
      <c r="C4" s="138" t="s">
        <v>271</v>
      </c>
      <c r="D4" s="138" t="s">
        <v>273</v>
      </c>
    </row>
    <row r="5" spans="1:8" ht="21.75" thickBot="1">
      <c r="A5" s="136" t="s">
        <v>275</v>
      </c>
      <c r="B5" s="137" t="s">
        <v>543</v>
      </c>
      <c r="C5" s="138" t="s">
        <v>271</v>
      </c>
      <c r="D5" s="138" t="s">
        <v>273</v>
      </c>
      <c r="G5" s="354"/>
    </row>
    <row r="6" spans="1:8" ht="15.75" thickBot="1">
      <c r="A6" s="136" t="s">
        <v>276</v>
      </c>
      <c r="B6" s="137" t="s">
        <v>544</v>
      </c>
      <c r="C6" s="138" t="s">
        <v>545</v>
      </c>
      <c r="D6" s="138" t="s">
        <v>273</v>
      </c>
    </row>
    <row r="7" spans="1:8" ht="15.75" thickBot="1">
      <c r="A7" s="136" t="s">
        <v>277</v>
      </c>
      <c r="B7" s="137" t="s">
        <v>546</v>
      </c>
      <c r="C7" s="138" t="s">
        <v>271</v>
      </c>
      <c r="D7" s="138" t="s">
        <v>278</v>
      </c>
    </row>
    <row r="8" spans="1:8" ht="15.75" thickBot="1">
      <c r="A8" s="136" t="s">
        <v>279</v>
      </c>
      <c r="B8" s="137" t="s">
        <v>547</v>
      </c>
      <c r="C8" s="138" t="s">
        <v>271</v>
      </c>
      <c r="D8" s="138" t="s">
        <v>278</v>
      </c>
    </row>
    <row r="9" spans="1:8" ht="15.75" thickBot="1">
      <c r="A9" s="136" t="s">
        <v>280</v>
      </c>
      <c r="B9" s="137" t="s">
        <v>548</v>
      </c>
      <c r="C9" s="138" t="s">
        <v>271</v>
      </c>
      <c r="D9" s="138" t="s">
        <v>278</v>
      </c>
    </row>
    <row r="10" spans="1:8" ht="15.75" thickBot="1">
      <c r="A10" s="136" t="s">
        <v>281</v>
      </c>
      <c r="B10" s="137" t="s">
        <v>549</v>
      </c>
      <c r="C10" s="138" t="s">
        <v>545</v>
      </c>
      <c r="D10" s="138" t="s">
        <v>278</v>
      </c>
    </row>
    <row r="11" spans="1:8" ht="15.75" thickBot="1">
      <c r="A11" s="136" t="s">
        <v>499</v>
      </c>
      <c r="B11" s="137" t="s">
        <v>500</v>
      </c>
      <c r="C11" s="138" t="s">
        <v>270</v>
      </c>
      <c r="D11" s="138" t="s">
        <v>713</v>
      </c>
    </row>
    <row r="12" spans="1:8" ht="15.75" thickBot="1">
      <c r="A12" s="136" t="s">
        <v>501</v>
      </c>
      <c r="B12" s="137" t="s">
        <v>502</v>
      </c>
      <c r="C12" s="138" t="s">
        <v>270</v>
      </c>
      <c r="D12" s="138" t="s">
        <v>713</v>
      </c>
    </row>
    <row r="13" spans="1:8" ht="15.75" thickBot="1">
      <c r="A13" s="136" t="s">
        <v>300</v>
      </c>
      <c r="B13" s="137" t="s">
        <v>550</v>
      </c>
      <c r="C13" s="138" t="s">
        <v>545</v>
      </c>
      <c r="D13" s="138" t="s">
        <v>301</v>
      </c>
    </row>
    <row r="14" spans="1:8" ht="21.75" thickBot="1">
      <c r="A14" s="392" t="s">
        <v>551</v>
      </c>
      <c r="B14" s="393"/>
      <c r="C14" s="393"/>
      <c r="D14" s="410"/>
    </row>
    <row r="15" spans="1:8" ht="15.75" thickBot="1">
      <c r="A15" s="136" t="s">
        <v>293</v>
      </c>
      <c r="B15" s="137" t="s">
        <v>552</v>
      </c>
      <c r="C15" s="138" t="s">
        <v>271</v>
      </c>
      <c r="D15" s="138" t="s">
        <v>286</v>
      </c>
    </row>
    <row r="16" spans="1:8" ht="15.75" thickBot="1">
      <c r="A16" s="136" t="s">
        <v>294</v>
      </c>
      <c r="B16" s="137" t="s">
        <v>553</v>
      </c>
      <c r="C16" s="138" t="s">
        <v>271</v>
      </c>
      <c r="D16" s="138" t="s">
        <v>286</v>
      </c>
    </row>
    <row r="17" spans="1:4" ht="15.75" thickBot="1">
      <c r="A17" s="136" t="s">
        <v>295</v>
      </c>
      <c r="B17" s="137" t="s">
        <v>554</v>
      </c>
      <c r="C17" s="138" t="s">
        <v>271</v>
      </c>
      <c r="D17" s="138" t="s">
        <v>286</v>
      </c>
    </row>
    <row r="18" spans="1:4" ht="15.75" thickBot="1">
      <c r="A18" s="136" t="s">
        <v>296</v>
      </c>
      <c r="B18" s="137" t="s">
        <v>555</v>
      </c>
      <c r="C18" s="138" t="s">
        <v>545</v>
      </c>
      <c r="D18" s="138" t="s">
        <v>286</v>
      </c>
    </row>
    <row r="19" spans="1:4" ht="15.75" thickBot="1">
      <c r="A19" s="136" t="s">
        <v>285</v>
      </c>
      <c r="B19" s="137" t="s">
        <v>556</v>
      </c>
      <c r="C19" s="138" t="s">
        <v>271</v>
      </c>
      <c r="D19" s="138" t="s">
        <v>286</v>
      </c>
    </row>
    <row r="20" spans="1:4" ht="15.75" thickBot="1">
      <c r="A20" s="136" t="s">
        <v>287</v>
      </c>
      <c r="B20" s="137" t="s">
        <v>557</v>
      </c>
      <c r="C20" s="138" t="s">
        <v>271</v>
      </c>
      <c r="D20" s="138" t="s">
        <v>286</v>
      </c>
    </row>
    <row r="21" spans="1:4" ht="15.75" thickBot="1">
      <c r="A21" s="136" t="s">
        <v>288</v>
      </c>
      <c r="B21" s="137" t="s">
        <v>558</v>
      </c>
      <c r="C21" s="138" t="s">
        <v>271</v>
      </c>
      <c r="D21" s="138" t="s">
        <v>286</v>
      </c>
    </row>
    <row r="22" spans="1:4" ht="15.75" thickBot="1">
      <c r="A22" s="136" t="s">
        <v>289</v>
      </c>
      <c r="B22" s="137" t="s">
        <v>559</v>
      </c>
      <c r="C22" s="138" t="s">
        <v>545</v>
      </c>
      <c r="D22" s="138" t="s">
        <v>286</v>
      </c>
    </row>
    <row r="23" spans="1:4" ht="21.75" thickBot="1">
      <c r="A23" s="392" t="s">
        <v>560</v>
      </c>
      <c r="B23" s="393"/>
      <c r="C23" s="393"/>
      <c r="D23" s="410"/>
    </row>
    <row r="24" spans="1:4" ht="15.75" thickBot="1">
      <c r="A24" s="136" t="s">
        <v>290</v>
      </c>
      <c r="B24" s="137" t="s">
        <v>561</v>
      </c>
      <c r="C24" s="138" t="s">
        <v>271</v>
      </c>
      <c r="D24" s="138" t="s">
        <v>471</v>
      </c>
    </row>
    <row r="25" spans="1:4" ht="15.75" thickBot="1">
      <c r="A25" s="136" t="s">
        <v>291</v>
      </c>
      <c r="B25" s="137" t="s">
        <v>562</v>
      </c>
      <c r="C25" s="138" t="s">
        <v>271</v>
      </c>
      <c r="D25" s="138" t="s">
        <v>471</v>
      </c>
    </row>
    <row r="26" spans="1:4" ht="15.75" thickBot="1">
      <c r="A26" s="136" t="s">
        <v>292</v>
      </c>
      <c r="B26" s="137" t="s">
        <v>563</v>
      </c>
      <c r="C26" s="138" t="s">
        <v>271</v>
      </c>
      <c r="D26" s="138" t="s">
        <v>471</v>
      </c>
    </row>
    <row r="27" spans="1:4" ht="15.75" thickBot="1">
      <c r="A27" s="136" t="s">
        <v>297</v>
      </c>
      <c r="B27" s="137" t="s">
        <v>564</v>
      </c>
      <c r="C27" s="138" t="s">
        <v>271</v>
      </c>
      <c r="D27" s="138" t="s">
        <v>713</v>
      </c>
    </row>
    <row r="28" spans="1:4" ht="30.75" customHeight="1" thickBot="1">
      <c r="A28" s="136" t="s">
        <v>298</v>
      </c>
      <c r="B28" s="137" t="s">
        <v>565</v>
      </c>
      <c r="C28" s="138" t="s">
        <v>270</v>
      </c>
      <c r="D28" s="138" t="s">
        <v>299</v>
      </c>
    </row>
    <row r="29" spans="1:4" ht="15.75" thickBot="1">
      <c r="A29" s="136" t="s">
        <v>714</v>
      </c>
      <c r="B29" s="137" t="s">
        <v>717</v>
      </c>
      <c r="C29" s="248" t="s">
        <v>270</v>
      </c>
      <c r="D29" s="248" t="s">
        <v>713</v>
      </c>
    </row>
    <row r="30" spans="1:4" ht="15.75" thickBot="1">
      <c r="A30" s="136" t="s">
        <v>715</v>
      </c>
      <c r="B30" s="137" t="s">
        <v>718</v>
      </c>
      <c r="C30" s="138" t="s">
        <v>270</v>
      </c>
      <c r="D30" s="138" t="s">
        <v>713</v>
      </c>
    </row>
    <row r="31" spans="1:4" ht="15.75" thickBot="1">
      <c r="A31" s="136" t="s">
        <v>716</v>
      </c>
      <c r="B31" s="137" t="s">
        <v>719</v>
      </c>
      <c r="C31" s="138" t="s">
        <v>270</v>
      </c>
      <c r="D31" s="138" t="s">
        <v>713</v>
      </c>
    </row>
    <row r="32" spans="1:4" ht="15.75" thickBot="1">
      <c r="A32" s="136" t="s">
        <v>503</v>
      </c>
      <c r="B32" s="137" t="s">
        <v>566</v>
      </c>
      <c r="C32" s="138" t="s">
        <v>270</v>
      </c>
      <c r="D32" s="138" t="s">
        <v>311</v>
      </c>
    </row>
    <row r="33" spans="1:4" ht="21.75" thickBot="1">
      <c r="A33" s="392" t="s">
        <v>504</v>
      </c>
      <c r="B33" s="393"/>
      <c r="C33" s="393"/>
      <c r="D33" s="410"/>
    </row>
    <row r="34" spans="1:4" ht="26.25" thickBot="1">
      <c r="A34" s="136" t="s">
        <v>282</v>
      </c>
      <c r="B34" s="137" t="s">
        <v>283</v>
      </c>
      <c r="C34" s="138" t="s">
        <v>545</v>
      </c>
      <c r="D34" s="138" t="s">
        <v>284</v>
      </c>
    </row>
    <row r="35" spans="1:4" ht="26.25" thickBot="1">
      <c r="A35" s="139" t="s">
        <v>49</v>
      </c>
      <c r="B35" s="137" t="s">
        <v>567</v>
      </c>
      <c r="C35" s="138" t="s">
        <v>545</v>
      </c>
      <c r="D35" s="138" t="s">
        <v>505</v>
      </c>
    </row>
    <row r="36" spans="1:4" ht="26.25" thickBot="1">
      <c r="A36" s="139" t="s">
        <v>129</v>
      </c>
      <c r="B36" s="137" t="s">
        <v>568</v>
      </c>
      <c r="C36" s="138" t="s">
        <v>545</v>
      </c>
      <c r="D36" s="138" t="s">
        <v>506</v>
      </c>
    </row>
    <row r="37" spans="1:4" ht="15.75" thickBot="1">
      <c r="A37" s="139" t="s">
        <v>116</v>
      </c>
      <c r="B37" s="137" t="s">
        <v>569</v>
      </c>
      <c r="C37" s="138" t="s">
        <v>545</v>
      </c>
      <c r="D37" s="138" t="s">
        <v>506</v>
      </c>
    </row>
    <row r="38" spans="1:4" ht="15.75" thickBot="1">
      <c r="A38" s="139" t="s">
        <v>507</v>
      </c>
      <c r="B38" s="137" t="s">
        <v>508</v>
      </c>
      <c r="C38" s="138" t="s">
        <v>545</v>
      </c>
      <c r="D38" s="138" t="s">
        <v>509</v>
      </c>
    </row>
    <row r="39" spans="1:4" ht="15.75" thickBot="1">
      <c r="A39" s="139" t="s">
        <v>510</v>
      </c>
      <c r="B39" s="137" t="s">
        <v>511</v>
      </c>
      <c r="C39" s="138" t="s">
        <v>545</v>
      </c>
      <c r="D39" s="138" t="s">
        <v>512</v>
      </c>
    </row>
    <row r="40" spans="1:4" ht="26.25" thickBot="1">
      <c r="A40" s="139" t="s">
        <v>302</v>
      </c>
      <c r="B40" s="137" t="s">
        <v>570</v>
      </c>
      <c r="C40" s="138" t="s">
        <v>270</v>
      </c>
      <c r="D40" s="138" t="s">
        <v>513</v>
      </c>
    </row>
  </sheetData>
  <mergeCells count="5">
    <mergeCell ref="A1:B1"/>
    <mergeCell ref="A2:D2"/>
    <mergeCell ref="A14:D14"/>
    <mergeCell ref="A23:D23"/>
    <mergeCell ref="A33:D33"/>
  </mergeCells>
  <hyperlinks>
    <hyperlink ref="H1" location="Begin!A1" display="Start Over"/>
  </hyperlinks>
  <pageMargins left="0.7" right="0.7" top="0.75" bottom="0.75" header="0.3" footer="0.3"/>
  <pageSetup scale="9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Normal="100" workbookViewId="0">
      <selection activeCell="G1" sqref="G1"/>
    </sheetView>
  </sheetViews>
  <sheetFormatPr defaultRowHeight="15"/>
  <cols>
    <col min="1" max="1" width="7.85546875" customWidth="1"/>
    <col min="2" max="2" width="31.140625" bestFit="1" customWidth="1"/>
    <col min="3" max="3" width="2.7109375" customWidth="1"/>
    <col min="4" max="4" width="7.85546875" bestFit="1" customWidth="1"/>
    <col min="5" max="5" width="31.140625" bestFit="1" customWidth="1"/>
    <col min="7" max="7" width="8.85546875" customWidth="1"/>
  </cols>
  <sheetData>
    <row r="1" spans="1:7" ht="21" customHeight="1">
      <c r="A1" s="411" t="s">
        <v>317</v>
      </c>
      <c r="B1" s="412"/>
      <c r="C1" s="412"/>
      <c r="D1" s="412"/>
      <c r="E1" s="413"/>
      <c r="G1" s="117" t="s">
        <v>470</v>
      </c>
    </row>
    <row r="2" spans="1:7">
      <c r="A2" s="94" t="s">
        <v>318</v>
      </c>
      <c r="B2" s="94" t="s">
        <v>319</v>
      </c>
      <c r="D2" s="94" t="s">
        <v>380</v>
      </c>
      <c r="E2" s="94" t="s">
        <v>381</v>
      </c>
    </row>
    <row r="3" spans="1:7">
      <c r="A3" s="94" t="s">
        <v>320</v>
      </c>
      <c r="B3" s="94" t="s">
        <v>321</v>
      </c>
      <c r="D3" s="94" t="s">
        <v>382</v>
      </c>
      <c r="E3" s="94" t="s">
        <v>383</v>
      </c>
    </row>
    <row r="4" spans="1:7">
      <c r="A4" s="94" t="s">
        <v>322</v>
      </c>
      <c r="B4" s="94" t="s">
        <v>323</v>
      </c>
      <c r="D4" s="94" t="s">
        <v>384</v>
      </c>
      <c r="E4" s="94" t="s">
        <v>385</v>
      </c>
    </row>
    <row r="5" spans="1:7">
      <c r="A5" s="94" t="s">
        <v>324</v>
      </c>
      <c r="B5" s="94" t="s">
        <v>325</v>
      </c>
      <c r="D5" s="94" t="s">
        <v>386</v>
      </c>
      <c r="E5" s="94" t="s">
        <v>387</v>
      </c>
    </row>
    <row r="6" spans="1:7">
      <c r="A6" s="94" t="s">
        <v>326</v>
      </c>
      <c r="B6" s="94" t="s">
        <v>327</v>
      </c>
      <c r="D6" s="94" t="s">
        <v>388</v>
      </c>
      <c r="E6" s="94" t="s">
        <v>389</v>
      </c>
    </row>
    <row r="7" spans="1:7">
      <c r="A7" s="94" t="s">
        <v>328</v>
      </c>
      <c r="B7" s="94" t="s">
        <v>329</v>
      </c>
      <c r="D7" s="94" t="s">
        <v>390</v>
      </c>
      <c r="E7" s="94" t="s">
        <v>391</v>
      </c>
    </row>
    <row r="8" spans="1:7">
      <c r="A8" s="94" t="s">
        <v>330</v>
      </c>
      <c r="B8" s="94" t="s">
        <v>331</v>
      </c>
      <c r="D8" s="94" t="s">
        <v>392</v>
      </c>
      <c r="E8" s="94" t="s">
        <v>393</v>
      </c>
    </row>
    <row r="9" spans="1:7">
      <c r="A9" s="94" t="s">
        <v>332</v>
      </c>
      <c r="B9" s="94" t="s">
        <v>333</v>
      </c>
      <c r="D9" s="94" t="s">
        <v>394</v>
      </c>
      <c r="E9" s="94" t="s">
        <v>250</v>
      </c>
    </row>
    <row r="10" spans="1:7">
      <c r="A10" s="94" t="s">
        <v>334</v>
      </c>
      <c r="B10" s="94" t="s">
        <v>335</v>
      </c>
      <c r="D10" s="94" t="s">
        <v>395</v>
      </c>
      <c r="E10" s="94" t="s">
        <v>396</v>
      </c>
    </row>
    <row r="11" spans="1:7">
      <c r="A11" s="94" t="s">
        <v>336</v>
      </c>
      <c r="B11" s="94" t="s">
        <v>337</v>
      </c>
      <c r="D11" s="94" t="s">
        <v>397</v>
      </c>
      <c r="E11" s="94" t="s">
        <v>398</v>
      </c>
    </row>
    <row r="12" spans="1:7">
      <c r="A12" s="94" t="s">
        <v>338</v>
      </c>
      <c r="B12" s="94" t="s">
        <v>339</v>
      </c>
      <c r="D12" s="94" t="s">
        <v>399</v>
      </c>
      <c r="E12" s="94" t="s">
        <v>400</v>
      </c>
    </row>
    <row r="13" spans="1:7">
      <c r="A13" s="94" t="s">
        <v>340</v>
      </c>
      <c r="B13" s="94" t="s">
        <v>341</v>
      </c>
      <c r="D13" s="94" t="s">
        <v>401</v>
      </c>
      <c r="E13" s="94" t="s">
        <v>402</v>
      </c>
    </row>
    <row r="14" spans="1:7">
      <c r="A14" s="94" t="s">
        <v>342</v>
      </c>
      <c r="B14" s="94" t="s">
        <v>343</v>
      </c>
      <c r="D14" s="94" t="s">
        <v>403</v>
      </c>
      <c r="E14" s="94" t="s">
        <v>404</v>
      </c>
    </row>
    <row r="15" spans="1:7">
      <c r="A15" s="94" t="s">
        <v>344</v>
      </c>
      <c r="B15" s="94" t="s">
        <v>345</v>
      </c>
      <c r="D15" s="94" t="s">
        <v>405</v>
      </c>
      <c r="E15" s="94" t="s">
        <v>406</v>
      </c>
    </row>
    <row r="16" spans="1:7">
      <c r="A16" s="94" t="s">
        <v>346</v>
      </c>
      <c r="B16" s="94" t="s">
        <v>347</v>
      </c>
      <c r="D16" s="131" t="s">
        <v>523</v>
      </c>
      <c r="E16" s="131" t="s">
        <v>323</v>
      </c>
    </row>
    <row r="17" spans="1:5">
      <c r="A17" s="94" t="s">
        <v>348</v>
      </c>
      <c r="B17" s="94" t="s">
        <v>349</v>
      </c>
      <c r="D17" s="94" t="s">
        <v>407</v>
      </c>
      <c r="E17" s="94" t="s">
        <v>408</v>
      </c>
    </row>
    <row r="18" spans="1:5">
      <c r="A18" s="94" t="s">
        <v>350</v>
      </c>
      <c r="B18" s="94" t="s">
        <v>351</v>
      </c>
      <c r="D18" s="94" t="s">
        <v>409</v>
      </c>
      <c r="E18" s="94" t="s">
        <v>410</v>
      </c>
    </row>
    <row r="19" spans="1:5">
      <c r="A19" s="94" t="s">
        <v>352</v>
      </c>
      <c r="B19" s="94" t="s">
        <v>353</v>
      </c>
      <c r="D19" s="94" t="s">
        <v>411</v>
      </c>
      <c r="E19" s="94" t="s">
        <v>412</v>
      </c>
    </row>
    <row r="20" spans="1:5">
      <c r="A20" s="94" t="s">
        <v>354</v>
      </c>
      <c r="B20" s="94" t="s">
        <v>355</v>
      </c>
      <c r="D20" s="94" t="s">
        <v>413</v>
      </c>
      <c r="E20" s="94" t="s">
        <v>414</v>
      </c>
    </row>
    <row r="21" spans="1:5">
      <c r="A21" s="94" t="s">
        <v>356</v>
      </c>
      <c r="B21" s="94" t="s">
        <v>357</v>
      </c>
      <c r="D21" s="94" t="s">
        <v>415</v>
      </c>
      <c r="E21" s="94" t="s">
        <v>416</v>
      </c>
    </row>
    <row r="22" spans="1:5">
      <c r="A22" s="94" t="s">
        <v>358</v>
      </c>
      <c r="B22" s="94" t="s">
        <v>359</v>
      </c>
      <c r="D22" s="94" t="s">
        <v>417</v>
      </c>
      <c r="E22" s="94" t="s">
        <v>418</v>
      </c>
    </row>
    <row r="23" spans="1:5">
      <c r="A23" s="94" t="s">
        <v>360</v>
      </c>
      <c r="B23" s="94" t="s">
        <v>361</v>
      </c>
      <c r="D23" s="94" t="s">
        <v>419</v>
      </c>
      <c r="E23" s="94" t="s">
        <v>420</v>
      </c>
    </row>
    <row r="24" spans="1:5">
      <c r="A24" s="94" t="s">
        <v>362</v>
      </c>
      <c r="B24" s="94" t="s">
        <v>363</v>
      </c>
      <c r="D24" s="94" t="s">
        <v>421</v>
      </c>
      <c r="E24" s="94" t="s">
        <v>422</v>
      </c>
    </row>
    <row r="25" spans="1:5">
      <c r="A25" s="94" t="s">
        <v>364</v>
      </c>
      <c r="B25" s="94" t="s">
        <v>365</v>
      </c>
      <c r="D25" s="94" t="s">
        <v>423</v>
      </c>
      <c r="E25" s="94" t="s">
        <v>424</v>
      </c>
    </row>
    <row r="26" spans="1:5">
      <c r="A26" s="94" t="s">
        <v>366</v>
      </c>
      <c r="B26" s="94" t="s">
        <v>367</v>
      </c>
      <c r="D26" s="94" t="s">
        <v>425</v>
      </c>
      <c r="E26" s="94" t="s">
        <v>426</v>
      </c>
    </row>
    <row r="27" spans="1:5">
      <c r="A27" s="94" t="s">
        <v>368</v>
      </c>
      <c r="B27" s="94" t="s">
        <v>369</v>
      </c>
      <c r="D27" s="134" t="s">
        <v>526</v>
      </c>
      <c r="E27" s="134" t="s">
        <v>527</v>
      </c>
    </row>
    <row r="28" spans="1:5">
      <c r="A28" s="94" t="s">
        <v>370</v>
      </c>
      <c r="B28" s="94" t="s">
        <v>371</v>
      </c>
      <c r="D28" s="94" t="s">
        <v>427</v>
      </c>
      <c r="E28" s="94" t="s">
        <v>428</v>
      </c>
    </row>
    <row r="29" spans="1:5">
      <c r="A29" s="94" t="s">
        <v>372</v>
      </c>
      <c r="B29" s="94" t="s">
        <v>373</v>
      </c>
      <c r="D29" s="94" t="s">
        <v>429</v>
      </c>
      <c r="E29" s="94" t="s">
        <v>430</v>
      </c>
    </row>
    <row r="30" spans="1:5">
      <c r="A30" s="94" t="s">
        <v>374</v>
      </c>
      <c r="B30" s="94" t="s">
        <v>375</v>
      </c>
      <c r="D30" s="94" t="s">
        <v>431</v>
      </c>
      <c r="E30" s="94" t="s">
        <v>432</v>
      </c>
    </row>
    <row r="31" spans="1:5">
      <c r="A31" s="94" t="s">
        <v>376</v>
      </c>
      <c r="B31" s="94" t="s">
        <v>377</v>
      </c>
      <c r="D31" s="94" t="s">
        <v>433</v>
      </c>
      <c r="E31" s="94" t="s">
        <v>434</v>
      </c>
    </row>
    <row r="32" spans="1:5">
      <c r="A32" s="94" t="s">
        <v>378</v>
      </c>
      <c r="B32" s="94" t="s">
        <v>379</v>
      </c>
    </row>
  </sheetData>
  <mergeCells count="1">
    <mergeCell ref="A1:E1"/>
  </mergeCells>
  <hyperlinks>
    <hyperlink ref="G1" location="Begin!A1" display="Start Over"/>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zoomScaleNormal="100" workbookViewId="0">
      <selection activeCell="F1" sqref="F1"/>
    </sheetView>
  </sheetViews>
  <sheetFormatPr defaultRowHeight="15"/>
  <cols>
    <col min="1" max="1" width="12.28515625" customWidth="1"/>
    <col min="2" max="2" width="64.42578125" bestFit="1" customWidth="1"/>
    <col min="3" max="3" width="24.85546875" bestFit="1" customWidth="1"/>
  </cols>
  <sheetData>
    <row r="1" spans="1:12" ht="23.25">
      <c r="F1" s="117" t="s">
        <v>470</v>
      </c>
    </row>
    <row r="2" spans="1:12" ht="23.25">
      <c r="A2" s="414" t="s">
        <v>572</v>
      </c>
      <c r="B2" s="415"/>
      <c r="C2" s="416"/>
      <c r="L2" s="117"/>
    </row>
    <row r="3" spans="1:12">
      <c r="A3" s="140" t="s">
        <v>40</v>
      </c>
      <c r="B3" s="140" t="s">
        <v>491</v>
      </c>
      <c r="C3" s="140" t="s">
        <v>531</v>
      </c>
    </row>
    <row r="4" spans="1:12">
      <c r="A4" s="148" t="s">
        <v>536</v>
      </c>
      <c r="B4" s="141" t="s">
        <v>532</v>
      </c>
      <c r="C4" s="141" t="s">
        <v>533</v>
      </c>
    </row>
    <row r="5" spans="1:12">
      <c r="A5" s="148" t="s">
        <v>537</v>
      </c>
      <c r="B5" s="141" t="s">
        <v>698</v>
      </c>
      <c r="C5" s="141" t="s">
        <v>534</v>
      </c>
    </row>
    <row r="6" spans="1:12">
      <c r="A6" s="148" t="s">
        <v>538</v>
      </c>
      <c r="B6" s="141" t="s">
        <v>585</v>
      </c>
      <c r="C6" s="245" t="s">
        <v>699</v>
      </c>
    </row>
    <row r="7" spans="1:12">
      <c r="A7" s="149" t="s">
        <v>113</v>
      </c>
      <c r="B7" s="145" t="s">
        <v>578</v>
      </c>
      <c r="C7" s="145" t="s">
        <v>534</v>
      </c>
    </row>
    <row r="8" spans="1:12">
      <c r="A8" s="150" t="s">
        <v>581</v>
      </c>
      <c r="B8" s="141" t="s">
        <v>579</v>
      </c>
      <c r="C8" s="141" t="s">
        <v>534</v>
      </c>
    </row>
    <row r="9" spans="1:12">
      <c r="A9" s="150" t="s">
        <v>582</v>
      </c>
      <c r="B9" s="141" t="s">
        <v>580</v>
      </c>
      <c r="C9" s="141" t="s">
        <v>534</v>
      </c>
    </row>
    <row r="10" spans="1:12">
      <c r="A10" s="148" t="s">
        <v>679</v>
      </c>
      <c r="B10" s="141" t="s">
        <v>583</v>
      </c>
      <c r="C10" s="141" t="s">
        <v>535</v>
      </c>
    </row>
    <row r="13" spans="1:12" ht="18.75">
      <c r="A13" s="417" t="s">
        <v>577</v>
      </c>
      <c r="B13" s="418"/>
    </row>
    <row r="14" spans="1:12">
      <c r="A14" s="142" t="s">
        <v>43</v>
      </c>
      <c r="B14" s="143" t="s">
        <v>491</v>
      </c>
    </row>
    <row r="15" spans="1:12">
      <c r="A15" s="134" t="s">
        <v>573</v>
      </c>
      <c r="B15" s="144" t="s">
        <v>574</v>
      </c>
    </row>
    <row r="16" spans="1:12">
      <c r="A16" s="246" t="s">
        <v>700</v>
      </c>
      <c r="B16" s="247" t="s">
        <v>720</v>
      </c>
    </row>
    <row r="17" spans="1:2">
      <c r="A17" s="134" t="s">
        <v>51</v>
      </c>
      <c r="B17" s="144" t="s">
        <v>575</v>
      </c>
    </row>
    <row r="18" spans="1:2">
      <c r="A18" s="134" t="s">
        <v>117</v>
      </c>
      <c r="B18" s="144" t="s">
        <v>576</v>
      </c>
    </row>
    <row r="19" spans="1:2">
      <c r="A19" s="147" t="s">
        <v>482</v>
      </c>
      <c r="B19" s="146" t="s">
        <v>584</v>
      </c>
    </row>
  </sheetData>
  <mergeCells count="2">
    <mergeCell ref="A2:C2"/>
    <mergeCell ref="A13:B13"/>
  </mergeCells>
  <hyperlinks>
    <hyperlink ref="F1" location="Begin!A1" display="Start Over"/>
  </hyperlinks>
  <pageMargins left="0.7" right="0.7" top="0.75" bottom="0.75" header="0.3" footer="0.3"/>
  <pageSetup scale="90" orientation="portrait" r:id="rId1"/>
  <ignoredErrors>
    <ignoredError sqref="A4:A7 C6" numberStoredAsText="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8"/>
  <sheetViews>
    <sheetView zoomScaleNormal="100" workbookViewId="0">
      <pane ySplit="2" topLeftCell="A3" activePane="bottomLeft" state="frozen"/>
      <selection pane="bottomLeft" activeCell="K1" sqref="K1"/>
    </sheetView>
  </sheetViews>
  <sheetFormatPr defaultRowHeight="15"/>
  <cols>
    <col min="1" max="1" width="16.42578125" customWidth="1"/>
    <col min="2" max="2" width="12.5703125" bestFit="1" customWidth="1"/>
    <col min="3" max="3" width="12.7109375" bestFit="1" customWidth="1"/>
    <col min="4" max="4" width="15.5703125" customWidth="1"/>
    <col min="5" max="5" width="17.7109375" customWidth="1"/>
    <col min="6" max="6" width="2.7109375" customWidth="1"/>
    <col min="7" max="7" width="13.85546875" customWidth="1"/>
    <col min="8" max="8" width="12.7109375" bestFit="1" customWidth="1"/>
    <col min="9" max="9" width="37.7109375" customWidth="1"/>
  </cols>
  <sheetData>
    <row r="1" spans="1:11" ht="24" thickBot="1">
      <c r="A1" s="422" t="s">
        <v>959</v>
      </c>
      <c r="B1" s="423"/>
      <c r="C1" s="423"/>
      <c r="D1" s="423"/>
      <c r="E1" s="424"/>
      <c r="G1" s="425" t="s">
        <v>794</v>
      </c>
      <c r="H1" s="426"/>
      <c r="I1" s="427"/>
      <c r="K1" s="117" t="s">
        <v>470</v>
      </c>
    </row>
    <row r="2" spans="1:11" ht="26.25" thickBot="1">
      <c r="A2" s="296" t="s">
        <v>42</v>
      </c>
      <c r="B2" s="297" t="s">
        <v>795</v>
      </c>
      <c r="C2" s="298" t="s">
        <v>796</v>
      </c>
      <c r="D2" s="300" t="s">
        <v>797</v>
      </c>
      <c r="E2" s="299" t="s">
        <v>798</v>
      </c>
    </row>
    <row r="3" spans="1:11" ht="15.75" thickBot="1">
      <c r="A3" s="268" t="s">
        <v>800</v>
      </c>
      <c r="B3" s="269" t="s">
        <v>801</v>
      </c>
      <c r="C3" s="262" t="s">
        <v>802</v>
      </c>
      <c r="D3" s="263"/>
      <c r="E3" s="270"/>
    </row>
    <row r="4" spans="1:11" ht="15.75" thickBot="1">
      <c r="A4" s="268" t="s">
        <v>803</v>
      </c>
      <c r="B4" s="269" t="s">
        <v>804</v>
      </c>
      <c r="C4" s="262" t="s">
        <v>802</v>
      </c>
      <c r="D4" s="263"/>
      <c r="E4" s="270"/>
      <c r="G4" s="265" t="s">
        <v>799</v>
      </c>
      <c r="H4" s="266"/>
      <c r="I4" s="267"/>
    </row>
    <row r="5" spans="1:11" ht="15.75" thickBot="1">
      <c r="A5" s="268" t="s">
        <v>806</v>
      </c>
      <c r="B5" s="275" t="s">
        <v>807</v>
      </c>
      <c r="C5" s="262" t="s">
        <v>802</v>
      </c>
      <c r="D5" s="263"/>
      <c r="E5" s="270"/>
      <c r="G5" s="271"/>
      <c r="H5" s="272"/>
      <c r="I5" s="273"/>
    </row>
    <row r="6" spans="1:11" ht="15.75" thickBot="1">
      <c r="A6" s="268" t="s">
        <v>808</v>
      </c>
      <c r="B6" s="269" t="s">
        <v>809</v>
      </c>
      <c r="C6" s="262" t="s">
        <v>802</v>
      </c>
      <c r="D6" s="263"/>
      <c r="E6" s="270"/>
      <c r="G6" s="274" t="s">
        <v>805</v>
      </c>
      <c r="H6" s="272"/>
      <c r="I6" s="273"/>
    </row>
    <row r="7" spans="1:11" ht="15.75" thickBot="1">
      <c r="A7" s="268" t="s">
        <v>811</v>
      </c>
      <c r="B7" s="275" t="s">
        <v>812</v>
      </c>
      <c r="C7" s="262" t="s">
        <v>802</v>
      </c>
      <c r="D7" s="263"/>
      <c r="E7" s="270"/>
      <c r="G7" s="274"/>
      <c r="H7" s="272"/>
      <c r="I7" s="273"/>
    </row>
    <row r="8" spans="1:11" ht="15.75" thickBot="1">
      <c r="A8" s="268" t="s">
        <v>814</v>
      </c>
      <c r="B8" s="275" t="s">
        <v>815</v>
      </c>
      <c r="C8" s="262" t="s">
        <v>802</v>
      </c>
      <c r="D8" s="263"/>
      <c r="E8" s="270"/>
      <c r="G8" s="274" t="s">
        <v>810</v>
      </c>
      <c r="H8" s="272"/>
      <c r="I8" s="273"/>
    </row>
    <row r="9" spans="1:11" ht="15.75" thickBot="1">
      <c r="A9" s="268" t="s">
        <v>816</v>
      </c>
      <c r="B9" s="275" t="s">
        <v>817</v>
      </c>
      <c r="C9" s="262" t="s">
        <v>802</v>
      </c>
      <c r="D9" s="263"/>
      <c r="E9" s="270"/>
      <c r="G9" s="274" t="s">
        <v>813</v>
      </c>
      <c r="H9" s="272"/>
      <c r="I9" s="273"/>
    </row>
    <row r="10" spans="1:11" ht="15.75" thickBot="1">
      <c r="A10" s="268" t="s">
        <v>819</v>
      </c>
      <c r="B10" s="269" t="s">
        <v>820</v>
      </c>
      <c r="C10" s="262" t="s">
        <v>802</v>
      </c>
      <c r="D10" s="263"/>
      <c r="E10" s="270"/>
      <c r="G10" s="274"/>
      <c r="H10" s="272"/>
      <c r="I10" s="273"/>
    </row>
    <row r="11" spans="1:11" ht="26.25" thickBot="1">
      <c r="A11" s="268" t="s">
        <v>822</v>
      </c>
      <c r="B11" s="275" t="s">
        <v>823</v>
      </c>
      <c r="C11" s="262" t="s">
        <v>802</v>
      </c>
      <c r="D11" s="279" t="s">
        <v>824</v>
      </c>
      <c r="E11" s="280" t="s">
        <v>825</v>
      </c>
      <c r="G11" s="274" t="s">
        <v>818</v>
      </c>
      <c r="H11" s="272"/>
      <c r="I11" s="273"/>
    </row>
    <row r="12" spans="1:11" ht="15.75" thickBot="1">
      <c r="A12" s="268" t="s">
        <v>826</v>
      </c>
      <c r="B12" s="275" t="s">
        <v>827</v>
      </c>
      <c r="C12" s="262" t="s">
        <v>802</v>
      </c>
      <c r="D12" s="279" t="s">
        <v>828</v>
      </c>
      <c r="E12" s="280" t="s">
        <v>829</v>
      </c>
      <c r="G12" s="276" t="s">
        <v>821</v>
      </c>
      <c r="H12" s="277"/>
      <c r="I12" s="278"/>
    </row>
    <row r="13" spans="1:11" ht="15.75" thickBot="1">
      <c r="A13" s="268" t="s">
        <v>830</v>
      </c>
      <c r="B13" s="269" t="s">
        <v>831</v>
      </c>
      <c r="C13" s="262" t="s">
        <v>802</v>
      </c>
      <c r="D13" s="279"/>
      <c r="E13" s="280"/>
      <c r="G13" s="272"/>
      <c r="H13" s="272"/>
      <c r="I13" s="272"/>
    </row>
    <row r="14" spans="1:11" ht="15.75" thickBot="1">
      <c r="A14" s="268" t="s">
        <v>832</v>
      </c>
      <c r="B14" s="275" t="s">
        <v>833</v>
      </c>
      <c r="C14" s="262" t="s">
        <v>802</v>
      </c>
      <c r="D14" s="279"/>
      <c r="E14" s="281"/>
      <c r="G14" s="272"/>
      <c r="H14" s="272"/>
      <c r="I14" s="272"/>
    </row>
    <row r="15" spans="1:11" ht="15.75" thickBot="1">
      <c r="A15" s="268" t="s">
        <v>834</v>
      </c>
      <c r="B15" s="275" t="s">
        <v>835</v>
      </c>
      <c r="C15" s="262" t="s">
        <v>836</v>
      </c>
      <c r="D15" s="279"/>
      <c r="E15" s="280"/>
      <c r="G15" s="428" t="s">
        <v>837</v>
      </c>
      <c r="H15" s="429"/>
      <c r="I15" s="430"/>
    </row>
    <row r="16" spans="1:11" ht="26.25" thickBot="1">
      <c r="A16" s="268" t="s">
        <v>838</v>
      </c>
      <c r="B16" s="275" t="s">
        <v>839</v>
      </c>
      <c r="C16" s="262" t="s">
        <v>836</v>
      </c>
      <c r="D16" s="279" t="s">
        <v>840</v>
      </c>
      <c r="E16" s="280"/>
      <c r="G16" s="261" t="s">
        <v>42</v>
      </c>
      <c r="H16" s="264" t="s">
        <v>796</v>
      </c>
      <c r="I16" s="264" t="s">
        <v>841</v>
      </c>
    </row>
    <row r="17" spans="1:9" ht="15.75" thickBot="1">
      <c r="A17" s="268" t="s">
        <v>842</v>
      </c>
      <c r="B17" s="269" t="s">
        <v>843</v>
      </c>
      <c r="C17" s="262" t="s">
        <v>802</v>
      </c>
      <c r="D17" s="279"/>
      <c r="E17" s="280"/>
      <c r="G17" s="268" t="s">
        <v>844</v>
      </c>
      <c r="H17" s="264" t="s">
        <v>802</v>
      </c>
      <c r="I17" s="270"/>
    </row>
    <row r="18" spans="1:9" ht="15.75" thickBot="1">
      <c r="A18" s="268" t="s">
        <v>845</v>
      </c>
      <c r="B18" s="269" t="s">
        <v>846</v>
      </c>
      <c r="C18" s="262" t="s">
        <v>802</v>
      </c>
      <c r="D18" s="279"/>
      <c r="E18" s="280"/>
      <c r="G18" s="268" t="s">
        <v>847</v>
      </c>
      <c r="H18" s="264" t="s">
        <v>836</v>
      </c>
      <c r="I18" s="280" t="s">
        <v>848</v>
      </c>
    </row>
    <row r="19" spans="1:9" ht="26.25" thickBot="1">
      <c r="A19" s="268" t="s">
        <v>849</v>
      </c>
      <c r="B19" s="269" t="s">
        <v>850</v>
      </c>
      <c r="C19" s="262" t="s">
        <v>836</v>
      </c>
      <c r="D19" s="279"/>
      <c r="E19" s="280"/>
      <c r="G19" s="268" t="s">
        <v>851</v>
      </c>
      <c r="H19" s="264" t="s">
        <v>802</v>
      </c>
      <c r="I19" s="281"/>
    </row>
    <row r="20" spans="1:9" ht="15.75" thickBot="1">
      <c r="A20" s="268" t="s">
        <v>851</v>
      </c>
      <c r="B20" s="269" t="s">
        <v>852</v>
      </c>
      <c r="C20" s="262" t="s">
        <v>802</v>
      </c>
      <c r="D20" s="279"/>
      <c r="E20" s="280"/>
      <c r="G20" s="268" t="s">
        <v>853</v>
      </c>
      <c r="H20" s="264" t="s">
        <v>802</v>
      </c>
      <c r="I20" s="280"/>
    </row>
    <row r="21" spans="1:9" ht="15.75" thickBot="1">
      <c r="A21" s="268" t="s">
        <v>854</v>
      </c>
      <c r="B21" s="275" t="s">
        <v>855</v>
      </c>
      <c r="C21" s="262" t="s">
        <v>836</v>
      </c>
      <c r="D21" s="279"/>
      <c r="E21" s="280"/>
      <c r="G21" s="268" t="s">
        <v>856</v>
      </c>
      <c r="H21" s="264" t="s">
        <v>802</v>
      </c>
      <c r="I21" s="280"/>
    </row>
    <row r="22" spans="1:9" ht="15.75" thickBot="1">
      <c r="A22" s="268" t="s">
        <v>857</v>
      </c>
      <c r="B22" s="269" t="s">
        <v>858</v>
      </c>
      <c r="C22" s="262" t="s">
        <v>802</v>
      </c>
      <c r="D22" s="279"/>
      <c r="E22" s="280"/>
      <c r="G22" s="268" t="s">
        <v>859</v>
      </c>
      <c r="H22" s="264" t="s">
        <v>802</v>
      </c>
      <c r="I22" s="280"/>
    </row>
    <row r="23" spans="1:9" ht="15.75" thickBot="1">
      <c r="A23" s="268" t="s">
        <v>860</v>
      </c>
      <c r="B23" s="275" t="s">
        <v>861</v>
      </c>
      <c r="C23" s="262" t="s">
        <v>802</v>
      </c>
      <c r="D23" s="279"/>
      <c r="E23" s="280"/>
      <c r="G23" s="268" t="s">
        <v>862</v>
      </c>
      <c r="H23" s="264" t="s">
        <v>836</v>
      </c>
      <c r="I23" s="280" t="s">
        <v>863</v>
      </c>
    </row>
    <row r="24" spans="1:9" ht="15.75" thickBot="1">
      <c r="A24" s="268" t="s">
        <v>864</v>
      </c>
      <c r="B24" s="275" t="s">
        <v>865</v>
      </c>
      <c r="C24" s="262" t="s">
        <v>802</v>
      </c>
      <c r="D24" s="279"/>
      <c r="E24" s="280"/>
      <c r="G24" s="268" t="s">
        <v>866</v>
      </c>
      <c r="H24" s="264" t="s">
        <v>802</v>
      </c>
      <c r="I24" s="280"/>
    </row>
    <row r="25" spans="1:9" ht="15.75" thickBot="1">
      <c r="A25" s="268" t="s">
        <v>867</v>
      </c>
      <c r="B25" s="275" t="s">
        <v>868</v>
      </c>
      <c r="C25" s="262" t="s">
        <v>802</v>
      </c>
      <c r="D25" s="279"/>
      <c r="E25" s="280"/>
      <c r="G25" s="268" t="s">
        <v>869</v>
      </c>
      <c r="H25" s="264" t="s">
        <v>802</v>
      </c>
      <c r="I25" s="280"/>
    </row>
    <row r="26" spans="1:9" ht="15.75" thickBot="1">
      <c r="A26" s="268" t="s">
        <v>870</v>
      </c>
      <c r="B26" s="269" t="s">
        <v>871</v>
      </c>
      <c r="C26" s="262" t="s">
        <v>802</v>
      </c>
      <c r="D26" s="279"/>
      <c r="E26" s="280"/>
      <c r="G26" s="268" t="s">
        <v>872</v>
      </c>
      <c r="H26" s="264" t="s">
        <v>802</v>
      </c>
      <c r="I26" s="280"/>
    </row>
    <row r="27" spans="1:9" ht="15.75" thickBot="1">
      <c r="A27" s="268" t="s">
        <v>873</v>
      </c>
      <c r="B27" s="269" t="s">
        <v>874</v>
      </c>
      <c r="C27" s="262" t="s">
        <v>802</v>
      </c>
      <c r="D27" s="279"/>
      <c r="E27" s="280"/>
      <c r="G27" s="268" t="s">
        <v>875</v>
      </c>
      <c r="H27" s="264" t="s">
        <v>802</v>
      </c>
      <c r="I27" s="280"/>
    </row>
    <row r="28" spans="1:9" ht="15.75" thickBot="1">
      <c r="A28" s="268" t="s">
        <v>876</v>
      </c>
      <c r="B28" s="275" t="s">
        <v>877</v>
      </c>
      <c r="C28" s="262" t="s">
        <v>802</v>
      </c>
      <c r="D28" s="279"/>
      <c r="E28" s="280"/>
      <c r="G28" s="268" t="s">
        <v>878</v>
      </c>
      <c r="H28" s="264" t="s">
        <v>802</v>
      </c>
      <c r="I28" s="280"/>
    </row>
    <row r="29" spans="1:9" ht="15.75" thickBot="1">
      <c r="A29" s="268" t="s">
        <v>879</v>
      </c>
      <c r="B29" s="269" t="s">
        <v>880</v>
      </c>
      <c r="C29" s="262" t="s">
        <v>802</v>
      </c>
      <c r="D29" s="279"/>
      <c r="E29" s="280"/>
      <c r="G29" s="268" t="s">
        <v>881</v>
      </c>
      <c r="H29" s="264" t="s">
        <v>802</v>
      </c>
      <c r="I29" s="280"/>
    </row>
    <row r="30" spans="1:9" ht="15.75" thickBot="1">
      <c r="A30" s="268" t="s">
        <v>882</v>
      </c>
      <c r="B30" s="275" t="s">
        <v>883</v>
      </c>
      <c r="C30" s="262" t="s">
        <v>802</v>
      </c>
      <c r="D30" s="279"/>
      <c r="E30" s="280"/>
      <c r="G30" s="268" t="s">
        <v>884</v>
      </c>
      <c r="H30" s="264" t="s">
        <v>802</v>
      </c>
      <c r="I30" s="280"/>
    </row>
    <row r="31" spans="1:9" ht="15.75" thickBot="1">
      <c r="A31" s="268" t="s">
        <v>885</v>
      </c>
      <c r="B31" s="269" t="s">
        <v>886</v>
      </c>
      <c r="C31" s="262" t="s">
        <v>802</v>
      </c>
      <c r="D31" s="279"/>
      <c r="E31" s="280"/>
      <c r="G31" s="268" t="s">
        <v>887</v>
      </c>
      <c r="H31" s="264" t="s">
        <v>802</v>
      </c>
      <c r="I31" s="280"/>
    </row>
    <row r="32" spans="1:9" ht="26.25" thickBot="1">
      <c r="A32" s="268" t="s">
        <v>888</v>
      </c>
      <c r="B32" s="269" t="s">
        <v>889</v>
      </c>
      <c r="C32" s="262" t="s">
        <v>802</v>
      </c>
      <c r="D32" s="279"/>
      <c r="E32" s="280"/>
      <c r="G32" s="268" t="s">
        <v>890</v>
      </c>
      <c r="H32" s="264" t="s">
        <v>802</v>
      </c>
      <c r="I32" s="280"/>
    </row>
    <row r="33" spans="1:9" ht="15.75" thickBot="1">
      <c r="A33" s="268" t="s">
        <v>891</v>
      </c>
      <c r="B33" s="275" t="s">
        <v>892</v>
      </c>
      <c r="C33" s="262" t="s">
        <v>802</v>
      </c>
      <c r="D33" s="279"/>
      <c r="E33" s="280"/>
      <c r="G33" s="431" t="s">
        <v>893</v>
      </c>
      <c r="H33" s="432"/>
      <c r="I33" s="433"/>
    </row>
    <row r="34" spans="1:9" ht="15.75" thickBot="1">
      <c r="A34" s="268" t="s">
        <v>894</v>
      </c>
      <c r="B34" s="269" t="s">
        <v>895</v>
      </c>
      <c r="C34" s="262" t="s">
        <v>802</v>
      </c>
      <c r="D34" s="279"/>
      <c r="E34" s="280"/>
    </row>
    <row r="35" spans="1:9" ht="15.75" thickBot="1">
      <c r="A35" s="268" t="s">
        <v>896</v>
      </c>
      <c r="B35" s="275" t="s">
        <v>897</v>
      </c>
      <c r="C35" s="262" t="s">
        <v>802</v>
      </c>
      <c r="D35" s="279"/>
      <c r="E35" s="281"/>
      <c r="G35" s="282"/>
      <c r="H35" s="282"/>
      <c r="I35" s="282"/>
    </row>
    <row r="36" spans="1:9" ht="15.75" thickBot="1">
      <c r="A36" s="268" t="s">
        <v>898</v>
      </c>
      <c r="B36" s="275" t="s">
        <v>899</v>
      </c>
      <c r="C36" s="262" t="s">
        <v>802</v>
      </c>
      <c r="D36" s="279"/>
      <c r="E36" s="281"/>
      <c r="G36" s="282"/>
      <c r="H36" s="282"/>
      <c r="I36" s="282"/>
    </row>
    <row r="37" spans="1:9" ht="15.75" thickBot="1">
      <c r="A37" s="268" t="s">
        <v>900</v>
      </c>
      <c r="B37" s="275" t="s">
        <v>901</v>
      </c>
      <c r="C37" s="262" t="s">
        <v>802</v>
      </c>
      <c r="D37" s="279"/>
      <c r="E37" s="280"/>
    </row>
    <row r="38" spans="1:9" ht="18.75" thickBot="1">
      <c r="A38" s="268" t="s">
        <v>902</v>
      </c>
      <c r="B38" s="275" t="s">
        <v>903</v>
      </c>
      <c r="C38" s="262" t="s">
        <v>836</v>
      </c>
      <c r="D38" s="279"/>
      <c r="E38" s="280"/>
      <c r="G38" s="434" t="s">
        <v>904</v>
      </c>
      <c r="H38" s="435"/>
      <c r="I38" s="436"/>
    </row>
    <row r="39" spans="1:9" ht="15.75" thickBot="1">
      <c r="A39" s="268" t="s">
        <v>905</v>
      </c>
      <c r="B39" s="269" t="s">
        <v>906</v>
      </c>
      <c r="C39" s="262" t="s">
        <v>802</v>
      </c>
      <c r="D39" s="279"/>
      <c r="E39" s="280"/>
      <c r="G39" s="283" t="s">
        <v>907</v>
      </c>
      <c r="H39" s="284"/>
      <c r="I39" s="285"/>
    </row>
    <row r="40" spans="1:9" ht="15.75" thickBot="1">
      <c r="A40" s="268" t="s">
        <v>908</v>
      </c>
      <c r="B40" s="269" t="s">
        <v>909</v>
      </c>
      <c r="C40" s="262" t="s">
        <v>802</v>
      </c>
      <c r="D40" s="279"/>
      <c r="E40" s="280"/>
      <c r="G40" s="286" t="s">
        <v>910</v>
      </c>
      <c r="H40" s="14"/>
      <c r="I40" s="287"/>
    </row>
    <row r="41" spans="1:9" ht="15.75" thickBot="1">
      <c r="A41" s="268" t="s">
        <v>911</v>
      </c>
      <c r="B41" s="269" t="s">
        <v>912</v>
      </c>
      <c r="C41" s="262" t="s">
        <v>802</v>
      </c>
      <c r="D41" s="279"/>
      <c r="E41" s="280"/>
      <c r="G41" s="274"/>
      <c r="H41" s="14"/>
      <c r="I41" s="287"/>
    </row>
    <row r="42" spans="1:9" ht="15.75" thickBot="1">
      <c r="A42" s="268" t="s">
        <v>913</v>
      </c>
      <c r="B42" s="269" t="s">
        <v>914</v>
      </c>
      <c r="C42" s="262" t="s">
        <v>802</v>
      </c>
      <c r="D42" s="279"/>
      <c r="E42" s="280"/>
      <c r="G42" s="288" t="s">
        <v>915</v>
      </c>
      <c r="H42" s="14"/>
      <c r="I42" s="287"/>
    </row>
    <row r="43" spans="1:9" ht="15.75" thickBot="1">
      <c r="A43" s="268" t="s">
        <v>916</v>
      </c>
      <c r="B43" s="275" t="s">
        <v>917</v>
      </c>
      <c r="C43" s="262" t="s">
        <v>802</v>
      </c>
      <c r="D43" s="279"/>
      <c r="E43" s="280"/>
      <c r="G43" s="286" t="s">
        <v>918</v>
      </c>
      <c r="H43" s="14"/>
      <c r="I43" s="287"/>
    </row>
    <row r="44" spans="1:9" ht="15.75" thickBot="1">
      <c r="A44" s="268" t="s">
        <v>919</v>
      </c>
      <c r="B44" s="269" t="s">
        <v>920</v>
      </c>
      <c r="C44" s="262" t="s">
        <v>802</v>
      </c>
      <c r="D44" s="279"/>
      <c r="E44" s="280"/>
      <c r="G44" s="274"/>
      <c r="H44" s="14"/>
      <c r="I44" s="287"/>
    </row>
    <row r="45" spans="1:9" ht="15.75" thickBot="1">
      <c r="A45" s="268" t="s">
        <v>921</v>
      </c>
      <c r="B45" s="275" t="s">
        <v>922</v>
      </c>
      <c r="C45" s="262" t="s">
        <v>802</v>
      </c>
      <c r="D45" s="279"/>
      <c r="E45" s="281"/>
      <c r="G45" s="289" t="s">
        <v>923</v>
      </c>
      <c r="H45" s="14"/>
      <c r="I45" s="287"/>
    </row>
    <row r="46" spans="1:9" ht="26.25" thickBot="1">
      <c r="A46" s="268" t="s">
        <v>924</v>
      </c>
      <c r="B46" s="275" t="s">
        <v>925</v>
      </c>
      <c r="C46" s="262" t="s">
        <v>836</v>
      </c>
      <c r="D46" s="279" t="s">
        <v>926</v>
      </c>
      <c r="E46" s="280"/>
      <c r="G46" s="286" t="s">
        <v>927</v>
      </c>
      <c r="H46" s="14"/>
      <c r="I46" s="287"/>
    </row>
    <row r="47" spans="1:9" ht="15.75" thickBot="1">
      <c r="A47" s="268" t="s">
        <v>928</v>
      </c>
      <c r="B47" s="275" t="s">
        <v>929</v>
      </c>
      <c r="C47" s="262" t="s">
        <v>802</v>
      </c>
      <c r="D47" s="279"/>
      <c r="E47" s="280"/>
      <c r="G47" s="274"/>
      <c r="H47" s="14"/>
      <c r="I47" s="287"/>
    </row>
    <row r="48" spans="1:9" ht="15.75" thickBot="1">
      <c r="A48" s="268" t="s">
        <v>930</v>
      </c>
      <c r="B48" s="275" t="s">
        <v>931</v>
      </c>
      <c r="C48" s="262" t="s">
        <v>836</v>
      </c>
      <c r="D48" s="279" t="s">
        <v>932</v>
      </c>
      <c r="E48" s="280"/>
      <c r="G48" s="289" t="s">
        <v>933</v>
      </c>
      <c r="H48" s="14"/>
      <c r="I48" s="290"/>
    </row>
    <row r="49" spans="1:9" ht="15.75" thickBot="1">
      <c r="A49" s="268" t="s">
        <v>934</v>
      </c>
      <c r="B49" s="275" t="s">
        <v>935</v>
      </c>
      <c r="C49" s="262" t="s">
        <v>836</v>
      </c>
      <c r="D49" s="279" t="s">
        <v>936</v>
      </c>
      <c r="E49" s="280"/>
      <c r="G49" s="301" t="s">
        <v>937</v>
      </c>
      <c r="H49" s="14"/>
      <c r="I49" s="290"/>
    </row>
    <row r="50" spans="1:9" ht="15.75" thickBot="1">
      <c r="A50" s="268" t="s">
        <v>938</v>
      </c>
      <c r="B50" s="269" t="s">
        <v>939</v>
      </c>
      <c r="C50" s="262" t="s">
        <v>802</v>
      </c>
      <c r="D50" s="279"/>
      <c r="E50" s="280"/>
      <c r="G50" s="286" t="s">
        <v>940</v>
      </c>
      <c r="H50" s="14"/>
      <c r="I50" s="290"/>
    </row>
    <row r="51" spans="1:9" ht="15.75" thickBot="1">
      <c r="A51" s="268" t="s">
        <v>941</v>
      </c>
      <c r="B51" s="275" t="s">
        <v>942</v>
      </c>
      <c r="C51" s="262" t="s">
        <v>836</v>
      </c>
      <c r="D51" s="279" t="s">
        <v>943</v>
      </c>
      <c r="E51" s="280"/>
      <c r="G51" s="274"/>
      <c r="H51" s="14"/>
      <c r="I51" s="290"/>
    </row>
    <row r="52" spans="1:9" ht="21.75" thickBot="1">
      <c r="A52" s="268" t="s">
        <v>944</v>
      </c>
      <c r="B52" s="269" t="s">
        <v>945</v>
      </c>
      <c r="C52" s="262" t="s">
        <v>802</v>
      </c>
      <c r="D52" s="279"/>
      <c r="E52" s="280"/>
      <c r="G52" s="291" t="s">
        <v>960</v>
      </c>
      <c r="H52" s="14"/>
      <c r="I52" s="290"/>
    </row>
    <row r="53" spans="1:9" ht="15.75" thickBot="1">
      <c r="A53" s="268" t="s">
        <v>946</v>
      </c>
      <c r="B53" s="275" t="s">
        <v>947</v>
      </c>
      <c r="C53" s="262" t="s">
        <v>802</v>
      </c>
      <c r="D53" s="279"/>
      <c r="E53" s="280"/>
      <c r="G53" s="286" t="s">
        <v>948</v>
      </c>
      <c r="H53" s="14"/>
      <c r="I53" s="290"/>
    </row>
    <row r="54" spans="1:9" ht="15.75" thickBot="1">
      <c r="A54" s="268" t="s">
        <v>949</v>
      </c>
      <c r="B54" s="269" t="s">
        <v>950</v>
      </c>
      <c r="C54" s="262" t="s">
        <v>802</v>
      </c>
      <c r="D54" s="279"/>
      <c r="E54" s="280"/>
      <c r="G54" s="292" t="s">
        <v>951</v>
      </c>
      <c r="H54" s="293"/>
      <c r="I54" s="294"/>
    </row>
    <row r="55" spans="1:9" ht="15.75" thickBot="1">
      <c r="A55" s="268" t="s">
        <v>952</v>
      </c>
      <c r="B55" s="275" t="s">
        <v>953</v>
      </c>
      <c r="C55" s="262" t="s">
        <v>954</v>
      </c>
      <c r="D55" s="279"/>
      <c r="E55" s="280"/>
    </row>
    <row r="56" spans="1:9" ht="15.75" thickBot="1">
      <c r="A56" s="268" t="s">
        <v>955</v>
      </c>
      <c r="B56" s="275" t="s">
        <v>956</v>
      </c>
      <c r="C56" s="262" t="s">
        <v>954</v>
      </c>
      <c r="D56" s="279"/>
      <c r="E56" s="280"/>
    </row>
    <row r="57" spans="1:9" ht="15.75" thickBot="1">
      <c r="A57" s="268" t="s">
        <v>957</v>
      </c>
      <c r="B57" s="269" t="s">
        <v>958</v>
      </c>
      <c r="C57" s="262" t="s">
        <v>802</v>
      </c>
      <c r="D57" s="279"/>
      <c r="E57" s="280"/>
    </row>
    <row r="58" spans="1:9" ht="15.75" thickBot="1">
      <c r="A58" s="419" t="s">
        <v>893</v>
      </c>
      <c r="B58" s="420"/>
      <c r="C58" s="420"/>
      <c r="D58" s="420"/>
      <c r="E58" s="421"/>
      <c r="F58" s="295"/>
    </row>
  </sheetData>
  <mergeCells count="6">
    <mergeCell ref="A58:E58"/>
    <mergeCell ref="A1:E1"/>
    <mergeCell ref="G1:I1"/>
    <mergeCell ref="G15:I15"/>
    <mergeCell ref="G33:I33"/>
    <mergeCell ref="G38:I38"/>
  </mergeCells>
  <hyperlinks>
    <hyperlink ref="K1" location="Begin!A1" display="Start Over"/>
  </hyperlinks>
  <pageMargins left="0.7" right="0.7" top="0.75" bottom="0.75" header="0.3" footer="0.3"/>
  <pageSetup scale="8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1"/>
  <sheetViews>
    <sheetView workbookViewId="0">
      <selection activeCell="K1" sqref="K1"/>
    </sheetView>
  </sheetViews>
  <sheetFormatPr defaultRowHeight="15"/>
  <sheetData>
    <row r="1" spans="11:11" ht="23.25">
      <c r="K1" s="117" t="s">
        <v>470</v>
      </c>
    </row>
  </sheetData>
  <hyperlinks>
    <hyperlink ref="K1" location="Begin!A1" display="Start Over"/>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selection activeCell="J4" sqref="J4"/>
    </sheetView>
  </sheetViews>
  <sheetFormatPr defaultRowHeight="15"/>
  <cols>
    <col min="2" max="2" width="11.28515625" bestFit="1" customWidth="1"/>
    <col min="3" max="3" width="2" bestFit="1" customWidth="1"/>
    <col min="4" max="6" width="11.28515625" bestFit="1" customWidth="1"/>
    <col min="7" max="7" width="13.140625" customWidth="1"/>
    <col min="8" max="8" width="14.28515625" customWidth="1"/>
  </cols>
  <sheetData>
    <row r="1" spans="1:10" ht="24" thickBot="1">
      <c r="A1" s="437" t="s">
        <v>961</v>
      </c>
      <c r="B1" s="438"/>
      <c r="C1" s="438"/>
      <c r="D1" s="438"/>
      <c r="E1" s="438"/>
      <c r="F1" s="438"/>
      <c r="G1" s="438"/>
      <c r="H1" s="439"/>
      <c r="J1" s="117" t="s">
        <v>470</v>
      </c>
    </row>
    <row r="2" spans="1:10" ht="15.75" thickBot="1">
      <c r="A2" s="165"/>
      <c r="B2" s="166"/>
      <c r="C2" s="165"/>
      <c r="D2" s="165"/>
      <c r="E2" s="165"/>
      <c r="F2" s="165"/>
      <c r="G2" s="165"/>
      <c r="H2" s="165"/>
    </row>
    <row r="3" spans="1:10" ht="66.75" thickBot="1">
      <c r="A3" s="167" t="s">
        <v>680</v>
      </c>
      <c r="B3" s="440" t="s">
        <v>458</v>
      </c>
      <c r="C3" s="441"/>
      <c r="D3" s="442"/>
      <c r="E3" s="167" t="s">
        <v>681</v>
      </c>
      <c r="F3" s="167" t="s">
        <v>682</v>
      </c>
      <c r="G3" s="167" t="s">
        <v>683</v>
      </c>
      <c r="H3" s="167" t="s">
        <v>684</v>
      </c>
    </row>
    <row r="4" spans="1:10" ht="18.75">
      <c r="A4" s="305">
        <v>15</v>
      </c>
      <c r="B4" s="199">
        <v>41812</v>
      </c>
      <c r="C4" s="200" t="s">
        <v>459</v>
      </c>
      <c r="D4" s="306">
        <f>B4+13</f>
        <v>41825</v>
      </c>
      <c r="E4" s="200">
        <f>D4+13</f>
        <v>41838</v>
      </c>
      <c r="F4" s="200">
        <f>D4-4</f>
        <v>41821</v>
      </c>
      <c r="G4" s="200">
        <f>B4</f>
        <v>41812</v>
      </c>
      <c r="H4" s="203">
        <f>D4+3</f>
        <v>41828</v>
      </c>
      <c r="J4" s="244" t="s">
        <v>697</v>
      </c>
    </row>
    <row r="5" spans="1:10" ht="15.75">
      <c r="A5" s="314">
        <v>16</v>
      </c>
      <c r="B5" s="175">
        <f>D4+1</f>
        <v>41826</v>
      </c>
      <c r="C5" s="176" t="s">
        <v>459</v>
      </c>
      <c r="D5" s="315">
        <f t="shared" ref="D5:D29" si="0">B5+13</f>
        <v>41839</v>
      </c>
      <c r="E5" s="176">
        <f t="shared" ref="E5:E29" si="1">D5+13</f>
        <v>41852</v>
      </c>
      <c r="F5" s="176">
        <f t="shared" ref="F5:F29" si="2">D5-4</f>
        <v>41835</v>
      </c>
      <c r="G5" s="176">
        <f t="shared" ref="G5:G29" si="3">B5</f>
        <v>41826</v>
      </c>
      <c r="H5" s="179">
        <f t="shared" ref="H5:H29" si="4">D5+3</f>
        <v>41842</v>
      </c>
    </row>
    <row r="6" spans="1:10" ht="15.75">
      <c r="A6" s="307">
        <v>17</v>
      </c>
      <c r="B6" s="181">
        <f t="shared" ref="B6:B29" si="5">D5+1</f>
        <v>41840</v>
      </c>
      <c r="C6" s="182" t="s">
        <v>459</v>
      </c>
      <c r="D6" s="308">
        <f t="shared" si="0"/>
        <v>41853</v>
      </c>
      <c r="E6" s="182">
        <f t="shared" si="1"/>
        <v>41866</v>
      </c>
      <c r="F6" s="182">
        <f t="shared" si="2"/>
        <v>41849</v>
      </c>
      <c r="G6" s="182">
        <f t="shared" si="3"/>
        <v>41840</v>
      </c>
      <c r="H6" s="185">
        <f t="shared" si="4"/>
        <v>41856</v>
      </c>
    </row>
    <row r="7" spans="1:10" ht="15.75">
      <c r="A7" s="316">
        <v>18</v>
      </c>
      <c r="B7" s="187">
        <f t="shared" si="5"/>
        <v>41854</v>
      </c>
      <c r="C7" s="188" t="s">
        <v>459</v>
      </c>
      <c r="D7" s="317">
        <f t="shared" si="0"/>
        <v>41867</v>
      </c>
      <c r="E7" s="188">
        <f t="shared" si="1"/>
        <v>41880</v>
      </c>
      <c r="F7" s="188">
        <f t="shared" si="2"/>
        <v>41863</v>
      </c>
      <c r="G7" s="188">
        <f t="shared" si="3"/>
        <v>41854</v>
      </c>
      <c r="H7" s="191">
        <f t="shared" si="4"/>
        <v>41870</v>
      </c>
    </row>
    <row r="8" spans="1:10" ht="15.75">
      <c r="A8" s="305">
        <v>19</v>
      </c>
      <c r="B8" s="199">
        <f t="shared" si="5"/>
        <v>41868</v>
      </c>
      <c r="C8" s="200" t="s">
        <v>459</v>
      </c>
      <c r="D8" s="306">
        <f t="shared" si="0"/>
        <v>41881</v>
      </c>
      <c r="E8" s="200">
        <f t="shared" si="1"/>
        <v>41894</v>
      </c>
      <c r="F8" s="200">
        <f t="shared" si="2"/>
        <v>41877</v>
      </c>
      <c r="G8" s="200">
        <f t="shared" si="3"/>
        <v>41868</v>
      </c>
      <c r="H8" s="203">
        <f t="shared" si="4"/>
        <v>41884</v>
      </c>
    </row>
    <row r="9" spans="1:10" ht="15.75">
      <c r="A9" s="309">
        <v>20</v>
      </c>
      <c r="B9" s="212">
        <f t="shared" si="5"/>
        <v>41882</v>
      </c>
      <c r="C9" s="213" t="s">
        <v>459</v>
      </c>
      <c r="D9" s="310">
        <f t="shared" si="0"/>
        <v>41895</v>
      </c>
      <c r="E9" s="213">
        <f t="shared" si="1"/>
        <v>41908</v>
      </c>
      <c r="F9" s="213">
        <f t="shared" si="2"/>
        <v>41891</v>
      </c>
      <c r="G9" s="213">
        <f t="shared" si="3"/>
        <v>41882</v>
      </c>
      <c r="H9" s="216">
        <f t="shared" si="4"/>
        <v>41898</v>
      </c>
    </row>
    <row r="10" spans="1:10" ht="15.75">
      <c r="A10" s="314">
        <v>21</v>
      </c>
      <c r="B10" s="175">
        <f t="shared" si="5"/>
        <v>41896</v>
      </c>
      <c r="C10" s="176" t="s">
        <v>459</v>
      </c>
      <c r="D10" s="315">
        <f t="shared" si="0"/>
        <v>41909</v>
      </c>
      <c r="E10" s="176">
        <f t="shared" si="1"/>
        <v>41922</v>
      </c>
      <c r="F10" s="176">
        <f t="shared" si="2"/>
        <v>41905</v>
      </c>
      <c r="G10" s="176">
        <f t="shared" si="3"/>
        <v>41896</v>
      </c>
      <c r="H10" s="179">
        <f t="shared" si="4"/>
        <v>41912</v>
      </c>
    </row>
    <row r="11" spans="1:10" ht="15.75">
      <c r="A11" s="316">
        <v>22</v>
      </c>
      <c r="B11" s="187">
        <f t="shared" si="5"/>
        <v>41910</v>
      </c>
      <c r="C11" s="188" t="s">
        <v>459</v>
      </c>
      <c r="D11" s="317">
        <f t="shared" si="0"/>
        <v>41923</v>
      </c>
      <c r="E11" s="188">
        <f t="shared" si="1"/>
        <v>41936</v>
      </c>
      <c r="F11" s="188">
        <f t="shared" si="2"/>
        <v>41919</v>
      </c>
      <c r="G11" s="188">
        <f t="shared" si="3"/>
        <v>41910</v>
      </c>
      <c r="H11" s="191">
        <f t="shared" si="4"/>
        <v>41926</v>
      </c>
    </row>
    <row r="12" spans="1:10" ht="15.75">
      <c r="A12" s="311">
        <v>23</v>
      </c>
      <c r="B12" s="212">
        <f t="shared" si="5"/>
        <v>41924</v>
      </c>
      <c r="C12" s="213" t="s">
        <v>459</v>
      </c>
      <c r="D12" s="310">
        <f t="shared" si="0"/>
        <v>41937</v>
      </c>
      <c r="E12" s="213">
        <f t="shared" si="1"/>
        <v>41950</v>
      </c>
      <c r="F12" s="213">
        <f t="shared" si="2"/>
        <v>41933</v>
      </c>
      <c r="G12" s="213">
        <f t="shared" si="3"/>
        <v>41924</v>
      </c>
      <c r="H12" s="216">
        <f t="shared" si="4"/>
        <v>41940</v>
      </c>
    </row>
    <row r="13" spans="1:10" ht="15.75">
      <c r="A13" s="309">
        <v>24</v>
      </c>
      <c r="B13" s="212">
        <f t="shared" si="5"/>
        <v>41938</v>
      </c>
      <c r="C13" s="213" t="s">
        <v>459</v>
      </c>
      <c r="D13" s="310">
        <f t="shared" si="0"/>
        <v>41951</v>
      </c>
      <c r="E13" s="213">
        <f t="shared" si="1"/>
        <v>41964</v>
      </c>
      <c r="F13" s="213">
        <f t="shared" si="2"/>
        <v>41947</v>
      </c>
      <c r="G13" s="213">
        <f t="shared" si="3"/>
        <v>41938</v>
      </c>
      <c r="H13" s="216">
        <f t="shared" si="4"/>
        <v>41954</v>
      </c>
    </row>
    <row r="14" spans="1:10" ht="15.75">
      <c r="A14" s="314">
        <v>25</v>
      </c>
      <c r="B14" s="175">
        <f t="shared" si="5"/>
        <v>41952</v>
      </c>
      <c r="C14" s="176" t="s">
        <v>459</v>
      </c>
      <c r="D14" s="315">
        <f t="shared" si="0"/>
        <v>41965</v>
      </c>
      <c r="E14" s="176">
        <f t="shared" si="1"/>
        <v>41978</v>
      </c>
      <c r="F14" s="176">
        <f t="shared" si="2"/>
        <v>41961</v>
      </c>
      <c r="G14" s="176">
        <f t="shared" si="3"/>
        <v>41952</v>
      </c>
      <c r="H14" s="179">
        <f t="shared" si="4"/>
        <v>41968</v>
      </c>
    </row>
    <row r="15" spans="1:10" ht="15.75">
      <c r="A15" s="316">
        <v>26</v>
      </c>
      <c r="B15" s="187">
        <f t="shared" si="5"/>
        <v>41966</v>
      </c>
      <c r="C15" s="188" t="s">
        <v>459</v>
      </c>
      <c r="D15" s="317">
        <f t="shared" si="0"/>
        <v>41979</v>
      </c>
      <c r="E15" s="188">
        <f t="shared" si="1"/>
        <v>41992</v>
      </c>
      <c r="F15" s="188">
        <f t="shared" si="2"/>
        <v>41975</v>
      </c>
      <c r="G15" s="188">
        <f t="shared" si="3"/>
        <v>41966</v>
      </c>
      <c r="H15" s="191">
        <f t="shared" si="4"/>
        <v>41982</v>
      </c>
    </row>
    <row r="16" spans="1:10" ht="15.75">
      <c r="A16" s="309">
        <v>1</v>
      </c>
      <c r="B16" s="212">
        <f t="shared" si="5"/>
        <v>41980</v>
      </c>
      <c r="C16" s="213" t="s">
        <v>459</v>
      </c>
      <c r="D16" s="310">
        <f t="shared" si="0"/>
        <v>41993</v>
      </c>
      <c r="E16" s="213">
        <f t="shared" si="1"/>
        <v>42006</v>
      </c>
      <c r="F16" s="213">
        <f t="shared" si="2"/>
        <v>41989</v>
      </c>
      <c r="G16" s="213">
        <f t="shared" si="3"/>
        <v>41980</v>
      </c>
      <c r="H16" s="216">
        <f t="shared" si="4"/>
        <v>41996</v>
      </c>
    </row>
    <row r="17" spans="1:8" ht="15.75">
      <c r="A17" s="309">
        <v>2</v>
      </c>
      <c r="B17" s="212">
        <f t="shared" si="5"/>
        <v>41994</v>
      </c>
      <c r="C17" s="213" t="s">
        <v>459</v>
      </c>
      <c r="D17" s="310">
        <f t="shared" si="0"/>
        <v>42007</v>
      </c>
      <c r="E17" s="213">
        <f t="shared" si="1"/>
        <v>42020</v>
      </c>
      <c r="F17" s="213">
        <f t="shared" si="2"/>
        <v>42003</v>
      </c>
      <c r="G17" s="213">
        <f t="shared" si="3"/>
        <v>41994</v>
      </c>
      <c r="H17" s="216">
        <f t="shared" si="4"/>
        <v>42010</v>
      </c>
    </row>
    <row r="18" spans="1:8" ht="15.75">
      <c r="A18" s="305">
        <v>3</v>
      </c>
      <c r="B18" s="199">
        <f t="shared" si="5"/>
        <v>42008</v>
      </c>
      <c r="C18" s="200" t="s">
        <v>459</v>
      </c>
      <c r="D18" s="306">
        <f t="shared" si="0"/>
        <v>42021</v>
      </c>
      <c r="E18" s="200">
        <f t="shared" si="1"/>
        <v>42034</v>
      </c>
      <c r="F18" s="200">
        <f t="shared" si="2"/>
        <v>42017</v>
      </c>
      <c r="G18" s="200">
        <f t="shared" si="3"/>
        <v>42008</v>
      </c>
      <c r="H18" s="203">
        <f t="shared" si="4"/>
        <v>42024</v>
      </c>
    </row>
    <row r="19" spans="1:8" ht="15.75">
      <c r="A19" s="314">
        <v>4</v>
      </c>
      <c r="B19" s="175">
        <f t="shared" si="5"/>
        <v>42022</v>
      </c>
      <c r="C19" s="176" t="s">
        <v>459</v>
      </c>
      <c r="D19" s="315">
        <f t="shared" si="0"/>
        <v>42035</v>
      </c>
      <c r="E19" s="176">
        <f t="shared" si="1"/>
        <v>42048</v>
      </c>
      <c r="F19" s="176">
        <f t="shared" si="2"/>
        <v>42031</v>
      </c>
      <c r="G19" s="176">
        <f t="shared" si="3"/>
        <v>42022</v>
      </c>
      <c r="H19" s="179">
        <f t="shared" si="4"/>
        <v>42038</v>
      </c>
    </row>
    <row r="20" spans="1:8" ht="15.75">
      <c r="A20" s="316">
        <v>5</v>
      </c>
      <c r="B20" s="187">
        <f t="shared" si="5"/>
        <v>42036</v>
      </c>
      <c r="C20" s="188" t="s">
        <v>459</v>
      </c>
      <c r="D20" s="317">
        <f t="shared" si="0"/>
        <v>42049</v>
      </c>
      <c r="E20" s="188">
        <f t="shared" si="1"/>
        <v>42062</v>
      </c>
      <c r="F20" s="188">
        <f t="shared" si="2"/>
        <v>42045</v>
      </c>
      <c r="G20" s="188">
        <f t="shared" si="3"/>
        <v>42036</v>
      </c>
      <c r="H20" s="191">
        <f t="shared" si="4"/>
        <v>42052</v>
      </c>
    </row>
    <row r="21" spans="1:8" ht="15.75">
      <c r="A21" s="309">
        <v>6</v>
      </c>
      <c r="B21" s="212">
        <f t="shared" si="5"/>
        <v>42050</v>
      </c>
      <c r="C21" s="213" t="s">
        <v>459</v>
      </c>
      <c r="D21" s="310">
        <f t="shared" si="0"/>
        <v>42063</v>
      </c>
      <c r="E21" s="213">
        <f t="shared" si="1"/>
        <v>42076</v>
      </c>
      <c r="F21" s="213">
        <f t="shared" si="2"/>
        <v>42059</v>
      </c>
      <c r="G21" s="213">
        <f t="shared" si="3"/>
        <v>42050</v>
      </c>
      <c r="H21" s="216">
        <f t="shared" si="4"/>
        <v>42066</v>
      </c>
    </row>
    <row r="22" spans="1:8" ht="15.75">
      <c r="A22" s="305">
        <v>7</v>
      </c>
      <c r="B22" s="199">
        <f t="shared" si="5"/>
        <v>42064</v>
      </c>
      <c r="C22" s="200" t="s">
        <v>459</v>
      </c>
      <c r="D22" s="306">
        <f t="shared" si="0"/>
        <v>42077</v>
      </c>
      <c r="E22" s="200">
        <f t="shared" si="1"/>
        <v>42090</v>
      </c>
      <c r="F22" s="200">
        <f t="shared" si="2"/>
        <v>42073</v>
      </c>
      <c r="G22" s="200">
        <f t="shared" si="3"/>
        <v>42064</v>
      </c>
      <c r="H22" s="203">
        <f t="shared" si="4"/>
        <v>42080</v>
      </c>
    </row>
    <row r="23" spans="1:8" ht="15.75">
      <c r="A23" s="314">
        <v>8</v>
      </c>
      <c r="B23" s="175">
        <f t="shared" si="5"/>
        <v>42078</v>
      </c>
      <c r="C23" s="176" t="s">
        <v>459</v>
      </c>
      <c r="D23" s="315">
        <f t="shared" si="0"/>
        <v>42091</v>
      </c>
      <c r="E23" s="176">
        <f t="shared" si="1"/>
        <v>42104</v>
      </c>
      <c r="F23" s="176">
        <f t="shared" si="2"/>
        <v>42087</v>
      </c>
      <c r="G23" s="176">
        <f t="shared" si="3"/>
        <v>42078</v>
      </c>
      <c r="H23" s="179">
        <f t="shared" si="4"/>
        <v>42094</v>
      </c>
    </row>
    <row r="24" spans="1:8" ht="15.75">
      <c r="A24" s="316">
        <v>9</v>
      </c>
      <c r="B24" s="187">
        <f t="shared" si="5"/>
        <v>42092</v>
      </c>
      <c r="C24" s="188" t="s">
        <v>459</v>
      </c>
      <c r="D24" s="317">
        <f t="shared" si="0"/>
        <v>42105</v>
      </c>
      <c r="E24" s="188">
        <f t="shared" si="1"/>
        <v>42118</v>
      </c>
      <c r="F24" s="188">
        <f t="shared" si="2"/>
        <v>42101</v>
      </c>
      <c r="G24" s="188">
        <f t="shared" si="3"/>
        <v>42092</v>
      </c>
      <c r="H24" s="191">
        <f t="shared" si="4"/>
        <v>42108</v>
      </c>
    </row>
    <row r="25" spans="1:8" ht="15.75">
      <c r="A25" s="309">
        <v>10</v>
      </c>
      <c r="B25" s="212">
        <f t="shared" si="5"/>
        <v>42106</v>
      </c>
      <c r="C25" s="213" t="s">
        <v>459</v>
      </c>
      <c r="D25" s="310">
        <f t="shared" si="0"/>
        <v>42119</v>
      </c>
      <c r="E25" s="213">
        <f t="shared" si="1"/>
        <v>42132</v>
      </c>
      <c r="F25" s="213">
        <f t="shared" si="2"/>
        <v>42115</v>
      </c>
      <c r="G25" s="213">
        <f t="shared" si="3"/>
        <v>42106</v>
      </c>
      <c r="H25" s="216">
        <f t="shared" si="4"/>
        <v>42122</v>
      </c>
    </row>
    <row r="26" spans="1:8" ht="15.75">
      <c r="A26" s="305">
        <v>11</v>
      </c>
      <c r="B26" s="212">
        <f t="shared" si="5"/>
        <v>42120</v>
      </c>
      <c r="C26" s="213" t="s">
        <v>459</v>
      </c>
      <c r="D26" s="310">
        <f t="shared" si="0"/>
        <v>42133</v>
      </c>
      <c r="E26" s="213">
        <f t="shared" si="1"/>
        <v>42146</v>
      </c>
      <c r="F26" s="213">
        <f t="shared" si="2"/>
        <v>42129</v>
      </c>
      <c r="G26" s="213">
        <f t="shared" si="3"/>
        <v>42120</v>
      </c>
      <c r="H26" s="216">
        <f t="shared" si="4"/>
        <v>42136</v>
      </c>
    </row>
    <row r="27" spans="1:8" ht="15.75">
      <c r="A27" s="314">
        <v>12</v>
      </c>
      <c r="B27" s="175">
        <f t="shared" si="5"/>
        <v>42134</v>
      </c>
      <c r="C27" s="176" t="s">
        <v>459</v>
      </c>
      <c r="D27" s="315">
        <f t="shared" si="0"/>
        <v>42147</v>
      </c>
      <c r="E27" s="176">
        <f t="shared" si="1"/>
        <v>42160</v>
      </c>
      <c r="F27" s="176">
        <f t="shared" si="2"/>
        <v>42143</v>
      </c>
      <c r="G27" s="176">
        <f t="shared" si="3"/>
        <v>42134</v>
      </c>
      <c r="H27" s="179">
        <f t="shared" si="4"/>
        <v>42150</v>
      </c>
    </row>
    <row r="28" spans="1:8" ht="15.75">
      <c r="A28" s="316">
        <v>13</v>
      </c>
      <c r="B28" s="187">
        <f t="shared" si="5"/>
        <v>42148</v>
      </c>
      <c r="C28" s="188" t="s">
        <v>459</v>
      </c>
      <c r="D28" s="317">
        <f t="shared" si="0"/>
        <v>42161</v>
      </c>
      <c r="E28" s="188">
        <f t="shared" si="1"/>
        <v>42174</v>
      </c>
      <c r="F28" s="188">
        <f t="shared" si="2"/>
        <v>42157</v>
      </c>
      <c r="G28" s="188">
        <f t="shared" si="3"/>
        <v>42148</v>
      </c>
      <c r="H28" s="191">
        <f t="shared" si="4"/>
        <v>42164</v>
      </c>
    </row>
    <row r="29" spans="1:8" ht="16.5" thickBot="1">
      <c r="A29" s="312">
        <v>14</v>
      </c>
      <c r="B29" s="224">
        <f t="shared" si="5"/>
        <v>42162</v>
      </c>
      <c r="C29" s="225" t="s">
        <v>459</v>
      </c>
      <c r="D29" s="313">
        <f t="shared" si="0"/>
        <v>42175</v>
      </c>
      <c r="E29" s="225">
        <f t="shared" si="1"/>
        <v>42188</v>
      </c>
      <c r="F29" s="225">
        <f t="shared" si="2"/>
        <v>42171</v>
      </c>
      <c r="G29" s="225">
        <f t="shared" si="3"/>
        <v>42162</v>
      </c>
      <c r="H29" s="228">
        <f t="shared" si="4"/>
        <v>42178</v>
      </c>
    </row>
    <row r="30" spans="1:8" ht="18" customHeight="1">
      <c r="A30" s="443" t="s">
        <v>685</v>
      </c>
      <c r="B30" s="444"/>
      <c r="C30" s="444"/>
      <c r="D30" s="444"/>
      <c r="E30" s="444"/>
      <c r="F30" s="444"/>
      <c r="G30" s="444"/>
      <c r="H30" s="444"/>
    </row>
    <row r="31" spans="1:8" ht="15.75">
      <c r="A31" s="229"/>
      <c r="B31" s="230"/>
      <c r="C31" s="231"/>
      <c r="D31" s="232"/>
      <c r="E31" s="231"/>
      <c r="F31" s="231"/>
      <c r="G31" s="231"/>
      <c r="H31" s="231"/>
    </row>
    <row r="32" spans="1:8" ht="34.5" customHeight="1">
      <c r="A32" s="445" t="s">
        <v>686</v>
      </c>
      <c r="B32" s="445"/>
      <c r="C32" s="445"/>
      <c r="D32" s="445"/>
      <c r="E32" s="445"/>
      <c r="F32" s="445"/>
      <c r="G32" s="445"/>
      <c r="H32" s="445"/>
    </row>
  </sheetData>
  <mergeCells count="4">
    <mergeCell ref="A1:H1"/>
    <mergeCell ref="B3:D3"/>
    <mergeCell ref="A30:H30"/>
    <mergeCell ref="A32:H32"/>
  </mergeCells>
  <hyperlinks>
    <hyperlink ref="J1" location="Begin!A1" display="Start Over"/>
    <hyperlink ref="J4" location="Calendars!A1" display="Back to Payroll Calendars"/>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zoomScaleNormal="100" workbookViewId="0">
      <selection activeCell="J4" sqref="J4"/>
    </sheetView>
  </sheetViews>
  <sheetFormatPr defaultRowHeight="15"/>
  <cols>
    <col min="2" max="2" width="11.28515625" bestFit="1" customWidth="1"/>
    <col min="3" max="3" width="2" bestFit="1" customWidth="1"/>
    <col min="4" max="6" width="11.28515625" bestFit="1" customWidth="1"/>
    <col min="7" max="7" width="13.140625" customWidth="1"/>
    <col min="8" max="8" width="14.28515625" customWidth="1"/>
  </cols>
  <sheetData>
    <row r="1" spans="1:10" ht="24" thickBot="1">
      <c r="A1" s="437" t="s">
        <v>687</v>
      </c>
      <c r="B1" s="438"/>
      <c r="C1" s="438"/>
      <c r="D1" s="438"/>
      <c r="E1" s="438"/>
      <c r="F1" s="438"/>
      <c r="G1" s="438"/>
      <c r="H1" s="439"/>
      <c r="J1" s="117" t="s">
        <v>470</v>
      </c>
    </row>
    <row r="2" spans="1:10" ht="15.75" thickBot="1">
      <c r="A2" s="165"/>
      <c r="B2" s="166"/>
      <c r="C2" s="165"/>
      <c r="D2" s="165"/>
      <c r="E2" s="165"/>
      <c r="F2" s="165"/>
      <c r="G2" s="165"/>
      <c r="H2" s="165"/>
    </row>
    <row r="3" spans="1:10" ht="66.75" thickBot="1">
      <c r="A3" s="167" t="s">
        <v>680</v>
      </c>
      <c r="B3" s="440" t="s">
        <v>458</v>
      </c>
      <c r="C3" s="441"/>
      <c r="D3" s="442"/>
      <c r="E3" s="167" t="s">
        <v>681</v>
      </c>
      <c r="F3" s="167" t="s">
        <v>682</v>
      </c>
      <c r="G3" s="167" t="s">
        <v>683</v>
      </c>
      <c r="H3" s="167" t="s">
        <v>684</v>
      </c>
    </row>
    <row r="4" spans="1:10" ht="18.75">
      <c r="A4" s="168">
        <v>15</v>
      </c>
      <c r="B4" s="169">
        <v>41448</v>
      </c>
      <c r="C4" s="170" t="s">
        <v>459</v>
      </c>
      <c r="D4" s="171">
        <f>B4+13</f>
        <v>41461</v>
      </c>
      <c r="E4" s="172">
        <f>D4+13</f>
        <v>41474</v>
      </c>
      <c r="F4" s="172">
        <f>D4-4</f>
        <v>41457</v>
      </c>
      <c r="G4" s="172">
        <f>B4</f>
        <v>41448</v>
      </c>
      <c r="H4" s="173">
        <f>D4+3</f>
        <v>41464</v>
      </c>
      <c r="J4" s="244" t="s">
        <v>697</v>
      </c>
    </row>
    <row r="5" spans="1:10" ht="15.75">
      <c r="A5" s="174">
        <v>16</v>
      </c>
      <c r="B5" s="175">
        <f>D4+1</f>
        <v>41462</v>
      </c>
      <c r="C5" s="176" t="s">
        <v>459</v>
      </c>
      <c r="D5" s="177">
        <f t="shared" ref="D5:D29" si="0">B5+13</f>
        <v>41475</v>
      </c>
      <c r="E5" s="178">
        <f t="shared" ref="E5:E29" si="1">D5+13</f>
        <v>41488</v>
      </c>
      <c r="F5" s="178">
        <f t="shared" ref="F5:F29" si="2">D5-4</f>
        <v>41471</v>
      </c>
      <c r="G5" s="178">
        <f t="shared" ref="G5:G29" si="3">B5</f>
        <v>41462</v>
      </c>
      <c r="H5" s="179">
        <f t="shared" ref="H5:H29" si="4">D5+3</f>
        <v>41478</v>
      </c>
    </row>
    <row r="6" spans="1:10" ht="15.75">
      <c r="A6" s="180">
        <v>17</v>
      </c>
      <c r="B6" s="181">
        <f t="shared" ref="B6:B29" si="5">D5+1</f>
        <v>41476</v>
      </c>
      <c r="C6" s="182" t="s">
        <v>459</v>
      </c>
      <c r="D6" s="183">
        <f t="shared" si="0"/>
        <v>41489</v>
      </c>
      <c r="E6" s="184">
        <f t="shared" si="1"/>
        <v>41502</v>
      </c>
      <c r="F6" s="184">
        <f t="shared" si="2"/>
        <v>41485</v>
      </c>
      <c r="G6" s="184">
        <f t="shared" si="3"/>
        <v>41476</v>
      </c>
      <c r="H6" s="185">
        <f t="shared" si="4"/>
        <v>41492</v>
      </c>
    </row>
    <row r="7" spans="1:10" ht="15.75">
      <c r="A7" s="186">
        <v>18</v>
      </c>
      <c r="B7" s="187">
        <f t="shared" si="5"/>
        <v>41490</v>
      </c>
      <c r="C7" s="188" t="s">
        <v>459</v>
      </c>
      <c r="D7" s="189">
        <f t="shared" si="0"/>
        <v>41503</v>
      </c>
      <c r="E7" s="190">
        <f t="shared" si="1"/>
        <v>41516</v>
      </c>
      <c r="F7" s="190">
        <f t="shared" si="2"/>
        <v>41499</v>
      </c>
      <c r="G7" s="190">
        <f t="shared" si="3"/>
        <v>41490</v>
      </c>
      <c r="H7" s="191">
        <f t="shared" si="4"/>
        <v>41506</v>
      </c>
    </row>
    <row r="8" spans="1:10" ht="15.75">
      <c r="A8" s="192">
        <v>19</v>
      </c>
      <c r="B8" s="193">
        <f t="shared" si="5"/>
        <v>41504</v>
      </c>
      <c r="C8" s="194" t="s">
        <v>459</v>
      </c>
      <c r="D8" s="195">
        <f t="shared" si="0"/>
        <v>41517</v>
      </c>
      <c r="E8" s="196">
        <f t="shared" si="1"/>
        <v>41530</v>
      </c>
      <c r="F8" s="196">
        <f t="shared" si="2"/>
        <v>41513</v>
      </c>
      <c r="G8" s="196">
        <f t="shared" si="3"/>
        <v>41504</v>
      </c>
      <c r="H8" s="197">
        <f t="shared" si="4"/>
        <v>41520</v>
      </c>
    </row>
    <row r="9" spans="1:10" ht="15.75">
      <c r="A9" s="198">
        <v>20</v>
      </c>
      <c r="B9" s="199">
        <f t="shared" si="5"/>
        <v>41518</v>
      </c>
      <c r="C9" s="200" t="s">
        <v>459</v>
      </c>
      <c r="D9" s="201">
        <f t="shared" si="0"/>
        <v>41531</v>
      </c>
      <c r="E9" s="202">
        <f t="shared" si="1"/>
        <v>41544</v>
      </c>
      <c r="F9" s="202">
        <f t="shared" si="2"/>
        <v>41527</v>
      </c>
      <c r="G9" s="202">
        <f t="shared" si="3"/>
        <v>41518</v>
      </c>
      <c r="H9" s="203">
        <f t="shared" si="4"/>
        <v>41534</v>
      </c>
    </row>
    <row r="10" spans="1:10" ht="15.75">
      <c r="A10" s="174">
        <v>21</v>
      </c>
      <c r="B10" s="175">
        <f t="shared" si="5"/>
        <v>41532</v>
      </c>
      <c r="C10" s="176" t="s">
        <v>459</v>
      </c>
      <c r="D10" s="177">
        <f t="shared" si="0"/>
        <v>41545</v>
      </c>
      <c r="E10" s="178">
        <f t="shared" si="1"/>
        <v>41558</v>
      </c>
      <c r="F10" s="178">
        <f t="shared" si="2"/>
        <v>41541</v>
      </c>
      <c r="G10" s="178">
        <f t="shared" si="3"/>
        <v>41532</v>
      </c>
      <c r="H10" s="179">
        <f t="shared" si="4"/>
        <v>41548</v>
      </c>
    </row>
    <row r="11" spans="1:10" ht="15.75">
      <c r="A11" s="186">
        <v>22</v>
      </c>
      <c r="B11" s="187">
        <f t="shared" si="5"/>
        <v>41546</v>
      </c>
      <c r="C11" s="188" t="s">
        <v>459</v>
      </c>
      <c r="D11" s="189">
        <f t="shared" si="0"/>
        <v>41559</v>
      </c>
      <c r="E11" s="190">
        <f t="shared" si="1"/>
        <v>41572</v>
      </c>
      <c r="F11" s="190">
        <f t="shared" si="2"/>
        <v>41555</v>
      </c>
      <c r="G11" s="190">
        <f t="shared" si="3"/>
        <v>41546</v>
      </c>
      <c r="H11" s="191">
        <f t="shared" si="4"/>
        <v>41562</v>
      </c>
    </row>
    <row r="12" spans="1:10" ht="15.75">
      <c r="A12" s="204">
        <v>23</v>
      </c>
      <c r="B12" s="205">
        <f t="shared" si="5"/>
        <v>41560</v>
      </c>
      <c r="C12" s="206" t="s">
        <v>459</v>
      </c>
      <c r="D12" s="207">
        <f t="shared" si="0"/>
        <v>41573</v>
      </c>
      <c r="E12" s="208">
        <f t="shared" si="1"/>
        <v>41586</v>
      </c>
      <c r="F12" s="208">
        <f t="shared" si="2"/>
        <v>41569</v>
      </c>
      <c r="G12" s="208">
        <f t="shared" si="3"/>
        <v>41560</v>
      </c>
      <c r="H12" s="209">
        <f t="shared" si="4"/>
        <v>41576</v>
      </c>
    </row>
    <row r="13" spans="1:10" ht="15.75">
      <c r="A13" s="198">
        <v>24</v>
      </c>
      <c r="B13" s="199">
        <f t="shared" si="5"/>
        <v>41574</v>
      </c>
      <c r="C13" s="200" t="s">
        <v>459</v>
      </c>
      <c r="D13" s="201">
        <f t="shared" si="0"/>
        <v>41587</v>
      </c>
      <c r="E13" s="202">
        <f t="shared" si="1"/>
        <v>41600</v>
      </c>
      <c r="F13" s="202">
        <f t="shared" si="2"/>
        <v>41583</v>
      </c>
      <c r="G13" s="202">
        <f t="shared" si="3"/>
        <v>41574</v>
      </c>
      <c r="H13" s="203">
        <f t="shared" si="4"/>
        <v>41590</v>
      </c>
    </row>
    <row r="14" spans="1:10" ht="15.75">
      <c r="A14" s="174">
        <v>25</v>
      </c>
      <c r="B14" s="175">
        <f t="shared" si="5"/>
        <v>41588</v>
      </c>
      <c r="C14" s="176" t="s">
        <v>459</v>
      </c>
      <c r="D14" s="177">
        <f t="shared" si="0"/>
        <v>41601</v>
      </c>
      <c r="E14" s="178">
        <f t="shared" si="1"/>
        <v>41614</v>
      </c>
      <c r="F14" s="178">
        <f t="shared" si="2"/>
        <v>41597</v>
      </c>
      <c r="G14" s="178">
        <f t="shared" si="3"/>
        <v>41588</v>
      </c>
      <c r="H14" s="179">
        <f t="shared" si="4"/>
        <v>41604</v>
      </c>
    </row>
    <row r="15" spans="1:10" ht="15.75">
      <c r="A15" s="186">
        <v>26</v>
      </c>
      <c r="B15" s="187">
        <f t="shared" si="5"/>
        <v>41602</v>
      </c>
      <c r="C15" s="188" t="s">
        <v>459</v>
      </c>
      <c r="D15" s="189">
        <f t="shared" si="0"/>
        <v>41615</v>
      </c>
      <c r="E15" s="190">
        <f t="shared" si="1"/>
        <v>41628</v>
      </c>
      <c r="F15" s="190">
        <f t="shared" si="2"/>
        <v>41611</v>
      </c>
      <c r="G15" s="190">
        <f t="shared" si="3"/>
        <v>41602</v>
      </c>
      <c r="H15" s="191">
        <f t="shared" si="4"/>
        <v>41618</v>
      </c>
    </row>
    <row r="16" spans="1:10" ht="15.75">
      <c r="A16" s="210">
        <v>1</v>
      </c>
      <c r="B16" s="205">
        <f t="shared" si="5"/>
        <v>41616</v>
      </c>
      <c r="C16" s="206" t="s">
        <v>459</v>
      </c>
      <c r="D16" s="207">
        <f t="shared" si="0"/>
        <v>41629</v>
      </c>
      <c r="E16" s="208">
        <f t="shared" si="1"/>
        <v>41642</v>
      </c>
      <c r="F16" s="208">
        <f t="shared" si="2"/>
        <v>41625</v>
      </c>
      <c r="G16" s="208">
        <f t="shared" si="3"/>
        <v>41616</v>
      </c>
      <c r="H16" s="209">
        <f t="shared" si="4"/>
        <v>41632</v>
      </c>
    </row>
    <row r="17" spans="1:8" ht="15.75">
      <c r="A17" s="211">
        <v>2</v>
      </c>
      <c r="B17" s="212">
        <f t="shared" si="5"/>
        <v>41630</v>
      </c>
      <c r="C17" s="213" t="s">
        <v>459</v>
      </c>
      <c r="D17" s="214">
        <f t="shared" si="0"/>
        <v>41643</v>
      </c>
      <c r="E17" s="215">
        <f t="shared" si="1"/>
        <v>41656</v>
      </c>
      <c r="F17" s="215">
        <f t="shared" si="2"/>
        <v>41639</v>
      </c>
      <c r="G17" s="215">
        <f t="shared" si="3"/>
        <v>41630</v>
      </c>
      <c r="H17" s="216">
        <f t="shared" si="4"/>
        <v>41646</v>
      </c>
    </row>
    <row r="18" spans="1:8" ht="15.75">
      <c r="A18" s="217">
        <v>3</v>
      </c>
      <c r="B18" s="218">
        <f t="shared" si="5"/>
        <v>41644</v>
      </c>
      <c r="C18" s="219" t="s">
        <v>459</v>
      </c>
      <c r="D18" s="220">
        <f t="shared" si="0"/>
        <v>41657</v>
      </c>
      <c r="E18" s="221">
        <f t="shared" si="1"/>
        <v>41670</v>
      </c>
      <c r="F18" s="221">
        <f t="shared" si="2"/>
        <v>41653</v>
      </c>
      <c r="G18" s="221">
        <f t="shared" si="3"/>
        <v>41644</v>
      </c>
      <c r="H18" s="222">
        <f t="shared" si="4"/>
        <v>41660</v>
      </c>
    </row>
    <row r="19" spans="1:8" ht="15.75">
      <c r="A19" s="174">
        <v>4</v>
      </c>
      <c r="B19" s="175">
        <f t="shared" si="5"/>
        <v>41658</v>
      </c>
      <c r="C19" s="176" t="s">
        <v>459</v>
      </c>
      <c r="D19" s="177">
        <f t="shared" si="0"/>
        <v>41671</v>
      </c>
      <c r="E19" s="178">
        <f t="shared" si="1"/>
        <v>41684</v>
      </c>
      <c r="F19" s="178">
        <f t="shared" si="2"/>
        <v>41667</v>
      </c>
      <c r="G19" s="178">
        <f t="shared" si="3"/>
        <v>41658</v>
      </c>
      <c r="H19" s="179">
        <f t="shared" si="4"/>
        <v>41674</v>
      </c>
    </row>
    <row r="20" spans="1:8" ht="15.75">
      <c r="A20" s="186">
        <v>5</v>
      </c>
      <c r="B20" s="187">
        <f t="shared" si="5"/>
        <v>41672</v>
      </c>
      <c r="C20" s="188" t="s">
        <v>459</v>
      </c>
      <c r="D20" s="189">
        <f t="shared" si="0"/>
        <v>41685</v>
      </c>
      <c r="E20" s="190">
        <f t="shared" si="1"/>
        <v>41698</v>
      </c>
      <c r="F20" s="190">
        <f t="shared" si="2"/>
        <v>41681</v>
      </c>
      <c r="G20" s="190">
        <f t="shared" si="3"/>
        <v>41672</v>
      </c>
      <c r="H20" s="191">
        <f t="shared" si="4"/>
        <v>41688</v>
      </c>
    </row>
    <row r="21" spans="1:8" ht="15.75">
      <c r="A21" s="204">
        <v>6</v>
      </c>
      <c r="B21" s="205">
        <f t="shared" si="5"/>
        <v>41686</v>
      </c>
      <c r="C21" s="206" t="s">
        <v>459</v>
      </c>
      <c r="D21" s="207">
        <f t="shared" si="0"/>
        <v>41699</v>
      </c>
      <c r="E21" s="208">
        <f t="shared" si="1"/>
        <v>41712</v>
      </c>
      <c r="F21" s="208">
        <f t="shared" si="2"/>
        <v>41695</v>
      </c>
      <c r="G21" s="208">
        <f t="shared" si="3"/>
        <v>41686</v>
      </c>
      <c r="H21" s="209">
        <f t="shared" si="4"/>
        <v>41702</v>
      </c>
    </row>
    <row r="22" spans="1:8" ht="15.75">
      <c r="A22" s="198">
        <v>7</v>
      </c>
      <c r="B22" s="199">
        <f t="shared" si="5"/>
        <v>41700</v>
      </c>
      <c r="C22" s="200" t="s">
        <v>459</v>
      </c>
      <c r="D22" s="201">
        <f t="shared" si="0"/>
        <v>41713</v>
      </c>
      <c r="E22" s="202">
        <f t="shared" si="1"/>
        <v>41726</v>
      </c>
      <c r="F22" s="202">
        <f t="shared" si="2"/>
        <v>41709</v>
      </c>
      <c r="G22" s="202">
        <f t="shared" si="3"/>
        <v>41700</v>
      </c>
      <c r="H22" s="203">
        <f t="shared" si="4"/>
        <v>41716</v>
      </c>
    </row>
    <row r="23" spans="1:8" ht="15.75">
      <c r="A23" s="174">
        <v>8</v>
      </c>
      <c r="B23" s="175">
        <f t="shared" si="5"/>
        <v>41714</v>
      </c>
      <c r="C23" s="176" t="s">
        <v>459</v>
      </c>
      <c r="D23" s="177">
        <f t="shared" si="0"/>
        <v>41727</v>
      </c>
      <c r="E23" s="178">
        <f t="shared" si="1"/>
        <v>41740</v>
      </c>
      <c r="F23" s="178">
        <f t="shared" si="2"/>
        <v>41723</v>
      </c>
      <c r="G23" s="178">
        <f t="shared" si="3"/>
        <v>41714</v>
      </c>
      <c r="H23" s="179">
        <f t="shared" si="4"/>
        <v>41730</v>
      </c>
    </row>
    <row r="24" spans="1:8" ht="15.75">
      <c r="A24" s="186">
        <v>9</v>
      </c>
      <c r="B24" s="187">
        <f t="shared" si="5"/>
        <v>41728</v>
      </c>
      <c r="C24" s="188" t="s">
        <v>459</v>
      </c>
      <c r="D24" s="189">
        <f t="shared" si="0"/>
        <v>41741</v>
      </c>
      <c r="E24" s="190">
        <f t="shared" si="1"/>
        <v>41754</v>
      </c>
      <c r="F24" s="190">
        <f t="shared" si="2"/>
        <v>41737</v>
      </c>
      <c r="G24" s="190">
        <f t="shared" si="3"/>
        <v>41728</v>
      </c>
      <c r="H24" s="191">
        <f t="shared" si="4"/>
        <v>41744</v>
      </c>
    </row>
    <row r="25" spans="1:8" ht="15.75">
      <c r="A25" s="204">
        <v>10</v>
      </c>
      <c r="B25" s="205">
        <f t="shared" si="5"/>
        <v>41742</v>
      </c>
      <c r="C25" s="206" t="s">
        <v>459</v>
      </c>
      <c r="D25" s="207">
        <f t="shared" si="0"/>
        <v>41755</v>
      </c>
      <c r="E25" s="208">
        <f t="shared" si="1"/>
        <v>41768</v>
      </c>
      <c r="F25" s="208">
        <f t="shared" si="2"/>
        <v>41751</v>
      </c>
      <c r="G25" s="208">
        <f t="shared" si="3"/>
        <v>41742</v>
      </c>
      <c r="H25" s="209">
        <f t="shared" si="4"/>
        <v>41758</v>
      </c>
    </row>
    <row r="26" spans="1:8" ht="15.75">
      <c r="A26" s="198">
        <v>11</v>
      </c>
      <c r="B26" s="212">
        <f t="shared" si="5"/>
        <v>41756</v>
      </c>
      <c r="C26" s="213" t="s">
        <v>459</v>
      </c>
      <c r="D26" s="214">
        <f t="shared" si="0"/>
        <v>41769</v>
      </c>
      <c r="E26" s="215">
        <f t="shared" si="1"/>
        <v>41782</v>
      </c>
      <c r="F26" s="215">
        <f t="shared" si="2"/>
        <v>41765</v>
      </c>
      <c r="G26" s="215">
        <f t="shared" si="3"/>
        <v>41756</v>
      </c>
      <c r="H26" s="216">
        <f t="shared" si="4"/>
        <v>41772</v>
      </c>
    </row>
    <row r="27" spans="1:8" ht="15.75">
      <c r="A27" s="174">
        <v>12</v>
      </c>
      <c r="B27" s="175">
        <f t="shared" si="5"/>
        <v>41770</v>
      </c>
      <c r="C27" s="176" t="s">
        <v>459</v>
      </c>
      <c r="D27" s="177">
        <f t="shared" si="0"/>
        <v>41783</v>
      </c>
      <c r="E27" s="178">
        <f t="shared" si="1"/>
        <v>41796</v>
      </c>
      <c r="F27" s="178">
        <f t="shared" si="2"/>
        <v>41779</v>
      </c>
      <c r="G27" s="178">
        <f t="shared" si="3"/>
        <v>41770</v>
      </c>
      <c r="H27" s="179">
        <f t="shared" si="4"/>
        <v>41786</v>
      </c>
    </row>
    <row r="28" spans="1:8" ht="15.75">
      <c r="A28" s="186">
        <v>13</v>
      </c>
      <c r="B28" s="187">
        <f t="shared" si="5"/>
        <v>41784</v>
      </c>
      <c r="C28" s="188" t="s">
        <v>459</v>
      </c>
      <c r="D28" s="189">
        <f t="shared" si="0"/>
        <v>41797</v>
      </c>
      <c r="E28" s="190">
        <f t="shared" si="1"/>
        <v>41810</v>
      </c>
      <c r="F28" s="190">
        <f t="shared" si="2"/>
        <v>41793</v>
      </c>
      <c r="G28" s="190">
        <f t="shared" si="3"/>
        <v>41784</v>
      </c>
      <c r="H28" s="191">
        <f t="shared" si="4"/>
        <v>41800</v>
      </c>
    </row>
    <row r="29" spans="1:8" ht="16.5" thickBot="1">
      <c r="A29" s="223">
        <v>14</v>
      </c>
      <c r="B29" s="224">
        <f t="shared" si="5"/>
        <v>41798</v>
      </c>
      <c r="C29" s="225" t="s">
        <v>459</v>
      </c>
      <c r="D29" s="226">
        <f t="shared" si="0"/>
        <v>41811</v>
      </c>
      <c r="E29" s="227">
        <f t="shared" si="1"/>
        <v>41824</v>
      </c>
      <c r="F29" s="227">
        <f t="shared" si="2"/>
        <v>41807</v>
      </c>
      <c r="G29" s="227">
        <f t="shared" si="3"/>
        <v>41798</v>
      </c>
      <c r="H29" s="228">
        <f t="shared" si="4"/>
        <v>41814</v>
      </c>
    </row>
    <row r="30" spans="1:8" ht="18" customHeight="1">
      <c r="A30" s="443" t="s">
        <v>685</v>
      </c>
      <c r="B30" s="444"/>
      <c r="C30" s="444"/>
      <c r="D30" s="444"/>
      <c r="E30" s="444"/>
      <c r="F30" s="444"/>
      <c r="G30" s="444"/>
      <c r="H30" s="444"/>
    </row>
    <row r="31" spans="1:8" ht="15.75">
      <c r="A31" s="229"/>
      <c r="B31" s="230"/>
      <c r="C31" s="231"/>
      <c r="D31" s="232"/>
      <c r="E31" s="231"/>
      <c r="F31" s="231"/>
      <c r="G31" s="231"/>
      <c r="H31" s="231"/>
    </row>
    <row r="32" spans="1:8" ht="34.5" customHeight="1">
      <c r="A32" s="445" t="s">
        <v>686</v>
      </c>
      <c r="B32" s="445"/>
      <c r="C32" s="445"/>
      <c r="D32" s="445"/>
      <c r="E32" s="445"/>
      <c r="F32" s="445"/>
      <c r="G32" s="445"/>
      <c r="H32" s="445"/>
    </row>
  </sheetData>
  <mergeCells count="4">
    <mergeCell ref="A1:H1"/>
    <mergeCell ref="B3:D3"/>
    <mergeCell ref="A30:H30"/>
    <mergeCell ref="A32:H32"/>
  </mergeCells>
  <hyperlinks>
    <hyperlink ref="J1" location="Begin!A1" display="Start Over"/>
    <hyperlink ref="J4" location="Calendars!A1" display="Back to Payroll Calendars"/>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7"/>
  <sheetViews>
    <sheetView zoomScaleNormal="100" workbookViewId="0">
      <selection activeCell="AC5" sqref="AC5:AE6"/>
    </sheetView>
  </sheetViews>
  <sheetFormatPr defaultRowHeight="12.75"/>
  <cols>
    <col min="1" max="1" width="6" style="91" customWidth="1"/>
    <col min="2" max="8" width="3.7109375" style="91" customWidth="1"/>
    <col min="9" max="9" width="2.7109375" style="91" customWidth="1"/>
    <col min="10" max="10" width="4.85546875" style="91" customWidth="1"/>
    <col min="11" max="17" width="4.42578125" style="91" customWidth="1"/>
    <col min="18" max="18" width="2.5703125" style="92" customWidth="1"/>
    <col min="19" max="19" width="4.7109375" style="91" customWidth="1"/>
    <col min="20" max="26" width="3.7109375" style="91" customWidth="1"/>
    <col min="27" max="27" width="2.85546875" style="91" customWidth="1"/>
    <col min="28" max="30" width="9.140625" style="91"/>
    <col min="31" max="31" width="11" style="91" customWidth="1"/>
    <col min="32" max="256" width="9.140625" style="91"/>
    <col min="257" max="257" width="4.140625" style="91" customWidth="1"/>
    <col min="258" max="264" width="3.7109375" style="91" customWidth="1"/>
    <col min="265" max="265" width="2.7109375" style="91" customWidth="1"/>
    <col min="266" max="266" width="4.85546875" style="91" customWidth="1"/>
    <col min="267" max="273" width="4.42578125" style="91" customWidth="1"/>
    <col min="274" max="274" width="2.5703125" style="91" customWidth="1"/>
    <col min="275" max="275" width="4.28515625" style="91" customWidth="1"/>
    <col min="276" max="282" width="3.7109375" style="91" customWidth="1"/>
    <col min="283" max="283" width="2.85546875" style="91" customWidth="1"/>
    <col min="284" max="512" width="9.140625" style="91"/>
    <col min="513" max="513" width="4.140625" style="91" customWidth="1"/>
    <col min="514" max="520" width="3.7109375" style="91" customWidth="1"/>
    <col min="521" max="521" width="2.7109375" style="91" customWidth="1"/>
    <col min="522" max="522" width="4.85546875" style="91" customWidth="1"/>
    <col min="523" max="529" width="4.42578125" style="91" customWidth="1"/>
    <col min="530" max="530" width="2.5703125" style="91" customWidth="1"/>
    <col min="531" max="531" width="4.28515625" style="91" customWidth="1"/>
    <col min="532" max="538" width="3.7109375" style="91" customWidth="1"/>
    <col min="539" max="539" width="2.85546875" style="91" customWidth="1"/>
    <col min="540" max="768" width="9.140625" style="91"/>
    <col min="769" max="769" width="4.140625" style="91" customWidth="1"/>
    <col min="770" max="776" width="3.7109375" style="91" customWidth="1"/>
    <col min="777" max="777" width="2.7109375" style="91" customWidth="1"/>
    <col min="778" max="778" width="4.85546875" style="91" customWidth="1"/>
    <col min="779" max="785" width="4.42578125" style="91" customWidth="1"/>
    <col min="786" max="786" width="2.5703125" style="91" customWidth="1"/>
    <col min="787" max="787" width="4.28515625" style="91" customWidth="1"/>
    <col min="788" max="794" width="3.7109375" style="91" customWidth="1"/>
    <col min="795" max="795" width="2.85546875" style="91" customWidth="1"/>
    <col min="796" max="1024" width="9.140625" style="91"/>
    <col min="1025" max="1025" width="4.140625" style="91" customWidth="1"/>
    <col min="1026" max="1032" width="3.7109375" style="91" customWidth="1"/>
    <col min="1033" max="1033" width="2.7109375" style="91" customWidth="1"/>
    <col min="1034" max="1034" width="4.85546875" style="91" customWidth="1"/>
    <col min="1035" max="1041" width="4.42578125" style="91" customWidth="1"/>
    <col min="1042" max="1042" width="2.5703125" style="91" customWidth="1"/>
    <col min="1043" max="1043" width="4.28515625" style="91" customWidth="1"/>
    <col min="1044" max="1050" width="3.7109375" style="91" customWidth="1"/>
    <col min="1051" max="1051" width="2.85546875" style="91" customWidth="1"/>
    <col min="1052" max="1280" width="9.140625" style="91"/>
    <col min="1281" max="1281" width="4.140625" style="91" customWidth="1"/>
    <col min="1282" max="1288" width="3.7109375" style="91" customWidth="1"/>
    <col min="1289" max="1289" width="2.7109375" style="91" customWidth="1"/>
    <col min="1290" max="1290" width="4.85546875" style="91" customWidth="1"/>
    <col min="1291" max="1297" width="4.42578125" style="91" customWidth="1"/>
    <col min="1298" max="1298" width="2.5703125" style="91" customWidth="1"/>
    <col min="1299" max="1299" width="4.28515625" style="91" customWidth="1"/>
    <col min="1300" max="1306" width="3.7109375" style="91" customWidth="1"/>
    <col min="1307" max="1307" width="2.85546875" style="91" customWidth="1"/>
    <col min="1308" max="1536" width="9.140625" style="91"/>
    <col min="1537" max="1537" width="4.140625" style="91" customWidth="1"/>
    <col min="1538" max="1544" width="3.7109375" style="91" customWidth="1"/>
    <col min="1545" max="1545" width="2.7109375" style="91" customWidth="1"/>
    <col min="1546" max="1546" width="4.85546875" style="91" customWidth="1"/>
    <col min="1547" max="1553" width="4.42578125" style="91" customWidth="1"/>
    <col min="1554" max="1554" width="2.5703125" style="91" customWidth="1"/>
    <col min="1555" max="1555" width="4.28515625" style="91" customWidth="1"/>
    <col min="1556" max="1562" width="3.7109375" style="91" customWidth="1"/>
    <col min="1563" max="1563" width="2.85546875" style="91" customWidth="1"/>
    <col min="1564" max="1792" width="9.140625" style="91"/>
    <col min="1793" max="1793" width="4.140625" style="91" customWidth="1"/>
    <col min="1794" max="1800" width="3.7109375" style="91" customWidth="1"/>
    <col min="1801" max="1801" width="2.7109375" style="91" customWidth="1"/>
    <col min="1802" max="1802" width="4.85546875" style="91" customWidth="1"/>
    <col min="1803" max="1809" width="4.42578125" style="91" customWidth="1"/>
    <col min="1810" max="1810" width="2.5703125" style="91" customWidth="1"/>
    <col min="1811" max="1811" width="4.28515625" style="91" customWidth="1"/>
    <col min="1812" max="1818" width="3.7109375" style="91" customWidth="1"/>
    <col min="1819" max="1819" width="2.85546875" style="91" customWidth="1"/>
    <col min="1820" max="2048" width="9.140625" style="91"/>
    <col min="2049" max="2049" width="4.140625" style="91" customWidth="1"/>
    <col min="2050" max="2056" width="3.7109375" style="91" customWidth="1"/>
    <col min="2057" max="2057" width="2.7109375" style="91" customWidth="1"/>
    <col min="2058" max="2058" width="4.85546875" style="91" customWidth="1"/>
    <col min="2059" max="2065" width="4.42578125" style="91" customWidth="1"/>
    <col min="2066" max="2066" width="2.5703125" style="91" customWidth="1"/>
    <col min="2067" max="2067" width="4.28515625" style="91" customWidth="1"/>
    <col min="2068" max="2074" width="3.7109375" style="91" customWidth="1"/>
    <col min="2075" max="2075" width="2.85546875" style="91" customWidth="1"/>
    <col min="2076" max="2304" width="9.140625" style="91"/>
    <col min="2305" max="2305" width="4.140625" style="91" customWidth="1"/>
    <col min="2306" max="2312" width="3.7109375" style="91" customWidth="1"/>
    <col min="2313" max="2313" width="2.7109375" style="91" customWidth="1"/>
    <col min="2314" max="2314" width="4.85546875" style="91" customWidth="1"/>
    <col min="2315" max="2321" width="4.42578125" style="91" customWidth="1"/>
    <col min="2322" max="2322" width="2.5703125" style="91" customWidth="1"/>
    <col min="2323" max="2323" width="4.28515625" style="91" customWidth="1"/>
    <col min="2324" max="2330" width="3.7109375" style="91" customWidth="1"/>
    <col min="2331" max="2331" width="2.85546875" style="91" customWidth="1"/>
    <col min="2332" max="2560" width="9.140625" style="91"/>
    <col min="2561" max="2561" width="4.140625" style="91" customWidth="1"/>
    <col min="2562" max="2568" width="3.7109375" style="91" customWidth="1"/>
    <col min="2569" max="2569" width="2.7109375" style="91" customWidth="1"/>
    <col min="2570" max="2570" width="4.85546875" style="91" customWidth="1"/>
    <col min="2571" max="2577" width="4.42578125" style="91" customWidth="1"/>
    <col min="2578" max="2578" width="2.5703125" style="91" customWidth="1"/>
    <col min="2579" max="2579" width="4.28515625" style="91" customWidth="1"/>
    <col min="2580" max="2586" width="3.7109375" style="91" customWidth="1"/>
    <col min="2587" max="2587" width="2.85546875" style="91" customWidth="1"/>
    <col min="2588" max="2816" width="9.140625" style="91"/>
    <col min="2817" max="2817" width="4.140625" style="91" customWidth="1"/>
    <col min="2818" max="2824" width="3.7109375" style="91" customWidth="1"/>
    <col min="2825" max="2825" width="2.7109375" style="91" customWidth="1"/>
    <col min="2826" max="2826" width="4.85546875" style="91" customWidth="1"/>
    <col min="2827" max="2833" width="4.42578125" style="91" customWidth="1"/>
    <col min="2834" max="2834" width="2.5703125" style="91" customWidth="1"/>
    <col min="2835" max="2835" width="4.28515625" style="91" customWidth="1"/>
    <col min="2836" max="2842" width="3.7109375" style="91" customWidth="1"/>
    <col min="2843" max="2843" width="2.85546875" style="91" customWidth="1"/>
    <col min="2844" max="3072" width="9.140625" style="91"/>
    <col min="3073" max="3073" width="4.140625" style="91" customWidth="1"/>
    <col min="3074" max="3080" width="3.7109375" style="91" customWidth="1"/>
    <col min="3081" max="3081" width="2.7109375" style="91" customWidth="1"/>
    <col min="3082" max="3082" width="4.85546875" style="91" customWidth="1"/>
    <col min="3083" max="3089" width="4.42578125" style="91" customWidth="1"/>
    <col min="3090" max="3090" width="2.5703125" style="91" customWidth="1"/>
    <col min="3091" max="3091" width="4.28515625" style="91" customWidth="1"/>
    <col min="3092" max="3098" width="3.7109375" style="91" customWidth="1"/>
    <col min="3099" max="3099" width="2.85546875" style="91" customWidth="1"/>
    <col min="3100" max="3328" width="9.140625" style="91"/>
    <col min="3329" max="3329" width="4.140625" style="91" customWidth="1"/>
    <col min="3330" max="3336" width="3.7109375" style="91" customWidth="1"/>
    <col min="3337" max="3337" width="2.7109375" style="91" customWidth="1"/>
    <col min="3338" max="3338" width="4.85546875" style="91" customWidth="1"/>
    <col min="3339" max="3345" width="4.42578125" style="91" customWidth="1"/>
    <col min="3346" max="3346" width="2.5703125" style="91" customWidth="1"/>
    <col min="3347" max="3347" width="4.28515625" style="91" customWidth="1"/>
    <col min="3348" max="3354" width="3.7109375" style="91" customWidth="1"/>
    <col min="3355" max="3355" width="2.85546875" style="91" customWidth="1"/>
    <col min="3356" max="3584" width="9.140625" style="91"/>
    <col min="3585" max="3585" width="4.140625" style="91" customWidth="1"/>
    <col min="3586" max="3592" width="3.7109375" style="91" customWidth="1"/>
    <col min="3593" max="3593" width="2.7109375" style="91" customWidth="1"/>
    <col min="3594" max="3594" width="4.85546875" style="91" customWidth="1"/>
    <col min="3595" max="3601" width="4.42578125" style="91" customWidth="1"/>
    <col min="3602" max="3602" width="2.5703125" style="91" customWidth="1"/>
    <col min="3603" max="3603" width="4.28515625" style="91" customWidth="1"/>
    <col min="3604" max="3610" width="3.7109375" style="91" customWidth="1"/>
    <col min="3611" max="3611" width="2.85546875" style="91" customWidth="1"/>
    <col min="3612" max="3840" width="9.140625" style="91"/>
    <col min="3841" max="3841" width="4.140625" style="91" customWidth="1"/>
    <col min="3842" max="3848" width="3.7109375" style="91" customWidth="1"/>
    <col min="3849" max="3849" width="2.7109375" style="91" customWidth="1"/>
    <col min="3850" max="3850" width="4.85546875" style="91" customWidth="1"/>
    <col min="3851" max="3857" width="4.42578125" style="91" customWidth="1"/>
    <col min="3858" max="3858" width="2.5703125" style="91" customWidth="1"/>
    <col min="3859" max="3859" width="4.28515625" style="91" customWidth="1"/>
    <col min="3860" max="3866" width="3.7109375" style="91" customWidth="1"/>
    <col min="3867" max="3867" width="2.85546875" style="91" customWidth="1"/>
    <col min="3868" max="4096" width="9.140625" style="91"/>
    <col min="4097" max="4097" width="4.140625" style="91" customWidth="1"/>
    <col min="4098" max="4104" width="3.7109375" style="91" customWidth="1"/>
    <col min="4105" max="4105" width="2.7109375" style="91" customWidth="1"/>
    <col min="4106" max="4106" width="4.85546875" style="91" customWidth="1"/>
    <col min="4107" max="4113" width="4.42578125" style="91" customWidth="1"/>
    <col min="4114" max="4114" width="2.5703125" style="91" customWidth="1"/>
    <col min="4115" max="4115" width="4.28515625" style="91" customWidth="1"/>
    <col min="4116" max="4122" width="3.7109375" style="91" customWidth="1"/>
    <col min="4123" max="4123" width="2.85546875" style="91" customWidth="1"/>
    <col min="4124" max="4352" width="9.140625" style="91"/>
    <col min="4353" max="4353" width="4.140625" style="91" customWidth="1"/>
    <col min="4354" max="4360" width="3.7109375" style="91" customWidth="1"/>
    <col min="4361" max="4361" width="2.7109375" style="91" customWidth="1"/>
    <col min="4362" max="4362" width="4.85546875" style="91" customWidth="1"/>
    <col min="4363" max="4369" width="4.42578125" style="91" customWidth="1"/>
    <col min="4370" max="4370" width="2.5703125" style="91" customWidth="1"/>
    <col min="4371" max="4371" width="4.28515625" style="91" customWidth="1"/>
    <col min="4372" max="4378" width="3.7109375" style="91" customWidth="1"/>
    <col min="4379" max="4379" width="2.85546875" style="91" customWidth="1"/>
    <col min="4380" max="4608" width="9.140625" style="91"/>
    <col min="4609" max="4609" width="4.140625" style="91" customWidth="1"/>
    <col min="4610" max="4616" width="3.7109375" style="91" customWidth="1"/>
    <col min="4617" max="4617" width="2.7109375" style="91" customWidth="1"/>
    <col min="4618" max="4618" width="4.85546875" style="91" customWidth="1"/>
    <col min="4619" max="4625" width="4.42578125" style="91" customWidth="1"/>
    <col min="4626" max="4626" width="2.5703125" style="91" customWidth="1"/>
    <col min="4627" max="4627" width="4.28515625" style="91" customWidth="1"/>
    <col min="4628" max="4634" width="3.7109375" style="91" customWidth="1"/>
    <col min="4635" max="4635" width="2.85546875" style="91" customWidth="1"/>
    <col min="4636" max="4864" width="9.140625" style="91"/>
    <col min="4865" max="4865" width="4.140625" style="91" customWidth="1"/>
    <col min="4866" max="4872" width="3.7109375" style="91" customWidth="1"/>
    <col min="4873" max="4873" width="2.7109375" style="91" customWidth="1"/>
    <col min="4874" max="4874" width="4.85546875" style="91" customWidth="1"/>
    <col min="4875" max="4881" width="4.42578125" style="91" customWidth="1"/>
    <col min="4882" max="4882" width="2.5703125" style="91" customWidth="1"/>
    <col min="4883" max="4883" width="4.28515625" style="91" customWidth="1"/>
    <col min="4884" max="4890" width="3.7109375" style="91" customWidth="1"/>
    <col min="4891" max="4891" width="2.85546875" style="91" customWidth="1"/>
    <col min="4892" max="5120" width="9.140625" style="91"/>
    <col min="5121" max="5121" width="4.140625" style="91" customWidth="1"/>
    <col min="5122" max="5128" width="3.7109375" style="91" customWidth="1"/>
    <col min="5129" max="5129" width="2.7109375" style="91" customWidth="1"/>
    <col min="5130" max="5130" width="4.85546875" style="91" customWidth="1"/>
    <col min="5131" max="5137" width="4.42578125" style="91" customWidth="1"/>
    <col min="5138" max="5138" width="2.5703125" style="91" customWidth="1"/>
    <col min="5139" max="5139" width="4.28515625" style="91" customWidth="1"/>
    <col min="5140" max="5146" width="3.7109375" style="91" customWidth="1"/>
    <col min="5147" max="5147" width="2.85546875" style="91" customWidth="1"/>
    <col min="5148" max="5376" width="9.140625" style="91"/>
    <col min="5377" max="5377" width="4.140625" style="91" customWidth="1"/>
    <col min="5378" max="5384" width="3.7109375" style="91" customWidth="1"/>
    <col min="5385" max="5385" width="2.7109375" style="91" customWidth="1"/>
    <col min="5386" max="5386" width="4.85546875" style="91" customWidth="1"/>
    <col min="5387" max="5393" width="4.42578125" style="91" customWidth="1"/>
    <col min="5394" max="5394" width="2.5703125" style="91" customWidth="1"/>
    <col min="5395" max="5395" width="4.28515625" style="91" customWidth="1"/>
    <col min="5396" max="5402" width="3.7109375" style="91" customWidth="1"/>
    <col min="5403" max="5403" width="2.85546875" style="91" customWidth="1"/>
    <col min="5404" max="5632" width="9.140625" style="91"/>
    <col min="5633" max="5633" width="4.140625" style="91" customWidth="1"/>
    <col min="5634" max="5640" width="3.7109375" style="91" customWidth="1"/>
    <col min="5641" max="5641" width="2.7109375" style="91" customWidth="1"/>
    <col min="5642" max="5642" width="4.85546875" style="91" customWidth="1"/>
    <col min="5643" max="5649" width="4.42578125" style="91" customWidth="1"/>
    <col min="5650" max="5650" width="2.5703125" style="91" customWidth="1"/>
    <col min="5651" max="5651" width="4.28515625" style="91" customWidth="1"/>
    <col min="5652" max="5658" width="3.7109375" style="91" customWidth="1"/>
    <col min="5659" max="5659" width="2.85546875" style="91" customWidth="1"/>
    <col min="5660" max="5888" width="9.140625" style="91"/>
    <col min="5889" max="5889" width="4.140625" style="91" customWidth="1"/>
    <col min="5890" max="5896" width="3.7109375" style="91" customWidth="1"/>
    <col min="5897" max="5897" width="2.7109375" style="91" customWidth="1"/>
    <col min="5898" max="5898" width="4.85546875" style="91" customWidth="1"/>
    <col min="5899" max="5905" width="4.42578125" style="91" customWidth="1"/>
    <col min="5906" max="5906" width="2.5703125" style="91" customWidth="1"/>
    <col min="5907" max="5907" width="4.28515625" style="91" customWidth="1"/>
    <col min="5908" max="5914" width="3.7109375" style="91" customWidth="1"/>
    <col min="5915" max="5915" width="2.85546875" style="91" customWidth="1"/>
    <col min="5916" max="6144" width="9.140625" style="91"/>
    <col min="6145" max="6145" width="4.140625" style="91" customWidth="1"/>
    <col min="6146" max="6152" width="3.7109375" style="91" customWidth="1"/>
    <col min="6153" max="6153" width="2.7109375" style="91" customWidth="1"/>
    <col min="6154" max="6154" width="4.85546875" style="91" customWidth="1"/>
    <col min="6155" max="6161" width="4.42578125" style="91" customWidth="1"/>
    <col min="6162" max="6162" width="2.5703125" style="91" customWidth="1"/>
    <col min="6163" max="6163" width="4.28515625" style="91" customWidth="1"/>
    <col min="6164" max="6170" width="3.7109375" style="91" customWidth="1"/>
    <col min="6171" max="6171" width="2.85546875" style="91" customWidth="1"/>
    <col min="6172" max="6400" width="9.140625" style="91"/>
    <col min="6401" max="6401" width="4.140625" style="91" customWidth="1"/>
    <col min="6402" max="6408" width="3.7109375" style="91" customWidth="1"/>
    <col min="6409" max="6409" width="2.7109375" style="91" customWidth="1"/>
    <col min="6410" max="6410" width="4.85546875" style="91" customWidth="1"/>
    <col min="6411" max="6417" width="4.42578125" style="91" customWidth="1"/>
    <col min="6418" max="6418" width="2.5703125" style="91" customWidth="1"/>
    <col min="6419" max="6419" width="4.28515625" style="91" customWidth="1"/>
    <col min="6420" max="6426" width="3.7109375" style="91" customWidth="1"/>
    <col min="6427" max="6427" width="2.85546875" style="91" customWidth="1"/>
    <col min="6428" max="6656" width="9.140625" style="91"/>
    <col min="6657" max="6657" width="4.140625" style="91" customWidth="1"/>
    <col min="6658" max="6664" width="3.7109375" style="91" customWidth="1"/>
    <col min="6665" max="6665" width="2.7109375" style="91" customWidth="1"/>
    <col min="6666" max="6666" width="4.85546875" style="91" customWidth="1"/>
    <col min="6667" max="6673" width="4.42578125" style="91" customWidth="1"/>
    <col min="6674" max="6674" width="2.5703125" style="91" customWidth="1"/>
    <col min="6675" max="6675" width="4.28515625" style="91" customWidth="1"/>
    <col min="6676" max="6682" width="3.7109375" style="91" customWidth="1"/>
    <col min="6683" max="6683" width="2.85546875" style="91" customWidth="1"/>
    <col min="6684" max="6912" width="9.140625" style="91"/>
    <col min="6913" max="6913" width="4.140625" style="91" customWidth="1"/>
    <col min="6914" max="6920" width="3.7109375" style="91" customWidth="1"/>
    <col min="6921" max="6921" width="2.7109375" style="91" customWidth="1"/>
    <col min="6922" max="6922" width="4.85546875" style="91" customWidth="1"/>
    <col min="6923" max="6929" width="4.42578125" style="91" customWidth="1"/>
    <col min="6930" max="6930" width="2.5703125" style="91" customWidth="1"/>
    <col min="6931" max="6931" width="4.28515625" style="91" customWidth="1"/>
    <col min="6932" max="6938" width="3.7109375" style="91" customWidth="1"/>
    <col min="6939" max="6939" width="2.85546875" style="91" customWidth="1"/>
    <col min="6940" max="7168" width="9.140625" style="91"/>
    <col min="7169" max="7169" width="4.140625" style="91" customWidth="1"/>
    <col min="7170" max="7176" width="3.7109375" style="91" customWidth="1"/>
    <col min="7177" max="7177" width="2.7109375" style="91" customWidth="1"/>
    <col min="7178" max="7178" width="4.85546875" style="91" customWidth="1"/>
    <col min="7179" max="7185" width="4.42578125" style="91" customWidth="1"/>
    <col min="7186" max="7186" width="2.5703125" style="91" customWidth="1"/>
    <col min="7187" max="7187" width="4.28515625" style="91" customWidth="1"/>
    <col min="7188" max="7194" width="3.7109375" style="91" customWidth="1"/>
    <col min="7195" max="7195" width="2.85546875" style="91" customWidth="1"/>
    <col min="7196" max="7424" width="9.140625" style="91"/>
    <col min="7425" max="7425" width="4.140625" style="91" customWidth="1"/>
    <col min="7426" max="7432" width="3.7109375" style="91" customWidth="1"/>
    <col min="7433" max="7433" width="2.7109375" style="91" customWidth="1"/>
    <col min="7434" max="7434" width="4.85546875" style="91" customWidth="1"/>
    <col min="7435" max="7441" width="4.42578125" style="91" customWidth="1"/>
    <col min="7442" max="7442" width="2.5703125" style="91" customWidth="1"/>
    <col min="7443" max="7443" width="4.28515625" style="91" customWidth="1"/>
    <col min="7444" max="7450" width="3.7109375" style="91" customWidth="1"/>
    <col min="7451" max="7451" width="2.85546875" style="91" customWidth="1"/>
    <col min="7452" max="7680" width="9.140625" style="91"/>
    <col min="7681" max="7681" width="4.140625" style="91" customWidth="1"/>
    <col min="7682" max="7688" width="3.7109375" style="91" customWidth="1"/>
    <col min="7689" max="7689" width="2.7109375" style="91" customWidth="1"/>
    <col min="7690" max="7690" width="4.85546875" style="91" customWidth="1"/>
    <col min="7691" max="7697" width="4.42578125" style="91" customWidth="1"/>
    <col min="7698" max="7698" width="2.5703125" style="91" customWidth="1"/>
    <col min="7699" max="7699" width="4.28515625" style="91" customWidth="1"/>
    <col min="7700" max="7706" width="3.7109375" style="91" customWidth="1"/>
    <col min="7707" max="7707" width="2.85546875" style="91" customWidth="1"/>
    <col min="7708" max="7936" width="9.140625" style="91"/>
    <col min="7937" max="7937" width="4.140625" style="91" customWidth="1"/>
    <col min="7938" max="7944" width="3.7109375" style="91" customWidth="1"/>
    <col min="7945" max="7945" width="2.7109375" style="91" customWidth="1"/>
    <col min="7946" max="7946" width="4.85546875" style="91" customWidth="1"/>
    <col min="7947" max="7953" width="4.42578125" style="91" customWidth="1"/>
    <col min="7954" max="7954" width="2.5703125" style="91" customWidth="1"/>
    <col min="7955" max="7955" width="4.28515625" style="91" customWidth="1"/>
    <col min="7956" max="7962" width="3.7109375" style="91" customWidth="1"/>
    <col min="7963" max="7963" width="2.85546875" style="91" customWidth="1"/>
    <col min="7964" max="8192" width="9.140625" style="91"/>
    <col min="8193" max="8193" width="4.140625" style="91" customWidth="1"/>
    <col min="8194" max="8200" width="3.7109375" style="91" customWidth="1"/>
    <col min="8201" max="8201" width="2.7109375" style="91" customWidth="1"/>
    <col min="8202" max="8202" width="4.85546875" style="91" customWidth="1"/>
    <col min="8203" max="8209" width="4.42578125" style="91" customWidth="1"/>
    <col min="8210" max="8210" width="2.5703125" style="91" customWidth="1"/>
    <col min="8211" max="8211" width="4.28515625" style="91" customWidth="1"/>
    <col min="8212" max="8218" width="3.7109375" style="91" customWidth="1"/>
    <col min="8219" max="8219" width="2.85546875" style="91" customWidth="1"/>
    <col min="8220" max="8448" width="9.140625" style="91"/>
    <col min="8449" max="8449" width="4.140625" style="91" customWidth="1"/>
    <col min="8450" max="8456" width="3.7109375" style="91" customWidth="1"/>
    <col min="8457" max="8457" width="2.7109375" style="91" customWidth="1"/>
    <col min="8458" max="8458" width="4.85546875" style="91" customWidth="1"/>
    <col min="8459" max="8465" width="4.42578125" style="91" customWidth="1"/>
    <col min="8466" max="8466" width="2.5703125" style="91" customWidth="1"/>
    <col min="8467" max="8467" width="4.28515625" style="91" customWidth="1"/>
    <col min="8468" max="8474" width="3.7109375" style="91" customWidth="1"/>
    <col min="8475" max="8475" width="2.85546875" style="91" customWidth="1"/>
    <col min="8476" max="8704" width="9.140625" style="91"/>
    <col min="8705" max="8705" width="4.140625" style="91" customWidth="1"/>
    <col min="8706" max="8712" width="3.7109375" style="91" customWidth="1"/>
    <col min="8713" max="8713" width="2.7109375" style="91" customWidth="1"/>
    <col min="8714" max="8714" width="4.85546875" style="91" customWidth="1"/>
    <col min="8715" max="8721" width="4.42578125" style="91" customWidth="1"/>
    <col min="8722" max="8722" width="2.5703125" style="91" customWidth="1"/>
    <col min="8723" max="8723" width="4.28515625" style="91" customWidth="1"/>
    <col min="8724" max="8730" width="3.7109375" style="91" customWidth="1"/>
    <col min="8731" max="8731" width="2.85546875" style="91" customWidth="1"/>
    <col min="8732" max="8960" width="9.140625" style="91"/>
    <col min="8961" max="8961" width="4.140625" style="91" customWidth="1"/>
    <col min="8962" max="8968" width="3.7109375" style="91" customWidth="1"/>
    <col min="8969" max="8969" width="2.7109375" style="91" customWidth="1"/>
    <col min="8970" max="8970" width="4.85546875" style="91" customWidth="1"/>
    <col min="8971" max="8977" width="4.42578125" style="91" customWidth="1"/>
    <col min="8978" max="8978" width="2.5703125" style="91" customWidth="1"/>
    <col min="8979" max="8979" width="4.28515625" style="91" customWidth="1"/>
    <col min="8980" max="8986" width="3.7109375" style="91" customWidth="1"/>
    <col min="8987" max="8987" width="2.85546875" style="91" customWidth="1"/>
    <col min="8988" max="9216" width="9.140625" style="91"/>
    <col min="9217" max="9217" width="4.140625" style="91" customWidth="1"/>
    <col min="9218" max="9224" width="3.7109375" style="91" customWidth="1"/>
    <col min="9225" max="9225" width="2.7109375" style="91" customWidth="1"/>
    <col min="9226" max="9226" width="4.85546875" style="91" customWidth="1"/>
    <col min="9227" max="9233" width="4.42578125" style="91" customWidth="1"/>
    <col min="9234" max="9234" width="2.5703125" style="91" customWidth="1"/>
    <col min="9235" max="9235" width="4.28515625" style="91" customWidth="1"/>
    <col min="9236" max="9242" width="3.7109375" style="91" customWidth="1"/>
    <col min="9243" max="9243" width="2.85546875" style="91" customWidth="1"/>
    <col min="9244" max="9472" width="9.140625" style="91"/>
    <col min="9473" max="9473" width="4.140625" style="91" customWidth="1"/>
    <col min="9474" max="9480" width="3.7109375" style="91" customWidth="1"/>
    <col min="9481" max="9481" width="2.7109375" style="91" customWidth="1"/>
    <col min="9482" max="9482" width="4.85546875" style="91" customWidth="1"/>
    <col min="9483" max="9489" width="4.42578125" style="91" customWidth="1"/>
    <col min="9490" max="9490" width="2.5703125" style="91" customWidth="1"/>
    <col min="9491" max="9491" width="4.28515625" style="91" customWidth="1"/>
    <col min="9492" max="9498" width="3.7109375" style="91" customWidth="1"/>
    <col min="9499" max="9499" width="2.85546875" style="91" customWidth="1"/>
    <col min="9500" max="9728" width="9.140625" style="91"/>
    <col min="9729" max="9729" width="4.140625" style="91" customWidth="1"/>
    <col min="9730" max="9736" width="3.7109375" style="91" customWidth="1"/>
    <col min="9737" max="9737" width="2.7109375" style="91" customWidth="1"/>
    <col min="9738" max="9738" width="4.85546875" style="91" customWidth="1"/>
    <col min="9739" max="9745" width="4.42578125" style="91" customWidth="1"/>
    <col min="9746" max="9746" width="2.5703125" style="91" customWidth="1"/>
    <col min="9747" max="9747" width="4.28515625" style="91" customWidth="1"/>
    <col min="9748" max="9754" width="3.7109375" style="91" customWidth="1"/>
    <col min="9755" max="9755" width="2.85546875" style="91" customWidth="1"/>
    <col min="9756" max="9984" width="9.140625" style="91"/>
    <col min="9985" max="9985" width="4.140625" style="91" customWidth="1"/>
    <col min="9986" max="9992" width="3.7109375" style="91" customWidth="1"/>
    <col min="9993" max="9993" width="2.7109375" style="91" customWidth="1"/>
    <col min="9994" max="9994" width="4.85546875" style="91" customWidth="1"/>
    <col min="9995" max="10001" width="4.42578125" style="91" customWidth="1"/>
    <col min="10002" max="10002" width="2.5703125" style="91" customWidth="1"/>
    <col min="10003" max="10003" width="4.28515625" style="91" customWidth="1"/>
    <col min="10004" max="10010" width="3.7109375" style="91" customWidth="1"/>
    <col min="10011" max="10011" width="2.85546875" style="91" customWidth="1"/>
    <col min="10012" max="10240" width="9.140625" style="91"/>
    <col min="10241" max="10241" width="4.140625" style="91" customWidth="1"/>
    <col min="10242" max="10248" width="3.7109375" style="91" customWidth="1"/>
    <col min="10249" max="10249" width="2.7109375" style="91" customWidth="1"/>
    <col min="10250" max="10250" width="4.85546875" style="91" customWidth="1"/>
    <col min="10251" max="10257" width="4.42578125" style="91" customWidth="1"/>
    <col min="10258" max="10258" width="2.5703125" style="91" customWidth="1"/>
    <col min="10259" max="10259" width="4.28515625" style="91" customWidth="1"/>
    <col min="10260" max="10266" width="3.7109375" style="91" customWidth="1"/>
    <col min="10267" max="10267" width="2.85546875" style="91" customWidth="1"/>
    <col min="10268" max="10496" width="9.140625" style="91"/>
    <col min="10497" max="10497" width="4.140625" style="91" customWidth="1"/>
    <col min="10498" max="10504" width="3.7109375" style="91" customWidth="1"/>
    <col min="10505" max="10505" width="2.7109375" style="91" customWidth="1"/>
    <col min="10506" max="10506" width="4.85546875" style="91" customWidth="1"/>
    <col min="10507" max="10513" width="4.42578125" style="91" customWidth="1"/>
    <col min="10514" max="10514" width="2.5703125" style="91" customWidth="1"/>
    <col min="10515" max="10515" width="4.28515625" style="91" customWidth="1"/>
    <col min="10516" max="10522" width="3.7109375" style="91" customWidth="1"/>
    <col min="10523" max="10523" width="2.85546875" style="91" customWidth="1"/>
    <col min="10524" max="10752" width="9.140625" style="91"/>
    <col min="10753" max="10753" width="4.140625" style="91" customWidth="1"/>
    <col min="10754" max="10760" width="3.7109375" style="91" customWidth="1"/>
    <col min="10761" max="10761" width="2.7109375" style="91" customWidth="1"/>
    <col min="10762" max="10762" width="4.85546875" style="91" customWidth="1"/>
    <col min="10763" max="10769" width="4.42578125" style="91" customWidth="1"/>
    <col min="10770" max="10770" width="2.5703125" style="91" customWidth="1"/>
    <col min="10771" max="10771" width="4.28515625" style="91" customWidth="1"/>
    <col min="10772" max="10778" width="3.7109375" style="91" customWidth="1"/>
    <col min="10779" max="10779" width="2.85546875" style="91" customWidth="1"/>
    <col min="10780" max="11008" width="9.140625" style="91"/>
    <col min="11009" max="11009" width="4.140625" style="91" customWidth="1"/>
    <col min="11010" max="11016" width="3.7109375" style="91" customWidth="1"/>
    <col min="11017" max="11017" width="2.7109375" style="91" customWidth="1"/>
    <col min="11018" max="11018" width="4.85546875" style="91" customWidth="1"/>
    <col min="11019" max="11025" width="4.42578125" style="91" customWidth="1"/>
    <col min="11026" max="11026" width="2.5703125" style="91" customWidth="1"/>
    <col min="11027" max="11027" width="4.28515625" style="91" customWidth="1"/>
    <col min="11028" max="11034" width="3.7109375" style="91" customWidth="1"/>
    <col min="11035" max="11035" width="2.85546875" style="91" customWidth="1"/>
    <col min="11036" max="11264" width="9.140625" style="91"/>
    <col min="11265" max="11265" width="4.140625" style="91" customWidth="1"/>
    <col min="11266" max="11272" width="3.7109375" style="91" customWidth="1"/>
    <col min="11273" max="11273" width="2.7109375" style="91" customWidth="1"/>
    <col min="11274" max="11274" width="4.85546875" style="91" customWidth="1"/>
    <col min="11275" max="11281" width="4.42578125" style="91" customWidth="1"/>
    <col min="11282" max="11282" width="2.5703125" style="91" customWidth="1"/>
    <col min="11283" max="11283" width="4.28515625" style="91" customWidth="1"/>
    <col min="11284" max="11290" width="3.7109375" style="91" customWidth="1"/>
    <col min="11291" max="11291" width="2.85546875" style="91" customWidth="1"/>
    <col min="11292" max="11520" width="9.140625" style="91"/>
    <col min="11521" max="11521" width="4.140625" style="91" customWidth="1"/>
    <col min="11522" max="11528" width="3.7109375" style="91" customWidth="1"/>
    <col min="11529" max="11529" width="2.7109375" style="91" customWidth="1"/>
    <col min="11530" max="11530" width="4.85546875" style="91" customWidth="1"/>
    <col min="11531" max="11537" width="4.42578125" style="91" customWidth="1"/>
    <col min="11538" max="11538" width="2.5703125" style="91" customWidth="1"/>
    <col min="11539" max="11539" width="4.28515625" style="91" customWidth="1"/>
    <col min="11540" max="11546" width="3.7109375" style="91" customWidth="1"/>
    <col min="11547" max="11547" width="2.85546875" style="91" customWidth="1"/>
    <col min="11548" max="11776" width="9.140625" style="91"/>
    <col min="11777" max="11777" width="4.140625" style="91" customWidth="1"/>
    <col min="11778" max="11784" width="3.7109375" style="91" customWidth="1"/>
    <col min="11785" max="11785" width="2.7109375" style="91" customWidth="1"/>
    <col min="11786" max="11786" width="4.85546875" style="91" customWidth="1"/>
    <col min="11787" max="11793" width="4.42578125" style="91" customWidth="1"/>
    <col min="11794" max="11794" width="2.5703125" style="91" customWidth="1"/>
    <col min="11795" max="11795" width="4.28515625" style="91" customWidth="1"/>
    <col min="11796" max="11802" width="3.7109375" style="91" customWidth="1"/>
    <col min="11803" max="11803" width="2.85546875" style="91" customWidth="1"/>
    <col min="11804" max="12032" width="9.140625" style="91"/>
    <col min="12033" max="12033" width="4.140625" style="91" customWidth="1"/>
    <col min="12034" max="12040" width="3.7109375" style="91" customWidth="1"/>
    <col min="12041" max="12041" width="2.7109375" style="91" customWidth="1"/>
    <col min="12042" max="12042" width="4.85546875" style="91" customWidth="1"/>
    <col min="12043" max="12049" width="4.42578125" style="91" customWidth="1"/>
    <col min="12050" max="12050" width="2.5703125" style="91" customWidth="1"/>
    <col min="12051" max="12051" width="4.28515625" style="91" customWidth="1"/>
    <col min="12052" max="12058" width="3.7109375" style="91" customWidth="1"/>
    <col min="12059" max="12059" width="2.85546875" style="91" customWidth="1"/>
    <col min="12060" max="12288" width="9.140625" style="91"/>
    <col min="12289" max="12289" width="4.140625" style="91" customWidth="1"/>
    <col min="12290" max="12296" width="3.7109375" style="91" customWidth="1"/>
    <col min="12297" max="12297" width="2.7109375" style="91" customWidth="1"/>
    <col min="12298" max="12298" width="4.85546875" style="91" customWidth="1"/>
    <col min="12299" max="12305" width="4.42578125" style="91" customWidth="1"/>
    <col min="12306" max="12306" width="2.5703125" style="91" customWidth="1"/>
    <col min="12307" max="12307" width="4.28515625" style="91" customWidth="1"/>
    <col min="12308" max="12314" width="3.7109375" style="91" customWidth="1"/>
    <col min="12315" max="12315" width="2.85546875" style="91" customWidth="1"/>
    <col min="12316" max="12544" width="9.140625" style="91"/>
    <col min="12545" max="12545" width="4.140625" style="91" customWidth="1"/>
    <col min="12546" max="12552" width="3.7109375" style="91" customWidth="1"/>
    <col min="12553" max="12553" width="2.7109375" style="91" customWidth="1"/>
    <col min="12554" max="12554" width="4.85546875" style="91" customWidth="1"/>
    <col min="12555" max="12561" width="4.42578125" style="91" customWidth="1"/>
    <col min="12562" max="12562" width="2.5703125" style="91" customWidth="1"/>
    <col min="12563" max="12563" width="4.28515625" style="91" customWidth="1"/>
    <col min="12564" max="12570" width="3.7109375" style="91" customWidth="1"/>
    <col min="12571" max="12571" width="2.85546875" style="91" customWidth="1"/>
    <col min="12572" max="12800" width="9.140625" style="91"/>
    <col min="12801" max="12801" width="4.140625" style="91" customWidth="1"/>
    <col min="12802" max="12808" width="3.7109375" style="91" customWidth="1"/>
    <col min="12809" max="12809" width="2.7109375" style="91" customWidth="1"/>
    <col min="12810" max="12810" width="4.85546875" style="91" customWidth="1"/>
    <col min="12811" max="12817" width="4.42578125" style="91" customWidth="1"/>
    <col min="12818" max="12818" width="2.5703125" style="91" customWidth="1"/>
    <col min="12819" max="12819" width="4.28515625" style="91" customWidth="1"/>
    <col min="12820" max="12826" width="3.7109375" style="91" customWidth="1"/>
    <col min="12827" max="12827" width="2.85546875" style="91" customWidth="1"/>
    <col min="12828" max="13056" width="9.140625" style="91"/>
    <col min="13057" max="13057" width="4.140625" style="91" customWidth="1"/>
    <col min="13058" max="13064" width="3.7109375" style="91" customWidth="1"/>
    <col min="13065" max="13065" width="2.7109375" style="91" customWidth="1"/>
    <col min="13066" max="13066" width="4.85546875" style="91" customWidth="1"/>
    <col min="13067" max="13073" width="4.42578125" style="91" customWidth="1"/>
    <col min="13074" max="13074" width="2.5703125" style="91" customWidth="1"/>
    <col min="13075" max="13075" width="4.28515625" style="91" customWidth="1"/>
    <col min="13076" max="13082" width="3.7109375" style="91" customWidth="1"/>
    <col min="13083" max="13083" width="2.85546875" style="91" customWidth="1"/>
    <col min="13084" max="13312" width="9.140625" style="91"/>
    <col min="13313" max="13313" width="4.140625" style="91" customWidth="1"/>
    <col min="13314" max="13320" width="3.7109375" style="91" customWidth="1"/>
    <col min="13321" max="13321" width="2.7109375" style="91" customWidth="1"/>
    <col min="13322" max="13322" width="4.85546875" style="91" customWidth="1"/>
    <col min="13323" max="13329" width="4.42578125" style="91" customWidth="1"/>
    <col min="13330" max="13330" width="2.5703125" style="91" customWidth="1"/>
    <col min="13331" max="13331" width="4.28515625" style="91" customWidth="1"/>
    <col min="13332" max="13338" width="3.7109375" style="91" customWidth="1"/>
    <col min="13339" max="13339" width="2.85546875" style="91" customWidth="1"/>
    <col min="13340" max="13568" width="9.140625" style="91"/>
    <col min="13569" max="13569" width="4.140625" style="91" customWidth="1"/>
    <col min="13570" max="13576" width="3.7109375" style="91" customWidth="1"/>
    <col min="13577" max="13577" width="2.7109375" style="91" customWidth="1"/>
    <col min="13578" max="13578" width="4.85546875" style="91" customWidth="1"/>
    <col min="13579" max="13585" width="4.42578125" style="91" customWidth="1"/>
    <col min="13586" max="13586" width="2.5703125" style="91" customWidth="1"/>
    <col min="13587" max="13587" width="4.28515625" style="91" customWidth="1"/>
    <col min="13588" max="13594" width="3.7109375" style="91" customWidth="1"/>
    <col min="13595" max="13595" width="2.85546875" style="91" customWidth="1"/>
    <col min="13596" max="13824" width="9.140625" style="91"/>
    <col min="13825" max="13825" width="4.140625" style="91" customWidth="1"/>
    <col min="13826" max="13832" width="3.7109375" style="91" customWidth="1"/>
    <col min="13833" max="13833" width="2.7109375" style="91" customWidth="1"/>
    <col min="13834" max="13834" width="4.85546875" style="91" customWidth="1"/>
    <col min="13835" max="13841" width="4.42578125" style="91" customWidth="1"/>
    <col min="13842" max="13842" width="2.5703125" style="91" customWidth="1"/>
    <col min="13843" max="13843" width="4.28515625" style="91" customWidth="1"/>
    <col min="13844" max="13850" width="3.7109375" style="91" customWidth="1"/>
    <col min="13851" max="13851" width="2.85546875" style="91" customWidth="1"/>
    <col min="13852" max="14080" width="9.140625" style="91"/>
    <col min="14081" max="14081" width="4.140625" style="91" customWidth="1"/>
    <col min="14082" max="14088" width="3.7109375" style="91" customWidth="1"/>
    <col min="14089" max="14089" width="2.7109375" style="91" customWidth="1"/>
    <col min="14090" max="14090" width="4.85546875" style="91" customWidth="1"/>
    <col min="14091" max="14097" width="4.42578125" style="91" customWidth="1"/>
    <col min="14098" max="14098" width="2.5703125" style="91" customWidth="1"/>
    <col min="14099" max="14099" width="4.28515625" style="91" customWidth="1"/>
    <col min="14100" max="14106" width="3.7109375" style="91" customWidth="1"/>
    <col min="14107" max="14107" width="2.85546875" style="91" customWidth="1"/>
    <col min="14108" max="14336" width="9.140625" style="91"/>
    <col min="14337" max="14337" width="4.140625" style="91" customWidth="1"/>
    <col min="14338" max="14344" width="3.7109375" style="91" customWidth="1"/>
    <col min="14345" max="14345" width="2.7109375" style="91" customWidth="1"/>
    <col min="14346" max="14346" width="4.85546875" style="91" customWidth="1"/>
    <col min="14347" max="14353" width="4.42578125" style="91" customWidth="1"/>
    <col min="14354" max="14354" width="2.5703125" style="91" customWidth="1"/>
    <col min="14355" max="14355" width="4.28515625" style="91" customWidth="1"/>
    <col min="14356" max="14362" width="3.7109375" style="91" customWidth="1"/>
    <col min="14363" max="14363" width="2.85546875" style="91" customWidth="1"/>
    <col min="14364" max="14592" width="9.140625" style="91"/>
    <col min="14593" max="14593" width="4.140625" style="91" customWidth="1"/>
    <col min="14594" max="14600" width="3.7109375" style="91" customWidth="1"/>
    <col min="14601" max="14601" width="2.7109375" style="91" customWidth="1"/>
    <col min="14602" max="14602" width="4.85546875" style="91" customWidth="1"/>
    <col min="14603" max="14609" width="4.42578125" style="91" customWidth="1"/>
    <col min="14610" max="14610" width="2.5703125" style="91" customWidth="1"/>
    <col min="14611" max="14611" width="4.28515625" style="91" customWidth="1"/>
    <col min="14612" max="14618" width="3.7109375" style="91" customWidth="1"/>
    <col min="14619" max="14619" width="2.85546875" style="91" customWidth="1"/>
    <col min="14620" max="14848" width="9.140625" style="91"/>
    <col min="14849" max="14849" width="4.140625" style="91" customWidth="1"/>
    <col min="14850" max="14856" width="3.7109375" style="91" customWidth="1"/>
    <col min="14857" max="14857" width="2.7109375" style="91" customWidth="1"/>
    <col min="14858" max="14858" width="4.85546875" style="91" customWidth="1"/>
    <col min="14859" max="14865" width="4.42578125" style="91" customWidth="1"/>
    <col min="14866" max="14866" width="2.5703125" style="91" customWidth="1"/>
    <col min="14867" max="14867" width="4.28515625" style="91" customWidth="1"/>
    <col min="14868" max="14874" width="3.7109375" style="91" customWidth="1"/>
    <col min="14875" max="14875" width="2.85546875" style="91" customWidth="1"/>
    <col min="14876" max="15104" width="9.140625" style="91"/>
    <col min="15105" max="15105" width="4.140625" style="91" customWidth="1"/>
    <col min="15106" max="15112" width="3.7109375" style="91" customWidth="1"/>
    <col min="15113" max="15113" width="2.7109375" style="91" customWidth="1"/>
    <col min="15114" max="15114" width="4.85546875" style="91" customWidth="1"/>
    <col min="15115" max="15121" width="4.42578125" style="91" customWidth="1"/>
    <col min="15122" max="15122" width="2.5703125" style="91" customWidth="1"/>
    <col min="15123" max="15123" width="4.28515625" style="91" customWidth="1"/>
    <col min="15124" max="15130" width="3.7109375" style="91" customWidth="1"/>
    <col min="15131" max="15131" width="2.85546875" style="91" customWidth="1"/>
    <col min="15132" max="15360" width="9.140625" style="91"/>
    <col min="15361" max="15361" width="4.140625" style="91" customWidth="1"/>
    <col min="15362" max="15368" width="3.7109375" style="91" customWidth="1"/>
    <col min="15369" max="15369" width="2.7109375" style="91" customWidth="1"/>
    <col min="15370" max="15370" width="4.85546875" style="91" customWidth="1"/>
    <col min="15371" max="15377" width="4.42578125" style="91" customWidth="1"/>
    <col min="15378" max="15378" width="2.5703125" style="91" customWidth="1"/>
    <col min="15379" max="15379" width="4.28515625" style="91" customWidth="1"/>
    <col min="15380" max="15386" width="3.7109375" style="91" customWidth="1"/>
    <col min="15387" max="15387" width="2.85546875" style="91" customWidth="1"/>
    <col min="15388" max="15616" width="9.140625" style="91"/>
    <col min="15617" max="15617" width="4.140625" style="91" customWidth="1"/>
    <col min="15618" max="15624" width="3.7109375" style="91" customWidth="1"/>
    <col min="15625" max="15625" width="2.7109375" style="91" customWidth="1"/>
    <col min="15626" max="15626" width="4.85546875" style="91" customWidth="1"/>
    <col min="15627" max="15633" width="4.42578125" style="91" customWidth="1"/>
    <col min="15634" max="15634" width="2.5703125" style="91" customWidth="1"/>
    <col min="15635" max="15635" width="4.28515625" style="91" customWidth="1"/>
    <col min="15636" max="15642" width="3.7109375" style="91" customWidth="1"/>
    <col min="15643" max="15643" width="2.85546875" style="91" customWidth="1"/>
    <col min="15644" max="15872" width="9.140625" style="91"/>
    <col min="15873" max="15873" width="4.140625" style="91" customWidth="1"/>
    <col min="15874" max="15880" width="3.7109375" style="91" customWidth="1"/>
    <col min="15881" max="15881" width="2.7109375" style="91" customWidth="1"/>
    <col min="15882" max="15882" width="4.85546875" style="91" customWidth="1"/>
    <col min="15883" max="15889" width="4.42578125" style="91" customWidth="1"/>
    <col min="15890" max="15890" width="2.5703125" style="91" customWidth="1"/>
    <col min="15891" max="15891" width="4.28515625" style="91" customWidth="1"/>
    <col min="15892" max="15898" width="3.7109375" style="91" customWidth="1"/>
    <col min="15899" max="15899" width="2.85546875" style="91" customWidth="1"/>
    <col min="15900" max="16128" width="9.140625" style="91"/>
    <col min="16129" max="16129" width="4.140625" style="91" customWidth="1"/>
    <col min="16130" max="16136" width="3.7109375" style="91" customWidth="1"/>
    <col min="16137" max="16137" width="2.7109375" style="91" customWidth="1"/>
    <col min="16138" max="16138" width="4.85546875" style="91" customWidth="1"/>
    <col min="16139" max="16145" width="4.42578125" style="91" customWidth="1"/>
    <col min="16146" max="16146" width="2.5703125" style="91" customWidth="1"/>
    <col min="16147" max="16147" width="4.28515625" style="91" customWidth="1"/>
    <col min="16148" max="16154" width="3.7109375" style="91" customWidth="1"/>
    <col min="16155" max="16155" width="2.85546875" style="91" customWidth="1"/>
    <col min="16156" max="16384" width="9.140625" style="91"/>
  </cols>
  <sheetData>
    <row r="1" spans="1:31" ht="23.25">
      <c r="A1" s="321" t="s">
        <v>644</v>
      </c>
      <c r="B1" s="54" t="s">
        <v>435</v>
      </c>
      <c r="C1" s="54" t="s">
        <v>436</v>
      </c>
      <c r="D1" s="54" t="s">
        <v>437</v>
      </c>
      <c r="E1" s="54" t="s">
        <v>438</v>
      </c>
      <c r="F1" s="54" t="s">
        <v>439</v>
      </c>
      <c r="G1" s="54" t="s">
        <v>440</v>
      </c>
      <c r="H1" s="54" t="s">
        <v>435</v>
      </c>
      <c r="I1" s="446" t="s">
        <v>688</v>
      </c>
      <c r="J1" s="446"/>
      <c r="K1" s="54" t="s">
        <v>435</v>
      </c>
      <c r="L1" s="54" t="s">
        <v>436</v>
      </c>
      <c r="M1" s="54" t="s">
        <v>437</v>
      </c>
      <c r="N1" s="54" t="s">
        <v>438</v>
      </c>
      <c r="O1" s="54" t="s">
        <v>439</v>
      </c>
      <c r="P1" s="54" t="s">
        <v>440</v>
      </c>
      <c r="Q1" s="54" t="s">
        <v>435</v>
      </c>
      <c r="R1" s="55"/>
      <c r="S1" s="322" t="s">
        <v>983</v>
      </c>
      <c r="T1" s="54" t="s">
        <v>435</v>
      </c>
      <c r="U1" s="54" t="s">
        <v>436</v>
      </c>
      <c r="V1" s="54" t="s">
        <v>437</v>
      </c>
      <c r="W1" s="54" t="s">
        <v>438</v>
      </c>
      <c r="X1" s="54" t="s">
        <v>439</v>
      </c>
      <c r="Y1" s="54" t="s">
        <v>440</v>
      </c>
      <c r="Z1" s="54" t="s">
        <v>435</v>
      </c>
      <c r="AA1" s="57"/>
      <c r="AC1" s="117" t="s">
        <v>470</v>
      </c>
    </row>
    <row r="2" spans="1:31" ht="13.5" thickBot="1">
      <c r="A2" s="63" t="s">
        <v>443</v>
      </c>
      <c r="B2" s="323">
        <v>23</v>
      </c>
      <c r="C2" s="324">
        <f t="shared" ref="C2:H2" si="0">+B2+1</f>
        <v>24</v>
      </c>
      <c r="D2" s="324">
        <f t="shared" si="0"/>
        <v>25</v>
      </c>
      <c r="E2" s="324">
        <f t="shared" si="0"/>
        <v>26</v>
      </c>
      <c r="F2" s="324">
        <f t="shared" si="0"/>
        <v>27</v>
      </c>
      <c r="G2" s="324">
        <f t="shared" si="0"/>
        <v>28</v>
      </c>
      <c r="H2" s="325">
        <f t="shared" si="0"/>
        <v>29</v>
      </c>
      <c r="I2" s="59">
        <v>15</v>
      </c>
      <c r="J2" s="61" t="s">
        <v>443</v>
      </c>
      <c r="K2" s="323">
        <v>22</v>
      </c>
      <c r="L2" s="324">
        <v>23</v>
      </c>
      <c r="M2" s="324">
        <f>+L2+1</f>
        <v>24</v>
      </c>
      <c r="N2" s="324">
        <f>+M2+1</f>
        <v>25</v>
      </c>
      <c r="O2" s="324">
        <f>+N2+1</f>
        <v>26</v>
      </c>
      <c r="P2" s="324">
        <f>+O2+1</f>
        <v>27</v>
      </c>
      <c r="Q2" s="325">
        <f>+P2+1</f>
        <v>28</v>
      </c>
      <c r="R2" s="59">
        <v>15</v>
      </c>
      <c r="S2" s="61" t="s">
        <v>443</v>
      </c>
      <c r="T2" s="323">
        <v>21</v>
      </c>
      <c r="U2" s="324">
        <v>22</v>
      </c>
      <c r="V2" s="324">
        <f>+U2+1</f>
        <v>23</v>
      </c>
      <c r="W2" s="324">
        <f>+V2+1</f>
        <v>24</v>
      </c>
      <c r="X2" s="324">
        <f>+W2+1</f>
        <v>25</v>
      </c>
      <c r="Y2" s="324">
        <f>+X2+1</f>
        <v>26</v>
      </c>
      <c r="Z2" s="325">
        <f>+Y2+1</f>
        <v>27</v>
      </c>
      <c r="AA2" s="62">
        <v>15</v>
      </c>
    </row>
    <row r="3" spans="1:31" ht="13.5" thickBot="1">
      <c r="A3" s="326" t="s">
        <v>442</v>
      </c>
      <c r="B3" s="64">
        <v>30</v>
      </c>
      <c r="C3" s="66">
        <v>1</v>
      </c>
      <c r="D3" s="66">
        <f>(C3+1)</f>
        <v>2</v>
      </c>
      <c r="E3" s="66">
        <f>(D3+1)</f>
        <v>3</v>
      </c>
      <c r="F3" s="65">
        <f>(E3+1)</f>
        <v>4</v>
      </c>
      <c r="G3" s="66">
        <f>(F3+1)</f>
        <v>5</v>
      </c>
      <c r="H3" s="67">
        <f>+G3+1</f>
        <v>6</v>
      </c>
      <c r="I3" s="59"/>
      <c r="J3" s="327" t="s">
        <v>442</v>
      </c>
      <c r="K3" s="64">
        <v>29</v>
      </c>
      <c r="L3" s="66">
        <v>30</v>
      </c>
      <c r="M3" s="66">
        <v>1</v>
      </c>
      <c r="N3" s="66">
        <f>(M3+1)</f>
        <v>2</v>
      </c>
      <c r="O3" s="66">
        <f>(N3+1)</f>
        <v>3</v>
      </c>
      <c r="P3" s="65">
        <f>(O3+1)</f>
        <v>4</v>
      </c>
      <c r="Q3" s="67">
        <f>+P3+1</f>
        <v>5</v>
      </c>
      <c r="R3" s="59"/>
      <c r="S3" s="327" t="s">
        <v>442</v>
      </c>
      <c r="T3" s="64">
        <v>28</v>
      </c>
      <c r="U3" s="66">
        <v>29</v>
      </c>
      <c r="V3" s="66">
        <v>30</v>
      </c>
      <c r="W3" s="66">
        <v>1</v>
      </c>
      <c r="X3" s="66">
        <f>(W3+1)</f>
        <v>2</v>
      </c>
      <c r="Y3" s="65">
        <f>(X3+1)</f>
        <v>3</v>
      </c>
      <c r="Z3" s="67">
        <f>+Y3+1</f>
        <v>4</v>
      </c>
      <c r="AA3" s="62"/>
    </row>
    <row r="4" spans="1:31">
      <c r="A4" s="58"/>
      <c r="B4" s="61"/>
      <c r="C4" s="61"/>
      <c r="D4" s="61"/>
      <c r="E4" s="61"/>
      <c r="F4" s="61"/>
      <c r="G4" s="61"/>
      <c r="H4" s="61"/>
      <c r="I4" s="59"/>
      <c r="J4" s="60"/>
      <c r="K4" s="61"/>
      <c r="L4" s="61"/>
      <c r="M4" s="61"/>
      <c r="N4" s="61"/>
      <c r="O4" s="61"/>
      <c r="P4" s="61"/>
      <c r="Q4" s="61"/>
      <c r="R4" s="59"/>
      <c r="S4" s="60"/>
      <c r="T4" s="61"/>
      <c r="U4" s="61"/>
      <c r="V4" s="61"/>
      <c r="W4" s="61"/>
      <c r="X4" s="61"/>
      <c r="Y4" s="61"/>
      <c r="Z4" s="61"/>
      <c r="AA4" s="62"/>
    </row>
    <row r="5" spans="1:31">
      <c r="A5" s="63" t="s">
        <v>443</v>
      </c>
      <c r="B5" s="323">
        <f>+H3+1</f>
        <v>7</v>
      </c>
      <c r="C5" s="324">
        <f>+B5+1</f>
        <v>8</v>
      </c>
      <c r="D5" s="324">
        <f>(C5+1)</f>
        <v>9</v>
      </c>
      <c r="E5" s="324">
        <f>(D5+1)</f>
        <v>10</v>
      </c>
      <c r="F5" s="324">
        <f>(E5+1)</f>
        <v>11</v>
      </c>
      <c r="G5" s="324">
        <f>(F5+1)</f>
        <v>12</v>
      </c>
      <c r="H5" s="325">
        <f>+G5+1</f>
        <v>13</v>
      </c>
      <c r="I5" s="59">
        <v>16</v>
      </c>
      <c r="J5" s="61" t="s">
        <v>443</v>
      </c>
      <c r="K5" s="323">
        <f>+Q3+1</f>
        <v>6</v>
      </c>
      <c r="L5" s="324">
        <f>+K5+1</f>
        <v>7</v>
      </c>
      <c r="M5" s="324">
        <f>(L5+1)</f>
        <v>8</v>
      </c>
      <c r="N5" s="324">
        <f>(M5+1)</f>
        <v>9</v>
      </c>
      <c r="O5" s="324">
        <f>(N5+1)</f>
        <v>10</v>
      </c>
      <c r="P5" s="324">
        <f>(O5+1)</f>
        <v>11</v>
      </c>
      <c r="Q5" s="325">
        <f>+P5+1</f>
        <v>12</v>
      </c>
      <c r="R5" s="59">
        <v>16</v>
      </c>
      <c r="S5" s="61" t="s">
        <v>443</v>
      </c>
      <c r="T5" s="323">
        <f>+Z3+1</f>
        <v>5</v>
      </c>
      <c r="U5" s="324">
        <f>+T5+1</f>
        <v>6</v>
      </c>
      <c r="V5" s="324">
        <f>(U5+1)</f>
        <v>7</v>
      </c>
      <c r="W5" s="324">
        <f>(V5+1)</f>
        <v>8</v>
      </c>
      <c r="X5" s="324">
        <f>(W5+1)</f>
        <v>9</v>
      </c>
      <c r="Y5" s="324">
        <f>(X5+1)</f>
        <v>10</v>
      </c>
      <c r="Z5" s="325">
        <f>+Y5+1</f>
        <v>11</v>
      </c>
      <c r="AA5" s="62">
        <v>16</v>
      </c>
      <c r="AC5" s="447" t="s">
        <v>697</v>
      </c>
      <c r="AD5" s="448"/>
      <c r="AE5" s="448"/>
    </row>
    <row r="6" spans="1:31">
      <c r="A6" s="58"/>
      <c r="B6" s="64">
        <f>+H5+1</f>
        <v>14</v>
      </c>
      <c r="C6" s="66">
        <f>+B6+1</f>
        <v>15</v>
      </c>
      <c r="D6" s="66">
        <f>+C6+1</f>
        <v>16</v>
      </c>
      <c r="E6" s="66">
        <f>+D6+1</f>
        <v>17</v>
      </c>
      <c r="F6" s="66">
        <f>+E6+1</f>
        <v>18</v>
      </c>
      <c r="G6" s="66">
        <f>+F6+1</f>
        <v>19</v>
      </c>
      <c r="H6" s="67">
        <f>+G6+1</f>
        <v>20</v>
      </c>
      <c r="I6" s="59"/>
      <c r="J6" s="60"/>
      <c r="K6" s="64">
        <f>+Q5+1</f>
        <v>13</v>
      </c>
      <c r="L6" s="66">
        <f>+K6+1</f>
        <v>14</v>
      </c>
      <c r="M6" s="66">
        <f>+L6+1</f>
        <v>15</v>
      </c>
      <c r="N6" s="66">
        <f>+M6+1</f>
        <v>16</v>
      </c>
      <c r="O6" s="66">
        <f>+N6+1</f>
        <v>17</v>
      </c>
      <c r="P6" s="351">
        <f>+O6+1</f>
        <v>18</v>
      </c>
      <c r="Q6" s="67">
        <f>+P6+1</f>
        <v>19</v>
      </c>
      <c r="R6" s="59"/>
      <c r="S6" s="60"/>
      <c r="T6" s="64">
        <f>+Z5+1</f>
        <v>12</v>
      </c>
      <c r="U6" s="66">
        <f>+T6+1</f>
        <v>13</v>
      </c>
      <c r="V6" s="66">
        <f>+U6+1</f>
        <v>14</v>
      </c>
      <c r="W6" s="66">
        <f>+V6+1</f>
        <v>15</v>
      </c>
      <c r="X6" s="66">
        <f>+W6+1</f>
        <v>16</v>
      </c>
      <c r="Y6" s="66">
        <f>+X6+1</f>
        <v>17</v>
      </c>
      <c r="Z6" s="67">
        <f>+Y6+1</f>
        <v>18</v>
      </c>
      <c r="AA6" s="62"/>
      <c r="AC6" s="448"/>
      <c r="AD6" s="448"/>
      <c r="AE6" s="448"/>
    </row>
    <row r="7" spans="1:31">
      <c r="A7" s="58"/>
      <c r="B7" s="61"/>
      <c r="C7" s="61"/>
      <c r="D7" s="61"/>
      <c r="E7" s="61"/>
      <c r="F7" s="61"/>
      <c r="G7" s="61"/>
      <c r="H7" s="61"/>
      <c r="I7" s="59"/>
      <c r="J7" s="60"/>
      <c r="K7" s="61"/>
      <c r="L7" s="61"/>
      <c r="M7" s="61"/>
      <c r="N7" s="61"/>
      <c r="O7" s="61"/>
      <c r="P7" s="61"/>
      <c r="Q7" s="61"/>
      <c r="R7" s="59"/>
      <c r="S7" s="60"/>
      <c r="T7" s="61"/>
      <c r="U7" s="61"/>
      <c r="V7" s="61"/>
      <c r="W7" s="61"/>
      <c r="X7" s="61"/>
      <c r="Y7" s="61"/>
      <c r="Z7" s="61"/>
      <c r="AA7" s="62"/>
    </row>
    <row r="8" spans="1:31">
      <c r="A8" s="58"/>
      <c r="B8" s="323">
        <f>+H6+1</f>
        <v>21</v>
      </c>
      <c r="C8" s="324">
        <f>+B8+1</f>
        <v>22</v>
      </c>
      <c r="D8" s="324">
        <f>(C8+1)</f>
        <v>23</v>
      </c>
      <c r="E8" s="324">
        <f>(D8+1)</f>
        <v>24</v>
      </c>
      <c r="F8" s="324">
        <f>(E8+1)</f>
        <v>25</v>
      </c>
      <c r="G8" s="324">
        <f>(F8+1)</f>
        <v>26</v>
      </c>
      <c r="H8" s="325">
        <f>(G8+1)</f>
        <v>27</v>
      </c>
      <c r="I8" s="59">
        <v>17</v>
      </c>
      <c r="J8" s="60"/>
      <c r="K8" s="323">
        <f>+Q6+1</f>
        <v>20</v>
      </c>
      <c r="L8" s="324">
        <f>+K8+1</f>
        <v>21</v>
      </c>
      <c r="M8" s="324">
        <f t="shared" ref="M8:Q9" si="1">(L8+1)</f>
        <v>22</v>
      </c>
      <c r="N8" s="324">
        <f t="shared" si="1"/>
        <v>23</v>
      </c>
      <c r="O8" s="324">
        <f t="shared" si="1"/>
        <v>24</v>
      </c>
      <c r="P8" s="324">
        <f t="shared" si="1"/>
        <v>25</v>
      </c>
      <c r="Q8" s="325">
        <f t="shared" si="1"/>
        <v>26</v>
      </c>
      <c r="R8" s="59">
        <v>17</v>
      </c>
      <c r="S8" s="60"/>
      <c r="T8" s="323">
        <f>+Z6+1</f>
        <v>19</v>
      </c>
      <c r="U8" s="324">
        <f>+T8+1</f>
        <v>20</v>
      </c>
      <c r="V8" s="324">
        <f t="shared" ref="V8:Z9" si="2">(U8+1)</f>
        <v>21</v>
      </c>
      <c r="W8" s="324">
        <f t="shared" si="2"/>
        <v>22</v>
      </c>
      <c r="X8" s="324">
        <f t="shared" si="2"/>
        <v>23</v>
      </c>
      <c r="Y8" s="324">
        <f t="shared" si="2"/>
        <v>24</v>
      </c>
      <c r="Z8" s="325">
        <f t="shared" si="2"/>
        <v>25</v>
      </c>
      <c r="AA8" s="62">
        <v>17</v>
      </c>
    </row>
    <row r="9" spans="1:31">
      <c r="A9" s="326" t="s">
        <v>444</v>
      </c>
      <c r="B9" s="64">
        <v>28</v>
      </c>
      <c r="C9" s="66">
        <v>29</v>
      </c>
      <c r="D9" s="66">
        <f>(C9+1)</f>
        <v>30</v>
      </c>
      <c r="E9" s="66">
        <v>31</v>
      </c>
      <c r="F9" s="66">
        <v>1</v>
      </c>
      <c r="G9" s="66">
        <f>(F9+1)</f>
        <v>2</v>
      </c>
      <c r="H9" s="67">
        <f>+G9+1</f>
        <v>3</v>
      </c>
      <c r="I9" s="59"/>
      <c r="J9" s="327" t="s">
        <v>444</v>
      </c>
      <c r="K9" s="64">
        <v>27</v>
      </c>
      <c r="L9" s="66">
        <v>28</v>
      </c>
      <c r="M9" s="66">
        <f t="shared" si="1"/>
        <v>29</v>
      </c>
      <c r="N9" s="66">
        <v>30</v>
      </c>
      <c r="O9" s="66">
        <v>31</v>
      </c>
      <c r="P9" s="351">
        <v>1</v>
      </c>
      <c r="Q9" s="67">
        <f>+P9+1</f>
        <v>2</v>
      </c>
      <c r="R9" s="59"/>
      <c r="S9" s="327" t="s">
        <v>444</v>
      </c>
      <c r="T9" s="64">
        <f>(Z8+1)</f>
        <v>26</v>
      </c>
      <c r="U9" s="66">
        <f>(T9+1)</f>
        <v>27</v>
      </c>
      <c r="V9" s="66">
        <f t="shared" si="2"/>
        <v>28</v>
      </c>
      <c r="W9" s="66">
        <v>29</v>
      </c>
      <c r="X9" s="66">
        <v>30</v>
      </c>
      <c r="Y9" s="66">
        <v>31</v>
      </c>
      <c r="Z9" s="67">
        <v>1</v>
      </c>
      <c r="AA9" s="62"/>
    </row>
    <row r="10" spans="1:31">
      <c r="A10" s="63"/>
      <c r="B10" s="61"/>
      <c r="C10" s="61"/>
      <c r="D10" s="61"/>
      <c r="E10" s="61"/>
      <c r="F10" s="61"/>
      <c r="G10" s="61"/>
      <c r="H10" s="61"/>
      <c r="I10" s="59"/>
      <c r="J10" s="61"/>
      <c r="K10" s="61"/>
      <c r="L10" s="61"/>
      <c r="M10" s="61"/>
      <c r="N10" s="61"/>
      <c r="O10" s="61"/>
      <c r="P10" s="61"/>
      <c r="Q10" s="61"/>
      <c r="R10" s="59"/>
      <c r="S10" s="61"/>
      <c r="T10" s="61"/>
      <c r="U10" s="61"/>
      <c r="V10" s="61"/>
      <c r="W10" s="61"/>
      <c r="X10" s="61"/>
      <c r="Y10" s="61"/>
      <c r="Z10" s="61"/>
      <c r="AA10" s="62"/>
    </row>
    <row r="11" spans="1:31">
      <c r="A11" s="63" t="s">
        <v>443</v>
      </c>
      <c r="B11" s="323">
        <f>+H9+1</f>
        <v>4</v>
      </c>
      <c r="C11" s="324">
        <f>+B11+1</f>
        <v>5</v>
      </c>
      <c r="D11" s="324">
        <f>(C11+1)</f>
        <v>6</v>
      </c>
      <c r="E11" s="324">
        <f>(D11+1)</f>
        <v>7</v>
      </c>
      <c r="F11" s="324">
        <f>(E11+1)</f>
        <v>8</v>
      </c>
      <c r="G11" s="324">
        <f>(F11+1)</f>
        <v>9</v>
      </c>
      <c r="H11" s="325">
        <f>+G11+1</f>
        <v>10</v>
      </c>
      <c r="I11" s="59">
        <v>18</v>
      </c>
      <c r="J11" s="61" t="s">
        <v>443</v>
      </c>
      <c r="K11" s="323">
        <f>+Q9+1</f>
        <v>3</v>
      </c>
      <c r="L11" s="324">
        <f>+K11+1</f>
        <v>4</v>
      </c>
      <c r="M11" s="324">
        <f t="shared" ref="M11:Q12" si="3">(L11+1)</f>
        <v>5</v>
      </c>
      <c r="N11" s="324">
        <f t="shared" si="3"/>
        <v>6</v>
      </c>
      <c r="O11" s="324">
        <f t="shared" si="3"/>
        <v>7</v>
      </c>
      <c r="P11" s="324">
        <f t="shared" si="3"/>
        <v>8</v>
      </c>
      <c r="Q11" s="325">
        <f>+P11+1</f>
        <v>9</v>
      </c>
      <c r="R11" s="59">
        <v>18</v>
      </c>
      <c r="S11" s="61" t="s">
        <v>443</v>
      </c>
      <c r="T11" s="323">
        <f>+Z9+1</f>
        <v>2</v>
      </c>
      <c r="U11" s="324">
        <f>+T11+1</f>
        <v>3</v>
      </c>
      <c r="V11" s="324">
        <f t="shared" ref="V11:Z12" si="4">(U11+1)</f>
        <v>4</v>
      </c>
      <c r="W11" s="324">
        <f t="shared" si="4"/>
        <v>5</v>
      </c>
      <c r="X11" s="324">
        <f t="shared" si="4"/>
        <v>6</v>
      </c>
      <c r="Y11" s="324">
        <f t="shared" si="4"/>
        <v>7</v>
      </c>
      <c r="Z11" s="325">
        <f>+Y11+1</f>
        <v>8</v>
      </c>
      <c r="AA11" s="62">
        <v>18</v>
      </c>
    </row>
    <row r="12" spans="1:31">
      <c r="A12" s="63"/>
      <c r="B12" s="64">
        <f>+H11+1</f>
        <v>11</v>
      </c>
      <c r="C12" s="66">
        <f>+B12+1</f>
        <v>12</v>
      </c>
      <c r="D12" s="66">
        <f>+C12+1</f>
        <v>13</v>
      </c>
      <c r="E12" s="66">
        <f>(D12+1)</f>
        <v>14</v>
      </c>
      <c r="F12" s="66">
        <f>(E12+1)</f>
        <v>15</v>
      </c>
      <c r="G12" s="66">
        <f>(F12+1)</f>
        <v>16</v>
      </c>
      <c r="H12" s="67">
        <f>(G12+1)</f>
        <v>17</v>
      </c>
      <c r="I12" s="59"/>
      <c r="J12" s="61"/>
      <c r="K12" s="64">
        <f>+Q11+1</f>
        <v>10</v>
      </c>
      <c r="L12" s="66">
        <f>+K12+1</f>
        <v>11</v>
      </c>
      <c r="M12" s="66">
        <f>+L12+1</f>
        <v>12</v>
      </c>
      <c r="N12" s="66">
        <f t="shared" si="3"/>
        <v>13</v>
      </c>
      <c r="O12" s="66">
        <f t="shared" si="3"/>
        <v>14</v>
      </c>
      <c r="P12" s="351">
        <f t="shared" si="3"/>
        <v>15</v>
      </c>
      <c r="Q12" s="67">
        <f t="shared" si="3"/>
        <v>16</v>
      </c>
      <c r="R12" s="59"/>
      <c r="S12" s="61"/>
      <c r="T12" s="64">
        <f>+Z11+1</f>
        <v>9</v>
      </c>
      <c r="U12" s="66">
        <f>+T12+1</f>
        <v>10</v>
      </c>
      <c r="V12" s="66">
        <f>+U12+1</f>
        <v>11</v>
      </c>
      <c r="W12" s="66">
        <f t="shared" si="4"/>
        <v>12</v>
      </c>
      <c r="X12" s="66">
        <f t="shared" si="4"/>
        <v>13</v>
      </c>
      <c r="Y12" s="66">
        <f t="shared" si="4"/>
        <v>14</v>
      </c>
      <c r="Z12" s="67">
        <f t="shared" si="4"/>
        <v>15</v>
      </c>
      <c r="AA12" s="62"/>
    </row>
    <row r="13" spans="1:31" ht="13.5" thickBot="1">
      <c r="A13" s="63"/>
      <c r="B13" s="61"/>
      <c r="C13" s="61"/>
      <c r="D13" s="61"/>
      <c r="E13" s="61"/>
      <c r="F13" s="61"/>
      <c r="G13" s="61"/>
      <c r="H13" s="61"/>
      <c r="I13" s="59"/>
      <c r="J13" s="61"/>
      <c r="K13" s="61"/>
      <c r="L13" s="61"/>
      <c r="M13" s="61"/>
      <c r="N13" s="61"/>
      <c r="O13" s="61"/>
      <c r="P13" s="61"/>
      <c r="Q13" s="61"/>
      <c r="R13" s="59"/>
      <c r="S13" s="61"/>
      <c r="T13" s="61"/>
      <c r="U13" s="61"/>
      <c r="V13" s="61"/>
      <c r="W13" s="61"/>
      <c r="X13" s="61"/>
      <c r="Y13" s="61"/>
      <c r="Z13" s="61"/>
      <c r="AA13" s="62"/>
    </row>
    <row r="14" spans="1:31" ht="13.5" thickBot="1">
      <c r="A14" s="63" t="s">
        <v>443</v>
      </c>
      <c r="B14" s="328">
        <f>+H12+1</f>
        <v>18</v>
      </c>
      <c r="C14" s="324">
        <f>+B14+1</f>
        <v>19</v>
      </c>
      <c r="D14" s="324">
        <f>+C14+1</f>
        <v>20</v>
      </c>
      <c r="E14" s="324">
        <f>+D14+1</f>
        <v>21</v>
      </c>
      <c r="F14" s="329">
        <f>(E14+1)</f>
        <v>22</v>
      </c>
      <c r="G14" s="329">
        <f>(F14+1)</f>
        <v>23</v>
      </c>
      <c r="H14" s="325">
        <f>(G14+1)</f>
        <v>24</v>
      </c>
      <c r="I14" s="59">
        <v>19</v>
      </c>
      <c r="J14" s="61" t="s">
        <v>443</v>
      </c>
      <c r="K14" s="328">
        <f>+Q12+1</f>
        <v>17</v>
      </c>
      <c r="L14" s="324">
        <f>+K14+1</f>
        <v>18</v>
      </c>
      <c r="M14" s="324">
        <f>+L14+1</f>
        <v>19</v>
      </c>
      <c r="N14" s="324">
        <f>+M14+1</f>
        <v>20</v>
      </c>
      <c r="O14" s="329">
        <f>(N14+1)</f>
        <v>21</v>
      </c>
      <c r="P14" s="329">
        <f>(O14+1)</f>
        <v>22</v>
      </c>
      <c r="Q14" s="325">
        <f>(P14+1)</f>
        <v>23</v>
      </c>
      <c r="R14" s="59">
        <v>19</v>
      </c>
      <c r="S14" s="61" t="s">
        <v>443</v>
      </c>
      <c r="T14" s="328">
        <f>+Z12+1</f>
        <v>16</v>
      </c>
      <c r="U14" s="324">
        <f>+T14+1</f>
        <v>17</v>
      </c>
      <c r="V14" s="324">
        <f>+U14+1</f>
        <v>18</v>
      </c>
      <c r="W14" s="324">
        <f>+V14+1</f>
        <v>19</v>
      </c>
      <c r="X14" s="329">
        <f t="shared" ref="X14:Z15" si="5">(W14+1)</f>
        <v>20</v>
      </c>
      <c r="Y14" s="329">
        <f t="shared" si="5"/>
        <v>21</v>
      </c>
      <c r="Z14" s="325">
        <f t="shared" si="5"/>
        <v>22</v>
      </c>
      <c r="AA14" s="62">
        <v>19</v>
      </c>
    </row>
    <row r="15" spans="1:31">
      <c r="A15" s="63"/>
      <c r="B15" s="64">
        <v>25</v>
      </c>
      <c r="C15" s="66">
        <v>26</v>
      </c>
      <c r="D15" s="69">
        <v>27</v>
      </c>
      <c r="E15" s="69">
        <v>28</v>
      </c>
      <c r="F15" s="69">
        <v>29</v>
      </c>
      <c r="G15" s="69">
        <v>30</v>
      </c>
      <c r="H15" s="157">
        <v>31</v>
      </c>
      <c r="I15" s="59"/>
      <c r="J15" s="61"/>
      <c r="K15" s="64">
        <v>24</v>
      </c>
      <c r="L15" s="66">
        <v>25</v>
      </c>
      <c r="M15" s="69">
        <v>26</v>
      </c>
      <c r="N15" s="69">
        <v>27</v>
      </c>
      <c r="O15" s="69">
        <v>28</v>
      </c>
      <c r="P15" s="352">
        <v>29</v>
      </c>
      <c r="Q15" s="157">
        <v>30</v>
      </c>
      <c r="R15" s="59"/>
      <c r="S15" s="61"/>
      <c r="T15" s="64">
        <f>(Z14+1)</f>
        <v>23</v>
      </c>
      <c r="U15" s="66">
        <f>(T15+1)</f>
        <v>24</v>
      </c>
      <c r="V15" s="69">
        <f>(U15+1)</f>
        <v>25</v>
      </c>
      <c r="W15" s="69">
        <f>(V15+1)</f>
        <v>26</v>
      </c>
      <c r="X15" s="69">
        <f t="shared" si="5"/>
        <v>27</v>
      </c>
      <c r="Y15" s="69">
        <f t="shared" si="5"/>
        <v>28</v>
      </c>
      <c r="Z15" s="157">
        <f t="shared" si="5"/>
        <v>29</v>
      </c>
      <c r="AA15" s="62"/>
    </row>
    <row r="16" spans="1:31" ht="13.5" thickBot="1">
      <c r="A16" s="63"/>
      <c r="B16" s="61"/>
      <c r="C16" s="61"/>
      <c r="D16" s="61"/>
      <c r="E16" s="61"/>
      <c r="F16" s="61"/>
      <c r="G16" s="61"/>
      <c r="H16" s="61"/>
      <c r="I16" s="59"/>
      <c r="J16" s="61"/>
      <c r="K16" s="61"/>
      <c r="L16" s="61"/>
      <c r="M16" s="61"/>
      <c r="N16" s="61"/>
      <c r="O16" s="61"/>
      <c r="P16" s="61"/>
      <c r="Q16" s="61"/>
      <c r="R16" s="59"/>
      <c r="S16" s="61"/>
      <c r="T16" s="61"/>
      <c r="U16" s="61"/>
      <c r="V16" s="61"/>
      <c r="W16" s="61"/>
      <c r="X16" s="61"/>
      <c r="Y16" s="61"/>
      <c r="Z16" s="61"/>
      <c r="AA16" s="62"/>
    </row>
    <row r="17" spans="1:27" ht="13.5" thickBot="1">
      <c r="A17" s="326" t="s">
        <v>445</v>
      </c>
      <c r="B17" s="323">
        <v>1</v>
      </c>
      <c r="C17" s="70">
        <f>+B17+1</f>
        <v>2</v>
      </c>
      <c r="D17" s="324">
        <f t="shared" ref="D17:G18" si="6">(C17+1)</f>
        <v>3</v>
      </c>
      <c r="E17" s="324">
        <f t="shared" si="6"/>
        <v>4</v>
      </c>
      <c r="F17" s="324">
        <f t="shared" si="6"/>
        <v>5</v>
      </c>
      <c r="G17" s="324">
        <f t="shared" si="6"/>
        <v>6</v>
      </c>
      <c r="H17" s="325">
        <f>+G17+1</f>
        <v>7</v>
      </c>
      <c r="I17" s="59">
        <v>20</v>
      </c>
      <c r="J17" s="327" t="s">
        <v>445</v>
      </c>
      <c r="K17" s="323">
        <v>31</v>
      </c>
      <c r="L17" s="70">
        <v>1</v>
      </c>
      <c r="M17" s="324">
        <f t="shared" ref="M17:P18" si="7">(L17+1)</f>
        <v>2</v>
      </c>
      <c r="N17" s="324">
        <f t="shared" si="7"/>
        <v>3</v>
      </c>
      <c r="O17" s="324">
        <f t="shared" si="7"/>
        <v>4</v>
      </c>
      <c r="P17" s="324">
        <f t="shared" si="7"/>
        <v>5</v>
      </c>
      <c r="Q17" s="325">
        <f>+P17+1</f>
        <v>6</v>
      </c>
      <c r="R17" s="59">
        <v>20</v>
      </c>
      <c r="S17" s="327" t="s">
        <v>445</v>
      </c>
      <c r="T17" s="323">
        <v>30</v>
      </c>
      <c r="U17" s="324">
        <v>31</v>
      </c>
      <c r="V17" s="324">
        <v>1</v>
      </c>
      <c r="W17" s="324">
        <f>(V17+1)</f>
        <v>2</v>
      </c>
      <c r="X17" s="324">
        <f t="shared" ref="V17:Y20" si="8">(W17+1)</f>
        <v>3</v>
      </c>
      <c r="Y17" s="324">
        <f t="shared" si="8"/>
        <v>4</v>
      </c>
      <c r="Z17" s="325">
        <f>+Y17+1</f>
        <v>5</v>
      </c>
      <c r="AA17" s="62">
        <v>20</v>
      </c>
    </row>
    <row r="18" spans="1:27" ht="13.5" thickBot="1">
      <c r="A18" s="63"/>
      <c r="B18" s="64">
        <f>+H17+1</f>
        <v>8</v>
      </c>
      <c r="C18" s="66">
        <f>+B18+1</f>
        <v>9</v>
      </c>
      <c r="D18" s="66">
        <f t="shared" si="6"/>
        <v>10</v>
      </c>
      <c r="E18" s="66">
        <f t="shared" si="6"/>
        <v>11</v>
      </c>
      <c r="F18" s="66">
        <f t="shared" si="6"/>
        <v>12</v>
      </c>
      <c r="G18" s="66">
        <f t="shared" si="6"/>
        <v>13</v>
      </c>
      <c r="H18" s="67">
        <f>+G18+1</f>
        <v>14</v>
      </c>
      <c r="I18" s="59"/>
      <c r="J18" s="61"/>
      <c r="K18" s="64">
        <f>+Q17+1</f>
        <v>7</v>
      </c>
      <c r="L18" s="66">
        <f>+K18+1</f>
        <v>8</v>
      </c>
      <c r="M18" s="66">
        <f t="shared" si="7"/>
        <v>9</v>
      </c>
      <c r="N18" s="66">
        <f t="shared" si="7"/>
        <v>10</v>
      </c>
      <c r="O18" s="66">
        <f t="shared" si="7"/>
        <v>11</v>
      </c>
      <c r="P18" s="351">
        <f t="shared" si="7"/>
        <v>12</v>
      </c>
      <c r="Q18" s="67">
        <f>+P18+1</f>
        <v>13</v>
      </c>
      <c r="R18" s="59"/>
      <c r="S18" s="61"/>
      <c r="T18" s="64">
        <f>+Z17+1</f>
        <v>6</v>
      </c>
      <c r="U18" s="70">
        <f>+T18+1</f>
        <v>7</v>
      </c>
      <c r="V18" s="66">
        <f t="shared" si="8"/>
        <v>8</v>
      </c>
      <c r="W18" s="66">
        <f t="shared" si="8"/>
        <v>9</v>
      </c>
      <c r="X18" s="66">
        <f t="shared" si="8"/>
        <v>10</v>
      </c>
      <c r="Y18" s="66">
        <f t="shared" si="8"/>
        <v>11</v>
      </c>
      <c r="Z18" s="67">
        <f>+Y18+1</f>
        <v>12</v>
      </c>
      <c r="AA18" s="62"/>
    </row>
    <row r="19" spans="1:27">
      <c r="A19" s="63"/>
      <c r="B19" s="61"/>
      <c r="C19" s="61"/>
      <c r="D19" s="61"/>
      <c r="E19" s="61"/>
      <c r="F19" s="61"/>
      <c r="G19" s="61"/>
      <c r="H19" s="61"/>
      <c r="I19" s="59"/>
      <c r="J19" s="61"/>
      <c r="K19" s="61"/>
      <c r="L19" s="61"/>
      <c r="M19" s="61"/>
      <c r="N19" s="61"/>
      <c r="O19" s="61"/>
      <c r="P19" s="61"/>
      <c r="Q19" s="61"/>
      <c r="R19" s="59"/>
      <c r="S19" s="61"/>
      <c r="T19" s="61"/>
      <c r="U19" s="61"/>
      <c r="V19" s="61"/>
      <c r="W19" s="61"/>
      <c r="X19" s="61"/>
      <c r="Y19" s="61"/>
      <c r="Z19" s="61"/>
      <c r="AA19" s="62"/>
    </row>
    <row r="20" spans="1:27">
      <c r="A20" s="63"/>
      <c r="B20" s="330">
        <f>(H18+1)</f>
        <v>15</v>
      </c>
      <c r="C20" s="329">
        <f>+B20+1</f>
        <v>16</v>
      </c>
      <c r="D20" s="324">
        <f>(C20+1)</f>
        <v>17</v>
      </c>
      <c r="E20" s="324">
        <f>(D20+1)</f>
        <v>18</v>
      </c>
      <c r="F20" s="324">
        <f>(E20+1)</f>
        <v>19</v>
      </c>
      <c r="G20" s="329">
        <f>(F20+1)</f>
        <v>20</v>
      </c>
      <c r="H20" s="331">
        <f>+G20+1</f>
        <v>21</v>
      </c>
      <c r="I20" s="59">
        <v>21</v>
      </c>
      <c r="J20" s="61"/>
      <c r="K20" s="330">
        <f>(Q18+1)</f>
        <v>14</v>
      </c>
      <c r="L20" s="329">
        <f>+K20+1</f>
        <v>15</v>
      </c>
      <c r="M20" s="324">
        <f t="shared" ref="M20:O20" si="9">(L20+1)</f>
        <v>16</v>
      </c>
      <c r="N20" s="324">
        <f t="shared" si="9"/>
        <v>17</v>
      </c>
      <c r="O20" s="324">
        <f t="shared" si="9"/>
        <v>18</v>
      </c>
      <c r="P20" s="329">
        <f>(O20+1)</f>
        <v>19</v>
      </c>
      <c r="Q20" s="331">
        <f>+P20+1</f>
        <v>20</v>
      </c>
      <c r="R20" s="59">
        <v>21</v>
      </c>
      <c r="S20" s="61"/>
      <c r="T20" s="330">
        <f>(Z18+1)</f>
        <v>13</v>
      </c>
      <c r="U20" s="329">
        <f>+T20+1</f>
        <v>14</v>
      </c>
      <c r="V20" s="324">
        <f t="shared" si="8"/>
        <v>15</v>
      </c>
      <c r="W20" s="324">
        <f t="shared" si="8"/>
        <v>16</v>
      </c>
      <c r="X20" s="324">
        <f t="shared" si="8"/>
        <v>17</v>
      </c>
      <c r="Y20" s="329">
        <f>(X20+1)</f>
        <v>18</v>
      </c>
      <c r="Z20" s="331">
        <f>+Y20+1</f>
        <v>19</v>
      </c>
      <c r="AA20" s="62">
        <v>21</v>
      </c>
    </row>
    <row r="21" spans="1:27">
      <c r="A21" s="63"/>
      <c r="B21" s="156">
        <f>+H20+1</f>
        <v>22</v>
      </c>
      <c r="C21" s="66">
        <f>+B21+1</f>
        <v>23</v>
      </c>
      <c r="D21" s="66">
        <f>+C21+1</f>
        <v>24</v>
      </c>
      <c r="E21" s="66">
        <f>+D21+1</f>
        <v>25</v>
      </c>
      <c r="F21" s="66">
        <f>+E21+1</f>
        <v>26</v>
      </c>
      <c r="G21" s="66">
        <f>+F21+1</f>
        <v>27</v>
      </c>
      <c r="H21" s="67">
        <f>+G21+1</f>
        <v>28</v>
      </c>
      <c r="I21" s="59"/>
      <c r="J21" s="61"/>
      <c r="K21" s="156">
        <f>+Q20+1</f>
        <v>21</v>
      </c>
      <c r="L21" s="66">
        <f>+K21+1</f>
        <v>22</v>
      </c>
      <c r="M21" s="66">
        <f>+L21+1</f>
        <v>23</v>
      </c>
      <c r="N21" s="66">
        <f>+M21+1</f>
        <v>24</v>
      </c>
      <c r="O21" s="66">
        <f>+N21+1</f>
        <v>25</v>
      </c>
      <c r="P21" s="351">
        <f>+O21+1</f>
        <v>26</v>
      </c>
      <c r="Q21" s="67">
        <f>+P21+1</f>
        <v>27</v>
      </c>
      <c r="R21" s="59"/>
      <c r="S21" s="61"/>
      <c r="T21" s="156">
        <f>+Z20+1</f>
        <v>20</v>
      </c>
      <c r="U21" s="66">
        <f>+T21+1</f>
        <v>21</v>
      </c>
      <c r="V21" s="66">
        <f>+U21+1</f>
        <v>22</v>
      </c>
      <c r="W21" s="66">
        <f>+V21+1</f>
        <v>23</v>
      </c>
      <c r="X21" s="66">
        <f>+W21+1</f>
        <v>24</v>
      </c>
      <c r="Y21" s="66">
        <f>+X21+1</f>
        <v>25</v>
      </c>
      <c r="Z21" s="67">
        <f>+Y21+1</f>
        <v>26</v>
      </c>
      <c r="AA21" s="62"/>
    </row>
    <row r="22" spans="1:27">
      <c r="A22" s="63"/>
      <c r="B22" s="61"/>
      <c r="C22" s="61"/>
      <c r="D22" s="61"/>
      <c r="E22" s="61"/>
      <c r="F22" s="61"/>
      <c r="G22" s="61"/>
      <c r="H22" s="61"/>
      <c r="I22" s="59"/>
      <c r="J22" s="61"/>
      <c r="K22" s="61"/>
      <c r="L22" s="61"/>
      <c r="M22" s="61"/>
      <c r="N22" s="61"/>
      <c r="O22" s="61"/>
      <c r="P22" s="61"/>
      <c r="Q22" s="61"/>
      <c r="R22" s="59"/>
      <c r="S22" s="61"/>
      <c r="T22" s="61"/>
      <c r="U22" s="61"/>
      <c r="V22" s="61"/>
      <c r="W22" s="61"/>
      <c r="X22" s="61"/>
      <c r="Y22" s="61"/>
      <c r="Z22" s="61"/>
      <c r="AA22" s="62"/>
    </row>
    <row r="23" spans="1:27">
      <c r="A23" s="326" t="s">
        <v>446</v>
      </c>
      <c r="B23" s="323">
        <f>+H21+1</f>
        <v>29</v>
      </c>
      <c r="C23" s="324">
        <v>30</v>
      </c>
      <c r="D23" s="324">
        <v>1</v>
      </c>
      <c r="E23" s="324">
        <f t="shared" ref="E23:G24" si="10">(D23+1)</f>
        <v>2</v>
      </c>
      <c r="F23" s="324">
        <f t="shared" si="10"/>
        <v>3</v>
      </c>
      <c r="G23" s="324">
        <f t="shared" si="10"/>
        <v>4</v>
      </c>
      <c r="H23" s="325">
        <f>+G23+1</f>
        <v>5</v>
      </c>
      <c r="I23" s="59">
        <v>22</v>
      </c>
      <c r="J23" s="327" t="s">
        <v>446</v>
      </c>
      <c r="K23" s="323">
        <f>+Q21+1</f>
        <v>28</v>
      </c>
      <c r="L23" s="324">
        <v>29</v>
      </c>
      <c r="M23" s="324">
        <v>30</v>
      </c>
      <c r="N23" s="324">
        <v>1</v>
      </c>
      <c r="O23" s="324">
        <f t="shared" ref="O23:P24" si="11">(N23+1)</f>
        <v>2</v>
      </c>
      <c r="P23" s="324">
        <f t="shared" si="11"/>
        <v>3</v>
      </c>
      <c r="Q23" s="325">
        <f>+P23+1</f>
        <v>4</v>
      </c>
      <c r="R23" s="59">
        <v>22</v>
      </c>
      <c r="S23" s="327" t="s">
        <v>446</v>
      </c>
      <c r="T23" s="323">
        <f>+Z21+1</f>
        <v>27</v>
      </c>
      <c r="U23" s="324">
        <f>(T23+1)</f>
        <v>28</v>
      </c>
      <c r="V23" s="324">
        <f>(U23+1)</f>
        <v>29</v>
      </c>
      <c r="W23" s="324">
        <v>30</v>
      </c>
      <c r="X23" s="324">
        <v>1</v>
      </c>
      <c r="Y23" s="324">
        <f t="shared" ref="V23:Y24" si="12">(X23+1)</f>
        <v>2</v>
      </c>
      <c r="Z23" s="325">
        <f>+Y23+1</f>
        <v>3</v>
      </c>
      <c r="AA23" s="62">
        <v>22</v>
      </c>
    </row>
    <row r="24" spans="1:27">
      <c r="A24" s="63"/>
      <c r="B24" s="64">
        <f>+H23+1</f>
        <v>6</v>
      </c>
      <c r="C24" s="66">
        <f>+B24+1</f>
        <v>7</v>
      </c>
      <c r="D24" s="66">
        <f>(C24+1)</f>
        <v>8</v>
      </c>
      <c r="E24" s="66">
        <f t="shared" si="10"/>
        <v>9</v>
      </c>
      <c r="F24" s="66">
        <f t="shared" si="10"/>
        <v>10</v>
      </c>
      <c r="G24" s="66">
        <f t="shared" si="10"/>
        <v>11</v>
      </c>
      <c r="H24" s="67">
        <f>+G24+1</f>
        <v>12</v>
      </c>
      <c r="I24" s="59"/>
      <c r="J24" s="61"/>
      <c r="K24" s="64">
        <f>+Q23+1</f>
        <v>5</v>
      </c>
      <c r="L24" s="66">
        <f>+K24+1</f>
        <v>6</v>
      </c>
      <c r="M24" s="66">
        <f t="shared" ref="M24:N24" si="13">(L24+1)</f>
        <v>7</v>
      </c>
      <c r="N24" s="66">
        <f t="shared" si="13"/>
        <v>8</v>
      </c>
      <c r="O24" s="66">
        <f t="shared" si="11"/>
        <v>9</v>
      </c>
      <c r="P24" s="351">
        <f t="shared" si="11"/>
        <v>10</v>
      </c>
      <c r="Q24" s="67">
        <f>+P24+1</f>
        <v>11</v>
      </c>
      <c r="R24" s="59"/>
      <c r="S24" s="61"/>
      <c r="T24" s="64">
        <f>+Z23+1</f>
        <v>4</v>
      </c>
      <c r="U24" s="66">
        <f>+T24+1</f>
        <v>5</v>
      </c>
      <c r="V24" s="66">
        <f t="shared" si="12"/>
        <v>6</v>
      </c>
      <c r="W24" s="66">
        <f t="shared" si="12"/>
        <v>7</v>
      </c>
      <c r="X24" s="66">
        <f t="shared" si="12"/>
        <v>8</v>
      </c>
      <c r="Y24" s="66">
        <f t="shared" si="12"/>
        <v>9</v>
      </c>
      <c r="Z24" s="67">
        <f>+Y24+1</f>
        <v>10</v>
      </c>
      <c r="AA24" s="62"/>
    </row>
    <row r="25" spans="1:27">
      <c r="A25" s="63"/>
      <c r="B25" s="61"/>
      <c r="C25" s="61"/>
      <c r="D25" s="61"/>
      <c r="E25" s="61"/>
      <c r="F25" s="61"/>
      <c r="G25" s="61"/>
      <c r="H25" s="61"/>
      <c r="I25" s="59"/>
      <c r="J25" s="61"/>
      <c r="K25" s="61"/>
      <c r="L25" s="61"/>
      <c r="M25" s="61"/>
      <c r="N25" s="61"/>
      <c r="O25" s="61"/>
      <c r="P25" s="61"/>
      <c r="Q25" s="61"/>
      <c r="R25" s="59"/>
      <c r="S25" s="61"/>
      <c r="T25" s="61"/>
      <c r="U25" s="61"/>
      <c r="V25" s="61"/>
      <c r="W25" s="61"/>
      <c r="X25" s="61"/>
      <c r="Y25" s="61"/>
      <c r="Z25" s="61"/>
      <c r="AA25" s="62"/>
    </row>
    <row r="26" spans="1:27">
      <c r="A26" s="63"/>
      <c r="B26" s="323">
        <f>+H24+1</f>
        <v>13</v>
      </c>
      <c r="C26" s="324">
        <f>+B26+1</f>
        <v>14</v>
      </c>
      <c r="D26" s="324">
        <f>(C26+1)</f>
        <v>15</v>
      </c>
      <c r="E26" s="324">
        <f>(D26+1)</f>
        <v>16</v>
      </c>
      <c r="F26" s="324">
        <f>(E26+1)</f>
        <v>17</v>
      </c>
      <c r="G26" s="324">
        <f>(F26+1)</f>
        <v>18</v>
      </c>
      <c r="H26" s="325">
        <f>(G26+1)</f>
        <v>19</v>
      </c>
      <c r="I26" s="59">
        <v>23</v>
      </c>
      <c r="J26" s="61"/>
      <c r="K26" s="323">
        <f>+Q24+1</f>
        <v>12</v>
      </c>
      <c r="L26" s="324">
        <f>+K26+1</f>
        <v>13</v>
      </c>
      <c r="M26" s="324">
        <f>(L26+1)</f>
        <v>14</v>
      </c>
      <c r="N26" s="324">
        <f>(M26+1)</f>
        <v>15</v>
      </c>
      <c r="O26" s="324">
        <f>(N26+1)</f>
        <v>16</v>
      </c>
      <c r="P26" s="324">
        <f>(O26+1)</f>
        <v>17</v>
      </c>
      <c r="Q26" s="325">
        <f>(P26+1)</f>
        <v>18</v>
      </c>
      <c r="R26" s="59">
        <v>23</v>
      </c>
      <c r="S26" s="61"/>
      <c r="T26" s="323">
        <f>+Z24+1</f>
        <v>11</v>
      </c>
      <c r="U26" s="324">
        <f>+T26+1</f>
        <v>12</v>
      </c>
      <c r="V26" s="324">
        <f>(U26+1)</f>
        <v>13</v>
      </c>
      <c r="W26" s="324">
        <f>(V26+1)</f>
        <v>14</v>
      </c>
      <c r="X26" s="324">
        <f>(W26+1)</f>
        <v>15</v>
      </c>
      <c r="Y26" s="324">
        <f>(X26+1)</f>
        <v>16</v>
      </c>
      <c r="Z26" s="325">
        <f>(Y26+1)</f>
        <v>17</v>
      </c>
      <c r="AA26" s="62">
        <v>23</v>
      </c>
    </row>
    <row r="27" spans="1:27">
      <c r="A27" s="63"/>
      <c r="B27" s="64">
        <f>(H26+1)</f>
        <v>20</v>
      </c>
      <c r="C27" s="66">
        <f>+B27+1</f>
        <v>21</v>
      </c>
      <c r="D27" s="66">
        <f>(C27+1)</f>
        <v>22</v>
      </c>
      <c r="E27" s="66">
        <f>(D27+1)</f>
        <v>23</v>
      </c>
      <c r="F27" s="66">
        <f>(E27+1)</f>
        <v>24</v>
      </c>
      <c r="G27" s="66">
        <f>(F27+1)</f>
        <v>25</v>
      </c>
      <c r="H27" s="67">
        <f>+G27+1</f>
        <v>26</v>
      </c>
      <c r="I27" s="59"/>
      <c r="J27" s="61"/>
      <c r="K27" s="64">
        <f>(Q26+1)</f>
        <v>19</v>
      </c>
      <c r="L27" s="66">
        <f>+K27+1</f>
        <v>20</v>
      </c>
      <c r="M27" s="66">
        <f>(L27+1)</f>
        <v>21</v>
      </c>
      <c r="N27" s="66">
        <f>(M27+1)</f>
        <v>22</v>
      </c>
      <c r="O27" s="66">
        <f>(N27+1)</f>
        <v>23</v>
      </c>
      <c r="P27" s="351">
        <f>(O27+1)</f>
        <v>24</v>
      </c>
      <c r="Q27" s="67">
        <f>+P27+1</f>
        <v>25</v>
      </c>
      <c r="R27" s="59"/>
      <c r="S27" s="61"/>
      <c r="T27" s="64">
        <f>(Z26+1)</f>
        <v>18</v>
      </c>
      <c r="U27" s="66">
        <f>+T27+1</f>
        <v>19</v>
      </c>
      <c r="V27" s="66">
        <f>(U27+1)</f>
        <v>20</v>
      </c>
      <c r="W27" s="66">
        <f>(V27+1)</f>
        <v>21</v>
      </c>
      <c r="X27" s="66">
        <f>(W27+1)</f>
        <v>22</v>
      </c>
      <c r="Y27" s="66">
        <f>(X27+1)</f>
        <v>23</v>
      </c>
      <c r="Z27" s="67">
        <f>+Y27+1</f>
        <v>24</v>
      </c>
      <c r="AA27" s="62"/>
    </row>
    <row r="28" spans="1:27">
      <c r="A28" s="63"/>
      <c r="B28" s="61"/>
      <c r="C28" s="61"/>
      <c r="D28" s="61"/>
      <c r="E28" s="61"/>
      <c r="F28" s="61"/>
      <c r="G28" s="61"/>
      <c r="H28" s="61"/>
      <c r="I28" s="59"/>
      <c r="J28" s="61"/>
      <c r="K28" s="61"/>
      <c r="L28" s="61"/>
      <c r="M28" s="61"/>
      <c r="N28" s="61"/>
      <c r="O28" s="61"/>
      <c r="P28" s="61"/>
      <c r="Q28" s="61"/>
      <c r="R28" s="59"/>
      <c r="S28" s="61"/>
      <c r="T28" s="61"/>
      <c r="U28" s="61"/>
      <c r="V28" s="61"/>
      <c r="W28" s="61"/>
      <c r="X28" s="61"/>
      <c r="Y28" s="61"/>
      <c r="Z28" s="61"/>
      <c r="AA28" s="62"/>
    </row>
    <row r="29" spans="1:27">
      <c r="A29" s="326" t="s">
        <v>447</v>
      </c>
      <c r="B29" s="330">
        <f>(H27+1)</f>
        <v>27</v>
      </c>
      <c r="C29" s="329">
        <f>+B29+1</f>
        <v>28</v>
      </c>
      <c r="D29" s="329">
        <f>+C29+1</f>
        <v>29</v>
      </c>
      <c r="E29" s="329">
        <f>+D29+1</f>
        <v>30</v>
      </c>
      <c r="F29" s="329">
        <f>+E29+1</f>
        <v>31</v>
      </c>
      <c r="G29" s="329">
        <v>1</v>
      </c>
      <c r="H29" s="331">
        <f>+G29+1</f>
        <v>2</v>
      </c>
      <c r="I29" s="59">
        <v>24</v>
      </c>
      <c r="J29" s="61"/>
      <c r="K29" s="330">
        <f>(Q27+1)</f>
        <v>26</v>
      </c>
      <c r="L29" s="329">
        <f>+K29+1</f>
        <v>27</v>
      </c>
      <c r="M29" s="329">
        <f>+L29+1</f>
        <v>28</v>
      </c>
      <c r="N29" s="329">
        <f>+M29+1</f>
        <v>29</v>
      </c>
      <c r="O29" s="329">
        <f>+N29+1</f>
        <v>30</v>
      </c>
      <c r="P29" s="329">
        <v>31</v>
      </c>
      <c r="Q29" s="331">
        <v>1</v>
      </c>
      <c r="R29" s="59">
        <v>24</v>
      </c>
      <c r="S29" s="61"/>
      <c r="T29" s="330">
        <f>(Z27+1)</f>
        <v>25</v>
      </c>
      <c r="U29" s="329">
        <f>+T29+1</f>
        <v>26</v>
      </c>
      <c r="V29" s="329">
        <f>+U29+1</f>
        <v>27</v>
      </c>
      <c r="W29" s="329">
        <f>+V29+1</f>
        <v>28</v>
      </c>
      <c r="X29" s="329">
        <f>+W29+1</f>
        <v>29</v>
      </c>
      <c r="Y29" s="329">
        <v>30</v>
      </c>
      <c r="Z29" s="331">
        <v>31</v>
      </c>
      <c r="AA29" s="62">
        <v>24</v>
      </c>
    </row>
    <row r="30" spans="1:27">
      <c r="A30" s="63"/>
      <c r="B30" s="156">
        <f>+H29+1</f>
        <v>3</v>
      </c>
      <c r="C30" s="69">
        <f>+B30+1</f>
        <v>4</v>
      </c>
      <c r="D30" s="69">
        <f>(C30+1)</f>
        <v>5</v>
      </c>
      <c r="E30" s="69">
        <f>(D30+1)</f>
        <v>6</v>
      </c>
      <c r="F30" s="69">
        <f>(E30+1)</f>
        <v>7</v>
      </c>
      <c r="G30" s="69">
        <f>(F30+1)</f>
        <v>8</v>
      </c>
      <c r="H30" s="157">
        <f>+G30+1</f>
        <v>9</v>
      </c>
      <c r="I30" s="59"/>
      <c r="J30" s="327" t="s">
        <v>447</v>
      </c>
      <c r="K30" s="156">
        <f>+Q29+1</f>
        <v>2</v>
      </c>
      <c r="L30" s="69">
        <f>+K30+1</f>
        <v>3</v>
      </c>
      <c r="M30" s="69">
        <f>(L30+1)</f>
        <v>4</v>
      </c>
      <c r="N30" s="69">
        <f>(M30+1)</f>
        <v>5</v>
      </c>
      <c r="O30" s="69">
        <f>(N30+1)</f>
        <v>6</v>
      </c>
      <c r="P30" s="352">
        <f>(O30+1)</f>
        <v>7</v>
      </c>
      <c r="Q30" s="157">
        <f>+P30+1</f>
        <v>8</v>
      </c>
      <c r="R30" s="59"/>
      <c r="S30" s="327" t="s">
        <v>447</v>
      </c>
      <c r="T30" s="156">
        <v>1</v>
      </c>
      <c r="U30" s="69">
        <f>+T30+1</f>
        <v>2</v>
      </c>
      <c r="V30" s="69">
        <f>(U30+1)</f>
        <v>3</v>
      </c>
      <c r="W30" s="69">
        <f>(V30+1)</f>
        <v>4</v>
      </c>
      <c r="X30" s="69">
        <f>(W30+1)</f>
        <v>5</v>
      </c>
      <c r="Y30" s="69">
        <f>(X30+1)</f>
        <v>6</v>
      </c>
      <c r="Z30" s="157">
        <f>+Y30+1</f>
        <v>7</v>
      </c>
      <c r="AA30" s="62"/>
    </row>
    <row r="31" spans="1:27">
      <c r="A31" s="63"/>
      <c r="B31" s="61"/>
      <c r="C31" s="61"/>
      <c r="D31" s="61"/>
      <c r="E31" s="61"/>
      <c r="F31" s="61"/>
      <c r="G31" s="61"/>
      <c r="H31" s="61"/>
      <c r="I31" s="59"/>
      <c r="J31" s="61"/>
      <c r="K31" s="61"/>
      <c r="L31" s="61"/>
      <c r="M31" s="61"/>
      <c r="N31" s="61"/>
      <c r="O31" s="61"/>
      <c r="P31" s="61"/>
      <c r="Q31" s="61"/>
      <c r="R31" s="59"/>
      <c r="S31" s="61"/>
      <c r="T31" s="61"/>
      <c r="U31" s="61"/>
      <c r="V31" s="61"/>
      <c r="W31" s="61"/>
      <c r="X31" s="61"/>
      <c r="Y31" s="61"/>
      <c r="Z31" s="61"/>
      <c r="AA31" s="62"/>
    </row>
    <row r="32" spans="1:27">
      <c r="A32" s="63"/>
      <c r="B32" s="330">
        <f>+H30+1</f>
        <v>10</v>
      </c>
      <c r="C32" s="329">
        <f>+B32+1</f>
        <v>11</v>
      </c>
      <c r="D32" s="329">
        <f>(C32+1)</f>
        <v>12</v>
      </c>
      <c r="E32" s="329">
        <f>(D32+1)</f>
        <v>13</v>
      </c>
      <c r="F32" s="329">
        <f>(E32+1)</f>
        <v>14</v>
      </c>
      <c r="G32" s="329">
        <v>15</v>
      </c>
      <c r="H32" s="331">
        <v>16</v>
      </c>
      <c r="I32" s="59">
        <v>25</v>
      </c>
      <c r="J32" s="61"/>
      <c r="K32" s="330">
        <f>+Q30+1</f>
        <v>9</v>
      </c>
      <c r="L32" s="329">
        <f>+K32+1</f>
        <v>10</v>
      </c>
      <c r="M32" s="329">
        <f t="shared" ref="M32:P33" si="14">(L32+1)</f>
        <v>11</v>
      </c>
      <c r="N32" s="329">
        <f t="shared" si="14"/>
        <v>12</v>
      </c>
      <c r="O32" s="329">
        <f t="shared" si="14"/>
        <v>13</v>
      </c>
      <c r="P32" s="329">
        <v>14</v>
      </c>
      <c r="Q32" s="331">
        <v>15</v>
      </c>
      <c r="R32" s="59">
        <v>25</v>
      </c>
      <c r="S32" s="61"/>
      <c r="T32" s="330">
        <f>+Z30+1</f>
        <v>8</v>
      </c>
      <c r="U32" s="329">
        <f>+T32+1</f>
        <v>9</v>
      </c>
      <c r="V32" s="329">
        <f t="shared" ref="V32:Y33" si="15">(U32+1)</f>
        <v>10</v>
      </c>
      <c r="W32" s="329">
        <f t="shared" si="15"/>
        <v>11</v>
      </c>
      <c r="X32" s="329">
        <f t="shared" si="15"/>
        <v>12</v>
      </c>
      <c r="Y32" s="329">
        <f>(X32+1)</f>
        <v>13</v>
      </c>
      <c r="Z32" s="331">
        <f>(Y32+1)</f>
        <v>14</v>
      </c>
      <c r="AA32" s="62">
        <v>25</v>
      </c>
    </row>
    <row r="33" spans="1:27">
      <c r="A33" s="63" t="s">
        <v>443</v>
      </c>
      <c r="B33" s="156">
        <v>17</v>
      </c>
      <c r="C33" s="69">
        <f>+B33+1</f>
        <v>18</v>
      </c>
      <c r="D33" s="69">
        <f>+C33+1</f>
        <v>19</v>
      </c>
      <c r="E33" s="69">
        <f>+D33+1</f>
        <v>20</v>
      </c>
      <c r="F33" s="69">
        <f>(E33+1)</f>
        <v>21</v>
      </c>
      <c r="G33" s="69">
        <f>(F33+1)</f>
        <v>22</v>
      </c>
      <c r="H33" s="157">
        <f>(G33+1)</f>
        <v>23</v>
      </c>
      <c r="I33" s="59"/>
      <c r="J33" s="61" t="s">
        <v>443</v>
      </c>
      <c r="K33" s="156">
        <v>16</v>
      </c>
      <c r="L33" s="69">
        <f>+K33+1</f>
        <v>17</v>
      </c>
      <c r="M33" s="69">
        <f>+L33+1</f>
        <v>18</v>
      </c>
      <c r="N33" s="69">
        <f>+M33+1</f>
        <v>19</v>
      </c>
      <c r="O33" s="69">
        <f t="shared" si="14"/>
        <v>20</v>
      </c>
      <c r="P33" s="352">
        <f t="shared" si="14"/>
        <v>21</v>
      </c>
      <c r="Q33" s="157">
        <f>(P33+1)</f>
        <v>22</v>
      </c>
      <c r="R33" s="59"/>
      <c r="S33" s="61" t="s">
        <v>443</v>
      </c>
      <c r="T33" s="156">
        <f>(Z32+1)</f>
        <v>15</v>
      </c>
      <c r="U33" s="69">
        <f>+T33+1</f>
        <v>16</v>
      </c>
      <c r="V33" s="69">
        <f>+U33+1</f>
        <v>17</v>
      </c>
      <c r="W33" s="69">
        <f>+V33+1</f>
        <v>18</v>
      </c>
      <c r="X33" s="69">
        <f t="shared" si="15"/>
        <v>19</v>
      </c>
      <c r="Y33" s="69">
        <f t="shared" si="15"/>
        <v>20</v>
      </c>
      <c r="Z33" s="157">
        <f>(Y33+1)</f>
        <v>21</v>
      </c>
      <c r="AA33" s="62"/>
    </row>
    <row r="34" spans="1:27" ht="13.5" thickBot="1">
      <c r="A34" s="63"/>
      <c r="B34" s="61"/>
      <c r="C34" s="61"/>
      <c r="D34" s="61"/>
      <c r="E34" s="61"/>
      <c r="F34" s="61"/>
      <c r="G34" s="61"/>
      <c r="H34" s="61"/>
      <c r="I34" s="59"/>
      <c r="J34" s="61"/>
      <c r="K34" s="61"/>
      <c r="L34" s="61"/>
      <c r="M34" s="61"/>
      <c r="N34" s="61"/>
      <c r="O34" s="61"/>
      <c r="P34" s="61"/>
      <c r="Q34" s="61"/>
      <c r="R34" s="59"/>
      <c r="S34" s="61"/>
      <c r="T34" s="61"/>
      <c r="U34" s="61"/>
      <c r="V34" s="61"/>
      <c r="W34" s="61"/>
      <c r="X34" s="61"/>
      <c r="Y34" s="61"/>
      <c r="Z34" s="61"/>
      <c r="AA34" s="62"/>
    </row>
    <row r="35" spans="1:27" ht="13.5" thickBot="1">
      <c r="A35" s="63"/>
      <c r="B35" s="323">
        <f>(H33+1)</f>
        <v>24</v>
      </c>
      <c r="C35" s="324">
        <v>25</v>
      </c>
      <c r="D35" s="324">
        <v>26</v>
      </c>
      <c r="E35" s="324">
        <v>27</v>
      </c>
      <c r="F35" s="70">
        <v>28</v>
      </c>
      <c r="G35" s="70">
        <v>29</v>
      </c>
      <c r="H35" s="325">
        <v>30</v>
      </c>
      <c r="I35" s="59">
        <v>26</v>
      </c>
      <c r="J35" s="61"/>
      <c r="K35" s="323">
        <f>(Q33+1)</f>
        <v>23</v>
      </c>
      <c r="L35" s="324">
        <v>24</v>
      </c>
      <c r="M35" s="324">
        <v>25</v>
      </c>
      <c r="N35" s="324">
        <v>26</v>
      </c>
      <c r="O35" s="70">
        <v>27</v>
      </c>
      <c r="P35" s="70">
        <v>28</v>
      </c>
      <c r="Q35" s="325">
        <v>29</v>
      </c>
      <c r="R35" s="59">
        <v>26</v>
      </c>
      <c r="S35" s="61"/>
      <c r="T35" s="323">
        <f>(Z33+1)</f>
        <v>22</v>
      </c>
      <c r="U35" s="324">
        <v>23</v>
      </c>
      <c r="V35" s="324">
        <v>24</v>
      </c>
      <c r="W35" s="324">
        <v>25</v>
      </c>
      <c r="X35" s="70">
        <v>26</v>
      </c>
      <c r="Y35" s="70">
        <v>27</v>
      </c>
      <c r="Z35" s="325">
        <v>28</v>
      </c>
      <c r="AA35" s="62">
        <v>26</v>
      </c>
    </row>
    <row r="36" spans="1:27">
      <c r="A36" s="326" t="s">
        <v>448</v>
      </c>
      <c r="B36" s="64">
        <v>1</v>
      </c>
      <c r="C36" s="66">
        <f>+B36+1</f>
        <v>2</v>
      </c>
      <c r="D36" s="66">
        <f>(C36+1)</f>
        <v>3</v>
      </c>
      <c r="E36" s="66">
        <f>(D36+1)</f>
        <v>4</v>
      </c>
      <c r="F36" s="66">
        <f>(E36+1)</f>
        <v>5</v>
      </c>
      <c r="G36" s="66">
        <f>(F36+1)</f>
        <v>6</v>
      </c>
      <c r="H36" s="67">
        <f>+G36+1</f>
        <v>7</v>
      </c>
      <c r="I36" s="59"/>
      <c r="J36" s="327" t="s">
        <v>448</v>
      </c>
      <c r="K36" s="64">
        <v>30</v>
      </c>
      <c r="L36" s="66">
        <v>1</v>
      </c>
      <c r="M36" s="66">
        <f>(L36+1)</f>
        <v>2</v>
      </c>
      <c r="N36" s="66">
        <f>(M36+1)</f>
        <v>3</v>
      </c>
      <c r="O36" s="66">
        <f>(N36+1)</f>
        <v>4</v>
      </c>
      <c r="P36" s="351">
        <f>(O36+1)</f>
        <v>5</v>
      </c>
      <c r="Q36" s="67">
        <f>+P36+1</f>
        <v>6</v>
      </c>
      <c r="R36" s="59"/>
      <c r="S36" s="327" t="s">
        <v>448</v>
      </c>
      <c r="T36" s="64">
        <v>29</v>
      </c>
      <c r="U36" s="66">
        <v>30</v>
      </c>
      <c r="V36" s="66">
        <v>1</v>
      </c>
      <c r="W36" s="66">
        <f>(V36+1)</f>
        <v>2</v>
      </c>
      <c r="X36" s="66">
        <f>(W36+1)</f>
        <v>3</v>
      </c>
      <c r="Y36" s="66">
        <f>(X36+1)</f>
        <v>4</v>
      </c>
      <c r="Z36" s="67">
        <f>+Y36+1</f>
        <v>5</v>
      </c>
      <c r="AA36" s="62"/>
    </row>
    <row r="37" spans="1:27">
      <c r="A37" s="63"/>
      <c r="B37" s="61"/>
      <c r="C37" s="332"/>
      <c r="D37" s="332"/>
      <c r="E37" s="332"/>
      <c r="F37" s="61"/>
      <c r="G37" s="61"/>
      <c r="H37" s="61"/>
      <c r="I37" s="59"/>
      <c r="J37" s="61"/>
      <c r="K37" s="61"/>
      <c r="L37" s="332"/>
      <c r="M37" s="332"/>
      <c r="N37" s="332"/>
      <c r="O37" s="61"/>
      <c r="P37" s="61"/>
      <c r="Q37" s="61"/>
      <c r="R37" s="59"/>
      <c r="S37" s="61"/>
      <c r="T37" s="61"/>
      <c r="U37" s="332"/>
      <c r="V37" s="332"/>
      <c r="W37" s="332"/>
      <c r="X37" s="61"/>
      <c r="Y37" s="61"/>
      <c r="Z37" s="61"/>
      <c r="AA37" s="62"/>
    </row>
    <row r="38" spans="1:27" ht="13.5" thickBot="1">
      <c r="A38" s="63"/>
      <c r="B38" s="330">
        <f>+H36+1</f>
        <v>8</v>
      </c>
      <c r="C38" s="329">
        <f>+B38+1</f>
        <v>9</v>
      </c>
      <c r="D38" s="329">
        <f t="shared" ref="D38:G39" si="16">(C38+1)</f>
        <v>10</v>
      </c>
      <c r="E38" s="329">
        <f t="shared" si="16"/>
        <v>11</v>
      </c>
      <c r="F38" s="329">
        <f t="shared" si="16"/>
        <v>12</v>
      </c>
      <c r="G38" s="329">
        <f t="shared" si="16"/>
        <v>13</v>
      </c>
      <c r="H38" s="331">
        <f>+G38+1</f>
        <v>14</v>
      </c>
      <c r="I38" s="59">
        <v>1</v>
      </c>
      <c r="J38" s="61"/>
      <c r="K38" s="330">
        <f>+Q36+1</f>
        <v>7</v>
      </c>
      <c r="L38" s="329">
        <f>+K38+1</f>
        <v>8</v>
      </c>
      <c r="M38" s="329">
        <f t="shared" ref="M38:P39" si="17">(L38+1)</f>
        <v>9</v>
      </c>
      <c r="N38" s="329">
        <f t="shared" si="17"/>
        <v>10</v>
      </c>
      <c r="O38" s="329">
        <f t="shared" si="17"/>
        <v>11</v>
      </c>
      <c r="P38" s="329">
        <f t="shared" si="17"/>
        <v>12</v>
      </c>
      <c r="Q38" s="331">
        <f>+P38+1</f>
        <v>13</v>
      </c>
      <c r="R38" s="59">
        <v>1</v>
      </c>
      <c r="S38" s="61"/>
      <c r="T38" s="330">
        <f>+Z36+1</f>
        <v>6</v>
      </c>
      <c r="U38" s="329">
        <f>+T38+1</f>
        <v>7</v>
      </c>
      <c r="V38" s="329">
        <f t="shared" ref="V38:Y41" si="18">(U38+1)</f>
        <v>8</v>
      </c>
      <c r="W38" s="329">
        <f t="shared" si="18"/>
        <v>9</v>
      </c>
      <c r="X38" s="329">
        <f t="shared" si="18"/>
        <v>10</v>
      </c>
      <c r="Y38" s="329">
        <f t="shared" si="18"/>
        <v>11</v>
      </c>
      <c r="Z38" s="331">
        <f>+Y38+1</f>
        <v>12</v>
      </c>
      <c r="AA38" s="62">
        <v>1</v>
      </c>
    </row>
    <row r="39" spans="1:27" ht="13.5" thickBot="1">
      <c r="A39" s="63"/>
      <c r="B39" s="156">
        <f>+H38+1</f>
        <v>15</v>
      </c>
      <c r="C39" s="69">
        <f>+B39+1</f>
        <v>16</v>
      </c>
      <c r="D39" s="69">
        <f t="shared" si="16"/>
        <v>17</v>
      </c>
      <c r="E39" s="69">
        <f t="shared" si="16"/>
        <v>18</v>
      </c>
      <c r="F39" s="69">
        <f t="shared" si="16"/>
        <v>19</v>
      </c>
      <c r="G39" s="69">
        <f t="shared" si="16"/>
        <v>20</v>
      </c>
      <c r="H39" s="328">
        <f>+G39+1</f>
        <v>21</v>
      </c>
      <c r="I39" s="59"/>
      <c r="J39" s="61"/>
      <c r="K39" s="156">
        <f>+Q38+1</f>
        <v>14</v>
      </c>
      <c r="L39" s="69">
        <f>+K39+1</f>
        <v>15</v>
      </c>
      <c r="M39" s="69">
        <f t="shared" si="17"/>
        <v>16</v>
      </c>
      <c r="N39" s="69">
        <f t="shared" si="17"/>
        <v>17</v>
      </c>
      <c r="O39" s="69">
        <f t="shared" si="17"/>
        <v>18</v>
      </c>
      <c r="P39" s="352">
        <f t="shared" si="17"/>
        <v>19</v>
      </c>
      <c r="Q39" s="328">
        <f>+P39+1</f>
        <v>20</v>
      </c>
      <c r="R39" s="59"/>
      <c r="S39" s="61"/>
      <c r="T39" s="156">
        <f>+Z38+1</f>
        <v>13</v>
      </c>
      <c r="U39" s="69">
        <f>+T39+1</f>
        <v>14</v>
      </c>
      <c r="V39" s="69">
        <f t="shared" si="18"/>
        <v>15</v>
      </c>
      <c r="W39" s="69">
        <f t="shared" si="18"/>
        <v>16</v>
      </c>
      <c r="X39" s="69">
        <f t="shared" si="18"/>
        <v>17</v>
      </c>
      <c r="Y39" s="69">
        <f t="shared" si="18"/>
        <v>18</v>
      </c>
      <c r="Z39" s="328">
        <f>+Y39+1</f>
        <v>19</v>
      </c>
      <c r="AA39" s="62"/>
    </row>
    <row r="40" spans="1:27" ht="13.5" thickBot="1">
      <c r="A40" s="63"/>
      <c r="B40" s="61"/>
      <c r="C40" s="61"/>
      <c r="D40" s="61"/>
      <c r="E40" s="61"/>
      <c r="F40" s="61"/>
      <c r="G40" s="61"/>
      <c r="H40" s="61"/>
      <c r="I40" s="59"/>
      <c r="J40" s="61"/>
      <c r="K40" s="61"/>
      <c r="L40" s="61"/>
      <c r="M40" s="61"/>
      <c r="N40" s="61"/>
      <c r="O40" s="61"/>
      <c r="P40" s="61"/>
      <c r="Q40" s="61"/>
      <c r="R40" s="59"/>
      <c r="S40" s="61"/>
      <c r="T40" s="61"/>
      <c r="U40" s="61"/>
      <c r="V40" s="61"/>
      <c r="W40" s="61"/>
      <c r="X40" s="61"/>
      <c r="Y40" s="61"/>
      <c r="Z40" s="61"/>
      <c r="AA40" s="62"/>
    </row>
    <row r="41" spans="1:27" ht="13.5" thickBot="1">
      <c r="A41" s="333">
        <v>2014</v>
      </c>
      <c r="B41" s="330">
        <f>+H39+1</f>
        <v>22</v>
      </c>
      <c r="C41" s="241">
        <f>+B41+1</f>
        <v>23</v>
      </c>
      <c r="D41" s="70">
        <f>+C41+1</f>
        <v>24</v>
      </c>
      <c r="E41" s="70">
        <f>+D41+1</f>
        <v>25</v>
      </c>
      <c r="F41" s="72">
        <f>(E41+1)</f>
        <v>26</v>
      </c>
      <c r="G41" s="72">
        <f>(F41+1)</f>
        <v>27</v>
      </c>
      <c r="H41" s="331">
        <v>28</v>
      </c>
      <c r="I41" s="59">
        <v>2</v>
      </c>
      <c r="J41" s="334">
        <v>2015</v>
      </c>
      <c r="K41" s="330">
        <f>+Q39+1</f>
        <v>21</v>
      </c>
      <c r="L41" s="329">
        <f>+K41+1</f>
        <v>22</v>
      </c>
      <c r="M41" s="329">
        <f>+L41+1</f>
        <v>23</v>
      </c>
      <c r="N41" s="70">
        <f>+M41+1</f>
        <v>24</v>
      </c>
      <c r="O41" s="335">
        <f t="shared" ref="O41:P41" si="19">(N41+1)</f>
        <v>25</v>
      </c>
      <c r="P41" s="336">
        <f t="shared" si="19"/>
        <v>26</v>
      </c>
      <c r="Q41" s="331">
        <v>27</v>
      </c>
      <c r="R41" s="59">
        <v>2</v>
      </c>
      <c r="S41" s="327">
        <v>2016</v>
      </c>
      <c r="T41" s="330">
        <f>+Z39+1</f>
        <v>20</v>
      </c>
      <c r="U41" s="329">
        <f>+T41+1</f>
        <v>21</v>
      </c>
      <c r="V41" s="329">
        <f>+U41+1</f>
        <v>22</v>
      </c>
      <c r="W41" s="329">
        <f>+V41+1</f>
        <v>23</v>
      </c>
      <c r="X41" s="70">
        <f t="shared" si="18"/>
        <v>24</v>
      </c>
      <c r="Y41" s="70">
        <f t="shared" si="18"/>
        <v>25</v>
      </c>
      <c r="Z41" s="331">
        <f>(Y41+1)</f>
        <v>26</v>
      </c>
      <c r="AA41" s="62">
        <v>2</v>
      </c>
    </row>
    <row r="42" spans="1:27" ht="13.5" thickBot="1">
      <c r="A42" s="326" t="s">
        <v>449</v>
      </c>
      <c r="B42" s="156">
        <v>29</v>
      </c>
      <c r="C42" s="241">
        <f>+B42+1</f>
        <v>30</v>
      </c>
      <c r="D42" s="70">
        <v>31</v>
      </c>
      <c r="E42" s="70">
        <v>1</v>
      </c>
      <c r="F42" s="69">
        <f>(E42+1)</f>
        <v>2</v>
      </c>
      <c r="G42" s="69">
        <f>(F42+1)</f>
        <v>3</v>
      </c>
      <c r="H42" s="157">
        <f>+G42+1</f>
        <v>4</v>
      </c>
      <c r="I42" s="59"/>
      <c r="J42" s="327" t="s">
        <v>449</v>
      </c>
      <c r="K42" s="156">
        <v>28</v>
      </c>
      <c r="L42" s="336">
        <v>29</v>
      </c>
      <c r="M42" s="336">
        <v>30</v>
      </c>
      <c r="N42" s="337">
        <v>31</v>
      </c>
      <c r="O42" s="70">
        <v>1</v>
      </c>
      <c r="P42" s="336">
        <f>(O42+1)</f>
        <v>2</v>
      </c>
      <c r="Q42" s="157">
        <f>+P42+1</f>
        <v>3</v>
      </c>
      <c r="R42" s="59"/>
      <c r="S42" s="327" t="s">
        <v>449</v>
      </c>
      <c r="T42" s="156">
        <f>(Z41+1)</f>
        <v>27</v>
      </c>
      <c r="U42" s="69">
        <f>(T42+1)</f>
        <v>28</v>
      </c>
      <c r="V42" s="69">
        <v>29</v>
      </c>
      <c r="W42" s="69">
        <v>30</v>
      </c>
      <c r="X42" s="70">
        <v>31</v>
      </c>
      <c r="Y42" s="70">
        <v>1</v>
      </c>
      <c r="Z42" s="157">
        <f>+Y42+1</f>
        <v>2</v>
      </c>
      <c r="AA42" s="62"/>
    </row>
    <row r="43" spans="1:27">
      <c r="A43" s="63"/>
      <c r="B43" s="61"/>
      <c r="C43" s="61"/>
      <c r="D43" s="61"/>
      <c r="E43" s="61"/>
      <c r="F43" s="61"/>
      <c r="G43" s="61"/>
      <c r="H43" s="61"/>
      <c r="I43" s="59"/>
      <c r="J43" s="61"/>
      <c r="K43" s="61"/>
      <c r="L43" s="61"/>
      <c r="M43" s="61"/>
      <c r="N43" s="61"/>
      <c r="O43" s="61"/>
      <c r="P43" s="61"/>
      <c r="Q43" s="61"/>
      <c r="R43" s="59"/>
      <c r="S43" s="61"/>
      <c r="T43" s="61"/>
      <c r="U43" s="61"/>
      <c r="V43" s="61"/>
      <c r="W43" s="61"/>
      <c r="X43" s="61"/>
      <c r="Y43" s="61"/>
      <c r="Z43" s="61"/>
      <c r="AA43" s="62"/>
    </row>
    <row r="44" spans="1:27" ht="13.5" thickBot="1">
      <c r="A44" s="63" t="s">
        <v>443</v>
      </c>
      <c r="B44" s="330">
        <f>+H42+1</f>
        <v>5</v>
      </c>
      <c r="C44" s="324">
        <f>+B44+1</f>
        <v>6</v>
      </c>
      <c r="D44" s="329">
        <f>(C44+1)</f>
        <v>7</v>
      </c>
      <c r="E44" s="329">
        <f>(D44+1)</f>
        <v>8</v>
      </c>
      <c r="F44" s="329">
        <f>(E44+1)</f>
        <v>9</v>
      </c>
      <c r="G44" s="329">
        <f>(F44+1)</f>
        <v>10</v>
      </c>
      <c r="H44" s="331">
        <f>+G44+1</f>
        <v>11</v>
      </c>
      <c r="I44" s="59">
        <v>3</v>
      </c>
      <c r="J44" s="61" t="s">
        <v>443</v>
      </c>
      <c r="K44" s="330">
        <f>+Q42+1</f>
        <v>4</v>
      </c>
      <c r="L44" s="324">
        <f>+K44+1</f>
        <v>5</v>
      </c>
      <c r="M44" s="329">
        <f t="shared" ref="M44:P45" si="20">(L44+1)</f>
        <v>6</v>
      </c>
      <c r="N44" s="329">
        <f t="shared" si="20"/>
        <v>7</v>
      </c>
      <c r="O44" s="329">
        <f t="shared" si="20"/>
        <v>8</v>
      </c>
      <c r="P44" s="329">
        <f t="shared" si="20"/>
        <v>9</v>
      </c>
      <c r="Q44" s="331">
        <f>+P44+1</f>
        <v>10</v>
      </c>
      <c r="R44" s="59">
        <v>3</v>
      </c>
      <c r="S44" s="61" t="s">
        <v>443</v>
      </c>
      <c r="T44" s="330">
        <f>+Z42+1</f>
        <v>3</v>
      </c>
      <c r="U44" s="324">
        <f>+T44+1</f>
        <v>4</v>
      </c>
      <c r="V44" s="329">
        <f t="shared" ref="V44:Y45" si="21">(U44+1)</f>
        <v>5</v>
      </c>
      <c r="W44" s="329">
        <f t="shared" si="21"/>
        <v>6</v>
      </c>
      <c r="X44" s="329">
        <f t="shared" si="21"/>
        <v>7</v>
      </c>
      <c r="Y44" s="329">
        <f t="shared" si="21"/>
        <v>8</v>
      </c>
      <c r="Z44" s="331">
        <f>+Y44+1</f>
        <v>9</v>
      </c>
      <c r="AA44" s="62">
        <v>3</v>
      </c>
    </row>
    <row r="45" spans="1:27" ht="13.5" thickBot="1">
      <c r="A45" s="63" t="s">
        <v>443</v>
      </c>
      <c r="B45" s="338">
        <f>+H44+1</f>
        <v>12</v>
      </c>
      <c r="C45" s="69">
        <f>+B45+1</f>
        <v>13</v>
      </c>
      <c r="D45" s="69">
        <f>(C45+1)</f>
        <v>14</v>
      </c>
      <c r="E45" s="69">
        <f>(D45+1)</f>
        <v>15</v>
      </c>
      <c r="F45" s="69">
        <v>16</v>
      </c>
      <c r="G45" s="69">
        <v>17</v>
      </c>
      <c r="H45" s="157">
        <v>18</v>
      </c>
      <c r="I45" s="59"/>
      <c r="J45" s="61" t="s">
        <v>443</v>
      </c>
      <c r="K45" s="338">
        <f>+Q44+1</f>
        <v>11</v>
      </c>
      <c r="L45" s="69">
        <f>+K45+1</f>
        <v>12</v>
      </c>
      <c r="M45" s="69">
        <f t="shared" si="20"/>
        <v>13</v>
      </c>
      <c r="N45" s="69">
        <f t="shared" si="20"/>
        <v>14</v>
      </c>
      <c r="O45" s="69">
        <v>15</v>
      </c>
      <c r="P45" s="352">
        <v>16</v>
      </c>
      <c r="Q45" s="157">
        <v>17</v>
      </c>
      <c r="R45" s="59"/>
      <c r="S45" s="61" t="s">
        <v>443</v>
      </c>
      <c r="T45" s="338">
        <f>+Z44+1</f>
        <v>10</v>
      </c>
      <c r="U45" s="69">
        <f>+T45+1</f>
        <v>11</v>
      </c>
      <c r="V45" s="69">
        <f t="shared" si="21"/>
        <v>12</v>
      </c>
      <c r="W45" s="69">
        <f t="shared" si="21"/>
        <v>13</v>
      </c>
      <c r="X45" s="69">
        <v>14</v>
      </c>
      <c r="Y45" s="69">
        <v>15</v>
      </c>
      <c r="Z45" s="157">
        <v>16</v>
      </c>
      <c r="AA45" s="62"/>
    </row>
    <row r="46" spans="1:27" ht="13.5" thickBot="1">
      <c r="A46" s="63"/>
      <c r="B46" s="61"/>
      <c r="C46" s="61"/>
      <c r="D46" s="61"/>
      <c r="E46" s="61"/>
      <c r="F46" s="61"/>
      <c r="G46" s="61"/>
      <c r="H46" s="61"/>
      <c r="I46" s="59"/>
      <c r="J46" s="61"/>
      <c r="K46" s="61"/>
      <c r="L46" s="61"/>
      <c r="M46" s="61"/>
      <c r="N46" s="61"/>
      <c r="O46" s="61"/>
      <c r="P46" s="61"/>
      <c r="Q46" s="61"/>
      <c r="R46" s="59"/>
      <c r="S46" s="61"/>
      <c r="T46" s="61"/>
      <c r="U46" s="61"/>
      <c r="V46" s="61"/>
      <c r="W46" s="61"/>
      <c r="X46" s="61"/>
      <c r="Y46" s="61"/>
      <c r="Z46" s="61"/>
      <c r="AA46" s="62"/>
    </row>
    <row r="47" spans="1:27" ht="13.5" thickBot="1">
      <c r="A47" s="63"/>
      <c r="B47" s="323">
        <v>19</v>
      </c>
      <c r="C47" s="70">
        <v>20</v>
      </c>
      <c r="D47" s="324">
        <f>(C47+1)</f>
        <v>21</v>
      </c>
      <c r="E47" s="324">
        <f>(D47+1)</f>
        <v>22</v>
      </c>
      <c r="F47" s="324">
        <f>(E47+1)</f>
        <v>23</v>
      </c>
      <c r="G47" s="324">
        <f>(F47+1)</f>
        <v>24</v>
      </c>
      <c r="H47" s="331">
        <f>(G47+1)</f>
        <v>25</v>
      </c>
      <c r="I47" s="59">
        <v>4</v>
      </c>
      <c r="J47" s="61"/>
      <c r="K47" s="323">
        <v>18</v>
      </c>
      <c r="L47" s="70">
        <v>19</v>
      </c>
      <c r="M47" s="324">
        <f>(L47+1)</f>
        <v>20</v>
      </c>
      <c r="N47" s="324">
        <f>(M47+1)</f>
        <v>21</v>
      </c>
      <c r="O47" s="324">
        <f>(N47+1)</f>
        <v>22</v>
      </c>
      <c r="P47" s="324">
        <f>(O47+1)</f>
        <v>23</v>
      </c>
      <c r="Q47" s="331">
        <f>(P47+1)</f>
        <v>24</v>
      </c>
      <c r="R47" s="59">
        <v>4</v>
      </c>
      <c r="S47" s="61"/>
      <c r="T47" s="323">
        <v>17</v>
      </c>
      <c r="U47" s="70">
        <v>18</v>
      </c>
      <c r="V47" s="324">
        <f>(U47+1)</f>
        <v>19</v>
      </c>
      <c r="W47" s="324">
        <f>(V47+1)</f>
        <v>20</v>
      </c>
      <c r="X47" s="324">
        <f>(W47+1)</f>
        <v>21</v>
      </c>
      <c r="Y47" s="324">
        <f>(X47+1)</f>
        <v>22</v>
      </c>
      <c r="Z47" s="331">
        <f>(Y47+1)</f>
        <v>23</v>
      </c>
      <c r="AA47" s="62">
        <v>4</v>
      </c>
    </row>
    <row r="48" spans="1:27">
      <c r="A48" s="63" t="s">
        <v>443</v>
      </c>
      <c r="B48" s="64">
        <v>26</v>
      </c>
      <c r="C48" s="66">
        <v>27</v>
      </c>
      <c r="D48" s="66">
        <v>28</v>
      </c>
      <c r="E48" s="66">
        <v>29</v>
      </c>
      <c r="F48" s="66">
        <v>30</v>
      </c>
      <c r="G48" s="66">
        <v>31</v>
      </c>
      <c r="H48" s="67">
        <v>1</v>
      </c>
      <c r="I48" s="59"/>
      <c r="J48" s="61" t="s">
        <v>443</v>
      </c>
      <c r="K48" s="64">
        <v>25</v>
      </c>
      <c r="L48" s="66">
        <v>26</v>
      </c>
      <c r="M48" s="66">
        <v>27</v>
      </c>
      <c r="N48" s="66">
        <v>28</v>
      </c>
      <c r="O48" s="66">
        <v>29</v>
      </c>
      <c r="P48" s="351">
        <v>30</v>
      </c>
      <c r="Q48" s="67">
        <v>31</v>
      </c>
      <c r="R48" s="59"/>
      <c r="S48" s="61"/>
      <c r="T48" s="64">
        <f>(Z47+1)</f>
        <v>24</v>
      </c>
      <c r="U48" s="66">
        <f>(T48+1)</f>
        <v>25</v>
      </c>
      <c r="V48" s="66">
        <f>(U48+1)</f>
        <v>26</v>
      </c>
      <c r="W48" s="66">
        <f>(V48+1)</f>
        <v>27</v>
      </c>
      <c r="X48" s="66">
        <f>(W48+1)</f>
        <v>28</v>
      </c>
      <c r="Y48" s="66">
        <v>29</v>
      </c>
      <c r="Z48" s="67">
        <v>30</v>
      </c>
      <c r="AA48" s="62"/>
    </row>
    <row r="49" spans="1:27">
      <c r="A49" s="63"/>
      <c r="B49" s="61"/>
      <c r="C49" s="61"/>
      <c r="D49" s="61"/>
      <c r="E49" s="61"/>
      <c r="F49" s="61"/>
      <c r="G49" s="61"/>
      <c r="H49" s="61"/>
      <c r="I49" s="59"/>
      <c r="J49" s="61"/>
      <c r="K49" s="61"/>
      <c r="L49" s="61"/>
      <c r="M49" s="61"/>
      <c r="N49" s="61"/>
      <c r="O49" s="61"/>
      <c r="P49" s="61"/>
      <c r="Q49" s="61"/>
      <c r="R49" s="59"/>
      <c r="S49" s="61"/>
      <c r="T49" s="61"/>
      <c r="U49" s="61"/>
      <c r="V49" s="61"/>
      <c r="W49" s="61"/>
      <c r="X49" s="61"/>
      <c r="Y49" s="61"/>
      <c r="Z49" s="61"/>
      <c r="AA49" s="62"/>
    </row>
    <row r="50" spans="1:27">
      <c r="A50" s="326" t="s">
        <v>450</v>
      </c>
      <c r="B50" s="330">
        <f>+H48+1</f>
        <v>2</v>
      </c>
      <c r="C50" s="329">
        <f>+B50+1</f>
        <v>3</v>
      </c>
      <c r="D50" s="329">
        <f t="shared" ref="D50:G51" si="22">(C50+1)</f>
        <v>4</v>
      </c>
      <c r="E50" s="329">
        <f t="shared" si="22"/>
        <v>5</v>
      </c>
      <c r="F50" s="329">
        <f t="shared" si="22"/>
        <v>6</v>
      </c>
      <c r="G50" s="329">
        <f t="shared" si="22"/>
        <v>7</v>
      </c>
      <c r="H50" s="331">
        <f>+G50+1</f>
        <v>8</v>
      </c>
      <c r="I50" s="59">
        <v>5</v>
      </c>
      <c r="J50" s="327" t="s">
        <v>450</v>
      </c>
      <c r="K50" s="330">
        <v>1</v>
      </c>
      <c r="L50" s="329">
        <f>+K50+1</f>
        <v>2</v>
      </c>
      <c r="M50" s="329">
        <f t="shared" ref="M50:Q51" si="23">(L50+1)</f>
        <v>3</v>
      </c>
      <c r="N50" s="329">
        <f t="shared" si="23"/>
        <v>4</v>
      </c>
      <c r="O50" s="329">
        <f t="shared" si="23"/>
        <v>5</v>
      </c>
      <c r="P50" s="329">
        <f t="shared" si="23"/>
        <v>6</v>
      </c>
      <c r="Q50" s="331">
        <f>+P50+1</f>
        <v>7</v>
      </c>
      <c r="R50" s="59">
        <v>5</v>
      </c>
      <c r="S50" s="327" t="s">
        <v>450</v>
      </c>
      <c r="T50" s="330">
        <v>31</v>
      </c>
      <c r="U50" s="329">
        <v>1</v>
      </c>
      <c r="V50" s="329">
        <f t="shared" ref="V50:Z51" si="24">(U50+1)</f>
        <v>2</v>
      </c>
      <c r="W50" s="329">
        <f t="shared" si="24"/>
        <v>3</v>
      </c>
      <c r="X50" s="329">
        <f t="shared" si="24"/>
        <v>4</v>
      </c>
      <c r="Y50" s="329">
        <f t="shared" si="24"/>
        <v>5</v>
      </c>
      <c r="Z50" s="331">
        <f>+Y50+1</f>
        <v>6</v>
      </c>
      <c r="AA50" s="62">
        <v>5</v>
      </c>
    </row>
    <row r="51" spans="1:27">
      <c r="A51" s="63"/>
      <c r="B51" s="156">
        <f>+H50+1</f>
        <v>9</v>
      </c>
      <c r="C51" s="69">
        <f>(B51+1)</f>
        <v>10</v>
      </c>
      <c r="D51" s="69">
        <f t="shared" si="22"/>
        <v>11</v>
      </c>
      <c r="E51" s="69">
        <f t="shared" si="22"/>
        <v>12</v>
      </c>
      <c r="F51" s="69">
        <f t="shared" si="22"/>
        <v>13</v>
      </c>
      <c r="G51" s="69">
        <f t="shared" si="22"/>
        <v>14</v>
      </c>
      <c r="H51" s="67">
        <f>(G51+1)</f>
        <v>15</v>
      </c>
      <c r="I51" s="59"/>
      <c r="J51" s="61"/>
      <c r="K51" s="156">
        <f>+Q50+1</f>
        <v>8</v>
      </c>
      <c r="L51" s="69">
        <f>(K51+1)</f>
        <v>9</v>
      </c>
      <c r="M51" s="69">
        <f t="shared" si="23"/>
        <v>10</v>
      </c>
      <c r="N51" s="69">
        <f t="shared" si="23"/>
        <v>11</v>
      </c>
      <c r="O51" s="69">
        <f t="shared" si="23"/>
        <v>12</v>
      </c>
      <c r="P51" s="352">
        <f t="shared" si="23"/>
        <v>13</v>
      </c>
      <c r="Q51" s="67">
        <f t="shared" si="23"/>
        <v>14</v>
      </c>
      <c r="R51" s="59"/>
      <c r="S51" s="61"/>
      <c r="T51" s="156">
        <f>+Z50+1</f>
        <v>7</v>
      </c>
      <c r="U51" s="69">
        <f>(T51+1)</f>
        <v>8</v>
      </c>
      <c r="V51" s="69">
        <f t="shared" si="24"/>
        <v>9</v>
      </c>
      <c r="W51" s="69">
        <f t="shared" si="24"/>
        <v>10</v>
      </c>
      <c r="X51" s="69">
        <f t="shared" si="24"/>
        <v>11</v>
      </c>
      <c r="Y51" s="69">
        <f t="shared" si="24"/>
        <v>12</v>
      </c>
      <c r="Z51" s="67">
        <f t="shared" si="24"/>
        <v>13</v>
      </c>
      <c r="AA51" s="62"/>
    </row>
    <row r="52" spans="1:27" ht="13.5" thickBot="1">
      <c r="A52" s="63"/>
      <c r="B52" s="61"/>
      <c r="C52" s="61"/>
      <c r="D52" s="61"/>
      <c r="E52" s="61"/>
      <c r="F52" s="61"/>
      <c r="G52" s="61"/>
      <c r="H52" s="61"/>
      <c r="I52" s="59"/>
      <c r="J52" s="61"/>
      <c r="K52" s="61"/>
      <c r="L52" s="61"/>
      <c r="M52" s="61"/>
      <c r="N52" s="61"/>
      <c r="O52" s="61"/>
      <c r="P52" s="61"/>
      <c r="Q52" s="61"/>
      <c r="R52" s="59"/>
      <c r="S52" s="61"/>
      <c r="T52" s="61"/>
      <c r="U52" s="61"/>
      <c r="V52" s="61"/>
      <c r="W52" s="61"/>
      <c r="X52" s="61"/>
      <c r="Y52" s="61"/>
      <c r="Z52" s="61"/>
      <c r="AA52" s="62"/>
    </row>
    <row r="53" spans="1:27" ht="13.5" thickBot="1">
      <c r="A53" s="63"/>
      <c r="B53" s="330">
        <f>+H51+1</f>
        <v>16</v>
      </c>
      <c r="C53" s="242">
        <f>+B53+1</f>
        <v>17</v>
      </c>
      <c r="D53" s="324">
        <f>(C53+1)</f>
        <v>18</v>
      </c>
      <c r="E53" s="324">
        <f>(D53+1)</f>
        <v>19</v>
      </c>
      <c r="F53" s="324">
        <f>(E53+1)</f>
        <v>20</v>
      </c>
      <c r="G53" s="324">
        <f>(F53+1)</f>
        <v>21</v>
      </c>
      <c r="H53" s="325">
        <f>+G53+1</f>
        <v>22</v>
      </c>
      <c r="I53" s="59">
        <v>6</v>
      </c>
      <c r="J53" s="61"/>
      <c r="K53" s="330">
        <f>+Q51+1</f>
        <v>15</v>
      </c>
      <c r="L53" s="242">
        <f>+K53+1</f>
        <v>16</v>
      </c>
      <c r="M53" s="324">
        <f>(L53+1)</f>
        <v>17</v>
      </c>
      <c r="N53" s="324">
        <f>(M53+1)</f>
        <v>18</v>
      </c>
      <c r="O53" s="324">
        <f>(N53+1)</f>
        <v>19</v>
      </c>
      <c r="P53" s="324">
        <f>(O53+1)</f>
        <v>20</v>
      </c>
      <c r="Q53" s="325">
        <f>+P53+1</f>
        <v>21</v>
      </c>
      <c r="R53" s="59">
        <v>6</v>
      </c>
      <c r="S53" s="61"/>
      <c r="T53" s="330">
        <f>+Z51+1</f>
        <v>14</v>
      </c>
      <c r="U53" s="242">
        <f>+T53+1</f>
        <v>15</v>
      </c>
      <c r="V53" s="324">
        <f>(U53+1)</f>
        <v>16</v>
      </c>
      <c r="W53" s="324">
        <f>(V53+1)</f>
        <v>17</v>
      </c>
      <c r="X53" s="324">
        <f>(W53+1)</f>
        <v>18</v>
      </c>
      <c r="Y53" s="324">
        <f>(X53+1)</f>
        <v>19</v>
      </c>
      <c r="Z53" s="325">
        <f>+Y53+1</f>
        <v>20</v>
      </c>
      <c r="AA53" s="62">
        <v>6</v>
      </c>
    </row>
    <row r="54" spans="1:27">
      <c r="A54" s="326" t="s">
        <v>451</v>
      </c>
      <c r="B54" s="64">
        <f>(H53+1)</f>
        <v>23</v>
      </c>
      <c r="C54" s="66">
        <f>(B54+1)</f>
        <v>24</v>
      </c>
      <c r="D54" s="66">
        <f>(C54+1)</f>
        <v>25</v>
      </c>
      <c r="E54" s="66">
        <f>(D54+1)</f>
        <v>26</v>
      </c>
      <c r="F54" s="66">
        <f>(E54+1)</f>
        <v>27</v>
      </c>
      <c r="G54" s="66">
        <v>28</v>
      </c>
      <c r="H54" s="67">
        <v>1</v>
      </c>
      <c r="I54" s="59"/>
      <c r="J54" s="61"/>
      <c r="K54" s="64">
        <f>(Q53+1)</f>
        <v>22</v>
      </c>
      <c r="L54" s="66">
        <f>(K54+1)</f>
        <v>23</v>
      </c>
      <c r="M54" s="66">
        <f>(L54+1)</f>
        <v>24</v>
      </c>
      <c r="N54" s="66">
        <f>(M54+1)</f>
        <v>25</v>
      </c>
      <c r="O54" s="66">
        <f>(N54+1)</f>
        <v>26</v>
      </c>
      <c r="P54" s="351">
        <v>27</v>
      </c>
      <c r="Q54" s="67">
        <v>28</v>
      </c>
      <c r="R54" s="59"/>
      <c r="S54" s="61"/>
      <c r="T54" s="64">
        <f>(Z53+1)</f>
        <v>21</v>
      </c>
      <c r="U54" s="66">
        <f>(T54+1)</f>
        <v>22</v>
      </c>
      <c r="V54" s="66">
        <f>(U54+1)</f>
        <v>23</v>
      </c>
      <c r="W54" s="66">
        <f>(V54+1)</f>
        <v>24</v>
      </c>
      <c r="X54" s="66">
        <f>(W54+1)</f>
        <v>25</v>
      </c>
      <c r="Y54" s="66">
        <v>26</v>
      </c>
      <c r="Z54" s="67">
        <v>27</v>
      </c>
      <c r="AA54" s="62"/>
    </row>
    <row r="55" spans="1:27">
      <c r="A55" s="63"/>
      <c r="B55" s="61"/>
      <c r="C55" s="61"/>
      <c r="D55" s="61"/>
      <c r="E55" s="61"/>
      <c r="F55" s="61"/>
      <c r="G55" s="61"/>
      <c r="H55" s="61"/>
      <c r="I55" s="59"/>
      <c r="J55" s="61"/>
      <c r="K55" s="61"/>
      <c r="L55" s="61"/>
      <c r="M55" s="61"/>
      <c r="N55" s="61"/>
      <c r="O55" s="61"/>
      <c r="P55" s="61"/>
      <c r="Q55" s="61"/>
      <c r="R55" s="59"/>
      <c r="S55" s="61"/>
      <c r="T55" s="61"/>
      <c r="U55" s="61"/>
      <c r="V55" s="61"/>
      <c r="W55" s="61"/>
      <c r="X55" s="61"/>
      <c r="Y55" s="61"/>
      <c r="Z55" s="61"/>
      <c r="AA55" s="62"/>
    </row>
    <row r="56" spans="1:27">
      <c r="A56" s="63" t="s">
        <v>443</v>
      </c>
      <c r="B56" s="323">
        <f>+H54+1</f>
        <v>2</v>
      </c>
      <c r="C56" s="324">
        <f>+B56+1</f>
        <v>3</v>
      </c>
      <c r="D56" s="324">
        <f t="shared" ref="D56:G57" si="25">(C56+1)</f>
        <v>4</v>
      </c>
      <c r="E56" s="324">
        <f t="shared" si="25"/>
        <v>5</v>
      </c>
      <c r="F56" s="324">
        <f t="shared" si="25"/>
        <v>6</v>
      </c>
      <c r="G56" s="324">
        <f t="shared" si="25"/>
        <v>7</v>
      </c>
      <c r="H56" s="325">
        <f>+G56+1</f>
        <v>8</v>
      </c>
      <c r="I56" s="59">
        <v>7</v>
      </c>
      <c r="J56" s="327" t="s">
        <v>451</v>
      </c>
      <c r="K56" s="323">
        <v>1</v>
      </c>
      <c r="L56" s="324">
        <f>+K56+1</f>
        <v>2</v>
      </c>
      <c r="M56" s="324">
        <f t="shared" ref="M56:P57" si="26">(L56+1)</f>
        <v>3</v>
      </c>
      <c r="N56" s="324">
        <f t="shared" si="26"/>
        <v>4</v>
      </c>
      <c r="O56" s="324">
        <f t="shared" si="26"/>
        <v>5</v>
      </c>
      <c r="P56" s="324">
        <f t="shared" si="26"/>
        <v>6</v>
      </c>
      <c r="Q56" s="325">
        <f>+P56+1</f>
        <v>7</v>
      </c>
      <c r="R56" s="59">
        <v>7</v>
      </c>
      <c r="S56" s="327" t="s">
        <v>451</v>
      </c>
      <c r="T56" s="323">
        <v>28</v>
      </c>
      <c r="U56" s="324">
        <v>29</v>
      </c>
      <c r="V56" s="324">
        <v>1</v>
      </c>
      <c r="W56" s="324">
        <f>(V56+1)</f>
        <v>2</v>
      </c>
      <c r="X56" s="324">
        <f t="shared" ref="V56:Y57" si="27">(W56+1)</f>
        <v>3</v>
      </c>
      <c r="Y56" s="324">
        <f t="shared" si="27"/>
        <v>4</v>
      </c>
      <c r="Z56" s="325">
        <f>+Y56+1</f>
        <v>5</v>
      </c>
      <c r="AA56" s="62">
        <v>7</v>
      </c>
    </row>
    <row r="57" spans="1:27">
      <c r="A57" s="63"/>
      <c r="B57" s="64">
        <f>+H56+1</f>
        <v>9</v>
      </c>
      <c r="C57" s="66">
        <f>+B57+1</f>
        <v>10</v>
      </c>
      <c r="D57" s="66">
        <f t="shared" si="25"/>
        <v>11</v>
      </c>
      <c r="E57" s="66">
        <f t="shared" si="25"/>
        <v>12</v>
      </c>
      <c r="F57" s="66">
        <f t="shared" si="25"/>
        <v>13</v>
      </c>
      <c r="G57" s="66">
        <f t="shared" si="25"/>
        <v>14</v>
      </c>
      <c r="H57" s="67">
        <f>+G57+1</f>
        <v>15</v>
      </c>
      <c r="I57" s="59"/>
      <c r="J57" s="61"/>
      <c r="K57" s="64">
        <f>+Q56+1</f>
        <v>8</v>
      </c>
      <c r="L57" s="66">
        <f>+K57+1</f>
        <v>9</v>
      </c>
      <c r="M57" s="66">
        <f t="shared" si="26"/>
        <v>10</v>
      </c>
      <c r="N57" s="66">
        <f t="shared" si="26"/>
        <v>11</v>
      </c>
      <c r="O57" s="66">
        <f t="shared" si="26"/>
        <v>12</v>
      </c>
      <c r="P57" s="351">
        <f t="shared" si="26"/>
        <v>13</v>
      </c>
      <c r="Q57" s="67">
        <f>+P57+1</f>
        <v>14</v>
      </c>
      <c r="R57" s="59"/>
      <c r="S57" s="61"/>
      <c r="T57" s="64">
        <f>+Z56+1</f>
        <v>6</v>
      </c>
      <c r="U57" s="66">
        <f>+T57+1</f>
        <v>7</v>
      </c>
      <c r="V57" s="66">
        <f t="shared" si="27"/>
        <v>8</v>
      </c>
      <c r="W57" s="66">
        <f t="shared" si="27"/>
        <v>9</v>
      </c>
      <c r="X57" s="66">
        <f t="shared" si="27"/>
        <v>10</v>
      </c>
      <c r="Y57" s="66">
        <f t="shared" si="27"/>
        <v>11</v>
      </c>
      <c r="Z57" s="67">
        <f>+Y57+1</f>
        <v>12</v>
      </c>
      <c r="AA57" s="62"/>
    </row>
    <row r="58" spans="1:27">
      <c r="A58" s="63"/>
      <c r="B58" s="61"/>
      <c r="C58" s="61"/>
      <c r="D58" s="61"/>
      <c r="E58" s="61"/>
      <c r="F58" s="61"/>
      <c r="G58" s="61"/>
      <c r="H58" s="61"/>
      <c r="I58" s="59"/>
      <c r="J58" s="61"/>
      <c r="K58" s="61"/>
      <c r="L58" s="61"/>
      <c r="M58" s="61"/>
      <c r="N58" s="61"/>
      <c r="O58" s="61"/>
      <c r="P58" s="61"/>
      <c r="Q58" s="61"/>
      <c r="R58" s="59"/>
      <c r="S58" s="61"/>
      <c r="T58" s="61"/>
      <c r="U58" s="61"/>
      <c r="V58" s="61"/>
      <c r="W58" s="61"/>
      <c r="X58" s="61"/>
      <c r="Y58" s="61"/>
      <c r="Z58" s="61"/>
      <c r="AA58" s="62"/>
    </row>
    <row r="59" spans="1:27">
      <c r="A59" s="63"/>
      <c r="B59" s="323">
        <f>+H57+1</f>
        <v>16</v>
      </c>
      <c r="C59" s="324">
        <f t="shared" ref="C59:H60" si="28">+B59+1</f>
        <v>17</v>
      </c>
      <c r="D59" s="324">
        <f t="shared" si="28"/>
        <v>18</v>
      </c>
      <c r="E59" s="324">
        <f t="shared" si="28"/>
        <v>19</v>
      </c>
      <c r="F59" s="324">
        <f t="shared" si="28"/>
        <v>20</v>
      </c>
      <c r="G59" s="324">
        <f t="shared" si="28"/>
        <v>21</v>
      </c>
      <c r="H59" s="325">
        <f t="shared" si="28"/>
        <v>22</v>
      </c>
      <c r="I59" s="59">
        <v>8</v>
      </c>
      <c r="J59" s="61"/>
      <c r="K59" s="323">
        <f>+Q57+1</f>
        <v>15</v>
      </c>
      <c r="L59" s="324">
        <f t="shared" ref="L59:Q60" si="29">+K59+1</f>
        <v>16</v>
      </c>
      <c r="M59" s="324">
        <f t="shared" si="29"/>
        <v>17</v>
      </c>
      <c r="N59" s="324">
        <f t="shared" si="29"/>
        <v>18</v>
      </c>
      <c r="O59" s="324">
        <f t="shared" si="29"/>
        <v>19</v>
      </c>
      <c r="P59" s="324">
        <f t="shared" si="29"/>
        <v>20</v>
      </c>
      <c r="Q59" s="325">
        <f t="shared" si="29"/>
        <v>21</v>
      </c>
      <c r="R59" s="59">
        <v>8</v>
      </c>
      <c r="S59" s="61"/>
      <c r="T59" s="323">
        <f>+Z57+1</f>
        <v>13</v>
      </c>
      <c r="U59" s="324">
        <f t="shared" ref="U59:Z60" si="30">+T59+1</f>
        <v>14</v>
      </c>
      <c r="V59" s="324">
        <f t="shared" si="30"/>
        <v>15</v>
      </c>
      <c r="W59" s="324">
        <f t="shared" si="30"/>
        <v>16</v>
      </c>
      <c r="X59" s="324">
        <f t="shared" si="30"/>
        <v>17</v>
      </c>
      <c r="Y59" s="324">
        <f t="shared" si="30"/>
        <v>18</v>
      </c>
      <c r="Z59" s="325">
        <f t="shared" si="30"/>
        <v>19</v>
      </c>
      <c r="AA59" s="62">
        <v>8</v>
      </c>
    </row>
    <row r="60" spans="1:27">
      <c r="A60" s="63"/>
      <c r="B60" s="64">
        <f>+H59+1</f>
        <v>23</v>
      </c>
      <c r="C60" s="66">
        <f t="shared" si="28"/>
        <v>24</v>
      </c>
      <c r="D60" s="66">
        <f t="shared" si="28"/>
        <v>25</v>
      </c>
      <c r="E60" s="66">
        <f t="shared" si="28"/>
        <v>26</v>
      </c>
      <c r="F60" s="66">
        <f t="shared" si="28"/>
        <v>27</v>
      </c>
      <c r="G60" s="66">
        <f t="shared" si="28"/>
        <v>28</v>
      </c>
      <c r="H60" s="67">
        <f t="shared" si="28"/>
        <v>29</v>
      </c>
      <c r="I60" s="59"/>
      <c r="J60" s="61"/>
      <c r="K60" s="64">
        <f>+Q59+1</f>
        <v>22</v>
      </c>
      <c r="L60" s="66">
        <f t="shared" si="29"/>
        <v>23</v>
      </c>
      <c r="M60" s="66">
        <f t="shared" si="29"/>
        <v>24</v>
      </c>
      <c r="N60" s="66">
        <f t="shared" si="29"/>
        <v>25</v>
      </c>
      <c r="O60" s="66">
        <f t="shared" si="29"/>
        <v>26</v>
      </c>
      <c r="P60" s="351">
        <f t="shared" si="29"/>
        <v>27</v>
      </c>
      <c r="Q60" s="67">
        <f t="shared" si="29"/>
        <v>28</v>
      </c>
      <c r="R60" s="59"/>
      <c r="S60" s="61"/>
      <c r="T60" s="64">
        <f>+Z59+1</f>
        <v>20</v>
      </c>
      <c r="U60" s="66">
        <f t="shared" si="30"/>
        <v>21</v>
      </c>
      <c r="V60" s="66">
        <f t="shared" si="30"/>
        <v>22</v>
      </c>
      <c r="W60" s="66">
        <f t="shared" si="30"/>
        <v>23</v>
      </c>
      <c r="X60" s="66">
        <f t="shared" si="30"/>
        <v>24</v>
      </c>
      <c r="Y60" s="66">
        <f t="shared" si="30"/>
        <v>25</v>
      </c>
      <c r="Z60" s="67">
        <f t="shared" si="30"/>
        <v>26</v>
      </c>
      <c r="AA60" s="62"/>
    </row>
    <row r="61" spans="1:27">
      <c r="A61" s="63"/>
      <c r="B61" s="61"/>
      <c r="C61" s="61"/>
      <c r="D61" s="61"/>
      <c r="E61" s="61"/>
      <c r="F61" s="61"/>
      <c r="G61" s="61"/>
      <c r="H61" s="61"/>
      <c r="I61" s="59"/>
      <c r="J61" s="61"/>
      <c r="K61" s="61"/>
      <c r="L61" s="61"/>
      <c r="M61" s="61"/>
      <c r="N61" s="61"/>
      <c r="O61" s="61"/>
      <c r="P61" s="61"/>
      <c r="Q61" s="61"/>
      <c r="R61" s="59"/>
      <c r="S61" s="61"/>
      <c r="T61" s="61"/>
      <c r="U61" s="61"/>
      <c r="V61" s="61"/>
      <c r="W61" s="61"/>
      <c r="X61" s="61"/>
      <c r="Y61" s="61"/>
      <c r="Z61" s="61"/>
      <c r="AA61" s="62"/>
    </row>
    <row r="62" spans="1:27">
      <c r="A62" s="326" t="s">
        <v>452</v>
      </c>
      <c r="B62" s="323">
        <v>30</v>
      </c>
      <c r="C62" s="324">
        <v>31</v>
      </c>
      <c r="D62" s="324">
        <v>1</v>
      </c>
      <c r="E62" s="324">
        <f t="shared" ref="E62:G63" si="31">(D62+1)</f>
        <v>2</v>
      </c>
      <c r="F62" s="324">
        <f t="shared" si="31"/>
        <v>3</v>
      </c>
      <c r="G62" s="324">
        <f t="shared" si="31"/>
        <v>4</v>
      </c>
      <c r="H62" s="325">
        <f>+G62+1</f>
        <v>5</v>
      </c>
      <c r="I62" s="59">
        <v>9</v>
      </c>
      <c r="J62" s="327" t="s">
        <v>452</v>
      </c>
      <c r="K62" s="323">
        <v>29</v>
      </c>
      <c r="L62" s="324">
        <v>30</v>
      </c>
      <c r="M62" s="324">
        <v>31</v>
      </c>
      <c r="N62" s="324">
        <v>1</v>
      </c>
      <c r="O62" s="324">
        <f t="shared" ref="O62:P63" si="32">(N62+1)</f>
        <v>2</v>
      </c>
      <c r="P62" s="324">
        <f t="shared" si="32"/>
        <v>3</v>
      </c>
      <c r="Q62" s="325">
        <f>+P62+1</f>
        <v>4</v>
      </c>
      <c r="R62" s="59">
        <v>9</v>
      </c>
      <c r="S62" s="327" t="s">
        <v>452</v>
      </c>
      <c r="T62" s="323">
        <v>27</v>
      </c>
      <c r="U62" s="324">
        <v>28</v>
      </c>
      <c r="V62" s="324">
        <v>29</v>
      </c>
      <c r="W62" s="324">
        <v>30</v>
      </c>
      <c r="X62" s="324">
        <f t="shared" ref="V62:Y65" si="33">(W62+1)</f>
        <v>31</v>
      </c>
      <c r="Y62" s="324">
        <v>1</v>
      </c>
      <c r="Z62" s="325">
        <f>+Y62+1</f>
        <v>2</v>
      </c>
      <c r="AA62" s="62">
        <v>9</v>
      </c>
    </row>
    <row r="63" spans="1:27">
      <c r="A63" s="63"/>
      <c r="B63" s="64">
        <f>+H62+1</f>
        <v>6</v>
      </c>
      <c r="C63" s="66">
        <f>+B63+1</f>
        <v>7</v>
      </c>
      <c r="D63" s="66">
        <f>(C63+1)</f>
        <v>8</v>
      </c>
      <c r="E63" s="66">
        <f t="shared" si="31"/>
        <v>9</v>
      </c>
      <c r="F63" s="66">
        <f t="shared" si="31"/>
        <v>10</v>
      </c>
      <c r="G63" s="66">
        <f t="shared" si="31"/>
        <v>11</v>
      </c>
      <c r="H63" s="67">
        <f>+G63+1</f>
        <v>12</v>
      </c>
      <c r="I63" s="59"/>
      <c r="J63" s="61"/>
      <c r="K63" s="64">
        <f>+Q62+1</f>
        <v>5</v>
      </c>
      <c r="L63" s="66">
        <f>+K63+1</f>
        <v>6</v>
      </c>
      <c r="M63" s="66">
        <f t="shared" ref="M63:N63" si="34">(L63+1)</f>
        <v>7</v>
      </c>
      <c r="N63" s="66">
        <f t="shared" si="34"/>
        <v>8</v>
      </c>
      <c r="O63" s="66">
        <f t="shared" si="32"/>
        <v>9</v>
      </c>
      <c r="P63" s="351">
        <f t="shared" si="32"/>
        <v>10</v>
      </c>
      <c r="Q63" s="67">
        <f>+P63+1</f>
        <v>11</v>
      </c>
      <c r="R63" s="59"/>
      <c r="S63" s="61"/>
      <c r="T63" s="64">
        <f>+Z62+1</f>
        <v>3</v>
      </c>
      <c r="U63" s="66">
        <f>+T63+1</f>
        <v>4</v>
      </c>
      <c r="V63" s="66">
        <f t="shared" si="33"/>
        <v>5</v>
      </c>
      <c r="W63" s="66">
        <f t="shared" si="33"/>
        <v>6</v>
      </c>
      <c r="X63" s="66">
        <f t="shared" si="33"/>
        <v>7</v>
      </c>
      <c r="Y63" s="66">
        <f t="shared" si="33"/>
        <v>8</v>
      </c>
      <c r="Z63" s="67">
        <f>+Y63+1</f>
        <v>9</v>
      </c>
      <c r="AA63" s="62"/>
    </row>
    <row r="64" spans="1:27">
      <c r="A64" s="63"/>
      <c r="B64" s="61"/>
      <c r="C64" s="61"/>
      <c r="D64" s="61"/>
      <c r="E64" s="61"/>
      <c r="F64" s="61"/>
      <c r="G64" s="61"/>
      <c r="H64" s="61"/>
      <c r="I64" s="59"/>
      <c r="J64" s="61"/>
      <c r="K64" s="61"/>
      <c r="L64" s="61"/>
      <c r="M64" s="61"/>
      <c r="N64" s="61"/>
      <c r="O64" s="61"/>
      <c r="P64" s="61"/>
      <c r="Q64" s="61"/>
      <c r="R64" s="59"/>
      <c r="S64" s="61"/>
      <c r="T64" s="61"/>
      <c r="U64" s="61"/>
      <c r="V64" s="61"/>
      <c r="W64" s="61"/>
      <c r="X64" s="61"/>
      <c r="Y64" s="61"/>
      <c r="Z64" s="61"/>
      <c r="AA64" s="62"/>
    </row>
    <row r="65" spans="1:27">
      <c r="A65" s="63"/>
      <c r="B65" s="323">
        <f>+H63+1</f>
        <v>13</v>
      </c>
      <c r="C65" s="324">
        <f>+B65+1</f>
        <v>14</v>
      </c>
      <c r="D65" s="324">
        <f>+C65+1</f>
        <v>15</v>
      </c>
      <c r="E65" s="324">
        <f t="shared" ref="E65:G66" si="35">(D65+1)</f>
        <v>16</v>
      </c>
      <c r="F65" s="324">
        <f t="shared" si="35"/>
        <v>17</v>
      </c>
      <c r="G65" s="324">
        <f t="shared" si="35"/>
        <v>18</v>
      </c>
      <c r="H65" s="325">
        <f>+G65+1</f>
        <v>19</v>
      </c>
      <c r="I65" s="59">
        <v>10</v>
      </c>
      <c r="J65" s="61"/>
      <c r="K65" s="323">
        <f>+Q63+1</f>
        <v>12</v>
      </c>
      <c r="L65" s="324">
        <f>+K65+1</f>
        <v>13</v>
      </c>
      <c r="M65" s="324">
        <f>+L65+1</f>
        <v>14</v>
      </c>
      <c r="N65" s="324">
        <f t="shared" ref="N65:P65" si="36">(M65+1)</f>
        <v>15</v>
      </c>
      <c r="O65" s="324">
        <f t="shared" si="36"/>
        <v>16</v>
      </c>
      <c r="P65" s="339">
        <f t="shared" si="36"/>
        <v>17</v>
      </c>
      <c r="Q65" s="325">
        <f>+P65+1</f>
        <v>18</v>
      </c>
      <c r="R65" s="59">
        <v>10</v>
      </c>
      <c r="S65" s="61"/>
      <c r="T65" s="323">
        <f>+Z63+1</f>
        <v>10</v>
      </c>
      <c r="U65" s="324">
        <f>+T65+1</f>
        <v>11</v>
      </c>
      <c r="V65" s="324">
        <f>+U65+1</f>
        <v>12</v>
      </c>
      <c r="W65" s="324">
        <f t="shared" si="33"/>
        <v>13</v>
      </c>
      <c r="X65" s="324">
        <f t="shared" si="33"/>
        <v>14</v>
      </c>
      <c r="Y65" s="324">
        <f t="shared" si="33"/>
        <v>15</v>
      </c>
      <c r="Z65" s="325">
        <f>+Y65+1</f>
        <v>16</v>
      </c>
      <c r="AA65" s="62">
        <v>10</v>
      </c>
    </row>
    <row r="66" spans="1:27">
      <c r="A66" s="63"/>
      <c r="B66" s="64">
        <v>20</v>
      </c>
      <c r="C66" s="66">
        <v>21</v>
      </c>
      <c r="D66" s="66">
        <v>22</v>
      </c>
      <c r="E66" s="66">
        <f t="shared" si="35"/>
        <v>23</v>
      </c>
      <c r="F66" s="66">
        <f t="shared" si="35"/>
        <v>24</v>
      </c>
      <c r="G66" s="66">
        <f t="shared" si="35"/>
        <v>25</v>
      </c>
      <c r="H66" s="67">
        <f>(G66+1)</f>
        <v>26</v>
      </c>
      <c r="I66" s="59"/>
      <c r="J66" s="61"/>
      <c r="K66" s="64">
        <v>19</v>
      </c>
      <c r="L66" s="66">
        <v>20</v>
      </c>
      <c r="M66" s="66">
        <v>21</v>
      </c>
      <c r="N66" s="66">
        <f>(M66+1)</f>
        <v>22</v>
      </c>
      <c r="O66" s="66">
        <f>(N66+1)</f>
        <v>23</v>
      </c>
      <c r="P66" s="351">
        <f>(O66+1)</f>
        <v>24</v>
      </c>
      <c r="Q66" s="67">
        <f>(P66+1)</f>
        <v>25</v>
      </c>
      <c r="R66" s="59"/>
      <c r="S66" s="61"/>
      <c r="T66" s="64">
        <v>17</v>
      </c>
      <c r="U66" s="66">
        <v>18</v>
      </c>
      <c r="V66" s="66">
        <v>19</v>
      </c>
      <c r="W66" s="66">
        <v>20</v>
      </c>
      <c r="X66" s="66">
        <f>(W66+1)</f>
        <v>21</v>
      </c>
      <c r="Y66" s="66">
        <f>(X66+1)</f>
        <v>22</v>
      </c>
      <c r="Z66" s="67">
        <f>(Y66+1)</f>
        <v>23</v>
      </c>
      <c r="AA66" s="62"/>
    </row>
    <row r="67" spans="1:27">
      <c r="A67" s="63"/>
      <c r="B67" s="61"/>
      <c r="C67" s="61"/>
      <c r="D67" s="61"/>
      <c r="E67" s="61"/>
      <c r="F67" s="61"/>
      <c r="G67" s="61"/>
      <c r="H67" s="61"/>
      <c r="I67" s="59"/>
      <c r="J67" s="61"/>
      <c r="K67" s="61"/>
      <c r="L67" s="61"/>
      <c r="M67" s="61"/>
      <c r="N67" s="61"/>
      <c r="O67" s="61"/>
      <c r="P67" s="61"/>
      <c r="Q67" s="61"/>
      <c r="R67" s="59"/>
      <c r="S67" s="61"/>
      <c r="T67" s="61"/>
      <c r="U67" s="61"/>
      <c r="V67" s="61"/>
      <c r="W67" s="61"/>
      <c r="X67" s="61"/>
      <c r="Y67" s="61"/>
      <c r="Z67" s="61"/>
      <c r="AA67" s="62"/>
    </row>
    <row r="68" spans="1:27">
      <c r="A68" s="326" t="s">
        <v>453</v>
      </c>
      <c r="B68" s="323">
        <v>27</v>
      </c>
      <c r="C68" s="324">
        <v>28</v>
      </c>
      <c r="D68" s="324">
        <v>29</v>
      </c>
      <c r="E68" s="324">
        <v>30</v>
      </c>
      <c r="F68" s="324">
        <v>1</v>
      </c>
      <c r="G68" s="324">
        <f>(F68+1)</f>
        <v>2</v>
      </c>
      <c r="H68" s="331">
        <f>+G68+1</f>
        <v>3</v>
      </c>
      <c r="I68" s="59">
        <v>11</v>
      </c>
      <c r="J68" s="327" t="s">
        <v>453</v>
      </c>
      <c r="K68" s="323">
        <v>26</v>
      </c>
      <c r="L68" s="324">
        <v>27</v>
      </c>
      <c r="M68" s="324">
        <v>28</v>
      </c>
      <c r="N68" s="324">
        <v>29</v>
      </c>
      <c r="O68" s="324">
        <v>30</v>
      </c>
      <c r="P68" s="324">
        <v>1</v>
      </c>
      <c r="Q68" s="331">
        <f>+P68+1</f>
        <v>2</v>
      </c>
      <c r="R68" s="59">
        <v>11</v>
      </c>
      <c r="S68" s="327" t="s">
        <v>453</v>
      </c>
      <c r="T68" s="323">
        <f>(Z66+1)</f>
        <v>24</v>
      </c>
      <c r="U68" s="324">
        <f>(T68+1)</f>
        <v>25</v>
      </c>
      <c r="V68" s="324">
        <f>(U68+1)</f>
        <v>26</v>
      </c>
      <c r="W68" s="324">
        <f>(V68+1)</f>
        <v>27</v>
      </c>
      <c r="X68" s="324">
        <v>28</v>
      </c>
      <c r="Y68" s="324">
        <v>29</v>
      </c>
      <c r="Z68" s="331">
        <v>30</v>
      </c>
      <c r="AA68" s="62">
        <v>11</v>
      </c>
    </row>
    <row r="69" spans="1:27">
      <c r="A69" s="63"/>
      <c r="B69" s="64">
        <f>+H68+1</f>
        <v>4</v>
      </c>
      <c r="C69" s="66">
        <f>+B69+1</f>
        <v>5</v>
      </c>
      <c r="D69" s="66">
        <f>(C69+1)</f>
        <v>6</v>
      </c>
      <c r="E69" s="66">
        <f>(D69+1)</f>
        <v>7</v>
      </c>
      <c r="F69" s="66">
        <f>(E69+1)</f>
        <v>8</v>
      </c>
      <c r="G69" s="66">
        <f>(F69+1)</f>
        <v>9</v>
      </c>
      <c r="H69" s="67">
        <f>+G69+1</f>
        <v>10</v>
      </c>
      <c r="I69" s="59"/>
      <c r="J69" s="327"/>
      <c r="K69" s="64">
        <f>+Q68+1</f>
        <v>3</v>
      </c>
      <c r="L69" s="66">
        <f>+K69+1</f>
        <v>4</v>
      </c>
      <c r="M69" s="66">
        <f>(L69+1)</f>
        <v>5</v>
      </c>
      <c r="N69" s="66">
        <f>(M69+1)</f>
        <v>6</v>
      </c>
      <c r="O69" s="66">
        <f>(N69+1)</f>
        <v>7</v>
      </c>
      <c r="P69" s="351">
        <f>(O69+1)</f>
        <v>8</v>
      </c>
      <c r="Q69" s="67">
        <f>+P69+1</f>
        <v>9</v>
      </c>
      <c r="R69" s="59"/>
      <c r="S69" s="61"/>
      <c r="T69" s="64">
        <v>1</v>
      </c>
      <c r="U69" s="66">
        <f>+T69+1</f>
        <v>2</v>
      </c>
      <c r="V69" s="66">
        <f>(U69+1)</f>
        <v>3</v>
      </c>
      <c r="W69" s="66">
        <f>(V69+1)</f>
        <v>4</v>
      </c>
      <c r="X69" s="66">
        <f>(W69+1)</f>
        <v>5</v>
      </c>
      <c r="Y69" s="66">
        <f>(X69+1)</f>
        <v>6</v>
      </c>
      <c r="Z69" s="67">
        <f>+Y69+1</f>
        <v>7</v>
      </c>
      <c r="AA69" s="62"/>
    </row>
    <row r="70" spans="1:27" ht="13.5" thickBot="1">
      <c r="A70" s="63"/>
      <c r="B70" s="61"/>
      <c r="C70" s="61"/>
      <c r="D70" s="61"/>
      <c r="E70" s="61"/>
      <c r="F70" s="61"/>
      <c r="G70" s="61"/>
      <c r="H70" s="61"/>
      <c r="I70" s="59"/>
      <c r="J70" s="61"/>
      <c r="K70" s="61"/>
      <c r="L70" s="61"/>
      <c r="M70" s="61"/>
      <c r="N70" s="61"/>
      <c r="O70" s="61"/>
      <c r="P70" s="61"/>
      <c r="Q70" s="61"/>
      <c r="R70" s="59"/>
      <c r="S70" s="61"/>
      <c r="T70" s="61"/>
      <c r="U70" s="61"/>
      <c r="V70" s="61"/>
      <c r="W70" s="61"/>
      <c r="X70" s="61"/>
      <c r="Y70" s="61"/>
      <c r="Z70" s="61"/>
      <c r="AA70" s="62"/>
    </row>
    <row r="71" spans="1:27" ht="13.5" thickBot="1">
      <c r="A71" s="63"/>
      <c r="B71" s="330">
        <f>+H69+1</f>
        <v>11</v>
      </c>
      <c r="C71" s="329">
        <f>+B71+1</f>
        <v>12</v>
      </c>
      <c r="D71" s="329">
        <f>(C71+1)</f>
        <v>13</v>
      </c>
      <c r="E71" s="329">
        <f>(D71+1)</f>
        <v>14</v>
      </c>
      <c r="F71" s="329">
        <f>(E71+1)</f>
        <v>15</v>
      </c>
      <c r="G71" s="329">
        <f>(F71+1)</f>
        <v>16</v>
      </c>
      <c r="H71" s="338">
        <f>(G71+1)</f>
        <v>17</v>
      </c>
      <c r="I71" s="59">
        <v>12</v>
      </c>
      <c r="J71" s="61"/>
      <c r="K71" s="330">
        <f>+Q69+1</f>
        <v>10</v>
      </c>
      <c r="L71" s="329">
        <f>+K71+1</f>
        <v>11</v>
      </c>
      <c r="M71" s="329">
        <f t="shared" ref="M71:Q72" si="37">(L71+1)</f>
        <v>12</v>
      </c>
      <c r="N71" s="329">
        <f t="shared" si="37"/>
        <v>13</v>
      </c>
      <c r="O71" s="329">
        <f t="shared" si="37"/>
        <v>14</v>
      </c>
      <c r="P71" s="329">
        <f t="shared" si="37"/>
        <v>15</v>
      </c>
      <c r="Q71" s="338">
        <f t="shared" si="37"/>
        <v>16</v>
      </c>
      <c r="R71" s="59">
        <v>12</v>
      </c>
      <c r="S71" s="61"/>
      <c r="T71" s="330">
        <f>+Z69+1</f>
        <v>8</v>
      </c>
      <c r="U71" s="329">
        <f>+T71+1</f>
        <v>9</v>
      </c>
      <c r="V71" s="329">
        <f t="shared" ref="V71:Z72" si="38">(U71+1)</f>
        <v>10</v>
      </c>
      <c r="W71" s="329">
        <f t="shared" si="38"/>
        <v>11</v>
      </c>
      <c r="X71" s="329">
        <f t="shared" si="38"/>
        <v>12</v>
      </c>
      <c r="Y71" s="329">
        <f t="shared" si="38"/>
        <v>13</v>
      </c>
      <c r="Z71" s="338">
        <f t="shared" si="38"/>
        <v>14</v>
      </c>
      <c r="AA71" s="62">
        <v>12</v>
      </c>
    </row>
    <row r="72" spans="1:27">
      <c r="A72" s="63"/>
      <c r="B72" s="156">
        <v>18</v>
      </c>
      <c r="C72" s="66">
        <f>+B72+1</f>
        <v>19</v>
      </c>
      <c r="D72" s="66">
        <f>+C72+1</f>
        <v>20</v>
      </c>
      <c r="E72" s="66">
        <f>+D72+1</f>
        <v>21</v>
      </c>
      <c r="F72" s="69">
        <f>(E72+1)</f>
        <v>22</v>
      </c>
      <c r="G72" s="69">
        <f>(F72+1)</f>
        <v>23</v>
      </c>
      <c r="H72" s="157">
        <f>+G72+1</f>
        <v>24</v>
      </c>
      <c r="I72" s="59"/>
      <c r="J72" s="61"/>
      <c r="K72" s="156">
        <v>17</v>
      </c>
      <c r="L72" s="66">
        <f>+K72+1</f>
        <v>18</v>
      </c>
      <c r="M72" s="66">
        <f>+L72+1</f>
        <v>19</v>
      </c>
      <c r="N72" s="66">
        <f>+M72+1</f>
        <v>20</v>
      </c>
      <c r="O72" s="69">
        <f t="shared" si="37"/>
        <v>21</v>
      </c>
      <c r="P72" s="352">
        <f t="shared" si="37"/>
        <v>22</v>
      </c>
      <c r="Q72" s="157">
        <f>+P72+1</f>
        <v>23</v>
      </c>
      <c r="R72" s="59"/>
      <c r="S72" s="61"/>
      <c r="T72" s="156">
        <v>15</v>
      </c>
      <c r="U72" s="66">
        <f>+T72+1</f>
        <v>16</v>
      </c>
      <c r="V72" s="66">
        <f>+U72+1</f>
        <v>17</v>
      </c>
      <c r="W72" s="66">
        <f>+V72+1</f>
        <v>18</v>
      </c>
      <c r="X72" s="69">
        <f t="shared" si="38"/>
        <v>19</v>
      </c>
      <c r="Y72" s="69">
        <f t="shared" si="38"/>
        <v>20</v>
      </c>
      <c r="Z72" s="157">
        <f>+Y72+1</f>
        <v>21</v>
      </c>
      <c r="AA72" s="62"/>
    </row>
    <row r="73" spans="1:27" ht="13.5" thickBot="1">
      <c r="A73" s="63"/>
      <c r="B73" s="61"/>
      <c r="C73" s="61"/>
      <c r="D73" s="61"/>
      <c r="E73" s="61"/>
      <c r="F73" s="61"/>
      <c r="G73" s="61"/>
      <c r="H73" s="61"/>
      <c r="I73" s="59"/>
      <c r="J73" s="61"/>
      <c r="K73" s="61"/>
      <c r="L73" s="61"/>
      <c r="M73" s="61"/>
      <c r="N73" s="61"/>
      <c r="O73" s="61"/>
      <c r="P73" s="61"/>
      <c r="Q73" s="61"/>
      <c r="R73" s="59"/>
      <c r="S73" s="61"/>
      <c r="T73" s="61"/>
      <c r="U73" s="61"/>
      <c r="V73" s="61"/>
      <c r="W73" s="61"/>
      <c r="X73" s="61"/>
      <c r="Y73" s="61"/>
      <c r="Z73" s="61"/>
      <c r="AA73" s="62"/>
    </row>
    <row r="74" spans="1:27" ht="13.5" thickBot="1">
      <c r="A74" s="63" t="s">
        <v>443</v>
      </c>
      <c r="B74" s="323">
        <v>25</v>
      </c>
      <c r="C74" s="70">
        <v>26</v>
      </c>
      <c r="D74" s="324">
        <v>27</v>
      </c>
      <c r="E74" s="324">
        <v>28</v>
      </c>
      <c r="F74" s="324">
        <v>29</v>
      </c>
      <c r="G74" s="324">
        <v>30</v>
      </c>
      <c r="H74" s="325">
        <v>31</v>
      </c>
      <c r="I74" s="59">
        <v>13</v>
      </c>
      <c r="J74" s="61" t="s">
        <v>443</v>
      </c>
      <c r="K74" s="323">
        <v>24</v>
      </c>
      <c r="L74" s="70">
        <v>25</v>
      </c>
      <c r="M74" s="324">
        <v>26</v>
      </c>
      <c r="N74" s="324">
        <v>27</v>
      </c>
      <c r="O74" s="324">
        <v>28</v>
      </c>
      <c r="P74" s="324">
        <v>29</v>
      </c>
      <c r="Q74" s="325">
        <v>30</v>
      </c>
      <c r="R74" s="59">
        <v>13</v>
      </c>
      <c r="S74" s="61" t="s">
        <v>443</v>
      </c>
      <c r="T74" s="323">
        <v>22</v>
      </c>
      <c r="U74" s="70">
        <v>23</v>
      </c>
      <c r="V74" s="324">
        <v>24</v>
      </c>
      <c r="W74" s="324">
        <v>25</v>
      </c>
      <c r="X74" s="324">
        <v>26</v>
      </c>
      <c r="Y74" s="324">
        <v>27</v>
      </c>
      <c r="Z74" s="325">
        <v>28</v>
      </c>
      <c r="AA74" s="62">
        <v>13</v>
      </c>
    </row>
    <row r="75" spans="1:27">
      <c r="A75" s="326" t="s">
        <v>454</v>
      </c>
      <c r="B75" s="64">
        <v>1</v>
      </c>
      <c r="C75" s="66">
        <f>+B75+1</f>
        <v>2</v>
      </c>
      <c r="D75" s="66">
        <f>(C75+1)</f>
        <v>3</v>
      </c>
      <c r="E75" s="66">
        <f>(D75+1)</f>
        <v>4</v>
      </c>
      <c r="F75" s="66">
        <f>(E75+1)</f>
        <v>5</v>
      </c>
      <c r="G75" s="66">
        <f>(F75+1)</f>
        <v>6</v>
      </c>
      <c r="H75" s="67">
        <f>+G75+1</f>
        <v>7</v>
      </c>
      <c r="I75" s="59"/>
      <c r="J75" s="327" t="s">
        <v>454</v>
      </c>
      <c r="K75" s="64">
        <v>31</v>
      </c>
      <c r="L75" s="66">
        <v>1</v>
      </c>
      <c r="M75" s="66">
        <f>(L75+1)</f>
        <v>2</v>
      </c>
      <c r="N75" s="66">
        <f>(M75+1)</f>
        <v>3</v>
      </c>
      <c r="O75" s="66">
        <f>(N75+1)</f>
        <v>4</v>
      </c>
      <c r="P75" s="351">
        <f>(O75+1)</f>
        <v>5</v>
      </c>
      <c r="Q75" s="67">
        <f>+P75+1</f>
        <v>6</v>
      </c>
      <c r="R75" s="59"/>
      <c r="S75" s="327" t="s">
        <v>454</v>
      </c>
      <c r="T75" s="64">
        <v>29</v>
      </c>
      <c r="U75" s="353">
        <v>30</v>
      </c>
      <c r="V75" s="66">
        <v>31</v>
      </c>
      <c r="W75" s="66">
        <v>1</v>
      </c>
      <c r="X75" s="66">
        <f>(W75+1)</f>
        <v>2</v>
      </c>
      <c r="Y75" s="66">
        <f>(X75+1)</f>
        <v>3</v>
      </c>
      <c r="Z75" s="67">
        <f>+Y75+1</f>
        <v>4</v>
      </c>
      <c r="AA75" s="62"/>
    </row>
    <row r="76" spans="1:27">
      <c r="A76" s="63"/>
      <c r="B76" s="61"/>
      <c r="C76" s="61"/>
      <c r="D76" s="61"/>
      <c r="E76" s="61"/>
      <c r="F76" s="61"/>
      <c r="G76" s="61"/>
      <c r="H76" s="61"/>
      <c r="I76" s="59"/>
      <c r="J76" s="61"/>
      <c r="K76" s="61"/>
      <c r="L76" s="61"/>
      <c r="M76" s="61"/>
      <c r="N76" s="61"/>
      <c r="O76" s="61"/>
      <c r="P76" s="61"/>
      <c r="Q76" s="61"/>
      <c r="R76" s="59"/>
      <c r="S76" s="61"/>
      <c r="T76" s="61"/>
      <c r="U76" s="61"/>
      <c r="V76" s="61"/>
      <c r="W76" s="61"/>
      <c r="X76" s="61"/>
      <c r="Y76" s="61"/>
      <c r="Z76" s="61"/>
      <c r="AA76" s="62"/>
    </row>
    <row r="77" spans="1:27">
      <c r="A77" s="63" t="s">
        <v>443</v>
      </c>
      <c r="B77" s="323">
        <f>(H75+1)</f>
        <v>8</v>
      </c>
      <c r="C77" s="324">
        <f>+B77+1</f>
        <v>9</v>
      </c>
      <c r="D77" s="324">
        <f t="shared" ref="D77:G78" si="39">(C77+1)</f>
        <v>10</v>
      </c>
      <c r="E77" s="324">
        <f t="shared" si="39"/>
        <v>11</v>
      </c>
      <c r="F77" s="324">
        <f t="shared" si="39"/>
        <v>12</v>
      </c>
      <c r="G77" s="324">
        <f t="shared" si="39"/>
        <v>13</v>
      </c>
      <c r="H77" s="325">
        <f>+G77+1</f>
        <v>14</v>
      </c>
      <c r="I77" s="59">
        <v>14</v>
      </c>
      <c r="J77" s="61" t="s">
        <v>443</v>
      </c>
      <c r="K77" s="323">
        <f>(Q75+1)</f>
        <v>7</v>
      </c>
      <c r="L77" s="324">
        <f>+K77+1</f>
        <v>8</v>
      </c>
      <c r="M77" s="324">
        <f t="shared" ref="M77:P78" si="40">(L77+1)</f>
        <v>9</v>
      </c>
      <c r="N77" s="324">
        <f t="shared" si="40"/>
        <v>10</v>
      </c>
      <c r="O77" s="324">
        <f t="shared" si="40"/>
        <v>11</v>
      </c>
      <c r="P77" s="324">
        <f t="shared" si="40"/>
        <v>12</v>
      </c>
      <c r="Q77" s="325">
        <f>+P77+1</f>
        <v>13</v>
      </c>
      <c r="R77" s="59">
        <v>14</v>
      </c>
      <c r="S77" s="61" t="s">
        <v>443</v>
      </c>
      <c r="T77" s="323">
        <f>(Z75+1)</f>
        <v>5</v>
      </c>
      <c r="U77" s="324">
        <f>+T77+1</f>
        <v>6</v>
      </c>
      <c r="V77" s="324">
        <f t="shared" ref="V77:Y78" si="41">(U77+1)</f>
        <v>7</v>
      </c>
      <c r="W77" s="324">
        <f t="shared" si="41"/>
        <v>8</v>
      </c>
      <c r="X77" s="324">
        <f t="shared" si="41"/>
        <v>9</v>
      </c>
      <c r="Y77" s="324">
        <f t="shared" si="41"/>
        <v>10</v>
      </c>
      <c r="Z77" s="325">
        <f>+Y77+1</f>
        <v>11</v>
      </c>
      <c r="AA77" s="62">
        <v>14</v>
      </c>
    </row>
    <row r="78" spans="1:27">
      <c r="A78" s="73"/>
      <c r="B78" s="64">
        <f>+H77+1</f>
        <v>15</v>
      </c>
      <c r="C78" s="66">
        <f>+B78+1</f>
        <v>16</v>
      </c>
      <c r="D78" s="66">
        <f t="shared" si="39"/>
        <v>17</v>
      </c>
      <c r="E78" s="66">
        <f t="shared" si="39"/>
        <v>18</v>
      </c>
      <c r="F78" s="66">
        <f t="shared" si="39"/>
        <v>19</v>
      </c>
      <c r="G78" s="66">
        <f t="shared" si="39"/>
        <v>20</v>
      </c>
      <c r="H78" s="67">
        <f>+G78+1</f>
        <v>21</v>
      </c>
      <c r="I78" s="59"/>
      <c r="J78" s="74"/>
      <c r="K78" s="64">
        <f>+Q77+1</f>
        <v>14</v>
      </c>
      <c r="L78" s="66">
        <f>+K78+1</f>
        <v>15</v>
      </c>
      <c r="M78" s="66">
        <f t="shared" si="40"/>
        <v>16</v>
      </c>
      <c r="N78" s="66">
        <f t="shared" si="40"/>
        <v>17</v>
      </c>
      <c r="O78" s="66">
        <f t="shared" si="40"/>
        <v>18</v>
      </c>
      <c r="P78" s="351">
        <f t="shared" si="40"/>
        <v>19</v>
      </c>
      <c r="Q78" s="67">
        <f>+P78+1</f>
        <v>20</v>
      </c>
      <c r="R78" s="59"/>
      <c r="S78" s="74"/>
      <c r="T78" s="64">
        <f>+Z77+1</f>
        <v>12</v>
      </c>
      <c r="U78" s="66">
        <f>+T78+1</f>
        <v>13</v>
      </c>
      <c r="V78" s="66">
        <f t="shared" si="41"/>
        <v>14</v>
      </c>
      <c r="W78" s="66">
        <f t="shared" si="41"/>
        <v>15</v>
      </c>
      <c r="X78" s="66">
        <f t="shared" si="41"/>
        <v>16</v>
      </c>
      <c r="Y78" s="66">
        <f t="shared" si="41"/>
        <v>17</v>
      </c>
      <c r="Z78" s="67">
        <f>+Y78+1</f>
        <v>18</v>
      </c>
      <c r="AA78" s="62"/>
    </row>
    <row r="79" spans="1:27">
      <c r="A79" s="63"/>
      <c r="B79" s="61"/>
      <c r="C79" s="61"/>
      <c r="D79" s="61"/>
      <c r="E79" s="61"/>
      <c r="F79" s="61"/>
      <c r="G79" s="61"/>
      <c r="H79" s="61"/>
      <c r="I79" s="59"/>
      <c r="J79" s="61"/>
      <c r="K79" s="61"/>
      <c r="L79" s="61"/>
      <c r="M79" s="61"/>
      <c r="N79" s="61"/>
      <c r="O79" s="61"/>
      <c r="P79" s="61"/>
      <c r="Q79" s="61"/>
      <c r="R79" s="59"/>
      <c r="S79" s="61"/>
      <c r="T79" s="61"/>
      <c r="U79" s="61"/>
      <c r="V79" s="61"/>
      <c r="W79" s="61"/>
      <c r="X79" s="61"/>
      <c r="Y79" s="61"/>
      <c r="Z79" s="61"/>
      <c r="AA79" s="62"/>
    </row>
    <row r="80" spans="1:27" ht="15.75" thickBot="1">
      <c r="A80" s="75"/>
      <c r="B80" s="76"/>
      <c r="C80" s="76"/>
      <c r="D80" s="76"/>
      <c r="E80" s="76"/>
      <c r="F80" s="76"/>
      <c r="G80" s="76"/>
      <c r="H80" s="76"/>
      <c r="I80" s="77"/>
      <c r="J80" s="76"/>
      <c r="K80" s="76"/>
      <c r="L80" s="76"/>
      <c r="M80" s="76"/>
      <c r="N80" s="76"/>
      <c r="O80" s="76"/>
      <c r="P80" s="76"/>
      <c r="Q80" s="76"/>
      <c r="R80" s="77"/>
      <c r="S80" s="76"/>
      <c r="T80" s="76"/>
      <c r="U80" s="76"/>
      <c r="V80" s="76"/>
      <c r="W80" s="76"/>
      <c r="X80" s="76"/>
      <c r="Y80" s="76"/>
      <c r="Z80" s="76"/>
      <c r="AA80" s="62"/>
    </row>
    <row r="81" spans="1:27" ht="15.75" thickBot="1">
      <c r="A81" s="340"/>
      <c r="B81" s="341"/>
      <c r="C81" s="341"/>
      <c r="D81" s="341"/>
      <c r="E81" s="341"/>
      <c r="F81" s="341"/>
      <c r="G81" s="341"/>
      <c r="H81" s="341"/>
      <c r="I81" s="342"/>
      <c r="J81" s="341"/>
      <c r="K81" s="341"/>
      <c r="L81" s="341"/>
      <c r="M81" s="341"/>
      <c r="N81" s="341"/>
      <c r="O81" s="341"/>
      <c r="P81" s="341"/>
      <c r="Q81" s="341"/>
      <c r="R81" s="342"/>
      <c r="S81" s="341"/>
      <c r="T81" s="341"/>
      <c r="U81" s="341"/>
      <c r="V81" s="341"/>
      <c r="W81" s="341"/>
      <c r="X81" s="341"/>
      <c r="Y81" s="341"/>
      <c r="Z81" s="341"/>
      <c r="AA81" s="343"/>
    </row>
    <row r="82" spans="1:27" ht="15.75" thickBot="1">
      <c r="A82" s="82"/>
      <c r="B82" s="70"/>
      <c r="C82" s="14" t="s">
        <v>455</v>
      </c>
      <c r="D82" s="14"/>
      <c r="E82" s="14"/>
      <c r="F82" s="14"/>
      <c r="G82" s="14"/>
      <c r="H82" s="14"/>
      <c r="I82" s="14"/>
      <c r="J82" s="14"/>
      <c r="K82" s="14"/>
      <c r="L82" s="14"/>
      <c r="M82" s="241"/>
      <c r="N82" s="14" t="s">
        <v>987</v>
      </c>
      <c r="O82" s="14"/>
      <c r="P82" s="83"/>
      <c r="Q82" s="83"/>
      <c r="R82" s="84"/>
      <c r="S82" s="83"/>
      <c r="T82" s="83"/>
      <c r="U82" s="83"/>
      <c r="V82" s="83"/>
      <c r="W82" s="83"/>
      <c r="X82" s="83"/>
      <c r="Y82" s="83"/>
      <c r="Z82" s="83"/>
      <c r="AA82" s="85"/>
    </row>
    <row r="83" spans="1:27" ht="15.75" thickBot="1">
      <c r="A83" s="86"/>
      <c r="P83" s="14"/>
      <c r="Q83" s="14"/>
      <c r="R83" s="14"/>
      <c r="S83" s="14"/>
      <c r="T83" s="14"/>
      <c r="U83" s="14"/>
      <c r="V83" s="14"/>
      <c r="W83" s="83"/>
      <c r="X83" s="83"/>
      <c r="Y83" s="83"/>
      <c r="Z83" s="83"/>
      <c r="AA83" s="85"/>
    </row>
    <row r="84" spans="1:27" ht="15.75" thickBot="1">
      <c r="A84" s="344"/>
      <c r="B84" s="345"/>
      <c r="C84" s="346"/>
      <c r="D84" s="347"/>
      <c r="E84" s="328"/>
      <c r="F84" s="348" t="s">
        <v>984</v>
      </c>
      <c r="G84" s="83"/>
      <c r="H84" s="83"/>
      <c r="I84" s="83"/>
      <c r="J84" s="83"/>
      <c r="K84" s="338"/>
      <c r="L84" s="348" t="s">
        <v>985</v>
      </c>
      <c r="P84" s="83"/>
      <c r="Q84" s="83"/>
      <c r="R84" s="84"/>
      <c r="S84" s="83"/>
      <c r="T84" s="83"/>
      <c r="U84" s="243"/>
      <c r="V84" s="83"/>
      <c r="W84" s="83"/>
      <c r="X84" s="83"/>
      <c r="Y84" s="83"/>
      <c r="Z84" s="83"/>
      <c r="AA84" s="85"/>
    </row>
    <row r="85" spans="1:27" ht="13.5" thickBot="1">
      <c r="A85" s="349"/>
      <c r="B85" s="350"/>
      <c r="C85" s="350"/>
      <c r="D85" s="350"/>
      <c r="E85" s="88"/>
      <c r="F85" s="88"/>
      <c r="G85" s="88"/>
      <c r="H85" s="88"/>
      <c r="I85" s="88"/>
      <c r="J85" s="88"/>
      <c r="K85" s="88"/>
      <c r="L85" s="88"/>
      <c r="M85" s="88"/>
      <c r="N85" s="88"/>
      <c r="O85" s="88"/>
      <c r="P85" s="88"/>
      <c r="Q85" s="88"/>
      <c r="R85" s="89"/>
      <c r="S85" s="88"/>
      <c r="T85" s="88"/>
      <c r="U85" s="88"/>
      <c r="V85" s="88"/>
      <c r="W85" s="88"/>
      <c r="X85" s="88"/>
      <c r="Y85" s="88"/>
      <c r="Z85" s="88"/>
      <c r="AA85" s="90"/>
    </row>
    <row r="87" spans="1:27">
      <c r="B87" s="93"/>
    </row>
  </sheetData>
  <mergeCells count="2">
    <mergeCell ref="I1:J1"/>
    <mergeCell ref="AC5:AE6"/>
  </mergeCells>
  <hyperlinks>
    <hyperlink ref="AC1" location="Begin!A1" display="Start Over"/>
    <hyperlink ref="AC5" location="Calendars!A1" display="Back to Payroll Calendars"/>
  </hyperlinks>
  <printOptions horizontalCentered="1" verticalCentered="1"/>
  <pageMargins left="0.25" right="0.25" top="0.25" bottom="0.25" header="0.3" footer="0.3"/>
  <pageSetup scale="6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7"/>
  <sheetViews>
    <sheetView zoomScaleNormal="100" workbookViewId="0">
      <selection activeCell="AB9" sqref="AB9"/>
    </sheetView>
  </sheetViews>
  <sheetFormatPr defaultRowHeight="12.75"/>
  <cols>
    <col min="1" max="1" width="4.140625" style="91" customWidth="1"/>
    <col min="2" max="8" width="3.7109375" style="91" customWidth="1"/>
    <col min="9" max="9" width="2.7109375" style="91" customWidth="1"/>
    <col min="10" max="10" width="4.85546875" style="91" customWidth="1"/>
    <col min="11" max="17" width="4.42578125" style="91" customWidth="1"/>
    <col min="18" max="18" width="2.5703125" style="92" customWidth="1"/>
    <col min="19" max="19" width="4.28515625" style="91" customWidth="1"/>
    <col min="20" max="26" width="3.7109375" style="91" customWidth="1"/>
    <col min="27" max="27" width="2.85546875" style="91" customWidth="1"/>
    <col min="28" max="30" width="9.140625" style="91"/>
    <col min="31" max="31" width="11" style="91" customWidth="1"/>
    <col min="32" max="256" width="9.140625" style="91"/>
    <col min="257" max="257" width="4.140625" style="91" customWidth="1"/>
    <col min="258" max="264" width="3.7109375" style="91" customWidth="1"/>
    <col min="265" max="265" width="2.7109375" style="91" customWidth="1"/>
    <col min="266" max="266" width="4.85546875" style="91" customWidth="1"/>
    <col min="267" max="273" width="4.42578125" style="91" customWidth="1"/>
    <col min="274" max="274" width="2.5703125" style="91" customWidth="1"/>
    <col min="275" max="275" width="4.28515625" style="91" customWidth="1"/>
    <col min="276" max="282" width="3.7109375" style="91" customWidth="1"/>
    <col min="283" max="283" width="2.85546875" style="91" customWidth="1"/>
    <col min="284" max="512" width="9.140625" style="91"/>
    <col min="513" max="513" width="4.140625" style="91" customWidth="1"/>
    <col min="514" max="520" width="3.7109375" style="91" customWidth="1"/>
    <col min="521" max="521" width="2.7109375" style="91" customWidth="1"/>
    <col min="522" max="522" width="4.85546875" style="91" customWidth="1"/>
    <col min="523" max="529" width="4.42578125" style="91" customWidth="1"/>
    <col min="530" max="530" width="2.5703125" style="91" customWidth="1"/>
    <col min="531" max="531" width="4.28515625" style="91" customWidth="1"/>
    <col min="532" max="538" width="3.7109375" style="91" customWidth="1"/>
    <col min="539" max="539" width="2.85546875" style="91" customWidth="1"/>
    <col min="540" max="768" width="9.140625" style="91"/>
    <col min="769" max="769" width="4.140625" style="91" customWidth="1"/>
    <col min="770" max="776" width="3.7109375" style="91" customWidth="1"/>
    <col min="777" max="777" width="2.7109375" style="91" customWidth="1"/>
    <col min="778" max="778" width="4.85546875" style="91" customWidth="1"/>
    <col min="779" max="785" width="4.42578125" style="91" customWidth="1"/>
    <col min="786" max="786" width="2.5703125" style="91" customWidth="1"/>
    <col min="787" max="787" width="4.28515625" style="91" customWidth="1"/>
    <col min="788" max="794" width="3.7109375" style="91" customWidth="1"/>
    <col min="795" max="795" width="2.85546875" style="91" customWidth="1"/>
    <col min="796" max="1024" width="9.140625" style="91"/>
    <col min="1025" max="1025" width="4.140625" style="91" customWidth="1"/>
    <col min="1026" max="1032" width="3.7109375" style="91" customWidth="1"/>
    <col min="1033" max="1033" width="2.7109375" style="91" customWidth="1"/>
    <col min="1034" max="1034" width="4.85546875" style="91" customWidth="1"/>
    <col min="1035" max="1041" width="4.42578125" style="91" customWidth="1"/>
    <col min="1042" max="1042" width="2.5703125" style="91" customWidth="1"/>
    <col min="1043" max="1043" width="4.28515625" style="91" customWidth="1"/>
    <col min="1044" max="1050" width="3.7109375" style="91" customWidth="1"/>
    <col min="1051" max="1051" width="2.85546875" style="91" customWidth="1"/>
    <col min="1052" max="1280" width="9.140625" style="91"/>
    <col min="1281" max="1281" width="4.140625" style="91" customWidth="1"/>
    <col min="1282" max="1288" width="3.7109375" style="91" customWidth="1"/>
    <col min="1289" max="1289" width="2.7109375" style="91" customWidth="1"/>
    <col min="1290" max="1290" width="4.85546875" style="91" customWidth="1"/>
    <col min="1291" max="1297" width="4.42578125" style="91" customWidth="1"/>
    <col min="1298" max="1298" width="2.5703125" style="91" customWidth="1"/>
    <col min="1299" max="1299" width="4.28515625" style="91" customWidth="1"/>
    <col min="1300" max="1306" width="3.7109375" style="91" customWidth="1"/>
    <col min="1307" max="1307" width="2.85546875" style="91" customWidth="1"/>
    <col min="1308" max="1536" width="9.140625" style="91"/>
    <col min="1537" max="1537" width="4.140625" style="91" customWidth="1"/>
    <col min="1538" max="1544" width="3.7109375" style="91" customWidth="1"/>
    <col min="1545" max="1545" width="2.7109375" style="91" customWidth="1"/>
    <col min="1546" max="1546" width="4.85546875" style="91" customWidth="1"/>
    <col min="1547" max="1553" width="4.42578125" style="91" customWidth="1"/>
    <col min="1554" max="1554" width="2.5703125" style="91" customWidth="1"/>
    <col min="1555" max="1555" width="4.28515625" style="91" customWidth="1"/>
    <col min="1556" max="1562" width="3.7109375" style="91" customWidth="1"/>
    <col min="1563" max="1563" width="2.85546875" style="91" customWidth="1"/>
    <col min="1564" max="1792" width="9.140625" style="91"/>
    <col min="1793" max="1793" width="4.140625" style="91" customWidth="1"/>
    <col min="1794" max="1800" width="3.7109375" style="91" customWidth="1"/>
    <col min="1801" max="1801" width="2.7109375" style="91" customWidth="1"/>
    <col min="1802" max="1802" width="4.85546875" style="91" customWidth="1"/>
    <col min="1803" max="1809" width="4.42578125" style="91" customWidth="1"/>
    <col min="1810" max="1810" width="2.5703125" style="91" customWidth="1"/>
    <col min="1811" max="1811" width="4.28515625" style="91" customWidth="1"/>
    <col min="1812" max="1818" width="3.7109375" style="91" customWidth="1"/>
    <col min="1819" max="1819" width="2.85546875" style="91" customWidth="1"/>
    <col min="1820" max="2048" width="9.140625" style="91"/>
    <col min="2049" max="2049" width="4.140625" style="91" customWidth="1"/>
    <col min="2050" max="2056" width="3.7109375" style="91" customWidth="1"/>
    <col min="2057" max="2057" width="2.7109375" style="91" customWidth="1"/>
    <col min="2058" max="2058" width="4.85546875" style="91" customWidth="1"/>
    <col min="2059" max="2065" width="4.42578125" style="91" customWidth="1"/>
    <col min="2066" max="2066" width="2.5703125" style="91" customWidth="1"/>
    <col min="2067" max="2067" width="4.28515625" style="91" customWidth="1"/>
    <col min="2068" max="2074" width="3.7109375" style="91" customWidth="1"/>
    <col min="2075" max="2075" width="2.85546875" style="91" customWidth="1"/>
    <col min="2076" max="2304" width="9.140625" style="91"/>
    <col min="2305" max="2305" width="4.140625" style="91" customWidth="1"/>
    <col min="2306" max="2312" width="3.7109375" style="91" customWidth="1"/>
    <col min="2313" max="2313" width="2.7109375" style="91" customWidth="1"/>
    <col min="2314" max="2314" width="4.85546875" style="91" customWidth="1"/>
    <col min="2315" max="2321" width="4.42578125" style="91" customWidth="1"/>
    <col min="2322" max="2322" width="2.5703125" style="91" customWidth="1"/>
    <col min="2323" max="2323" width="4.28515625" style="91" customWidth="1"/>
    <col min="2324" max="2330" width="3.7109375" style="91" customWidth="1"/>
    <col min="2331" max="2331" width="2.85546875" style="91" customWidth="1"/>
    <col min="2332" max="2560" width="9.140625" style="91"/>
    <col min="2561" max="2561" width="4.140625" style="91" customWidth="1"/>
    <col min="2562" max="2568" width="3.7109375" style="91" customWidth="1"/>
    <col min="2569" max="2569" width="2.7109375" style="91" customWidth="1"/>
    <col min="2570" max="2570" width="4.85546875" style="91" customWidth="1"/>
    <col min="2571" max="2577" width="4.42578125" style="91" customWidth="1"/>
    <col min="2578" max="2578" width="2.5703125" style="91" customWidth="1"/>
    <col min="2579" max="2579" width="4.28515625" style="91" customWidth="1"/>
    <col min="2580" max="2586" width="3.7109375" style="91" customWidth="1"/>
    <col min="2587" max="2587" width="2.85546875" style="91" customWidth="1"/>
    <col min="2588" max="2816" width="9.140625" style="91"/>
    <col min="2817" max="2817" width="4.140625" style="91" customWidth="1"/>
    <col min="2818" max="2824" width="3.7109375" style="91" customWidth="1"/>
    <col min="2825" max="2825" width="2.7109375" style="91" customWidth="1"/>
    <col min="2826" max="2826" width="4.85546875" style="91" customWidth="1"/>
    <col min="2827" max="2833" width="4.42578125" style="91" customWidth="1"/>
    <col min="2834" max="2834" width="2.5703125" style="91" customWidth="1"/>
    <col min="2835" max="2835" width="4.28515625" style="91" customWidth="1"/>
    <col min="2836" max="2842" width="3.7109375" style="91" customWidth="1"/>
    <col min="2843" max="2843" width="2.85546875" style="91" customWidth="1"/>
    <col min="2844" max="3072" width="9.140625" style="91"/>
    <col min="3073" max="3073" width="4.140625" style="91" customWidth="1"/>
    <col min="3074" max="3080" width="3.7109375" style="91" customWidth="1"/>
    <col min="3081" max="3081" width="2.7109375" style="91" customWidth="1"/>
    <col min="3082" max="3082" width="4.85546875" style="91" customWidth="1"/>
    <col min="3083" max="3089" width="4.42578125" style="91" customWidth="1"/>
    <col min="3090" max="3090" width="2.5703125" style="91" customWidth="1"/>
    <col min="3091" max="3091" width="4.28515625" style="91" customWidth="1"/>
    <col min="3092" max="3098" width="3.7109375" style="91" customWidth="1"/>
    <col min="3099" max="3099" width="2.85546875" style="91" customWidth="1"/>
    <col min="3100" max="3328" width="9.140625" style="91"/>
    <col min="3329" max="3329" width="4.140625" style="91" customWidth="1"/>
    <col min="3330" max="3336" width="3.7109375" style="91" customWidth="1"/>
    <col min="3337" max="3337" width="2.7109375" style="91" customWidth="1"/>
    <col min="3338" max="3338" width="4.85546875" style="91" customWidth="1"/>
    <col min="3339" max="3345" width="4.42578125" style="91" customWidth="1"/>
    <col min="3346" max="3346" width="2.5703125" style="91" customWidth="1"/>
    <col min="3347" max="3347" width="4.28515625" style="91" customWidth="1"/>
    <col min="3348" max="3354" width="3.7109375" style="91" customWidth="1"/>
    <col min="3355" max="3355" width="2.85546875" style="91" customWidth="1"/>
    <col min="3356" max="3584" width="9.140625" style="91"/>
    <col min="3585" max="3585" width="4.140625" style="91" customWidth="1"/>
    <col min="3586" max="3592" width="3.7109375" style="91" customWidth="1"/>
    <col min="3593" max="3593" width="2.7109375" style="91" customWidth="1"/>
    <col min="3594" max="3594" width="4.85546875" style="91" customWidth="1"/>
    <col min="3595" max="3601" width="4.42578125" style="91" customWidth="1"/>
    <col min="3602" max="3602" width="2.5703125" style="91" customWidth="1"/>
    <col min="3603" max="3603" width="4.28515625" style="91" customWidth="1"/>
    <col min="3604" max="3610" width="3.7109375" style="91" customWidth="1"/>
    <col min="3611" max="3611" width="2.85546875" style="91" customWidth="1"/>
    <col min="3612" max="3840" width="9.140625" style="91"/>
    <col min="3841" max="3841" width="4.140625" style="91" customWidth="1"/>
    <col min="3842" max="3848" width="3.7109375" style="91" customWidth="1"/>
    <col min="3849" max="3849" width="2.7109375" style="91" customWidth="1"/>
    <col min="3850" max="3850" width="4.85546875" style="91" customWidth="1"/>
    <col min="3851" max="3857" width="4.42578125" style="91" customWidth="1"/>
    <col min="3858" max="3858" width="2.5703125" style="91" customWidth="1"/>
    <col min="3859" max="3859" width="4.28515625" style="91" customWidth="1"/>
    <col min="3860" max="3866" width="3.7109375" style="91" customWidth="1"/>
    <col min="3867" max="3867" width="2.85546875" style="91" customWidth="1"/>
    <col min="3868" max="4096" width="9.140625" style="91"/>
    <col min="4097" max="4097" width="4.140625" style="91" customWidth="1"/>
    <col min="4098" max="4104" width="3.7109375" style="91" customWidth="1"/>
    <col min="4105" max="4105" width="2.7109375" style="91" customWidth="1"/>
    <col min="4106" max="4106" width="4.85546875" style="91" customWidth="1"/>
    <col min="4107" max="4113" width="4.42578125" style="91" customWidth="1"/>
    <col min="4114" max="4114" width="2.5703125" style="91" customWidth="1"/>
    <col min="4115" max="4115" width="4.28515625" style="91" customWidth="1"/>
    <col min="4116" max="4122" width="3.7109375" style="91" customWidth="1"/>
    <col min="4123" max="4123" width="2.85546875" style="91" customWidth="1"/>
    <col min="4124" max="4352" width="9.140625" style="91"/>
    <col min="4353" max="4353" width="4.140625" style="91" customWidth="1"/>
    <col min="4354" max="4360" width="3.7109375" style="91" customWidth="1"/>
    <col min="4361" max="4361" width="2.7109375" style="91" customWidth="1"/>
    <col min="4362" max="4362" width="4.85546875" style="91" customWidth="1"/>
    <col min="4363" max="4369" width="4.42578125" style="91" customWidth="1"/>
    <col min="4370" max="4370" width="2.5703125" style="91" customWidth="1"/>
    <col min="4371" max="4371" width="4.28515625" style="91" customWidth="1"/>
    <col min="4372" max="4378" width="3.7109375" style="91" customWidth="1"/>
    <col min="4379" max="4379" width="2.85546875" style="91" customWidth="1"/>
    <col min="4380" max="4608" width="9.140625" style="91"/>
    <col min="4609" max="4609" width="4.140625" style="91" customWidth="1"/>
    <col min="4610" max="4616" width="3.7109375" style="91" customWidth="1"/>
    <col min="4617" max="4617" width="2.7109375" style="91" customWidth="1"/>
    <col min="4618" max="4618" width="4.85546875" style="91" customWidth="1"/>
    <col min="4619" max="4625" width="4.42578125" style="91" customWidth="1"/>
    <col min="4626" max="4626" width="2.5703125" style="91" customWidth="1"/>
    <col min="4627" max="4627" width="4.28515625" style="91" customWidth="1"/>
    <col min="4628" max="4634" width="3.7109375" style="91" customWidth="1"/>
    <col min="4635" max="4635" width="2.85546875" style="91" customWidth="1"/>
    <col min="4636" max="4864" width="9.140625" style="91"/>
    <col min="4865" max="4865" width="4.140625" style="91" customWidth="1"/>
    <col min="4866" max="4872" width="3.7109375" style="91" customWidth="1"/>
    <col min="4873" max="4873" width="2.7109375" style="91" customWidth="1"/>
    <col min="4874" max="4874" width="4.85546875" style="91" customWidth="1"/>
    <col min="4875" max="4881" width="4.42578125" style="91" customWidth="1"/>
    <col min="4882" max="4882" width="2.5703125" style="91" customWidth="1"/>
    <col min="4883" max="4883" width="4.28515625" style="91" customWidth="1"/>
    <col min="4884" max="4890" width="3.7109375" style="91" customWidth="1"/>
    <col min="4891" max="4891" width="2.85546875" style="91" customWidth="1"/>
    <col min="4892" max="5120" width="9.140625" style="91"/>
    <col min="5121" max="5121" width="4.140625" style="91" customWidth="1"/>
    <col min="5122" max="5128" width="3.7109375" style="91" customWidth="1"/>
    <col min="5129" max="5129" width="2.7109375" style="91" customWidth="1"/>
    <col min="5130" max="5130" width="4.85546875" style="91" customWidth="1"/>
    <col min="5131" max="5137" width="4.42578125" style="91" customWidth="1"/>
    <col min="5138" max="5138" width="2.5703125" style="91" customWidth="1"/>
    <col min="5139" max="5139" width="4.28515625" style="91" customWidth="1"/>
    <col min="5140" max="5146" width="3.7109375" style="91" customWidth="1"/>
    <col min="5147" max="5147" width="2.85546875" style="91" customWidth="1"/>
    <col min="5148" max="5376" width="9.140625" style="91"/>
    <col min="5377" max="5377" width="4.140625" style="91" customWidth="1"/>
    <col min="5378" max="5384" width="3.7109375" style="91" customWidth="1"/>
    <col min="5385" max="5385" width="2.7109375" style="91" customWidth="1"/>
    <col min="5386" max="5386" width="4.85546875" style="91" customWidth="1"/>
    <col min="5387" max="5393" width="4.42578125" style="91" customWidth="1"/>
    <col min="5394" max="5394" width="2.5703125" style="91" customWidth="1"/>
    <col min="5395" max="5395" width="4.28515625" style="91" customWidth="1"/>
    <col min="5396" max="5402" width="3.7109375" style="91" customWidth="1"/>
    <col min="5403" max="5403" width="2.85546875" style="91" customWidth="1"/>
    <col min="5404" max="5632" width="9.140625" style="91"/>
    <col min="5633" max="5633" width="4.140625" style="91" customWidth="1"/>
    <col min="5634" max="5640" width="3.7109375" style="91" customWidth="1"/>
    <col min="5641" max="5641" width="2.7109375" style="91" customWidth="1"/>
    <col min="5642" max="5642" width="4.85546875" style="91" customWidth="1"/>
    <col min="5643" max="5649" width="4.42578125" style="91" customWidth="1"/>
    <col min="5650" max="5650" width="2.5703125" style="91" customWidth="1"/>
    <col min="5651" max="5651" width="4.28515625" style="91" customWidth="1"/>
    <col min="5652" max="5658" width="3.7109375" style="91" customWidth="1"/>
    <col min="5659" max="5659" width="2.85546875" style="91" customWidth="1"/>
    <col min="5660" max="5888" width="9.140625" style="91"/>
    <col min="5889" max="5889" width="4.140625" style="91" customWidth="1"/>
    <col min="5890" max="5896" width="3.7109375" style="91" customWidth="1"/>
    <col min="5897" max="5897" width="2.7109375" style="91" customWidth="1"/>
    <col min="5898" max="5898" width="4.85546875" style="91" customWidth="1"/>
    <col min="5899" max="5905" width="4.42578125" style="91" customWidth="1"/>
    <col min="5906" max="5906" width="2.5703125" style="91" customWidth="1"/>
    <col min="5907" max="5907" width="4.28515625" style="91" customWidth="1"/>
    <col min="5908" max="5914" width="3.7109375" style="91" customWidth="1"/>
    <col min="5915" max="5915" width="2.85546875" style="91" customWidth="1"/>
    <col min="5916" max="6144" width="9.140625" style="91"/>
    <col min="6145" max="6145" width="4.140625" style="91" customWidth="1"/>
    <col min="6146" max="6152" width="3.7109375" style="91" customWidth="1"/>
    <col min="6153" max="6153" width="2.7109375" style="91" customWidth="1"/>
    <col min="6154" max="6154" width="4.85546875" style="91" customWidth="1"/>
    <col min="6155" max="6161" width="4.42578125" style="91" customWidth="1"/>
    <col min="6162" max="6162" width="2.5703125" style="91" customWidth="1"/>
    <col min="6163" max="6163" width="4.28515625" style="91" customWidth="1"/>
    <col min="6164" max="6170" width="3.7109375" style="91" customWidth="1"/>
    <col min="6171" max="6171" width="2.85546875" style="91" customWidth="1"/>
    <col min="6172" max="6400" width="9.140625" style="91"/>
    <col min="6401" max="6401" width="4.140625" style="91" customWidth="1"/>
    <col min="6402" max="6408" width="3.7109375" style="91" customWidth="1"/>
    <col min="6409" max="6409" width="2.7109375" style="91" customWidth="1"/>
    <col min="6410" max="6410" width="4.85546875" style="91" customWidth="1"/>
    <col min="6411" max="6417" width="4.42578125" style="91" customWidth="1"/>
    <col min="6418" max="6418" width="2.5703125" style="91" customWidth="1"/>
    <col min="6419" max="6419" width="4.28515625" style="91" customWidth="1"/>
    <col min="6420" max="6426" width="3.7109375" style="91" customWidth="1"/>
    <col min="6427" max="6427" width="2.85546875" style="91" customWidth="1"/>
    <col min="6428" max="6656" width="9.140625" style="91"/>
    <col min="6657" max="6657" width="4.140625" style="91" customWidth="1"/>
    <col min="6658" max="6664" width="3.7109375" style="91" customWidth="1"/>
    <col min="6665" max="6665" width="2.7109375" style="91" customWidth="1"/>
    <col min="6666" max="6666" width="4.85546875" style="91" customWidth="1"/>
    <col min="6667" max="6673" width="4.42578125" style="91" customWidth="1"/>
    <col min="6674" max="6674" width="2.5703125" style="91" customWidth="1"/>
    <col min="6675" max="6675" width="4.28515625" style="91" customWidth="1"/>
    <col min="6676" max="6682" width="3.7109375" style="91" customWidth="1"/>
    <col min="6683" max="6683" width="2.85546875" style="91" customWidth="1"/>
    <col min="6684" max="6912" width="9.140625" style="91"/>
    <col min="6913" max="6913" width="4.140625" style="91" customWidth="1"/>
    <col min="6914" max="6920" width="3.7109375" style="91" customWidth="1"/>
    <col min="6921" max="6921" width="2.7109375" style="91" customWidth="1"/>
    <col min="6922" max="6922" width="4.85546875" style="91" customWidth="1"/>
    <col min="6923" max="6929" width="4.42578125" style="91" customWidth="1"/>
    <col min="6930" max="6930" width="2.5703125" style="91" customWidth="1"/>
    <col min="6931" max="6931" width="4.28515625" style="91" customWidth="1"/>
    <col min="6932" max="6938" width="3.7109375" style="91" customWidth="1"/>
    <col min="6939" max="6939" width="2.85546875" style="91" customWidth="1"/>
    <col min="6940" max="7168" width="9.140625" style="91"/>
    <col min="7169" max="7169" width="4.140625" style="91" customWidth="1"/>
    <col min="7170" max="7176" width="3.7109375" style="91" customWidth="1"/>
    <col min="7177" max="7177" width="2.7109375" style="91" customWidth="1"/>
    <col min="7178" max="7178" width="4.85546875" style="91" customWidth="1"/>
    <col min="7179" max="7185" width="4.42578125" style="91" customWidth="1"/>
    <col min="7186" max="7186" width="2.5703125" style="91" customWidth="1"/>
    <col min="7187" max="7187" width="4.28515625" style="91" customWidth="1"/>
    <col min="7188" max="7194" width="3.7109375" style="91" customWidth="1"/>
    <col min="7195" max="7195" width="2.85546875" style="91" customWidth="1"/>
    <col min="7196" max="7424" width="9.140625" style="91"/>
    <col min="7425" max="7425" width="4.140625" style="91" customWidth="1"/>
    <col min="7426" max="7432" width="3.7109375" style="91" customWidth="1"/>
    <col min="7433" max="7433" width="2.7109375" style="91" customWidth="1"/>
    <col min="7434" max="7434" width="4.85546875" style="91" customWidth="1"/>
    <col min="7435" max="7441" width="4.42578125" style="91" customWidth="1"/>
    <col min="7442" max="7442" width="2.5703125" style="91" customWidth="1"/>
    <col min="7443" max="7443" width="4.28515625" style="91" customWidth="1"/>
    <col min="7444" max="7450" width="3.7109375" style="91" customWidth="1"/>
    <col min="7451" max="7451" width="2.85546875" style="91" customWidth="1"/>
    <col min="7452" max="7680" width="9.140625" style="91"/>
    <col min="7681" max="7681" width="4.140625" style="91" customWidth="1"/>
    <col min="7682" max="7688" width="3.7109375" style="91" customWidth="1"/>
    <col min="7689" max="7689" width="2.7109375" style="91" customWidth="1"/>
    <col min="7690" max="7690" width="4.85546875" style="91" customWidth="1"/>
    <col min="7691" max="7697" width="4.42578125" style="91" customWidth="1"/>
    <col min="7698" max="7698" width="2.5703125" style="91" customWidth="1"/>
    <col min="7699" max="7699" width="4.28515625" style="91" customWidth="1"/>
    <col min="7700" max="7706" width="3.7109375" style="91" customWidth="1"/>
    <col min="7707" max="7707" width="2.85546875" style="91" customWidth="1"/>
    <col min="7708" max="7936" width="9.140625" style="91"/>
    <col min="7937" max="7937" width="4.140625" style="91" customWidth="1"/>
    <col min="7938" max="7944" width="3.7109375" style="91" customWidth="1"/>
    <col min="7945" max="7945" width="2.7109375" style="91" customWidth="1"/>
    <col min="7946" max="7946" width="4.85546875" style="91" customWidth="1"/>
    <col min="7947" max="7953" width="4.42578125" style="91" customWidth="1"/>
    <col min="7954" max="7954" width="2.5703125" style="91" customWidth="1"/>
    <col min="7955" max="7955" width="4.28515625" style="91" customWidth="1"/>
    <col min="7956" max="7962" width="3.7109375" style="91" customWidth="1"/>
    <col min="7963" max="7963" width="2.85546875" style="91" customWidth="1"/>
    <col min="7964" max="8192" width="9.140625" style="91"/>
    <col min="8193" max="8193" width="4.140625" style="91" customWidth="1"/>
    <col min="8194" max="8200" width="3.7109375" style="91" customWidth="1"/>
    <col min="8201" max="8201" width="2.7109375" style="91" customWidth="1"/>
    <col min="8202" max="8202" width="4.85546875" style="91" customWidth="1"/>
    <col min="8203" max="8209" width="4.42578125" style="91" customWidth="1"/>
    <col min="8210" max="8210" width="2.5703125" style="91" customWidth="1"/>
    <col min="8211" max="8211" width="4.28515625" style="91" customWidth="1"/>
    <col min="8212" max="8218" width="3.7109375" style="91" customWidth="1"/>
    <col min="8219" max="8219" width="2.85546875" style="91" customWidth="1"/>
    <col min="8220" max="8448" width="9.140625" style="91"/>
    <col min="8449" max="8449" width="4.140625" style="91" customWidth="1"/>
    <col min="8450" max="8456" width="3.7109375" style="91" customWidth="1"/>
    <col min="8457" max="8457" width="2.7109375" style="91" customWidth="1"/>
    <col min="8458" max="8458" width="4.85546875" style="91" customWidth="1"/>
    <col min="8459" max="8465" width="4.42578125" style="91" customWidth="1"/>
    <col min="8466" max="8466" width="2.5703125" style="91" customWidth="1"/>
    <col min="8467" max="8467" width="4.28515625" style="91" customWidth="1"/>
    <col min="8468" max="8474" width="3.7109375" style="91" customWidth="1"/>
    <col min="8475" max="8475" width="2.85546875" style="91" customWidth="1"/>
    <col min="8476" max="8704" width="9.140625" style="91"/>
    <col min="8705" max="8705" width="4.140625" style="91" customWidth="1"/>
    <col min="8706" max="8712" width="3.7109375" style="91" customWidth="1"/>
    <col min="8713" max="8713" width="2.7109375" style="91" customWidth="1"/>
    <col min="8714" max="8714" width="4.85546875" style="91" customWidth="1"/>
    <col min="8715" max="8721" width="4.42578125" style="91" customWidth="1"/>
    <col min="8722" max="8722" width="2.5703125" style="91" customWidth="1"/>
    <col min="8723" max="8723" width="4.28515625" style="91" customWidth="1"/>
    <col min="8724" max="8730" width="3.7109375" style="91" customWidth="1"/>
    <col min="8731" max="8731" width="2.85546875" style="91" customWidth="1"/>
    <col min="8732" max="8960" width="9.140625" style="91"/>
    <col min="8961" max="8961" width="4.140625" style="91" customWidth="1"/>
    <col min="8962" max="8968" width="3.7109375" style="91" customWidth="1"/>
    <col min="8969" max="8969" width="2.7109375" style="91" customWidth="1"/>
    <col min="8970" max="8970" width="4.85546875" style="91" customWidth="1"/>
    <col min="8971" max="8977" width="4.42578125" style="91" customWidth="1"/>
    <col min="8978" max="8978" width="2.5703125" style="91" customWidth="1"/>
    <col min="8979" max="8979" width="4.28515625" style="91" customWidth="1"/>
    <col min="8980" max="8986" width="3.7109375" style="91" customWidth="1"/>
    <col min="8987" max="8987" width="2.85546875" style="91" customWidth="1"/>
    <col min="8988" max="9216" width="9.140625" style="91"/>
    <col min="9217" max="9217" width="4.140625" style="91" customWidth="1"/>
    <col min="9218" max="9224" width="3.7109375" style="91" customWidth="1"/>
    <col min="9225" max="9225" width="2.7109375" style="91" customWidth="1"/>
    <col min="9226" max="9226" width="4.85546875" style="91" customWidth="1"/>
    <col min="9227" max="9233" width="4.42578125" style="91" customWidth="1"/>
    <col min="9234" max="9234" width="2.5703125" style="91" customWidth="1"/>
    <col min="9235" max="9235" width="4.28515625" style="91" customWidth="1"/>
    <col min="9236" max="9242" width="3.7109375" style="91" customWidth="1"/>
    <col min="9243" max="9243" width="2.85546875" style="91" customWidth="1"/>
    <col min="9244" max="9472" width="9.140625" style="91"/>
    <col min="9473" max="9473" width="4.140625" style="91" customWidth="1"/>
    <col min="9474" max="9480" width="3.7109375" style="91" customWidth="1"/>
    <col min="9481" max="9481" width="2.7109375" style="91" customWidth="1"/>
    <col min="9482" max="9482" width="4.85546875" style="91" customWidth="1"/>
    <col min="9483" max="9489" width="4.42578125" style="91" customWidth="1"/>
    <col min="9490" max="9490" width="2.5703125" style="91" customWidth="1"/>
    <col min="9491" max="9491" width="4.28515625" style="91" customWidth="1"/>
    <col min="9492" max="9498" width="3.7109375" style="91" customWidth="1"/>
    <col min="9499" max="9499" width="2.85546875" style="91" customWidth="1"/>
    <col min="9500" max="9728" width="9.140625" style="91"/>
    <col min="9729" max="9729" width="4.140625" style="91" customWidth="1"/>
    <col min="9730" max="9736" width="3.7109375" style="91" customWidth="1"/>
    <col min="9737" max="9737" width="2.7109375" style="91" customWidth="1"/>
    <col min="9738" max="9738" width="4.85546875" style="91" customWidth="1"/>
    <col min="9739" max="9745" width="4.42578125" style="91" customWidth="1"/>
    <col min="9746" max="9746" width="2.5703125" style="91" customWidth="1"/>
    <col min="9747" max="9747" width="4.28515625" style="91" customWidth="1"/>
    <col min="9748" max="9754" width="3.7109375" style="91" customWidth="1"/>
    <col min="9755" max="9755" width="2.85546875" style="91" customWidth="1"/>
    <col min="9756" max="9984" width="9.140625" style="91"/>
    <col min="9985" max="9985" width="4.140625" style="91" customWidth="1"/>
    <col min="9986" max="9992" width="3.7109375" style="91" customWidth="1"/>
    <col min="9993" max="9993" width="2.7109375" style="91" customWidth="1"/>
    <col min="9994" max="9994" width="4.85546875" style="91" customWidth="1"/>
    <col min="9995" max="10001" width="4.42578125" style="91" customWidth="1"/>
    <col min="10002" max="10002" width="2.5703125" style="91" customWidth="1"/>
    <col min="10003" max="10003" width="4.28515625" style="91" customWidth="1"/>
    <col min="10004" max="10010" width="3.7109375" style="91" customWidth="1"/>
    <col min="10011" max="10011" width="2.85546875" style="91" customWidth="1"/>
    <col min="10012" max="10240" width="9.140625" style="91"/>
    <col min="10241" max="10241" width="4.140625" style="91" customWidth="1"/>
    <col min="10242" max="10248" width="3.7109375" style="91" customWidth="1"/>
    <col min="10249" max="10249" width="2.7109375" style="91" customWidth="1"/>
    <col min="10250" max="10250" width="4.85546875" style="91" customWidth="1"/>
    <col min="10251" max="10257" width="4.42578125" style="91" customWidth="1"/>
    <col min="10258" max="10258" width="2.5703125" style="91" customWidth="1"/>
    <col min="10259" max="10259" width="4.28515625" style="91" customWidth="1"/>
    <col min="10260" max="10266" width="3.7109375" style="91" customWidth="1"/>
    <col min="10267" max="10267" width="2.85546875" style="91" customWidth="1"/>
    <col min="10268" max="10496" width="9.140625" style="91"/>
    <col min="10497" max="10497" width="4.140625" style="91" customWidth="1"/>
    <col min="10498" max="10504" width="3.7109375" style="91" customWidth="1"/>
    <col min="10505" max="10505" width="2.7109375" style="91" customWidth="1"/>
    <col min="10506" max="10506" width="4.85546875" style="91" customWidth="1"/>
    <col min="10507" max="10513" width="4.42578125" style="91" customWidth="1"/>
    <col min="10514" max="10514" width="2.5703125" style="91" customWidth="1"/>
    <col min="10515" max="10515" width="4.28515625" style="91" customWidth="1"/>
    <col min="10516" max="10522" width="3.7109375" style="91" customWidth="1"/>
    <col min="10523" max="10523" width="2.85546875" style="91" customWidth="1"/>
    <col min="10524" max="10752" width="9.140625" style="91"/>
    <col min="10753" max="10753" width="4.140625" style="91" customWidth="1"/>
    <col min="10754" max="10760" width="3.7109375" style="91" customWidth="1"/>
    <col min="10761" max="10761" width="2.7109375" style="91" customWidth="1"/>
    <col min="10762" max="10762" width="4.85546875" style="91" customWidth="1"/>
    <col min="10763" max="10769" width="4.42578125" style="91" customWidth="1"/>
    <col min="10770" max="10770" width="2.5703125" style="91" customWidth="1"/>
    <col min="10771" max="10771" width="4.28515625" style="91" customWidth="1"/>
    <col min="10772" max="10778" width="3.7109375" style="91" customWidth="1"/>
    <col min="10779" max="10779" width="2.85546875" style="91" customWidth="1"/>
    <col min="10780" max="11008" width="9.140625" style="91"/>
    <col min="11009" max="11009" width="4.140625" style="91" customWidth="1"/>
    <col min="11010" max="11016" width="3.7109375" style="91" customWidth="1"/>
    <col min="11017" max="11017" width="2.7109375" style="91" customWidth="1"/>
    <col min="11018" max="11018" width="4.85546875" style="91" customWidth="1"/>
    <col min="11019" max="11025" width="4.42578125" style="91" customWidth="1"/>
    <col min="11026" max="11026" width="2.5703125" style="91" customWidth="1"/>
    <col min="11027" max="11027" width="4.28515625" style="91" customWidth="1"/>
    <col min="11028" max="11034" width="3.7109375" style="91" customWidth="1"/>
    <col min="11035" max="11035" width="2.85546875" style="91" customWidth="1"/>
    <col min="11036" max="11264" width="9.140625" style="91"/>
    <col min="11265" max="11265" width="4.140625" style="91" customWidth="1"/>
    <col min="11266" max="11272" width="3.7109375" style="91" customWidth="1"/>
    <col min="11273" max="11273" width="2.7109375" style="91" customWidth="1"/>
    <col min="11274" max="11274" width="4.85546875" style="91" customWidth="1"/>
    <col min="11275" max="11281" width="4.42578125" style="91" customWidth="1"/>
    <col min="11282" max="11282" width="2.5703125" style="91" customWidth="1"/>
    <col min="11283" max="11283" width="4.28515625" style="91" customWidth="1"/>
    <col min="11284" max="11290" width="3.7109375" style="91" customWidth="1"/>
    <col min="11291" max="11291" width="2.85546875" style="91" customWidth="1"/>
    <col min="11292" max="11520" width="9.140625" style="91"/>
    <col min="11521" max="11521" width="4.140625" style="91" customWidth="1"/>
    <col min="11522" max="11528" width="3.7109375" style="91" customWidth="1"/>
    <col min="11529" max="11529" width="2.7109375" style="91" customWidth="1"/>
    <col min="11530" max="11530" width="4.85546875" style="91" customWidth="1"/>
    <col min="11531" max="11537" width="4.42578125" style="91" customWidth="1"/>
    <col min="11538" max="11538" width="2.5703125" style="91" customWidth="1"/>
    <col min="11539" max="11539" width="4.28515625" style="91" customWidth="1"/>
    <col min="11540" max="11546" width="3.7109375" style="91" customWidth="1"/>
    <col min="11547" max="11547" width="2.85546875" style="91" customWidth="1"/>
    <col min="11548" max="11776" width="9.140625" style="91"/>
    <col min="11777" max="11777" width="4.140625" style="91" customWidth="1"/>
    <col min="11778" max="11784" width="3.7109375" style="91" customWidth="1"/>
    <col min="11785" max="11785" width="2.7109375" style="91" customWidth="1"/>
    <col min="11786" max="11786" width="4.85546875" style="91" customWidth="1"/>
    <col min="11787" max="11793" width="4.42578125" style="91" customWidth="1"/>
    <col min="11794" max="11794" width="2.5703125" style="91" customWidth="1"/>
    <col min="11795" max="11795" width="4.28515625" style="91" customWidth="1"/>
    <col min="11796" max="11802" width="3.7109375" style="91" customWidth="1"/>
    <col min="11803" max="11803" width="2.85546875" style="91" customWidth="1"/>
    <col min="11804" max="12032" width="9.140625" style="91"/>
    <col min="12033" max="12033" width="4.140625" style="91" customWidth="1"/>
    <col min="12034" max="12040" width="3.7109375" style="91" customWidth="1"/>
    <col min="12041" max="12041" width="2.7109375" style="91" customWidth="1"/>
    <col min="12042" max="12042" width="4.85546875" style="91" customWidth="1"/>
    <col min="12043" max="12049" width="4.42578125" style="91" customWidth="1"/>
    <col min="12050" max="12050" width="2.5703125" style="91" customWidth="1"/>
    <col min="12051" max="12051" width="4.28515625" style="91" customWidth="1"/>
    <col min="12052" max="12058" width="3.7109375" style="91" customWidth="1"/>
    <col min="12059" max="12059" width="2.85546875" style="91" customWidth="1"/>
    <col min="12060" max="12288" width="9.140625" style="91"/>
    <col min="12289" max="12289" width="4.140625" style="91" customWidth="1"/>
    <col min="12290" max="12296" width="3.7109375" style="91" customWidth="1"/>
    <col min="12297" max="12297" width="2.7109375" style="91" customWidth="1"/>
    <col min="12298" max="12298" width="4.85546875" style="91" customWidth="1"/>
    <col min="12299" max="12305" width="4.42578125" style="91" customWidth="1"/>
    <col min="12306" max="12306" width="2.5703125" style="91" customWidth="1"/>
    <col min="12307" max="12307" width="4.28515625" style="91" customWidth="1"/>
    <col min="12308" max="12314" width="3.7109375" style="91" customWidth="1"/>
    <col min="12315" max="12315" width="2.85546875" style="91" customWidth="1"/>
    <col min="12316" max="12544" width="9.140625" style="91"/>
    <col min="12545" max="12545" width="4.140625" style="91" customWidth="1"/>
    <col min="12546" max="12552" width="3.7109375" style="91" customWidth="1"/>
    <col min="12553" max="12553" width="2.7109375" style="91" customWidth="1"/>
    <col min="12554" max="12554" width="4.85546875" style="91" customWidth="1"/>
    <col min="12555" max="12561" width="4.42578125" style="91" customWidth="1"/>
    <col min="12562" max="12562" width="2.5703125" style="91" customWidth="1"/>
    <col min="12563" max="12563" width="4.28515625" style="91" customWidth="1"/>
    <col min="12564" max="12570" width="3.7109375" style="91" customWidth="1"/>
    <col min="12571" max="12571" width="2.85546875" style="91" customWidth="1"/>
    <col min="12572" max="12800" width="9.140625" style="91"/>
    <col min="12801" max="12801" width="4.140625" style="91" customWidth="1"/>
    <col min="12802" max="12808" width="3.7109375" style="91" customWidth="1"/>
    <col min="12809" max="12809" width="2.7109375" style="91" customWidth="1"/>
    <col min="12810" max="12810" width="4.85546875" style="91" customWidth="1"/>
    <col min="12811" max="12817" width="4.42578125" style="91" customWidth="1"/>
    <col min="12818" max="12818" width="2.5703125" style="91" customWidth="1"/>
    <col min="12819" max="12819" width="4.28515625" style="91" customWidth="1"/>
    <col min="12820" max="12826" width="3.7109375" style="91" customWidth="1"/>
    <col min="12827" max="12827" width="2.85546875" style="91" customWidth="1"/>
    <col min="12828" max="13056" width="9.140625" style="91"/>
    <col min="13057" max="13057" width="4.140625" style="91" customWidth="1"/>
    <col min="13058" max="13064" width="3.7109375" style="91" customWidth="1"/>
    <col min="13065" max="13065" width="2.7109375" style="91" customWidth="1"/>
    <col min="13066" max="13066" width="4.85546875" style="91" customWidth="1"/>
    <col min="13067" max="13073" width="4.42578125" style="91" customWidth="1"/>
    <col min="13074" max="13074" width="2.5703125" style="91" customWidth="1"/>
    <col min="13075" max="13075" width="4.28515625" style="91" customWidth="1"/>
    <col min="13076" max="13082" width="3.7109375" style="91" customWidth="1"/>
    <col min="13083" max="13083" width="2.85546875" style="91" customWidth="1"/>
    <col min="13084" max="13312" width="9.140625" style="91"/>
    <col min="13313" max="13313" width="4.140625" style="91" customWidth="1"/>
    <col min="13314" max="13320" width="3.7109375" style="91" customWidth="1"/>
    <col min="13321" max="13321" width="2.7109375" style="91" customWidth="1"/>
    <col min="13322" max="13322" width="4.85546875" style="91" customWidth="1"/>
    <col min="13323" max="13329" width="4.42578125" style="91" customWidth="1"/>
    <col min="13330" max="13330" width="2.5703125" style="91" customWidth="1"/>
    <col min="13331" max="13331" width="4.28515625" style="91" customWidth="1"/>
    <col min="13332" max="13338" width="3.7109375" style="91" customWidth="1"/>
    <col min="13339" max="13339" width="2.85546875" style="91" customWidth="1"/>
    <col min="13340" max="13568" width="9.140625" style="91"/>
    <col min="13569" max="13569" width="4.140625" style="91" customWidth="1"/>
    <col min="13570" max="13576" width="3.7109375" style="91" customWidth="1"/>
    <col min="13577" max="13577" width="2.7109375" style="91" customWidth="1"/>
    <col min="13578" max="13578" width="4.85546875" style="91" customWidth="1"/>
    <col min="13579" max="13585" width="4.42578125" style="91" customWidth="1"/>
    <col min="13586" max="13586" width="2.5703125" style="91" customWidth="1"/>
    <col min="13587" max="13587" width="4.28515625" style="91" customWidth="1"/>
    <col min="13588" max="13594" width="3.7109375" style="91" customWidth="1"/>
    <col min="13595" max="13595" width="2.85546875" style="91" customWidth="1"/>
    <col min="13596" max="13824" width="9.140625" style="91"/>
    <col min="13825" max="13825" width="4.140625" style="91" customWidth="1"/>
    <col min="13826" max="13832" width="3.7109375" style="91" customWidth="1"/>
    <col min="13833" max="13833" width="2.7109375" style="91" customWidth="1"/>
    <col min="13834" max="13834" width="4.85546875" style="91" customWidth="1"/>
    <col min="13835" max="13841" width="4.42578125" style="91" customWidth="1"/>
    <col min="13842" max="13842" width="2.5703125" style="91" customWidth="1"/>
    <col min="13843" max="13843" width="4.28515625" style="91" customWidth="1"/>
    <col min="13844" max="13850" width="3.7109375" style="91" customWidth="1"/>
    <col min="13851" max="13851" width="2.85546875" style="91" customWidth="1"/>
    <col min="13852" max="14080" width="9.140625" style="91"/>
    <col min="14081" max="14081" width="4.140625" style="91" customWidth="1"/>
    <col min="14082" max="14088" width="3.7109375" style="91" customWidth="1"/>
    <col min="14089" max="14089" width="2.7109375" style="91" customWidth="1"/>
    <col min="14090" max="14090" width="4.85546875" style="91" customWidth="1"/>
    <col min="14091" max="14097" width="4.42578125" style="91" customWidth="1"/>
    <col min="14098" max="14098" width="2.5703125" style="91" customWidth="1"/>
    <col min="14099" max="14099" width="4.28515625" style="91" customWidth="1"/>
    <col min="14100" max="14106" width="3.7109375" style="91" customWidth="1"/>
    <col min="14107" max="14107" width="2.85546875" style="91" customWidth="1"/>
    <col min="14108" max="14336" width="9.140625" style="91"/>
    <col min="14337" max="14337" width="4.140625" style="91" customWidth="1"/>
    <col min="14338" max="14344" width="3.7109375" style="91" customWidth="1"/>
    <col min="14345" max="14345" width="2.7109375" style="91" customWidth="1"/>
    <col min="14346" max="14346" width="4.85546875" style="91" customWidth="1"/>
    <col min="14347" max="14353" width="4.42578125" style="91" customWidth="1"/>
    <col min="14354" max="14354" width="2.5703125" style="91" customWidth="1"/>
    <col min="14355" max="14355" width="4.28515625" style="91" customWidth="1"/>
    <col min="14356" max="14362" width="3.7109375" style="91" customWidth="1"/>
    <col min="14363" max="14363" width="2.85546875" style="91" customWidth="1"/>
    <col min="14364" max="14592" width="9.140625" style="91"/>
    <col min="14593" max="14593" width="4.140625" style="91" customWidth="1"/>
    <col min="14594" max="14600" width="3.7109375" style="91" customWidth="1"/>
    <col min="14601" max="14601" width="2.7109375" style="91" customWidth="1"/>
    <col min="14602" max="14602" width="4.85546875" style="91" customWidth="1"/>
    <col min="14603" max="14609" width="4.42578125" style="91" customWidth="1"/>
    <col min="14610" max="14610" width="2.5703125" style="91" customWidth="1"/>
    <col min="14611" max="14611" width="4.28515625" style="91" customWidth="1"/>
    <col min="14612" max="14618" width="3.7109375" style="91" customWidth="1"/>
    <col min="14619" max="14619" width="2.85546875" style="91" customWidth="1"/>
    <col min="14620" max="14848" width="9.140625" style="91"/>
    <col min="14849" max="14849" width="4.140625" style="91" customWidth="1"/>
    <col min="14850" max="14856" width="3.7109375" style="91" customWidth="1"/>
    <col min="14857" max="14857" width="2.7109375" style="91" customWidth="1"/>
    <col min="14858" max="14858" width="4.85546875" style="91" customWidth="1"/>
    <col min="14859" max="14865" width="4.42578125" style="91" customWidth="1"/>
    <col min="14866" max="14866" width="2.5703125" style="91" customWidth="1"/>
    <col min="14867" max="14867" width="4.28515625" style="91" customWidth="1"/>
    <col min="14868" max="14874" width="3.7109375" style="91" customWidth="1"/>
    <col min="14875" max="14875" width="2.85546875" style="91" customWidth="1"/>
    <col min="14876" max="15104" width="9.140625" style="91"/>
    <col min="15105" max="15105" width="4.140625" style="91" customWidth="1"/>
    <col min="15106" max="15112" width="3.7109375" style="91" customWidth="1"/>
    <col min="15113" max="15113" width="2.7109375" style="91" customWidth="1"/>
    <col min="15114" max="15114" width="4.85546875" style="91" customWidth="1"/>
    <col min="15115" max="15121" width="4.42578125" style="91" customWidth="1"/>
    <col min="15122" max="15122" width="2.5703125" style="91" customWidth="1"/>
    <col min="15123" max="15123" width="4.28515625" style="91" customWidth="1"/>
    <col min="15124" max="15130" width="3.7109375" style="91" customWidth="1"/>
    <col min="15131" max="15131" width="2.85546875" style="91" customWidth="1"/>
    <col min="15132" max="15360" width="9.140625" style="91"/>
    <col min="15361" max="15361" width="4.140625" style="91" customWidth="1"/>
    <col min="15362" max="15368" width="3.7109375" style="91" customWidth="1"/>
    <col min="15369" max="15369" width="2.7109375" style="91" customWidth="1"/>
    <col min="15370" max="15370" width="4.85546875" style="91" customWidth="1"/>
    <col min="15371" max="15377" width="4.42578125" style="91" customWidth="1"/>
    <col min="15378" max="15378" width="2.5703125" style="91" customWidth="1"/>
    <col min="15379" max="15379" width="4.28515625" style="91" customWidth="1"/>
    <col min="15380" max="15386" width="3.7109375" style="91" customWidth="1"/>
    <col min="15387" max="15387" width="2.85546875" style="91" customWidth="1"/>
    <col min="15388" max="15616" width="9.140625" style="91"/>
    <col min="15617" max="15617" width="4.140625" style="91" customWidth="1"/>
    <col min="15618" max="15624" width="3.7109375" style="91" customWidth="1"/>
    <col min="15625" max="15625" width="2.7109375" style="91" customWidth="1"/>
    <col min="15626" max="15626" width="4.85546875" style="91" customWidth="1"/>
    <col min="15627" max="15633" width="4.42578125" style="91" customWidth="1"/>
    <col min="15634" max="15634" width="2.5703125" style="91" customWidth="1"/>
    <col min="15635" max="15635" width="4.28515625" style="91" customWidth="1"/>
    <col min="15636" max="15642" width="3.7109375" style="91" customWidth="1"/>
    <col min="15643" max="15643" width="2.85546875" style="91" customWidth="1"/>
    <col min="15644" max="15872" width="9.140625" style="91"/>
    <col min="15873" max="15873" width="4.140625" style="91" customWidth="1"/>
    <col min="15874" max="15880" width="3.7109375" style="91" customWidth="1"/>
    <col min="15881" max="15881" width="2.7109375" style="91" customWidth="1"/>
    <col min="15882" max="15882" width="4.85546875" style="91" customWidth="1"/>
    <col min="15883" max="15889" width="4.42578125" style="91" customWidth="1"/>
    <col min="15890" max="15890" width="2.5703125" style="91" customWidth="1"/>
    <col min="15891" max="15891" width="4.28515625" style="91" customWidth="1"/>
    <col min="15892" max="15898" width="3.7109375" style="91" customWidth="1"/>
    <col min="15899" max="15899" width="2.85546875" style="91" customWidth="1"/>
    <col min="15900" max="16128" width="9.140625" style="91"/>
    <col min="16129" max="16129" width="4.140625" style="91" customWidth="1"/>
    <col min="16130" max="16136" width="3.7109375" style="91" customWidth="1"/>
    <col min="16137" max="16137" width="2.7109375" style="91" customWidth="1"/>
    <col min="16138" max="16138" width="4.85546875" style="91" customWidth="1"/>
    <col min="16139" max="16145" width="4.42578125" style="91" customWidth="1"/>
    <col min="16146" max="16146" width="2.5703125" style="91" customWidth="1"/>
    <col min="16147" max="16147" width="4.28515625" style="91" customWidth="1"/>
    <col min="16148" max="16154" width="3.7109375" style="91" customWidth="1"/>
    <col min="16155" max="16155" width="2.85546875" style="91" customWidth="1"/>
    <col min="16156" max="16384" width="9.140625" style="91"/>
  </cols>
  <sheetData>
    <row r="1" spans="1:31" ht="23.25">
      <c r="A1" s="53" t="s">
        <v>441</v>
      </c>
      <c r="B1" s="54" t="s">
        <v>435</v>
      </c>
      <c r="C1" s="54" t="s">
        <v>436</v>
      </c>
      <c r="D1" s="54" t="s">
        <v>437</v>
      </c>
      <c r="E1" s="54" t="s">
        <v>438</v>
      </c>
      <c r="F1" s="54" t="s">
        <v>439</v>
      </c>
      <c r="G1" s="54" t="s">
        <v>440</v>
      </c>
      <c r="H1" s="54" t="s">
        <v>435</v>
      </c>
      <c r="I1" s="446" t="s">
        <v>644</v>
      </c>
      <c r="J1" s="446"/>
      <c r="K1" s="54" t="s">
        <v>435</v>
      </c>
      <c r="L1" s="54" t="s">
        <v>436</v>
      </c>
      <c r="M1" s="54" t="s">
        <v>437</v>
      </c>
      <c r="N1" s="54" t="s">
        <v>438</v>
      </c>
      <c r="O1" s="54" t="s">
        <v>439</v>
      </c>
      <c r="P1" s="54" t="s">
        <v>440</v>
      </c>
      <c r="Q1" s="54" t="s">
        <v>435</v>
      </c>
      <c r="R1" s="55"/>
      <c r="S1" s="56" t="s">
        <v>688</v>
      </c>
      <c r="T1" s="54" t="s">
        <v>435</v>
      </c>
      <c r="U1" s="54" t="s">
        <v>436</v>
      </c>
      <c r="V1" s="54" t="s">
        <v>437</v>
      </c>
      <c r="W1" s="54" t="s">
        <v>438</v>
      </c>
      <c r="X1" s="54" t="s">
        <v>439</v>
      </c>
      <c r="Y1" s="54" t="s">
        <v>440</v>
      </c>
      <c r="Z1" s="54" t="s">
        <v>435</v>
      </c>
      <c r="AA1" s="57"/>
      <c r="AC1" s="117" t="s">
        <v>470</v>
      </c>
    </row>
    <row r="2" spans="1:31" ht="13.5" thickBot="1">
      <c r="A2" s="63" t="s">
        <v>443</v>
      </c>
      <c r="B2" s="233">
        <v>24</v>
      </c>
      <c r="C2" s="234">
        <v>25</v>
      </c>
      <c r="D2" s="234">
        <v>26</v>
      </c>
      <c r="E2" s="234">
        <v>27</v>
      </c>
      <c r="F2" s="234">
        <v>28</v>
      </c>
      <c r="G2" s="234">
        <v>29</v>
      </c>
      <c r="H2" s="235">
        <f>+G2+1</f>
        <v>30</v>
      </c>
      <c r="I2" s="59">
        <v>15</v>
      </c>
      <c r="J2" s="61" t="s">
        <v>443</v>
      </c>
      <c r="K2" s="233">
        <v>23</v>
      </c>
      <c r="L2" s="234">
        <f t="shared" ref="L2:Q2" si="0">+K2+1</f>
        <v>24</v>
      </c>
      <c r="M2" s="234">
        <f t="shared" si="0"/>
        <v>25</v>
      </c>
      <c r="N2" s="234">
        <f t="shared" si="0"/>
        <v>26</v>
      </c>
      <c r="O2" s="234">
        <f t="shared" si="0"/>
        <v>27</v>
      </c>
      <c r="P2" s="234">
        <f t="shared" si="0"/>
        <v>28</v>
      </c>
      <c r="Q2" s="235">
        <f t="shared" si="0"/>
        <v>29</v>
      </c>
      <c r="R2" s="59">
        <v>15</v>
      </c>
      <c r="S2" s="61" t="s">
        <v>443</v>
      </c>
      <c r="T2" s="233">
        <v>22</v>
      </c>
      <c r="U2" s="234">
        <v>23</v>
      </c>
      <c r="V2" s="234">
        <f>+U2+1</f>
        <v>24</v>
      </c>
      <c r="W2" s="234">
        <f>+V2+1</f>
        <v>25</v>
      </c>
      <c r="X2" s="234">
        <f>+W2+1</f>
        <v>26</v>
      </c>
      <c r="Y2" s="234">
        <f>+X2+1</f>
        <v>27</v>
      </c>
      <c r="Z2" s="235">
        <f>+Y2+1</f>
        <v>28</v>
      </c>
      <c r="AA2" s="62">
        <v>15</v>
      </c>
    </row>
    <row r="3" spans="1:31" ht="13.5" thickBot="1">
      <c r="A3" s="58" t="s">
        <v>442</v>
      </c>
      <c r="B3" s="64">
        <v>1</v>
      </c>
      <c r="C3" s="66">
        <f>+B3+1</f>
        <v>2</v>
      </c>
      <c r="D3" s="66">
        <f>(C3+1)</f>
        <v>3</v>
      </c>
      <c r="E3" s="65">
        <f>(D3+1)</f>
        <v>4</v>
      </c>
      <c r="F3" s="66">
        <f>(E3+1)</f>
        <v>5</v>
      </c>
      <c r="G3" s="66">
        <f>(F3+1)</f>
        <v>6</v>
      </c>
      <c r="H3" s="67">
        <f>+G3+1</f>
        <v>7</v>
      </c>
      <c r="I3" s="59"/>
      <c r="J3" s="60" t="s">
        <v>442</v>
      </c>
      <c r="K3" s="64">
        <v>30</v>
      </c>
      <c r="L3" s="66">
        <v>1</v>
      </c>
      <c r="M3" s="66">
        <f>(L3+1)</f>
        <v>2</v>
      </c>
      <c r="N3" s="66">
        <f>(M3+1)</f>
        <v>3</v>
      </c>
      <c r="O3" s="65">
        <f>(N3+1)</f>
        <v>4</v>
      </c>
      <c r="P3" s="66">
        <f>(O3+1)</f>
        <v>5</v>
      </c>
      <c r="Q3" s="67">
        <f>+P3+1</f>
        <v>6</v>
      </c>
      <c r="R3" s="59"/>
      <c r="S3" s="60" t="s">
        <v>442</v>
      </c>
      <c r="T3" s="64">
        <v>29</v>
      </c>
      <c r="U3" s="66">
        <v>30</v>
      </c>
      <c r="V3" s="66">
        <v>1</v>
      </c>
      <c r="W3" s="66">
        <f>(V3+1)</f>
        <v>2</v>
      </c>
      <c r="X3" s="66">
        <f>(W3+1)</f>
        <v>3</v>
      </c>
      <c r="Y3" s="65">
        <f>(X3+1)</f>
        <v>4</v>
      </c>
      <c r="Z3" s="67">
        <f>+Y3+1</f>
        <v>5</v>
      </c>
      <c r="AA3" s="62"/>
    </row>
    <row r="4" spans="1:31" ht="3.95" customHeight="1">
      <c r="A4" s="58"/>
      <c r="B4" s="61"/>
      <c r="C4" s="61"/>
      <c r="D4" s="61"/>
      <c r="E4" s="61"/>
      <c r="F4" s="61"/>
      <c r="G4" s="61"/>
      <c r="H4" s="61"/>
      <c r="I4" s="59"/>
      <c r="J4" s="60"/>
      <c r="K4" s="61"/>
      <c r="L4" s="61"/>
      <c r="M4" s="61"/>
      <c r="N4" s="61"/>
      <c r="O4" s="61"/>
      <c r="P4" s="61"/>
      <c r="Q4" s="61"/>
      <c r="R4" s="59"/>
      <c r="S4" s="60"/>
      <c r="T4" s="61"/>
      <c r="U4" s="61"/>
      <c r="V4" s="61"/>
      <c r="W4" s="61"/>
      <c r="X4" s="61"/>
      <c r="Y4" s="61"/>
      <c r="Z4" s="61"/>
      <c r="AA4" s="62"/>
    </row>
    <row r="5" spans="1:31">
      <c r="A5" s="63" t="s">
        <v>443</v>
      </c>
      <c r="B5" s="233">
        <f>+H3+1</f>
        <v>8</v>
      </c>
      <c r="C5" s="234">
        <f>+B5+1</f>
        <v>9</v>
      </c>
      <c r="D5" s="234">
        <f>(C5+1)</f>
        <v>10</v>
      </c>
      <c r="E5" s="234">
        <f>(D5+1)</f>
        <v>11</v>
      </c>
      <c r="F5" s="234">
        <f>(E5+1)</f>
        <v>12</v>
      </c>
      <c r="G5" s="234">
        <f>(F5+1)</f>
        <v>13</v>
      </c>
      <c r="H5" s="235">
        <f>+G5+1</f>
        <v>14</v>
      </c>
      <c r="I5" s="59">
        <v>16</v>
      </c>
      <c r="J5" s="61" t="s">
        <v>443</v>
      </c>
      <c r="K5" s="233">
        <f>+Q3+1</f>
        <v>7</v>
      </c>
      <c r="L5" s="234">
        <f>+K5+1</f>
        <v>8</v>
      </c>
      <c r="M5" s="234">
        <f>(L5+1)</f>
        <v>9</v>
      </c>
      <c r="N5" s="234">
        <f>(M5+1)</f>
        <v>10</v>
      </c>
      <c r="O5" s="234">
        <f>(N5+1)</f>
        <v>11</v>
      </c>
      <c r="P5" s="234">
        <f>(O5+1)</f>
        <v>12</v>
      </c>
      <c r="Q5" s="235">
        <f>+P5+1</f>
        <v>13</v>
      </c>
      <c r="R5" s="59">
        <v>16</v>
      </c>
      <c r="S5" s="61" t="s">
        <v>443</v>
      </c>
      <c r="T5" s="233">
        <f>+Z3+1</f>
        <v>6</v>
      </c>
      <c r="U5" s="234">
        <f>+T5+1</f>
        <v>7</v>
      </c>
      <c r="V5" s="234">
        <f>(U5+1)</f>
        <v>8</v>
      </c>
      <c r="W5" s="234">
        <f>(V5+1)</f>
        <v>9</v>
      </c>
      <c r="X5" s="234">
        <f>(W5+1)</f>
        <v>10</v>
      </c>
      <c r="Y5" s="234">
        <f>(X5+1)</f>
        <v>11</v>
      </c>
      <c r="Z5" s="235">
        <f>+Y5+1</f>
        <v>12</v>
      </c>
      <c r="AA5" s="62">
        <v>16</v>
      </c>
      <c r="AC5" s="447" t="s">
        <v>697</v>
      </c>
      <c r="AD5" s="448"/>
      <c r="AE5" s="448"/>
    </row>
    <row r="6" spans="1:31">
      <c r="A6" s="58"/>
      <c r="B6" s="64">
        <f>+H5+1</f>
        <v>15</v>
      </c>
      <c r="C6" s="66">
        <f>+B6+1</f>
        <v>16</v>
      </c>
      <c r="D6" s="66">
        <v>17</v>
      </c>
      <c r="E6" s="66">
        <v>18</v>
      </c>
      <c r="F6" s="66">
        <v>19</v>
      </c>
      <c r="G6" s="66">
        <v>20</v>
      </c>
      <c r="H6" s="67">
        <v>21</v>
      </c>
      <c r="I6" s="59"/>
      <c r="J6" s="60"/>
      <c r="K6" s="64">
        <f>+Q5+1</f>
        <v>14</v>
      </c>
      <c r="L6" s="66">
        <f>+K6+1</f>
        <v>15</v>
      </c>
      <c r="M6" s="66">
        <f>+L6+1</f>
        <v>16</v>
      </c>
      <c r="N6" s="66">
        <f>+M6+1</f>
        <v>17</v>
      </c>
      <c r="O6" s="66">
        <f>+N6+1</f>
        <v>18</v>
      </c>
      <c r="P6" s="66">
        <f>+O6+1</f>
        <v>19</v>
      </c>
      <c r="Q6" s="67">
        <f>+P6+1</f>
        <v>20</v>
      </c>
      <c r="R6" s="59"/>
      <c r="S6" s="60"/>
      <c r="T6" s="64">
        <f>+Z5+1</f>
        <v>13</v>
      </c>
      <c r="U6" s="66">
        <f>+T6+1</f>
        <v>14</v>
      </c>
      <c r="V6" s="66">
        <f>+U6+1</f>
        <v>15</v>
      </c>
      <c r="W6" s="66">
        <f>+V6+1</f>
        <v>16</v>
      </c>
      <c r="X6" s="66">
        <f>+W6+1</f>
        <v>17</v>
      </c>
      <c r="Y6" s="66">
        <f>+X6+1</f>
        <v>18</v>
      </c>
      <c r="Z6" s="67">
        <f>+Y6+1</f>
        <v>19</v>
      </c>
      <c r="AA6" s="62"/>
      <c r="AC6" s="448"/>
      <c r="AD6" s="448"/>
      <c r="AE6" s="448"/>
    </row>
    <row r="7" spans="1:31" ht="3.95" customHeight="1">
      <c r="A7" s="58"/>
      <c r="B7" s="61"/>
      <c r="C7" s="61"/>
      <c r="D7" s="61"/>
      <c r="E7" s="61"/>
      <c r="F7" s="61"/>
      <c r="G7" s="61"/>
      <c r="H7" s="61"/>
      <c r="I7" s="59"/>
      <c r="J7" s="60"/>
      <c r="K7" s="61"/>
      <c r="L7" s="61"/>
      <c r="M7" s="61"/>
      <c r="N7" s="61"/>
      <c r="O7" s="61"/>
      <c r="P7" s="61"/>
      <c r="Q7" s="61"/>
      <c r="R7" s="59"/>
      <c r="S7" s="60"/>
      <c r="T7" s="61"/>
      <c r="U7" s="61"/>
      <c r="V7" s="61"/>
      <c r="W7" s="61"/>
      <c r="X7" s="61"/>
      <c r="Y7" s="61"/>
      <c r="Z7" s="61"/>
      <c r="AA7" s="62"/>
    </row>
    <row r="8" spans="1:31">
      <c r="A8" s="58"/>
      <c r="B8" s="233">
        <v>22</v>
      </c>
      <c r="C8" s="234">
        <f>+B8+1</f>
        <v>23</v>
      </c>
      <c r="D8" s="234">
        <f>(C8+1)</f>
        <v>24</v>
      </c>
      <c r="E8" s="234">
        <f>(D8+1)</f>
        <v>25</v>
      </c>
      <c r="F8" s="234">
        <f>(E8+1)</f>
        <v>26</v>
      </c>
      <c r="G8" s="234">
        <f>(F8+1)</f>
        <v>27</v>
      </c>
      <c r="H8" s="235">
        <f>(G8+1)</f>
        <v>28</v>
      </c>
      <c r="I8" s="59">
        <v>17</v>
      </c>
      <c r="J8" s="60"/>
      <c r="K8" s="233">
        <f>+Q6+1</f>
        <v>21</v>
      </c>
      <c r="L8" s="234">
        <f>+K8+1</f>
        <v>22</v>
      </c>
      <c r="M8" s="234">
        <f>(L8+1)</f>
        <v>23</v>
      </c>
      <c r="N8" s="234">
        <f>(M8+1)</f>
        <v>24</v>
      </c>
      <c r="O8" s="234">
        <f>(N8+1)</f>
        <v>25</v>
      </c>
      <c r="P8" s="234">
        <f>(O8+1)</f>
        <v>26</v>
      </c>
      <c r="Q8" s="235">
        <f>(P8+1)</f>
        <v>27</v>
      </c>
      <c r="R8" s="59">
        <v>17</v>
      </c>
      <c r="S8" s="60"/>
      <c r="T8" s="233">
        <f>+Z6+1</f>
        <v>20</v>
      </c>
      <c r="U8" s="234">
        <f>+T8+1</f>
        <v>21</v>
      </c>
      <c r="V8" s="234">
        <f t="shared" ref="V8:Z9" si="1">(U8+1)</f>
        <v>22</v>
      </c>
      <c r="W8" s="234">
        <f t="shared" si="1"/>
        <v>23</v>
      </c>
      <c r="X8" s="234">
        <f t="shared" si="1"/>
        <v>24</v>
      </c>
      <c r="Y8" s="234">
        <f t="shared" si="1"/>
        <v>25</v>
      </c>
      <c r="Z8" s="235">
        <f t="shared" si="1"/>
        <v>26</v>
      </c>
      <c r="AA8" s="62">
        <v>17</v>
      </c>
    </row>
    <row r="9" spans="1:31">
      <c r="A9" s="58" t="s">
        <v>444</v>
      </c>
      <c r="B9" s="64">
        <v>29</v>
      </c>
      <c r="C9" s="66">
        <v>30</v>
      </c>
      <c r="D9" s="66">
        <f>(C9+1)</f>
        <v>31</v>
      </c>
      <c r="E9" s="66">
        <v>1</v>
      </c>
      <c r="F9" s="66">
        <f>(E9+1)</f>
        <v>2</v>
      </c>
      <c r="G9" s="66">
        <f>(F9+1)</f>
        <v>3</v>
      </c>
      <c r="H9" s="67">
        <f>+G9+1</f>
        <v>4</v>
      </c>
      <c r="I9" s="59"/>
      <c r="J9" s="60" t="s">
        <v>444</v>
      </c>
      <c r="K9" s="64">
        <v>28</v>
      </c>
      <c r="L9" s="66">
        <v>29</v>
      </c>
      <c r="M9" s="66">
        <f>(L9+1)</f>
        <v>30</v>
      </c>
      <c r="N9" s="66">
        <v>31</v>
      </c>
      <c r="O9" s="66">
        <v>1</v>
      </c>
      <c r="P9" s="66">
        <f>(O9+1)</f>
        <v>2</v>
      </c>
      <c r="Q9" s="67">
        <f>+P9+1</f>
        <v>3</v>
      </c>
      <c r="R9" s="59"/>
      <c r="S9" s="60" t="s">
        <v>444</v>
      </c>
      <c r="T9" s="64">
        <v>27</v>
      </c>
      <c r="U9" s="66">
        <v>28</v>
      </c>
      <c r="V9" s="66">
        <f t="shared" si="1"/>
        <v>29</v>
      </c>
      <c r="W9" s="66">
        <v>30</v>
      </c>
      <c r="X9" s="66">
        <v>31</v>
      </c>
      <c r="Y9" s="66">
        <v>1</v>
      </c>
      <c r="Z9" s="67">
        <f>+Y9+1</f>
        <v>2</v>
      </c>
      <c r="AA9" s="62"/>
    </row>
    <row r="10" spans="1:31" ht="3.95" customHeight="1">
      <c r="A10" s="63"/>
      <c r="B10" s="61"/>
      <c r="C10" s="61"/>
      <c r="D10" s="61"/>
      <c r="E10" s="61"/>
      <c r="F10" s="61"/>
      <c r="G10" s="61"/>
      <c r="H10" s="61"/>
      <c r="I10" s="59"/>
      <c r="J10" s="61"/>
      <c r="K10" s="61"/>
      <c r="L10" s="61"/>
      <c r="M10" s="61"/>
      <c r="N10" s="61"/>
      <c r="O10" s="61"/>
      <c r="P10" s="61"/>
      <c r="Q10" s="61"/>
      <c r="R10" s="59"/>
      <c r="S10" s="61"/>
      <c r="T10" s="61"/>
      <c r="U10" s="61"/>
      <c r="V10" s="61"/>
      <c r="W10" s="61"/>
      <c r="X10" s="61"/>
      <c r="Y10" s="61"/>
      <c r="Z10" s="61"/>
      <c r="AA10" s="62"/>
    </row>
    <row r="11" spans="1:31" ht="13.5" thickBot="1">
      <c r="A11" s="63" t="s">
        <v>443</v>
      </c>
      <c r="B11" s="233">
        <f>+H9+1</f>
        <v>5</v>
      </c>
      <c r="C11" s="234">
        <f>+B11+1</f>
        <v>6</v>
      </c>
      <c r="D11" s="234">
        <f>(C11+1)</f>
        <v>7</v>
      </c>
      <c r="E11" s="234">
        <f>(D11+1)</f>
        <v>8</v>
      </c>
      <c r="F11" s="234">
        <f>(E11+1)</f>
        <v>9</v>
      </c>
      <c r="G11" s="234">
        <f>(F11+1)</f>
        <v>10</v>
      </c>
      <c r="H11" s="235">
        <f>+G11+1</f>
        <v>11</v>
      </c>
      <c r="I11" s="59">
        <v>18</v>
      </c>
      <c r="J11" s="61" t="s">
        <v>443</v>
      </c>
      <c r="K11" s="233">
        <f>+Q9+1</f>
        <v>4</v>
      </c>
      <c r="L11" s="234">
        <f>+K11+1</f>
        <v>5</v>
      </c>
      <c r="M11" s="234">
        <f>(L11+1)</f>
        <v>6</v>
      </c>
      <c r="N11" s="234">
        <f>(M11+1)</f>
        <v>7</v>
      </c>
      <c r="O11" s="234">
        <f>(N11+1)</f>
        <v>8</v>
      </c>
      <c r="P11" s="234">
        <f>(O11+1)</f>
        <v>9</v>
      </c>
      <c r="Q11" s="235">
        <f>+P11+1</f>
        <v>10</v>
      </c>
      <c r="R11" s="59">
        <v>18</v>
      </c>
      <c r="S11" s="61" t="s">
        <v>443</v>
      </c>
      <c r="T11" s="233">
        <f>+Z9+1</f>
        <v>3</v>
      </c>
      <c r="U11" s="234">
        <f>+T11+1</f>
        <v>4</v>
      </c>
      <c r="V11" s="234">
        <f t="shared" ref="V11:Z12" si="2">(U11+1)</f>
        <v>5</v>
      </c>
      <c r="W11" s="234">
        <f t="shared" si="2"/>
        <v>6</v>
      </c>
      <c r="X11" s="234">
        <f t="shared" si="2"/>
        <v>7</v>
      </c>
      <c r="Y11" s="234">
        <f t="shared" si="2"/>
        <v>8</v>
      </c>
      <c r="Z11" s="235">
        <f>+Y11+1</f>
        <v>9</v>
      </c>
      <c r="AA11" s="62">
        <v>18</v>
      </c>
    </row>
    <row r="12" spans="1:31" ht="13.5" thickBot="1">
      <c r="A12" s="63"/>
      <c r="B12" s="68">
        <f>+H11+1</f>
        <v>12</v>
      </c>
      <c r="C12" s="66">
        <f>+B12+1</f>
        <v>13</v>
      </c>
      <c r="D12" s="66">
        <f>+C12+1</f>
        <v>14</v>
      </c>
      <c r="E12" s="66">
        <f>(D12+1)</f>
        <v>15</v>
      </c>
      <c r="F12" s="66">
        <f>(E12+1)</f>
        <v>16</v>
      </c>
      <c r="G12" s="66">
        <f>(F12+1)</f>
        <v>17</v>
      </c>
      <c r="H12" s="67">
        <f>(G12+1)</f>
        <v>18</v>
      </c>
      <c r="I12" s="59"/>
      <c r="J12" s="61"/>
      <c r="K12" s="64">
        <f>+Q11+1</f>
        <v>11</v>
      </c>
      <c r="L12" s="66">
        <f>+K12+1</f>
        <v>12</v>
      </c>
      <c r="M12" s="66">
        <f>+L12+1</f>
        <v>13</v>
      </c>
      <c r="N12" s="66">
        <f>(M12+1)</f>
        <v>14</v>
      </c>
      <c r="O12" s="66">
        <f>(N12+1)</f>
        <v>15</v>
      </c>
      <c r="P12" s="66">
        <f>(O12+1)</f>
        <v>16</v>
      </c>
      <c r="Q12" s="67">
        <f>(P12+1)</f>
        <v>17</v>
      </c>
      <c r="R12" s="59"/>
      <c r="S12" s="61"/>
      <c r="T12" s="64">
        <f>+Z11+1</f>
        <v>10</v>
      </c>
      <c r="U12" s="66">
        <f>+T12+1</f>
        <v>11</v>
      </c>
      <c r="V12" s="66">
        <f>+U12+1</f>
        <v>12</v>
      </c>
      <c r="W12" s="66">
        <f t="shared" si="2"/>
        <v>13</v>
      </c>
      <c r="X12" s="66">
        <f t="shared" si="2"/>
        <v>14</v>
      </c>
      <c r="Y12" s="66">
        <f t="shared" si="2"/>
        <v>15</v>
      </c>
      <c r="Z12" s="67">
        <f t="shared" si="2"/>
        <v>16</v>
      </c>
      <c r="AA12" s="62"/>
    </row>
    <row r="13" spans="1:31" ht="3.95" customHeight="1" thickBot="1">
      <c r="A13" s="63"/>
      <c r="B13" s="61"/>
      <c r="C13" s="61"/>
      <c r="D13" s="61"/>
      <c r="E13" s="61"/>
      <c r="F13" s="61"/>
      <c r="G13" s="61"/>
      <c r="H13" s="61"/>
      <c r="I13" s="59"/>
      <c r="J13" s="61"/>
      <c r="K13" s="61"/>
      <c r="L13" s="61"/>
      <c r="M13" s="61"/>
      <c r="N13" s="61"/>
      <c r="O13" s="61"/>
      <c r="P13" s="61"/>
      <c r="Q13" s="61"/>
      <c r="R13" s="59"/>
      <c r="S13" s="61"/>
      <c r="T13" s="61"/>
      <c r="U13" s="61"/>
      <c r="V13" s="61"/>
      <c r="W13" s="61"/>
      <c r="X13" s="61"/>
      <c r="Y13" s="61"/>
      <c r="Z13" s="61"/>
      <c r="AA13" s="62"/>
    </row>
    <row r="14" spans="1:31" ht="13.5" thickBot="1">
      <c r="A14" s="63" t="s">
        <v>443</v>
      </c>
      <c r="B14" s="233">
        <f>+H12+1</f>
        <v>19</v>
      </c>
      <c r="C14" s="234">
        <f>+B14+1</f>
        <v>20</v>
      </c>
      <c r="D14" s="234">
        <f>+C14+1</f>
        <v>21</v>
      </c>
      <c r="E14" s="234">
        <f>+D14+1</f>
        <v>22</v>
      </c>
      <c r="F14" s="236">
        <f>(E14+1)</f>
        <v>23</v>
      </c>
      <c r="G14" s="236">
        <f>(F14+1)</f>
        <v>24</v>
      </c>
      <c r="H14" s="237">
        <v>25</v>
      </c>
      <c r="I14" s="59">
        <v>19</v>
      </c>
      <c r="J14" s="61" t="s">
        <v>443</v>
      </c>
      <c r="K14" s="68">
        <f>+Q12+1</f>
        <v>18</v>
      </c>
      <c r="L14" s="234">
        <f>+K14+1</f>
        <v>19</v>
      </c>
      <c r="M14" s="234">
        <f>+L14+1</f>
        <v>20</v>
      </c>
      <c r="N14" s="234">
        <f>+M14+1</f>
        <v>21</v>
      </c>
      <c r="O14" s="236">
        <f>(N14+1)</f>
        <v>22</v>
      </c>
      <c r="P14" s="236">
        <f>(O14+1)</f>
        <v>23</v>
      </c>
      <c r="Q14" s="235">
        <f>(P14+1)</f>
        <v>24</v>
      </c>
      <c r="R14" s="59">
        <v>19</v>
      </c>
      <c r="S14" s="61" t="s">
        <v>443</v>
      </c>
      <c r="T14" s="68">
        <f>+Z12+1</f>
        <v>17</v>
      </c>
      <c r="U14" s="234">
        <f>+T14+1</f>
        <v>18</v>
      </c>
      <c r="V14" s="234">
        <f>+U14+1</f>
        <v>19</v>
      </c>
      <c r="W14" s="234">
        <f>+V14+1</f>
        <v>20</v>
      </c>
      <c r="X14" s="236">
        <f>(W14+1)</f>
        <v>21</v>
      </c>
      <c r="Y14" s="236">
        <f>(X14+1)</f>
        <v>22</v>
      </c>
      <c r="Z14" s="235">
        <f>(Y14+1)</f>
        <v>23</v>
      </c>
      <c r="AA14" s="62">
        <v>19</v>
      </c>
    </row>
    <row r="15" spans="1:31">
      <c r="A15" s="63"/>
      <c r="B15" s="156">
        <v>26</v>
      </c>
      <c r="C15" s="66">
        <v>27</v>
      </c>
      <c r="D15" s="69">
        <v>28</v>
      </c>
      <c r="E15" s="69">
        <v>29</v>
      </c>
      <c r="F15" s="69">
        <v>30</v>
      </c>
      <c r="G15" s="69">
        <v>31</v>
      </c>
      <c r="H15" s="157">
        <v>1</v>
      </c>
      <c r="I15" s="59"/>
      <c r="J15" s="61"/>
      <c r="K15" s="64">
        <v>25</v>
      </c>
      <c r="L15" s="66">
        <v>26</v>
      </c>
      <c r="M15" s="69">
        <v>27</v>
      </c>
      <c r="N15" s="69">
        <v>28</v>
      </c>
      <c r="O15" s="69">
        <v>29</v>
      </c>
      <c r="P15" s="69">
        <v>30</v>
      </c>
      <c r="Q15" s="157">
        <v>31</v>
      </c>
      <c r="R15" s="59"/>
      <c r="S15" s="61"/>
      <c r="T15" s="64">
        <v>24</v>
      </c>
      <c r="U15" s="66">
        <v>25</v>
      </c>
      <c r="V15" s="69">
        <v>26</v>
      </c>
      <c r="W15" s="69">
        <v>27</v>
      </c>
      <c r="X15" s="69">
        <v>28</v>
      </c>
      <c r="Y15" s="69">
        <v>29</v>
      </c>
      <c r="Z15" s="157">
        <v>30</v>
      </c>
      <c r="AA15" s="62"/>
    </row>
    <row r="16" spans="1:31" ht="3.95" customHeight="1" thickBot="1">
      <c r="A16" s="63"/>
      <c r="B16" s="61"/>
      <c r="C16" s="61"/>
      <c r="D16" s="61"/>
      <c r="E16" s="61"/>
      <c r="F16" s="61"/>
      <c r="G16" s="61"/>
      <c r="H16" s="61"/>
      <c r="I16" s="59"/>
      <c r="J16" s="61"/>
      <c r="K16" s="61"/>
      <c r="L16" s="61"/>
      <c r="M16" s="61"/>
      <c r="N16" s="61"/>
      <c r="O16" s="61"/>
      <c r="P16" s="61"/>
      <c r="Q16" s="61"/>
      <c r="R16" s="59"/>
      <c r="S16" s="61"/>
      <c r="T16" s="61"/>
      <c r="U16" s="61"/>
      <c r="V16" s="61"/>
      <c r="W16" s="61"/>
      <c r="X16" s="61"/>
      <c r="Y16" s="61"/>
      <c r="Z16" s="61"/>
      <c r="AA16" s="62"/>
    </row>
    <row r="17" spans="1:27" ht="13.5" thickBot="1">
      <c r="A17" s="63" t="s">
        <v>445</v>
      </c>
      <c r="B17" s="233">
        <f>+H15+1</f>
        <v>2</v>
      </c>
      <c r="C17" s="70">
        <f>+B17+1</f>
        <v>3</v>
      </c>
      <c r="D17" s="234">
        <f t="shared" ref="D17:G18" si="3">(C17+1)</f>
        <v>4</v>
      </c>
      <c r="E17" s="234">
        <f t="shared" si="3"/>
        <v>5</v>
      </c>
      <c r="F17" s="234">
        <f t="shared" si="3"/>
        <v>6</v>
      </c>
      <c r="G17" s="234">
        <f t="shared" si="3"/>
        <v>7</v>
      </c>
      <c r="H17" s="235">
        <f>+G17+1</f>
        <v>8</v>
      </c>
      <c r="I17" s="59">
        <v>20</v>
      </c>
      <c r="J17" s="61" t="s">
        <v>445</v>
      </c>
      <c r="K17" s="233">
        <v>1</v>
      </c>
      <c r="L17" s="70">
        <f>+K17+1</f>
        <v>2</v>
      </c>
      <c r="M17" s="234">
        <f t="shared" ref="M17:P18" si="4">(L17+1)</f>
        <v>3</v>
      </c>
      <c r="N17" s="234">
        <f t="shared" si="4"/>
        <v>4</v>
      </c>
      <c r="O17" s="234">
        <f t="shared" si="4"/>
        <v>5</v>
      </c>
      <c r="P17" s="234">
        <f t="shared" si="4"/>
        <v>6</v>
      </c>
      <c r="Q17" s="235">
        <f>+P17+1</f>
        <v>7</v>
      </c>
      <c r="R17" s="59">
        <v>20</v>
      </c>
      <c r="S17" s="61" t="s">
        <v>445</v>
      </c>
      <c r="T17" s="233">
        <v>31</v>
      </c>
      <c r="U17" s="70">
        <v>1</v>
      </c>
      <c r="V17" s="234">
        <f t="shared" ref="V17:Y20" si="5">(U17+1)</f>
        <v>2</v>
      </c>
      <c r="W17" s="234">
        <f t="shared" si="5"/>
        <v>3</v>
      </c>
      <c r="X17" s="234">
        <f t="shared" si="5"/>
        <v>4</v>
      </c>
      <c r="Y17" s="234">
        <f t="shared" si="5"/>
        <v>5</v>
      </c>
      <c r="Z17" s="235">
        <f>+Y17+1</f>
        <v>6</v>
      </c>
      <c r="AA17" s="62">
        <v>20</v>
      </c>
    </row>
    <row r="18" spans="1:27">
      <c r="A18" s="63"/>
      <c r="B18" s="64">
        <f>+H17+1</f>
        <v>9</v>
      </c>
      <c r="C18" s="66">
        <f>+B18+1</f>
        <v>10</v>
      </c>
      <c r="D18" s="66">
        <f t="shared" si="3"/>
        <v>11</v>
      </c>
      <c r="E18" s="66">
        <f t="shared" si="3"/>
        <v>12</v>
      </c>
      <c r="F18" s="66">
        <f t="shared" si="3"/>
        <v>13</v>
      </c>
      <c r="G18" s="66">
        <f t="shared" si="3"/>
        <v>14</v>
      </c>
      <c r="H18" s="67">
        <f>+G18+1</f>
        <v>15</v>
      </c>
      <c r="I18" s="59"/>
      <c r="J18" s="61"/>
      <c r="K18" s="64">
        <f>+Q17+1</f>
        <v>8</v>
      </c>
      <c r="L18" s="66">
        <f>+K18+1</f>
        <v>9</v>
      </c>
      <c r="M18" s="66">
        <f t="shared" si="4"/>
        <v>10</v>
      </c>
      <c r="N18" s="66">
        <f t="shared" si="4"/>
        <v>11</v>
      </c>
      <c r="O18" s="66">
        <f t="shared" si="4"/>
        <v>12</v>
      </c>
      <c r="P18" s="66">
        <f t="shared" si="4"/>
        <v>13</v>
      </c>
      <c r="Q18" s="67">
        <f>+P18+1</f>
        <v>14</v>
      </c>
      <c r="R18" s="59"/>
      <c r="S18" s="61"/>
      <c r="T18" s="64">
        <f>+Z17+1</f>
        <v>7</v>
      </c>
      <c r="U18" s="66">
        <f>+T18+1</f>
        <v>8</v>
      </c>
      <c r="V18" s="66">
        <f t="shared" si="5"/>
        <v>9</v>
      </c>
      <c r="W18" s="66">
        <f t="shared" si="5"/>
        <v>10</v>
      </c>
      <c r="X18" s="66">
        <f t="shared" si="5"/>
        <v>11</v>
      </c>
      <c r="Y18" s="66">
        <f t="shared" si="5"/>
        <v>12</v>
      </c>
      <c r="Z18" s="67">
        <f>+Y18+1</f>
        <v>13</v>
      </c>
      <c r="AA18" s="62"/>
    </row>
    <row r="19" spans="1:27" ht="3.95" customHeight="1">
      <c r="A19" s="63"/>
      <c r="B19" s="61"/>
      <c r="C19" s="61"/>
      <c r="D19" s="61"/>
      <c r="E19" s="61"/>
      <c r="F19" s="61"/>
      <c r="G19" s="61"/>
      <c r="H19" s="61"/>
      <c r="I19" s="59"/>
      <c r="J19" s="61"/>
      <c r="K19" s="61"/>
      <c r="L19" s="61"/>
      <c r="M19" s="61"/>
      <c r="N19" s="61"/>
      <c r="O19" s="61"/>
      <c r="P19" s="61"/>
      <c r="Q19" s="61"/>
      <c r="R19" s="59"/>
      <c r="S19" s="61"/>
      <c r="T19" s="61"/>
      <c r="U19" s="61"/>
      <c r="V19" s="61"/>
      <c r="W19" s="61"/>
      <c r="X19" s="61"/>
      <c r="Y19" s="61"/>
      <c r="Z19" s="61"/>
      <c r="AA19" s="62"/>
    </row>
    <row r="20" spans="1:27">
      <c r="A20" s="63"/>
      <c r="B20" s="238">
        <f>(H18+1)</f>
        <v>16</v>
      </c>
      <c r="C20" s="236">
        <v>17</v>
      </c>
      <c r="D20" s="234">
        <f>(C20+1)</f>
        <v>18</v>
      </c>
      <c r="E20" s="234">
        <f>(D20+1)</f>
        <v>19</v>
      </c>
      <c r="F20" s="234">
        <f>(E20+1)</f>
        <v>20</v>
      </c>
      <c r="G20" s="236">
        <f>(F20+1)</f>
        <v>21</v>
      </c>
      <c r="H20" s="237">
        <f>+G20+1</f>
        <v>22</v>
      </c>
      <c r="I20" s="59">
        <v>21</v>
      </c>
      <c r="J20" s="61"/>
      <c r="K20" s="238">
        <f>(Q18+1)</f>
        <v>15</v>
      </c>
      <c r="L20" s="236">
        <f>+K20+1</f>
        <v>16</v>
      </c>
      <c r="M20" s="234">
        <f>(L20+1)</f>
        <v>17</v>
      </c>
      <c r="N20" s="234">
        <f>(M20+1)</f>
        <v>18</v>
      </c>
      <c r="O20" s="234">
        <f>(N20+1)</f>
        <v>19</v>
      </c>
      <c r="P20" s="236">
        <f>(O20+1)</f>
        <v>20</v>
      </c>
      <c r="Q20" s="237">
        <f>+P20+1</f>
        <v>21</v>
      </c>
      <c r="R20" s="59">
        <v>21</v>
      </c>
      <c r="S20" s="61"/>
      <c r="T20" s="238">
        <f>(Z18+1)</f>
        <v>14</v>
      </c>
      <c r="U20" s="236">
        <f>+T20+1</f>
        <v>15</v>
      </c>
      <c r="V20" s="234">
        <f t="shared" si="5"/>
        <v>16</v>
      </c>
      <c r="W20" s="234">
        <f t="shared" si="5"/>
        <v>17</v>
      </c>
      <c r="X20" s="234">
        <f t="shared" si="5"/>
        <v>18</v>
      </c>
      <c r="Y20" s="236">
        <f>(X20+1)</f>
        <v>19</v>
      </c>
      <c r="Z20" s="237">
        <f>+Y20+1</f>
        <v>20</v>
      </c>
      <c r="AA20" s="62">
        <v>21</v>
      </c>
    </row>
    <row r="21" spans="1:27">
      <c r="A21" s="63"/>
      <c r="B21" s="156">
        <f>+H20+1</f>
        <v>23</v>
      </c>
      <c r="C21" s="66">
        <f>+B21+1</f>
        <v>24</v>
      </c>
      <c r="D21" s="66">
        <f>+C21+1</f>
        <v>25</v>
      </c>
      <c r="E21" s="66">
        <f>+D21+1</f>
        <v>26</v>
      </c>
      <c r="F21" s="66">
        <f>+E21+1</f>
        <v>27</v>
      </c>
      <c r="G21" s="66">
        <f>+F21+1</f>
        <v>28</v>
      </c>
      <c r="H21" s="67">
        <f>+G21+1</f>
        <v>29</v>
      </c>
      <c r="I21" s="59"/>
      <c r="J21" s="61"/>
      <c r="K21" s="156">
        <f>+Q20+1</f>
        <v>22</v>
      </c>
      <c r="L21" s="66">
        <f>+K21+1</f>
        <v>23</v>
      </c>
      <c r="M21" s="66">
        <f>+L21+1</f>
        <v>24</v>
      </c>
      <c r="N21" s="66">
        <f>+M21+1</f>
        <v>25</v>
      </c>
      <c r="O21" s="66">
        <f>+N21+1</f>
        <v>26</v>
      </c>
      <c r="P21" s="66">
        <f>+O21+1</f>
        <v>27</v>
      </c>
      <c r="Q21" s="67">
        <f>+P21+1</f>
        <v>28</v>
      </c>
      <c r="R21" s="59"/>
      <c r="S21" s="61"/>
      <c r="T21" s="156">
        <f>+Z20+1</f>
        <v>21</v>
      </c>
      <c r="U21" s="66">
        <f>+T21+1</f>
        <v>22</v>
      </c>
      <c r="V21" s="66">
        <f>+U21+1</f>
        <v>23</v>
      </c>
      <c r="W21" s="66">
        <f>+V21+1</f>
        <v>24</v>
      </c>
      <c r="X21" s="66">
        <f>+W21+1</f>
        <v>25</v>
      </c>
      <c r="Y21" s="66">
        <f>+X21+1</f>
        <v>26</v>
      </c>
      <c r="Z21" s="67">
        <f>+Y21+1</f>
        <v>27</v>
      </c>
      <c r="AA21" s="62"/>
    </row>
    <row r="22" spans="1:27" ht="3.95" customHeight="1">
      <c r="A22" s="63"/>
      <c r="B22" s="61"/>
      <c r="C22" s="61"/>
      <c r="D22" s="61"/>
      <c r="E22" s="61"/>
      <c r="F22" s="61"/>
      <c r="G22" s="61"/>
      <c r="H22" s="61"/>
      <c r="I22" s="59"/>
      <c r="J22" s="61"/>
      <c r="K22" s="61"/>
      <c r="L22" s="61"/>
      <c r="M22" s="61"/>
      <c r="N22" s="61"/>
      <c r="O22" s="61"/>
      <c r="P22" s="61"/>
      <c r="Q22" s="61"/>
      <c r="R22" s="59"/>
      <c r="S22" s="61"/>
      <c r="T22" s="61"/>
      <c r="U22" s="61"/>
      <c r="V22" s="61"/>
      <c r="W22" s="61"/>
      <c r="X22" s="61"/>
      <c r="Y22" s="61"/>
      <c r="Z22" s="61"/>
      <c r="AA22" s="62"/>
    </row>
    <row r="23" spans="1:27">
      <c r="A23" s="63" t="s">
        <v>446</v>
      </c>
      <c r="B23" s="233">
        <f>+H21+1</f>
        <v>30</v>
      </c>
      <c r="C23" s="234">
        <v>1</v>
      </c>
      <c r="D23" s="234">
        <f t="shared" ref="D23:G24" si="6">(C23+1)</f>
        <v>2</v>
      </c>
      <c r="E23" s="234">
        <f t="shared" si="6"/>
        <v>3</v>
      </c>
      <c r="F23" s="234">
        <f t="shared" si="6"/>
        <v>4</v>
      </c>
      <c r="G23" s="234">
        <f t="shared" si="6"/>
        <v>5</v>
      </c>
      <c r="H23" s="235">
        <f>+G23+1</f>
        <v>6</v>
      </c>
      <c r="I23" s="59">
        <v>22</v>
      </c>
      <c r="J23" s="61" t="s">
        <v>446</v>
      </c>
      <c r="K23" s="233">
        <f>+Q21+1</f>
        <v>29</v>
      </c>
      <c r="L23" s="234">
        <v>30</v>
      </c>
      <c r="M23" s="234">
        <v>1</v>
      </c>
      <c r="N23" s="234">
        <f t="shared" ref="N23:P24" si="7">(M23+1)</f>
        <v>2</v>
      </c>
      <c r="O23" s="234">
        <f t="shared" si="7"/>
        <v>3</v>
      </c>
      <c r="P23" s="234">
        <f t="shared" si="7"/>
        <v>4</v>
      </c>
      <c r="Q23" s="235">
        <f>+P23+1</f>
        <v>5</v>
      </c>
      <c r="R23" s="59">
        <v>22</v>
      </c>
      <c r="S23" s="61" t="s">
        <v>446</v>
      </c>
      <c r="T23" s="233">
        <f>+Z21+1</f>
        <v>28</v>
      </c>
      <c r="U23" s="234">
        <v>29</v>
      </c>
      <c r="V23" s="234">
        <v>30</v>
      </c>
      <c r="W23" s="234">
        <v>1</v>
      </c>
      <c r="X23" s="234">
        <f t="shared" ref="V23:Y24" si="8">(W23+1)</f>
        <v>2</v>
      </c>
      <c r="Y23" s="234">
        <f t="shared" si="8"/>
        <v>3</v>
      </c>
      <c r="Z23" s="235">
        <f>+Y23+1</f>
        <v>4</v>
      </c>
      <c r="AA23" s="62">
        <v>22</v>
      </c>
    </row>
    <row r="24" spans="1:27">
      <c r="A24" s="63"/>
      <c r="B24" s="64">
        <f>+H23+1</f>
        <v>7</v>
      </c>
      <c r="C24" s="66">
        <f>+B24+1</f>
        <v>8</v>
      </c>
      <c r="D24" s="66">
        <f t="shared" si="6"/>
        <v>9</v>
      </c>
      <c r="E24" s="66">
        <f t="shared" si="6"/>
        <v>10</v>
      </c>
      <c r="F24" s="66">
        <f t="shared" si="6"/>
        <v>11</v>
      </c>
      <c r="G24" s="66">
        <f t="shared" si="6"/>
        <v>12</v>
      </c>
      <c r="H24" s="67">
        <f>+G24+1</f>
        <v>13</v>
      </c>
      <c r="I24" s="59"/>
      <c r="J24" s="61"/>
      <c r="K24" s="64">
        <f>+Q23+1</f>
        <v>6</v>
      </c>
      <c r="L24" s="66">
        <f>+K24+1</f>
        <v>7</v>
      </c>
      <c r="M24" s="66">
        <f>(L24+1)</f>
        <v>8</v>
      </c>
      <c r="N24" s="66">
        <f t="shared" si="7"/>
        <v>9</v>
      </c>
      <c r="O24" s="66">
        <f t="shared" si="7"/>
        <v>10</v>
      </c>
      <c r="P24" s="66">
        <f t="shared" si="7"/>
        <v>11</v>
      </c>
      <c r="Q24" s="67">
        <f>+P24+1</f>
        <v>12</v>
      </c>
      <c r="R24" s="59"/>
      <c r="S24" s="61"/>
      <c r="T24" s="64">
        <f>+Z23+1</f>
        <v>5</v>
      </c>
      <c r="U24" s="66">
        <f>+T24+1</f>
        <v>6</v>
      </c>
      <c r="V24" s="66">
        <f t="shared" si="8"/>
        <v>7</v>
      </c>
      <c r="W24" s="66">
        <f t="shared" si="8"/>
        <v>8</v>
      </c>
      <c r="X24" s="66">
        <f t="shared" si="8"/>
        <v>9</v>
      </c>
      <c r="Y24" s="66">
        <f t="shared" si="8"/>
        <v>10</v>
      </c>
      <c r="Z24" s="67">
        <f>+Y24+1</f>
        <v>11</v>
      </c>
      <c r="AA24" s="62"/>
    </row>
    <row r="25" spans="1:27" ht="3.95" customHeight="1">
      <c r="A25" s="63"/>
      <c r="B25" s="61"/>
      <c r="C25" s="61"/>
      <c r="D25" s="61"/>
      <c r="E25" s="61"/>
      <c r="F25" s="61"/>
      <c r="G25" s="61"/>
      <c r="H25" s="61"/>
      <c r="I25" s="59"/>
      <c r="J25" s="61"/>
      <c r="K25" s="61"/>
      <c r="L25" s="61"/>
      <c r="M25" s="61"/>
      <c r="N25" s="61"/>
      <c r="O25" s="61"/>
      <c r="P25" s="61"/>
      <c r="Q25" s="61"/>
      <c r="R25" s="59"/>
      <c r="S25" s="61"/>
      <c r="T25" s="61"/>
      <c r="U25" s="61"/>
      <c r="V25" s="61"/>
      <c r="W25" s="61"/>
      <c r="X25" s="61"/>
      <c r="Y25" s="61"/>
      <c r="Z25" s="61"/>
      <c r="AA25" s="62"/>
    </row>
    <row r="26" spans="1:27">
      <c r="A26" s="63"/>
      <c r="B26" s="233">
        <f>+H24+1</f>
        <v>14</v>
      </c>
      <c r="C26" s="234">
        <f>+B26+1</f>
        <v>15</v>
      </c>
      <c r="D26" s="234">
        <f>(C26+1)</f>
        <v>16</v>
      </c>
      <c r="E26" s="234">
        <v>17</v>
      </c>
      <c r="F26" s="234">
        <v>18</v>
      </c>
      <c r="G26" s="234">
        <v>19</v>
      </c>
      <c r="H26" s="235">
        <v>20</v>
      </c>
      <c r="I26" s="59">
        <v>23</v>
      </c>
      <c r="J26" s="61"/>
      <c r="K26" s="233">
        <f>+Q24+1</f>
        <v>13</v>
      </c>
      <c r="L26" s="234">
        <f>+K26+1</f>
        <v>14</v>
      </c>
      <c r="M26" s="234">
        <f>(L26+1)</f>
        <v>15</v>
      </c>
      <c r="N26" s="234">
        <f>(M26+1)</f>
        <v>16</v>
      </c>
      <c r="O26" s="234">
        <f>(N26+1)</f>
        <v>17</v>
      </c>
      <c r="P26" s="234">
        <f>(O26+1)</f>
        <v>18</v>
      </c>
      <c r="Q26" s="235">
        <f>(P26+1)</f>
        <v>19</v>
      </c>
      <c r="R26" s="59">
        <v>23</v>
      </c>
      <c r="S26" s="61"/>
      <c r="T26" s="233">
        <f>+Z24+1</f>
        <v>12</v>
      </c>
      <c r="U26" s="234">
        <f>+T26+1</f>
        <v>13</v>
      </c>
      <c r="V26" s="234">
        <f>(U26+1)</f>
        <v>14</v>
      </c>
      <c r="W26" s="234">
        <f>(V26+1)</f>
        <v>15</v>
      </c>
      <c r="X26" s="234">
        <f>(W26+1)</f>
        <v>16</v>
      </c>
      <c r="Y26" s="234">
        <f>(X26+1)</f>
        <v>17</v>
      </c>
      <c r="Z26" s="235">
        <f>(Y26+1)</f>
        <v>18</v>
      </c>
      <c r="AA26" s="62">
        <v>23</v>
      </c>
    </row>
    <row r="27" spans="1:27">
      <c r="A27" s="63"/>
      <c r="B27" s="64">
        <v>21</v>
      </c>
      <c r="C27" s="66">
        <f>+B27+1</f>
        <v>22</v>
      </c>
      <c r="D27" s="66">
        <f>(C27+1)</f>
        <v>23</v>
      </c>
      <c r="E27" s="66">
        <f>(D27+1)</f>
        <v>24</v>
      </c>
      <c r="F27" s="66">
        <f>(E27+1)</f>
        <v>25</v>
      </c>
      <c r="G27" s="66">
        <f>(F27+1)</f>
        <v>26</v>
      </c>
      <c r="H27" s="67">
        <f>+G27+1</f>
        <v>27</v>
      </c>
      <c r="I27" s="59"/>
      <c r="J27" s="61"/>
      <c r="K27" s="64">
        <f>(Q26+1)</f>
        <v>20</v>
      </c>
      <c r="L27" s="66">
        <f>+K27+1</f>
        <v>21</v>
      </c>
      <c r="M27" s="66">
        <f>(L27+1)</f>
        <v>22</v>
      </c>
      <c r="N27" s="66">
        <f>(M27+1)</f>
        <v>23</v>
      </c>
      <c r="O27" s="66">
        <f>(N27+1)</f>
        <v>24</v>
      </c>
      <c r="P27" s="66">
        <f>(O27+1)</f>
        <v>25</v>
      </c>
      <c r="Q27" s="67">
        <f>+P27+1</f>
        <v>26</v>
      </c>
      <c r="R27" s="59"/>
      <c r="S27" s="61"/>
      <c r="T27" s="64">
        <f>(Z26+1)</f>
        <v>19</v>
      </c>
      <c r="U27" s="66">
        <f>+T27+1</f>
        <v>20</v>
      </c>
      <c r="V27" s="66">
        <f>(U27+1)</f>
        <v>21</v>
      </c>
      <c r="W27" s="66">
        <f>(V27+1)</f>
        <v>22</v>
      </c>
      <c r="X27" s="66">
        <f>(W27+1)</f>
        <v>23</v>
      </c>
      <c r="Y27" s="66">
        <f>(X27+1)</f>
        <v>24</v>
      </c>
      <c r="Z27" s="67">
        <f>+Y27+1</f>
        <v>25</v>
      </c>
      <c r="AA27" s="62"/>
    </row>
    <row r="28" spans="1:27" ht="3.95" customHeight="1">
      <c r="A28" s="63"/>
      <c r="B28" s="61"/>
      <c r="C28" s="61"/>
      <c r="D28" s="61"/>
      <c r="E28" s="61"/>
      <c r="F28" s="61"/>
      <c r="G28" s="61"/>
      <c r="H28" s="61"/>
      <c r="I28" s="59"/>
      <c r="J28" s="61"/>
      <c r="K28" s="61"/>
      <c r="L28" s="61"/>
      <c r="M28" s="61"/>
      <c r="N28" s="61"/>
      <c r="O28" s="61"/>
      <c r="P28" s="61"/>
      <c r="Q28" s="61"/>
      <c r="R28" s="59"/>
      <c r="S28" s="61"/>
      <c r="T28" s="61"/>
      <c r="U28" s="61"/>
      <c r="V28" s="61"/>
      <c r="W28" s="61"/>
      <c r="X28" s="61"/>
      <c r="Y28" s="61"/>
      <c r="Z28" s="61"/>
      <c r="AA28" s="62"/>
    </row>
    <row r="29" spans="1:27">
      <c r="A29" s="63" t="s">
        <v>447</v>
      </c>
      <c r="B29" s="238">
        <v>28</v>
      </c>
      <c r="C29" s="236">
        <v>29</v>
      </c>
      <c r="D29" s="236">
        <v>30</v>
      </c>
      <c r="E29" s="236">
        <v>31</v>
      </c>
      <c r="F29" s="236">
        <v>1</v>
      </c>
      <c r="G29" s="236">
        <f>(F29+1)</f>
        <v>2</v>
      </c>
      <c r="H29" s="237">
        <f>+G29+1</f>
        <v>3</v>
      </c>
      <c r="I29" s="59">
        <v>24</v>
      </c>
      <c r="J29" s="61" t="s">
        <v>447</v>
      </c>
      <c r="K29" s="238">
        <f>(Q27+1)</f>
        <v>27</v>
      </c>
      <c r="L29" s="236">
        <f>+K29+1</f>
        <v>28</v>
      </c>
      <c r="M29" s="236">
        <f>+L29+1</f>
        <v>29</v>
      </c>
      <c r="N29" s="236">
        <f>+M29+1</f>
        <v>30</v>
      </c>
      <c r="O29" s="236">
        <f>+N29+1</f>
        <v>31</v>
      </c>
      <c r="P29" s="236">
        <v>1</v>
      </c>
      <c r="Q29" s="237">
        <f>+P29+1</f>
        <v>2</v>
      </c>
      <c r="R29" s="59">
        <v>24</v>
      </c>
      <c r="S29" s="61" t="s">
        <v>447</v>
      </c>
      <c r="T29" s="238">
        <f>(Z27+1)</f>
        <v>26</v>
      </c>
      <c r="U29" s="236">
        <f>+T29+1</f>
        <v>27</v>
      </c>
      <c r="V29" s="236">
        <f>+U29+1</f>
        <v>28</v>
      </c>
      <c r="W29" s="236">
        <f>+V29+1</f>
        <v>29</v>
      </c>
      <c r="X29" s="236">
        <f>+W29+1</f>
        <v>30</v>
      </c>
      <c r="Y29" s="236">
        <v>31</v>
      </c>
      <c r="Z29" s="237">
        <v>1</v>
      </c>
      <c r="AA29" s="62">
        <v>24</v>
      </c>
    </row>
    <row r="30" spans="1:27">
      <c r="A30" s="63"/>
      <c r="B30" s="156">
        <f>+H29+1</f>
        <v>4</v>
      </c>
      <c r="C30" s="69">
        <f>+B30+1</f>
        <v>5</v>
      </c>
      <c r="D30" s="69">
        <f>(C30+1)</f>
        <v>6</v>
      </c>
      <c r="E30" s="69">
        <f>(D30+1)</f>
        <v>7</v>
      </c>
      <c r="F30" s="69">
        <f>(E30+1)</f>
        <v>8</v>
      </c>
      <c r="G30" s="69">
        <f>(F30+1)</f>
        <v>9</v>
      </c>
      <c r="H30" s="157">
        <f>+G30+1</f>
        <v>10</v>
      </c>
      <c r="I30" s="59"/>
      <c r="J30" s="61"/>
      <c r="K30" s="156">
        <f>+Q29+1</f>
        <v>3</v>
      </c>
      <c r="L30" s="69">
        <f>+K30+1</f>
        <v>4</v>
      </c>
      <c r="M30" s="69">
        <f>(L30+1)</f>
        <v>5</v>
      </c>
      <c r="N30" s="69">
        <f>(M30+1)</f>
        <v>6</v>
      </c>
      <c r="O30" s="69">
        <f>(N30+1)</f>
        <v>7</v>
      </c>
      <c r="P30" s="69">
        <f>(O30+1)</f>
        <v>8</v>
      </c>
      <c r="Q30" s="157">
        <f>+P30+1</f>
        <v>9</v>
      </c>
      <c r="R30" s="59"/>
      <c r="S30" s="61"/>
      <c r="T30" s="156">
        <f>+Z29+1</f>
        <v>2</v>
      </c>
      <c r="U30" s="69">
        <f>+T30+1</f>
        <v>3</v>
      </c>
      <c r="V30" s="69">
        <f>(U30+1)</f>
        <v>4</v>
      </c>
      <c r="W30" s="69">
        <f>(V30+1)</f>
        <v>5</v>
      </c>
      <c r="X30" s="69">
        <f>(W30+1)</f>
        <v>6</v>
      </c>
      <c r="Y30" s="69">
        <f>(X30+1)</f>
        <v>7</v>
      </c>
      <c r="Z30" s="157">
        <f>+Y30+1</f>
        <v>8</v>
      </c>
      <c r="AA30" s="62"/>
    </row>
    <row r="31" spans="1:27" ht="3.95" customHeight="1">
      <c r="A31" s="63"/>
      <c r="B31" s="61"/>
      <c r="C31" s="61"/>
      <c r="D31" s="61"/>
      <c r="E31" s="61"/>
      <c r="F31" s="61"/>
      <c r="G31" s="61"/>
      <c r="H31" s="61"/>
      <c r="I31" s="59"/>
      <c r="J31" s="61"/>
      <c r="K31" s="61"/>
      <c r="L31" s="61"/>
      <c r="M31" s="61"/>
      <c r="N31" s="61"/>
      <c r="O31" s="61"/>
      <c r="P31" s="61"/>
      <c r="Q31" s="61"/>
      <c r="R31" s="59"/>
      <c r="S31" s="61"/>
      <c r="T31" s="61"/>
      <c r="U31" s="61"/>
      <c r="V31" s="61"/>
      <c r="W31" s="61"/>
      <c r="X31" s="61"/>
      <c r="Y31" s="61"/>
      <c r="Z31" s="61"/>
      <c r="AA31" s="62"/>
    </row>
    <row r="32" spans="1:27" ht="13.5" thickBot="1">
      <c r="A32" s="63"/>
      <c r="B32" s="238">
        <f>+H30+1</f>
        <v>11</v>
      </c>
      <c r="C32" s="236">
        <f>+B32+1</f>
        <v>12</v>
      </c>
      <c r="D32" s="236">
        <f>(C32+1)</f>
        <v>13</v>
      </c>
      <c r="E32" s="236">
        <f>(D32+1)</f>
        <v>14</v>
      </c>
      <c r="F32" s="239">
        <f>(E32+1)</f>
        <v>15</v>
      </c>
      <c r="G32" s="239">
        <v>16</v>
      </c>
      <c r="H32" s="237">
        <v>17</v>
      </c>
      <c r="I32" s="59">
        <v>25</v>
      </c>
      <c r="J32" s="61"/>
      <c r="K32" s="238">
        <f>+Q30+1</f>
        <v>10</v>
      </c>
      <c r="L32" s="236">
        <f>+K32+1</f>
        <v>11</v>
      </c>
      <c r="M32" s="236">
        <f>(L32+1)</f>
        <v>12</v>
      </c>
      <c r="N32" s="236">
        <f>(M32+1)</f>
        <v>13</v>
      </c>
      <c r="O32" s="236">
        <f>(N32+1)</f>
        <v>14</v>
      </c>
      <c r="P32" s="236">
        <v>15</v>
      </c>
      <c r="Q32" s="237">
        <v>16</v>
      </c>
      <c r="R32" s="59">
        <v>25</v>
      </c>
      <c r="S32" s="61"/>
      <c r="T32" s="238">
        <f>+Z30+1</f>
        <v>9</v>
      </c>
      <c r="U32" s="236">
        <f>+T32+1</f>
        <v>10</v>
      </c>
      <c r="V32" s="236">
        <f t="shared" ref="V32:Y33" si="9">(U32+1)</f>
        <v>11</v>
      </c>
      <c r="W32" s="236">
        <f t="shared" si="9"/>
        <v>12</v>
      </c>
      <c r="X32" s="236">
        <f t="shared" si="9"/>
        <v>13</v>
      </c>
      <c r="Y32" s="236">
        <v>14</v>
      </c>
      <c r="Z32" s="237">
        <v>15</v>
      </c>
      <c r="AA32" s="62">
        <v>25</v>
      </c>
    </row>
    <row r="33" spans="1:27" ht="13.5" thickBot="1">
      <c r="A33" s="63" t="s">
        <v>443</v>
      </c>
      <c r="B33" s="156">
        <f>+H32+1</f>
        <v>18</v>
      </c>
      <c r="C33" s="69">
        <f>+B33+1</f>
        <v>19</v>
      </c>
      <c r="D33" s="69">
        <f>+C33+1</f>
        <v>20</v>
      </c>
      <c r="E33" s="69">
        <f>+D33+1</f>
        <v>21</v>
      </c>
      <c r="F33" s="70">
        <f>(E33+1)</f>
        <v>22</v>
      </c>
      <c r="G33" s="70">
        <f>(F33+1)</f>
        <v>23</v>
      </c>
      <c r="H33" s="157">
        <f>(G33+1)</f>
        <v>24</v>
      </c>
      <c r="I33" s="59"/>
      <c r="J33" s="61" t="s">
        <v>443</v>
      </c>
      <c r="K33" s="156">
        <v>17</v>
      </c>
      <c r="L33" s="69">
        <f>+K33+1</f>
        <v>18</v>
      </c>
      <c r="M33" s="69">
        <f>+L33+1</f>
        <v>19</v>
      </c>
      <c r="N33" s="69">
        <f>+M33+1</f>
        <v>20</v>
      </c>
      <c r="O33" s="69">
        <f>(N33+1)</f>
        <v>21</v>
      </c>
      <c r="P33" s="69">
        <f>(O33+1)</f>
        <v>22</v>
      </c>
      <c r="Q33" s="157">
        <f>(P33+1)</f>
        <v>23</v>
      </c>
      <c r="R33" s="59"/>
      <c r="S33" s="61" t="s">
        <v>443</v>
      </c>
      <c r="T33" s="156">
        <v>16</v>
      </c>
      <c r="U33" s="69">
        <f>+T33+1</f>
        <v>17</v>
      </c>
      <c r="V33" s="69">
        <f>+U33+1</f>
        <v>18</v>
      </c>
      <c r="W33" s="69">
        <f>+V33+1</f>
        <v>19</v>
      </c>
      <c r="X33" s="69">
        <f t="shared" si="9"/>
        <v>20</v>
      </c>
      <c r="Y33" s="69">
        <f t="shared" si="9"/>
        <v>21</v>
      </c>
      <c r="Z33" s="157">
        <f>(Y33+1)</f>
        <v>22</v>
      </c>
      <c r="AA33" s="62"/>
    </row>
    <row r="34" spans="1:27" ht="3.95" customHeight="1" thickBot="1">
      <c r="A34" s="63"/>
      <c r="B34" s="61"/>
      <c r="C34" s="61"/>
      <c r="D34" s="61"/>
      <c r="E34" s="61"/>
      <c r="F34" s="61"/>
      <c r="G34" s="61"/>
      <c r="H34" s="61"/>
      <c r="I34" s="59"/>
      <c r="J34" s="61"/>
      <c r="K34" s="61"/>
      <c r="L34" s="61"/>
      <c r="M34" s="61"/>
      <c r="N34" s="61"/>
      <c r="O34" s="61"/>
      <c r="P34" s="61"/>
      <c r="Q34" s="61"/>
      <c r="R34" s="59"/>
      <c r="S34" s="61"/>
      <c r="T34" s="61"/>
      <c r="U34" s="61"/>
      <c r="V34" s="61"/>
      <c r="W34" s="61"/>
      <c r="X34" s="61"/>
      <c r="Y34" s="61"/>
      <c r="Z34" s="61"/>
      <c r="AA34" s="62"/>
    </row>
    <row r="35" spans="1:27" ht="13.5" thickBot="1">
      <c r="A35" s="63"/>
      <c r="B35" s="233">
        <f>(H33+1)</f>
        <v>25</v>
      </c>
      <c r="C35" s="234">
        <v>26</v>
      </c>
      <c r="D35" s="234">
        <v>27</v>
      </c>
      <c r="E35" s="234">
        <v>28</v>
      </c>
      <c r="F35" s="234">
        <v>29</v>
      </c>
      <c r="G35" s="234">
        <f>(F35+1)</f>
        <v>30</v>
      </c>
      <c r="H35" s="235">
        <v>1</v>
      </c>
      <c r="I35" s="59">
        <v>26</v>
      </c>
      <c r="J35" s="61"/>
      <c r="K35" s="233">
        <f>(Q33+1)</f>
        <v>24</v>
      </c>
      <c r="L35" s="234">
        <v>25</v>
      </c>
      <c r="M35" s="234">
        <v>26</v>
      </c>
      <c r="N35" s="234">
        <v>27</v>
      </c>
      <c r="O35" s="70">
        <v>28</v>
      </c>
      <c r="P35" s="70">
        <v>29</v>
      </c>
      <c r="Q35" s="235">
        <v>30</v>
      </c>
      <c r="R35" s="59">
        <v>26</v>
      </c>
      <c r="S35" s="61"/>
      <c r="T35" s="233">
        <f>(Z33+1)</f>
        <v>23</v>
      </c>
      <c r="U35" s="234">
        <v>24</v>
      </c>
      <c r="V35" s="234">
        <v>25</v>
      </c>
      <c r="W35" s="234">
        <v>26</v>
      </c>
      <c r="X35" s="70">
        <v>27</v>
      </c>
      <c r="Y35" s="70">
        <v>28</v>
      </c>
      <c r="Z35" s="235">
        <v>29</v>
      </c>
      <c r="AA35" s="62">
        <v>26</v>
      </c>
    </row>
    <row r="36" spans="1:27">
      <c r="A36" s="63" t="s">
        <v>448</v>
      </c>
      <c r="B36" s="64">
        <f>+H35+1</f>
        <v>2</v>
      </c>
      <c r="C36" s="66">
        <f>+B36+1</f>
        <v>3</v>
      </c>
      <c r="D36" s="66">
        <f>(C36+1)</f>
        <v>4</v>
      </c>
      <c r="E36" s="66">
        <f>(D36+1)</f>
        <v>5</v>
      </c>
      <c r="F36" s="66">
        <f>(E36+1)</f>
        <v>6</v>
      </c>
      <c r="G36" s="66">
        <f>(F36+1)</f>
        <v>7</v>
      </c>
      <c r="H36" s="67">
        <f>+G36+1</f>
        <v>8</v>
      </c>
      <c r="I36" s="59"/>
      <c r="J36" s="61" t="s">
        <v>448</v>
      </c>
      <c r="K36" s="64">
        <v>1</v>
      </c>
      <c r="L36" s="66">
        <f>+K36+1</f>
        <v>2</v>
      </c>
      <c r="M36" s="66">
        <f>(L36+1)</f>
        <v>3</v>
      </c>
      <c r="N36" s="66">
        <f>(M36+1)</f>
        <v>4</v>
      </c>
      <c r="O36" s="66">
        <f>(N36+1)</f>
        <v>5</v>
      </c>
      <c r="P36" s="66">
        <f>(O36+1)</f>
        <v>6</v>
      </c>
      <c r="Q36" s="67">
        <f>+P36+1</f>
        <v>7</v>
      </c>
      <c r="R36" s="59"/>
      <c r="S36" s="61" t="s">
        <v>448</v>
      </c>
      <c r="T36" s="64">
        <v>30</v>
      </c>
      <c r="U36" s="66">
        <v>1</v>
      </c>
      <c r="V36" s="66">
        <f>(U36+1)</f>
        <v>2</v>
      </c>
      <c r="W36" s="66">
        <f>(V36+1)</f>
        <v>3</v>
      </c>
      <c r="X36" s="66">
        <f>(W36+1)</f>
        <v>4</v>
      </c>
      <c r="Y36" s="66">
        <f>(X36+1)</f>
        <v>5</v>
      </c>
      <c r="Z36" s="67">
        <f>+Y36+1</f>
        <v>6</v>
      </c>
      <c r="AA36" s="62"/>
    </row>
    <row r="37" spans="1:27" ht="3.95" customHeight="1">
      <c r="A37" s="63"/>
      <c r="B37" s="61"/>
      <c r="C37" s="240"/>
      <c r="D37" s="240"/>
      <c r="E37" s="240"/>
      <c r="F37" s="61"/>
      <c r="G37" s="61"/>
      <c r="H37" s="61"/>
      <c r="I37" s="59"/>
      <c r="J37" s="61"/>
      <c r="K37" s="61"/>
      <c r="L37" s="240"/>
      <c r="M37" s="240"/>
      <c r="N37" s="240"/>
      <c r="O37" s="61"/>
      <c r="P37" s="61"/>
      <c r="Q37" s="61"/>
      <c r="R37" s="59"/>
      <c r="S37" s="61"/>
      <c r="T37" s="61"/>
      <c r="U37" s="240"/>
      <c r="V37" s="240"/>
      <c r="W37" s="240"/>
      <c r="X37" s="61"/>
      <c r="Y37" s="61"/>
      <c r="Z37" s="61"/>
      <c r="AA37" s="62"/>
    </row>
    <row r="38" spans="1:27">
      <c r="A38" s="63"/>
      <c r="B38" s="238">
        <f>+H36+1</f>
        <v>9</v>
      </c>
      <c r="C38" s="236">
        <f>+B38+1</f>
        <v>10</v>
      </c>
      <c r="D38" s="236">
        <f t="shared" ref="D38:G39" si="10">(C38+1)</f>
        <v>11</v>
      </c>
      <c r="E38" s="236">
        <f t="shared" si="10"/>
        <v>12</v>
      </c>
      <c r="F38" s="236">
        <f t="shared" si="10"/>
        <v>13</v>
      </c>
      <c r="G38" s="236">
        <f t="shared" si="10"/>
        <v>14</v>
      </c>
      <c r="H38" s="237">
        <f>+G38+1</f>
        <v>15</v>
      </c>
      <c r="I38" s="59">
        <v>1</v>
      </c>
      <c r="J38" s="61"/>
      <c r="K38" s="238">
        <f>+Q36+1</f>
        <v>8</v>
      </c>
      <c r="L38" s="236">
        <f>+K38+1</f>
        <v>9</v>
      </c>
      <c r="M38" s="236">
        <f t="shared" ref="M38:P39" si="11">(L38+1)</f>
        <v>10</v>
      </c>
      <c r="N38" s="236">
        <f t="shared" si="11"/>
        <v>11</v>
      </c>
      <c r="O38" s="236">
        <f t="shared" si="11"/>
        <v>12</v>
      </c>
      <c r="P38" s="236">
        <f t="shared" si="11"/>
        <v>13</v>
      </c>
      <c r="Q38" s="237">
        <f>+P38+1</f>
        <v>14</v>
      </c>
      <c r="R38" s="59">
        <v>1</v>
      </c>
      <c r="S38" s="61"/>
      <c r="T38" s="238">
        <f>+Z36+1</f>
        <v>7</v>
      </c>
      <c r="U38" s="236">
        <f>+T38+1</f>
        <v>8</v>
      </c>
      <c r="V38" s="236">
        <f t="shared" ref="V38:Y41" si="12">(U38+1)</f>
        <v>9</v>
      </c>
      <c r="W38" s="236">
        <f t="shared" si="12"/>
        <v>10</v>
      </c>
      <c r="X38" s="236">
        <f t="shared" si="12"/>
        <v>11</v>
      </c>
      <c r="Y38" s="236">
        <f t="shared" si="12"/>
        <v>12</v>
      </c>
      <c r="Z38" s="237">
        <f>+Y38+1</f>
        <v>13</v>
      </c>
      <c r="AA38" s="62">
        <v>1</v>
      </c>
    </row>
    <row r="39" spans="1:27">
      <c r="A39" s="63"/>
      <c r="B39" s="156">
        <f>+H38+1</f>
        <v>16</v>
      </c>
      <c r="C39" s="69">
        <f>+B39+1</f>
        <v>17</v>
      </c>
      <c r="D39" s="69">
        <f t="shared" si="10"/>
        <v>18</v>
      </c>
      <c r="E39" s="69">
        <f t="shared" si="10"/>
        <v>19</v>
      </c>
      <c r="F39" s="69">
        <f t="shared" si="10"/>
        <v>20</v>
      </c>
      <c r="G39" s="69">
        <f t="shared" si="10"/>
        <v>21</v>
      </c>
      <c r="H39" s="157">
        <f>+G39+1</f>
        <v>22</v>
      </c>
      <c r="I39" s="59"/>
      <c r="J39" s="61"/>
      <c r="K39" s="156">
        <f>+Q38+1</f>
        <v>15</v>
      </c>
      <c r="L39" s="69">
        <f>+K39+1</f>
        <v>16</v>
      </c>
      <c r="M39" s="69">
        <f t="shared" si="11"/>
        <v>17</v>
      </c>
      <c r="N39" s="69">
        <f t="shared" si="11"/>
        <v>18</v>
      </c>
      <c r="O39" s="69">
        <f t="shared" si="11"/>
        <v>19</v>
      </c>
      <c r="P39" s="69">
        <f t="shared" si="11"/>
        <v>20</v>
      </c>
      <c r="Q39" s="157">
        <f>+P39+1</f>
        <v>21</v>
      </c>
      <c r="R39" s="59"/>
      <c r="S39" s="61"/>
      <c r="T39" s="156">
        <f>+Z38+1</f>
        <v>14</v>
      </c>
      <c r="U39" s="69">
        <f>+T39+1</f>
        <v>15</v>
      </c>
      <c r="V39" s="69">
        <f t="shared" si="12"/>
        <v>16</v>
      </c>
      <c r="W39" s="69">
        <f t="shared" si="12"/>
        <v>17</v>
      </c>
      <c r="X39" s="69">
        <f t="shared" si="12"/>
        <v>18</v>
      </c>
      <c r="Y39" s="69">
        <f t="shared" si="12"/>
        <v>19</v>
      </c>
      <c r="Z39" s="157">
        <f>+Y39+1</f>
        <v>20</v>
      </c>
      <c r="AA39" s="62"/>
    </row>
    <row r="40" spans="1:27" ht="3.95" customHeight="1" thickBot="1">
      <c r="A40" s="63"/>
      <c r="B40" s="61"/>
      <c r="C40" s="61"/>
      <c r="D40" s="61"/>
      <c r="E40" s="61"/>
      <c r="F40" s="61"/>
      <c r="G40" s="61"/>
      <c r="H40" s="61"/>
      <c r="I40" s="59"/>
      <c r="J40" s="61"/>
      <c r="K40" s="61"/>
      <c r="L40" s="61"/>
      <c r="M40" s="61"/>
      <c r="N40" s="61"/>
      <c r="O40" s="61"/>
      <c r="P40" s="61"/>
      <c r="Q40" s="61"/>
      <c r="R40" s="59"/>
      <c r="S40" s="61"/>
      <c r="T40" s="61"/>
      <c r="U40" s="61"/>
      <c r="V40" s="61"/>
      <c r="W40" s="61"/>
      <c r="X40" s="61"/>
      <c r="Y40" s="61"/>
      <c r="Z40" s="61"/>
      <c r="AA40" s="62"/>
    </row>
    <row r="41" spans="1:27" ht="13.5" thickBot="1">
      <c r="A41" s="63">
        <v>2013</v>
      </c>
      <c r="B41" s="238">
        <f>+H39+1</f>
        <v>23</v>
      </c>
      <c r="C41" s="71">
        <f>+B41+1</f>
        <v>24</v>
      </c>
      <c r="D41" s="70">
        <f>+C41+1</f>
        <v>25</v>
      </c>
      <c r="E41" s="72">
        <f t="shared" ref="E41:G42" si="13">(D41+1)</f>
        <v>26</v>
      </c>
      <c r="F41" s="72">
        <f t="shared" si="13"/>
        <v>27</v>
      </c>
      <c r="G41" s="72">
        <f t="shared" si="13"/>
        <v>28</v>
      </c>
      <c r="H41" s="237">
        <v>29</v>
      </c>
      <c r="I41" s="59">
        <v>2</v>
      </c>
      <c r="J41" s="61">
        <v>2014</v>
      </c>
      <c r="K41" s="238">
        <f>+Q39+1</f>
        <v>22</v>
      </c>
      <c r="L41" s="241">
        <f>+K41+1</f>
        <v>23</v>
      </c>
      <c r="M41" s="70">
        <f>+L41+1</f>
        <v>24</v>
      </c>
      <c r="N41" s="70">
        <f>+M41+1</f>
        <v>25</v>
      </c>
      <c r="O41" s="72">
        <f>(N41+1)</f>
        <v>26</v>
      </c>
      <c r="P41" s="72">
        <f>(O41+1)</f>
        <v>27</v>
      </c>
      <c r="Q41" s="237">
        <v>28</v>
      </c>
      <c r="R41" s="59">
        <v>2</v>
      </c>
      <c r="S41" s="61">
        <v>2015</v>
      </c>
      <c r="T41" s="238">
        <f>+Z39+1</f>
        <v>21</v>
      </c>
      <c r="U41" s="236">
        <f>+T41+1</f>
        <v>22</v>
      </c>
      <c r="V41" s="236">
        <f>+U41+1</f>
        <v>23</v>
      </c>
      <c r="W41" s="70">
        <f>+V41+1</f>
        <v>24</v>
      </c>
      <c r="X41" s="70">
        <f t="shared" si="12"/>
        <v>25</v>
      </c>
      <c r="Y41" s="236">
        <f t="shared" si="12"/>
        <v>26</v>
      </c>
      <c r="Z41" s="237">
        <v>27</v>
      </c>
      <c r="AA41" s="62">
        <v>2</v>
      </c>
    </row>
    <row r="42" spans="1:27" ht="13.5" thickBot="1">
      <c r="A42" s="63" t="s">
        <v>449</v>
      </c>
      <c r="B42" s="156">
        <v>30</v>
      </c>
      <c r="C42" s="70">
        <v>31</v>
      </c>
      <c r="D42" s="70">
        <v>1</v>
      </c>
      <c r="E42" s="69">
        <f t="shared" si="13"/>
        <v>2</v>
      </c>
      <c r="F42" s="69">
        <f t="shared" si="13"/>
        <v>3</v>
      </c>
      <c r="G42" s="69">
        <f t="shared" si="13"/>
        <v>4</v>
      </c>
      <c r="H42" s="157">
        <f>+G42+1</f>
        <v>5</v>
      </c>
      <c r="I42" s="59"/>
      <c r="J42" s="61" t="s">
        <v>449</v>
      </c>
      <c r="K42" s="156">
        <v>29</v>
      </c>
      <c r="L42" s="241">
        <f>+K42+1</f>
        <v>30</v>
      </c>
      <c r="M42" s="70">
        <v>31</v>
      </c>
      <c r="N42" s="70">
        <v>1</v>
      </c>
      <c r="O42" s="69">
        <f>(N42+1)</f>
        <v>2</v>
      </c>
      <c r="P42" s="69">
        <f>(O42+1)</f>
        <v>3</v>
      </c>
      <c r="Q42" s="157">
        <f>+P42+1</f>
        <v>4</v>
      </c>
      <c r="R42" s="59"/>
      <c r="S42" s="61" t="s">
        <v>449</v>
      </c>
      <c r="T42" s="156">
        <v>28</v>
      </c>
      <c r="U42" s="69">
        <v>29</v>
      </c>
      <c r="V42" s="69">
        <v>30</v>
      </c>
      <c r="W42" s="70">
        <v>31</v>
      </c>
      <c r="X42" s="70">
        <v>1</v>
      </c>
      <c r="Y42" s="69">
        <f>(X42+1)</f>
        <v>2</v>
      </c>
      <c r="Z42" s="157">
        <f>+Y42+1</f>
        <v>3</v>
      </c>
      <c r="AA42" s="62"/>
    </row>
    <row r="43" spans="1:27" ht="3.95" customHeight="1">
      <c r="A43" s="63"/>
      <c r="B43" s="61"/>
      <c r="C43" s="61"/>
      <c r="D43" s="61"/>
      <c r="E43" s="61"/>
      <c r="F43" s="61"/>
      <c r="G43" s="61"/>
      <c r="H43" s="61"/>
      <c r="I43" s="59"/>
      <c r="J43" s="61"/>
      <c r="K43" s="61"/>
      <c r="L43" s="61"/>
      <c r="M43" s="61"/>
      <c r="N43" s="61"/>
      <c r="O43" s="61"/>
      <c r="P43" s="61"/>
      <c r="Q43" s="61"/>
      <c r="R43" s="59"/>
      <c r="S43" s="61"/>
      <c r="T43" s="61"/>
      <c r="U43" s="61"/>
      <c r="V43" s="61"/>
      <c r="W43" s="61"/>
      <c r="X43" s="61"/>
      <c r="Y43" s="61"/>
      <c r="Z43" s="61"/>
      <c r="AA43" s="62"/>
    </row>
    <row r="44" spans="1:27">
      <c r="A44" s="63" t="s">
        <v>443</v>
      </c>
      <c r="B44" s="238">
        <f>+H42+1</f>
        <v>6</v>
      </c>
      <c r="C44" s="234">
        <f>+B44+1</f>
        <v>7</v>
      </c>
      <c r="D44" s="236">
        <f>(C44+1)</f>
        <v>8</v>
      </c>
      <c r="E44" s="236">
        <f>(D44+1)</f>
        <v>9</v>
      </c>
      <c r="F44" s="236">
        <f>(E44+1)</f>
        <v>10</v>
      </c>
      <c r="G44" s="236">
        <f>(F44+1)</f>
        <v>11</v>
      </c>
      <c r="H44" s="237">
        <f>+G44+1</f>
        <v>12</v>
      </c>
      <c r="I44" s="59">
        <v>3</v>
      </c>
      <c r="J44" s="61" t="s">
        <v>443</v>
      </c>
      <c r="K44" s="238">
        <f>+Q42+1</f>
        <v>5</v>
      </c>
      <c r="L44" s="234">
        <f>+K44+1</f>
        <v>6</v>
      </c>
      <c r="M44" s="236">
        <f>(L44+1)</f>
        <v>7</v>
      </c>
      <c r="N44" s="236">
        <f>(M44+1)</f>
        <v>8</v>
      </c>
      <c r="O44" s="236">
        <f>(N44+1)</f>
        <v>9</v>
      </c>
      <c r="P44" s="236">
        <f>(O44+1)</f>
        <v>10</v>
      </c>
      <c r="Q44" s="237">
        <f>+P44+1</f>
        <v>11</v>
      </c>
      <c r="R44" s="59">
        <v>3</v>
      </c>
      <c r="S44" s="61" t="s">
        <v>443</v>
      </c>
      <c r="T44" s="238">
        <f>+Z42+1</f>
        <v>4</v>
      </c>
      <c r="U44" s="234">
        <f>+T44+1</f>
        <v>5</v>
      </c>
      <c r="V44" s="236">
        <f t="shared" ref="V44:Y45" si="14">(U44+1)</f>
        <v>6</v>
      </c>
      <c r="W44" s="236">
        <f t="shared" si="14"/>
        <v>7</v>
      </c>
      <c r="X44" s="236">
        <f t="shared" si="14"/>
        <v>8</v>
      </c>
      <c r="Y44" s="236">
        <f t="shared" si="14"/>
        <v>9</v>
      </c>
      <c r="Z44" s="237">
        <f>+Y44+1</f>
        <v>10</v>
      </c>
      <c r="AA44" s="62">
        <v>3</v>
      </c>
    </row>
    <row r="45" spans="1:27">
      <c r="A45" s="63" t="s">
        <v>443</v>
      </c>
      <c r="B45" s="156">
        <f>+H44+1</f>
        <v>13</v>
      </c>
      <c r="C45" s="69">
        <f>+B45+1</f>
        <v>14</v>
      </c>
      <c r="D45" s="69">
        <f>(C45+1)</f>
        <v>15</v>
      </c>
      <c r="E45" s="69">
        <f>(D45+1)</f>
        <v>16</v>
      </c>
      <c r="F45" s="69">
        <v>17</v>
      </c>
      <c r="G45" s="69">
        <v>18</v>
      </c>
      <c r="H45" s="157">
        <v>19</v>
      </c>
      <c r="I45" s="59"/>
      <c r="J45" s="61" t="s">
        <v>443</v>
      </c>
      <c r="K45" s="156">
        <f>+Q44+1</f>
        <v>12</v>
      </c>
      <c r="L45" s="69">
        <f>+K45+1</f>
        <v>13</v>
      </c>
      <c r="M45" s="69">
        <f>(L45+1)</f>
        <v>14</v>
      </c>
      <c r="N45" s="69">
        <f>(M45+1)</f>
        <v>15</v>
      </c>
      <c r="O45" s="69">
        <v>16</v>
      </c>
      <c r="P45" s="69">
        <v>17</v>
      </c>
      <c r="Q45" s="157">
        <v>18</v>
      </c>
      <c r="R45" s="59"/>
      <c r="S45" s="61" t="s">
        <v>443</v>
      </c>
      <c r="T45" s="156">
        <f>+Z44+1</f>
        <v>11</v>
      </c>
      <c r="U45" s="69">
        <f>+T45+1</f>
        <v>12</v>
      </c>
      <c r="V45" s="69">
        <f t="shared" si="14"/>
        <v>13</v>
      </c>
      <c r="W45" s="69">
        <f t="shared" si="14"/>
        <v>14</v>
      </c>
      <c r="X45" s="69">
        <v>15</v>
      </c>
      <c r="Y45" s="69">
        <v>16</v>
      </c>
      <c r="Z45" s="157">
        <v>17</v>
      </c>
      <c r="AA45" s="62"/>
    </row>
    <row r="46" spans="1:27" ht="3.95" customHeight="1" thickBot="1">
      <c r="A46" s="63"/>
      <c r="B46" s="61"/>
      <c r="C46" s="61"/>
      <c r="D46" s="61"/>
      <c r="E46" s="61"/>
      <c r="F46" s="61"/>
      <c r="G46" s="61"/>
      <c r="H46" s="61"/>
      <c r="I46" s="59"/>
      <c r="J46" s="61"/>
      <c r="K46" s="61"/>
      <c r="L46" s="61"/>
      <c r="M46" s="61"/>
      <c r="N46" s="61"/>
      <c r="O46" s="61"/>
      <c r="P46" s="61"/>
      <c r="Q46" s="61"/>
      <c r="R46" s="59"/>
      <c r="S46" s="61"/>
      <c r="T46" s="61"/>
      <c r="U46" s="61"/>
      <c r="V46" s="61"/>
      <c r="W46" s="61"/>
      <c r="X46" s="61"/>
      <c r="Y46" s="61"/>
      <c r="Z46" s="61"/>
      <c r="AA46" s="62"/>
    </row>
    <row r="47" spans="1:27" ht="13.5" thickBot="1">
      <c r="A47" s="63"/>
      <c r="B47" s="233">
        <v>20</v>
      </c>
      <c r="C47" s="70">
        <v>21</v>
      </c>
      <c r="D47" s="234">
        <f>(C47+1)</f>
        <v>22</v>
      </c>
      <c r="E47" s="234">
        <f>(D47+1)</f>
        <v>23</v>
      </c>
      <c r="F47" s="234">
        <f>(E47+1)</f>
        <v>24</v>
      </c>
      <c r="G47" s="234">
        <v>25</v>
      </c>
      <c r="H47" s="235">
        <v>26</v>
      </c>
      <c r="I47" s="59">
        <v>4</v>
      </c>
      <c r="J47" s="61"/>
      <c r="K47" s="233">
        <v>19</v>
      </c>
      <c r="L47" s="70">
        <v>20</v>
      </c>
      <c r="M47" s="234">
        <f>(L47+1)</f>
        <v>21</v>
      </c>
      <c r="N47" s="234">
        <f>(M47+1)</f>
        <v>22</v>
      </c>
      <c r="O47" s="234">
        <f>(N47+1)</f>
        <v>23</v>
      </c>
      <c r="P47" s="234">
        <f>(O47+1)</f>
        <v>24</v>
      </c>
      <c r="Q47" s="237">
        <f>(P47+1)</f>
        <v>25</v>
      </c>
      <c r="R47" s="59">
        <v>4</v>
      </c>
      <c r="S47" s="61"/>
      <c r="T47" s="233">
        <v>18</v>
      </c>
      <c r="U47" s="70">
        <v>19</v>
      </c>
      <c r="V47" s="234">
        <f>(U47+1)</f>
        <v>20</v>
      </c>
      <c r="W47" s="234">
        <f>(V47+1)</f>
        <v>21</v>
      </c>
      <c r="X47" s="234">
        <f>(W47+1)</f>
        <v>22</v>
      </c>
      <c r="Y47" s="234">
        <f>(X47+1)</f>
        <v>23</v>
      </c>
      <c r="Z47" s="237">
        <f>(Y47+1)</f>
        <v>24</v>
      </c>
      <c r="AA47" s="62">
        <v>4</v>
      </c>
    </row>
    <row r="48" spans="1:27">
      <c r="A48" s="63" t="s">
        <v>450</v>
      </c>
      <c r="B48" s="64">
        <v>27</v>
      </c>
      <c r="C48" s="66">
        <v>28</v>
      </c>
      <c r="D48" s="66">
        <v>29</v>
      </c>
      <c r="E48" s="66">
        <v>30</v>
      </c>
      <c r="F48" s="66">
        <v>31</v>
      </c>
      <c r="G48" s="66">
        <v>1</v>
      </c>
      <c r="H48" s="67">
        <f>+G48+1</f>
        <v>2</v>
      </c>
      <c r="I48" s="59"/>
      <c r="J48" s="61" t="s">
        <v>450</v>
      </c>
      <c r="K48" s="64">
        <v>26</v>
      </c>
      <c r="L48" s="66">
        <v>27</v>
      </c>
      <c r="M48" s="66">
        <v>28</v>
      </c>
      <c r="N48" s="66">
        <v>29</v>
      </c>
      <c r="O48" s="66">
        <v>30</v>
      </c>
      <c r="P48" s="66">
        <v>31</v>
      </c>
      <c r="Q48" s="67">
        <v>1</v>
      </c>
      <c r="R48" s="59"/>
      <c r="S48" s="61"/>
      <c r="T48" s="64">
        <v>25</v>
      </c>
      <c r="U48" s="66">
        <v>26</v>
      </c>
      <c r="V48" s="66">
        <v>27</v>
      </c>
      <c r="W48" s="66">
        <v>28</v>
      </c>
      <c r="X48" s="66">
        <v>29</v>
      </c>
      <c r="Y48" s="66">
        <v>30</v>
      </c>
      <c r="Z48" s="67">
        <v>31</v>
      </c>
      <c r="AA48" s="62"/>
    </row>
    <row r="49" spans="1:27" ht="3.95" customHeight="1">
      <c r="A49" s="63"/>
      <c r="B49" s="61"/>
      <c r="C49" s="61"/>
      <c r="D49" s="61"/>
      <c r="E49" s="61"/>
      <c r="F49" s="61"/>
      <c r="G49" s="61"/>
      <c r="H49" s="61"/>
      <c r="I49" s="59"/>
      <c r="J49" s="61"/>
      <c r="K49" s="61"/>
      <c r="L49" s="61"/>
      <c r="M49" s="61"/>
      <c r="N49" s="61"/>
      <c r="O49" s="61"/>
      <c r="P49" s="61"/>
      <c r="Q49" s="61"/>
      <c r="R49" s="59"/>
      <c r="S49" s="61"/>
      <c r="T49" s="61"/>
      <c r="U49" s="61"/>
      <c r="V49" s="61"/>
      <c r="W49" s="61"/>
      <c r="X49" s="61"/>
      <c r="Y49" s="61"/>
      <c r="Z49" s="61"/>
      <c r="AA49" s="62"/>
    </row>
    <row r="50" spans="1:27">
      <c r="A50" s="63" t="s">
        <v>443</v>
      </c>
      <c r="B50" s="238">
        <f>+H48+1</f>
        <v>3</v>
      </c>
      <c r="C50" s="236">
        <f>+B50+1</f>
        <v>4</v>
      </c>
      <c r="D50" s="236">
        <f>(C50+1)</f>
        <v>5</v>
      </c>
      <c r="E50" s="236">
        <f>(D50+1)</f>
        <v>6</v>
      </c>
      <c r="F50" s="236">
        <f>(E50+1)</f>
        <v>7</v>
      </c>
      <c r="G50" s="236">
        <f>(F50+1)</f>
        <v>8</v>
      </c>
      <c r="H50" s="237">
        <f>+G50+1</f>
        <v>9</v>
      </c>
      <c r="I50" s="59">
        <v>5</v>
      </c>
      <c r="J50" s="61" t="s">
        <v>443</v>
      </c>
      <c r="K50" s="238">
        <f>+Q48+1</f>
        <v>2</v>
      </c>
      <c r="L50" s="236">
        <f>+K50+1</f>
        <v>3</v>
      </c>
      <c r="M50" s="236">
        <f t="shared" ref="M50:P51" si="15">(L50+1)</f>
        <v>4</v>
      </c>
      <c r="N50" s="236">
        <f t="shared" si="15"/>
        <v>5</v>
      </c>
      <c r="O50" s="236">
        <f t="shared" si="15"/>
        <v>6</v>
      </c>
      <c r="P50" s="236">
        <f t="shared" si="15"/>
        <v>7</v>
      </c>
      <c r="Q50" s="237">
        <f>+P50+1</f>
        <v>8</v>
      </c>
      <c r="R50" s="59">
        <v>5</v>
      </c>
      <c r="S50" s="61" t="s">
        <v>450</v>
      </c>
      <c r="T50" s="238">
        <v>1</v>
      </c>
      <c r="U50" s="236">
        <f>+T50+1</f>
        <v>2</v>
      </c>
      <c r="V50" s="236">
        <f t="shared" ref="V50:Z51" si="16">(U50+1)</f>
        <v>3</v>
      </c>
      <c r="W50" s="236">
        <f t="shared" si="16"/>
        <v>4</v>
      </c>
      <c r="X50" s="236">
        <f t="shared" si="16"/>
        <v>5</v>
      </c>
      <c r="Y50" s="236">
        <f t="shared" si="16"/>
        <v>6</v>
      </c>
      <c r="Z50" s="237">
        <f>+Y50+1</f>
        <v>7</v>
      </c>
      <c r="AA50" s="62">
        <v>5</v>
      </c>
    </row>
    <row r="51" spans="1:27">
      <c r="A51" s="63"/>
      <c r="B51" s="156">
        <f>+H50+1</f>
        <v>10</v>
      </c>
      <c r="C51" s="69">
        <f>(B51+1)</f>
        <v>11</v>
      </c>
      <c r="D51" s="69">
        <f>(C51+1)</f>
        <v>12</v>
      </c>
      <c r="E51" s="69">
        <f>(D51+1)</f>
        <v>13</v>
      </c>
      <c r="F51" s="69">
        <v>14</v>
      </c>
      <c r="G51" s="69">
        <v>15</v>
      </c>
      <c r="H51" s="157">
        <v>16</v>
      </c>
      <c r="I51" s="59"/>
      <c r="J51" s="61"/>
      <c r="K51" s="156">
        <f>+Q50+1</f>
        <v>9</v>
      </c>
      <c r="L51" s="69">
        <f>(K51+1)</f>
        <v>10</v>
      </c>
      <c r="M51" s="69">
        <f t="shared" si="15"/>
        <v>11</v>
      </c>
      <c r="N51" s="69">
        <f t="shared" si="15"/>
        <v>12</v>
      </c>
      <c r="O51" s="69">
        <f t="shared" si="15"/>
        <v>13</v>
      </c>
      <c r="P51" s="69">
        <f t="shared" si="15"/>
        <v>14</v>
      </c>
      <c r="Q51" s="67">
        <f>(P51+1)</f>
        <v>15</v>
      </c>
      <c r="R51" s="59"/>
      <c r="S51" s="61"/>
      <c r="T51" s="156">
        <f>+Z50+1</f>
        <v>8</v>
      </c>
      <c r="U51" s="69">
        <f>(T51+1)</f>
        <v>9</v>
      </c>
      <c r="V51" s="69">
        <f t="shared" si="16"/>
        <v>10</v>
      </c>
      <c r="W51" s="69">
        <f t="shared" si="16"/>
        <v>11</v>
      </c>
      <c r="X51" s="69">
        <f t="shared" si="16"/>
        <v>12</v>
      </c>
      <c r="Y51" s="69">
        <f t="shared" si="16"/>
        <v>13</v>
      </c>
      <c r="Z51" s="67">
        <f t="shared" si="16"/>
        <v>14</v>
      </c>
      <c r="AA51" s="62"/>
    </row>
    <row r="52" spans="1:27" ht="3.95" customHeight="1" thickBot="1">
      <c r="A52" s="63"/>
      <c r="B52" s="61"/>
      <c r="C52" s="61"/>
      <c r="D52" s="61"/>
      <c r="E52" s="61"/>
      <c r="F52" s="61"/>
      <c r="G52" s="61"/>
      <c r="H52" s="61"/>
      <c r="I52" s="59"/>
      <c r="J52" s="61"/>
      <c r="K52" s="61"/>
      <c r="L52" s="61"/>
      <c r="M52" s="61"/>
      <c r="N52" s="61"/>
      <c r="O52" s="61"/>
      <c r="P52" s="61"/>
      <c r="Q52" s="61"/>
      <c r="R52" s="59"/>
      <c r="S52" s="61"/>
      <c r="T52" s="61"/>
      <c r="U52" s="61"/>
      <c r="V52" s="61"/>
      <c r="W52" s="61"/>
      <c r="X52" s="61"/>
      <c r="Y52" s="61"/>
      <c r="Z52" s="61"/>
      <c r="AA52" s="62"/>
    </row>
    <row r="53" spans="1:27" ht="13.5" thickBot="1">
      <c r="A53" s="63"/>
      <c r="B53" s="238">
        <f>+H51+1</f>
        <v>17</v>
      </c>
      <c r="C53" s="242">
        <f>+B53+1</f>
        <v>18</v>
      </c>
      <c r="D53" s="234">
        <f>(C53+1)</f>
        <v>19</v>
      </c>
      <c r="E53" s="234">
        <f>(D53+1)</f>
        <v>20</v>
      </c>
      <c r="F53" s="234">
        <f>(E53+1)</f>
        <v>21</v>
      </c>
      <c r="G53" s="234">
        <f>(F53+1)</f>
        <v>22</v>
      </c>
      <c r="H53" s="235">
        <f>+G53+1</f>
        <v>23</v>
      </c>
      <c r="I53" s="59">
        <v>6</v>
      </c>
      <c r="J53" s="61"/>
      <c r="K53" s="238">
        <f>+Q51+1</f>
        <v>16</v>
      </c>
      <c r="L53" s="242">
        <f>+K53+1</f>
        <v>17</v>
      </c>
      <c r="M53" s="234">
        <f>(L53+1)</f>
        <v>18</v>
      </c>
      <c r="N53" s="234">
        <f>(M53+1)</f>
        <v>19</v>
      </c>
      <c r="O53" s="234">
        <f>(N53+1)</f>
        <v>20</v>
      </c>
      <c r="P53" s="234">
        <f>(O53+1)</f>
        <v>21</v>
      </c>
      <c r="Q53" s="235">
        <f>+P53+1</f>
        <v>22</v>
      </c>
      <c r="R53" s="59">
        <v>6</v>
      </c>
      <c r="S53" s="61"/>
      <c r="T53" s="238">
        <f>+Z51+1</f>
        <v>15</v>
      </c>
      <c r="U53" s="242">
        <f>+T53+1</f>
        <v>16</v>
      </c>
      <c r="V53" s="234">
        <f>(U53+1)</f>
        <v>17</v>
      </c>
      <c r="W53" s="234">
        <f>(V53+1)</f>
        <v>18</v>
      </c>
      <c r="X53" s="234">
        <f>(W53+1)</f>
        <v>19</v>
      </c>
      <c r="Y53" s="234">
        <f>(X53+1)</f>
        <v>20</v>
      </c>
      <c r="Z53" s="235">
        <f>+Y53+1</f>
        <v>21</v>
      </c>
      <c r="AA53" s="62">
        <v>6</v>
      </c>
    </row>
    <row r="54" spans="1:27">
      <c r="A54" s="63" t="s">
        <v>451</v>
      </c>
      <c r="B54" s="64">
        <f>(H53+1)</f>
        <v>24</v>
      </c>
      <c r="C54" s="66">
        <f>(B54+1)</f>
        <v>25</v>
      </c>
      <c r="D54" s="66">
        <v>26</v>
      </c>
      <c r="E54" s="66">
        <v>27</v>
      </c>
      <c r="F54" s="66">
        <v>28</v>
      </c>
      <c r="G54" s="66">
        <v>1</v>
      </c>
      <c r="H54" s="67">
        <f>+G54+1</f>
        <v>2</v>
      </c>
      <c r="I54" s="59"/>
      <c r="J54" s="61" t="s">
        <v>451</v>
      </c>
      <c r="K54" s="64">
        <f>(Q53+1)</f>
        <v>23</v>
      </c>
      <c r="L54" s="66">
        <f>(K54+1)</f>
        <v>24</v>
      </c>
      <c r="M54" s="66">
        <f>(L54+1)</f>
        <v>25</v>
      </c>
      <c r="N54" s="66">
        <f>(M54+1)</f>
        <v>26</v>
      </c>
      <c r="O54" s="66">
        <f>(N54+1)</f>
        <v>27</v>
      </c>
      <c r="P54" s="66">
        <v>28</v>
      </c>
      <c r="Q54" s="67">
        <v>1</v>
      </c>
      <c r="R54" s="59"/>
      <c r="S54" s="61"/>
      <c r="T54" s="64">
        <f>(Z53+1)</f>
        <v>22</v>
      </c>
      <c r="U54" s="66">
        <f>(T54+1)</f>
        <v>23</v>
      </c>
      <c r="V54" s="66">
        <f>(U54+1)</f>
        <v>24</v>
      </c>
      <c r="W54" s="66">
        <f>(V54+1)</f>
        <v>25</v>
      </c>
      <c r="X54" s="66">
        <f>(W54+1)</f>
        <v>26</v>
      </c>
      <c r="Y54" s="66">
        <v>27</v>
      </c>
      <c r="Z54" s="67">
        <v>28</v>
      </c>
      <c r="AA54" s="62"/>
    </row>
    <row r="55" spans="1:27" ht="3.95" customHeight="1">
      <c r="A55" s="63"/>
      <c r="B55" s="61"/>
      <c r="C55" s="61"/>
      <c r="D55" s="61"/>
      <c r="E55" s="61"/>
      <c r="F55" s="61"/>
      <c r="G55" s="61"/>
      <c r="H55" s="61"/>
      <c r="I55" s="59"/>
      <c r="J55" s="61"/>
      <c r="K55" s="61"/>
      <c r="L55" s="61"/>
      <c r="M55" s="61"/>
      <c r="N55" s="61"/>
      <c r="O55" s="61"/>
      <c r="P55" s="61"/>
      <c r="Q55" s="61"/>
      <c r="R55" s="59"/>
      <c r="S55" s="61"/>
      <c r="T55" s="61"/>
      <c r="U55" s="61"/>
      <c r="V55" s="61"/>
      <c r="W55" s="61"/>
      <c r="X55" s="61"/>
      <c r="Y55" s="61"/>
      <c r="Z55" s="61"/>
      <c r="AA55" s="62"/>
    </row>
    <row r="56" spans="1:27">
      <c r="A56" s="63" t="s">
        <v>443</v>
      </c>
      <c r="B56" s="233">
        <f>+H54+1</f>
        <v>3</v>
      </c>
      <c r="C56" s="234">
        <f>+B56+1</f>
        <v>4</v>
      </c>
      <c r="D56" s="234">
        <f t="shared" ref="D56:G57" si="17">(C56+1)</f>
        <v>5</v>
      </c>
      <c r="E56" s="234">
        <f t="shared" si="17"/>
        <v>6</v>
      </c>
      <c r="F56" s="234">
        <f t="shared" si="17"/>
        <v>7</v>
      </c>
      <c r="G56" s="234">
        <f t="shared" si="17"/>
        <v>8</v>
      </c>
      <c r="H56" s="235">
        <f>+G56+1</f>
        <v>9</v>
      </c>
      <c r="I56" s="59">
        <v>7</v>
      </c>
      <c r="J56" s="61" t="s">
        <v>443</v>
      </c>
      <c r="K56" s="233">
        <f>+Q54+1</f>
        <v>2</v>
      </c>
      <c r="L56" s="234">
        <f>+K56+1</f>
        <v>3</v>
      </c>
      <c r="M56" s="234">
        <f t="shared" ref="M56:P57" si="18">(L56+1)</f>
        <v>4</v>
      </c>
      <c r="N56" s="234">
        <f t="shared" si="18"/>
        <v>5</v>
      </c>
      <c r="O56" s="234">
        <f t="shared" si="18"/>
        <v>6</v>
      </c>
      <c r="P56" s="234">
        <f t="shared" si="18"/>
        <v>7</v>
      </c>
      <c r="Q56" s="235">
        <f>+P56+1</f>
        <v>8</v>
      </c>
      <c r="R56" s="59">
        <v>7</v>
      </c>
      <c r="S56" s="61" t="s">
        <v>451</v>
      </c>
      <c r="T56" s="233">
        <v>1</v>
      </c>
      <c r="U56" s="234">
        <f>+T56+1</f>
        <v>2</v>
      </c>
      <c r="V56" s="234">
        <f t="shared" ref="V56:Y57" si="19">(U56+1)</f>
        <v>3</v>
      </c>
      <c r="W56" s="234">
        <f t="shared" si="19"/>
        <v>4</v>
      </c>
      <c r="X56" s="234">
        <f t="shared" si="19"/>
        <v>5</v>
      </c>
      <c r="Y56" s="234">
        <f t="shared" si="19"/>
        <v>6</v>
      </c>
      <c r="Z56" s="235">
        <f>+Y56+1</f>
        <v>7</v>
      </c>
      <c r="AA56" s="62">
        <v>7</v>
      </c>
    </row>
    <row r="57" spans="1:27">
      <c r="A57" s="63"/>
      <c r="B57" s="64">
        <f>+H56+1</f>
        <v>10</v>
      </c>
      <c r="C57" s="66">
        <f>+B57+1</f>
        <v>11</v>
      </c>
      <c r="D57" s="66">
        <f t="shared" si="17"/>
        <v>12</v>
      </c>
      <c r="E57" s="66">
        <f t="shared" si="17"/>
        <v>13</v>
      </c>
      <c r="F57" s="66">
        <f t="shared" si="17"/>
        <v>14</v>
      </c>
      <c r="G57" s="66">
        <f t="shared" si="17"/>
        <v>15</v>
      </c>
      <c r="H57" s="67">
        <f>+G57+1</f>
        <v>16</v>
      </c>
      <c r="I57" s="59"/>
      <c r="J57" s="61"/>
      <c r="K57" s="64">
        <f>+Q56+1</f>
        <v>9</v>
      </c>
      <c r="L57" s="66">
        <f>+K57+1</f>
        <v>10</v>
      </c>
      <c r="M57" s="66">
        <f t="shared" si="18"/>
        <v>11</v>
      </c>
      <c r="N57" s="66">
        <f t="shared" si="18"/>
        <v>12</v>
      </c>
      <c r="O57" s="66">
        <f t="shared" si="18"/>
        <v>13</v>
      </c>
      <c r="P57" s="66">
        <f t="shared" si="18"/>
        <v>14</v>
      </c>
      <c r="Q57" s="67">
        <f>+P57+1</f>
        <v>15</v>
      </c>
      <c r="R57" s="59"/>
      <c r="S57" s="61"/>
      <c r="T57" s="64">
        <f>+Z56+1</f>
        <v>8</v>
      </c>
      <c r="U57" s="66">
        <f>+T57+1</f>
        <v>9</v>
      </c>
      <c r="V57" s="66">
        <f t="shared" si="19"/>
        <v>10</v>
      </c>
      <c r="W57" s="66">
        <f t="shared" si="19"/>
        <v>11</v>
      </c>
      <c r="X57" s="66">
        <f t="shared" si="19"/>
        <v>12</v>
      </c>
      <c r="Y57" s="66">
        <f t="shared" si="19"/>
        <v>13</v>
      </c>
      <c r="Z57" s="67">
        <f>+Y57+1</f>
        <v>14</v>
      </c>
      <c r="AA57" s="62"/>
    </row>
    <row r="58" spans="1:27" ht="3.95" customHeight="1">
      <c r="A58" s="63"/>
      <c r="B58" s="61"/>
      <c r="C58" s="61"/>
      <c r="D58" s="61"/>
      <c r="E58" s="61"/>
      <c r="F58" s="61"/>
      <c r="G58" s="61"/>
      <c r="H58" s="61"/>
      <c r="I58" s="59"/>
      <c r="J58" s="61"/>
      <c r="K58" s="61"/>
      <c r="L58" s="61"/>
      <c r="M58" s="61"/>
      <c r="N58" s="61"/>
      <c r="O58" s="61"/>
      <c r="P58" s="61"/>
      <c r="Q58" s="61"/>
      <c r="R58" s="59"/>
      <c r="S58" s="61"/>
      <c r="T58" s="61"/>
      <c r="U58" s="61"/>
      <c r="V58" s="61"/>
      <c r="W58" s="61"/>
      <c r="X58" s="61"/>
      <c r="Y58" s="61"/>
      <c r="Z58" s="61"/>
      <c r="AA58" s="62"/>
    </row>
    <row r="59" spans="1:27">
      <c r="A59" s="63"/>
      <c r="B59" s="233">
        <f>+H57+1</f>
        <v>17</v>
      </c>
      <c r="C59" s="234">
        <f t="shared" ref="C59:H59" si="20">+B59+1</f>
        <v>18</v>
      </c>
      <c r="D59" s="234">
        <f t="shared" si="20"/>
        <v>19</v>
      </c>
      <c r="E59" s="234">
        <f t="shared" si="20"/>
        <v>20</v>
      </c>
      <c r="F59" s="234">
        <f t="shared" si="20"/>
        <v>21</v>
      </c>
      <c r="G59" s="234">
        <f t="shared" si="20"/>
        <v>22</v>
      </c>
      <c r="H59" s="235">
        <f t="shared" si="20"/>
        <v>23</v>
      </c>
      <c r="I59" s="59">
        <v>8</v>
      </c>
      <c r="J59" s="61"/>
      <c r="K59" s="233">
        <f>+Q57+1</f>
        <v>16</v>
      </c>
      <c r="L59" s="234">
        <f t="shared" ref="L59:Q60" si="21">+K59+1</f>
        <v>17</v>
      </c>
      <c r="M59" s="234">
        <f t="shared" si="21"/>
        <v>18</v>
      </c>
      <c r="N59" s="234">
        <f t="shared" si="21"/>
        <v>19</v>
      </c>
      <c r="O59" s="234">
        <f t="shared" si="21"/>
        <v>20</v>
      </c>
      <c r="P59" s="234">
        <f t="shared" si="21"/>
        <v>21</v>
      </c>
      <c r="Q59" s="235">
        <f t="shared" si="21"/>
        <v>22</v>
      </c>
      <c r="R59" s="59">
        <v>8</v>
      </c>
      <c r="S59" s="61"/>
      <c r="T59" s="233">
        <f>+Z57+1</f>
        <v>15</v>
      </c>
      <c r="U59" s="234">
        <f t="shared" ref="U59:Z60" si="22">+T59+1</f>
        <v>16</v>
      </c>
      <c r="V59" s="234">
        <f t="shared" si="22"/>
        <v>17</v>
      </c>
      <c r="W59" s="234">
        <f t="shared" si="22"/>
        <v>18</v>
      </c>
      <c r="X59" s="234">
        <f t="shared" si="22"/>
        <v>19</v>
      </c>
      <c r="Y59" s="234">
        <f t="shared" si="22"/>
        <v>20</v>
      </c>
      <c r="Z59" s="235">
        <f t="shared" si="22"/>
        <v>21</v>
      </c>
      <c r="AA59" s="62">
        <v>8</v>
      </c>
    </row>
    <row r="60" spans="1:27">
      <c r="A60" s="63"/>
      <c r="B60" s="64">
        <f>+H59+1</f>
        <v>24</v>
      </c>
      <c r="C60" s="66">
        <f>+B60+1</f>
        <v>25</v>
      </c>
      <c r="D60" s="66">
        <v>26</v>
      </c>
      <c r="E60" s="66">
        <v>27</v>
      </c>
      <c r="F60" s="66">
        <v>28</v>
      </c>
      <c r="G60" s="66">
        <v>29</v>
      </c>
      <c r="H60" s="67">
        <v>30</v>
      </c>
      <c r="I60" s="59"/>
      <c r="J60" s="61"/>
      <c r="K60" s="64">
        <f>+Q59+1</f>
        <v>23</v>
      </c>
      <c r="L60" s="66">
        <f t="shared" si="21"/>
        <v>24</v>
      </c>
      <c r="M60" s="66">
        <f t="shared" si="21"/>
        <v>25</v>
      </c>
      <c r="N60" s="66">
        <f t="shared" si="21"/>
        <v>26</v>
      </c>
      <c r="O60" s="66">
        <f t="shared" si="21"/>
        <v>27</v>
      </c>
      <c r="P60" s="66">
        <f t="shared" si="21"/>
        <v>28</v>
      </c>
      <c r="Q60" s="67">
        <f t="shared" si="21"/>
        <v>29</v>
      </c>
      <c r="R60" s="59"/>
      <c r="S60" s="61"/>
      <c r="T60" s="64">
        <f>+Z59+1</f>
        <v>22</v>
      </c>
      <c r="U60" s="66">
        <f t="shared" si="22"/>
        <v>23</v>
      </c>
      <c r="V60" s="66">
        <f t="shared" si="22"/>
        <v>24</v>
      </c>
      <c r="W60" s="66">
        <f t="shared" si="22"/>
        <v>25</v>
      </c>
      <c r="X60" s="66">
        <f t="shared" si="22"/>
        <v>26</v>
      </c>
      <c r="Y60" s="66">
        <f t="shared" si="22"/>
        <v>27</v>
      </c>
      <c r="Z60" s="67">
        <f t="shared" si="22"/>
        <v>28</v>
      </c>
      <c r="AA60" s="62"/>
    </row>
    <row r="61" spans="1:27" ht="3.95" customHeight="1">
      <c r="A61" s="63"/>
      <c r="B61" s="61"/>
      <c r="C61" s="61"/>
      <c r="D61" s="61"/>
      <c r="E61" s="61"/>
      <c r="F61" s="61"/>
      <c r="G61" s="61"/>
      <c r="H61" s="61"/>
      <c r="I61" s="59"/>
      <c r="J61" s="61"/>
      <c r="K61" s="61"/>
      <c r="L61" s="61"/>
      <c r="M61" s="61"/>
      <c r="N61" s="61"/>
      <c r="O61" s="61"/>
      <c r="P61" s="61"/>
      <c r="Q61" s="61"/>
      <c r="R61" s="59"/>
      <c r="S61" s="61"/>
      <c r="T61" s="61"/>
      <c r="U61" s="61"/>
      <c r="V61" s="61"/>
      <c r="W61" s="61"/>
      <c r="X61" s="61"/>
      <c r="Y61" s="61"/>
      <c r="Z61" s="61"/>
      <c r="AA61" s="62"/>
    </row>
    <row r="62" spans="1:27">
      <c r="A62" s="63" t="s">
        <v>452</v>
      </c>
      <c r="B62" s="233">
        <v>31</v>
      </c>
      <c r="C62" s="234">
        <v>1</v>
      </c>
      <c r="D62" s="234">
        <f t="shared" ref="D62:G63" si="23">(C62+1)</f>
        <v>2</v>
      </c>
      <c r="E62" s="234">
        <f t="shared" si="23"/>
        <v>3</v>
      </c>
      <c r="F62" s="234">
        <f t="shared" si="23"/>
        <v>4</v>
      </c>
      <c r="G62" s="234">
        <f t="shared" si="23"/>
        <v>5</v>
      </c>
      <c r="H62" s="235">
        <f>+G62+1</f>
        <v>6</v>
      </c>
      <c r="I62" s="59">
        <v>9</v>
      </c>
      <c r="J62" s="61" t="s">
        <v>452</v>
      </c>
      <c r="K62" s="233">
        <v>30</v>
      </c>
      <c r="L62" s="234">
        <v>31</v>
      </c>
      <c r="M62" s="234">
        <v>1</v>
      </c>
      <c r="N62" s="234">
        <f t="shared" ref="N62:P63" si="24">(M62+1)</f>
        <v>2</v>
      </c>
      <c r="O62" s="234">
        <f t="shared" si="24"/>
        <v>3</v>
      </c>
      <c r="P62" s="234">
        <f t="shared" si="24"/>
        <v>4</v>
      </c>
      <c r="Q62" s="235">
        <f>+P62+1</f>
        <v>5</v>
      </c>
      <c r="R62" s="59">
        <v>9</v>
      </c>
      <c r="S62" s="61" t="s">
        <v>452</v>
      </c>
      <c r="T62" s="233">
        <v>29</v>
      </c>
      <c r="U62" s="234">
        <v>30</v>
      </c>
      <c r="V62" s="234">
        <v>31</v>
      </c>
      <c r="W62" s="234">
        <v>1</v>
      </c>
      <c r="X62" s="234">
        <f t="shared" ref="V62:Y65" si="25">(W62+1)</f>
        <v>2</v>
      </c>
      <c r="Y62" s="234">
        <f t="shared" si="25"/>
        <v>3</v>
      </c>
      <c r="Z62" s="235">
        <f>+Y62+1</f>
        <v>4</v>
      </c>
      <c r="AA62" s="62">
        <v>9</v>
      </c>
    </row>
    <row r="63" spans="1:27">
      <c r="A63" s="63"/>
      <c r="B63" s="64">
        <f>+H62+1</f>
        <v>7</v>
      </c>
      <c r="C63" s="66">
        <f>+B63+1</f>
        <v>8</v>
      </c>
      <c r="D63" s="66">
        <f t="shared" si="23"/>
        <v>9</v>
      </c>
      <c r="E63" s="66">
        <f t="shared" si="23"/>
        <v>10</v>
      </c>
      <c r="F63" s="66">
        <f t="shared" si="23"/>
        <v>11</v>
      </c>
      <c r="G63" s="66">
        <f t="shared" si="23"/>
        <v>12</v>
      </c>
      <c r="H63" s="67">
        <f>+G63+1</f>
        <v>13</v>
      </c>
      <c r="I63" s="59"/>
      <c r="J63" s="61"/>
      <c r="K63" s="64">
        <f>+Q62+1</f>
        <v>6</v>
      </c>
      <c r="L63" s="66">
        <f>+K63+1</f>
        <v>7</v>
      </c>
      <c r="M63" s="66">
        <f>(L63+1)</f>
        <v>8</v>
      </c>
      <c r="N63" s="66">
        <f t="shared" si="24"/>
        <v>9</v>
      </c>
      <c r="O63" s="66">
        <f t="shared" si="24"/>
        <v>10</v>
      </c>
      <c r="P63" s="66">
        <f t="shared" si="24"/>
        <v>11</v>
      </c>
      <c r="Q63" s="67">
        <f>+P63+1</f>
        <v>12</v>
      </c>
      <c r="R63" s="59"/>
      <c r="S63" s="61"/>
      <c r="T63" s="64">
        <f>+Z62+1</f>
        <v>5</v>
      </c>
      <c r="U63" s="66">
        <f>+T63+1</f>
        <v>6</v>
      </c>
      <c r="V63" s="66">
        <f t="shared" si="25"/>
        <v>7</v>
      </c>
      <c r="W63" s="66">
        <f t="shared" si="25"/>
        <v>8</v>
      </c>
      <c r="X63" s="66">
        <f t="shared" si="25"/>
        <v>9</v>
      </c>
      <c r="Y63" s="66">
        <f t="shared" si="25"/>
        <v>10</v>
      </c>
      <c r="Z63" s="67">
        <f>+Y63+1</f>
        <v>11</v>
      </c>
      <c r="AA63" s="62"/>
    </row>
    <row r="64" spans="1:27" ht="3.95" customHeight="1">
      <c r="A64" s="63"/>
      <c r="B64" s="61"/>
      <c r="C64" s="61"/>
      <c r="D64" s="61"/>
      <c r="E64" s="61"/>
      <c r="F64" s="61"/>
      <c r="G64" s="61"/>
      <c r="H64" s="61"/>
      <c r="I64" s="59"/>
      <c r="J64" s="61"/>
      <c r="K64" s="61"/>
      <c r="L64" s="61"/>
      <c r="M64" s="61"/>
      <c r="N64" s="61"/>
      <c r="O64" s="61"/>
      <c r="P64" s="61"/>
      <c r="Q64" s="61"/>
      <c r="R64" s="59"/>
      <c r="S64" s="61"/>
      <c r="T64" s="61"/>
      <c r="U64" s="61"/>
      <c r="V64" s="61"/>
      <c r="W64" s="61"/>
      <c r="X64" s="61"/>
      <c r="Y64" s="61"/>
      <c r="Z64" s="61"/>
      <c r="AA64" s="62"/>
    </row>
    <row r="65" spans="1:27">
      <c r="A65" s="63"/>
      <c r="B65" s="233">
        <f>+H63+1</f>
        <v>14</v>
      </c>
      <c r="C65" s="234">
        <f>+B65+1</f>
        <v>15</v>
      </c>
      <c r="D65" s="234">
        <v>16</v>
      </c>
      <c r="E65" s="234">
        <f>(D65+1)</f>
        <v>17</v>
      </c>
      <c r="F65" s="234">
        <f>(E65+1)</f>
        <v>18</v>
      </c>
      <c r="G65" s="234">
        <f>(F65+1)</f>
        <v>19</v>
      </c>
      <c r="H65" s="235">
        <f>+G65+1</f>
        <v>20</v>
      </c>
      <c r="I65" s="59">
        <v>10</v>
      </c>
      <c r="J65" s="61"/>
      <c r="K65" s="233">
        <f>+Q63+1</f>
        <v>13</v>
      </c>
      <c r="L65" s="234">
        <f>+K65+1</f>
        <v>14</v>
      </c>
      <c r="M65" s="234">
        <f>+L65+1</f>
        <v>15</v>
      </c>
      <c r="N65" s="234">
        <f t="shared" ref="N65:P66" si="26">(M65+1)</f>
        <v>16</v>
      </c>
      <c r="O65" s="234">
        <f t="shared" si="26"/>
        <v>17</v>
      </c>
      <c r="P65" s="234">
        <f t="shared" si="26"/>
        <v>18</v>
      </c>
      <c r="Q65" s="235">
        <f>+P65+1</f>
        <v>19</v>
      </c>
      <c r="R65" s="59">
        <v>10</v>
      </c>
      <c r="S65" s="61"/>
      <c r="T65" s="233">
        <f>+Z63+1</f>
        <v>12</v>
      </c>
      <c r="U65" s="234">
        <f>+T65+1</f>
        <v>13</v>
      </c>
      <c r="V65" s="234">
        <f>+U65+1</f>
        <v>14</v>
      </c>
      <c r="W65" s="234">
        <f t="shared" si="25"/>
        <v>15</v>
      </c>
      <c r="X65" s="234">
        <f t="shared" si="25"/>
        <v>16</v>
      </c>
      <c r="Y65" s="234">
        <f t="shared" si="25"/>
        <v>17</v>
      </c>
      <c r="Z65" s="235">
        <f>+Y65+1</f>
        <v>18</v>
      </c>
      <c r="AA65" s="62">
        <v>10</v>
      </c>
    </row>
    <row r="66" spans="1:27">
      <c r="A66" s="63"/>
      <c r="B66" s="64">
        <v>21</v>
      </c>
      <c r="C66" s="66">
        <v>22</v>
      </c>
      <c r="D66" s="66">
        <f>(C66+1)</f>
        <v>23</v>
      </c>
      <c r="E66" s="66">
        <f>(D66+1)</f>
        <v>24</v>
      </c>
      <c r="F66" s="66">
        <v>25</v>
      </c>
      <c r="G66" s="66">
        <v>26</v>
      </c>
      <c r="H66" s="67">
        <v>27</v>
      </c>
      <c r="I66" s="59"/>
      <c r="J66" s="61"/>
      <c r="K66" s="64">
        <v>20</v>
      </c>
      <c r="L66" s="66">
        <v>21</v>
      </c>
      <c r="M66" s="66">
        <v>22</v>
      </c>
      <c r="N66" s="66">
        <f t="shared" si="26"/>
        <v>23</v>
      </c>
      <c r="O66" s="66">
        <f t="shared" si="26"/>
        <v>24</v>
      </c>
      <c r="P66" s="66">
        <f t="shared" si="26"/>
        <v>25</v>
      </c>
      <c r="Q66" s="67">
        <f>(P66+1)</f>
        <v>26</v>
      </c>
      <c r="R66" s="59"/>
      <c r="S66" s="61"/>
      <c r="T66" s="64">
        <v>19</v>
      </c>
      <c r="U66" s="66">
        <v>20</v>
      </c>
      <c r="V66" s="66">
        <v>21</v>
      </c>
      <c r="W66" s="66">
        <f>(V66+1)</f>
        <v>22</v>
      </c>
      <c r="X66" s="66">
        <f>(W66+1)</f>
        <v>23</v>
      </c>
      <c r="Y66" s="66">
        <f>(X66+1)</f>
        <v>24</v>
      </c>
      <c r="Z66" s="67">
        <f>(Y66+1)</f>
        <v>25</v>
      </c>
      <c r="AA66" s="62"/>
    </row>
    <row r="67" spans="1:27" ht="3.95" customHeight="1">
      <c r="A67" s="63"/>
      <c r="B67" s="61"/>
      <c r="C67" s="61"/>
      <c r="D67" s="61"/>
      <c r="E67" s="61"/>
      <c r="F67" s="61"/>
      <c r="G67" s="61"/>
      <c r="H67" s="61"/>
      <c r="I67" s="59"/>
      <c r="J67" s="61"/>
      <c r="K67" s="61"/>
      <c r="L67" s="61"/>
      <c r="M67" s="61"/>
      <c r="N67" s="61"/>
      <c r="O67" s="61"/>
      <c r="P67" s="61"/>
      <c r="Q67" s="61"/>
      <c r="R67" s="59"/>
      <c r="S67" s="61"/>
      <c r="T67" s="61"/>
      <c r="U67" s="61"/>
      <c r="V67" s="61"/>
      <c r="W67" s="61"/>
      <c r="X67" s="61"/>
      <c r="Y67" s="61"/>
      <c r="Z67" s="61"/>
      <c r="AA67" s="62"/>
    </row>
    <row r="68" spans="1:27" ht="13.5" thickBot="1">
      <c r="A68" s="63" t="s">
        <v>453</v>
      </c>
      <c r="B68" s="233">
        <v>28</v>
      </c>
      <c r="C68" s="234">
        <v>29</v>
      </c>
      <c r="D68" s="234">
        <v>30</v>
      </c>
      <c r="E68" s="234">
        <v>1</v>
      </c>
      <c r="F68" s="234">
        <f>(E68+1)</f>
        <v>2</v>
      </c>
      <c r="G68" s="234">
        <f>(F68+1)</f>
        <v>3</v>
      </c>
      <c r="H68" s="237">
        <f>+G68+1</f>
        <v>4</v>
      </c>
      <c r="I68" s="59">
        <v>11</v>
      </c>
      <c r="J68" s="61" t="s">
        <v>453</v>
      </c>
      <c r="K68" s="233">
        <v>27</v>
      </c>
      <c r="L68" s="234">
        <v>28</v>
      </c>
      <c r="M68" s="234">
        <v>29</v>
      </c>
      <c r="N68" s="234">
        <v>30</v>
      </c>
      <c r="O68" s="234">
        <v>1</v>
      </c>
      <c r="P68" s="234">
        <f>(O68+1)</f>
        <v>2</v>
      </c>
      <c r="Q68" s="237">
        <f>+P68+1</f>
        <v>3</v>
      </c>
      <c r="R68" s="59">
        <v>11</v>
      </c>
      <c r="S68" s="61" t="s">
        <v>453</v>
      </c>
      <c r="T68" s="233">
        <v>26</v>
      </c>
      <c r="U68" s="234">
        <v>27</v>
      </c>
      <c r="V68" s="234">
        <v>28</v>
      </c>
      <c r="W68" s="234">
        <v>29</v>
      </c>
      <c r="X68" s="234">
        <v>30</v>
      </c>
      <c r="Y68" s="234">
        <v>1</v>
      </c>
      <c r="Z68" s="237">
        <f>+Y68+1</f>
        <v>2</v>
      </c>
      <c r="AA68" s="62">
        <v>11</v>
      </c>
    </row>
    <row r="69" spans="1:27" ht="13.5" thickBot="1">
      <c r="A69" s="63"/>
      <c r="B69" s="64">
        <f>+H68+1</f>
        <v>5</v>
      </c>
      <c r="C69" s="66">
        <f>+B69+1</f>
        <v>6</v>
      </c>
      <c r="D69" s="66">
        <f>(C69+1)</f>
        <v>7</v>
      </c>
      <c r="E69" s="66">
        <f>(D69+1)</f>
        <v>8</v>
      </c>
      <c r="F69" s="66">
        <f>(E69+1)</f>
        <v>9</v>
      </c>
      <c r="G69" s="66">
        <f>(F69+1)</f>
        <v>10</v>
      </c>
      <c r="H69" s="68">
        <f>+G69+1</f>
        <v>11</v>
      </c>
      <c r="I69" s="59"/>
      <c r="J69" s="61"/>
      <c r="K69" s="64">
        <f>+Q68+1</f>
        <v>4</v>
      </c>
      <c r="L69" s="66">
        <f>+K69+1</f>
        <v>5</v>
      </c>
      <c r="M69" s="66">
        <f>(L69+1)</f>
        <v>6</v>
      </c>
      <c r="N69" s="66">
        <f>(M69+1)</f>
        <v>7</v>
      </c>
      <c r="O69" s="66">
        <f>(N69+1)</f>
        <v>8</v>
      </c>
      <c r="P69" s="66">
        <f>(O69+1)</f>
        <v>9</v>
      </c>
      <c r="Q69" s="67">
        <f>+P69+1</f>
        <v>10</v>
      </c>
      <c r="R69" s="59"/>
      <c r="S69" s="61"/>
      <c r="T69" s="64">
        <f>+Z68+1</f>
        <v>3</v>
      </c>
      <c r="U69" s="66">
        <f>+T69+1</f>
        <v>4</v>
      </c>
      <c r="V69" s="66">
        <f>(U69+1)</f>
        <v>5</v>
      </c>
      <c r="W69" s="66">
        <f>(V69+1)</f>
        <v>6</v>
      </c>
      <c r="X69" s="66">
        <f>(W69+1)</f>
        <v>7</v>
      </c>
      <c r="Y69" s="66">
        <f>(X69+1)</f>
        <v>8</v>
      </c>
      <c r="Z69" s="67">
        <f>+Y69+1</f>
        <v>9</v>
      </c>
      <c r="AA69" s="62"/>
    </row>
    <row r="70" spans="1:27" ht="3.95" customHeight="1" thickBot="1">
      <c r="A70" s="63"/>
      <c r="B70" s="61"/>
      <c r="C70" s="61"/>
      <c r="D70" s="61"/>
      <c r="E70" s="61"/>
      <c r="F70" s="61"/>
      <c r="G70" s="61"/>
      <c r="H70" s="61"/>
      <c r="I70" s="59"/>
      <c r="J70" s="61"/>
      <c r="K70" s="61"/>
      <c r="L70" s="61"/>
      <c r="M70" s="61"/>
      <c r="N70" s="61"/>
      <c r="O70" s="61"/>
      <c r="P70" s="61"/>
      <c r="Q70" s="61"/>
      <c r="R70" s="59"/>
      <c r="S70" s="61"/>
      <c r="T70" s="61"/>
      <c r="U70" s="61"/>
      <c r="V70" s="61"/>
      <c r="W70" s="61"/>
      <c r="X70" s="61"/>
      <c r="Y70" s="61"/>
      <c r="Z70" s="61"/>
      <c r="AA70" s="62"/>
    </row>
    <row r="71" spans="1:27" ht="13.5" thickBot="1">
      <c r="A71" s="63"/>
      <c r="B71" s="238">
        <f>+H69+1</f>
        <v>12</v>
      </c>
      <c r="C71" s="236">
        <f>+B71+1</f>
        <v>13</v>
      </c>
      <c r="D71" s="236">
        <f>(C71+1)</f>
        <v>14</v>
      </c>
      <c r="E71" s="236">
        <f>(D71+1)</f>
        <v>15</v>
      </c>
      <c r="F71" s="236">
        <f>(E71+1)</f>
        <v>16</v>
      </c>
      <c r="G71" s="236">
        <v>17</v>
      </c>
      <c r="H71" s="237">
        <v>18</v>
      </c>
      <c r="I71" s="59">
        <v>12</v>
      </c>
      <c r="J71" s="61"/>
      <c r="K71" s="238">
        <f>+Q69+1</f>
        <v>11</v>
      </c>
      <c r="L71" s="236">
        <f>+K71+1</f>
        <v>12</v>
      </c>
      <c r="M71" s="236">
        <f>(L71+1)</f>
        <v>13</v>
      </c>
      <c r="N71" s="236">
        <f>(M71+1)</f>
        <v>14</v>
      </c>
      <c r="O71" s="236">
        <f>(N71+1)</f>
        <v>15</v>
      </c>
      <c r="P71" s="236">
        <f>(O71+1)</f>
        <v>16</v>
      </c>
      <c r="Q71" s="68">
        <f>(P71+1)</f>
        <v>17</v>
      </c>
      <c r="R71" s="59">
        <v>12</v>
      </c>
      <c r="S71" s="61"/>
      <c r="T71" s="238">
        <f>+Z69+1</f>
        <v>10</v>
      </c>
      <c r="U71" s="236">
        <f>+T71+1</f>
        <v>11</v>
      </c>
      <c r="V71" s="236">
        <f t="shared" ref="V71:Z72" si="27">(U71+1)</f>
        <v>12</v>
      </c>
      <c r="W71" s="236">
        <f t="shared" si="27"/>
        <v>13</v>
      </c>
      <c r="X71" s="236">
        <f t="shared" si="27"/>
        <v>14</v>
      </c>
      <c r="Y71" s="236">
        <f t="shared" si="27"/>
        <v>15</v>
      </c>
      <c r="Z71" s="68">
        <f t="shared" si="27"/>
        <v>16</v>
      </c>
      <c r="AA71" s="62">
        <v>12</v>
      </c>
    </row>
    <row r="72" spans="1:27">
      <c r="A72" s="63"/>
      <c r="B72" s="156">
        <v>19</v>
      </c>
      <c r="C72" s="66">
        <f>+B72+1</f>
        <v>20</v>
      </c>
      <c r="D72" s="66">
        <f>+C72+1</f>
        <v>21</v>
      </c>
      <c r="E72" s="66">
        <f>+D72+1</f>
        <v>22</v>
      </c>
      <c r="F72" s="69">
        <f>(E72+1)</f>
        <v>23</v>
      </c>
      <c r="G72" s="69">
        <f>(F72+1)</f>
        <v>24</v>
      </c>
      <c r="H72" s="157">
        <f>+G72+1</f>
        <v>25</v>
      </c>
      <c r="I72" s="59"/>
      <c r="J72" s="61"/>
      <c r="K72" s="156">
        <v>18</v>
      </c>
      <c r="L72" s="66">
        <f>+K72+1</f>
        <v>19</v>
      </c>
      <c r="M72" s="66">
        <f>+L72+1</f>
        <v>20</v>
      </c>
      <c r="N72" s="66">
        <f>+M72+1</f>
        <v>21</v>
      </c>
      <c r="O72" s="69">
        <f>(N72+1)</f>
        <v>22</v>
      </c>
      <c r="P72" s="69">
        <f>(O72+1)</f>
        <v>23</v>
      </c>
      <c r="Q72" s="157">
        <f>+P72+1</f>
        <v>24</v>
      </c>
      <c r="R72" s="59"/>
      <c r="S72" s="61"/>
      <c r="T72" s="156">
        <v>17</v>
      </c>
      <c r="U72" s="66">
        <f>+T72+1</f>
        <v>18</v>
      </c>
      <c r="V72" s="66">
        <f>+U72+1</f>
        <v>19</v>
      </c>
      <c r="W72" s="66">
        <f>+V72+1</f>
        <v>20</v>
      </c>
      <c r="X72" s="69">
        <f t="shared" si="27"/>
        <v>21</v>
      </c>
      <c r="Y72" s="69">
        <f t="shared" si="27"/>
        <v>22</v>
      </c>
      <c r="Z72" s="157">
        <f>+Y72+1</f>
        <v>23</v>
      </c>
      <c r="AA72" s="62"/>
    </row>
    <row r="73" spans="1:27" ht="3.95" customHeight="1" thickBot="1">
      <c r="A73" s="63"/>
      <c r="B73" s="61"/>
      <c r="C73" s="61"/>
      <c r="D73" s="61"/>
      <c r="E73" s="61"/>
      <c r="F73" s="61"/>
      <c r="G73" s="61"/>
      <c r="H73" s="61"/>
      <c r="I73" s="59"/>
      <c r="J73" s="61"/>
      <c r="K73" s="61"/>
      <c r="L73" s="61"/>
      <c r="M73" s="61"/>
      <c r="N73" s="61"/>
      <c r="O73" s="61"/>
      <c r="P73" s="61"/>
      <c r="Q73" s="61"/>
      <c r="R73" s="59"/>
      <c r="S73" s="61"/>
      <c r="T73" s="61"/>
      <c r="U73" s="61"/>
      <c r="V73" s="61"/>
      <c r="W73" s="61"/>
      <c r="X73" s="61"/>
      <c r="Y73" s="61"/>
      <c r="Z73" s="61"/>
      <c r="AA73" s="62"/>
    </row>
    <row r="74" spans="1:27" ht="13.5" thickBot="1">
      <c r="A74" s="63" t="s">
        <v>443</v>
      </c>
      <c r="B74" s="233">
        <v>26</v>
      </c>
      <c r="C74" s="70">
        <v>27</v>
      </c>
      <c r="D74" s="234">
        <v>28</v>
      </c>
      <c r="E74" s="234">
        <v>29</v>
      </c>
      <c r="F74" s="234">
        <f>(E74+1)</f>
        <v>30</v>
      </c>
      <c r="G74" s="234">
        <v>31</v>
      </c>
      <c r="H74" s="235">
        <v>1</v>
      </c>
      <c r="I74" s="59">
        <v>13</v>
      </c>
      <c r="J74" s="61" t="s">
        <v>443</v>
      </c>
      <c r="K74" s="233">
        <v>25</v>
      </c>
      <c r="L74" s="70">
        <v>26</v>
      </c>
      <c r="M74" s="234">
        <v>27</v>
      </c>
      <c r="N74" s="234">
        <v>28</v>
      </c>
      <c r="O74" s="234">
        <v>29</v>
      </c>
      <c r="P74" s="234">
        <v>30</v>
      </c>
      <c r="Q74" s="235">
        <v>31</v>
      </c>
      <c r="R74" s="59">
        <v>13</v>
      </c>
      <c r="S74" s="61" t="s">
        <v>443</v>
      </c>
      <c r="T74" s="233">
        <v>24</v>
      </c>
      <c r="U74" s="70">
        <v>25</v>
      </c>
      <c r="V74" s="234">
        <v>26</v>
      </c>
      <c r="W74" s="234">
        <v>27</v>
      </c>
      <c r="X74" s="234">
        <v>28</v>
      </c>
      <c r="Y74" s="234">
        <v>29</v>
      </c>
      <c r="Z74" s="235">
        <v>30</v>
      </c>
      <c r="AA74" s="62">
        <v>13</v>
      </c>
    </row>
    <row r="75" spans="1:27">
      <c r="A75" s="63" t="s">
        <v>454</v>
      </c>
      <c r="B75" s="64">
        <f>+H74+1</f>
        <v>2</v>
      </c>
      <c r="C75" s="66">
        <f>+B75+1</f>
        <v>3</v>
      </c>
      <c r="D75" s="66">
        <f>(C75+1)</f>
        <v>4</v>
      </c>
      <c r="E75" s="66">
        <f>(D75+1)</f>
        <v>5</v>
      </c>
      <c r="F75" s="66">
        <f>(E75+1)</f>
        <v>6</v>
      </c>
      <c r="G75" s="66">
        <f>(F75+1)</f>
        <v>7</v>
      </c>
      <c r="H75" s="67">
        <f>+G75+1</f>
        <v>8</v>
      </c>
      <c r="I75" s="59"/>
      <c r="J75" s="61" t="s">
        <v>454</v>
      </c>
      <c r="K75" s="64">
        <v>1</v>
      </c>
      <c r="L75" s="66">
        <f>+K75+1</f>
        <v>2</v>
      </c>
      <c r="M75" s="66">
        <f>(L75+1)</f>
        <v>3</v>
      </c>
      <c r="N75" s="66">
        <f>(M75+1)</f>
        <v>4</v>
      </c>
      <c r="O75" s="66">
        <f>(N75+1)</f>
        <v>5</v>
      </c>
      <c r="P75" s="66">
        <f>(O75+1)</f>
        <v>6</v>
      </c>
      <c r="Q75" s="67">
        <f>+P75+1</f>
        <v>7</v>
      </c>
      <c r="R75" s="59"/>
      <c r="S75" s="61" t="s">
        <v>454</v>
      </c>
      <c r="T75" s="64">
        <v>31</v>
      </c>
      <c r="U75" s="66">
        <v>1</v>
      </c>
      <c r="V75" s="66">
        <f>(U75+1)</f>
        <v>2</v>
      </c>
      <c r="W75" s="66">
        <f>(V75+1)</f>
        <v>3</v>
      </c>
      <c r="X75" s="66">
        <f>(W75+1)</f>
        <v>4</v>
      </c>
      <c r="Y75" s="66">
        <f>(X75+1)</f>
        <v>5</v>
      </c>
      <c r="Z75" s="67">
        <f>+Y75+1</f>
        <v>6</v>
      </c>
      <c r="AA75" s="62"/>
    </row>
    <row r="76" spans="1:27" ht="3.95" customHeight="1">
      <c r="A76" s="63"/>
      <c r="B76" s="61"/>
      <c r="C76" s="61"/>
      <c r="D76" s="61"/>
      <c r="E76" s="61"/>
      <c r="F76" s="61"/>
      <c r="G76" s="61"/>
      <c r="H76" s="61"/>
      <c r="I76" s="59"/>
      <c r="J76" s="61"/>
      <c r="K76" s="61"/>
      <c r="L76" s="61"/>
      <c r="M76" s="61"/>
      <c r="N76" s="61"/>
      <c r="O76" s="61"/>
      <c r="P76" s="61"/>
      <c r="Q76" s="61"/>
      <c r="R76" s="59"/>
      <c r="S76" s="61"/>
      <c r="T76" s="61"/>
      <c r="U76" s="61"/>
      <c r="V76" s="61"/>
      <c r="W76" s="61"/>
      <c r="X76" s="61"/>
      <c r="Y76" s="61"/>
      <c r="Z76" s="61"/>
      <c r="AA76" s="62"/>
    </row>
    <row r="77" spans="1:27">
      <c r="A77" s="63" t="s">
        <v>443</v>
      </c>
      <c r="B77" s="233">
        <f>(H75+1)</f>
        <v>9</v>
      </c>
      <c r="C77" s="234">
        <f>+B77+1</f>
        <v>10</v>
      </c>
      <c r="D77" s="234">
        <f t="shared" ref="D77:G78" si="28">(C77+1)</f>
        <v>11</v>
      </c>
      <c r="E77" s="234">
        <f t="shared" si="28"/>
        <v>12</v>
      </c>
      <c r="F77" s="234">
        <f t="shared" si="28"/>
        <v>13</v>
      </c>
      <c r="G77" s="234">
        <f t="shared" si="28"/>
        <v>14</v>
      </c>
      <c r="H77" s="235">
        <f>+G77+1</f>
        <v>15</v>
      </c>
      <c r="I77" s="59">
        <v>14</v>
      </c>
      <c r="J77" s="61" t="s">
        <v>443</v>
      </c>
      <c r="K77" s="233">
        <f>(Q75+1)</f>
        <v>8</v>
      </c>
      <c r="L77" s="234">
        <f>+K77+1</f>
        <v>9</v>
      </c>
      <c r="M77" s="234">
        <f t="shared" ref="M77:P78" si="29">(L77+1)</f>
        <v>10</v>
      </c>
      <c r="N77" s="234">
        <f t="shared" si="29"/>
        <v>11</v>
      </c>
      <c r="O77" s="234">
        <f t="shared" si="29"/>
        <v>12</v>
      </c>
      <c r="P77" s="234">
        <f t="shared" si="29"/>
        <v>13</v>
      </c>
      <c r="Q77" s="235">
        <f>+P77+1</f>
        <v>14</v>
      </c>
      <c r="R77" s="59">
        <v>14</v>
      </c>
      <c r="S77" s="61" t="s">
        <v>443</v>
      </c>
      <c r="T77" s="233">
        <f>(Z75+1)</f>
        <v>7</v>
      </c>
      <c r="U77" s="234">
        <f>+T77+1</f>
        <v>8</v>
      </c>
      <c r="V77" s="234">
        <f t="shared" ref="V77:Y78" si="30">(U77+1)</f>
        <v>9</v>
      </c>
      <c r="W77" s="234">
        <f t="shared" si="30"/>
        <v>10</v>
      </c>
      <c r="X77" s="234">
        <f t="shared" si="30"/>
        <v>11</v>
      </c>
      <c r="Y77" s="234">
        <f t="shared" si="30"/>
        <v>12</v>
      </c>
      <c r="Z77" s="235">
        <f>+Y77+1</f>
        <v>13</v>
      </c>
      <c r="AA77" s="62">
        <v>14</v>
      </c>
    </row>
    <row r="78" spans="1:27">
      <c r="A78" s="73"/>
      <c r="B78" s="64">
        <f>+H77+1</f>
        <v>16</v>
      </c>
      <c r="C78" s="66">
        <f>+B78+1</f>
        <v>17</v>
      </c>
      <c r="D78" s="66">
        <f t="shared" si="28"/>
        <v>18</v>
      </c>
      <c r="E78" s="66">
        <f t="shared" si="28"/>
        <v>19</v>
      </c>
      <c r="F78" s="66">
        <f t="shared" si="28"/>
        <v>20</v>
      </c>
      <c r="G78" s="66">
        <f t="shared" si="28"/>
        <v>21</v>
      </c>
      <c r="H78" s="67">
        <f>+G78+1</f>
        <v>22</v>
      </c>
      <c r="I78" s="59"/>
      <c r="J78" s="74"/>
      <c r="K78" s="64">
        <f>+Q77+1</f>
        <v>15</v>
      </c>
      <c r="L78" s="66">
        <f>+K78+1</f>
        <v>16</v>
      </c>
      <c r="M78" s="66">
        <f t="shared" si="29"/>
        <v>17</v>
      </c>
      <c r="N78" s="66">
        <f t="shared" si="29"/>
        <v>18</v>
      </c>
      <c r="O78" s="66">
        <f t="shared" si="29"/>
        <v>19</v>
      </c>
      <c r="P78" s="66">
        <f t="shared" si="29"/>
        <v>20</v>
      </c>
      <c r="Q78" s="67">
        <f>+P78+1</f>
        <v>21</v>
      </c>
      <c r="R78" s="59"/>
      <c r="S78" s="74"/>
      <c r="T78" s="64">
        <f>+Z77+1</f>
        <v>14</v>
      </c>
      <c r="U78" s="66">
        <f>+T78+1</f>
        <v>15</v>
      </c>
      <c r="V78" s="66">
        <f t="shared" si="30"/>
        <v>16</v>
      </c>
      <c r="W78" s="66">
        <f t="shared" si="30"/>
        <v>17</v>
      </c>
      <c r="X78" s="66">
        <f t="shared" si="30"/>
        <v>18</v>
      </c>
      <c r="Y78" s="66">
        <f t="shared" si="30"/>
        <v>19</v>
      </c>
      <c r="Z78" s="67">
        <f>+Y78+1</f>
        <v>20</v>
      </c>
      <c r="AA78" s="62"/>
    </row>
    <row r="79" spans="1:27" ht="3.95" customHeight="1">
      <c r="A79" s="63"/>
      <c r="B79" s="61"/>
      <c r="C79" s="61"/>
      <c r="D79" s="61"/>
      <c r="E79" s="61"/>
      <c r="F79" s="61"/>
      <c r="G79" s="61"/>
      <c r="H79" s="61"/>
      <c r="I79" s="59"/>
      <c r="J79" s="61"/>
      <c r="K79" s="61"/>
      <c r="L79" s="61"/>
      <c r="M79" s="61"/>
      <c r="N79" s="61"/>
      <c r="O79" s="61"/>
      <c r="P79" s="61"/>
      <c r="Q79" s="61"/>
      <c r="R79" s="59"/>
      <c r="S79" s="61"/>
      <c r="T79" s="61"/>
      <c r="U79" s="61"/>
      <c r="V79" s="61"/>
      <c r="W79" s="61"/>
      <c r="X79" s="61"/>
      <c r="Y79" s="61"/>
      <c r="Z79" s="61"/>
      <c r="AA79" s="62"/>
    </row>
    <row r="80" spans="1:27" ht="10.5" customHeight="1">
      <c r="A80" s="75"/>
      <c r="B80" s="76"/>
      <c r="C80" s="76"/>
      <c r="D80" s="76"/>
      <c r="E80" s="76"/>
      <c r="F80" s="76"/>
      <c r="G80" s="76"/>
      <c r="H80" s="76"/>
      <c r="I80" s="77"/>
      <c r="J80" s="76"/>
      <c r="K80" s="76"/>
      <c r="L80" s="76"/>
      <c r="M80" s="76"/>
      <c r="N80" s="76"/>
      <c r="O80" s="76"/>
      <c r="P80" s="76"/>
      <c r="Q80" s="76"/>
      <c r="R80" s="77"/>
      <c r="S80" s="76"/>
      <c r="T80" s="76"/>
      <c r="U80" s="76"/>
      <c r="V80" s="76"/>
      <c r="W80" s="76"/>
      <c r="X80" s="76"/>
      <c r="Y80" s="76"/>
      <c r="Z80" s="76"/>
      <c r="AA80" s="62"/>
    </row>
    <row r="81" spans="1:27" ht="9" customHeight="1" thickBot="1">
      <c r="A81" s="78"/>
      <c r="B81" s="79"/>
      <c r="C81" s="79"/>
      <c r="D81" s="79"/>
      <c r="E81" s="79"/>
      <c r="F81" s="79"/>
      <c r="G81" s="79"/>
      <c r="H81" s="79"/>
      <c r="I81" s="80"/>
      <c r="J81" s="79"/>
      <c r="K81" s="79"/>
      <c r="L81" s="79"/>
      <c r="M81" s="79"/>
      <c r="N81" s="79"/>
      <c r="O81" s="79"/>
      <c r="P81" s="79"/>
      <c r="Q81" s="79"/>
      <c r="R81" s="80"/>
      <c r="S81" s="79"/>
      <c r="T81" s="79"/>
      <c r="U81" s="79"/>
      <c r="V81" s="79"/>
      <c r="W81" s="79"/>
      <c r="X81" s="79"/>
      <c r="Y81" s="79"/>
      <c r="Z81" s="79"/>
      <c r="AA81" s="81"/>
    </row>
    <row r="82" spans="1:27" ht="7.5" customHeight="1" thickBot="1">
      <c r="A82" s="82"/>
      <c r="B82" s="14"/>
      <c r="C82" s="14"/>
      <c r="D82" s="14"/>
      <c r="E82" s="14"/>
      <c r="F82" s="14"/>
      <c r="G82" s="14"/>
      <c r="H82" s="14"/>
      <c r="I82" s="14"/>
      <c r="J82" s="14"/>
      <c r="K82" s="83"/>
      <c r="L82" s="83"/>
      <c r="M82" s="83"/>
      <c r="N82" s="83"/>
      <c r="O82" s="83"/>
      <c r="P82" s="83"/>
      <c r="Q82" s="83"/>
      <c r="R82" s="84"/>
      <c r="S82" s="83"/>
      <c r="T82" s="83"/>
      <c r="U82" s="83"/>
      <c r="V82" s="83"/>
      <c r="W82" s="83"/>
      <c r="X82" s="83"/>
      <c r="Y82" s="83"/>
      <c r="Z82" s="83"/>
      <c r="AA82" s="85"/>
    </row>
    <row r="83" spans="1:27" ht="15.75" thickBot="1">
      <c r="A83" s="86"/>
      <c r="B83" s="70"/>
      <c r="C83" s="14" t="s">
        <v>455</v>
      </c>
      <c r="D83" s="14"/>
      <c r="E83" s="14"/>
      <c r="F83" s="14"/>
      <c r="G83" s="14"/>
      <c r="H83" s="14"/>
      <c r="I83" s="14"/>
      <c r="J83" s="14"/>
      <c r="K83" s="14"/>
      <c r="L83" s="14"/>
      <c r="M83" s="241"/>
      <c r="N83" s="14" t="s">
        <v>456</v>
      </c>
      <c r="O83" s="14"/>
      <c r="P83" s="14"/>
      <c r="Q83" s="14"/>
      <c r="R83" s="14"/>
      <c r="S83" s="14"/>
      <c r="T83" s="14"/>
      <c r="U83" s="14"/>
      <c r="V83" s="14"/>
      <c r="W83" s="83"/>
      <c r="X83" s="83"/>
      <c r="Y83" s="83"/>
      <c r="Z83" s="83"/>
      <c r="AA83" s="85"/>
    </row>
    <row r="84" spans="1:27" ht="15.75" thickBot="1">
      <c r="A84" s="82"/>
      <c r="B84" s="68"/>
      <c r="C84" s="14" t="s">
        <v>457</v>
      </c>
      <c r="D84" s="83"/>
      <c r="E84" s="83"/>
      <c r="F84" s="83"/>
      <c r="G84" s="83"/>
      <c r="H84" s="83"/>
      <c r="I84" s="83"/>
      <c r="J84" s="83"/>
      <c r="K84" s="83"/>
      <c r="L84" s="83"/>
      <c r="M84" s="83"/>
      <c r="N84" s="14"/>
      <c r="O84" s="83"/>
      <c r="P84" s="83"/>
      <c r="Q84" s="83"/>
      <c r="R84" s="84"/>
      <c r="S84" s="83"/>
      <c r="T84" s="83"/>
      <c r="U84" s="243"/>
      <c r="V84" s="83"/>
      <c r="W84" s="83"/>
      <c r="X84" s="83"/>
      <c r="Y84" s="83"/>
      <c r="Z84" s="83"/>
      <c r="AA84" s="85"/>
    </row>
    <row r="85" spans="1:27" ht="13.5" thickBot="1">
      <c r="A85" s="87"/>
      <c r="B85" s="88"/>
      <c r="C85" s="88"/>
      <c r="D85" s="88"/>
      <c r="E85" s="88"/>
      <c r="F85" s="88"/>
      <c r="G85" s="88"/>
      <c r="H85" s="88"/>
      <c r="I85" s="88"/>
      <c r="J85" s="88"/>
      <c r="K85" s="88"/>
      <c r="L85" s="88"/>
      <c r="M85" s="88"/>
      <c r="N85" s="88"/>
      <c r="O85" s="88"/>
      <c r="P85" s="88"/>
      <c r="Q85" s="88"/>
      <c r="R85" s="89"/>
      <c r="S85" s="88"/>
      <c r="T85" s="88"/>
      <c r="U85" s="88"/>
      <c r="V85" s="88"/>
      <c r="W85" s="88"/>
      <c r="X85" s="88"/>
      <c r="Y85" s="88"/>
      <c r="Z85" s="88"/>
      <c r="AA85" s="90"/>
    </row>
    <row r="87" spans="1:27">
      <c r="B87" s="93"/>
    </row>
  </sheetData>
  <mergeCells count="2">
    <mergeCell ref="I1:J1"/>
    <mergeCell ref="AC5:AE6"/>
  </mergeCells>
  <hyperlinks>
    <hyperlink ref="AC1" location="Begin!A1" display="Start Over"/>
    <hyperlink ref="AC5" location="Calendars!A1" display="Back to Payroll Calendars"/>
  </hyperlinks>
  <pageMargins left="0.25" right="0.25" top="0.25" bottom="0.25" header="0.3" footer="0.3"/>
  <pageSetup scale="9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8"/>
  <sheetViews>
    <sheetView zoomScaleNormal="100" workbookViewId="0">
      <selection activeCell="K3" sqref="K3"/>
    </sheetView>
  </sheetViews>
  <sheetFormatPr defaultRowHeight="15"/>
  <cols>
    <col min="8" max="8" width="19.140625" customWidth="1"/>
  </cols>
  <sheetData>
    <row r="1" spans="1:11" ht="24.75" thickTop="1" thickBot="1">
      <c r="A1" s="454" t="s">
        <v>962</v>
      </c>
      <c r="B1" s="455"/>
      <c r="C1" s="455"/>
      <c r="D1" s="455"/>
      <c r="E1" s="455"/>
      <c r="F1" s="455"/>
      <c r="G1" s="455"/>
      <c r="H1" s="456"/>
      <c r="K1" s="117" t="s">
        <v>470</v>
      </c>
    </row>
    <row r="2" spans="1:11" ht="19.5" customHeight="1" thickTop="1"/>
    <row r="3" spans="1:11" ht="19.5" thickBot="1">
      <c r="A3" s="449" t="s">
        <v>979</v>
      </c>
      <c r="B3" s="457"/>
      <c r="C3" s="457"/>
      <c r="D3" s="457"/>
      <c r="E3" s="457"/>
      <c r="F3" s="457"/>
      <c r="G3" s="457"/>
      <c r="H3" s="457"/>
      <c r="K3" s="244" t="s">
        <v>697</v>
      </c>
    </row>
    <row r="4" spans="1:11" ht="9.6" customHeight="1" thickTop="1">
      <c r="A4" s="100"/>
      <c r="B4" s="101"/>
      <c r="C4" s="101"/>
      <c r="D4" s="101"/>
      <c r="E4" s="102"/>
      <c r="F4" s="102"/>
      <c r="G4" s="102"/>
      <c r="H4" s="103"/>
    </row>
    <row r="5" spans="1:11">
      <c r="A5" s="451" t="s">
        <v>963</v>
      </c>
      <c r="B5" s="452"/>
      <c r="C5" s="452"/>
      <c r="D5" s="452"/>
      <c r="E5" s="452"/>
      <c r="F5" s="452"/>
      <c r="G5" s="452"/>
      <c r="H5" s="453"/>
    </row>
    <row r="6" spans="1:11" ht="9.6" customHeight="1">
      <c r="A6" s="302"/>
      <c r="B6" s="303"/>
      <c r="C6" s="303"/>
      <c r="D6" s="303"/>
      <c r="E6" s="303"/>
      <c r="F6" s="303"/>
      <c r="G6" s="303"/>
      <c r="H6" s="304"/>
    </row>
    <row r="7" spans="1:11" ht="15.75" thickBot="1">
      <c r="A7" s="458" t="s">
        <v>964</v>
      </c>
      <c r="B7" s="459"/>
      <c r="C7" s="459"/>
      <c r="D7" s="459"/>
      <c r="E7" s="459"/>
      <c r="F7" s="459"/>
      <c r="G7" s="459"/>
      <c r="H7" s="460"/>
    </row>
    <row r="8" spans="1:11" ht="15.75" thickTop="1">
      <c r="B8" s="96"/>
      <c r="C8" s="96"/>
      <c r="D8" s="96"/>
    </row>
    <row r="9" spans="1:11" ht="15.75" thickBot="1">
      <c r="A9" s="449" t="s">
        <v>980</v>
      </c>
      <c r="B9" s="457"/>
      <c r="C9" s="457"/>
      <c r="D9" s="457"/>
      <c r="E9" s="457"/>
      <c r="F9" s="457"/>
      <c r="G9" s="457"/>
      <c r="H9" s="457"/>
    </row>
    <row r="10" spans="1:11" ht="9.6" customHeight="1" thickTop="1">
      <c r="A10" s="104"/>
      <c r="B10" s="101"/>
      <c r="C10" s="101"/>
      <c r="D10" s="101"/>
      <c r="E10" s="102"/>
      <c r="F10" s="102"/>
      <c r="G10" s="102"/>
      <c r="H10" s="103"/>
    </row>
    <row r="11" spans="1:11">
      <c r="A11" s="451" t="s">
        <v>965</v>
      </c>
      <c r="B11" s="452"/>
      <c r="C11" s="452"/>
      <c r="D11" s="452"/>
      <c r="E11" s="452"/>
      <c r="F11" s="452"/>
      <c r="G11" s="452"/>
      <c r="H11" s="453"/>
    </row>
    <row r="12" spans="1:11" ht="9.6" customHeight="1">
      <c r="A12" s="105"/>
      <c r="B12" s="106"/>
      <c r="C12" s="106"/>
      <c r="D12" s="106"/>
      <c r="E12" s="14"/>
      <c r="F12" s="14"/>
      <c r="G12" s="14"/>
      <c r="H12" s="107"/>
    </row>
    <row r="13" spans="1:11">
      <c r="A13" s="451" t="s">
        <v>966</v>
      </c>
      <c r="B13" s="452"/>
      <c r="C13" s="452"/>
      <c r="D13" s="452"/>
      <c r="E13" s="452"/>
      <c r="F13" s="452"/>
      <c r="G13" s="452"/>
      <c r="H13" s="453"/>
    </row>
    <row r="14" spans="1:11" ht="9.6" customHeight="1">
      <c r="A14" s="302"/>
      <c r="B14" s="303"/>
      <c r="C14" s="303"/>
      <c r="D14" s="303"/>
      <c r="E14" s="303"/>
      <c r="F14" s="303"/>
      <c r="G14" s="303"/>
      <c r="H14" s="304"/>
    </row>
    <row r="15" spans="1:11">
      <c r="A15" s="451" t="s">
        <v>967</v>
      </c>
      <c r="B15" s="452"/>
      <c r="C15" s="452"/>
      <c r="D15" s="452"/>
      <c r="E15" s="452"/>
      <c r="F15" s="452"/>
      <c r="G15" s="452"/>
      <c r="H15" s="453"/>
    </row>
    <row r="16" spans="1:11" ht="9.6" customHeight="1">
      <c r="A16" s="302"/>
      <c r="B16" s="303"/>
      <c r="C16" s="303"/>
      <c r="D16" s="303"/>
      <c r="E16" s="303"/>
      <c r="F16" s="303"/>
      <c r="G16" s="303"/>
      <c r="H16" s="304"/>
    </row>
    <row r="17" spans="1:8" ht="15.75" thickBot="1">
      <c r="A17" s="458" t="s">
        <v>463</v>
      </c>
      <c r="B17" s="459"/>
      <c r="C17" s="459"/>
      <c r="D17" s="459"/>
      <c r="E17" s="459"/>
      <c r="F17" s="459"/>
      <c r="G17" s="459"/>
      <c r="H17" s="460"/>
    </row>
    <row r="18" spans="1:8" ht="16.5" thickTop="1">
      <c r="A18" s="99"/>
      <c r="B18" s="96"/>
      <c r="C18" s="96"/>
      <c r="D18" s="96"/>
    </row>
    <row r="19" spans="1:8" ht="15.75" thickBot="1">
      <c r="A19" s="461" t="s">
        <v>981</v>
      </c>
      <c r="B19" s="457"/>
      <c r="C19" s="457"/>
      <c r="D19" s="457"/>
      <c r="E19" s="457"/>
      <c r="F19" s="457"/>
      <c r="G19" s="457"/>
      <c r="H19" s="457"/>
    </row>
    <row r="20" spans="1:8" ht="9.6" customHeight="1" thickTop="1">
      <c r="A20" s="104"/>
      <c r="B20" s="101"/>
      <c r="C20" s="101"/>
      <c r="D20" s="101"/>
      <c r="E20" s="102"/>
      <c r="F20" s="102"/>
      <c r="G20" s="102"/>
      <c r="H20" s="103"/>
    </row>
    <row r="21" spans="1:8">
      <c r="A21" s="451" t="s">
        <v>968</v>
      </c>
      <c r="B21" s="452"/>
      <c r="C21" s="452"/>
      <c r="D21" s="452"/>
      <c r="E21" s="452"/>
      <c r="F21" s="452"/>
      <c r="G21" s="452"/>
      <c r="H21" s="453"/>
    </row>
    <row r="22" spans="1:8" ht="9.6" customHeight="1">
      <c r="A22" s="302"/>
      <c r="B22" s="303"/>
      <c r="C22" s="303"/>
      <c r="D22" s="303"/>
      <c r="E22" s="303"/>
      <c r="F22" s="303"/>
      <c r="G22" s="303"/>
      <c r="H22" s="304"/>
    </row>
    <row r="23" spans="1:8" ht="15.75" thickBot="1">
      <c r="A23" s="458" t="s">
        <v>969</v>
      </c>
      <c r="B23" s="459"/>
      <c r="C23" s="459"/>
      <c r="D23" s="459"/>
      <c r="E23" s="459"/>
      <c r="F23" s="459"/>
      <c r="G23" s="459"/>
      <c r="H23" s="460"/>
    </row>
    <row r="24" spans="1:8" ht="16.5" thickTop="1">
      <c r="A24" s="99"/>
      <c r="B24" s="96"/>
      <c r="C24" s="96"/>
      <c r="D24" s="96"/>
    </row>
    <row r="25" spans="1:8" ht="15.75" thickBot="1">
      <c r="A25" s="449" t="s">
        <v>970</v>
      </c>
      <c r="B25" s="450"/>
      <c r="C25" s="450"/>
      <c r="D25" s="450"/>
      <c r="E25" s="450"/>
      <c r="F25" s="450"/>
      <c r="G25" s="450"/>
      <c r="H25" s="450"/>
    </row>
    <row r="26" spans="1:8" ht="9.6" customHeight="1" thickTop="1">
      <c r="A26" s="104"/>
      <c r="B26" s="101"/>
      <c r="C26" s="101"/>
      <c r="D26" s="101"/>
      <c r="E26" s="102"/>
      <c r="F26" s="102"/>
      <c r="G26" s="102"/>
      <c r="H26" s="103"/>
    </row>
    <row r="27" spans="1:8">
      <c r="A27" s="451" t="s">
        <v>971</v>
      </c>
      <c r="B27" s="452"/>
      <c r="C27" s="452"/>
      <c r="D27" s="452"/>
      <c r="E27" s="452"/>
      <c r="F27" s="452"/>
      <c r="G27" s="452"/>
      <c r="H27" s="453"/>
    </row>
    <row r="28" spans="1:8" ht="15" customHeight="1">
      <c r="A28" s="451" t="s">
        <v>972</v>
      </c>
      <c r="B28" s="452"/>
      <c r="C28" s="452"/>
      <c r="D28" s="452"/>
      <c r="E28" s="452"/>
      <c r="F28" s="452"/>
      <c r="G28" s="452"/>
      <c r="H28" s="453"/>
    </row>
    <row r="29" spans="1:8" ht="15" customHeight="1">
      <c r="A29" s="451" t="s">
        <v>973</v>
      </c>
      <c r="B29" s="452"/>
      <c r="C29" s="452"/>
      <c r="D29" s="452"/>
      <c r="E29" s="452"/>
      <c r="F29" s="452"/>
      <c r="G29" s="452"/>
      <c r="H29" s="453"/>
    </row>
    <row r="30" spans="1:8" ht="9.6" customHeight="1" thickBot="1">
      <c r="A30" s="318"/>
      <c r="B30" s="319"/>
      <c r="C30" s="319"/>
      <c r="D30" s="319"/>
      <c r="E30" s="319"/>
      <c r="F30" s="319"/>
      <c r="G30" s="319"/>
      <c r="H30" s="320"/>
    </row>
    <row r="31" spans="1:8" ht="16.5" thickTop="1">
      <c r="A31" s="99"/>
      <c r="B31" s="96"/>
      <c r="C31" s="96"/>
      <c r="D31" s="96"/>
    </row>
    <row r="32" spans="1:8" ht="15.75" thickBot="1">
      <c r="A32" s="449" t="s">
        <v>982</v>
      </c>
      <c r="B32" s="457"/>
      <c r="C32" s="457"/>
      <c r="D32" s="457"/>
      <c r="E32" s="457"/>
      <c r="F32" s="457"/>
      <c r="G32" s="457"/>
      <c r="H32" s="457"/>
    </row>
    <row r="33" spans="1:8" ht="9.6" customHeight="1" thickTop="1">
      <c r="A33" s="108"/>
      <c r="B33" s="101"/>
      <c r="C33" s="101"/>
      <c r="D33" s="101"/>
      <c r="E33" s="102"/>
      <c r="F33" s="102"/>
      <c r="G33" s="102"/>
      <c r="H33" s="103"/>
    </row>
    <row r="34" spans="1:8">
      <c r="A34" s="462" t="s">
        <v>467</v>
      </c>
      <c r="B34" s="452"/>
      <c r="C34" s="452"/>
      <c r="D34" s="452"/>
      <c r="E34" s="452"/>
      <c r="F34" s="452"/>
      <c r="G34" s="452"/>
      <c r="H34" s="453"/>
    </row>
    <row r="35" spans="1:8">
      <c r="A35" s="451" t="s">
        <v>974</v>
      </c>
      <c r="B35" s="452"/>
      <c r="C35" s="452"/>
      <c r="D35" s="452"/>
      <c r="E35" s="452"/>
      <c r="F35" s="452"/>
      <c r="G35" s="452"/>
      <c r="H35" s="453"/>
    </row>
    <row r="36" spans="1:8" ht="9.6" customHeight="1">
      <c r="A36" s="302"/>
      <c r="B36" s="303"/>
      <c r="C36" s="303"/>
      <c r="D36" s="303"/>
      <c r="E36" s="303"/>
      <c r="F36" s="303"/>
      <c r="G36" s="303"/>
      <c r="H36" s="304"/>
    </row>
    <row r="37" spans="1:8">
      <c r="A37" s="462" t="s">
        <v>468</v>
      </c>
      <c r="B37" s="452"/>
      <c r="C37" s="452"/>
      <c r="D37" s="452"/>
      <c r="E37" s="452"/>
      <c r="F37" s="452"/>
      <c r="G37" s="452"/>
      <c r="H37" s="453"/>
    </row>
    <row r="38" spans="1:8">
      <c r="A38" s="451" t="s">
        <v>975</v>
      </c>
      <c r="B38" s="452"/>
      <c r="C38" s="452"/>
      <c r="D38" s="452"/>
      <c r="E38" s="452"/>
      <c r="F38" s="452"/>
      <c r="G38" s="452"/>
      <c r="H38" s="453"/>
    </row>
    <row r="39" spans="1:8" ht="15.75">
      <c r="A39" s="302"/>
      <c r="B39" s="303"/>
      <c r="C39" s="303"/>
      <c r="D39" s="303"/>
      <c r="E39" s="303"/>
      <c r="F39" s="303"/>
      <c r="G39" s="303"/>
      <c r="H39" s="304"/>
    </row>
    <row r="40" spans="1:8" ht="16.5" customHeight="1" thickBot="1">
      <c r="A40" s="458" t="s">
        <v>976</v>
      </c>
      <c r="B40" s="459"/>
      <c r="C40" s="459"/>
      <c r="D40" s="459"/>
      <c r="E40" s="459"/>
      <c r="F40" s="459"/>
      <c r="G40" s="459"/>
      <c r="H40" s="460"/>
    </row>
    <row r="41" spans="1:8" ht="16.5" thickTop="1">
      <c r="A41" s="99"/>
      <c r="B41" s="96"/>
      <c r="C41" s="96"/>
      <c r="D41" s="96"/>
    </row>
    <row r="42" spans="1:8" ht="15.75" thickBot="1">
      <c r="A42" s="449" t="s">
        <v>469</v>
      </c>
      <c r="B42" s="457"/>
      <c r="C42" s="457"/>
      <c r="D42" s="457"/>
      <c r="E42" s="457"/>
      <c r="F42" s="457"/>
      <c r="G42" s="457"/>
      <c r="H42" s="457"/>
    </row>
    <row r="43" spans="1:8" ht="16.5" thickTop="1">
      <c r="A43" s="104"/>
      <c r="B43" s="101"/>
      <c r="C43" s="101"/>
      <c r="D43" s="101"/>
      <c r="E43" s="102"/>
      <c r="F43" s="102"/>
      <c r="G43" s="102"/>
      <c r="H43" s="103"/>
    </row>
    <row r="44" spans="1:8">
      <c r="A44" s="451" t="s">
        <v>977</v>
      </c>
      <c r="B44" s="452"/>
      <c r="C44" s="452"/>
      <c r="D44" s="452"/>
      <c r="E44" s="452"/>
      <c r="F44" s="452"/>
      <c r="G44" s="452"/>
      <c r="H44" s="453"/>
    </row>
    <row r="45" spans="1:8" ht="15.75">
      <c r="A45" s="302"/>
      <c r="B45" s="303"/>
      <c r="C45" s="303"/>
      <c r="D45" s="303"/>
      <c r="E45" s="303"/>
      <c r="F45" s="303"/>
      <c r="G45" s="303"/>
      <c r="H45" s="304"/>
    </row>
    <row r="46" spans="1:8" ht="15" customHeight="1">
      <c r="A46" s="451" t="s">
        <v>978</v>
      </c>
      <c r="B46" s="452"/>
      <c r="C46" s="452"/>
      <c r="D46" s="452"/>
      <c r="E46" s="452"/>
      <c r="F46" s="452"/>
      <c r="G46" s="452"/>
      <c r="H46" s="453"/>
    </row>
    <row r="47" spans="1:8" ht="16.5" thickBot="1">
      <c r="A47" s="109"/>
      <c r="B47" s="110"/>
      <c r="C47" s="110"/>
      <c r="D47" s="110"/>
      <c r="E47" s="110"/>
      <c r="F47" s="110"/>
      <c r="G47" s="110"/>
      <c r="H47" s="111"/>
    </row>
    <row r="48" spans="1:8" ht="15.75" thickTop="1"/>
  </sheetData>
  <mergeCells count="25">
    <mergeCell ref="A28:H28"/>
    <mergeCell ref="A29:H29"/>
    <mergeCell ref="A46:H46"/>
    <mergeCell ref="A40:H40"/>
    <mergeCell ref="A34:H34"/>
    <mergeCell ref="A35:H35"/>
    <mergeCell ref="A37:H37"/>
    <mergeCell ref="A38:H38"/>
    <mergeCell ref="A42:H42"/>
    <mergeCell ref="A44:H44"/>
    <mergeCell ref="A32:H32"/>
    <mergeCell ref="A25:H25"/>
    <mergeCell ref="A27:H27"/>
    <mergeCell ref="A1:H1"/>
    <mergeCell ref="A3:H3"/>
    <mergeCell ref="A5:H5"/>
    <mergeCell ref="A7:H7"/>
    <mergeCell ref="A9:H9"/>
    <mergeCell ref="A11:H11"/>
    <mergeCell ref="A13:H13"/>
    <mergeCell ref="A17:H17"/>
    <mergeCell ref="A19:H19"/>
    <mergeCell ref="A21:H21"/>
    <mergeCell ref="A23:H23"/>
    <mergeCell ref="A15:H15"/>
  </mergeCells>
  <hyperlinks>
    <hyperlink ref="K1" location="Begin!A1" display="Start Over"/>
    <hyperlink ref="K3" location="Calendars!A1" display="Back to Payroll Calendars"/>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Normal="100" workbookViewId="0">
      <selection activeCell="J16" sqref="J16"/>
    </sheetView>
  </sheetViews>
  <sheetFormatPr defaultRowHeight="15"/>
  <sheetData>
    <row r="1" spans="1:11" ht="23.25">
      <c r="A1" s="95"/>
      <c r="K1" s="117" t="s">
        <v>470</v>
      </c>
    </row>
    <row r="2" spans="1:11" ht="19.5" customHeight="1">
      <c r="A2" s="464" t="s">
        <v>689</v>
      </c>
      <c r="B2" s="457"/>
      <c r="C2" s="457"/>
      <c r="D2" s="457"/>
      <c r="E2" s="457"/>
      <c r="F2" s="457"/>
      <c r="G2" s="457"/>
      <c r="H2" s="457"/>
    </row>
    <row r="3" spans="1:11" ht="18.75">
      <c r="A3" s="97"/>
      <c r="B3" s="96"/>
      <c r="C3" s="96"/>
      <c r="D3" s="96"/>
      <c r="K3" s="244" t="s">
        <v>697</v>
      </c>
    </row>
    <row r="4" spans="1:11">
      <c r="A4" s="98"/>
      <c r="B4" s="96"/>
      <c r="C4" s="96"/>
      <c r="D4" s="96"/>
    </row>
    <row r="5" spans="1:11" ht="15.75" thickBot="1">
      <c r="A5" s="449" t="s">
        <v>460</v>
      </c>
      <c r="B5" s="457"/>
      <c r="C5" s="457"/>
      <c r="D5" s="457"/>
      <c r="E5" s="457"/>
      <c r="F5" s="457"/>
      <c r="G5" s="457"/>
      <c r="H5" s="457"/>
    </row>
    <row r="6" spans="1:11" ht="15.75" thickTop="1">
      <c r="A6" s="100"/>
      <c r="B6" s="101"/>
      <c r="C6" s="101"/>
      <c r="D6" s="101"/>
      <c r="E6" s="102"/>
      <c r="F6" s="102"/>
      <c r="G6" s="102"/>
      <c r="H6" s="103"/>
    </row>
    <row r="7" spans="1:11">
      <c r="A7" s="451" t="s">
        <v>690</v>
      </c>
      <c r="B7" s="452"/>
      <c r="C7" s="452"/>
      <c r="D7" s="452"/>
      <c r="E7" s="452"/>
      <c r="F7" s="452"/>
      <c r="G7" s="452"/>
      <c r="H7" s="453"/>
    </row>
    <row r="8" spans="1:11" ht="15.75" thickBot="1">
      <c r="A8" s="458" t="s">
        <v>461</v>
      </c>
      <c r="B8" s="459"/>
      <c r="C8" s="459"/>
      <c r="D8" s="459"/>
      <c r="E8" s="459"/>
      <c r="F8" s="459"/>
      <c r="G8" s="459"/>
      <c r="H8" s="460"/>
    </row>
    <row r="9" spans="1:11" ht="15.75" thickTop="1">
      <c r="B9" s="96"/>
      <c r="C9" s="96"/>
      <c r="D9" s="96"/>
    </row>
    <row r="10" spans="1:11">
      <c r="B10" s="96"/>
      <c r="C10" s="96"/>
      <c r="D10" s="96"/>
    </row>
    <row r="11" spans="1:11" ht="15.75" thickBot="1">
      <c r="A11" s="449" t="s">
        <v>462</v>
      </c>
      <c r="B11" s="457"/>
      <c r="C11" s="457"/>
      <c r="D11" s="457"/>
      <c r="E11" s="457"/>
      <c r="F11" s="457"/>
      <c r="G11" s="457"/>
      <c r="H11" s="457"/>
    </row>
    <row r="12" spans="1:11" ht="16.5" thickTop="1">
      <c r="A12" s="104"/>
      <c r="B12" s="101"/>
      <c r="C12" s="101"/>
      <c r="D12" s="101"/>
      <c r="E12" s="102"/>
      <c r="F12" s="102"/>
      <c r="G12" s="102"/>
      <c r="H12" s="103"/>
    </row>
    <row r="13" spans="1:11">
      <c r="A13" s="451" t="s">
        <v>691</v>
      </c>
      <c r="B13" s="452"/>
      <c r="C13" s="452"/>
      <c r="D13" s="452"/>
      <c r="E13" s="452"/>
      <c r="F13" s="452"/>
      <c r="G13" s="452"/>
      <c r="H13" s="453"/>
    </row>
    <row r="14" spans="1:11" ht="15.75">
      <c r="A14" s="105"/>
      <c r="B14" s="106"/>
      <c r="C14" s="106"/>
      <c r="D14" s="106"/>
      <c r="E14" s="14"/>
      <c r="F14" s="14"/>
      <c r="G14" s="14"/>
      <c r="H14" s="107"/>
    </row>
    <row r="15" spans="1:11">
      <c r="A15" s="451" t="s">
        <v>692</v>
      </c>
      <c r="B15" s="452"/>
      <c r="C15" s="452"/>
      <c r="D15" s="452"/>
      <c r="E15" s="452"/>
      <c r="F15" s="452"/>
      <c r="G15" s="452"/>
      <c r="H15" s="453"/>
    </row>
    <row r="16" spans="1:11" ht="15.75" thickBot="1">
      <c r="A16" s="458" t="s">
        <v>463</v>
      </c>
      <c r="B16" s="459"/>
      <c r="C16" s="459"/>
      <c r="D16" s="459"/>
      <c r="E16" s="459"/>
      <c r="F16" s="459"/>
      <c r="G16" s="459"/>
      <c r="H16" s="460"/>
    </row>
    <row r="17" spans="1:8" ht="16.5" thickTop="1">
      <c r="A17" s="99"/>
      <c r="B17" s="96"/>
      <c r="C17" s="96"/>
      <c r="D17" s="96"/>
    </row>
    <row r="18" spans="1:8" ht="15.75">
      <c r="A18" s="99"/>
      <c r="B18" s="96"/>
      <c r="C18" s="96"/>
      <c r="D18" s="96"/>
    </row>
    <row r="19" spans="1:8" ht="15.75" thickBot="1">
      <c r="A19" s="461" t="s">
        <v>464</v>
      </c>
      <c r="B19" s="457"/>
      <c r="C19" s="457"/>
      <c r="D19" s="457"/>
      <c r="E19" s="457"/>
      <c r="F19" s="457"/>
      <c r="G19" s="457"/>
      <c r="H19" s="457"/>
    </row>
    <row r="20" spans="1:8" ht="16.5" thickTop="1">
      <c r="A20" s="104"/>
      <c r="B20" s="101"/>
      <c r="C20" s="101"/>
      <c r="D20" s="101"/>
      <c r="E20" s="102"/>
      <c r="F20" s="102"/>
      <c r="G20" s="102"/>
      <c r="H20" s="103"/>
    </row>
    <row r="21" spans="1:8">
      <c r="A21" s="451" t="s">
        <v>693</v>
      </c>
      <c r="B21" s="452"/>
      <c r="C21" s="452"/>
      <c r="D21" s="452"/>
      <c r="E21" s="452"/>
      <c r="F21" s="452"/>
      <c r="G21" s="452"/>
      <c r="H21" s="453"/>
    </row>
    <row r="22" spans="1:8" ht="15.75" thickBot="1">
      <c r="A22" s="458" t="s">
        <v>465</v>
      </c>
      <c r="B22" s="459"/>
      <c r="C22" s="459"/>
      <c r="D22" s="459"/>
      <c r="E22" s="459"/>
      <c r="F22" s="459"/>
      <c r="G22" s="459"/>
      <c r="H22" s="460"/>
    </row>
    <row r="23" spans="1:8" ht="16.5" thickTop="1">
      <c r="A23" s="99"/>
      <c r="B23" s="96"/>
      <c r="C23" s="96"/>
      <c r="D23" s="96"/>
    </row>
    <row r="24" spans="1:8" ht="15.75">
      <c r="A24" s="99"/>
      <c r="B24" s="96"/>
      <c r="C24" s="96"/>
      <c r="D24" s="96"/>
    </row>
    <row r="25" spans="1:8" ht="15.75" thickBot="1">
      <c r="A25" s="449" t="s">
        <v>466</v>
      </c>
      <c r="B25" s="457"/>
      <c r="C25" s="457"/>
      <c r="D25" s="457"/>
      <c r="E25" s="457"/>
      <c r="F25" s="457"/>
      <c r="G25" s="457"/>
      <c r="H25" s="457"/>
    </row>
    <row r="26" spans="1:8" ht="16.5" thickTop="1">
      <c r="A26" s="108"/>
      <c r="B26" s="101"/>
      <c r="C26" s="101"/>
      <c r="D26" s="101"/>
      <c r="E26" s="102"/>
      <c r="F26" s="102"/>
      <c r="G26" s="102"/>
      <c r="H26" s="103"/>
    </row>
    <row r="27" spans="1:8">
      <c r="A27" s="462" t="s">
        <v>467</v>
      </c>
      <c r="B27" s="452"/>
      <c r="C27" s="452"/>
      <c r="D27" s="452"/>
      <c r="E27" s="452"/>
      <c r="F27" s="452"/>
      <c r="G27" s="452"/>
      <c r="H27" s="453"/>
    </row>
    <row r="28" spans="1:8">
      <c r="A28" s="451" t="s">
        <v>694</v>
      </c>
      <c r="B28" s="452"/>
      <c r="C28" s="452"/>
      <c r="D28" s="452"/>
      <c r="E28" s="452"/>
      <c r="F28" s="452"/>
      <c r="G28" s="452"/>
      <c r="H28" s="453"/>
    </row>
    <row r="29" spans="1:8" ht="15.75">
      <c r="A29" s="162"/>
      <c r="B29" s="163"/>
      <c r="C29" s="163"/>
      <c r="D29" s="163"/>
      <c r="E29" s="163"/>
      <c r="F29" s="163"/>
      <c r="G29" s="163"/>
      <c r="H29" s="164"/>
    </row>
    <row r="30" spans="1:8">
      <c r="A30" s="462" t="s">
        <v>468</v>
      </c>
      <c r="B30" s="452"/>
      <c r="C30" s="452"/>
      <c r="D30" s="452"/>
      <c r="E30" s="452"/>
      <c r="F30" s="452"/>
      <c r="G30" s="452"/>
      <c r="H30" s="453"/>
    </row>
    <row r="31" spans="1:8" ht="15.75" thickBot="1">
      <c r="A31" s="463" t="s">
        <v>695</v>
      </c>
      <c r="B31" s="459"/>
      <c r="C31" s="459"/>
      <c r="D31" s="459"/>
      <c r="E31" s="459"/>
      <c r="F31" s="459"/>
      <c r="G31" s="459"/>
      <c r="H31" s="460"/>
    </row>
    <row r="32" spans="1:8" ht="16.5" thickTop="1">
      <c r="A32" s="99"/>
      <c r="B32" s="96"/>
      <c r="C32" s="96"/>
      <c r="D32" s="96"/>
    </row>
    <row r="33" spans="1:8" ht="15.75">
      <c r="A33" s="99"/>
      <c r="B33" s="96"/>
      <c r="C33" s="96"/>
      <c r="D33" s="96"/>
    </row>
    <row r="34" spans="1:8" ht="15.75" thickBot="1">
      <c r="A34" s="449" t="s">
        <v>469</v>
      </c>
      <c r="B34" s="457"/>
      <c r="C34" s="457"/>
      <c r="D34" s="457"/>
      <c r="E34" s="457"/>
      <c r="F34" s="457"/>
      <c r="G34" s="457"/>
      <c r="H34" s="457"/>
    </row>
    <row r="35" spans="1:8" ht="16.5" thickTop="1">
      <c r="A35" s="104"/>
      <c r="B35" s="101"/>
      <c r="C35" s="101"/>
      <c r="D35" s="101"/>
      <c r="E35" s="102"/>
      <c r="F35" s="102"/>
      <c r="G35" s="102"/>
      <c r="H35" s="103"/>
    </row>
    <row r="36" spans="1:8">
      <c r="A36" s="451" t="s">
        <v>696</v>
      </c>
      <c r="B36" s="452"/>
      <c r="C36" s="452"/>
      <c r="D36" s="452"/>
      <c r="E36" s="452"/>
      <c r="F36" s="452"/>
      <c r="G36" s="452"/>
      <c r="H36" s="453"/>
    </row>
    <row r="37" spans="1:8" ht="16.5" thickBot="1">
      <c r="A37" s="109"/>
      <c r="B37" s="110"/>
      <c r="C37" s="110"/>
      <c r="D37" s="110"/>
      <c r="E37" s="110"/>
      <c r="F37" s="110"/>
      <c r="G37" s="110"/>
      <c r="H37" s="111"/>
    </row>
    <row r="38" spans="1:8" ht="15.75" thickTop="1"/>
  </sheetData>
  <mergeCells count="18">
    <mergeCell ref="A13:H13"/>
    <mergeCell ref="A2:H2"/>
    <mergeCell ref="A5:H5"/>
    <mergeCell ref="A7:H7"/>
    <mergeCell ref="A8:H8"/>
    <mergeCell ref="A11:H11"/>
    <mergeCell ref="A36:H36"/>
    <mergeCell ref="A15:H15"/>
    <mergeCell ref="A16:H16"/>
    <mergeCell ref="A19:H19"/>
    <mergeCell ref="A21:H21"/>
    <mergeCell ref="A22:H22"/>
    <mergeCell ref="A25:H25"/>
    <mergeCell ref="A27:H27"/>
    <mergeCell ref="A28:H28"/>
    <mergeCell ref="A30:H30"/>
    <mergeCell ref="A31:H31"/>
    <mergeCell ref="A34:H34"/>
  </mergeCells>
  <hyperlinks>
    <hyperlink ref="K1" location="Begin!A1" display="Start Over"/>
    <hyperlink ref="K3" location="Calendars!A1" display="Back to Payroll Calendars"/>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selection activeCell="A16" sqref="A16"/>
    </sheetView>
  </sheetViews>
  <sheetFormatPr defaultRowHeight="15"/>
  <cols>
    <col min="1" max="1" width="11.5703125" customWidth="1"/>
    <col min="2" max="2" width="10.7109375" customWidth="1"/>
    <col min="3" max="3" width="13.42578125" customWidth="1"/>
    <col min="4" max="4" width="13.5703125" customWidth="1"/>
    <col min="5" max="5" width="12.7109375" customWidth="1"/>
    <col min="6" max="6" width="11.5703125" customWidth="1"/>
    <col min="7" max="7" width="11.140625" customWidth="1"/>
  </cols>
  <sheetData>
    <row r="1" spans="1:9" ht="21.75" customHeight="1">
      <c r="A1" s="130" t="s">
        <v>472</v>
      </c>
      <c r="B1" s="130" t="s">
        <v>473</v>
      </c>
      <c r="C1" s="130" t="s">
        <v>474</v>
      </c>
      <c r="D1" s="130" t="s">
        <v>475</v>
      </c>
      <c r="E1" s="130" t="s">
        <v>476</v>
      </c>
      <c r="F1" s="130" t="s">
        <v>477</v>
      </c>
      <c r="G1" s="130" t="s">
        <v>478</v>
      </c>
      <c r="I1" s="117" t="s">
        <v>470</v>
      </c>
    </row>
    <row r="2" spans="1:9">
      <c r="A2" s="130">
        <v>1</v>
      </c>
      <c r="B2" s="130">
        <v>2</v>
      </c>
      <c r="C2" s="130">
        <v>3</v>
      </c>
      <c r="D2" s="130">
        <v>4</v>
      </c>
      <c r="E2" s="130">
        <v>5</v>
      </c>
      <c r="F2" s="130">
        <v>6</v>
      </c>
      <c r="G2" s="130">
        <v>7</v>
      </c>
    </row>
    <row r="3" spans="1:9" ht="45">
      <c r="A3" s="119" t="s">
        <v>528</v>
      </c>
      <c r="B3" s="119"/>
      <c r="C3" s="119"/>
      <c r="D3" s="130"/>
      <c r="E3" s="94"/>
      <c r="F3" s="94"/>
      <c r="G3" s="119"/>
    </row>
    <row r="4" spans="1:9">
      <c r="A4" s="130">
        <v>8</v>
      </c>
      <c r="B4" s="130">
        <v>9</v>
      </c>
      <c r="C4" s="130">
        <v>10</v>
      </c>
      <c r="D4" s="130">
        <v>11</v>
      </c>
      <c r="E4" s="120">
        <v>12</v>
      </c>
      <c r="F4" s="120">
        <v>13</v>
      </c>
      <c r="G4" s="130">
        <v>14</v>
      </c>
    </row>
    <row r="5" spans="1:9" ht="45" customHeight="1">
      <c r="A5" s="130"/>
      <c r="B5" s="130"/>
      <c r="C5" s="130" t="s">
        <v>519</v>
      </c>
      <c r="D5" s="465" t="s">
        <v>520</v>
      </c>
      <c r="E5" s="466"/>
      <c r="F5" s="130" t="s">
        <v>529</v>
      </c>
      <c r="G5" s="130" t="s">
        <v>515</v>
      </c>
    </row>
    <row r="8" spans="1:9">
      <c r="A8" s="130" t="s">
        <v>472</v>
      </c>
      <c r="B8" s="130" t="s">
        <v>473</v>
      </c>
      <c r="C8" s="130" t="s">
        <v>474</v>
      </c>
      <c r="D8" s="130" t="s">
        <v>475</v>
      </c>
      <c r="E8" s="130" t="s">
        <v>476</v>
      </c>
      <c r="F8" s="130" t="s">
        <v>477</v>
      </c>
      <c r="G8" s="130" t="s">
        <v>478</v>
      </c>
    </row>
    <row r="9" spans="1:9">
      <c r="A9" s="130">
        <v>15</v>
      </c>
      <c r="B9" s="130">
        <v>16</v>
      </c>
      <c r="C9" s="130">
        <v>17</v>
      </c>
      <c r="D9" s="130">
        <v>18</v>
      </c>
      <c r="E9" s="130">
        <v>19</v>
      </c>
      <c r="F9" s="130">
        <v>20</v>
      </c>
      <c r="G9" s="130">
        <v>21</v>
      </c>
    </row>
    <row r="10" spans="1:9" ht="45">
      <c r="A10" s="119" t="s">
        <v>514</v>
      </c>
      <c r="B10" s="119"/>
      <c r="C10" s="119" t="s">
        <v>517</v>
      </c>
      <c r="D10" s="130"/>
      <c r="E10" s="94"/>
      <c r="F10" s="94"/>
      <c r="G10" s="119"/>
    </row>
    <row r="11" spans="1:9">
      <c r="A11" s="130">
        <v>22</v>
      </c>
      <c r="B11" s="130">
        <v>23</v>
      </c>
      <c r="C11" s="130">
        <v>24</v>
      </c>
      <c r="D11" s="130">
        <v>25</v>
      </c>
      <c r="E11" s="120">
        <v>26</v>
      </c>
      <c r="F11" s="120">
        <v>27</v>
      </c>
      <c r="G11" s="130">
        <v>28</v>
      </c>
    </row>
    <row r="12" spans="1:9" ht="45" customHeight="1">
      <c r="A12" s="130"/>
      <c r="B12" s="130"/>
      <c r="C12" s="130" t="s">
        <v>518</v>
      </c>
      <c r="D12" s="465" t="s">
        <v>520</v>
      </c>
      <c r="E12" s="466"/>
      <c r="F12" s="130" t="s">
        <v>530</v>
      </c>
      <c r="G12" s="130" t="s">
        <v>516</v>
      </c>
    </row>
    <row r="14" spans="1:9">
      <c r="A14" t="s">
        <v>521</v>
      </c>
    </row>
    <row r="15" spans="1:9">
      <c r="A15" t="s">
        <v>522</v>
      </c>
    </row>
  </sheetData>
  <mergeCells count="2">
    <mergeCell ref="D5:E5"/>
    <mergeCell ref="D12:E12"/>
  </mergeCells>
  <hyperlinks>
    <hyperlink ref="I1" location="Begin!A1" display="Start Over"/>
  </hyperlinks>
  <pageMargins left="0.7" right="0.7" top="0.75" bottom="0.75" header="0.3" footer="0.3"/>
  <pageSetup scale="9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17</vt:i4>
      </vt:variant>
    </vt:vector>
  </HeadingPairs>
  <TitlesOfParts>
    <vt:vector size="37" baseType="lpstr">
      <vt:lpstr>Begin</vt:lpstr>
      <vt:lpstr>Approvals-TH</vt:lpstr>
      <vt:lpstr>Approvals-BA</vt:lpstr>
      <vt:lpstr>Deferred Pay</vt:lpstr>
      <vt:lpstr>PERSI-T1</vt:lpstr>
      <vt:lpstr>Non Student-T4</vt:lpstr>
      <vt:lpstr>Student-ST</vt:lpstr>
      <vt:lpstr>Work-Study &amp; Other</vt:lpstr>
      <vt:lpstr>Employee Class</vt:lpstr>
      <vt:lpstr>Job Change Reason</vt:lpstr>
      <vt:lpstr>Suffix-PCN Acct-Desc</vt:lpstr>
      <vt:lpstr>Working Title Abbrev.</vt:lpstr>
      <vt:lpstr>Calendars</vt:lpstr>
      <vt:lpstr>FY 2015 Deadlines</vt:lpstr>
      <vt:lpstr>FY 2014 Deadlines</vt:lpstr>
      <vt:lpstr>3-Yr Calendar - FY15</vt:lpstr>
      <vt:lpstr>3-Yr Calendar - FY14</vt:lpstr>
      <vt:lpstr>Dates - FY15</vt:lpstr>
      <vt:lpstr>Dates - FY14</vt:lpstr>
      <vt:lpstr>Pay Period</vt:lpstr>
      <vt:lpstr>'3-Yr Calendar - FY15'!Print_Area</vt:lpstr>
      <vt:lpstr>'Approvals-BA'!Print_Area</vt:lpstr>
      <vt:lpstr>'Approvals-TH'!Print_Area</vt:lpstr>
      <vt:lpstr>Begin!Print_Area</vt:lpstr>
      <vt:lpstr>'Dates - FY14'!Print_Area</vt:lpstr>
      <vt:lpstr>'Dates - FY15'!Print_Area</vt:lpstr>
      <vt:lpstr>'Employee Class'!Print_Area</vt:lpstr>
      <vt:lpstr>'FY 2014 Deadlines'!Print_Area</vt:lpstr>
      <vt:lpstr>'Job Change Reason'!Print_Area</vt:lpstr>
      <vt:lpstr>'Non Student-T4'!Print_Area</vt:lpstr>
      <vt:lpstr>'PERSI-T1'!Print_Area</vt:lpstr>
      <vt:lpstr>'Student-ST'!Print_Area</vt:lpstr>
      <vt:lpstr>'Suffix-PCN Acct-Desc'!Print_Area</vt:lpstr>
      <vt:lpstr>'Working Title Abbrev.'!Print_Area</vt:lpstr>
      <vt:lpstr>'Work-Study &amp; Other'!Print_Area</vt:lpstr>
      <vt:lpstr>'Approvals-BA'!Print_Titles</vt:lpstr>
      <vt:lpstr>'Working Title Abbrev.'!Print_Titles</vt:lpstr>
    </vt:vector>
  </TitlesOfParts>
  <Company>University of Idaho</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Noble, Daniel</dc:creator>
  <cp:lastModifiedBy>Noble, Daniel</cp:lastModifiedBy>
  <cp:lastPrinted>2014-04-23T15:17:16Z</cp:lastPrinted>
  <dcterms:created xsi:type="dcterms:W3CDTF">2011-08-25T20:47:54Z</dcterms:created>
  <dcterms:modified xsi:type="dcterms:W3CDTF">2014-05-29T21:19:26Z</dcterms:modified>
</cp:coreProperties>
</file>